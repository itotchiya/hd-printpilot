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havetdig-my.sharepoint.com/personal/ghavet_havetdigital_fr/Documents/Bureau/"/>
    </mc:Choice>
  </mc:AlternateContent>
  <xr:revisionPtr revIDLastSave="66" documentId="13_ncr:1_{53CA4FEE-D363-44F7-87B9-50DC945C22BD}" xr6:coauthVersionLast="47" xr6:coauthVersionMax="47" xr10:uidLastSave="{67C2014E-41EA-4A4A-BE9C-7846C5F01AF4}"/>
  <bookViews>
    <workbookView xWindow="-120" yWindow="-120" windowWidth="29040" windowHeight="15720" tabRatio="781" xr2:uid="{00000000-000D-0000-FFFF-FFFF00000000}"/>
  </bookViews>
  <sheets>
    <sheet name="Tableau NUMERIQUE" sheetId="1" r:id="rId1"/>
    <sheet name="Tableau NUMERIQUE (2)" sheetId="26" state="hidden" r:id="rId2"/>
    <sheet name="Donnees Num" sheetId="14" state="hidden" r:id="rId3"/>
    <sheet name="Tableau papier" sheetId="2" state="hidden" r:id="rId4"/>
    <sheet name="Livraison" sheetId="15" state="hidden" r:id="rId5"/>
    <sheet name="Tableau Façonnage Num" sheetId="3" state="hidden" r:id="rId6"/>
    <sheet name="Tableau OFFSET" sheetId="16" r:id="rId7"/>
    <sheet name="Tableau OFFSET (2)" sheetId="25" state="hidden" r:id="rId8"/>
    <sheet name="Détails PRIX" sheetId="20" state="hidden" r:id="rId9"/>
    <sheet name="Détails PRIX DEPLIANTS" sheetId="28" state="hidden" r:id="rId10"/>
    <sheet name="GENERATEUR BROCHURE" sheetId="30" r:id="rId11"/>
    <sheet name="GENERATEUR FLYER-DEPLIANT" sheetId="31" state="hidden" r:id="rId12"/>
    <sheet name="Tableau Façonnage OFFSET" sheetId="17" state="hidden" r:id="rId13"/>
    <sheet name="Transports" sheetId="24" state="hidden" r:id="rId14"/>
    <sheet name="Bloc note" sheetId="27" state="hidden" r:id="rId15"/>
    <sheet name="Parc Machines IMB" sheetId="22" state="hidden" r:id="rId16"/>
    <sheet name="Réglages Presses" sheetId="23" state="hidden" r:id="rId17"/>
    <sheet name="Sauvegarde formules" sheetId="29" state="hidden" r:id="rId18"/>
  </sheets>
  <definedNames>
    <definedName name="Bouffantblanc">'Tableau papier'!$J$44:$J$45</definedName>
    <definedName name="BouffantMunkenBlanc">'Tableau papier'!$D$44:$D$45</definedName>
    <definedName name="BouffantMunkenCreme">'Tableau papier'!$E$44:$E$45</definedName>
    <definedName name="Brillantcouv">'Tableau papier'!$F$27:$F$35</definedName>
    <definedName name="Brillantcouv_DC">'Tableau papier'!$B$74:$B$80</definedName>
    <definedName name="Brillantinterieur">'Tableau papier'!$G$44:$G$50</definedName>
    <definedName name="Carte1Face">'Tableau papier'!$A$31:$A$32</definedName>
    <definedName name="Carte1Face_DC">'Tableau papier'!$C$75:$C$77</definedName>
    <definedName name="Couche">'Tableau papier'!$B$27:$B$35</definedName>
    <definedName name="CoucheCouv">'Tableau papier'!$B$27:$B$35</definedName>
    <definedName name="CoucheCouv_DC">'Tableau papier'!$A$74:$A$80</definedName>
    <definedName name="CoucheInterieur">'Tableau papier'!$A$44:$A$50</definedName>
    <definedName name="CoucheMatCouv">'Tableau papier'!$G$27:$G$35</definedName>
    <definedName name="CoucheMatCouv_DC">'Tableau papier'!$D$74:$D$80</definedName>
    <definedName name="CoucheMatInterieur">'Tableau papier'!$H$44:$H$50</definedName>
    <definedName name="CoucheSatinCouv">'Tableau papier'!$H$27:$H$35</definedName>
    <definedName name="CoucheSatinCouv_DC">'Tableau papier'!$E$75:$E$80</definedName>
    <definedName name="CoucheSatinInterieur">'Tableau papier'!$I$44:$I$50</definedName>
    <definedName name="FormatsImpression">'Tableau Façonnage OFFSET'!$X$2:$X$8</definedName>
    <definedName name="Grammage_Autre_Couverture">'Tableau papier'!$D$27:$D$39</definedName>
    <definedName name="Grammage_Autre_Interieur">'Tableau papier'!$F$44:$F$54</definedName>
    <definedName name="Liste_DosCarre">'Tableau Façonnage Num'!$B$42:$B$43</definedName>
    <definedName name="Liste_ParDéfaut">'Tableau Façonnage Num'!$C$42:$C$44</definedName>
    <definedName name="Liste_Piqûre">'Tableau Façonnage Num'!$A$42:$A$44</definedName>
    <definedName name="ListeDept">Transports!$A$603:$A$716</definedName>
    <definedName name="ListePelliculage">'Tableau Façonnage OFFSET'!$W$2:$W$5</definedName>
    <definedName name="OffsetCouv">'Tableau papier'!$C$32</definedName>
    <definedName name="OffsetInterieur">'Tableau papier'!$B$44:$B$47</definedName>
    <definedName name="PeliR">'Tableau Façonnage OFFSET'!$T$3:$T$4</definedName>
    <definedName name="PeliRV">'Tableau Façonnage OFFSET'!$U$3:$U$5</definedName>
    <definedName name="PelliculageComplet">'Tableau Façonnage OFFSET'!$U$3:$U$5</definedName>
    <definedName name="PelliculageSimple">'Tableau Façonnage OFFSET'!$T$3:$T$4</definedName>
    <definedName name="RecycleCouv">'Tableau papier'!$E$27:$E$30</definedName>
    <definedName name="RecycleOffset">'Tableau papier'!$C$44:$C$52</definedName>
    <definedName name="Toutautre">'Tableau papier'!$O$28:$O$45</definedName>
    <definedName name="Toutcarte1face">'Tableau papier'!$N$28:$N$30</definedName>
    <definedName name="Toutcouche">'Tableau papier'!$L$28:$L$39</definedName>
    <definedName name="Toutoffset">'Tableau papier'!$M$28:$M$32</definedName>
    <definedName name="Toutrecycle">'Tableau papier'!$P$28:$P$34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7" i="1" l="1"/>
  <c r="A62" i="16"/>
  <c r="D37" i="14"/>
  <c r="C31" i="1"/>
  <c r="C3" i="16"/>
  <c r="B48" i="3"/>
  <c r="B49" i="3"/>
  <c r="E23" i="28"/>
  <c r="B32" i="28"/>
  <c r="C32" i="28" s="1"/>
  <c r="B31" i="28"/>
  <c r="C31" i="28"/>
  <c r="D40" i="14"/>
  <c r="B5" i="28"/>
  <c r="D31" i="1"/>
  <c r="A25" i="20"/>
  <c r="L53" i="28"/>
  <c r="L52" i="28"/>
  <c r="N53" i="28"/>
  <c r="N52" i="28"/>
  <c r="M48" i="28"/>
  <c r="M49" i="28"/>
  <c r="M52" i="28"/>
  <c r="M53" i="28"/>
  <c r="D41" i="14"/>
  <c r="C35" i="16"/>
  <c r="O49" i="28" s="1"/>
  <c r="D35" i="16"/>
  <c r="J17" i="14"/>
  <c r="I2" i="14"/>
  <c r="C23" i="28" l="1"/>
  <c r="C7" i="28"/>
  <c r="C24" i="28" s="1"/>
  <c r="O48" i="28"/>
  <c r="N55" i="28" s="1"/>
  <c r="D9" i="14"/>
  <c r="D13" i="14"/>
  <c r="D19" i="14"/>
  <c r="D3" i="16"/>
  <c r="L55" i="28" l="1"/>
  <c r="L56" i="28" s="1"/>
  <c r="N56" i="28"/>
  <c r="M55" i="28"/>
  <c r="M56" i="28" s="1"/>
  <c r="C3" i="28" l="1"/>
  <c r="C5" i="28" s="1"/>
  <c r="J13" i="28"/>
  <c r="B5" i="20"/>
  <c r="M53" i="20"/>
  <c r="M54" i="20"/>
  <c r="C13" i="20"/>
  <c r="D13" i="20"/>
  <c r="I56" i="20"/>
  <c r="A2" i="28" l="1"/>
  <c r="A4" i="28" s="1"/>
  <c r="E16" i="28"/>
  <c r="H33" i="14"/>
  <c r="H13" i="14"/>
  <c r="N1" i="1"/>
  <c r="M1" i="1"/>
  <c r="C9" i="28" l="1"/>
  <c r="D44" i="16" s="1"/>
  <c r="B7" i="28"/>
  <c r="B9" i="28"/>
  <c r="L1" i="16"/>
  <c r="K1" i="1"/>
  <c r="I13" i="14"/>
  <c r="I11" i="14"/>
  <c r="M1" i="16"/>
  <c r="L1" i="1"/>
  <c r="B26" i="28" l="1"/>
  <c r="D10" i="14"/>
  <c r="C838" i="24"/>
  <c r="D838" i="24"/>
  <c r="E838" i="24"/>
  <c r="F838" i="24"/>
  <c r="G838" i="24"/>
  <c r="H838" i="24"/>
  <c r="I838" i="24"/>
  <c r="J838" i="24"/>
  <c r="K838" i="24"/>
  <c r="L838" i="24"/>
  <c r="M838" i="24"/>
  <c r="N838" i="24"/>
  <c r="O838" i="24"/>
  <c r="P838" i="24"/>
  <c r="Q838" i="24"/>
  <c r="R838" i="24"/>
  <c r="S838" i="24"/>
  <c r="T838" i="24"/>
  <c r="U838" i="24"/>
  <c r="V838" i="24"/>
  <c r="W838" i="24"/>
  <c r="X838" i="24"/>
  <c r="Y838" i="24"/>
  <c r="Z838" i="24"/>
  <c r="AA838" i="24"/>
  <c r="AB838" i="24"/>
  <c r="AC838" i="24"/>
  <c r="AD838" i="24"/>
  <c r="AE838" i="24"/>
  <c r="AF838" i="24"/>
  <c r="AG838" i="24"/>
  <c r="AH838" i="24"/>
  <c r="B838" i="24"/>
  <c r="B38" i="28"/>
  <c r="D38" i="28" s="1"/>
  <c r="B42" i="28"/>
  <c r="D42" i="28" s="1"/>
  <c r="E42" i="28" s="1"/>
  <c r="B50" i="28"/>
  <c r="D50" i="28" s="1"/>
  <c r="E50" i="28" s="1"/>
  <c r="D47" i="28"/>
  <c r="B43" i="28"/>
  <c r="D43" i="28" s="1"/>
  <c r="E43" i="28" s="1"/>
  <c r="A43" i="28"/>
  <c r="A42" i="28"/>
  <c r="A41" i="28"/>
  <c r="A40" i="28"/>
  <c r="A39" i="28"/>
  <c r="A38" i="28"/>
  <c r="A37" i="28"/>
  <c r="A46" i="20"/>
  <c r="A45" i="20"/>
  <c r="A44" i="20"/>
  <c r="A43" i="20"/>
  <c r="A42" i="20"/>
  <c r="M2" i="16"/>
  <c r="E38" i="28" l="1"/>
  <c r="E47" i="28"/>
  <c r="M3" i="16"/>
  <c r="M33" i="16"/>
  <c r="L2" i="16"/>
  <c r="H38" i="14"/>
  <c r="I38" i="14"/>
  <c r="J38" i="14"/>
  <c r="H39" i="14"/>
  <c r="I39" i="14"/>
  <c r="J39" i="14"/>
  <c r="H40" i="14"/>
  <c r="H41" i="14"/>
  <c r="H42" i="14"/>
  <c r="H43" i="14"/>
  <c r="I43" i="14"/>
  <c r="H44" i="14"/>
  <c r="I44" i="14"/>
  <c r="H45" i="14"/>
  <c r="I45" i="14"/>
  <c r="H46" i="14"/>
  <c r="I46" i="14"/>
  <c r="H1" i="14"/>
  <c r="I1" i="14"/>
  <c r="H2" i="14"/>
  <c r="H3" i="14"/>
  <c r="I3" i="14"/>
  <c r="H4" i="14"/>
  <c r="I4" i="14"/>
  <c r="H5" i="14"/>
  <c r="I5" i="14"/>
  <c r="H6" i="14"/>
  <c r="I6" i="14"/>
  <c r="H7" i="14"/>
  <c r="I7" i="14"/>
  <c r="H8" i="14"/>
  <c r="I8" i="14"/>
  <c r="H9" i="14"/>
  <c r="I9" i="14"/>
  <c r="H10" i="14"/>
  <c r="I10" i="14"/>
  <c r="H11" i="14"/>
  <c r="B3" i="28" l="1"/>
  <c r="Q51" i="20" l="1"/>
  <c r="Q55" i="20" s="1"/>
  <c r="Q50" i="20"/>
  <c r="Q54" i="20" s="1"/>
  <c r="Q49" i="20"/>
  <c r="Q53" i="20" s="1"/>
  <c r="B57" i="16"/>
  <c r="CG115" i="24" a="1"/>
  <c r="CG115" i="24" s="1"/>
  <c r="AE115" i="24" s="1"/>
  <c r="F13" i="20" l="1"/>
  <c r="B2" i="20" s="1"/>
  <c r="B29" i="20" s="1"/>
  <c r="B37" i="28"/>
  <c r="D37" i="28" s="1"/>
  <c r="AM115" i="24"/>
  <c r="BC115" i="24"/>
  <c r="BS115" i="24"/>
  <c r="BD115" i="24"/>
  <c r="AN115" i="24"/>
  <c r="BT115" i="24"/>
  <c r="AO115" i="24"/>
  <c r="BE115" i="24"/>
  <c r="AP115" i="24"/>
  <c r="AQ115" i="24"/>
  <c r="BG115" i="24"/>
  <c r="BW115" i="24"/>
  <c r="AY115" i="24"/>
  <c r="BP115" i="24"/>
  <c r="AR115" i="24"/>
  <c r="BH115" i="24"/>
  <c r="BX115" i="24"/>
  <c r="AS115" i="24"/>
  <c r="BI115" i="24"/>
  <c r="BY115" i="24"/>
  <c r="CE115" i="24"/>
  <c r="AJ115" i="24"/>
  <c r="BF115" i="24"/>
  <c r="AT115" i="24"/>
  <c r="BJ115" i="24"/>
  <c r="BZ115" i="24"/>
  <c r="AU115" i="24"/>
  <c r="BK115" i="24"/>
  <c r="CA115" i="24"/>
  <c r="BO115" i="24"/>
  <c r="CF115" i="24"/>
  <c r="AF115" i="24"/>
  <c r="AV115" i="24"/>
  <c r="BL115" i="24"/>
  <c r="CB115" i="24"/>
  <c r="AG115" i="24"/>
  <c r="AW115" i="24"/>
  <c r="BM115" i="24"/>
  <c r="CC115" i="24"/>
  <c r="AH115" i="24"/>
  <c r="AX115" i="24"/>
  <c r="BN115" i="24"/>
  <c r="CD115" i="24"/>
  <c r="AZ115" i="24"/>
  <c r="AI115" i="24"/>
  <c r="AK115" i="24"/>
  <c r="BA115" i="24"/>
  <c r="BQ115" i="24"/>
  <c r="AL115" i="24"/>
  <c r="BB115" i="24"/>
  <c r="BR115" i="24"/>
  <c r="B9" i="20" l="1"/>
  <c r="B11" i="20" s="1"/>
  <c r="E37" i="28"/>
  <c r="C26" i="28"/>
  <c r="A59" i="16"/>
  <c r="B930" i="24"/>
  <c r="C223" i="24" s="1"/>
  <c r="C930" i="24"/>
  <c r="D223" i="24" s="1"/>
  <c r="D930" i="24"/>
  <c r="E223" i="24" s="1"/>
  <c r="E930" i="24"/>
  <c r="F223" i="24" s="1"/>
  <c r="F930" i="24"/>
  <c r="G223" i="24" s="1"/>
  <c r="G930" i="24"/>
  <c r="H223" i="24" s="1"/>
  <c r="H930" i="24"/>
  <c r="I223" i="24" s="1"/>
  <c r="I930" i="24"/>
  <c r="J223" i="24" s="1"/>
  <c r="J930" i="24"/>
  <c r="K223" i="24" s="1"/>
  <c r="K930" i="24"/>
  <c r="L223" i="24" s="1"/>
  <c r="L930" i="24"/>
  <c r="M223" i="24" s="1"/>
  <c r="M930" i="24"/>
  <c r="N223" i="24" s="1"/>
  <c r="N930" i="24"/>
  <c r="O223" i="24" s="1"/>
  <c r="O930" i="24"/>
  <c r="P223" i="24" s="1"/>
  <c r="P930" i="24"/>
  <c r="Q223" i="24" s="1"/>
  <c r="Q930" i="24"/>
  <c r="R223" i="24" s="1"/>
  <c r="R930" i="24"/>
  <c r="S223" i="24" s="1"/>
  <c r="S930" i="24"/>
  <c r="T223" i="24" s="1"/>
  <c r="T930" i="24"/>
  <c r="U223" i="24" s="1"/>
  <c r="U930" i="24"/>
  <c r="V223" i="24" s="1"/>
  <c r="V930" i="24"/>
  <c r="W223" i="24" s="1"/>
  <c r="W930" i="24"/>
  <c r="X223" i="24" s="1"/>
  <c r="X930" i="24"/>
  <c r="Y223" i="24" s="1"/>
  <c r="Y930" i="24"/>
  <c r="Z223" i="24" s="1"/>
  <c r="Z930" i="24"/>
  <c r="AA223" i="24" s="1"/>
  <c r="AA930" i="24"/>
  <c r="AB223" i="24" s="1"/>
  <c r="AB930" i="24"/>
  <c r="AC223" i="24" s="1"/>
  <c r="AC930" i="24"/>
  <c r="AD930" i="24"/>
  <c r="AF223" i="24" s="1"/>
  <c r="AE930" i="24"/>
  <c r="AG223" i="24" s="1"/>
  <c r="AF930" i="24"/>
  <c r="AH223" i="24" s="1"/>
  <c r="AG930" i="24"/>
  <c r="AI223" i="24" s="1"/>
  <c r="AH930" i="24"/>
  <c r="AJ223" i="24" s="1"/>
  <c r="AI929" i="24"/>
  <c r="AK223" i="24" s="1"/>
  <c r="AJ929" i="24"/>
  <c r="AL223" i="24" s="1"/>
  <c r="AK929" i="24"/>
  <c r="AM223" i="24" s="1"/>
  <c r="AL929" i="24"/>
  <c r="AN223" i="24" s="1"/>
  <c r="AM929" i="24"/>
  <c r="AO223" i="24" s="1"/>
  <c r="AN929" i="24"/>
  <c r="AP223" i="24" s="1"/>
  <c r="AO929" i="24"/>
  <c r="AQ223" i="24" s="1"/>
  <c r="AP929" i="24"/>
  <c r="AR223" i="24" s="1"/>
  <c r="AQ929" i="24"/>
  <c r="AS223" i="24" s="1"/>
  <c r="AR929" i="24"/>
  <c r="AT223" i="24" s="1"/>
  <c r="AS929" i="24"/>
  <c r="AU223" i="24" s="1"/>
  <c r="AT929" i="24"/>
  <c r="AV223" i="24" s="1"/>
  <c r="AU929" i="24"/>
  <c r="AW223" i="24" s="1"/>
  <c r="AV929" i="24"/>
  <c r="AX223" i="24" s="1"/>
  <c r="AW929" i="24"/>
  <c r="AY223" i="24" s="1"/>
  <c r="AX929" i="24"/>
  <c r="AZ223" i="24" s="1"/>
  <c r="AY929" i="24"/>
  <c r="BA223" i="24" s="1"/>
  <c r="AZ929" i="24"/>
  <c r="BB223" i="24" s="1"/>
  <c r="BA929" i="24"/>
  <c r="BC223" i="24" s="1"/>
  <c r="BB929" i="24"/>
  <c r="BD223" i="24" s="1"/>
  <c r="BC929" i="24"/>
  <c r="BE223" i="24" s="1"/>
  <c r="BD929" i="24"/>
  <c r="BF223" i="24" s="1"/>
  <c r="BE929" i="24"/>
  <c r="BG223" i="24" s="1"/>
  <c r="BF929" i="24"/>
  <c r="BH223" i="24" s="1"/>
  <c r="BG929" i="24"/>
  <c r="BI223" i="24" s="1"/>
  <c r="BH929" i="24"/>
  <c r="BJ223" i="24" s="1"/>
  <c r="BI929" i="24"/>
  <c r="BK223" i="24" s="1"/>
  <c r="BJ929" i="24"/>
  <c r="BL223" i="24" s="1"/>
  <c r="BK929" i="24"/>
  <c r="BM223" i="24" s="1"/>
  <c r="BL929" i="24"/>
  <c r="BN223" i="24" s="1"/>
  <c r="BM929" i="24"/>
  <c r="BO223" i="24" s="1"/>
  <c r="BN929" i="24"/>
  <c r="BP223" i="24" s="1"/>
  <c r="BO929" i="24"/>
  <c r="BQ223" i="24" s="1"/>
  <c r="BP929" i="24"/>
  <c r="BR223" i="24" s="1"/>
  <c r="BQ929" i="24"/>
  <c r="BS223" i="24" s="1"/>
  <c r="BR929" i="24"/>
  <c r="BT223" i="24" s="1"/>
  <c r="BS929" i="24"/>
  <c r="BU223" i="24" s="1"/>
  <c r="BT929" i="24"/>
  <c r="BV223" i="24" s="1"/>
  <c r="BU929" i="24"/>
  <c r="BW223" i="24" s="1"/>
  <c r="BV929" i="24"/>
  <c r="BX223" i="24" s="1"/>
  <c r="BW929" i="24"/>
  <c r="BY223" i="24" s="1"/>
  <c r="BX929" i="24"/>
  <c r="BZ223" i="24" s="1"/>
  <c r="BY929" i="24"/>
  <c r="CA223" i="24" s="1"/>
  <c r="BZ929" i="24"/>
  <c r="CB223" i="24" s="1"/>
  <c r="CA929" i="24"/>
  <c r="CC223" i="24" s="1"/>
  <c r="CB929" i="24"/>
  <c r="CD223" i="24" s="1"/>
  <c r="CC929" i="24"/>
  <c r="CE223" i="24" s="1"/>
  <c r="CD929" i="24"/>
  <c r="CF223" i="24" s="1"/>
  <c r="B926" i="24"/>
  <c r="C199" i="24" s="1"/>
  <c r="C926" i="24"/>
  <c r="D199" i="24" s="1"/>
  <c r="D926" i="24"/>
  <c r="E199" i="24" s="1"/>
  <c r="E926" i="24"/>
  <c r="F199" i="24" s="1"/>
  <c r="F926" i="24"/>
  <c r="G199" i="24" s="1"/>
  <c r="G926" i="24"/>
  <c r="H199" i="24" s="1"/>
  <c r="H926" i="24"/>
  <c r="I199" i="24" s="1"/>
  <c r="I926" i="24"/>
  <c r="J199" i="24" s="1"/>
  <c r="J926" i="24"/>
  <c r="K199" i="24" s="1"/>
  <c r="K926" i="24"/>
  <c r="L199" i="24" s="1"/>
  <c r="L926" i="24"/>
  <c r="M199" i="24" s="1"/>
  <c r="M926" i="24"/>
  <c r="N199" i="24" s="1"/>
  <c r="N926" i="24"/>
  <c r="O199" i="24" s="1"/>
  <c r="O926" i="24"/>
  <c r="P199" i="24" s="1"/>
  <c r="P926" i="24"/>
  <c r="Q199" i="24" s="1"/>
  <c r="Q926" i="24"/>
  <c r="R199" i="24" s="1"/>
  <c r="R926" i="24"/>
  <c r="S199" i="24" s="1"/>
  <c r="S926" i="24"/>
  <c r="T199" i="24" s="1"/>
  <c r="T926" i="24"/>
  <c r="U199" i="24" s="1"/>
  <c r="U926" i="24"/>
  <c r="V199" i="24" s="1"/>
  <c r="V926" i="24"/>
  <c r="W199" i="24" s="1"/>
  <c r="W926" i="24"/>
  <c r="X199" i="24" s="1"/>
  <c r="X926" i="24"/>
  <c r="Y199" i="24" s="1"/>
  <c r="Y926" i="24"/>
  <c r="Z199" i="24" s="1"/>
  <c r="Z926" i="24"/>
  <c r="AA199" i="24" s="1"/>
  <c r="AA926" i="24"/>
  <c r="AB199" i="24" s="1"/>
  <c r="AB926" i="24"/>
  <c r="AC199" i="24" s="1"/>
  <c r="AC926" i="24"/>
  <c r="AD926" i="24"/>
  <c r="AF199" i="24" s="1"/>
  <c r="AE926" i="24"/>
  <c r="AG199" i="24" s="1"/>
  <c r="AF926" i="24"/>
  <c r="AH199" i="24" s="1"/>
  <c r="AG926" i="24"/>
  <c r="AI199" i="24" s="1"/>
  <c r="AH926" i="24"/>
  <c r="AJ199" i="24" s="1"/>
  <c r="AI925" i="24"/>
  <c r="AK199" i="24" s="1"/>
  <c r="AJ925" i="24"/>
  <c r="AL199" i="24" s="1"/>
  <c r="AK925" i="24"/>
  <c r="AM199" i="24" s="1"/>
  <c r="AL925" i="24"/>
  <c r="AN199" i="24" s="1"/>
  <c r="AM925" i="24"/>
  <c r="AO199" i="24" s="1"/>
  <c r="AN925" i="24"/>
  <c r="AP199" i="24" s="1"/>
  <c r="AO925" i="24"/>
  <c r="AQ199" i="24" s="1"/>
  <c r="AP925" i="24"/>
  <c r="AR199" i="24" s="1"/>
  <c r="AQ925" i="24"/>
  <c r="AS199" i="24" s="1"/>
  <c r="AR925" i="24"/>
  <c r="AT199" i="24" s="1"/>
  <c r="AS925" i="24"/>
  <c r="AU199" i="24" s="1"/>
  <c r="AT925" i="24"/>
  <c r="AV199" i="24" s="1"/>
  <c r="AU925" i="24"/>
  <c r="AW199" i="24" s="1"/>
  <c r="AV925" i="24"/>
  <c r="AX199" i="24" s="1"/>
  <c r="AW925" i="24"/>
  <c r="AY199" i="24" s="1"/>
  <c r="AX925" i="24"/>
  <c r="AZ199" i="24" s="1"/>
  <c r="AY925" i="24"/>
  <c r="BA199" i="24" s="1"/>
  <c r="AZ925" i="24"/>
  <c r="BB199" i="24" s="1"/>
  <c r="BA925" i="24"/>
  <c r="BC199" i="24" s="1"/>
  <c r="BB925" i="24"/>
  <c r="BD199" i="24" s="1"/>
  <c r="BC925" i="24"/>
  <c r="BE199" i="24" s="1"/>
  <c r="BD925" i="24"/>
  <c r="BF199" i="24" s="1"/>
  <c r="BE925" i="24"/>
  <c r="BG199" i="24" s="1"/>
  <c r="BF925" i="24"/>
  <c r="BH199" i="24" s="1"/>
  <c r="BG925" i="24"/>
  <c r="BI199" i="24" s="1"/>
  <c r="BH925" i="24"/>
  <c r="BJ199" i="24" s="1"/>
  <c r="BI925" i="24"/>
  <c r="BK199" i="24" s="1"/>
  <c r="BJ925" i="24"/>
  <c r="BL199" i="24" s="1"/>
  <c r="BK925" i="24"/>
  <c r="BM199" i="24" s="1"/>
  <c r="BL925" i="24"/>
  <c r="BN199" i="24" s="1"/>
  <c r="BM925" i="24"/>
  <c r="BO199" i="24" s="1"/>
  <c r="BN925" i="24"/>
  <c r="BP199" i="24" s="1"/>
  <c r="BO925" i="24"/>
  <c r="BQ199" i="24" s="1"/>
  <c r="BP925" i="24"/>
  <c r="BR199" i="24" s="1"/>
  <c r="BQ925" i="24"/>
  <c r="BS199" i="24" s="1"/>
  <c r="BR925" i="24"/>
  <c r="BT199" i="24" s="1"/>
  <c r="BS925" i="24"/>
  <c r="BU199" i="24" s="1"/>
  <c r="BT925" i="24"/>
  <c r="BV199" i="24" s="1"/>
  <c r="BU925" i="24"/>
  <c r="BW199" i="24" s="1"/>
  <c r="BV925" i="24"/>
  <c r="BX199" i="24" s="1"/>
  <c r="BW925" i="24"/>
  <c r="BY199" i="24" s="1"/>
  <c r="BX925" i="24"/>
  <c r="BZ199" i="24" s="1"/>
  <c r="BY925" i="24"/>
  <c r="CA199" i="24" s="1"/>
  <c r="BZ925" i="24"/>
  <c r="CB199" i="24" s="1"/>
  <c r="CA925" i="24"/>
  <c r="CC199" i="24" s="1"/>
  <c r="CB925" i="24"/>
  <c r="CD199" i="24" s="1"/>
  <c r="CC925" i="24"/>
  <c r="CE199" i="24" s="1"/>
  <c r="CD925" i="24"/>
  <c r="CF199" i="24" s="1"/>
  <c r="B927" i="24"/>
  <c r="C202" i="24" s="1"/>
  <c r="C927" i="24"/>
  <c r="D202" i="24" s="1"/>
  <c r="D927" i="24"/>
  <c r="E202" i="24" s="1"/>
  <c r="E927" i="24"/>
  <c r="F202" i="24" s="1"/>
  <c r="F927" i="24"/>
  <c r="G202" i="24" s="1"/>
  <c r="G927" i="24"/>
  <c r="H202" i="24" s="1"/>
  <c r="H927" i="24"/>
  <c r="I202" i="24" s="1"/>
  <c r="I927" i="24"/>
  <c r="J202" i="24" s="1"/>
  <c r="J927" i="24"/>
  <c r="K202" i="24" s="1"/>
  <c r="K927" i="24"/>
  <c r="L202" i="24" s="1"/>
  <c r="L927" i="24"/>
  <c r="M202" i="24" s="1"/>
  <c r="M927" i="24"/>
  <c r="N202" i="24" s="1"/>
  <c r="N927" i="24"/>
  <c r="O202" i="24" s="1"/>
  <c r="O927" i="24"/>
  <c r="P202" i="24" s="1"/>
  <c r="P927" i="24"/>
  <c r="Q202" i="24" s="1"/>
  <c r="Q927" i="24"/>
  <c r="R202" i="24" s="1"/>
  <c r="R927" i="24"/>
  <c r="S202" i="24" s="1"/>
  <c r="S927" i="24"/>
  <c r="T202" i="24" s="1"/>
  <c r="T927" i="24"/>
  <c r="U202" i="24" s="1"/>
  <c r="U927" i="24"/>
  <c r="V202" i="24" s="1"/>
  <c r="V927" i="24"/>
  <c r="W202" i="24" s="1"/>
  <c r="W927" i="24"/>
  <c r="X202" i="24" s="1"/>
  <c r="X927" i="24"/>
  <c r="Y202" i="24" s="1"/>
  <c r="Y927" i="24"/>
  <c r="Z202" i="24" s="1"/>
  <c r="Z927" i="24"/>
  <c r="AA202" i="24" s="1"/>
  <c r="AA927" i="24"/>
  <c r="AB202" i="24" s="1"/>
  <c r="AB927" i="24"/>
  <c r="AC202" i="24" s="1"/>
  <c r="AC927" i="24"/>
  <c r="AD927" i="24"/>
  <c r="AF202" i="24" s="1"/>
  <c r="AE927" i="24"/>
  <c r="AG202" i="24" s="1"/>
  <c r="AF927" i="24"/>
  <c r="AH202" i="24" s="1"/>
  <c r="AG927" i="24"/>
  <c r="AI202" i="24" s="1"/>
  <c r="AH927" i="24"/>
  <c r="AJ202" i="24" s="1"/>
  <c r="AI926" i="24"/>
  <c r="AK202" i="24" s="1"/>
  <c r="AJ926" i="24"/>
  <c r="AL202" i="24" s="1"/>
  <c r="AK926" i="24"/>
  <c r="AM202" i="24" s="1"/>
  <c r="AL926" i="24"/>
  <c r="AN202" i="24" s="1"/>
  <c r="AM926" i="24"/>
  <c r="AO202" i="24" s="1"/>
  <c r="AN926" i="24"/>
  <c r="AP202" i="24" s="1"/>
  <c r="AO926" i="24"/>
  <c r="AQ202" i="24" s="1"/>
  <c r="AP926" i="24"/>
  <c r="AR202" i="24" s="1"/>
  <c r="AQ926" i="24"/>
  <c r="AS202" i="24" s="1"/>
  <c r="AR926" i="24"/>
  <c r="AT202" i="24" s="1"/>
  <c r="AS926" i="24"/>
  <c r="AU202" i="24" s="1"/>
  <c r="AT926" i="24"/>
  <c r="AV202" i="24" s="1"/>
  <c r="AU926" i="24"/>
  <c r="AW202" i="24" s="1"/>
  <c r="AV926" i="24"/>
  <c r="AX202" i="24" s="1"/>
  <c r="AW926" i="24"/>
  <c r="AY202" i="24" s="1"/>
  <c r="AX926" i="24"/>
  <c r="AZ202" i="24" s="1"/>
  <c r="AY926" i="24"/>
  <c r="BA202" i="24" s="1"/>
  <c r="AZ926" i="24"/>
  <c r="BB202" i="24" s="1"/>
  <c r="BA926" i="24"/>
  <c r="BC202" i="24" s="1"/>
  <c r="BB926" i="24"/>
  <c r="BD202" i="24" s="1"/>
  <c r="BC926" i="24"/>
  <c r="BE202" i="24" s="1"/>
  <c r="BD926" i="24"/>
  <c r="BF202" i="24" s="1"/>
  <c r="BE926" i="24"/>
  <c r="BG202" i="24" s="1"/>
  <c r="BF926" i="24"/>
  <c r="BH202" i="24" s="1"/>
  <c r="BG926" i="24"/>
  <c r="BI202" i="24" s="1"/>
  <c r="BH926" i="24"/>
  <c r="BJ202" i="24" s="1"/>
  <c r="BI926" i="24"/>
  <c r="BK202" i="24" s="1"/>
  <c r="BJ926" i="24"/>
  <c r="BL202" i="24" s="1"/>
  <c r="BK926" i="24"/>
  <c r="BM202" i="24" s="1"/>
  <c r="BL926" i="24"/>
  <c r="BN202" i="24" s="1"/>
  <c r="BM926" i="24"/>
  <c r="BO202" i="24" s="1"/>
  <c r="BN926" i="24"/>
  <c r="BP202" i="24" s="1"/>
  <c r="BO926" i="24"/>
  <c r="BQ202" i="24" s="1"/>
  <c r="BP926" i="24"/>
  <c r="BR202" i="24" s="1"/>
  <c r="BQ926" i="24"/>
  <c r="BS202" i="24" s="1"/>
  <c r="BR926" i="24"/>
  <c r="BT202" i="24" s="1"/>
  <c r="BS926" i="24"/>
  <c r="BU202" i="24" s="1"/>
  <c r="BT926" i="24"/>
  <c r="BV202" i="24" s="1"/>
  <c r="BU926" i="24"/>
  <c r="BW202" i="24" s="1"/>
  <c r="BV926" i="24"/>
  <c r="BX202" i="24" s="1"/>
  <c r="BW926" i="24"/>
  <c r="BY202" i="24" s="1"/>
  <c r="BX926" i="24"/>
  <c r="BZ202" i="24" s="1"/>
  <c r="BY926" i="24"/>
  <c r="CA202" i="24" s="1"/>
  <c r="BZ926" i="24"/>
  <c r="CB202" i="24" s="1"/>
  <c r="CA926" i="24"/>
  <c r="CC202" i="24" s="1"/>
  <c r="CB926" i="24"/>
  <c r="CD202" i="24" s="1"/>
  <c r="CC926" i="24"/>
  <c r="CE202" i="24" s="1"/>
  <c r="CD926" i="24"/>
  <c r="CF202" i="24" s="1"/>
  <c r="B928" i="24"/>
  <c r="C208" i="24" s="1"/>
  <c r="C928" i="24"/>
  <c r="D208" i="24" s="1"/>
  <c r="D928" i="24"/>
  <c r="E208" i="24" s="1"/>
  <c r="E928" i="24"/>
  <c r="F208" i="24" s="1"/>
  <c r="F928" i="24"/>
  <c r="G208" i="24" s="1"/>
  <c r="G928" i="24"/>
  <c r="H208" i="24" s="1"/>
  <c r="H928" i="24"/>
  <c r="I208" i="24" s="1"/>
  <c r="I928" i="24"/>
  <c r="J208" i="24" s="1"/>
  <c r="J928" i="24"/>
  <c r="K208" i="24" s="1"/>
  <c r="K928" i="24"/>
  <c r="L208" i="24" s="1"/>
  <c r="L928" i="24"/>
  <c r="M208" i="24" s="1"/>
  <c r="M928" i="24"/>
  <c r="N208" i="24" s="1"/>
  <c r="N928" i="24"/>
  <c r="O208" i="24" s="1"/>
  <c r="O928" i="24"/>
  <c r="P208" i="24" s="1"/>
  <c r="P928" i="24"/>
  <c r="Q208" i="24" s="1"/>
  <c r="Q928" i="24"/>
  <c r="R208" i="24" s="1"/>
  <c r="R928" i="24"/>
  <c r="S208" i="24" s="1"/>
  <c r="S928" i="24"/>
  <c r="T208" i="24" s="1"/>
  <c r="T928" i="24"/>
  <c r="U208" i="24" s="1"/>
  <c r="U928" i="24"/>
  <c r="V208" i="24" s="1"/>
  <c r="V928" i="24"/>
  <c r="W208" i="24" s="1"/>
  <c r="W928" i="24"/>
  <c r="X208" i="24" s="1"/>
  <c r="X928" i="24"/>
  <c r="Y208" i="24" s="1"/>
  <c r="Y928" i="24"/>
  <c r="Z208" i="24" s="1"/>
  <c r="Z928" i="24"/>
  <c r="AA208" i="24" s="1"/>
  <c r="AA928" i="24"/>
  <c r="AB208" i="24" s="1"/>
  <c r="AB928" i="24"/>
  <c r="AC208" i="24" s="1"/>
  <c r="AC928" i="24"/>
  <c r="AD928" i="24"/>
  <c r="AF208" i="24" s="1"/>
  <c r="AE928" i="24"/>
  <c r="AG208" i="24" s="1"/>
  <c r="AF928" i="24"/>
  <c r="AH208" i="24" s="1"/>
  <c r="AG928" i="24"/>
  <c r="AI208" i="24" s="1"/>
  <c r="AH928" i="24"/>
  <c r="AJ208" i="24" s="1"/>
  <c r="AI927" i="24"/>
  <c r="AK208" i="24" s="1"/>
  <c r="AJ927" i="24"/>
  <c r="AL208" i="24" s="1"/>
  <c r="AK927" i="24"/>
  <c r="AM208" i="24" s="1"/>
  <c r="AL927" i="24"/>
  <c r="AN208" i="24" s="1"/>
  <c r="AM927" i="24"/>
  <c r="AO208" i="24" s="1"/>
  <c r="AN927" i="24"/>
  <c r="AP208" i="24" s="1"/>
  <c r="AO927" i="24"/>
  <c r="AQ208" i="24" s="1"/>
  <c r="AP927" i="24"/>
  <c r="AR208" i="24" s="1"/>
  <c r="AQ927" i="24"/>
  <c r="AS208" i="24" s="1"/>
  <c r="AR927" i="24"/>
  <c r="AT208" i="24" s="1"/>
  <c r="AS927" i="24"/>
  <c r="AU208" i="24" s="1"/>
  <c r="AT927" i="24"/>
  <c r="AV208" i="24" s="1"/>
  <c r="AU927" i="24"/>
  <c r="AW208" i="24" s="1"/>
  <c r="AV927" i="24"/>
  <c r="AX208" i="24" s="1"/>
  <c r="AW927" i="24"/>
  <c r="AY208" i="24" s="1"/>
  <c r="AX927" i="24"/>
  <c r="AZ208" i="24" s="1"/>
  <c r="AY927" i="24"/>
  <c r="BA208" i="24" s="1"/>
  <c r="AZ927" i="24"/>
  <c r="BB208" i="24" s="1"/>
  <c r="BA927" i="24"/>
  <c r="BC208" i="24" s="1"/>
  <c r="BB927" i="24"/>
  <c r="BD208" i="24" s="1"/>
  <c r="BC927" i="24"/>
  <c r="BE208" i="24" s="1"/>
  <c r="BD927" i="24"/>
  <c r="BF208" i="24" s="1"/>
  <c r="BE927" i="24"/>
  <c r="BG208" i="24" s="1"/>
  <c r="BF927" i="24"/>
  <c r="BH208" i="24" s="1"/>
  <c r="BG927" i="24"/>
  <c r="BI208" i="24" s="1"/>
  <c r="BH927" i="24"/>
  <c r="BJ208" i="24" s="1"/>
  <c r="BI927" i="24"/>
  <c r="BK208" i="24" s="1"/>
  <c r="BJ927" i="24"/>
  <c r="BL208" i="24" s="1"/>
  <c r="BK927" i="24"/>
  <c r="BM208" i="24" s="1"/>
  <c r="BL927" i="24"/>
  <c r="BN208" i="24" s="1"/>
  <c r="BM927" i="24"/>
  <c r="BO208" i="24" s="1"/>
  <c r="BN927" i="24"/>
  <c r="BP208" i="24" s="1"/>
  <c r="BO927" i="24"/>
  <c r="BQ208" i="24" s="1"/>
  <c r="BP927" i="24"/>
  <c r="BR208" i="24" s="1"/>
  <c r="BQ927" i="24"/>
  <c r="BS208" i="24" s="1"/>
  <c r="BR927" i="24"/>
  <c r="BT208" i="24" s="1"/>
  <c r="BS927" i="24"/>
  <c r="BU208" i="24" s="1"/>
  <c r="BT927" i="24"/>
  <c r="BV208" i="24" s="1"/>
  <c r="BU927" i="24"/>
  <c r="BW208" i="24" s="1"/>
  <c r="BV927" i="24"/>
  <c r="BX208" i="24" s="1"/>
  <c r="BW927" i="24"/>
  <c r="BY208" i="24" s="1"/>
  <c r="BX927" i="24"/>
  <c r="BZ208" i="24" s="1"/>
  <c r="BY927" i="24"/>
  <c r="CA208" i="24" s="1"/>
  <c r="BZ927" i="24"/>
  <c r="CB208" i="24" s="1"/>
  <c r="CA927" i="24"/>
  <c r="CC208" i="24" s="1"/>
  <c r="CB927" i="24"/>
  <c r="CD208" i="24" s="1"/>
  <c r="CC927" i="24"/>
  <c r="CE208" i="24" s="1"/>
  <c r="CD927" i="24"/>
  <c r="CF208" i="24" s="1"/>
  <c r="B929" i="24"/>
  <c r="C212" i="24" s="1"/>
  <c r="C929" i="24"/>
  <c r="D212" i="24" s="1"/>
  <c r="D929" i="24"/>
  <c r="E212" i="24" s="1"/>
  <c r="E929" i="24"/>
  <c r="F212" i="24" s="1"/>
  <c r="F929" i="24"/>
  <c r="G212" i="24" s="1"/>
  <c r="G929" i="24"/>
  <c r="H212" i="24" s="1"/>
  <c r="H929" i="24"/>
  <c r="I212" i="24" s="1"/>
  <c r="I929" i="24"/>
  <c r="J212" i="24" s="1"/>
  <c r="J929" i="24"/>
  <c r="K212" i="24" s="1"/>
  <c r="K929" i="24"/>
  <c r="L212" i="24" s="1"/>
  <c r="L929" i="24"/>
  <c r="M212" i="24" s="1"/>
  <c r="M929" i="24"/>
  <c r="N212" i="24" s="1"/>
  <c r="N929" i="24"/>
  <c r="O212" i="24" s="1"/>
  <c r="O929" i="24"/>
  <c r="P212" i="24" s="1"/>
  <c r="P929" i="24"/>
  <c r="Q212" i="24" s="1"/>
  <c r="Q929" i="24"/>
  <c r="R212" i="24" s="1"/>
  <c r="R929" i="24"/>
  <c r="S212" i="24" s="1"/>
  <c r="S929" i="24"/>
  <c r="T212" i="24" s="1"/>
  <c r="T929" i="24"/>
  <c r="U212" i="24" s="1"/>
  <c r="U929" i="24"/>
  <c r="V212" i="24" s="1"/>
  <c r="V929" i="24"/>
  <c r="W212" i="24" s="1"/>
  <c r="W929" i="24"/>
  <c r="X212" i="24" s="1"/>
  <c r="X929" i="24"/>
  <c r="Y212" i="24" s="1"/>
  <c r="Y929" i="24"/>
  <c r="Z212" i="24" s="1"/>
  <c r="Z929" i="24"/>
  <c r="AA212" i="24" s="1"/>
  <c r="AA929" i="24"/>
  <c r="AB212" i="24" s="1"/>
  <c r="AB929" i="24"/>
  <c r="AC212" i="24" s="1"/>
  <c r="AC929" i="24"/>
  <c r="AD929" i="24"/>
  <c r="AF212" i="24" s="1"/>
  <c r="AE929" i="24"/>
  <c r="AG212" i="24" s="1"/>
  <c r="AF929" i="24"/>
  <c r="AH212" i="24" s="1"/>
  <c r="AG929" i="24"/>
  <c r="AI212" i="24" s="1"/>
  <c r="AH929" i="24"/>
  <c r="AJ212" i="24" s="1"/>
  <c r="AI928" i="24"/>
  <c r="AK212" i="24" s="1"/>
  <c r="AJ928" i="24"/>
  <c r="AL212" i="24" s="1"/>
  <c r="AK928" i="24"/>
  <c r="AM212" i="24" s="1"/>
  <c r="AL928" i="24"/>
  <c r="AN212" i="24" s="1"/>
  <c r="AM928" i="24"/>
  <c r="AO212" i="24" s="1"/>
  <c r="AN928" i="24"/>
  <c r="AP212" i="24" s="1"/>
  <c r="AO928" i="24"/>
  <c r="AQ212" i="24" s="1"/>
  <c r="AP928" i="24"/>
  <c r="AR212" i="24" s="1"/>
  <c r="AQ928" i="24"/>
  <c r="AS212" i="24" s="1"/>
  <c r="AR928" i="24"/>
  <c r="AT212" i="24" s="1"/>
  <c r="AS928" i="24"/>
  <c r="AU212" i="24" s="1"/>
  <c r="AT928" i="24"/>
  <c r="AV212" i="24" s="1"/>
  <c r="AU928" i="24"/>
  <c r="AW212" i="24" s="1"/>
  <c r="AV928" i="24"/>
  <c r="AX212" i="24" s="1"/>
  <c r="AW928" i="24"/>
  <c r="AY212" i="24" s="1"/>
  <c r="AX928" i="24"/>
  <c r="AZ212" i="24" s="1"/>
  <c r="AY928" i="24"/>
  <c r="BA212" i="24" s="1"/>
  <c r="AZ928" i="24"/>
  <c r="BB212" i="24" s="1"/>
  <c r="BA928" i="24"/>
  <c r="BC212" i="24" s="1"/>
  <c r="BB928" i="24"/>
  <c r="BD212" i="24" s="1"/>
  <c r="BC928" i="24"/>
  <c r="BE212" i="24" s="1"/>
  <c r="BD928" i="24"/>
  <c r="BF212" i="24" s="1"/>
  <c r="BE928" i="24"/>
  <c r="BG212" i="24" s="1"/>
  <c r="BF928" i="24"/>
  <c r="BH212" i="24" s="1"/>
  <c r="BG928" i="24"/>
  <c r="BI212" i="24" s="1"/>
  <c r="BH928" i="24"/>
  <c r="BJ212" i="24" s="1"/>
  <c r="BI928" i="24"/>
  <c r="BK212" i="24" s="1"/>
  <c r="BJ928" i="24"/>
  <c r="BL212" i="24" s="1"/>
  <c r="BK928" i="24"/>
  <c r="BM212" i="24" s="1"/>
  <c r="BL928" i="24"/>
  <c r="BN212" i="24" s="1"/>
  <c r="BM928" i="24"/>
  <c r="BO212" i="24" s="1"/>
  <c r="BN928" i="24"/>
  <c r="BP212" i="24" s="1"/>
  <c r="BO928" i="24"/>
  <c r="BQ212" i="24" s="1"/>
  <c r="BP928" i="24"/>
  <c r="BR212" i="24" s="1"/>
  <c r="BQ928" i="24"/>
  <c r="BS212" i="24" s="1"/>
  <c r="BR928" i="24"/>
  <c r="BT212" i="24" s="1"/>
  <c r="BS928" i="24"/>
  <c r="BU212" i="24" s="1"/>
  <c r="BT928" i="24"/>
  <c r="BV212" i="24" s="1"/>
  <c r="BU928" i="24"/>
  <c r="BW212" i="24" s="1"/>
  <c r="BV928" i="24"/>
  <c r="BX212" i="24" s="1"/>
  <c r="BW928" i="24"/>
  <c r="BY212" i="24" s="1"/>
  <c r="BX928" i="24"/>
  <c r="BZ212" i="24" s="1"/>
  <c r="BY928" i="24"/>
  <c r="CA212" i="24" s="1"/>
  <c r="BZ928" i="24"/>
  <c r="CB212" i="24" s="1"/>
  <c r="CA928" i="24"/>
  <c r="CC212" i="24" s="1"/>
  <c r="CB928" i="24"/>
  <c r="CD212" i="24" s="1"/>
  <c r="CC928" i="24"/>
  <c r="CE212" i="24" s="1"/>
  <c r="CD928" i="24"/>
  <c r="CF212" i="24" s="1"/>
  <c r="B906" i="24"/>
  <c r="C143" i="24" s="1"/>
  <c r="C906" i="24"/>
  <c r="D143" i="24" s="1"/>
  <c r="D906" i="24"/>
  <c r="E143" i="24" s="1"/>
  <c r="E906" i="24"/>
  <c r="F143" i="24" s="1"/>
  <c r="F906" i="24"/>
  <c r="G143" i="24" s="1"/>
  <c r="G906" i="24"/>
  <c r="H143" i="24" s="1"/>
  <c r="H906" i="24"/>
  <c r="I143" i="24" s="1"/>
  <c r="I906" i="24"/>
  <c r="J143" i="24" s="1"/>
  <c r="J906" i="24"/>
  <c r="K143" i="24" s="1"/>
  <c r="K906" i="24"/>
  <c r="L143" i="24" s="1"/>
  <c r="L906" i="24"/>
  <c r="M143" i="24" s="1"/>
  <c r="M906" i="24"/>
  <c r="N143" i="24" s="1"/>
  <c r="N906" i="24"/>
  <c r="O143" i="24" s="1"/>
  <c r="O906" i="24"/>
  <c r="P143" i="24" s="1"/>
  <c r="P906" i="24"/>
  <c r="Q143" i="24" s="1"/>
  <c r="Q906" i="24"/>
  <c r="R143" i="24" s="1"/>
  <c r="R906" i="24"/>
  <c r="S143" i="24" s="1"/>
  <c r="S906" i="24"/>
  <c r="T143" i="24" s="1"/>
  <c r="T906" i="24"/>
  <c r="U143" i="24" s="1"/>
  <c r="U906" i="24"/>
  <c r="V143" i="24" s="1"/>
  <c r="V906" i="24"/>
  <c r="W143" i="24" s="1"/>
  <c r="W906" i="24"/>
  <c r="X143" i="24" s="1"/>
  <c r="X906" i="24"/>
  <c r="Y143" i="24" s="1"/>
  <c r="Y906" i="24"/>
  <c r="Z143" i="24" s="1"/>
  <c r="Z906" i="24"/>
  <c r="AA143" i="24" s="1"/>
  <c r="AA906" i="24"/>
  <c r="AB143" i="24" s="1"/>
  <c r="AB906" i="24"/>
  <c r="AC143" i="24" s="1"/>
  <c r="AC906" i="24"/>
  <c r="AD906" i="24"/>
  <c r="AF143" i="24" s="1"/>
  <c r="AE906" i="24"/>
  <c r="AG143" i="24" s="1"/>
  <c r="AF906" i="24"/>
  <c r="AH143" i="24" s="1"/>
  <c r="AG906" i="24"/>
  <c r="AI143" i="24" s="1"/>
  <c r="AH906" i="24"/>
  <c r="AJ143" i="24" s="1"/>
  <c r="AI905" i="24"/>
  <c r="AK143" i="24" s="1"/>
  <c r="AJ905" i="24"/>
  <c r="AL143" i="24" s="1"/>
  <c r="AK905" i="24"/>
  <c r="AM143" i="24" s="1"/>
  <c r="AL905" i="24"/>
  <c r="AN143" i="24" s="1"/>
  <c r="AM905" i="24"/>
  <c r="AO143" i="24" s="1"/>
  <c r="AN905" i="24"/>
  <c r="AP143" i="24" s="1"/>
  <c r="AO905" i="24"/>
  <c r="AQ143" i="24" s="1"/>
  <c r="AP905" i="24"/>
  <c r="AR143" i="24" s="1"/>
  <c r="AQ905" i="24"/>
  <c r="AS143" i="24" s="1"/>
  <c r="AR905" i="24"/>
  <c r="AT143" i="24" s="1"/>
  <c r="AS905" i="24"/>
  <c r="AU143" i="24" s="1"/>
  <c r="AT905" i="24"/>
  <c r="AV143" i="24" s="1"/>
  <c r="AU905" i="24"/>
  <c r="AW143" i="24" s="1"/>
  <c r="AV905" i="24"/>
  <c r="AX143" i="24" s="1"/>
  <c r="AW905" i="24"/>
  <c r="AY143" i="24" s="1"/>
  <c r="AX905" i="24"/>
  <c r="AZ143" i="24" s="1"/>
  <c r="AY905" i="24"/>
  <c r="BA143" i="24" s="1"/>
  <c r="AZ905" i="24"/>
  <c r="BB143" i="24" s="1"/>
  <c r="BA905" i="24"/>
  <c r="BC143" i="24" s="1"/>
  <c r="BB905" i="24"/>
  <c r="BD143" i="24" s="1"/>
  <c r="BC905" i="24"/>
  <c r="BE143" i="24" s="1"/>
  <c r="BD905" i="24"/>
  <c r="BF143" i="24" s="1"/>
  <c r="BE905" i="24"/>
  <c r="BG143" i="24" s="1"/>
  <c r="BF905" i="24"/>
  <c r="BH143" i="24" s="1"/>
  <c r="BG905" i="24"/>
  <c r="BI143" i="24" s="1"/>
  <c r="BH905" i="24"/>
  <c r="BJ143" i="24" s="1"/>
  <c r="BI905" i="24"/>
  <c r="BK143" i="24" s="1"/>
  <c r="BJ905" i="24"/>
  <c r="BL143" i="24" s="1"/>
  <c r="BK905" i="24"/>
  <c r="BM143" i="24" s="1"/>
  <c r="BL905" i="24"/>
  <c r="BN143" i="24" s="1"/>
  <c r="BM905" i="24"/>
  <c r="BO143" i="24" s="1"/>
  <c r="BN905" i="24"/>
  <c r="BP143" i="24" s="1"/>
  <c r="BO905" i="24"/>
  <c r="BQ143" i="24" s="1"/>
  <c r="BP905" i="24"/>
  <c r="BR143" i="24" s="1"/>
  <c r="BQ905" i="24"/>
  <c r="BS143" i="24" s="1"/>
  <c r="BR905" i="24"/>
  <c r="BT143" i="24" s="1"/>
  <c r="BS905" i="24"/>
  <c r="BU143" i="24" s="1"/>
  <c r="BT905" i="24"/>
  <c r="BV143" i="24" s="1"/>
  <c r="BU905" i="24"/>
  <c r="BW143" i="24" s="1"/>
  <c r="BV905" i="24"/>
  <c r="BX143" i="24" s="1"/>
  <c r="BW905" i="24"/>
  <c r="BY143" i="24" s="1"/>
  <c r="BX905" i="24"/>
  <c r="BZ143" i="24" s="1"/>
  <c r="BY905" i="24"/>
  <c r="CA143" i="24" s="1"/>
  <c r="BZ905" i="24"/>
  <c r="CB143" i="24" s="1"/>
  <c r="CA905" i="24"/>
  <c r="CC143" i="24" s="1"/>
  <c r="CB905" i="24"/>
  <c r="CD143" i="24" s="1"/>
  <c r="CC905" i="24"/>
  <c r="CE143" i="24" s="1"/>
  <c r="CD905" i="24"/>
  <c r="CF143" i="24" s="1"/>
  <c r="B907" i="24"/>
  <c r="C149" i="24" s="1"/>
  <c r="C907" i="24"/>
  <c r="D149" i="24" s="1"/>
  <c r="D907" i="24"/>
  <c r="E149" i="24" s="1"/>
  <c r="E907" i="24"/>
  <c r="F149" i="24" s="1"/>
  <c r="F907" i="24"/>
  <c r="G149" i="24" s="1"/>
  <c r="G907" i="24"/>
  <c r="H149" i="24" s="1"/>
  <c r="H907" i="24"/>
  <c r="I149" i="24" s="1"/>
  <c r="I907" i="24"/>
  <c r="J149" i="24" s="1"/>
  <c r="J907" i="24"/>
  <c r="K149" i="24" s="1"/>
  <c r="K907" i="24"/>
  <c r="L149" i="24" s="1"/>
  <c r="L907" i="24"/>
  <c r="M149" i="24" s="1"/>
  <c r="M907" i="24"/>
  <c r="N149" i="24" s="1"/>
  <c r="N907" i="24"/>
  <c r="O149" i="24" s="1"/>
  <c r="O907" i="24"/>
  <c r="P149" i="24" s="1"/>
  <c r="P907" i="24"/>
  <c r="Q149" i="24" s="1"/>
  <c r="Q907" i="24"/>
  <c r="R149" i="24" s="1"/>
  <c r="R907" i="24"/>
  <c r="S149" i="24" s="1"/>
  <c r="S907" i="24"/>
  <c r="T149" i="24" s="1"/>
  <c r="T907" i="24"/>
  <c r="U149" i="24" s="1"/>
  <c r="U907" i="24"/>
  <c r="V149" i="24" s="1"/>
  <c r="V907" i="24"/>
  <c r="W149" i="24" s="1"/>
  <c r="W907" i="24"/>
  <c r="X149" i="24" s="1"/>
  <c r="X907" i="24"/>
  <c r="Y149" i="24" s="1"/>
  <c r="Y907" i="24"/>
  <c r="Z149" i="24" s="1"/>
  <c r="Z907" i="24"/>
  <c r="AA149" i="24" s="1"/>
  <c r="AA907" i="24"/>
  <c r="AB149" i="24" s="1"/>
  <c r="AB907" i="24"/>
  <c r="AC149" i="24" s="1"/>
  <c r="AC907" i="24"/>
  <c r="AD907" i="24"/>
  <c r="AF149" i="24" s="1"/>
  <c r="AE907" i="24"/>
  <c r="AG149" i="24" s="1"/>
  <c r="AF907" i="24"/>
  <c r="AH149" i="24" s="1"/>
  <c r="AG907" i="24"/>
  <c r="AI149" i="24" s="1"/>
  <c r="AH907" i="24"/>
  <c r="AJ149" i="24" s="1"/>
  <c r="AI906" i="24"/>
  <c r="AK149" i="24" s="1"/>
  <c r="AJ906" i="24"/>
  <c r="AL149" i="24" s="1"/>
  <c r="AK906" i="24"/>
  <c r="AM149" i="24" s="1"/>
  <c r="AL906" i="24"/>
  <c r="AN149" i="24" s="1"/>
  <c r="AM906" i="24"/>
  <c r="AO149" i="24" s="1"/>
  <c r="AN906" i="24"/>
  <c r="AP149" i="24" s="1"/>
  <c r="AO906" i="24"/>
  <c r="AQ149" i="24" s="1"/>
  <c r="AP906" i="24"/>
  <c r="AR149" i="24" s="1"/>
  <c r="AQ906" i="24"/>
  <c r="AS149" i="24" s="1"/>
  <c r="AR906" i="24"/>
  <c r="AT149" i="24" s="1"/>
  <c r="AS906" i="24"/>
  <c r="AU149" i="24" s="1"/>
  <c r="AT906" i="24"/>
  <c r="AV149" i="24" s="1"/>
  <c r="AU906" i="24"/>
  <c r="AW149" i="24" s="1"/>
  <c r="AV906" i="24"/>
  <c r="AX149" i="24" s="1"/>
  <c r="AW906" i="24"/>
  <c r="AY149" i="24" s="1"/>
  <c r="AX906" i="24"/>
  <c r="AZ149" i="24" s="1"/>
  <c r="AY906" i="24"/>
  <c r="BA149" i="24" s="1"/>
  <c r="AZ906" i="24"/>
  <c r="BB149" i="24" s="1"/>
  <c r="BA906" i="24"/>
  <c r="BC149" i="24" s="1"/>
  <c r="BB906" i="24"/>
  <c r="BD149" i="24" s="1"/>
  <c r="BC906" i="24"/>
  <c r="BE149" i="24" s="1"/>
  <c r="BD906" i="24"/>
  <c r="BF149" i="24" s="1"/>
  <c r="BE906" i="24"/>
  <c r="BG149" i="24" s="1"/>
  <c r="BF906" i="24"/>
  <c r="BH149" i="24" s="1"/>
  <c r="BG906" i="24"/>
  <c r="BI149" i="24" s="1"/>
  <c r="BH906" i="24"/>
  <c r="BJ149" i="24" s="1"/>
  <c r="BI906" i="24"/>
  <c r="BK149" i="24" s="1"/>
  <c r="BJ906" i="24"/>
  <c r="BL149" i="24" s="1"/>
  <c r="BK906" i="24"/>
  <c r="BM149" i="24" s="1"/>
  <c r="BL906" i="24"/>
  <c r="BN149" i="24" s="1"/>
  <c r="BM906" i="24"/>
  <c r="BO149" i="24" s="1"/>
  <c r="BN906" i="24"/>
  <c r="BP149" i="24" s="1"/>
  <c r="BO906" i="24"/>
  <c r="BQ149" i="24" s="1"/>
  <c r="BP906" i="24"/>
  <c r="BR149" i="24" s="1"/>
  <c r="BQ906" i="24"/>
  <c r="BS149" i="24" s="1"/>
  <c r="BR906" i="24"/>
  <c r="BT149" i="24" s="1"/>
  <c r="BS906" i="24"/>
  <c r="BU149" i="24" s="1"/>
  <c r="BT906" i="24"/>
  <c r="BV149" i="24" s="1"/>
  <c r="BU906" i="24"/>
  <c r="BW149" i="24" s="1"/>
  <c r="BV906" i="24"/>
  <c r="BX149" i="24" s="1"/>
  <c r="BW906" i="24"/>
  <c r="BY149" i="24" s="1"/>
  <c r="BX906" i="24"/>
  <c r="BZ149" i="24" s="1"/>
  <c r="BY906" i="24"/>
  <c r="CA149" i="24" s="1"/>
  <c r="BZ906" i="24"/>
  <c r="CB149" i="24" s="1"/>
  <c r="CA906" i="24"/>
  <c r="CC149" i="24" s="1"/>
  <c r="CB906" i="24"/>
  <c r="CD149" i="24" s="1"/>
  <c r="CC906" i="24"/>
  <c r="CE149" i="24" s="1"/>
  <c r="CD906" i="24"/>
  <c r="CF149" i="24" s="1"/>
  <c r="B908" i="24"/>
  <c r="C150" i="24" s="1"/>
  <c r="C908" i="24"/>
  <c r="D150" i="24" s="1"/>
  <c r="D908" i="24"/>
  <c r="E150" i="24" s="1"/>
  <c r="E908" i="24"/>
  <c r="F150" i="24" s="1"/>
  <c r="F908" i="24"/>
  <c r="G150" i="24" s="1"/>
  <c r="G908" i="24"/>
  <c r="H150" i="24" s="1"/>
  <c r="H908" i="24"/>
  <c r="I150" i="24" s="1"/>
  <c r="I908" i="24"/>
  <c r="J150" i="24" s="1"/>
  <c r="J908" i="24"/>
  <c r="K150" i="24" s="1"/>
  <c r="K908" i="24"/>
  <c r="L150" i="24" s="1"/>
  <c r="L908" i="24"/>
  <c r="M150" i="24" s="1"/>
  <c r="M908" i="24"/>
  <c r="N150" i="24" s="1"/>
  <c r="N908" i="24"/>
  <c r="O150" i="24" s="1"/>
  <c r="O908" i="24"/>
  <c r="P150" i="24" s="1"/>
  <c r="P908" i="24"/>
  <c r="Q150" i="24" s="1"/>
  <c r="Q908" i="24"/>
  <c r="R150" i="24" s="1"/>
  <c r="R908" i="24"/>
  <c r="S150" i="24" s="1"/>
  <c r="S908" i="24"/>
  <c r="T150" i="24" s="1"/>
  <c r="T908" i="24"/>
  <c r="U150" i="24" s="1"/>
  <c r="U908" i="24"/>
  <c r="V150" i="24" s="1"/>
  <c r="V908" i="24"/>
  <c r="W150" i="24" s="1"/>
  <c r="W908" i="24"/>
  <c r="X150" i="24" s="1"/>
  <c r="X908" i="24"/>
  <c r="Y150" i="24" s="1"/>
  <c r="Y908" i="24"/>
  <c r="Z150" i="24" s="1"/>
  <c r="Z908" i="24"/>
  <c r="AA150" i="24" s="1"/>
  <c r="AA908" i="24"/>
  <c r="AB150" i="24" s="1"/>
  <c r="AB908" i="24"/>
  <c r="AC150" i="24" s="1"/>
  <c r="AC908" i="24"/>
  <c r="AD908" i="24"/>
  <c r="AF150" i="24" s="1"/>
  <c r="AE908" i="24"/>
  <c r="AG150" i="24" s="1"/>
  <c r="AF908" i="24"/>
  <c r="AH150" i="24" s="1"/>
  <c r="AG908" i="24"/>
  <c r="AI150" i="24" s="1"/>
  <c r="AH908" i="24"/>
  <c r="AJ150" i="24" s="1"/>
  <c r="AI907" i="24"/>
  <c r="AK150" i="24" s="1"/>
  <c r="AJ907" i="24"/>
  <c r="AL150" i="24" s="1"/>
  <c r="AK907" i="24"/>
  <c r="AM150" i="24" s="1"/>
  <c r="AL907" i="24"/>
  <c r="AN150" i="24" s="1"/>
  <c r="AM907" i="24"/>
  <c r="AO150" i="24" s="1"/>
  <c r="AN907" i="24"/>
  <c r="AP150" i="24" s="1"/>
  <c r="AO907" i="24"/>
  <c r="AQ150" i="24" s="1"/>
  <c r="AP907" i="24"/>
  <c r="AR150" i="24" s="1"/>
  <c r="AQ907" i="24"/>
  <c r="AS150" i="24" s="1"/>
  <c r="AR907" i="24"/>
  <c r="AT150" i="24" s="1"/>
  <c r="AS907" i="24"/>
  <c r="AU150" i="24" s="1"/>
  <c r="AT907" i="24"/>
  <c r="AV150" i="24" s="1"/>
  <c r="AU907" i="24"/>
  <c r="AW150" i="24" s="1"/>
  <c r="AV907" i="24"/>
  <c r="AX150" i="24" s="1"/>
  <c r="AW907" i="24"/>
  <c r="AY150" i="24" s="1"/>
  <c r="AX907" i="24"/>
  <c r="AZ150" i="24" s="1"/>
  <c r="AY907" i="24"/>
  <c r="BA150" i="24" s="1"/>
  <c r="AZ907" i="24"/>
  <c r="BB150" i="24" s="1"/>
  <c r="BA907" i="24"/>
  <c r="BC150" i="24" s="1"/>
  <c r="BB907" i="24"/>
  <c r="BD150" i="24" s="1"/>
  <c r="BC907" i="24"/>
  <c r="BE150" i="24" s="1"/>
  <c r="BD907" i="24"/>
  <c r="BF150" i="24" s="1"/>
  <c r="BE907" i="24"/>
  <c r="BG150" i="24" s="1"/>
  <c r="BF907" i="24"/>
  <c r="BH150" i="24" s="1"/>
  <c r="BG907" i="24"/>
  <c r="BI150" i="24" s="1"/>
  <c r="BH907" i="24"/>
  <c r="BJ150" i="24" s="1"/>
  <c r="BI907" i="24"/>
  <c r="BK150" i="24" s="1"/>
  <c r="BJ907" i="24"/>
  <c r="BL150" i="24" s="1"/>
  <c r="BK907" i="24"/>
  <c r="BM150" i="24" s="1"/>
  <c r="BL907" i="24"/>
  <c r="BN150" i="24" s="1"/>
  <c r="BM907" i="24"/>
  <c r="BO150" i="24" s="1"/>
  <c r="BN907" i="24"/>
  <c r="BP150" i="24" s="1"/>
  <c r="BO907" i="24"/>
  <c r="BQ150" i="24" s="1"/>
  <c r="BP907" i="24"/>
  <c r="BR150" i="24" s="1"/>
  <c r="BQ907" i="24"/>
  <c r="BS150" i="24" s="1"/>
  <c r="BR907" i="24"/>
  <c r="BT150" i="24" s="1"/>
  <c r="BS907" i="24"/>
  <c r="BU150" i="24" s="1"/>
  <c r="BT907" i="24"/>
  <c r="BV150" i="24" s="1"/>
  <c r="BU907" i="24"/>
  <c r="BW150" i="24" s="1"/>
  <c r="BV907" i="24"/>
  <c r="BX150" i="24" s="1"/>
  <c r="BW907" i="24"/>
  <c r="BY150" i="24" s="1"/>
  <c r="BX907" i="24"/>
  <c r="BZ150" i="24" s="1"/>
  <c r="BY907" i="24"/>
  <c r="CA150" i="24" s="1"/>
  <c r="BZ907" i="24"/>
  <c r="CB150" i="24" s="1"/>
  <c r="CA907" i="24"/>
  <c r="CC150" i="24" s="1"/>
  <c r="CB907" i="24"/>
  <c r="CD150" i="24" s="1"/>
  <c r="CC907" i="24"/>
  <c r="CE150" i="24" s="1"/>
  <c r="CD907" i="24"/>
  <c r="CF150" i="24" s="1"/>
  <c r="B909" i="24"/>
  <c r="C151" i="24" s="1"/>
  <c r="C909" i="24"/>
  <c r="D151" i="24" s="1"/>
  <c r="D909" i="24"/>
  <c r="E151" i="24" s="1"/>
  <c r="E909" i="24"/>
  <c r="F151" i="24" s="1"/>
  <c r="F909" i="24"/>
  <c r="G151" i="24" s="1"/>
  <c r="G909" i="24"/>
  <c r="H151" i="24" s="1"/>
  <c r="H909" i="24"/>
  <c r="I151" i="24" s="1"/>
  <c r="I909" i="24"/>
  <c r="J151" i="24" s="1"/>
  <c r="J909" i="24"/>
  <c r="K151" i="24" s="1"/>
  <c r="K909" i="24"/>
  <c r="L151" i="24" s="1"/>
  <c r="L909" i="24"/>
  <c r="M151" i="24" s="1"/>
  <c r="M909" i="24"/>
  <c r="N151" i="24" s="1"/>
  <c r="N909" i="24"/>
  <c r="O151" i="24" s="1"/>
  <c r="O909" i="24"/>
  <c r="P151" i="24" s="1"/>
  <c r="P909" i="24"/>
  <c r="Q151" i="24" s="1"/>
  <c r="Q909" i="24"/>
  <c r="R151" i="24" s="1"/>
  <c r="R909" i="24"/>
  <c r="S151" i="24" s="1"/>
  <c r="S909" i="24"/>
  <c r="T151" i="24" s="1"/>
  <c r="T909" i="24"/>
  <c r="U151" i="24" s="1"/>
  <c r="U909" i="24"/>
  <c r="V151" i="24" s="1"/>
  <c r="V909" i="24"/>
  <c r="W151" i="24" s="1"/>
  <c r="W909" i="24"/>
  <c r="X151" i="24" s="1"/>
  <c r="X909" i="24"/>
  <c r="Y151" i="24" s="1"/>
  <c r="Y909" i="24"/>
  <c r="Z151" i="24" s="1"/>
  <c r="Z909" i="24"/>
  <c r="AA151" i="24" s="1"/>
  <c r="AA909" i="24"/>
  <c r="AB151" i="24" s="1"/>
  <c r="AB909" i="24"/>
  <c r="AC151" i="24" s="1"/>
  <c r="AC909" i="24"/>
  <c r="AD909" i="24"/>
  <c r="AF151" i="24" s="1"/>
  <c r="AE909" i="24"/>
  <c r="AG151" i="24" s="1"/>
  <c r="AF909" i="24"/>
  <c r="AH151" i="24" s="1"/>
  <c r="AG909" i="24"/>
  <c r="AI151" i="24" s="1"/>
  <c r="AH909" i="24"/>
  <c r="AJ151" i="24" s="1"/>
  <c r="AI908" i="24"/>
  <c r="AK151" i="24" s="1"/>
  <c r="AJ908" i="24"/>
  <c r="AL151" i="24" s="1"/>
  <c r="AK908" i="24"/>
  <c r="AM151" i="24" s="1"/>
  <c r="AL908" i="24"/>
  <c r="AN151" i="24" s="1"/>
  <c r="AM908" i="24"/>
  <c r="AO151" i="24" s="1"/>
  <c r="AN908" i="24"/>
  <c r="AP151" i="24" s="1"/>
  <c r="AO908" i="24"/>
  <c r="AQ151" i="24" s="1"/>
  <c r="AP908" i="24"/>
  <c r="AR151" i="24" s="1"/>
  <c r="AQ908" i="24"/>
  <c r="AS151" i="24" s="1"/>
  <c r="AR908" i="24"/>
  <c r="AT151" i="24" s="1"/>
  <c r="AS908" i="24"/>
  <c r="AU151" i="24" s="1"/>
  <c r="AT908" i="24"/>
  <c r="AV151" i="24" s="1"/>
  <c r="AU908" i="24"/>
  <c r="AW151" i="24" s="1"/>
  <c r="AV908" i="24"/>
  <c r="AX151" i="24" s="1"/>
  <c r="AW908" i="24"/>
  <c r="AY151" i="24" s="1"/>
  <c r="AX908" i="24"/>
  <c r="AZ151" i="24" s="1"/>
  <c r="AY908" i="24"/>
  <c r="BA151" i="24" s="1"/>
  <c r="AZ908" i="24"/>
  <c r="BB151" i="24" s="1"/>
  <c r="BA908" i="24"/>
  <c r="BC151" i="24" s="1"/>
  <c r="BB908" i="24"/>
  <c r="BD151" i="24" s="1"/>
  <c r="BC908" i="24"/>
  <c r="BE151" i="24" s="1"/>
  <c r="BD908" i="24"/>
  <c r="BF151" i="24" s="1"/>
  <c r="BE908" i="24"/>
  <c r="BG151" i="24" s="1"/>
  <c r="BF908" i="24"/>
  <c r="BH151" i="24" s="1"/>
  <c r="BG908" i="24"/>
  <c r="BI151" i="24" s="1"/>
  <c r="BH908" i="24"/>
  <c r="BJ151" i="24" s="1"/>
  <c r="BI908" i="24"/>
  <c r="BK151" i="24" s="1"/>
  <c r="BJ908" i="24"/>
  <c r="BL151" i="24" s="1"/>
  <c r="BK908" i="24"/>
  <c r="BM151" i="24" s="1"/>
  <c r="BL908" i="24"/>
  <c r="BN151" i="24" s="1"/>
  <c r="BM908" i="24"/>
  <c r="BO151" i="24" s="1"/>
  <c r="BN908" i="24"/>
  <c r="BP151" i="24" s="1"/>
  <c r="BO908" i="24"/>
  <c r="BQ151" i="24" s="1"/>
  <c r="BP908" i="24"/>
  <c r="BR151" i="24" s="1"/>
  <c r="BQ908" i="24"/>
  <c r="BS151" i="24" s="1"/>
  <c r="BR908" i="24"/>
  <c r="BT151" i="24" s="1"/>
  <c r="BS908" i="24"/>
  <c r="BU151" i="24" s="1"/>
  <c r="BT908" i="24"/>
  <c r="BV151" i="24" s="1"/>
  <c r="BU908" i="24"/>
  <c r="BW151" i="24" s="1"/>
  <c r="BV908" i="24"/>
  <c r="BX151" i="24" s="1"/>
  <c r="BW908" i="24"/>
  <c r="BY151" i="24" s="1"/>
  <c r="BX908" i="24"/>
  <c r="BZ151" i="24" s="1"/>
  <c r="BY908" i="24"/>
  <c r="CA151" i="24" s="1"/>
  <c r="BZ908" i="24"/>
  <c r="CB151" i="24" s="1"/>
  <c r="CA908" i="24"/>
  <c r="CC151" i="24" s="1"/>
  <c r="CB908" i="24"/>
  <c r="CD151" i="24" s="1"/>
  <c r="CC908" i="24"/>
  <c r="CE151" i="24" s="1"/>
  <c r="CD908" i="24"/>
  <c r="CF151" i="24" s="1"/>
  <c r="B910" i="24"/>
  <c r="C155" i="24" s="1"/>
  <c r="C910" i="24"/>
  <c r="D155" i="24" s="1"/>
  <c r="D910" i="24"/>
  <c r="E155" i="24" s="1"/>
  <c r="E910" i="24"/>
  <c r="F155" i="24" s="1"/>
  <c r="F910" i="24"/>
  <c r="G155" i="24" s="1"/>
  <c r="G910" i="24"/>
  <c r="H155" i="24" s="1"/>
  <c r="H910" i="24"/>
  <c r="I155" i="24" s="1"/>
  <c r="I910" i="24"/>
  <c r="J155" i="24" s="1"/>
  <c r="J910" i="24"/>
  <c r="K155" i="24" s="1"/>
  <c r="K910" i="24"/>
  <c r="L155" i="24" s="1"/>
  <c r="L910" i="24"/>
  <c r="M155" i="24" s="1"/>
  <c r="M910" i="24"/>
  <c r="N155" i="24" s="1"/>
  <c r="N910" i="24"/>
  <c r="O155" i="24" s="1"/>
  <c r="O910" i="24"/>
  <c r="P155" i="24" s="1"/>
  <c r="P910" i="24"/>
  <c r="Q155" i="24" s="1"/>
  <c r="Q910" i="24"/>
  <c r="R155" i="24" s="1"/>
  <c r="R910" i="24"/>
  <c r="S155" i="24" s="1"/>
  <c r="S910" i="24"/>
  <c r="T155" i="24" s="1"/>
  <c r="T910" i="24"/>
  <c r="U155" i="24" s="1"/>
  <c r="U910" i="24"/>
  <c r="V155" i="24" s="1"/>
  <c r="V910" i="24"/>
  <c r="W155" i="24" s="1"/>
  <c r="W910" i="24"/>
  <c r="X155" i="24" s="1"/>
  <c r="X910" i="24"/>
  <c r="Y155" i="24" s="1"/>
  <c r="Y910" i="24"/>
  <c r="Z155" i="24" s="1"/>
  <c r="Z910" i="24"/>
  <c r="AA155" i="24" s="1"/>
  <c r="AA910" i="24"/>
  <c r="AB155" i="24" s="1"/>
  <c r="AB910" i="24"/>
  <c r="AC155" i="24" s="1"/>
  <c r="AC910" i="24"/>
  <c r="AD910" i="24"/>
  <c r="AF155" i="24" s="1"/>
  <c r="AE910" i="24"/>
  <c r="AG155" i="24" s="1"/>
  <c r="AF910" i="24"/>
  <c r="AH155" i="24" s="1"/>
  <c r="AG910" i="24"/>
  <c r="AI155" i="24" s="1"/>
  <c r="AH910" i="24"/>
  <c r="AJ155" i="24" s="1"/>
  <c r="AI909" i="24"/>
  <c r="AK155" i="24" s="1"/>
  <c r="AJ909" i="24"/>
  <c r="AL155" i="24" s="1"/>
  <c r="AK909" i="24"/>
  <c r="AM155" i="24" s="1"/>
  <c r="AL909" i="24"/>
  <c r="AN155" i="24" s="1"/>
  <c r="AM909" i="24"/>
  <c r="AO155" i="24" s="1"/>
  <c r="AN909" i="24"/>
  <c r="AP155" i="24" s="1"/>
  <c r="AO909" i="24"/>
  <c r="AQ155" i="24" s="1"/>
  <c r="AP909" i="24"/>
  <c r="AR155" i="24" s="1"/>
  <c r="AQ909" i="24"/>
  <c r="AS155" i="24" s="1"/>
  <c r="AR909" i="24"/>
  <c r="AT155" i="24" s="1"/>
  <c r="AS909" i="24"/>
  <c r="AU155" i="24" s="1"/>
  <c r="AT909" i="24"/>
  <c r="AV155" i="24" s="1"/>
  <c r="AU909" i="24"/>
  <c r="AW155" i="24" s="1"/>
  <c r="AV909" i="24"/>
  <c r="AX155" i="24" s="1"/>
  <c r="AW909" i="24"/>
  <c r="AY155" i="24" s="1"/>
  <c r="AX909" i="24"/>
  <c r="AZ155" i="24" s="1"/>
  <c r="AY909" i="24"/>
  <c r="BA155" i="24" s="1"/>
  <c r="AZ909" i="24"/>
  <c r="BB155" i="24" s="1"/>
  <c r="BA909" i="24"/>
  <c r="BC155" i="24" s="1"/>
  <c r="BB909" i="24"/>
  <c r="BD155" i="24" s="1"/>
  <c r="BC909" i="24"/>
  <c r="BE155" i="24" s="1"/>
  <c r="BD909" i="24"/>
  <c r="BF155" i="24" s="1"/>
  <c r="BE909" i="24"/>
  <c r="BG155" i="24" s="1"/>
  <c r="BF909" i="24"/>
  <c r="BH155" i="24" s="1"/>
  <c r="BG909" i="24"/>
  <c r="BI155" i="24" s="1"/>
  <c r="BH909" i="24"/>
  <c r="BJ155" i="24" s="1"/>
  <c r="BI909" i="24"/>
  <c r="BK155" i="24" s="1"/>
  <c r="BJ909" i="24"/>
  <c r="BL155" i="24" s="1"/>
  <c r="BK909" i="24"/>
  <c r="BM155" i="24" s="1"/>
  <c r="BL909" i="24"/>
  <c r="BN155" i="24" s="1"/>
  <c r="BM909" i="24"/>
  <c r="BO155" i="24" s="1"/>
  <c r="BN909" i="24"/>
  <c r="BP155" i="24" s="1"/>
  <c r="BO909" i="24"/>
  <c r="BQ155" i="24" s="1"/>
  <c r="BP909" i="24"/>
  <c r="BR155" i="24" s="1"/>
  <c r="BQ909" i="24"/>
  <c r="BS155" i="24" s="1"/>
  <c r="BR909" i="24"/>
  <c r="BT155" i="24" s="1"/>
  <c r="BS909" i="24"/>
  <c r="BU155" i="24" s="1"/>
  <c r="BT909" i="24"/>
  <c r="BV155" i="24" s="1"/>
  <c r="BU909" i="24"/>
  <c r="BW155" i="24" s="1"/>
  <c r="BV909" i="24"/>
  <c r="BX155" i="24" s="1"/>
  <c r="BW909" i="24"/>
  <c r="BY155" i="24" s="1"/>
  <c r="BX909" i="24"/>
  <c r="BZ155" i="24" s="1"/>
  <c r="BY909" i="24"/>
  <c r="CA155" i="24" s="1"/>
  <c r="BZ909" i="24"/>
  <c r="CB155" i="24" s="1"/>
  <c r="CA909" i="24"/>
  <c r="CC155" i="24" s="1"/>
  <c r="CB909" i="24"/>
  <c r="CD155" i="24" s="1"/>
  <c r="CC909" i="24"/>
  <c r="CE155" i="24" s="1"/>
  <c r="CD909" i="24"/>
  <c r="CF155" i="24" s="1"/>
  <c r="B911" i="24"/>
  <c r="C160" i="24" s="1"/>
  <c r="C911" i="24"/>
  <c r="D160" i="24" s="1"/>
  <c r="D911" i="24"/>
  <c r="E160" i="24" s="1"/>
  <c r="E911" i="24"/>
  <c r="F160" i="24" s="1"/>
  <c r="F911" i="24"/>
  <c r="G160" i="24" s="1"/>
  <c r="G911" i="24"/>
  <c r="H160" i="24" s="1"/>
  <c r="H911" i="24"/>
  <c r="I160" i="24" s="1"/>
  <c r="I911" i="24"/>
  <c r="J160" i="24" s="1"/>
  <c r="J911" i="24"/>
  <c r="K160" i="24" s="1"/>
  <c r="K911" i="24"/>
  <c r="L160" i="24" s="1"/>
  <c r="L911" i="24"/>
  <c r="M160" i="24" s="1"/>
  <c r="M911" i="24"/>
  <c r="N160" i="24" s="1"/>
  <c r="N911" i="24"/>
  <c r="O160" i="24" s="1"/>
  <c r="O911" i="24"/>
  <c r="P160" i="24" s="1"/>
  <c r="P911" i="24"/>
  <c r="Q160" i="24" s="1"/>
  <c r="Q911" i="24"/>
  <c r="R160" i="24" s="1"/>
  <c r="R911" i="24"/>
  <c r="S160" i="24" s="1"/>
  <c r="S911" i="24"/>
  <c r="T160" i="24" s="1"/>
  <c r="T911" i="24"/>
  <c r="U160" i="24" s="1"/>
  <c r="U911" i="24"/>
  <c r="V160" i="24" s="1"/>
  <c r="V911" i="24"/>
  <c r="W160" i="24" s="1"/>
  <c r="W911" i="24"/>
  <c r="X160" i="24" s="1"/>
  <c r="X911" i="24"/>
  <c r="Y160" i="24" s="1"/>
  <c r="Y911" i="24"/>
  <c r="Z160" i="24" s="1"/>
  <c r="Z911" i="24"/>
  <c r="AA160" i="24" s="1"/>
  <c r="AA911" i="24"/>
  <c r="AB160" i="24" s="1"/>
  <c r="AB911" i="24"/>
  <c r="AC160" i="24" s="1"/>
  <c r="AC911" i="24"/>
  <c r="AD911" i="24"/>
  <c r="AF160" i="24" s="1"/>
  <c r="AE911" i="24"/>
  <c r="AG160" i="24" s="1"/>
  <c r="AF911" i="24"/>
  <c r="AH160" i="24" s="1"/>
  <c r="AG911" i="24"/>
  <c r="AI160" i="24" s="1"/>
  <c r="AH911" i="24"/>
  <c r="AJ160" i="24" s="1"/>
  <c r="AI910" i="24"/>
  <c r="AK160" i="24" s="1"/>
  <c r="AJ910" i="24"/>
  <c r="AL160" i="24" s="1"/>
  <c r="AK910" i="24"/>
  <c r="AM160" i="24" s="1"/>
  <c r="AL910" i="24"/>
  <c r="AN160" i="24" s="1"/>
  <c r="AM910" i="24"/>
  <c r="AO160" i="24" s="1"/>
  <c r="AN910" i="24"/>
  <c r="AP160" i="24" s="1"/>
  <c r="AO910" i="24"/>
  <c r="AQ160" i="24" s="1"/>
  <c r="AP910" i="24"/>
  <c r="AR160" i="24" s="1"/>
  <c r="AQ910" i="24"/>
  <c r="AS160" i="24" s="1"/>
  <c r="AR910" i="24"/>
  <c r="AT160" i="24" s="1"/>
  <c r="AS910" i="24"/>
  <c r="AU160" i="24" s="1"/>
  <c r="AT910" i="24"/>
  <c r="AV160" i="24" s="1"/>
  <c r="AU910" i="24"/>
  <c r="AW160" i="24" s="1"/>
  <c r="AV910" i="24"/>
  <c r="AX160" i="24" s="1"/>
  <c r="AW910" i="24"/>
  <c r="AY160" i="24" s="1"/>
  <c r="AX910" i="24"/>
  <c r="AZ160" i="24" s="1"/>
  <c r="AY910" i="24"/>
  <c r="BA160" i="24" s="1"/>
  <c r="AZ910" i="24"/>
  <c r="BB160" i="24" s="1"/>
  <c r="BA910" i="24"/>
  <c r="BC160" i="24" s="1"/>
  <c r="BB910" i="24"/>
  <c r="BD160" i="24" s="1"/>
  <c r="BC910" i="24"/>
  <c r="BE160" i="24" s="1"/>
  <c r="BD910" i="24"/>
  <c r="BF160" i="24" s="1"/>
  <c r="BE910" i="24"/>
  <c r="BG160" i="24" s="1"/>
  <c r="BF910" i="24"/>
  <c r="BH160" i="24" s="1"/>
  <c r="BG910" i="24"/>
  <c r="BI160" i="24" s="1"/>
  <c r="BH910" i="24"/>
  <c r="BJ160" i="24" s="1"/>
  <c r="BI910" i="24"/>
  <c r="BK160" i="24" s="1"/>
  <c r="BJ910" i="24"/>
  <c r="BL160" i="24" s="1"/>
  <c r="BK910" i="24"/>
  <c r="BM160" i="24" s="1"/>
  <c r="BL910" i="24"/>
  <c r="BN160" i="24" s="1"/>
  <c r="BM910" i="24"/>
  <c r="BO160" i="24" s="1"/>
  <c r="BN910" i="24"/>
  <c r="BP160" i="24" s="1"/>
  <c r="BO910" i="24"/>
  <c r="BQ160" i="24" s="1"/>
  <c r="BP910" i="24"/>
  <c r="BR160" i="24" s="1"/>
  <c r="BQ910" i="24"/>
  <c r="BS160" i="24" s="1"/>
  <c r="BR910" i="24"/>
  <c r="BT160" i="24" s="1"/>
  <c r="BS910" i="24"/>
  <c r="BU160" i="24" s="1"/>
  <c r="BT910" i="24"/>
  <c r="BV160" i="24" s="1"/>
  <c r="BU910" i="24"/>
  <c r="BW160" i="24" s="1"/>
  <c r="BV910" i="24"/>
  <c r="BX160" i="24" s="1"/>
  <c r="BW910" i="24"/>
  <c r="BY160" i="24" s="1"/>
  <c r="BX910" i="24"/>
  <c r="BZ160" i="24" s="1"/>
  <c r="BY910" i="24"/>
  <c r="CA160" i="24" s="1"/>
  <c r="BZ910" i="24"/>
  <c r="CB160" i="24" s="1"/>
  <c r="CA910" i="24"/>
  <c r="CC160" i="24" s="1"/>
  <c r="CB910" i="24"/>
  <c r="CD160" i="24" s="1"/>
  <c r="CC910" i="24"/>
  <c r="CE160" i="24" s="1"/>
  <c r="CD910" i="24"/>
  <c r="CF160" i="24" s="1"/>
  <c r="B912" i="24"/>
  <c r="C162" i="24" s="1"/>
  <c r="C912" i="24"/>
  <c r="D162" i="24" s="1"/>
  <c r="D912" i="24"/>
  <c r="E162" i="24" s="1"/>
  <c r="E912" i="24"/>
  <c r="F162" i="24" s="1"/>
  <c r="F912" i="24"/>
  <c r="G162" i="24" s="1"/>
  <c r="G912" i="24"/>
  <c r="H162" i="24" s="1"/>
  <c r="H912" i="24"/>
  <c r="I162" i="24" s="1"/>
  <c r="I912" i="24"/>
  <c r="J162" i="24" s="1"/>
  <c r="J912" i="24"/>
  <c r="K162" i="24" s="1"/>
  <c r="K912" i="24"/>
  <c r="L162" i="24" s="1"/>
  <c r="L912" i="24"/>
  <c r="M162" i="24" s="1"/>
  <c r="M912" i="24"/>
  <c r="N162" i="24" s="1"/>
  <c r="N912" i="24"/>
  <c r="O162" i="24" s="1"/>
  <c r="O912" i="24"/>
  <c r="P162" i="24" s="1"/>
  <c r="P912" i="24"/>
  <c r="Q162" i="24" s="1"/>
  <c r="Q912" i="24"/>
  <c r="R162" i="24" s="1"/>
  <c r="R912" i="24"/>
  <c r="S162" i="24" s="1"/>
  <c r="S912" i="24"/>
  <c r="T162" i="24" s="1"/>
  <c r="T912" i="24"/>
  <c r="U162" i="24" s="1"/>
  <c r="U912" i="24"/>
  <c r="V162" i="24" s="1"/>
  <c r="V912" i="24"/>
  <c r="W162" i="24" s="1"/>
  <c r="W912" i="24"/>
  <c r="X162" i="24" s="1"/>
  <c r="X912" i="24"/>
  <c r="Y162" i="24" s="1"/>
  <c r="Y912" i="24"/>
  <c r="Z162" i="24" s="1"/>
  <c r="Z912" i="24"/>
  <c r="AA162" i="24" s="1"/>
  <c r="AA912" i="24"/>
  <c r="AB162" i="24" s="1"/>
  <c r="AB912" i="24"/>
  <c r="AC162" i="24" s="1"/>
  <c r="AC912" i="24"/>
  <c r="AD912" i="24"/>
  <c r="AF162" i="24" s="1"/>
  <c r="AE912" i="24"/>
  <c r="AG162" i="24" s="1"/>
  <c r="AF912" i="24"/>
  <c r="AH162" i="24" s="1"/>
  <c r="AG912" i="24"/>
  <c r="AI162" i="24" s="1"/>
  <c r="AH912" i="24"/>
  <c r="AJ162" i="24" s="1"/>
  <c r="AI911" i="24"/>
  <c r="AK162" i="24" s="1"/>
  <c r="AJ911" i="24"/>
  <c r="AL162" i="24" s="1"/>
  <c r="AK911" i="24"/>
  <c r="AM162" i="24" s="1"/>
  <c r="AL911" i="24"/>
  <c r="AN162" i="24" s="1"/>
  <c r="AM911" i="24"/>
  <c r="AO162" i="24" s="1"/>
  <c r="AN911" i="24"/>
  <c r="AP162" i="24" s="1"/>
  <c r="AO911" i="24"/>
  <c r="AQ162" i="24" s="1"/>
  <c r="AP911" i="24"/>
  <c r="AR162" i="24" s="1"/>
  <c r="AQ911" i="24"/>
  <c r="AS162" i="24" s="1"/>
  <c r="AR911" i="24"/>
  <c r="AT162" i="24" s="1"/>
  <c r="AS911" i="24"/>
  <c r="AU162" i="24" s="1"/>
  <c r="AT911" i="24"/>
  <c r="AV162" i="24" s="1"/>
  <c r="AU911" i="24"/>
  <c r="AW162" i="24" s="1"/>
  <c r="AV911" i="24"/>
  <c r="AX162" i="24" s="1"/>
  <c r="AW911" i="24"/>
  <c r="AY162" i="24" s="1"/>
  <c r="AX911" i="24"/>
  <c r="AZ162" i="24" s="1"/>
  <c r="AY911" i="24"/>
  <c r="BA162" i="24" s="1"/>
  <c r="AZ911" i="24"/>
  <c r="BB162" i="24" s="1"/>
  <c r="BA911" i="24"/>
  <c r="BC162" i="24" s="1"/>
  <c r="BB911" i="24"/>
  <c r="BD162" i="24" s="1"/>
  <c r="BC911" i="24"/>
  <c r="BE162" i="24" s="1"/>
  <c r="BD911" i="24"/>
  <c r="BF162" i="24" s="1"/>
  <c r="BE911" i="24"/>
  <c r="BG162" i="24" s="1"/>
  <c r="BF911" i="24"/>
  <c r="BH162" i="24" s="1"/>
  <c r="BG911" i="24"/>
  <c r="BI162" i="24" s="1"/>
  <c r="BH911" i="24"/>
  <c r="BJ162" i="24" s="1"/>
  <c r="BI911" i="24"/>
  <c r="BK162" i="24" s="1"/>
  <c r="BJ911" i="24"/>
  <c r="BL162" i="24" s="1"/>
  <c r="BK911" i="24"/>
  <c r="BM162" i="24" s="1"/>
  <c r="BL911" i="24"/>
  <c r="BN162" i="24" s="1"/>
  <c r="BM911" i="24"/>
  <c r="BO162" i="24" s="1"/>
  <c r="BN911" i="24"/>
  <c r="BP162" i="24" s="1"/>
  <c r="BO911" i="24"/>
  <c r="BQ162" i="24" s="1"/>
  <c r="BP911" i="24"/>
  <c r="BR162" i="24" s="1"/>
  <c r="BQ911" i="24"/>
  <c r="BS162" i="24" s="1"/>
  <c r="BR911" i="24"/>
  <c r="BT162" i="24" s="1"/>
  <c r="BS911" i="24"/>
  <c r="BU162" i="24" s="1"/>
  <c r="BT911" i="24"/>
  <c r="BV162" i="24" s="1"/>
  <c r="BU911" i="24"/>
  <c r="BW162" i="24" s="1"/>
  <c r="BV911" i="24"/>
  <c r="BX162" i="24" s="1"/>
  <c r="BW911" i="24"/>
  <c r="BY162" i="24" s="1"/>
  <c r="BX911" i="24"/>
  <c r="BZ162" i="24" s="1"/>
  <c r="BY911" i="24"/>
  <c r="CA162" i="24" s="1"/>
  <c r="BZ911" i="24"/>
  <c r="CB162" i="24" s="1"/>
  <c r="CA911" i="24"/>
  <c r="CC162" i="24" s="1"/>
  <c r="CB911" i="24"/>
  <c r="CD162" i="24" s="1"/>
  <c r="CC911" i="24"/>
  <c r="CE162" i="24" s="1"/>
  <c r="CD911" i="24"/>
  <c r="CF162" i="24" s="1"/>
  <c r="B913" i="24"/>
  <c r="C167" i="24" s="1"/>
  <c r="C913" i="24"/>
  <c r="D167" i="24" s="1"/>
  <c r="D913" i="24"/>
  <c r="E167" i="24" s="1"/>
  <c r="E913" i="24"/>
  <c r="F167" i="24" s="1"/>
  <c r="F913" i="24"/>
  <c r="G167" i="24" s="1"/>
  <c r="G913" i="24"/>
  <c r="H167" i="24" s="1"/>
  <c r="H913" i="24"/>
  <c r="I167" i="24" s="1"/>
  <c r="I913" i="24"/>
  <c r="J167" i="24" s="1"/>
  <c r="J913" i="24"/>
  <c r="K167" i="24" s="1"/>
  <c r="K913" i="24"/>
  <c r="L167" i="24" s="1"/>
  <c r="L913" i="24"/>
  <c r="M167" i="24" s="1"/>
  <c r="M913" i="24"/>
  <c r="N167" i="24" s="1"/>
  <c r="N913" i="24"/>
  <c r="O167" i="24" s="1"/>
  <c r="O913" i="24"/>
  <c r="P167" i="24" s="1"/>
  <c r="P913" i="24"/>
  <c r="Q167" i="24" s="1"/>
  <c r="Q913" i="24"/>
  <c r="R167" i="24" s="1"/>
  <c r="R913" i="24"/>
  <c r="S167" i="24" s="1"/>
  <c r="S913" i="24"/>
  <c r="T167" i="24" s="1"/>
  <c r="T913" i="24"/>
  <c r="U167" i="24" s="1"/>
  <c r="U913" i="24"/>
  <c r="V167" i="24" s="1"/>
  <c r="V913" i="24"/>
  <c r="W167" i="24" s="1"/>
  <c r="W913" i="24"/>
  <c r="X167" i="24" s="1"/>
  <c r="X913" i="24"/>
  <c r="Y167" i="24" s="1"/>
  <c r="Y913" i="24"/>
  <c r="Z167" i="24" s="1"/>
  <c r="Z913" i="24"/>
  <c r="AA167" i="24" s="1"/>
  <c r="AA913" i="24"/>
  <c r="AB167" i="24" s="1"/>
  <c r="AB913" i="24"/>
  <c r="AC167" i="24" s="1"/>
  <c r="AC913" i="24"/>
  <c r="AD913" i="24"/>
  <c r="AF167" i="24" s="1"/>
  <c r="AE913" i="24"/>
  <c r="AG167" i="24" s="1"/>
  <c r="AF913" i="24"/>
  <c r="AH167" i="24" s="1"/>
  <c r="AG913" i="24"/>
  <c r="AI167" i="24" s="1"/>
  <c r="AH913" i="24"/>
  <c r="AJ167" i="24" s="1"/>
  <c r="AI912" i="24"/>
  <c r="AK167" i="24" s="1"/>
  <c r="AJ912" i="24"/>
  <c r="AL167" i="24" s="1"/>
  <c r="AK912" i="24"/>
  <c r="AM167" i="24" s="1"/>
  <c r="AL912" i="24"/>
  <c r="AN167" i="24" s="1"/>
  <c r="AM912" i="24"/>
  <c r="AO167" i="24" s="1"/>
  <c r="AN912" i="24"/>
  <c r="AP167" i="24" s="1"/>
  <c r="AO912" i="24"/>
  <c r="AQ167" i="24" s="1"/>
  <c r="AP912" i="24"/>
  <c r="AR167" i="24" s="1"/>
  <c r="AQ912" i="24"/>
  <c r="AS167" i="24" s="1"/>
  <c r="AR912" i="24"/>
  <c r="AT167" i="24" s="1"/>
  <c r="AS912" i="24"/>
  <c r="AU167" i="24" s="1"/>
  <c r="AT912" i="24"/>
  <c r="AV167" i="24" s="1"/>
  <c r="AU912" i="24"/>
  <c r="AW167" i="24" s="1"/>
  <c r="AV912" i="24"/>
  <c r="AX167" i="24" s="1"/>
  <c r="AW912" i="24"/>
  <c r="AY167" i="24" s="1"/>
  <c r="AX912" i="24"/>
  <c r="AZ167" i="24" s="1"/>
  <c r="AY912" i="24"/>
  <c r="BA167" i="24" s="1"/>
  <c r="AZ912" i="24"/>
  <c r="BB167" i="24" s="1"/>
  <c r="BA912" i="24"/>
  <c r="BC167" i="24" s="1"/>
  <c r="BB912" i="24"/>
  <c r="BD167" i="24" s="1"/>
  <c r="BC912" i="24"/>
  <c r="BE167" i="24" s="1"/>
  <c r="BD912" i="24"/>
  <c r="BF167" i="24" s="1"/>
  <c r="BE912" i="24"/>
  <c r="BG167" i="24" s="1"/>
  <c r="BF912" i="24"/>
  <c r="BH167" i="24" s="1"/>
  <c r="BG912" i="24"/>
  <c r="BI167" i="24" s="1"/>
  <c r="BH912" i="24"/>
  <c r="BJ167" i="24" s="1"/>
  <c r="BI912" i="24"/>
  <c r="BK167" i="24" s="1"/>
  <c r="BJ912" i="24"/>
  <c r="BL167" i="24" s="1"/>
  <c r="BK912" i="24"/>
  <c r="BM167" i="24" s="1"/>
  <c r="BL912" i="24"/>
  <c r="BN167" i="24" s="1"/>
  <c r="BM912" i="24"/>
  <c r="BO167" i="24" s="1"/>
  <c r="BN912" i="24"/>
  <c r="BP167" i="24" s="1"/>
  <c r="BO912" i="24"/>
  <c r="BQ167" i="24" s="1"/>
  <c r="BP912" i="24"/>
  <c r="BR167" i="24" s="1"/>
  <c r="BQ912" i="24"/>
  <c r="BS167" i="24" s="1"/>
  <c r="BR912" i="24"/>
  <c r="BT167" i="24" s="1"/>
  <c r="BS912" i="24"/>
  <c r="BU167" i="24" s="1"/>
  <c r="BT912" i="24"/>
  <c r="BV167" i="24" s="1"/>
  <c r="BU912" i="24"/>
  <c r="BW167" i="24" s="1"/>
  <c r="BV912" i="24"/>
  <c r="BX167" i="24" s="1"/>
  <c r="BW912" i="24"/>
  <c r="BY167" i="24" s="1"/>
  <c r="BX912" i="24"/>
  <c r="BZ167" i="24" s="1"/>
  <c r="BY912" i="24"/>
  <c r="CA167" i="24" s="1"/>
  <c r="BZ912" i="24"/>
  <c r="CB167" i="24" s="1"/>
  <c r="CA912" i="24"/>
  <c r="CC167" i="24" s="1"/>
  <c r="CB912" i="24"/>
  <c r="CD167" i="24" s="1"/>
  <c r="CC912" i="24"/>
  <c r="CE167" i="24" s="1"/>
  <c r="CD912" i="24"/>
  <c r="CF167" i="24" s="1"/>
  <c r="B914" i="24"/>
  <c r="C170" i="24" s="1"/>
  <c r="C914" i="24"/>
  <c r="D170" i="24" s="1"/>
  <c r="D914" i="24"/>
  <c r="E170" i="24" s="1"/>
  <c r="E914" i="24"/>
  <c r="F170" i="24" s="1"/>
  <c r="F914" i="24"/>
  <c r="G170" i="24" s="1"/>
  <c r="G914" i="24"/>
  <c r="H170" i="24" s="1"/>
  <c r="H914" i="24"/>
  <c r="I170" i="24" s="1"/>
  <c r="I914" i="24"/>
  <c r="J170" i="24" s="1"/>
  <c r="J914" i="24"/>
  <c r="K170" i="24" s="1"/>
  <c r="K914" i="24"/>
  <c r="L170" i="24" s="1"/>
  <c r="L914" i="24"/>
  <c r="M170" i="24" s="1"/>
  <c r="M914" i="24"/>
  <c r="N170" i="24" s="1"/>
  <c r="N914" i="24"/>
  <c r="O170" i="24" s="1"/>
  <c r="O914" i="24"/>
  <c r="P170" i="24" s="1"/>
  <c r="P914" i="24"/>
  <c r="Q170" i="24" s="1"/>
  <c r="Q914" i="24"/>
  <c r="R170" i="24" s="1"/>
  <c r="R914" i="24"/>
  <c r="S170" i="24" s="1"/>
  <c r="S914" i="24"/>
  <c r="T170" i="24" s="1"/>
  <c r="T914" i="24"/>
  <c r="U170" i="24" s="1"/>
  <c r="U914" i="24"/>
  <c r="V170" i="24" s="1"/>
  <c r="V914" i="24"/>
  <c r="W170" i="24" s="1"/>
  <c r="W914" i="24"/>
  <c r="X170" i="24" s="1"/>
  <c r="X914" i="24"/>
  <c r="Y170" i="24" s="1"/>
  <c r="Y914" i="24"/>
  <c r="Z170" i="24" s="1"/>
  <c r="Z914" i="24"/>
  <c r="AA170" i="24" s="1"/>
  <c r="AA914" i="24"/>
  <c r="AB170" i="24" s="1"/>
  <c r="AB914" i="24"/>
  <c r="AC170" i="24" s="1"/>
  <c r="AC914" i="24"/>
  <c r="AD914" i="24"/>
  <c r="AF170" i="24" s="1"/>
  <c r="AE914" i="24"/>
  <c r="AG170" i="24" s="1"/>
  <c r="AF914" i="24"/>
  <c r="AH170" i="24" s="1"/>
  <c r="AG914" i="24"/>
  <c r="AI170" i="24" s="1"/>
  <c r="AH914" i="24"/>
  <c r="AJ170" i="24" s="1"/>
  <c r="AI913" i="24"/>
  <c r="AK170" i="24" s="1"/>
  <c r="AJ913" i="24"/>
  <c r="AL170" i="24" s="1"/>
  <c r="AK913" i="24"/>
  <c r="AM170" i="24" s="1"/>
  <c r="AL913" i="24"/>
  <c r="AN170" i="24" s="1"/>
  <c r="AM913" i="24"/>
  <c r="AO170" i="24" s="1"/>
  <c r="AN913" i="24"/>
  <c r="AP170" i="24" s="1"/>
  <c r="AO913" i="24"/>
  <c r="AQ170" i="24" s="1"/>
  <c r="AP913" i="24"/>
  <c r="AR170" i="24" s="1"/>
  <c r="AQ913" i="24"/>
  <c r="AS170" i="24" s="1"/>
  <c r="AR913" i="24"/>
  <c r="AT170" i="24" s="1"/>
  <c r="AS913" i="24"/>
  <c r="AU170" i="24" s="1"/>
  <c r="AT913" i="24"/>
  <c r="AV170" i="24" s="1"/>
  <c r="AU913" i="24"/>
  <c r="AW170" i="24" s="1"/>
  <c r="AV913" i="24"/>
  <c r="AX170" i="24" s="1"/>
  <c r="AW913" i="24"/>
  <c r="AY170" i="24" s="1"/>
  <c r="AX913" i="24"/>
  <c r="AZ170" i="24" s="1"/>
  <c r="AY913" i="24"/>
  <c r="BA170" i="24" s="1"/>
  <c r="AZ913" i="24"/>
  <c r="BB170" i="24" s="1"/>
  <c r="BA913" i="24"/>
  <c r="BC170" i="24" s="1"/>
  <c r="BB913" i="24"/>
  <c r="BD170" i="24" s="1"/>
  <c r="BC913" i="24"/>
  <c r="BE170" i="24" s="1"/>
  <c r="BD913" i="24"/>
  <c r="BF170" i="24" s="1"/>
  <c r="BE913" i="24"/>
  <c r="BG170" i="24" s="1"/>
  <c r="BF913" i="24"/>
  <c r="BH170" i="24" s="1"/>
  <c r="BG913" i="24"/>
  <c r="BI170" i="24" s="1"/>
  <c r="BH913" i="24"/>
  <c r="BJ170" i="24" s="1"/>
  <c r="BI913" i="24"/>
  <c r="BK170" i="24" s="1"/>
  <c r="BJ913" i="24"/>
  <c r="BL170" i="24" s="1"/>
  <c r="BK913" i="24"/>
  <c r="BM170" i="24" s="1"/>
  <c r="BL913" i="24"/>
  <c r="BN170" i="24" s="1"/>
  <c r="BM913" i="24"/>
  <c r="BO170" i="24" s="1"/>
  <c r="BN913" i="24"/>
  <c r="BP170" i="24" s="1"/>
  <c r="BO913" i="24"/>
  <c r="BQ170" i="24" s="1"/>
  <c r="BP913" i="24"/>
  <c r="BR170" i="24" s="1"/>
  <c r="BQ913" i="24"/>
  <c r="BS170" i="24" s="1"/>
  <c r="BR913" i="24"/>
  <c r="BT170" i="24" s="1"/>
  <c r="BS913" i="24"/>
  <c r="BU170" i="24" s="1"/>
  <c r="BT913" i="24"/>
  <c r="BV170" i="24" s="1"/>
  <c r="BU913" i="24"/>
  <c r="BW170" i="24" s="1"/>
  <c r="BV913" i="24"/>
  <c r="BX170" i="24" s="1"/>
  <c r="BW913" i="24"/>
  <c r="BY170" i="24" s="1"/>
  <c r="BX913" i="24"/>
  <c r="BZ170" i="24" s="1"/>
  <c r="BY913" i="24"/>
  <c r="CA170" i="24" s="1"/>
  <c r="BZ913" i="24"/>
  <c r="CB170" i="24" s="1"/>
  <c r="CA913" i="24"/>
  <c r="CC170" i="24" s="1"/>
  <c r="CB913" i="24"/>
  <c r="CD170" i="24" s="1"/>
  <c r="CC913" i="24"/>
  <c r="CE170" i="24" s="1"/>
  <c r="CD913" i="24"/>
  <c r="CF170" i="24" s="1"/>
  <c r="B915" i="24"/>
  <c r="C171" i="24" s="1"/>
  <c r="C915" i="24"/>
  <c r="D171" i="24" s="1"/>
  <c r="D915" i="24"/>
  <c r="E171" i="24" s="1"/>
  <c r="E915" i="24"/>
  <c r="F171" i="24" s="1"/>
  <c r="F915" i="24"/>
  <c r="G171" i="24" s="1"/>
  <c r="G915" i="24"/>
  <c r="H171" i="24" s="1"/>
  <c r="H915" i="24"/>
  <c r="I171" i="24" s="1"/>
  <c r="I915" i="24"/>
  <c r="J171" i="24" s="1"/>
  <c r="J915" i="24"/>
  <c r="K171" i="24" s="1"/>
  <c r="K915" i="24"/>
  <c r="L171" i="24" s="1"/>
  <c r="L915" i="24"/>
  <c r="M171" i="24" s="1"/>
  <c r="M915" i="24"/>
  <c r="N171" i="24" s="1"/>
  <c r="N915" i="24"/>
  <c r="O171" i="24" s="1"/>
  <c r="O915" i="24"/>
  <c r="P171" i="24" s="1"/>
  <c r="P915" i="24"/>
  <c r="Q171" i="24" s="1"/>
  <c r="Q915" i="24"/>
  <c r="R171" i="24" s="1"/>
  <c r="R915" i="24"/>
  <c r="S171" i="24" s="1"/>
  <c r="S915" i="24"/>
  <c r="T171" i="24" s="1"/>
  <c r="T915" i="24"/>
  <c r="U171" i="24" s="1"/>
  <c r="U915" i="24"/>
  <c r="V171" i="24" s="1"/>
  <c r="V915" i="24"/>
  <c r="W171" i="24" s="1"/>
  <c r="W915" i="24"/>
  <c r="X171" i="24" s="1"/>
  <c r="X915" i="24"/>
  <c r="Y171" i="24" s="1"/>
  <c r="Y915" i="24"/>
  <c r="Z171" i="24" s="1"/>
  <c r="Z915" i="24"/>
  <c r="AA171" i="24" s="1"/>
  <c r="AA915" i="24"/>
  <c r="AB171" i="24" s="1"/>
  <c r="AB915" i="24"/>
  <c r="AC171" i="24" s="1"/>
  <c r="AC915" i="24"/>
  <c r="AD915" i="24"/>
  <c r="AF171" i="24" s="1"/>
  <c r="AE915" i="24"/>
  <c r="AG171" i="24" s="1"/>
  <c r="AF915" i="24"/>
  <c r="AH171" i="24" s="1"/>
  <c r="AG915" i="24"/>
  <c r="AI171" i="24" s="1"/>
  <c r="AH915" i="24"/>
  <c r="AJ171" i="24" s="1"/>
  <c r="AI914" i="24"/>
  <c r="AK171" i="24" s="1"/>
  <c r="AJ914" i="24"/>
  <c r="AL171" i="24" s="1"/>
  <c r="AK914" i="24"/>
  <c r="AM171" i="24" s="1"/>
  <c r="AL914" i="24"/>
  <c r="AN171" i="24" s="1"/>
  <c r="AM914" i="24"/>
  <c r="AO171" i="24" s="1"/>
  <c r="AN914" i="24"/>
  <c r="AP171" i="24" s="1"/>
  <c r="AO914" i="24"/>
  <c r="AQ171" i="24" s="1"/>
  <c r="AP914" i="24"/>
  <c r="AR171" i="24" s="1"/>
  <c r="AQ914" i="24"/>
  <c r="AS171" i="24" s="1"/>
  <c r="AR914" i="24"/>
  <c r="AT171" i="24" s="1"/>
  <c r="AS914" i="24"/>
  <c r="AU171" i="24" s="1"/>
  <c r="AT914" i="24"/>
  <c r="AV171" i="24" s="1"/>
  <c r="AU914" i="24"/>
  <c r="AW171" i="24" s="1"/>
  <c r="AV914" i="24"/>
  <c r="AX171" i="24" s="1"/>
  <c r="AW914" i="24"/>
  <c r="AY171" i="24" s="1"/>
  <c r="AX914" i="24"/>
  <c r="AZ171" i="24" s="1"/>
  <c r="AY914" i="24"/>
  <c r="BA171" i="24" s="1"/>
  <c r="AZ914" i="24"/>
  <c r="BB171" i="24" s="1"/>
  <c r="BA914" i="24"/>
  <c r="BC171" i="24" s="1"/>
  <c r="BB914" i="24"/>
  <c r="BD171" i="24" s="1"/>
  <c r="BC914" i="24"/>
  <c r="BE171" i="24" s="1"/>
  <c r="BD914" i="24"/>
  <c r="BF171" i="24" s="1"/>
  <c r="BE914" i="24"/>
  <c r="BG171" i="24" s="1"/>
  <c r="BF914" i="24"/>
  <c r="BH171" i="24" s="1"/>
  <c r="BG914" i="24"/>
  <c r="BI171" i="24" s="1"/>
  <c r="BH914" i="24"/>
  <c r="BJ171" i="24" s="1"/>
  <c r="BI914" i="24"/>
  <c r="BK171" i="24" s="1"/>
  <c r="BJ914" i="24"/>
  <c r="BL171" i="24" s="1"/>
  <c r="BK914" i="24"/>
  <c r="BM171" i="24" s="1"/>
  <c r="BL914" i="24"/>
  <c r="BN171" i="24" s="1"/>
  <c r="BM914" i="24"/>
  <c r="BO171" i="24" s="1"/>
  <c r="BN914" i="24"/>
  <c r="BP171" i="24" s="1"/>
  <c r="BO914" i="24"/>
  <c r="BQ171" i="24" s="1"/>
  <c r="BP914" i="24"/>
  <c r="BR171" i="24" s="1"/>
  <c r="BQ914" i="24"/>
  <c r="BS171" i="24" s="1"/>
  <c r="BR914" i="24"/>
  <c r="BT171" i="24" s="1"/>
  <c r="BS914" i="24"/>
  <c r="BU171" i="24" s="1"/>
  <c r="BT914" i="24"/>
  <c r="BV171" i="24" s="1"/>
  <c r="BU914" i="24"/>
  <c r="BW171" i="24" s="1"/>
  <c r="BV914" i="24"/>
  <c r="BX171" i="24" s="1"/>
  <c r="BW914" i="24"/>
  <c r="BY171" i="24" s="1"/>
  <c r="BX914" i="24"/>
  <c r="BZ171" i="24" s="1"/>
  <c r="BY914" i="24"/>
  <c r="CA171" i="24" s="1"/>
  <c r="BZ914" i="24"/>
  <c r="CB171" i="24" s="1"/>
  <c r="CA914" i="24"/>
  <c r="CC171" i="24" s="1"/>
  <c r="CB914" i="24"/>
  <c r="CD171" i="24" s="1"/>
  <c r="CC914" i="24"/>
  <c r="CE171" i="24" s="1"/>
  <c r="CD914" i="24"/>
  <c r="CF171" i="24" s="1"/>
  <c r="B916" i="24"/>
  <c r="C175" i="24" s="1"/>
  <c r="C916" i="24"/>
  <c r="D175" i="24" s="1"/>
  <c r="D916" i="24"/>
  <c r="E175" i="24" s="1"/>
  <c r="E916" i="24"/>
  <c r="F175" i="24" s="1"/>
  <c r="F916" i="24"/>
  <c r="G175" i="24" s="1"/>
  <c r="G916" i="24"/>
  <c r="H175" i="24" s="1"/>
  <c r="H916" i="24"/>
  <c r="I175" i="24" s="1"/>
  <c r="I916" i="24"/>
  <c r="J175" i="24" s="1"/>
  <c r="J916" i="24"/>
  <c r="K175" i="24" s="1"/>
  <c r="K916" i="24"/>
  <c r="L175" i="24" s="1"/>
  <c r="L916" i="24"/>
  <c r="M175" i="24" s="1"/>
  <c r="M916" i="24"/>
  <c r="N175" i="24" s="1"/>
  <c r="N916" i="24"/>
  <c r="O175" i="24" s="1"/>
  <c r="O916" i="24"/>
  <c r="P175" i="24" s="1"/>
  <c r="P916" i="24"/>
  <c r="Q175" i="24" s="1"/>
  <c r="Q916" i="24"/>
  <c r="R175" i="24" s="1"/>
  <c r="R916" i="24"/>
  <c r="S175" i="24" s="1"/>
  <c r="S916" i="24"/>
  <c r="T175" i="24" s="1"/>
  <c r="T916" i="24"/>
  <c r="U175" i="24" s="1"/>
  <c r="U916" i="24"/>
  <c r="V175" i="24" s="1"/>
  <c r="V916" i="24"/>
  <c r="W175" i="24" s="1"/>
  <c r="W916" i="24"/>
  <c r="X175" i="24" s="1"/>
  <c r="X916" i="24"/>
  <c r="Y175" i="24" s="1"/>
  <c r="Y916" i="24"/>
  <c r="Z175" i="24" s="1"/>
  <c r="Z916" i="24"/>
  <c r="AA175" i="24" s="1"/>
  <c r="AA916" i="24"/>
  <c r="AB175" i="24" s="1"/>
  <c r="AB916" i="24"/>
  <c r="AC175" i="24" s="1"/>
  <c r="AC916" i="24"/>
  <c r="AD916" i="24"/>
  <c r="AF175" i="24" s="1"/>
  <c r="AE916" i="24"/>
  <c r="AG175" i="24" s="1"/>
  <c r="AF916" i="24"/>
  <c r="AH175" i="24" s="1"/>
  <c r="AG916" i="24"/>
  <c r="AI175" i="24" s="1"/>
  <c r="AH916" i="24"/>
  <c r="AJ175" i="24" s="1"/>
  <c r="AI915" i="24"/>
  <c r="AK175" i="24" s="1"/>
  <c r="AJ915" i="24"/>
  <c r="AL175" i="24" s="1"/>
  <c r="AK915" i="24"/>
  <c r="AM175" i="24" s="1"/>
  <c r="AL915" i="24"/>
  <c r="AN175" i="24" s="1"/>
  <c r="AM915" i="24"/>
  <c r="AO175" i="24" s="1"/>
  <c r="AN915" i="24"/>
  <c r="AP175" i="24" s="1"/>
  <c r="AO915" i="24"/>
  <c r="AQ175" i="24" s="1"/>
  <c r="AP915" i="24"/>
  <c r="AR175" i="24" s="1"/>
  <c r="AQ915" i="24"/>
  <c r="AS175" i="24" s="1"/>
  <c r="AR915" i="24"/>
  <c r="AT175" i="24" s="1"/>
  <c r="AS915" i="24"/>
  <c r="AU175" i="24" s="1"/>
  <c r="AT915" i="24"/>
  <c r="AV175" i="24" s="1"/>
  <c r="AU915" i="24"/>
  <c r="AW175" i="24" s="1"/>
  <c r="AV915" i="24"/>
  <c r="AX175" i="24" s="1"/>
  <c r="AW915" i="24"/>
  <c r="AY175" i="24" s="1"/>
  <c r="AX915" i="24"/>
  <c r="AZ175" i="24" s="1"/>
  <c r="AY915" i="24"/>
  <c r="BA175" i="24" s="1"/>
  <c r="AZ915" i="24"/>
  <c r="BB175" i="24" s="1"/>
  <c r="BA915" i="24"/>
  <c r="BC175" i="24" s="1"/>
  <c r="BB915" i="24"/>
  <c r="BD175" i="24" s="1"/>
  <c r="BC915" i="24"/>
  <c r="BE175" i="24" s="1"/>
  <c r="BD915" i="24"/>
  <c r="BF175" i="24" s="1"/>
  <c r="BE915" i="24"/>
  <c r="BG175" i="24" s="1"/>
  <c r="BF915" i="24"/>
  <c r="BH175" i="24" s="1"/>
  <c r="BG915" i="24"/>
  <c r="BI175" i="24" s="1"/>
  <c r="BH915" i="24"/>
  <c r="BJ175" i="24" s="1"/>
  <c r="BI915" i="24"/>
  <c r="BK175" i="24" s="1"/>
  <c r="BJ915" i="24"/>
  <c r="BL175" i="24" s="1"/>
  <c r="BK915" i="24"/>
  <c r="BM175" i="24" s="1"/>
  <c r="BL915" i="24"/>
  <c r="BN175" i="24" s="1"/>
  <c r="BM915" i="24"/>
  <c r="BO175" i="24" s="1"/>
  <c r="BN915" i="24"/>
  <c r="BP175" i="24" s="1"/>
  <c r="BO915" i="24"/>
  <c r="BQ175" i="24" s="1"/>
  <c r="BP915" i="24"/>
  <c r="BR175" i="24" s="1"/>
  <c r="BQ915" i="24"/>
  <c r="BS175" i="24" s="1"/>
  <c r="BR915" i="24"/>
  <c r="BT175" i="24" s="1"/>
  <c r="BS915" i="24"/>
  <c r="BU175" i="24" s="1"/>
  <c r="BT915" i="24"/>
  <c r="BV175" i="24" s="1"/>
  <c r="BU915" i="24"/>
  <c r="BW175" i="24" s="1"/>
  <c r="BV915" i="24"/>
  <c r="BX175" i="24" s="1"/>
  <c r="BW915" i="24"/>
  <c r="BY175" i="24" s="1"/>
  <c r="BX915" i="24"/>
  <c r="BZ175" i="24" s="1"/>
  <c r="BY915" i="24"/>
  <c r="CA175" i="24" s="1"/>
  <c r="BZ915" i="24"/>
  <c r="CB175" i="24" s="1"/>
  <c r="CA915" i="24"/>
  <c r="CC175" i="24" s="1"/>
  <c r="CB915" i="24"/>
  <c r="CD175" i="24" s="1"/>
  <c r="CC915" i="24"/>
  <c r="CE175" i="24" s="1"/>
  <c r="CD915" i="24"/>
  <c r="CF175" i="24" s="1"/>
  <c r="B917" i="24"/>
  <c r="C176" i="24" s="1"/>
  <c r="C917" i="24"/>
  <c r="D176" i="24" s="1"/>
  <c r="D917" i="24"/>
  <c r="E176" i="24" s="1"/>
  <c r="E917" i="24"/>
  <c r="F176" i="24" s="1"/>
  <c r="F917" i="24"/>
  <c r="G176" i="24" s="1"/>
  <c r="G917" i="24"/>
  <c r="H176" i="24" s="1"/>
  <c r="H917" i="24"/>
  <c r="I176" i="24" s="1"/>
  <c r="I917" i="24"/>
  <c r="J176" i="24" s="1"/>
  <c r="J917" i="24"/>
  <c r="K176" i="24" s="1"/>
  <c r="K917" i="24"/>
  <c r="L176" i="24" s="1"/>
  <c r="L917" i="24"/>
  <c r="M176" i="24" s="1"/>
  <c r="M917" i="24"/>
  <c r="N176" i="24" s="1"/>
  <c r="N917" i="24"/>
  <c r="O176" i="24" s="1"/>
  <c r="O917" i="24"/>
  <c r="P176" i="24" s="1"/>
  <c r="P917" i="24"/>
  <c r="Q176" i="24" s="1"/>
  <c r="Q917" i="24"/>
  <c r="R176" i="24" s="1"/>
  <c r="R917" i="24"/>
  <c r="S176" i="24" s="1"/>
  <c r="S917" i="24"/>
  <c r="T176" i="24" s="1"/>
  <c r="T917" i="24"/>
  <c r="U176" i="24" s="1"/>
  <c r="U917" i="24"/>
  <c r="V176" i="24" s="1"/>
  <c r="V917" i="24"/>
  <c r="W176" i="24" s="1"/>
  <c r="W917" i="24"/>
  <c r="X176" i="24" s="1"/>
  <c r="X917" i="24"/>
  <c r="Y176" i="24" s="1"/>
  <c r="Y917" i="24"/>
  <c r="Z176" i="24" s="1"/>
  <c r="Z917" i="24"/>
  <c r="AA176" i="24" s="1"/>
  <c r="AA917" i="24"/>
  <c r="AB176" i="24" s="1"/>
  <c r="AB917" i="24"/>
  <c r="AC176" i="24" s="1"/>
  <c r="AC917" i="24"/>
  <c r="AD917" i="24"/>
  <c r="AF176" i="24" s="1"/>
  <c r="AE917" i="24"/>
  <c r="AG176" i="24" s="1"/>
  <c r="AF917" i="24"/>
  <c r="AH176" i="24" s="1"/>
  <c r="AG917" i="24"/>
  <c r="AI176" i="24" s="1"/>
  <c r="AH917" i="24"/>
  <c r="AJ176" i="24" s="1"/>
  <c r="AI916" i="24"/>
  <c r="AK176" i="24" s="1"/>
  <c r="AJ916" i="24"/>
  <c r="AL176" i="24" s="1"/>
  <c r="AK916" i="24"/>
  <c r="AM176" i="24" s="1"/>
  <c r="AL916" i="24"/>
  <c r="AN176" i="24" s="1"/>
  <c r="AM916" i="24"/>
  <c r="AO176" i="24" s="1"/>
  <c r="AN916" i="24"/>
  <c r="AP176" i="24" s="1"/>
  <c r="AO916" i="24"/>
  <c r="AQ176" i="24" s="1"/>
  <c r="AP916" i="24"/>
  <c r="AR176" i="24" s="1"/>
  <c r="AQ916" i="24"/>
  <c r="AS176" i="24" s="1"/>
  <c r="AR916" i="24"/>
  <c r="AT176" i="24" s="1"/>
  <c r="AS916" i="24"/>
  <c r="AU176" i="24" s="1"/>
  <c r="AT916" i="24"/>
  <c r="AV176" i="24" s="1"/>
  <c r="AU916" i="24"/>
  <c r="AW176" i="24" s="1"/>
  <c r="AV916" i="24"/>
  <c r="AX176" i="24" s="1"/>
  <c r="AW916" i="24"/>
  <c r="AY176" i="24" s="1"/>
  <c r="AX916" i="24"/>
  <c r="AZ176" i="24" s="1"/>
  <c r="AY916" i="24"/>
  <c r="BA176" i="24" s="1"/>
  <c r="AZ916" i="24"/>
  <c r="BB176" i="24" s="1"/>
  <c r="BA916" i="24"/>
  <c r="BC176" i="24" s="1"/>
  <c r="BB916" i="24"/>
  <c r="BD176" i="24" s="1"/>
  <c r="BC916" i="24"/>
  <c r="BE176" i="24" s="1"/>
  <c r="BD916" i="24"/>
  <c r="BF176" i="24" s="1"/>
  <c r="BE916" i="24"/>
  <c r="BG176" i="24" s="1"/>
  <c r="BF916" i="24"/>
  <c r="BH176" i="24" s="1"/>
  <c r="BG916" i="24"/>
  <c r="BI176" i="24" s="1"/>
  <c r="BH916" i="24"/>
  <c r="BJ176" i="24" s="1"/>
  <c r="BI916" i="24"/>
  <c r="BK176" i="24" s="1"/>
  <c r="BJ916" i="24"/>
  <c r="BL176" i="24" s="1"/>
  <c r="BK916" i="24"/>
  <c r="BM176" i="24" s="1"/>
  <c r="BL916" i="24"/>
  <c r="BN176" i="24" s="1"/>
  <c r="BM916" i="24"/>
  <c r="BO176" i="24" s="1"/>
  <c r="BN916" i="24"/>
  <c r="BP176" i="24" s="1"/>
  <c r="BO916" i="24"/>
  <c r="BQ176" i="24" s="1"/>
  <c r="BP916" i="24"/>
  <c r="BR176" i="24" s="1"/>
  <c r="BQ916" i="24"/>
  <c r="BS176" i="24" s="1"/>
  <c r="BR916" i="24"/>
  <c r="BT176" i="24" s="1"/>
  <c r="BS916" i="24"/>
  <c r="BU176" i="24" s="1"/>
  <c r="BT916" i="24"/>
  <c r="BV176" i="24" s="1"/>
  <c r="BU916" i="24"/>
  <c r="BW176" i="24" s="1"/>
  <c r="BV916" i="24"/>
  <c r="BX176" i="24" s="1"/>
  <c r="BW916" i="24"/>
  <c r="BY176" i="24" s="1"/>
  <c r="BX916" i="24"/>
  <c r="BZ176" i="24" s="1"/>
  <c r="BY916" i="24"/>
  <c r="CA176" i="24" s="1"/>
  <c r="BZ916" i="24"/>
  <c r="CB176" i="24" s="1"/>
  <c r="CA916" i="24"/>
  <c r="CC176" i="24" s="1"/>
  <c r="CB916" i="24"/>
  <c r="CD176" i="24" s="1"/>
  <c r="CC916" i="24"/>
  <c r="CE176" i="24" s="1"/>
  <c r="CD916" i="24"/>
  <c r="CF176" i="24" s="1"/>
  <c r="B918" i="24"/>
  <c r="C918" i="24"/>
  <c r="D918" i="24"/>
  <c r="E918" i="24"/>
  <c r="F918" i="24"/>
  <c r="G918" i="24"/>
  <c r="H918" i="24"/>
  <c r="I918" i="24"/>
  <c r="J918" i="24"/>
  <c r="K918" i="24"/>
  <c r="L918" i="24"/>
  <c r="M918" i="24"/>
  <c r="N918" i="24"/>
  <c r="O918" i="24"/>
  <c r="P918" i="24"/>
  <c r="Q918" i="24"/>
  <c r="R918" i="24"/>
  <c r="S918" i="24"/>
  <c r="T918" i="24"/>
  <c r="U918" i="24"/>
  <c r="V918" i="24"/>
  <c r="W918" i="24"/>
  <c r="X918" i="24"/>
  <c r="Y918" i="24"/>
  <c r="Z918" i="24"/>
  <c r="AA918" i="24"/>
  <c r="AB918" i="24"/>
  <c r="AC918" i="24"/>
  <c r="AD918" i="24"/>
  <c r="AE918" i="24"/>
  <c r="AF918" i="24"/>
  <c r="AG918" i="24"/>
  <c r="AH918" i="24"/>
  <c r="AI917" i="24"/>
  <c r="AJ917" i="24"/>
  <c r="AK917" i="24"/>
  <c r="AL917" i="24"/>
  <c r="AM917" i="24"/>
  <c r="AN917" i="24"/>
  <c r="AO917" i="24"/>
  <c r="AP917" i="24"/>
  <c r="AQ917" i="24"/>
  <c r="AR917" i="24"/>
  <c r="AS917" i="24"/>
  <c r="AT917" i="24"/>
  <c r="AU917" i="24"/>
  <c r="AV917" i="24"/>
  <c r="AW917" i="24"/>
  <c r="AX917" i="24"/>
  <c r="AY917" i="24"/>
  <c r="AZ917" i="24"/>
  <c r="BA917" i="24"/>
  <c r="BB917" i="24"/>
  <c r="BC917" i="24"/>
  <c r="BD917" i="24"/>
  <c r="BE917" i="24"/>
  <c r="BF917" i="24"/>
  <c r="BG917" i="24"/>
  <c r="BH917" i="24"/>
  <c r="BI917" i="24"/>
  <c r="BJ917" i="24"/>
  <c r="BK917" i="24"/>
  <c r="BL917" i="24"/>
  <c r="BM917" i="24"/>
  <c r="BN917" i="24"/>
  <c r="BO917" i="24"/>
  <c r="BP917" i="24"/>
  <c r="BQ917" i="24"/>
  <c r="BR917" i="24"/>
  <c r="BS917" i="24"/>
  <c r="BT917" i="24"/>
  <c r="BU917" i="24"/>
  <c r="BV917" i="24"/>
  <c r="BW917" i="24"/>
  <c r="BX917" i="24"/>
  <c r="BY917" i="24"/>
  <c r="BZ917" i="24"/>
  <c r="CA917" i="24"/>
  <c r="CB917" i="24"/>
  <c r="CC917" i="24"/>
  <c r="CD917" i="24"/>
  <c r="B919" i="24"/>
  <c r="C177" i="24" s="1"/>
  <c r="C919" i="24"/>
  <c r="D177" i="24" s="1"/>
  <c r="D919" i="24"/>
  <c r="E177" i="24" s="1"/>
  <c r="E919" i="24"/>
  <c r="F177" i="24" s="1"/>
  <c r="F919" i="24"/>
  <c r="G177" i="24" s="1"/>
  <c r="G919" i="24"/>
  <c r="H177" i="24" s="1"/>
  <c r="H919" i="24"/>
  <c r="I177" i="24" s="1"/>
  <c r="I919" i="24"/>
  <c r="J177" i="24" s="1"/>
  <c r="J919" i="24"/>
  <c r="K177" i="24" s="1"/>
  <c r="K919" i="24"/>
  <c r="L177" i="24" s="1"/>
  <c r="L919" i="24"/>
  <c r="M177" i="24" s="1"/>
  <c r="M919" i="24"/>
  <c r="N177" i="24" s="1"/>
  <c r="N919" i="24"/>
  <c r="O177" i="24" s="1"/>
  <c r="O919" i="24"/>
  <c r="P177" i="24" s="1"/>
  <c r="P919" i="24"/>
  <c r="Q177" i="24" s="1"/>
  <c r="Q919" i="24"/>
  <c r="R177" i="24" s="1"/>
  <c r="R919" i="24"/>
  <c r="S177" i="24" s="1"/>
  <c r="S919" i="24"/>
  <c r="T177" i="24" s="1"/>
  <c r="T919" i="24"/>
  <c r="U177" i="24" s="1"/>
  <c r="U919" i="24"/>
  <c r="V177" i="24" s="1"/>
  <c r="V919" i="24"/>
  <c r="W177" i="24" s="1"/>
  <c r="W919" i="24"/>
  <c r="X177" i="24" s="1"/>
  <c r="X919" i="24"/>
  <c r="Y177" i="24" s="1"/>
  <c r="Y919" i="24"/>
  <c r="Z177" i="24" s="1"/>
  <c r="Z919" i="24"/>
  <c r="AA177" i="24" s="1"/>
  <c r="AA919" i="24"/>
  <c r="AB177" i="24" s="1"/>
  <c r="AB919" i="24"/>
  <c r="AC177" i="24" s="1"/>
  <c r="AC919" i="24"/>
  <c r="AD919" i="24"/>
  <c r="AF177" i="24" s="1"/>
  <c r="AE919" i="24"/>
  <c r="AG177" i="24" s="1"/>
  <c r="AF919" i="24"/>
  <c r="AH177" i="24" s="1"/>
  <c r="AG919" i="24"/>
  <c r="AI177" i="24" s="1"/>
  <c r="AH919" i="24"/>
  <c r="AJ177" i="24" s="1"/>
  <c r="AI918" i="24"/>
  <c r="AK177" i="24" s="1"/>
  <c r="AJ918" i="24"/>
  <c r="AL177" i="24" s="1"/>
  <c r="AK918" i="24"/>
  <c r="AM177" i="24" s="1"/>
  <c r="AL918" i="24"/>
  <c r="AN177" i="24" s="1"/>
  <c r="AM918" i="24"/>
  <c r="AO177" i="24" s="1"/>
  <c r="AN918" i="24"/>
  <c r="AP177" i="24" s="1"/>
  <c r="AO918" i="24"/>
  <c r="AQ177" i="24" s="1"/>
  <c r="AP918" i="24"/>
  <c r="AR177" i="24" s="1"/>
  <c r="AQ918" i="24"/>
  <c r="AS177" i="24" s="1"/>
  <c r="AR918" i="24"/>
  <c r="AT177" i="24" s="1"/>
  <c r="AS918" i="24"/>
  <c r="AU177" i="24" s="1"/>
  <c r="AT918" i="24"/>
  <c r="AV177" i="24" s="1"/>
  <c r="AU918" i="24"/>
  <c r="AW177" i="24" s="1"/>
  <c r="AV918" i="24"/>
  <c r="AX177" i="24" s="1"/>
  <c r="AW918" i="24"/>
  <c r="AY177" i="24" s="1"/>
  <c r="AX918" i="24"/>
  <c r="AZ177" i="24" s="1"/>
  <c r="AY918" i="24"/>
  <c r="BA177" i="24" s="1"/>
  <c r="AZ918" i="24"/>
  <c r="BB177" i="24" s="1"/>
  <c r="BA918" i="24"/>
  <c r="BC177" i="24" s="1"/>
  <c r="BB918" i="24"/>
  <c r="BD177" i="24" s="1"/>
  <c r="BC918" i="24"/>
  <c r="BE177" i="24" s="1"/>
  <c r="BD918" i="24"/>
  <c r="BF177" i="24" s="1"/>
  <c r="BE918" i="24"/>
  <c r="BG177" i="24" s="1"/>
  <c r="BF918" i="24"/>
  <c r="BH177" i="24" s="1"/>
  <c r="BG918" i="24"/>
  <c r="BI177" i="24" s="1"/>
  <c r="BH918" i="24"/>
  <c r="BJ177" i="24" s="1"/>
  <c r="BI918" i="24"/>
  <c r="BK177" i="24" s="1"/>
  <c r="BJ918" i="24"/>
  <c r="BL177" i="24" s="1"/>
  <c r="BK918" i="24"/>
  <c r="BM177" i="24" s="1"/>
  <c r="BL918" i="24"/>
  <c r="BN177" i="24" s="1"/>
  <c r="BM918" i="24"/>
  <c r="BO177" i="24" s="1"/>
  <c r="BN918" i="24"/>
  <c r="BP177" i="24" s="1"/>
  <c r="BO918" i="24"/>
  <c r="BQ177" i="24" s="1"/>
  <c r="BP918" i="24"/>
  <c r="BR177" i="24" s="1"/>
  <c r="BQ918" i="24"/>
  <c r="BS177" i="24" s="1"/>
  <c r="BR918" i="24"/>
  <c r="BT177" i="24" s="1"/>
  <c r="BS918" i="24"/>
  <c r="BU177" i="24" s="1"/>
  <c r="BT918" i="24"/>
  <c r="BV177" i="24" s="1"/>
  <c r="BU918" i="24"/>
  <c r="BW177" i="24" s="1"/>
  <c r="BV918" i="24"/>
  <c r="BX177" i="24" s="1"/>
  <c r="BW918" i="24"/>
  <c r="BY177" i="24" s="1"/>
  <c r="BX918" i="24"/>
  <c r="BZ177" i="24" s="1"/>
  <c r="BY918" i="24"/>
  <c r="CA177" i="24" s="1"/>
  <c r="BZ918" i="24"/>
  <c r="CB177" i="24" s="1"/>
  <c r="CA918" i="24"/>
  <c r="CC177" i="24" s="1"/>
  <c r="CB918" i="24"/>
  <c r="CD177" i="24" s="1"/>
  <c r="CC918" i="24"/>
  <c r="CE177" i="24" s="1"/>
  <c r="CD918" i="24"/>
  <c r="CF177" i="24" s="1"/>
  <c r="B920" i="24"/>
  <c r="C179" i="24" s="1"/>
  <c r="C920" i="24"/>
  <c r="D179" i="24" s="1"/>
  <c r="D920" i="24"/>
  <c r="E179" i="24" s="1"/>
  <c r="E920" i="24"/>
  <c r="F179" i="24" s="1"/>
  <c r="F920" i="24"/>
  <c r="G179" i="24" s="1"/>
  <c r="G920" i="24"/>
  <c r="H179" i="24" s="1"/>
  <c r="H920" i="24"/>
  <c r="I179" i="24" s="1"/>
  <c r="I920" i="24"/>
  <c r="J179" i="24" s="1"/>
  <c r="J920" i="24"/>
  <c r="K179" i="24" s="1"/>
  <c r="K920" i="24"/>
  <c r="L179" i="24" s="1"/>
  <c r="L920" i="24"/>
  <c r="M179" i="24" s="1"/>
  <c r="M920" i="24"/>
  <c r="N179" i="24" s="1"/>
  <c r="N920" i="24"/>
  <c r="O179" i="24" s="1"/>
  <c r="O920" i="24"/>
  <c r="P179" i="24" s="1"/>
  <c r="P920" i="24"/>
  <c r="Q179" i="24" s="1"/>
  <c r="Q920" i="24"/>
  <c r="R179" i="24" s="1"/>
  <c r="R920" i="24"/>
  <c r="S179" i="24" s="1"/>
  <c r="S920" i="24"/>
  <c r="T179" i="24" s="1"/>
  <c r="T920" i="24"/>
  <c r="U179" i="24" s="1"/>
  <c r="U920" i="24"/>
  <c r="V179" i="24" s="1"/>
  <c r="V920" i="24"/>
  <c r="W179" i="24" s="1"/>
  <c r="W920" i="24"/>
  <c r="X179" i="24" s="1"/>
  <c r="X920" i="24"/>
  <c r="Y179" i="24" s="1"/>
  <c r="Y920" i="24"/>
  <c r="Z179" i="24" s="1"/>
  <c r="Z920" i="24"/>
  <c r="AA179" i="24" s="1"/>
  <c r="AA920" i="24"/>
  <c r="AB179" i="24" s="1"/>
  <c r="AB920" i="24"/>
  <c r="AC179" i="24" s="1"/>
  <c r="AC920" i="24"/>
  <c r="AD920" i="24"/>
  <c r="AF179" i="24" s="1"/>
  <c r="AE920" i="24"/>
  <c r="AG179" i="24" s="1"/>
  <c r="AF920" i="24"/>
  <c r="AH179" i="24" s="1"/>
  <c r="AG920" i="24"/>
  <c r="AI179" i="24" s="1"/>
  <c r="AH920" i="24"/>
  <c r="AJ179" i="24" s="1"/>
  <c r="AI919" i="24"/>
  <c r="AK179" i="24" s="1"/>
  <c r="AJ919" i="24"/>
  <c r="AL179" i="24" s="1"/>
  <c r="AK919" i="24"/>
  <c r="AM179" i="24" s="1"/>
  <c r="AL919" i="24"/>
  <c r="AN179" i="24" s="1"/>
  <c r="AM919" i="24"/>
  <c r="AO179" i="24" s="1"/>
  <c r="AN919" i="24"/>
  <c r="AP179" i="24" s="1"/>
  <c r="AO919" i="24"/>
  <c r="AQ179" i="24" s="1"/>
  <c r="AP919" i="24"/>
  <c r="AR179" i="24" s="1"/>
  <c r="AQ919" i="24"/>
  <c r="AS179" i="24" s="1"/>
  <c r="AR919" i="24"/>
  <c r="AT179" i="24" s="1"/>
  <c r="AS919" i="24"/>
  <c r="AU179" i="24" s="1"/>
  <c r="AT919" i="24"/>
  <c r="AV179" i="24" s="1"/>
  <c r="AU919" i="24"/>
  <c r="AW179" i="24" s="1"/>
  <c r="AV919" i="24"/>
  <c r="AX179" i="24" s="1"/>
  <c r="AW919" i="24"/>
  <c r="AY179" i="24" s="1"/>
  <c r="AX919" i="24"/>
  <c r="AZ179" i="24" s="1"/>
  <c r="AY919" i="24"/>
  <c r="BA179" i="24" s="1"/>
  <c r="AZ919" i="24"/>
  <c r="BB179" i="24" s="1"/>
  <c r="BA919" i="24"/>
  <c r="BC179" i="24" s="1"/>
  <c r="BB919" i="24"/>
  <c r="BD179" i="24" s="1"/>
  <c r="BC919" i="24"/>
  <c r="BE179" i="24" s="1"/>
  <c r="BD919" i="24"/>
  <c r="BF179" i="24" s="1"/>
  <c r="BE919" i="24"/>
  <c r="BG179" i="24" s="1"/>
  <c r="BF919" i="24"/>
  <c r="BH179" i="24" s="1"/>
  <c r="BG919" i="24"/>
  <c r="BI179" i="24" s="1"/>
  <c r="BH919" i="24"/>
  <c r="BJ179" i="24" s="1"/>
  <c r="BI919" i="24"/>
  <c r="BK179" i="24" s="1"/>
  <c r="BJ919" i="24"/>
  <c r="BL179" i="24" s="1"/>
  <c r="BK919" i="24"/>
  <c r="BM179" i="24" s="1"/>
  <c r="BL919" i="24"/>
  <c r="BN179" i="24" s="1"/>
  <c r="BM919" i="24"/>
  <c r="BO179" i="24" s="1"/>
  <c r="BN919" i="24"/>
  <c r="BP179" i="24" s="1"/>
  <c r="BO919" i="24"/>
  <c r="BQ179" i="24" s="1"/>
  <c r="BP919" i="24"/>
  <c r="BR179" i="24" s="1"/>
  <c r="BQ919" i="24"/>
  <c r="BS179" i="24" s="1"/>
  <c r="BR919" i="24"/>
  <c r="BT179" i="24" s="1"/>
  <c r="BS919" i="24"/>
  <c r="BU179" i="24" s="1"/>
  <c r="BT919" i="24"/>
  <c r="BV179" i="24" s="1"/>
  <c r="BU919" i="24"/>
  <c r="BW179" i="24" s="1"/>
  <c r="BV919" i="24"/>
  <c r="BX179" i="24" s="1"/>
  <c r="BW919" i="24"/>
  <c r="BY179" i="24" s="1"/>
  <c r="BX919" i="24"/>
  <c r="BZ179" i="24" s="1"/>
  <c r="BY919" i="24"/>
  <c r="CA179" i="24" s="1"/>
  <c r="BZ919" i="24"/>
  <c r="CB179" i="24" s="1"/>
  <c r="CA919" i="24"/>
  <c r="CC179" i="24" s="1"/>
  <c r="CB919" i="24"/>
  <c r="CD179" i="24" s="1"/>
  <c r="CC919" i="24"/>
  <c r="CE179" i="24" s="1"/>
  <c r="CD919" i="24"/>
  <c r="CF179" i="24" s="1"/>
  <c r="B921" i="24"/>
  <c r="C182" i="24" s="1"/>
  <c r="C921" i="24"/>
  <c r="D182" i="24" s="1"/>
  <c r="D921" i="24"/>
  <c r="E182" i="24" s="1"/>
  <c r="E921" i="24"/>
  <c r="F182" i="24" s="1"/>
  <c r="F921" i="24"/>
  <c r="G182" i="24" s="1"/>
  <c r="G921" i="24"/>
  <c r="H182" i="24" s="1"/>
  <c r="H921" i="24"/>
  <c r="I182" i="24" s="1"/>
  <c r="I921" i="24"/>
  <c r="J182" i="24" s="1"/>
  <c r="J921" i="24"/>
  <c r="K182" i="24" s="1"/>
  <c r="K921" i="24"/>
  <c r="L182" i="24" s="1"/>
  <c r="L921" i="24"/>
  <c r="M182" i="24" s="1"/>
  <c r="M921" i="24"/>
  <c r="N182" i="24" s="1"/>
  <c r="N921" i="24"/>
  <c r="O182" i="24" s="1"/>
  <c r="O921" i="24"/>
  <c r="P182" i="24" s="1"/>
  <c r="P921" i="24"/>
  <c r="Q182" i="24" s="1"/>
  <c r="Q921" i="24"/>
  <c r="R182" i="24" s="1"/>
  <c r="R921" i="24"/>
  <c r="S182" i="24" s="1"/>
  <c r="S921" i="24"/>
  <c r="T182" i="24" s="1"/>
  <c r="T921" i="24"/>
  <c r="U182" i="24" s="1"/>
  <c r="U921" i="24"/>
  <c r="V182" i="24" s="1"/>
  <c r="V921" i="24"/>
  <c r="W182" i="24" s="1"/>
  <c r="W921" i="24"/>
  <c r="X182" i="24" s="1"/>
  <c r="X921" i="24"/>
  <c r="Y182" i="24" s="1"/>
  <c r="Y921" i="24"/>
  <c r="Z182" i="24" s="1"/>
  <c r="Z921" i="24"/>
  <c r="AA182" i="24" s="1"/>
  <c r="AA921" i="24"/>
  <c r="AB182" i="24" s="1"/>
  <c r="AB921" i="24"/>
  <c r="AC182" i="24" s="1"/>
  <c r="AC921" i="24"/>
  <c r="AD921" i="24"/>
  <c r="AF182" i="24" s="1"/>
  <c r="AE921" i="24"/>
  <c r="AG182" i="24" s="1"/>
  <c r="AF921" i="24"/>
  <c r="AH182" i="24" s="1"/>
  <c r="AG921" i="24"/>
  <c r="AI182" i="24" s="1"/>
  <c r="AH921" i="24"/>
  <c r="AJ182" i="24" s="1"/>
  <c r="AI920" i="24"/>
  <c r="AK182" i="24" s="1"/>
  <c r="AJ920" i="24"/>
  <c r="AL182" i="24" s="1"/>
  <c r="AK920" i="24"/>
  <c r="AM182" i="24" s="1"/>
  <c r="AL920" i="24"/>
  <c r="AN182" i="24" s="1"/>
  <c r="AM920" i="24"/>
  <c r="AO182" i="24" s="1"/>
  <c r="AN920" i="24"/>
  <c r="AP182" i="24" s="1"/>
  <c r="AO920" i="24"/>
  <c r="AQ182" i="24" s="1"/>
  <c r="AP920" i="24"/>
  <c r="AR182" i="24" s="1"/>
  <c r="AQ920" i="24"/>
  <c r="AS182" i="24" s="1"/>
  <c r="AR920" i="24"/>
  <c r="AT182" i="24" s="1"/>
  <c r="AS920" i="24"/>
  <c r="AU182" i="24" s="1"/>
  <c r="AT920" i="24"/>
  <c r="AV182" i="24" s="1"/>
  <c r="AU920" i="24"/>
  <c r="AW182" i="24" s="1"/>
  <c r="AV920" i="24"/>
  <c r="AX182" i="24" s="1"/>
  <c r="AW920" i="24"/>
  <c r="AY182" i="24" s="1"/>
  <c r="AX920" i="24"/>
  <c r="AZ182" i="24" s="1"/>
  <c r="AY920" i="24"/>
  <c r="BA182" i="24" s="1"/>
  <c r="AZ920" i="24"/>
  <c r="BB182" i="24" s="1"/>
  <c r="BA920" i="24"/>
  <c r="BC182" i="24" s="1"/>
  <c r="BB920" i="24"/>
  <c r="BD182" i="24" s="1"/>
  <c r="BC920" i="24"/>
  <c r="BE182" i="24" s="1"/>
  <c r="BD920" i="24"/>
  <c r="BF182" i="24" s="1"/>
  <c r="BE920" i="24"/>
  <c r="BG182" i="24" s="1"/>
  <c r="BF920" i="24"/>
  <c r="BH182" i="24" s="1"/>
  <c r="BG920" i="24"/>
  <c r="BI182" i="24" s="1"/>
  <c r="BH920" i="24"/>
  <c r="BJ182" i="24" s="1"/>
  <c r="BI920" i="24"/>
  <c r="BK182" i="24" s="1"/>
  <c r="BJ920" i="24"/>
  <c r="BL182" i="24" s="1"/>
  <c r="BK920" i="24"/>
  <c r="BM182" i="24" s="1"/>
  <c r="BL920" i="24"/>
  <c r="BN182" i="24" s="1"/>
  <c r="BM920" i="24"/>
  <c r="BO182" i="24" s="1"/>
  <c r="BN920" i="24"/>
  <c r="BP182" i="24" s="1"/>
  <c r="BO920" i="24"/>
  <c r="BQ182" i="24" s="1"/>
  <c r="BP920" i="24"/>
  <c r="BR182" i="24" s="1"/>
  <c r="BQ920" i="24"/>
  <c r="BS182" i="24" s="1"/>
  <c r="BR920" i="24"/>
  <c r="BT182" i="24" s="1"/>
  <c r="BS920" i="24"/>
  <c r="BU182" i="24" s="1"/>
  <c r="BT920" i="24"/>
  <c r="BV182" i="24" s="1"/>
  <c r="BU920" i="24"/>
  <c r="BW182" i="24" s="1"/>
  <c r="BV920" i="24"/>
  <c r="BX182" i="24" s="1"/>
  <c r="BW920" i="24"/>
  <c r="BY182" i="24" s="1"/>
  <c r="BX920" i="24"/>
  <c r="BZ182" i="24" s="1"/>
  <c r="BY920" i="24"/>
  <c r="CA182" i="24" s="1"/>
  <c r="BZ920" i="24"/>
  <c r="CB182" i="24" s="1"/>
  <c r="CA920" i="24"/>
  <c r="CC182" i="24" s="1"/>
  <c r="CB920" i="24"/>
  <c r="CD182" i="24" s="1"/>
  <c r="CC920" i="24"/>
  <c r="CE182" i="24" s="1"/>
  <c r="CD920" i="24"/>
  <c r="CF182" i="24" s="1"/>
  <c r="B922" i="24"/>
  <c r="C186" i="24" s="1"/>
  <c r="C922" i="24"/>
  <c r="D186" i="24" s="1"/>
  <c r="D922" i="24"/>
  <c r="E186" i="24" s="1"/>
  <c r="E922" i="24"/>
  <c r="F186" i="24" s="1"/>
  <c r="F922" i="24"/>
  <c r="G186" i="24" s="1"/>
  <c r="G922" i="24"/>
  <c r="H186" i="24" s="1"/>
  <c r="H922" i="24"/>
  <c r="I186" i="24" s="1"/>
  <c r="I922" i="24"/>
  <c r="J186" i="24" s="1"/>
  <c r="J922" i="24"/>
  <c r="K186" i="24" s="1"/>
  <c r="K922" i="24"/>
  <c r="L186" i="24" s="1"/>
  <c r="L922" i="24"/>
  <c r="M186" i="24" s="1"/>
  <c r="M922" i="24"/>
  <c r="N186" i="24" s="1"/>
  <c r="N922" i="24"/>
  <c r="O186" i="24" s="1"/>
  <c r="O922" i="24"/>
  <c r="P186" i="24" s="1"/>
  <c r="P922" i="24"/>
  <c r="Q186" i="24" s="1"/>
  <c r="Q922" i="24"/>
  <c r="R186" i="24" s="1"/>
  <c r="R922" i="24"/>
  <c r="S186" i="24" s="1"/>
  <c r="S922" i="24"/>
  <c r="T186" i="24" s="1"/>
  <c r="T922" i="24"/>
  <c r="U186" i="24" s="1"/>
  <c r="U922" i="24"/>
  <c r="V186" i="24" s="1"/>
  <c r="V922" i="24"/>
  <c r="W186" i="24" s="1"/>
  <c r="W922" i="24"/>
  <c r="X186" i="24" s="1"/>
  <c r="X922" i="24"/>
  <c r="Y186" i="24" s="1"/>
  <c r="Y922" i="24"/>
  <c r="Z186" i="24" s="1"/>
  <c r="Z922" i="24"/>
  <c r="AA186" i="24" s="1"/>
  <c r="AA922" i="24"/>
  <c r="AB186" i="24" s="1"/>
  <c r="AB922" i="24"/>
  <c r="AC186" i="24" s="1"/>
  <c r="AC922" i="24"/>
  <c r="AD922" i="24"/>
  <c r="AF186" i="24" s="1"/>
  <c r="AE922" i="24"/>
  <c r="AG186" i="24" s="1"/>
  <c r="AF922" i="24"/>
  <c r="AH186" i="24" s="1"/>
  <c r="AG922" i="24"/>
  <c r="AI186" i="24" s="1"/>
  <c r="AH922" i="24"/>
  <c r="AJ186" i="24" s="1"/>
  <c r="AI921" i="24"/>
  <c r="AK186" i="24" s="1"/>
  <c r="AJ921" i="24"/>
  <c r="AL186" i="24" s="1"/>
  <c r="AK921" i="24"/>
  <c r="AM186" i="24" s="1"/>
  <c r="AL921" i="24"/>
  <c r="AN186" i="24" s="1"/>
  <c r="AM921" i="24"/>
  <c r="AO186" i="24" s="1"/>
  <c r="AN921" i="24"/>
  <c r="AP186" i="24" s="1"/>
  <c r="AO921" i="24"/>
  <c r="AQ186" i="24" s="1"/>
  <c r="AP921" i="24"/>
  <c r="AR186" i="24" s="1"/>
  <c r="AQ921" i="24"/>
  <c r="AS186" i="24" s="1"/>
  <c r="AR921" i="24"/>
  <c r="AT186" i="24" s="1"/>
  <c r="AS921" i="24"/>
  <c r="AU186" i="24" s="1"/>
  <c r="AT921" i="24"/>
  <c r="AV186" i="24" s="1"/>
  <c r="AU921" i="24"/>
  <c r="AW186" i="24" s="1"/>
  <c r="AV921" i="24"/>
  <c r="AX186" i="24" s="1"/>
  <c r="AW921" i="24"/>
  <c r="AY186" i="24" s="1"/>
  <c r="AX921" i="24"/>
  <c r="AZ186" i="24" s="1"/>
  <c r="AY921" i="24"/>
  <c r="BA186" i="24" s="1"/>
  <c r="AZ921" i="24"/>
  <c r="BB186" i="24" s="1"/>
  <c r="BA921" i="24"/>
  <c r="BC186" i="24" s="1"/>
  <c r="BB921" i="24"/>
  <c r="BD186" i="24" s="1"/>
  <c r="BC921" i="24"/>
  <c r="BE186" i="24" s="1"/>
  <c r="BD921" i="24"/>
  <c r="BF186" i="24" s="1"/>
  <c r="BE921" i="24"/>
  <c r="BG186" i="24" s="1"/>
  <c r="BF921" i="24"/>
  <c r="BH186" i="24" s="1"/>
  <c r="BG921" i="24"/>
  <c r="BI186" i="24" s="1"/>
  <c r="BH921" i="24"/>
  <c r="BJ186" i="24" s="1"/>
  <c r="BI921" i="24"/>
  <c r="BK186" i="24" s="1"/>
  <c r="BJ921" i="24"/>
  <c r="BL186" i="24" s="1"/>
  <c r="BK921" i="24"/>
  <c r="BM186" i="24" s="1"/>
  <c r="BL921" i="24"/>
  <c r="BN186" i="24" s="1"/>
  <c r="BM921" i="24"/>
  <c r="BO186" i="24" s="1"/>
  <c r="BN921" i="24"/>
  <c r="BP186" i="24" s="1"/>
  <c r="BO921" i="24"/>
  <c r="BQ186" i="24" s="1"/>
  <c r="BP921" i="24"/>
  <c r="BR186" i="24" s="1"/>
  <c r="BQ921" i="24"/>
  <c r="BS186" i="24" s="1"/>
  <c r="BR921" i="24"/>
  <c r="BT186" i="24" s="1"/>
  <c r="BS921" i="24"/>
  <c r="BU186" i="24" s="1"/>
  <c r="BT921" i="24"/>
  <c r="BV186" i="24" s="1"/>
  <c r="BU921" i="24"/>
  <c r="BW186" i="24" s="1"/>
  <c r="BV921" i="24"/>
  <c r="BX186" i="24" s="1"/>
  <c r="BW921" i="24"/>
  <c r="BY186" i="24" s="1"/>
  <c r="BX921" i="24"/>
  <c r="BZ186" i="24" s="1"/>
  <c r="BY921" i="24"/>
  <c r="CA186" i="24" s="1"/>
  <c r="BZ921" i="24"/>
  <c r="CB186" i="24" s="1"/>
  <c r="CA921" i="24"/>
  <c r="CC186" i="24" s="1"/>
  <c r="CB921" i="24"/>
  <c r="CD186" i="24" s="1"/>
  <c r="CC921" i="24"/>
  <c r="CE186" i="24" s="1"/>
  <c r="CD921" i="24"/>
  <c r="CF186" i="24" s="1"/>
  <c r="B923" i="24"/>
  <c r="C187" i="24" s="1"/>
  <c r="C923" i="24"/>
  <c r="D187" i="24" s="1"/>
  <c r="D923" i="24"/>
  <c r="E187" i="24" s="1"/>
  <c r="E923" i="24"/>
  <c r="F187" i="24" s="1"/>
  <c r="F923" i="24"/>
  <c r="G187" i="24" s="1"/>
  <c r="G923" i="24"/>
  <c r="H187" i="24" s="1"/>
  <c r="H923" i="24"/>
  <c r="I187" i="24" s="1"/>
  <c r="I923" i="24"/>
  <c r="J187" i="24" s="1"/>
  <c r="J923" i="24"/>
  <c r="K187" i="24" s="1"/>
  <c r="K923" i="24"/>
  <c r="L187" i="24" s="1"/>
  <c r="L923" i="24"/>
  <c r="M187" i="24" s="1"/>
  <c r="M923" i="24"/>
  <c r="N187" i="24" s="1"/>
  <c r="N923" i="24"/>
  <c r="O187" i="24" s="1"/>
  <c r="O923" i="24"/>
  <c r="P187" i="24" s="1"/>
  <c r="P923" i="24"/>
  <c r="Q187" i="24" s="1"/>
  <c r="Q923" i="24"/>
  <c r="R187" i="24" s="1"/>
  <c r="R923" i="24"/>
  <c r="S187" i="24" s="1"/>
  <c r="S923" i="24"/>
  <c r="T187" i="24" s="1"/>
  <c r="T923" i="24"/>
  <c r="U187" i="24" s="1"/>
  <c r="U923" i="24"/>
  <c r="V187" i="24" s="1"/>
  <c r="V923" i="24"/>
  <c r="W187" i="24" s="1"/>
  <c r="W923" i="24"/>
  <c r="X187" i="24" s="1"/>
  <c r="X923" i="24"/>
  <c r="Y187" i="24" s="1"/>
  <c r="Y923" i="24"/>
  <c r="Z187" i="24" s="1"/>
  <c r="Z923" i="24"/>
  <c r="AA187" i="24" s="1"/>
  <c r="AA923" i="24"/>
  <c r="AB187" i="24" s="1"/>
  <c r="AB923" i="24"/>
  <c r="AC187" i="24" s="1"/>
  <c r="AC923" i="24"/>
  <c r="AD923" i="24"/>
  <c r="AF187" i="24" s="1"/>
  <c r="AE923" i="24"/>
  <c r="AG187" i="24" s="1"/>
  <c r="AF923" i="24"/>
  <c r="AH187" i="24" s="1"/>
  <c r="AG923" i="24"/>
  <c r="AI187" i="24" s="1"/>
  <c r="AH923" i="24"/>
  <c r="AJ187" i="24" s="1"/>
  <c r="AI922" i="24"/>
  <c r="AK187" i="24" s="1"/>
  <c r="AJ922" i="24"/>
  <c r="AL187" i="24" s="1"/>
  <c r="AK922" i="24"/>
  <c r="AM187" i="24" s="1"/>
  <c r="AL922" i="24"/>
  <c r="AN187" i="24" s="1"/>
  <c r="AM922" i="24"/>
  <c r="AO187" i="24" s="1"/>
  <c r="AN922" i="24"/>
  <c r="AP187" i="24" s="1"/>
  <c r="AO922" i="24"/>
  <c r="AQ187" i="24" s="1"/>
  <c r="AP922" i="24"/>
  <c r="AR187" i="24" s="1"/>
  <c r="AQ922" i="24"/>
  <c r="AS187" i="24" s="1"/>
  <c r="AR922" i="24"/>
  <c r="AT187" i="24" s="1"/>
  <c r="AS922" i="24"/>
  <c r="AU187" i="24" s="1"/>
  <c r="AT922" i="24"/>
  <c r="AV187" i="24" s="1"/>
  <c r="AU922" i="24"/>
  <c r="AW187" i="24" s="1"/>
  <c r="AV922" i="24"/>
  <c r="AX187" i="24" s="1"/>
  <c r="AW922" i="24"/>
  <c r="AY187" i="24" s="1"/>
  <c r="AX922" i="24"/>
  <c r="AZ187" i="24" s="1"/>
  <c r="AY922" i="24"/>
  <c r="BA187" i="24" s="1"/>
  <c r="AZ922" i="24"/>
  <c r="BB187" i="24" s="1"/>
  <c r="BA922" i="24"/>
  <c r="BC187" i="24" s="1"/>
  <c r="BB922" i="24"/>
  <c r="BD187" i="24" s="1"/>
  <c r="BC922" i="24"/>
  <c r="BE187" i="24" s="1"/>
  <c r="BD922" i="24"/>
  <c r="BF187" i="24" s="1"/>
  <c r="BE922" i="24"/>
  <c r="BG187" i="24" s="1"/>
  <c r="BF922" i="24"/>
  <c r="BH187" i="24" s="1"/>
  <c r="BG922" i="24"/>
  <c r="BI187" i="24" s="1"/>
  <c r="BH922" i="24"/>
  <c r="BJ187" i="24" s="1"/>
  <c r="BI922" i="24"/>
  <c r="BK187" i="24" s="1"/>
  <c r="BJ922" i="24"/>
  <c r="BL187" i="24" s="1"/>
  <c r="BK922" i="24"/>
  <c r="BM187" i="24" s="1"/>
  <c r="BL922" i="24"/>
  <c r="BN187" i="24" s="1"/>
  <c r="BM922" i="24"/>
  <c r="BO187" i="24" s="1"/>
  <c r="BN922" i="24"/>
  <c r="BP187" i="24" s="1"/>
  <c r="BO922" i="24"/>
  <c r="BQ187" i="24" s="1"/>
  <c r="BP922" i="24"/>
  <c r="BR187" i="24" s="1"/>
  <c r="BQ922" i="24"/>
  <c r="BS187" i="24" s="1"/>
  <c r="BR922" i="24"/>
  <c r="BT187" i="24" s="1"/>
  <c r="BS922" i="24"/>
  <c r="BU187" i="24" s="1"/>
  <c r="BT922" i="24"/>
  <c r="BV187" i="24" s="1"/>
  <c r="BU922" i="24"/>
  <c r="BW187" i="24" s="1"/>
  <c r="BV922" i="24"/>
  <c r="BX187" i="24" s="1"/>
  <c r="BW922" i="24"/>
  <c r="BY187" i="24" s="1"/>
  <c r="BX922" i="24"/>
  <c r="BZ187" i="24" s="1"/>
  <c r="BY922" i="24"/>
  <c r="CA187" i="24" s="1"/>
  <c r="BZ922" i="24"/>
  <c r="CB187" i="24" s="1"/>
  <c r="CA922" i="24"/>
  <c r="CC187" i="24" s="1"/>
  <c r="CB922" i="24"/>
  <c r="CD187" i="24" s="1"/>
  <c r="CC922" i="24"/>
  <c r="CE187" i="24" s="1"/>
  <c r="CD922" i="24"/>
  <c r="CF187" i="24" s="1"/>
  <c r="B924" i="24"/>
  <c r="C188" i="24" s="1"/>
  <c r="C924" i="24"/>
  <c r="D188" i="24" s="1"/>
  <c r="D924" i="24"/>
  <c r="E188" i="24" s="1"/>
  <c r="E924" i="24"/>
  <c r="F188" i="24" s="1"/>
  <c r="F924" i="24"/>
  <c r="G188" i="24" s="1"/>
  <c r="G924" i="24"/>
  <c r="H188" i="24" s="1"/>
  <c r="H924" i="24"/>
  <c r="I188" i="24" s="1"/>
  <c r="I924" i="24"/>
  <c r="J188" i="24" s="1"/>
  <c r="J924" i="24"/>
  <c r="K188" i="24" s="1"/>
  <c r="K924" i="24"/>
  <c r="L188" i="24" s="1"/>
  <c r="L924" i="24"/>
  <c r="M188" i="24" s="1"/>
  <c r="M924" i="24"/>
  <c r="N188" i="24" s="1"/>
  <c r="N924" i="24"/>
  <c r="O188" i="24" s="1"/>
  <c r="O924" i="24"/>
  <c r="P188" i="24" s="1"/>
  <c r="P924" i="24"/>
  <c r="Q188" i="24" s="1"/>
  <c r="Q924" i="24"/>
  <c r="R188" i="24" s="1"/>
  <c r="R924" i="24"/>
  <c r="S188" i="24" s="1"/>
  <c r="S924" i="24"/>
  <c r="T188" i="24" s="1"/>
  <c r="T924" i="24"/>
  <c r="U188" i="24" s="1"/>
  <c r="U924" i="24"/>
  <c r="V188" i="24" s="1"/>
  <c r="V924" i="24"/>
  <c r="W188" i="24" s="1"/>
  <c r="W924" i="24"/>
  <c r="X188" i="24" s="1"/>
  <c r="X924" i="24"/>
  <c r="Y188" i="24" s="1"/>
  <c r="Y924" i="24"/>
  <c r="Z188" i="24" s="1"/>
  <c r="Z924" i="24"/>
  <c r="AA188" i="24" s="1"/>
  <c r="AA924" i="24"/>
  <c r="AB188" i="24" s="1"/>
  <c r="AB924" i="24"/>
  <c r="AC188" i="24" s="1"/>
  <c r="AC924" i="24"/>
  <c r="AD924" i="24"/>
  <c r="AF188" i="24" s="1"/>
  <c r="AE924" i="24"/>
  <c r="AG188" i="24" s="1"/>
  <c r="AF924" i="24"/>
  <c r="AH188" i="24" s="1"/>
  <c r="AG924" i="24"/>
  <c r="AI188" i="24" s="1"/>
  <c r="AH924" i="24"/>
  <c r="AJ188" i="24" s="1"/>
  <c r="AI923" i="24"/>
  <c r="AK188" i="24" s="1"/>
  <c r="AJ923" i="24"/>
  <c r="AL188" i="24" s="1"/>
  <c r="AK923" i="24"/>
  <c r="AM188" i="24" s="1"/>
  <c r="AL923" i="24"/>
  <c r="AN188" i="24" s="1"/>
  <c r="AM923" i="24"/>
  <c r="AO188" i="24" s="1"/>
  <c r="AN923" i="24"/>
  <c r="AP188" i="24" s="1"/>
  <c r="AO923" i="24"/>
  <c r="AQ188" i="24" s="1"/>
  <c r="AP923" i="24"/>
  <c r="AR188" i="24" s="1"/>
  <c r="AQ923" i="24"/>
  <c r="AS188" i="24" s="1"/>
  <c r="AR923" i="24"/>
  <c r="AT188" i="24" s="1"/>
  <c r="AS923" i="24"/>
  <c r="AU188" i="24" s="1"/>
  <c r="AT923" i="24"/>
  <c r="AV188" i="24" s="1"/>
  <c r="AU923" i="24"/>
  <c r="AW188" i="24" s="1"/>
  <c r="AV923" i="24"/>
  <c r="AX188" i="24" s="1"/>
  <c r="AW923" i="24"/>
  <c r="AY188" i="24" s="1"/>
  <c r="AX923" i="24"/>
  <c r="AZ188" i="24" s="1"/>
  <c r="AY923" i="24"/>
  <c r="BA188" i="24" s="1"/>
  <c r="AZ923" i="24"/>
  <c r="BB188" i="24" s="1"/>
  <c r="BA923" i="24"/>
  <c r="BC188" i="24" s="1"/>
  <c r="BB923" i="24"/>
  <c r="BD188" i="24" s="1"/>
  <c r="BC923" i="24"/>
  <c r="BE188" i="24" s="1"/>
  <c r="BD923" i="24"/>
  <c r="BF188" i="24" s="1"/>
  <c r="BE923" i="24"/>
  <c r="BG188" i="24" s="1"/>
  <c r="BF923" i="24"/>
  <c r="BH188" i="24" s="1"/>
  <c r="BG923" i="24"/>
  <c r="BI188" i="24" s="1"/>
  <c r="BH923" i="24"/>
  <c r="BJ188" i="24" s="1"/>
  <c r="BI923" i="24"/>
  <c r="BK188" i="24" s="1"/>
  <c r="BJ923" i="24"/>
  <c r="BL188" i="24" s="1"/>
  <c r="BK923" i="24"/>
  <c r="BM188" i="24" s="1"/>
  <c r="BL923" i="24"/>
  <c r="BN188" i="24" s="1"/>
  <c r="BM923" i="24"/>
  <c r="BO188" i="24" s="1"/>
  <c r="BN923" i="24"/>
  <c r="BP188" i="24" s="1"/>
  <c r="BO923" i="24"/>
  <c r="BQ188" i="24" s="1"/>
  <c r="BP923" i="24"/>
  <c r="BR188" i="24" s="1"/>
  <c r="BQ923" i="24"/>
  <c r="BS188" i="24" s="1"/>
  <c r="BR923" i="24"/>
  <c r="BT188" i="24" s="1"/>
  <c r="BS923" i="24"/>
  <c r="BU188" i="24" s="1"/>
  <c r="BT923" i="24"/>
  <c r="BV188" i="24" s="1"/>
  <c r="BU923" i="24"/>
  <c r="BW188" i="24" s="1"/>
  <c r="BV923" i="24"/>
  <c r="BX188" i="24" s="1"/>
  <c r="BW923" i="24"/>
  <c r="BY188" i="24" s="1"/>
  <c r="BX923" i="24"/>
  <c r="BZ188" i="24" s="1"/>
  <c r="BY923" i="24"/>
  <c r="CA188" i="24" s="1"/>
  <c r="BZ923" i="24"/>
  <c r="CB188" i="24" s="1"/>
  <c r="CA923" i="24"/>
  <c r="CC188" i="24" s="1"/>
  <c r="CB923" i="24"/>
  <c r="CD188" i="24" s="1"/>
  <c r="CC923" i="24"/>
  <c r="CE188" i="24" s="1"/>
  <c r="CD923" i="24"/>
  <c r="CF188" i="24" s="1"/>
  <c r="B925" i="24"/>
  <c r="C189" i="24" s="1"/>
  <c r="C925" i="24"/>
  <c r="D189" i="24" s="1"/>
  <c r="D925" i="24"/>
  <c r="E189" i="24" s="1"/>
  <c r="E925" i="24"/>
  <c r="F189" i="24" s="1"/>
  <c r="F925" i="24"/>
  <c r="G189" i="24" s="1"/>
  <c r="G925" i="24"/>
  <c r="H189" i="24" s="1"/>
  <c r="H925" i="24"/>
  <c r="I189" i="24" s="1"/>
  <c r="I925" i="24"/>
  <c r="J189" i="24" s="1"/>
  <c r="J925" i="24"/>
  <c r="K189" i="24" s="1"/>
  <c r="K925" i="24"/>
  <c r="L189" i="24" s="1"/>
  <c r="L925" i="24"/>
  <c r="M189" i="24" s="1"/>
  <c r="M925" i="24"/>
  <c r="N189" i="24" s="1"/>
  <c r="N925" i="24"/>
  <c r="O189" i="24" s="1"/>
  <c r="O925" i="24"/>
  <c r="P189" i="24" s="1"/>
  <c r="P925" i="24"/>
  <c r="Q189" i="24" s="1"/>
  <c r="Q925" i="24"/>
  <c r="R189" i="24" s="1"/>
  <c r="R925" i="24"/>
  <c r="S189" i="24" s="1"/>
  <c r="S925" i="24"/>
  <c r="T189" i="24" s="1"/>
  <c r="T925" i="24"/>
  <c r="U189" i="24" s="1"/>
  <c r="U925" i="24"/>
  <c r="V189" i="24" s="1"/>
  <c r="V925" i="24"/>
  <c r="W189" i="24" s="1"/>
  <c r="W925" i="24"/>
  <c r="X189" i="24" s="1"/>
  <c r="X925" i="24"/>
  <c r="Y189" i="24" s="1"/>
  <c r="Y925" i="24"/>
  <c r="Z189" i="24" s="1"/>
  <c r="Z925" i="24"/>
  <c r="AA189" i="24" s="1"/>
  <c r="AA925" i="24"/>
  <c r="AB189" i="24" s="1"/>
  <c r="AB925" i="24"/>
  <c r="AC189" i="24" s="1"/>
  <c r="AC925" i="24"/>
  <c r="AD925" i="24"/>
  <c r="AF189" i="24" s="1"/>
  <c r="AE925" i="24"/>
  <c r="AG189" i="24" s="1"/>
  <c r="AF925" i="24"/>
  <c r="AH189" i="24" s="1"/>
  <c r="AG925" i="24"/>
  <c r="AI189" i="24" s="1"/>
  <c r="AH925" i="24"/>
  <c r="AJ189" i="24" s="1"/>
  <c r="AI924" i="24"/>
  <c r="AK189" i="24" s="1"/>
  <c r="AJ924" i="24"/>
  <c r="AL189" i="24" s="1"/>
  <c r="AK924" i="24"/>
  <c r="AM189" i="24" s="1"/>
  <c r="AL924" i="24"/>
  <c r="AN189" i="24" s="1"/>
  <c r="AM924" i="24"/>
  <c r="AO189" i="24" s="1"/>
  <c r="AN924" i="24"/>
  <c r="AP189" i="24" s="1"/>
  <c r="AO924" i="24"/>
  <c r="AQ189" i="24" s="1"/>
  <c r="AP924" i="24"/>
  <c r="AR189" i="24" s="1"/>
  <c r="AQ924" i="24"/>
  <c r="AS189" i="24" s="1"/>
  <c r="AR924" i="24"/>
  <c r="AT189" i="24" s="1"/>
  <c r="AS924" i="24"/>
  <c r="AU189" i="24" s="1"/>
  <c r="AT924" i="24"/>
  <c r="AV189" i="24" s="1"/>
  <c r="AU924" i="24"/>
  <c r="AW189" i="24" s="1"/>
  <c r="AV924" i="24"/>
  <c r="AX189" i="24" s="1"/>
  <c r="AW924" i="24"/>
  <c r="AY189" i="24" s="1"/>
  <c r="AX924" i="24"/>
  <c r="AZ189" i="24" s="1"/>
  <c r="AY924" i="24"/>
  <c r="BA189" i="24" s="1"/>
  <c r="AZ924" i="24"/>
  <c r="BB189" i="24" s="1"/>
  <c r="BA924" i="24"/>
  <c r="BC189" i="24" s="1"/>
  <c r="BB924" i="24"/>
  <c r="BD189" i="24" s="1"/>
  <c r="BC924" i="24"/>
  <c r="BE189" i="24" s="1"/>
  <c r="BD924" i="24"/>
  <c r="BF189" i="24" s="1"/>
  <c r="BE924" i="24"/>
  <c r="BG189" i="24" s="1"/>
  <c r="BF924" i="24"/>
  <c r="BH189" i="24" s="1"/>
  <c r="BG924" i="24"/>
  <c r="BI189" i="24" s="1"/>
  <c r="BH924" i="24"/>
  <c r="BJ189" i="24" s="1"/>
  <c r="BI924" i="24"/>
  <c r="BK189" i="24" s="1"/>
  <c r="BJ924" i="24"/>
  <c r="BL189" i="24" s="1"/>
  <c r="BK924" i="24"/>
  <c r="BM189" i="24" s="1"/>
  <c r="BL924" i="24"/>
  <c r="BN189" i="24" s="1"/>
  <c r="BM924" i="24"/>
  <c r="BO189" i="24" s="1"/>
  <c r="BN924" i="24"/>
  <c r="BP189" i="24" s="1"/>
  <c r="BO924" i="24"/>
  <c r="BQ189" i="24" s="1"/>
  <c r="BP924" i="24"/>
  <c r="BR189" i="24" s="1"/>
  <c r="BQ924" i="24"/>
  <c r="BS189" i="24" s="1"/>
  <c r="BR924" i="24"/>
  <c r="BT189" i="24" s="1"/>
  <c r="BS924" i="24"/>
  <c r="BU189" i="24" s="1"/>
  <c r="BT924" i="24"/>
  <c r="BV189" i="24" s="1"/>
  <c r="BU924" i="24"/>
  <c r="BW189" i="24" s="1"/>
  <c r="BV924" i="24"/>
  <c r="BX189" i="24" s="1"/>
  <c r="BW924" i="24"/>
  <c r="BY189" i="24" s="1"/>
  <c r="BX924" i="24"/>
  <c r="BZ189" i="24" s="1"/>
  <c r="BY924" i="24"/>
  <c r="CA189" i="24" s="1"/>
  <c r="BZ924" i="24"/>
  <c r="CB189" i="24" s="1"/>
  <c r="CA924" i="24"/>
  <c r="CC189" i="24" s="1"/>
  <c r="CB924" i="24"/>
  <c r="CD189" i="24" s="1"/>
  <c r="CC924" i="24"/>
  <c r="CE189" i="24" s="1"/>
  <c r="CD924" i="24"/>
  <c r="CF189" i="24" s="1"/>
  <c r="CD904" i="24"/>
  <c r="CF134" i="24" s="1"/>
  <c r="CC904" i="24"/>
  <c r="CE134" i="24" s="1"/>
  <c r="CB904" i="24"/>
  <c r="CD134" i="24" s="1"/>
  <c r="CA904" i="24"/>
  <c r="CC134" i="24" s="1"/>
  <c r="BZ904" i="24"/>
  <c r="CB134" i="24" s="1"/>
  <c r="BY904" i="24"/>
  <c r="CA134" i="24" s="1"/>
  <c r="BX904" i="24"/>
  <c r="BZ134" i="24" s="1"/>
  <c r="BW904" i="24"/>
  <c r="BY134" i="24" s="1"/>
  <c r="B39" i="28" l="1"/>
  <c r="D39" i="28" s="1"/>
  <c r="AD170" i="24"/>
  <c r="AE170" i="24"/>
  <c r="AD167" i="24"/>
  <c r="AE167" i="24"/>
  <c r="AD155" i="24"/>
  <c r="AE155" i="24"/>
  <c r="AD189" i="24"/>
  <c r="AE189" i="24"/>
  <c r="AD151" i="24"/>
  <c r="AE151" i="24"/>
  <c r="AD188" i="24"/>
  <c r="AE188" i="24"/>
  <c r="AD150" i="24"/>
  <c r="AE150" i="24"/>
  <c r="AD187" i="24"/>
  <c r="AE187" i="24"/>
  <c r="AD149" i="24"/>
  <c r="AE149" i="24"/>
  <c r="AD186" i="24"/>
  <c r="AE186" i="24"/>
  <c r="AD143" i="24"/>
  <c r="AE143" i="24"/>
  <c r="AD182" i="24"/>
  <c r="AE182" i="24"/>
  <c r="AD212" i="24"/>
  <c r="AE212" i="24"/>
  <c r="AD179" i="24"/>
  <c r="AE179" i="24"/>
  <c r="AD208" i="24"/>
  <c r="AE208" i="24"/>
  <c r="AD162" i="24"/>
  <c r="AE162" i="24"/>
  <c r="AD160" i="24"/>
  <c r="AE160" i="24"/>
  <c r="AD177" i="24"/>
  <c r="AE177" i="24"/>
  <c r="AD202" i="24"/>
  <c r="AE202" i="24"/>
  <c r="AD199" i="24"/>
  <c r="AE199" i="24"/>
  <c r="AD176" i="24"/>
  <c r="AE176" i="24"/>
  <c r="AD223" i="24"/>
  <c r="AE223" i="24"/>
  <c r="AD175" i="24"/>
  <c r="AE175" i="24"/>
  <c r="AD171" i="24"/>
  <c r="AE171" i="24"/>
  <c r="B59" i="16"/>
  <c r="C28" i="28" s="1"/>
  <c r="C52" i="16"/>
  <c r="C54" i="16"/>
  <c r="C55" i="16"/>
  <c r="C56" i="16"/>
  <c r="C53" i="16"/>
  <c r="BV904" i="24"/>
  <c r="BX134" i="24" s="1"/>
  <c r="BU904" i="24"/>
  <c r="BW134" i="24" s="1"/>
  <c r="BT904" i="24"/>
  <c r="BV134" i="24" s="1"/>
  <c r="BS904" i="24"/>
  <c r="BU134" i="24" s="1"/>
  <c r="BR904" i="24"/>
  <c r="BT134" i="24" s="1"/>
  <c r="BQ904" i="24"/>
  <c r="BS134" i="24" s="1"/>
  <c r="BP904" i="24"/>
  <c r="BR134" i="24" s="1"/>
  <c r="BO904" i="24"/>
  <c r="BQ134" i="24" s="1"/>
  <c r="BN904" i="24"/>
  <c r="BP134" i="24" s="1"/>
  <c r="BM904" i="24"/>
  <c r="BO134" i="24" s="1"/>
  <c r="BL904" i="24"/>
  <c r="BN134" i="24" s="1"/>
  <c r="BK904" i="24"/>
  <c r="BM134" i="24" s="1"/>
  <c r="BJ904" i="24"/>
  <c r="BL134" i="24" s="1"/>
  <c r="BI904" i="24"/>
  <c r="BK134" i="24" s="1"/>
  <c r="BH904" i="24"/>
  <c r="BJ134" i="24" s="1"/>
  <c r="BG904" i="24"/>
  <c r="BI134" i="24" s="1"/>
  <c r="BF904" i="24"/>
  <c r="BH134" i="24" s="1"/>
  <c r="BE904" i="24"/>
  <c r="BG134" i="24" s="1"/>
  <c r="BD904" i="24"/>
  <c r="BF134" i="24" s="1"/>
  <c r="BC904" i="24"/>
  <c r="BE134" i="24" s="1"/>
  <c r="BB904" i="24"/>
  <c r="BD134" i="24" s="1"/>
  <c r="BA904" i="24"/>
  <c r="BC134" i="24" s="1"/>
  <c r="AZ904" i="24"/>
  <c r="BB134" i="24" s="1"/>
  <c r="AY904" i="24"/>
  <c r="BA134" i="24" s="1"/>
  <c r="AX904" i="24"/>
  <c r="AZ134" i="24" s="1"/>
  <c r="AW904" i="24"/>
  <c r="AY134" i="24" s="1"/>
  <c r="AV904" i="24"/>
  <c r="AX134" i="24" s="1"/>
  <c r="AU904" i="24"/>
  <c r="AW134" i="24" s="1"/>
  <c r="AT904" i="24"/>
  <c r="AV134" i="24" s="1"/>
  <c r="AS904" i="24"/>
  <c r="AU134" i="24" s="1"/>
  <c r="AR904" i="24"/>
  <c r="AT134" i="24" s="1"/>
  <c r="AQ904" i="24"/>
  <c r="AS134" i="24" s="1"/>
  <c r="AP904" i="24"/>
  <c r="AR134" i="24" s="1"/>
  <c r="AO904" i="24"/>
  <c r="AQ134" i="24" s="1"/>
  <c r="AN904" i="24"/>
  <c r="AP134" i="24" s="1"/>
  <c r="AM904" i="24"/>
  <c r="AO134" i="24" s="1"/>
  <c r="AL904" i="24"/>
  <c r="AN134" i="24" s="1"/>
  <c r="AK904" i="24"/>
  <c r="AM134" i="24" s="1"/>
  <c r="AJ904" i="24"/>
  <c r="AL134" i="24" s="1"/>
  <c r="AI904" i="24"/>
  <c r="AK134" i="24" s="1"/>
  <c r="AH905" i="24"/>
  <c r="AJ134" i="24" s="1"/>
  <c r="AG905" i="24"/>
  <c r="AI134" i="24" s="1"/>
  <c r="AF905" i="24"/>
  <c r="AH134" i="24" s="1"/>
  <c r="AE905" i="24"/>
  <c r="AG134" i="24" s="1"/>
  <c r="AD905" i="24"/>
  <c r="AF134" i="24" s="1"/>
  <c r="AC905" i="24"/>
  <c r="AB905" i="24"/>
  <c r="AC134" i="24" s="1"/>
  <c r="AA905" i="24"/>
  <c r="AB134" i="24" s="1"/>
  <c r="Z905" i="24"/>
  <c r="AA134" i="24" s="1"/>
  <c r="Y905" i="24"/>
  <c r="Z134" i="24" s="1"/>
  <c r="X905" i="24"/>
  <c r="Y134" i="24" s="1"/>
  <c r="W905" i="24"/>
  <c r="X134" i="24" s="1"/>
  <c r="V905" i="24"/>
  <c r="W134" i="24" s="1"/>
  <c r="U905" i="24"/>
  <c r="V134" i="24" s="1"/>
  <c r="T905" i="24"/>
  <c r="U134" i="24" s="1"/>
  <c r="S905" i="24"/>
  <c r="T134" i="24" s="1"/>
  <c r="R905" i="24"/>
  <c r="S134" i="24" s="1"/>
  <c r="Q905" i="24"/>
  <c r="R134" i="24" s="1"/>
  <c r="P905" i="24"/>
  <c r="Q134" i="24" s="1"/>
  <c r="O905" i="24"/>
  <c r="P134" i="24" s="1"/>
  <c r="N905" i="24"/>
  <c r="O134" i="24" s="1"/>
  <c r="M905" i="24"/>
  <c r="N134" i="24" s="1"/>
  <c r="L905" i="24"/>
  <c r="M134" i="24" s="1"/>
  <c r="K905" i="24"/>
  <c r="L134" i="24" s="1"/>
  <c r="J905" i="24"/>
  <c r="K134" i="24" s="1"/>
  <c r="I905" i="24"/>
  <c r="J134" i="24" s="1"/>
  <c r="H905" i="24"/>
  <c r="I134" i="24" s="1"/>
  <c r="G905" i="24"/>
  <c r="H134" i="24" s="1"/>
  <c r="F905" i="24"/>
  <c r="G134" i="24" s="1"/>
  <c r="E905" i="24"/>
  <c r="F134" i="24" s="1"/>
  <c r="D905" i="24"/>
  <c r="E134" i="24" s="1"/>
  <c r="C905" i="24"/>
  <c r="D134" i="24" s="1"/>
  <c r="B905" i="24"/>
  <c r="C134" i="24" s="1"/>
  <c r="BT903" i="24"/>
  <c r="BS903" i="24"/>
  <c r="CE577" i="24"/>
  <c r="CE578" i="24"/>
  <c r="CE579" i="24"/>
  <c r="CE580" i="24"/>
  <c r="CE581" i="24"/>
  <c r="CE582" i="24"/>
  <c r="CE583" i="24"/>
  <c r="CE576" i="24"/>
  <c r="CF209" i="24" s="1"/>
  <c r="CC576" i="24"/>
  <c r="CD226" i="24" s="1"/>
  <c r="CD576" i="24"/>
  <c r="CE225" i="24" s="1"/>
  <c r="CC577" i="24"/>
  <c r="CD577" i="24"/>
  <c r="CC578" i="24"/>
  <c r="CD578" i="24"/>
  <c r="CC579" i="24"/>
  <c r="CD579" i="24"/>
  <c r="CC580" i="24"/>
  <c r="CD580" i="24"/>
  <c r="CC581" i="24"/>
  <c r="CD581" i="24"/>
  <c r="CC582" i="24"/>
  <c r="CD582" i="24"/>
  <c r="CC583" i="24"/>
  <c r="CD583" i="24"/>
  <c r="CB576" i="24"/>
  <c r="CC227" i="24" s="1"/>
  <c r="CB577" i="24"/>
  <c r="CB578" i="24"/>
  <c r="CB579" i="24"/>
  <c r="CB580" i="24"/>
  <c r="CB581" i="24"/>
  <c r="CB582" i="24"/>
  <c r="CB583" i="24"/>
  <c r="BZ576" i="24"/>
  <c r="CA229" i="24" s="1"/>
  <c r="CA576" i="24"/>
  <c r="CB228" i="24" s="1"/>
  <c r="BZ577" i="24"/>
  <c r="CA577" i="24"/>
  <c r="BZ578" i="24"/>
  <c r="CA578" i="24"/>
  <c r="BZ579" i="24"/>
  <c r="CA579" i="24"/>
  <c r="BZ580" i="24"/>
  <c r="CA580" i="24"/>
  <c r="BZ581" i="24"/>
  <c r="CA581" i="24"/>
  <c r="BZ582" i="24"/>
  <c r="CA582" i="24"/>
  <c r="BZ583" i="24"/>
  <c r="CA583" i="24"/>
  <c r="BY577" i="24"/>
  <c r="BY578" i="24"/>
  <c r="BY579" i="24"/>
  <c r="BY580" i="24"/>
  <c r="BY581" i="24"/>
  <c r="BY582" i="24"/>
  <c r="BY583" i="24"/>
  <c r="BY576" i="24"/>
  <c r="BZ229" i="24" s="1"/>
  <c r="BX576" i="24"/>
  <c r="BY229" i="24" s="1"/>
  <c r="BX577" i="24"/>
  <c r="BV577" i="24"/>
  <c r="BV576" i="24"/>
  <c r="BW229" i="24" s="1"/>
  <c r="BW576" i="24"/>
  <c r="BX229" i="24" s="1"/>
  <c r="BW577" i="24"/>
  <c r="BV578" i="24"/>
  <c r="BW578" i="24"/>
  <c r="BX578" i="24"/>
  <c r="BV579" i="24"/>
  <c r="BW579" i="24"/>
  <c r="BX579" i="24"/>
  <c r="BV580" i="24"/>
  <c r="BW580" i="24"/>
  <c r="BX580" i="24"/>
  <c r="BV581" i="24"/>
  <c r="BW581" i="24"/>
  <c r="BX581" i="24"/>
  <c r="BV582" i="24"/>
  <c r="BW582" i="24"/>
  <c r="BX582" i="24"/>
  <c r="BV583" i="24"/>
  <c r="BW583" i="24"/>
  <c r="BX583" i="24"/>
  <c r="BS576" i="24"/>
  <c r="BT207" i="24" s="1"/>
  <c r="BR576" i="24"/>
  <c r="BS207" i="24" s="1"/>
  <c r="BQ576" i="24"/>
  <c r="BR207" i="24" s="1"/>
  <c r="BP576" i="24"/>
  <c r="BQ210" i="24" s="1"/>
  <c r="BR577" i="24"/>
  <c r="BS577" i="24"/>
  <c r="BR578" i="24"/>
  <c r="BS578" i="24"/>
  <c r="BR579" i="24"/>
  <c r="BS579" i="24"/>
  <c r="BR580" i="24"/>
  <c r="BS580" i="24"/>
  <c r="BR581" i="24"/>
  <c r="BS581" i="24"/>
  <c r="BR582" i="24"/>
  <c r="BS582" i="24"/>
  <c r="BR583" i="24"/>
  <c r="BS583" i="24"/>
  <c r="BQ577" i="24"/>
  <c r="BQ578" i="24"/>
  <c r="BQ579" i="24"/>
  <c r="BQ580" i="24"/>
  <c r="BQ581" i="24"/>
  <c r="BQ582" i="24"/>
  <c r="BQ583" i="24"/>
  <c r="BG576" i="24"/>
  <c r="BH229" i="24" s="1"/>
  <c r="BH576" i="24"/>
  <c r="BI229" i="24" s="1"/>
  <c r="BI576" i="24"/>
  <c r="BJ229" i="24" s="1"/>
  <c r="BJ576" i="24"/>
  <c r="BK229" i="24" s="1"/>
  <c r="BK576" i="24"/>
  <c r="BL228" i="24" s="1"/>
  <c r="BL576" i="24"/>
  <c r="BM227" i="24" s="1"/>
  <c r="BM576" i="24"/>
  <c r="BN226" i="24" s="1"/>
  <c r="BN576" i="24"/>
  <c r="BO225" i="24" s="1"/>
  <c r="BO576" i="24"/>
  <c r="BP209" i="24" s="1"/>
  <c r="BG577" i="24"/>
  <c r="BH577" i="24"/>
  <c r="BI577" i="24"/>
  <c r="BJ577" i="24"/>
  <c r="BK577" i="24"/>
  <c r="BL577" i="24"/>
  <c r="BM577" i="24"/>
  <c r="BN577" i="24"/>
  <c r="BO577" i="24"/>
  <c r="BP577" i="24"/>
  <c r="BG578" i="24"/>
  <c r="BH578" i="24"/>
  <c r="BI578" i="24"/>
  <c r="BJ578" i="24"/>
  <c r="BK578" i="24"/>
  <c r="BL578" i="24"/>
  <c r="BM578" i="24"/>
  <c r="BN578" i="24"/>
  <c r="BO578" i="24"/>
  <c r="BP578" i="24"/>
  <c r="BG579" i="24"/>
  <c r="BH579" i="24"/>
  <c r="BI579" i="24"/>
  <c r="BJ579" i="24"/>
  <c r="BK579" i="24"/>
  <c r="BL579" i="24"/>
  <c r="BM579" i="24"/>
  <c r="BN579" i="24"/>
  <c r="BO579" i="24"/>
  <c r="BP579" i="24"/>
  <c r="BG580" i="24"/>
  <c r="BH580" i="24"/>
  <c r="BI580" i="24"/>
  <c r="BJ580" i="24"/>
  <c r="BK580" i="24"/>
  <c r="BL580" i="24"/>
  <c r="BM580" i="24"/>
  <c r="BN580" i="24"/>
  <c r="BO580" i="24"/>
  <c r="BP580" i="24"/>
  <c r="BG581" i="24"/>
  <c r="BH581" i="24"/>
  <c r="BI581" i="24"/>
  <c r="BJ581" i="24"/>
  <c r="BK581" i="24"/>
  <c r="BL581" i="24"/>
  <c r="BM581" i="24"/>
  <c r="BN581" i="24"/>
  <c r="BO581" i="24"/>
  <c r="BP581" i="24"/>
  <c r="BG582" i="24"/>
  <c r="BH582" i="24"/>
  <c r="BI582" i="24"/>
  <c r="BJ582" i="24"/>
  <c r="BK582" i="24"/>
  <c r="BL582" i="24"/>
  <c r="BM582" i="24"/>
  <c r="BN582" i="24"/>
  <c r="BO582" i="24"/>
  <c r="BP582" i="24"/>
  <c r="BG583" i="24"/>
  <c r="BH583" i="24"/>
  <c r="BI583" i="24"/>
  <c r="BJ583" i="24"/>
  <c r="BK583" i="24"/>
  <c r="BL583" i="24"/>
  <c r="BM583" i="24"/>
  <c r="BN583" i="24"/>
  <c r="BO583" i="24"/>
  <c r="BP583" i="24"/>
  <c r="BF577" i="24"/>
  <c r="BF578" i="24"/>
  <c r="BF579" i="24"/>
  <c r="BF580" i="24"/>
  <c r="BF581" i="24"/>
  <c r="BF582" i="24"/>
  <c r="BF583" i="24"/>
  <c r="BF576" i="24"/>
  <c r="BG229" i="24" s="1"/>
  <c r="AW577" i="24"/>
  <c r="AX577" i="24"/>
  <c r="AY577" i="24"/>
  <c r="AZ577" i="24"/>
  <c r="BA577" i="24"/>
  <c r="BB577" i="24"/>
  <c r="BC577" i="24"/>
  <c r="BD577" i="24"/>
  <c r="BE577" i="24"/>
  <c r="AW578" i="24"/>
  <c r="AX578" i="24"/>
  <c r="AY578" i="24"/>
  <c r="AZ578" i="24"/>
  <c r="BA578" i="24"/>
  <c r="BB578" i="24"/>
  <c r="BC578" i="24"/>
  <c r="BD578" i="24"/>
  <c r="BE578" i="24"/>
  <c r="AW579" i="24"/>
  <c r="AX579" i="24"/>
  <c r="AY579" i="24"/>
  <c r="AZ579" i="24"/>
  <c r="BA579" i="24"/>
  <c r="BB579" i="24"/>
  <c r="BC579" i="24"/>
  <c r="BD579" i="24"/>
  <c r="BE579" i="24"/>
  <c r="AW580" i="24"/>
  <c r="AX580" i="24"/>
  <c r="AY580" i="24"/>
  <c r="AZ580" i="24"/>
  <c r="BA580" i="24"/>
  <c r="BB580" i="24"/>
  <c r="BC580" i="24"/>
  <c r="BD580" i="24"/>
  <c r="BE580" i="24"/>
  <c r="AW581" i="24"/>
  <c r="AX581" i="24"/>
  <c r="AY581" i="24"/>
  <c r="AZ581" i="24"/>
  <c r="BA581" i="24"/>
  <c r="BB581" i="24"/>
  <c r="BC581" i="24"/>
  <c r="BD581" i="24"/>
  <c r="BE581" i="24"/>
  <c r="AW582" i="24"/>
  <c r="AX582" i="24"/>
  <c r="AY582" i="24"/>
  <c r="AZ582" i="24"/>
  <c r="BA582" i="24"/>
  <c r="BB582" i="24"/>
  <c r="BC582" i="24"/>
  <c r="BD582" i="24"/>
  <c r="BE582" i="24"/>
  <c r="AW583" i="24"/>
  <c r="AX583" i="24"/>
  <c r="AY583" i="24"/>
  <c r="AZ583" i="24"/>
  <c r="BA583" i="24"/>
  <c r="BB583" i="24"/>
  <c r="BC583" i="24"/>
  <c r="BD583" i="24"/>
  <c r="BE583" i="24"/>
  <c r="AX576" i="24"/>
  <c r="AY225" i="24" s="1"/>
  <c r="AY576" i="24"/>
  <c r="AZ209" i="24" s="1"/>
  <c r="AZ576" i="24"/>
  <c r="BA210" i="24" s="1"/>
  <c r="BA576" i="24"/>
  <c r="BB207" i="24" s="1"/>
  <c r="BB576" i="24"/>
  <c r="BC207" i="24" s="1"/>
  <c r="BC576" i="24"/>
  <c r="BD207" i="24" s="1"/>
  <c r="BD576" i="24"/>
  <c r="BE229" i="24" s="1"/>
  <c r="BE576" i="24"/>
  <c r="BF229" i="24" s="1"/>
  <c r="AW576" i="24"/>
  <c r="AX226" i="24" s="1"/>
  <c r="AV576" i="24"/>
  <c r="AW227" i="24" s="1"/>
  <c r="AS577" i="24"/>
  <c r="AT577" i="24"/>
  <c r="AU577" i="24"/>
  <c r="AV577" i="24"/>
  <c r="AS578" i="24"/>
  <c r="AT578" i="24"/>
  <c r="AU578" i="24"/>
  <c r="AV578" i="24"/>
  <c r="AS579" i="24"/>
  <c r="AT579" i="24"/>
  <c r="AU579" i="24"/>
  <c r="AV579" i="24"/>
  <c r="AS580" i="24"/>
  <c r="AT580" i="24"/>
  <c r="AU580" i="24"/>
  <c r="AV580" i="24"/>
  <c r="AS581" i="24"/>
  <c r="AT581" i="24"/>
  <c r="AU581" i="24"/>
  <c r="AV581" i="24"/>
  <c r="AS582" i="24"/>
  <c r="AT582" i="24"/>
  <c r="AU582" i="24"/>
  <c r="AV582" i="24"/>
  <c r="AS583" i="24"/>
  <c r="AT583" i="24"/>
  <c r="AU583" i="24"/>
  <c r="AV583" i="24"/>
  <c r="AT576" i="24"/>
  <c r="AU229" i="24" s="1"/>
  <c r="AU576" i="24"/>
  <c r="AV228" i="24" s="1"/>
  <c r="AS576" i="24"/>
  <c r="AT229" i="24" s="1"/>
  <c r="AO577" i="24"/>
  <c r="AP577" i="24"/>
  <c r="AQ577" i="24"/>
  <c r="AR577" i="24"/>
  <c r="AO578" i="24"/>
  <c r="AP578" i="24"/>
  <c r="AQ578" i="24"/>
  <c r="AR578" i="24"/>
  <c r="AO579" i="24"/>
  <c r="AP579" i="24"/>
  <c r="AQ579" i="24"/>
  <c r="AR579" i="24"/>
  <c r="AO580" i="24"/>
  <c r="AP580" i="24"/>
  <c r="AQ580" i="24"/>
  <c r="AR580" i="24"/>
  <c r="AO581" i="24"/>
  <c r="AP581" i="24"/>
  <c r="AQ581" i="24"/>
  <c r="AR581" i="24"/>
  <c r="AO582" i="24"/>
  <c r="AP582" i="24"/>
  <c r="AQ582" i="24"/>
  <c r="AR582" i="24"/>
  <c r="AO583" i="24"/>
  <c r="AP583" i="24"/>
  <c r="AQ583" i="24"/>
  <c r="AR583" i="24"/>
  <c r="AP576" i="24"/>
  <c r="AQ229" i="24" s="1"/>
  <c r="AQ576" i="24"/>
  <c r="AR229" i="24" s="1"/>
  <c r="AR576" i="24"/>
  <c r="AS229" i="24" s="1"/>
  <c r="AO576" i="24"/>
  <c r="AP229" i="24" s="1"/>
  <c r="AK577" i="24"/>
  <c r="AL577" i="24"/>
  <c r="AM577" i="24"/>
  <c r="AN577" i="24"/>
  <c r="AK578" i="24"/>
  <c r="AL578" i="24"/>
  <c r="AM578" i="24"/>
  <c r="AN578" i="24"/>
  <c r="AK579" i="24"/>
  <c r="AL579" i="24"/>
  <c r="AM579" i="24"/>
  <c r="AN579" i="24"/>
  <c r="AK580" i="24"/>
  <c r="AL580" i="24"/>
  <c r="AM580" i="24"/>
  <c r="AN580" i="24"/>
  <c r="AK581" i="24"/>
  <c r="AL581" i="24"/>
  <c r="AM581" i="24"/>
  <c r="AN581" i="24"/>
  <c r="AK582" i="24"/>
  <c r="AL582" i="24"/>
  <c r="AM582" i="24"/>
  <c r="AN582" i="24"/>
  <c r="AK583" i="24"/>
  <c r="AL583" i="24"/>
  <c r="AM583" i="24"/>
  <c r="AN583" i="24"/>
  <c r="AL576" i="24"/>
  <c r="AM207" i="24" s="1"/>
  <c r="AM576" i="24"/>
  <c r="AN207" i="24" s="1"/>
  <c r="AN576" i="24"/>
  <c r="AO229" i="24" s="1"/>
  <c r="AK576" i="24"/>
  <c r="AL207" i="24" s="1"/>
  <c r="AJ576" i="24"/>
  <c r="AK210" i="24" s="1"/>
  <c r="AJ583" i="24"/>
  <c r="AI583" i="24"/>
  <c r="AJ582" i="24"/>
  <c r="AI582" i="24"/>
  <c r="AJ581" i="24"/>
  <c r="AI581" i="24"/>
  <c r="AJ580" i="24"/>
  <c r="AI580" i="24"/>
  <c r="AJ579" i="24"/>
  <c r="AI579" i="24"/>
  <c r="AJ578" i="24"/>
  <c r="AI578" i="24"/>
  <c r="AJ577" i="24"/>
  <c r="AI577" i="24"/>
  <c r="AI576" i="24"/>
  <c r="AJ209" i="24" s="1"/>
  <c r="AH577" i="24"/>
  <c r="AH578" i="24"/>
  <c r="AH579" i="24"/>
  <c r="AH580" i="24"/>
  <c r="AH581" i="24"/>
  <c r="AH582" i="24"/>
  <c r="AH583" i="24"/>
  <c r="AH576" i="24"/>
  <c r="AI225" i="24" s="1"/>
  <c r="AE577" i="24"/>
  <c r="AF577" i="24"/>
  <c r="AG577" i="24"/>
  <c r="AE578" i="24"/>
  <c r="AF578" i="24"/>
  <c r="AG578" i="24"/>
  <c r="AE579" i="24"/>
  <c r="AF579" i="24"/>
  <c r="AG579" i="24"/>
  <c r="AE580" i="24"/>
  <c r="AF580" i="24"/>
  <c r="AG580" i="24"/>
  <c r="AE581" i="24"/>
  <c r="AF581" i="24"/>
  <c r="AG581" i="24"/>
  <c r="AE582" i="24"/>
  <c r="AF582" i="24"/>
  <c r="AG582" i="24"/>
  <c r="AE583" i="24"/>
  <c r="AF583" i="24"/>
  <c r="AG583" i="24"/>
  <c r="AF576" i="24"/>
  <c r="AG227" i="24" s="1"/>
  <c r="AG576" i="24"/>
  <c r="AH226" i="24" s="1"/>
  <c r="AE576" i="24"/>
  <c r="AF228" i="24" s="1"/>
  <c r="AD576" i="24"/>
  <c r="C577" i="24"/>
  <c r="D577" i="24"/>
  <c r="E577" i="24"/>
  <c r="F577" i="24"/>
  <c r="G577" i="24"/>
  <c r="H577" i="24"/>
  <c r="I577" i="24"/>
  <c r="J577" i="24"/>
  <c r="K577" i="24"/>
  <c r="L577" i="24"/>
  <c r="M577" i="24"/>
  <c r="N577" i="24"/>
  <c r="O577" i="24"/>
  <c r="P577" i="24"/>
  <c r="Q577" i="24"/>
  <c r="R577" i="24"/>
  <c r="S577" i="24"/>
  <c r="T577" i="24"/>
  <c r="U577" i="24"/>
  <c r="V577" i="24"/>
  <c r="W577" i="24"/>
  <c r="X577" i="24"/>
  <c r="Y577" i="24"/>
  <c r="Z577" i="24"/>
  <c r="AA577" i="24"/>
  <c r="AB577" i="24"/>
  <c r="AC577" i="24"/>
  <c r="AD577" i="24"/>
  <c r="C578" i="24"/>
  <c r="D578" i="24"/>
  <c r="E578" i="24"/>
  <c r="F578" i="24"/>
  <c r="G578" i="24"/>
  <c r="H578" i="24"/>
  <c r="I578" i="24"/>
  <c r="J578" i="24"/>
  <c r="K578" i="24"/>
  <c r="L578" i="24"/>
  <c r="M578" i="24"/>
  <c r="N578" i="24"/>
  <c r="O578" i="24"/>
  <c r="P578" i="24"/>
  <c r="Q578" i="24"/>
  <c r="R578" i="24"/>
  <c r="S578" i="24"/>
  <c r="T578" i="24"/>
  <c r="U578" i="24"/>
  <c r="V578" i="24"/>
  <c r="W578" i="24"/>
  <c r="X578" i="24"/>
  <c r="Y578" i="24"/>
  <c r="Z578" i="24"/>
  <c r="AA578" i="24"/>
  <c r="AB578" i="24"/>
  <c r="AC578" i="24"/>
  <c r="AD578" i="24"/>
  <c r="C579" i="24"/>
  <c r="D579" i="24"/>
  <c r="E579" i="24"/>
  <c r="F579" i="24"/>
  <c r="G579" i="24"/>
  <c r="H579" i="24"/>
  <c r="I579" i="24"/>
  <c r="J579" i="24"/>
  <c r="K579" i="24"/>
  <c r="L579" i="24"/>
  <c r="M579" i="24"/>
  <c r="N579" i="24"/>
  <c r="O579" i="24"/>
  <c r="P579" i="24"/>
  <c r="Q579" i="24"/>
  <c r="R579" i="24"/>
  <c r="S579" i="24"/>
  <c r="T579" i="24"/>
  <c r="U579" i="24"/>
  <c r="V579" i="24"/>
  <c r="W579" i="24"/>
  <c r="X579" i="24"/>
  <c r="Y579" i="24"/>
  <c r="Z579" i="24"/>
  <c r="AA579" i="24"/>
  <c r="AB579" i="24"/>
  <c r="AC579" i="24"/>
  <c r="AD579" i="24"/>
  <c r="C580" i="24"/>
  <c r="D580" i="24"/>
  <c r="E580" i="24"/>
  <c r="F580" i="24"/>
  <c r="G580" i="24"/>
  <c r="H580" i="24"/>
  <c r="I580" i="24"/>
  <c r="J580" i="24"/>
  <c r="K580" i="24"/>
  <c r="L580" i="24"/>
  <c r="M580" i="24"/>
  <c r="N580" i="24"/>
  <c r="O580" i="24"/>
  <c r="P580" i="24"/>
  <c r="Q580" i="24"/>
  <c r="R580" i="24"/>
  <c r="S580" i="24"/>
  <c r="T580" i="24"/>
  <c r="U580" i="24"/>
  <c r="V580" i="24"/>
  <c r="W580" i="24"/>
  <c r="X580" i="24"/>
  <c r="Y580" i="24"/>
  <c r="Z580" i="24"/>
  <c r="AA580" i="24"/>
  <c r="AB580" i="24"/>
  <c r="AC580" i="24"/>
  <c r="AD580" i="24"/>
  <c r="C581" i="24"/>
  <c r="D581" i="24"/>
  <c r="E581" i="24"/>
  <c r="F581" i="24"/>
  <c r="G581" i="24"/>
  <c r="H581" i="24"/>
  <c r="I581" i="24"/>
  <c r="J581" i="24"/>
  <c r="K581" i="24"/>
  <c r="L581" i="24"/>
  <c r="M581" i="24"/>
  <c r="N581" i="24"/>
  <c r="O581" i="24"/>
  <c r="P581" i="24"/>
  <c r="Q581" i="24"/>
  <c r="R581" i="24"/>
  <c r="S581" i="24"/>
  <c r="T581" i="24"/>
  <c r="U581" i="24"/>
  <c r="V581" i="24"/>
  <c r="W581" i="24"/>
  <c r="X581" i="24"/>
  <c r="Y581" i="24"/>
  <c r="Z581" i="24"/>
  <c r="AA581" i="24"/>
  <c r="AB581" i="24"/>
  <c r="AC581" i="24"/>
  <c r="AD581" i="24"/>
  <c r="C582" i="24"/>
  <c r="D582" i="24"/>
  <c r="E582" i="24"/>
  <c r="F582" i="24"/>
  <c r="G582" i="24"/>
  <c r="H582" i="24"/>
  <c r="I582" i="24"/>
  <c r="J582" i="24"/>
  <c r="K582" i="24"/>
  <c r="L582" i="24"/>
  <c r="M582" i="24"/>
  <c r="N582" i="24"/>
  <c r="O582" i="24"/>
  <c r="P582" i="24"/>
  <c r="Q582" i="24"/>
  <c r="R582" i="24"/>
  <c r="S582" i="24"/>
  <c r="T582" i="24"/>
  <c r="U582" i="24"/>
  <c r="V582" i="24"/>
  <c r="W582" i="24"/>
  <c r="X582" i="24"/>
  <c r="Y582" i="24"/>
  <c r="Z582" i="24"/>
  <c r="AA582" i="24"/>
  <c r="AB582" i="24"/>
  <c r="AC582" i="24"/>
  <c r="AD582" i="24"/>
  <c r="C583" i="24"/>
  <c r="D583" i="24"/>
  <c r="E583" i="24"/>
  <c r="F583" i="24"/>
  <c r="G583" i="24"/>
  <c r="H583" i="24"/>
  <c r="I583" i="24"/>
  <c r="J583" i="24"/>
  <c r="K583" i="24"/>
  <c r="L583" i="24"/>
  <c r="M583" i="24"/>
  <c r="N583" i="24"/>
  <c r="O583" i="24"/>
  <c r="P583" i="24"/>
  <c r="Q583" i="24"/>
  <c r="R583" i="24"/>
  <c r="S583" i="24"/>
  <c r="T583" i="24"/>
  <c r="U583" i="24"/>
  <c r="V583" i="24"/>
  <c r="W583" i="24"/>
  <c r="X583" i="24"/>
  <c r="Y583" i="24"/>
  <c r="Z583" i="24"/>
  <c r="AA583" i="24"/>
  <c r="AB583" i="24"/>
  <c r="AC583" i="24"/>
  <c r="AD583" i="24"/>
  <c r="D576" i="24"/>
  <c r="D210" i="24" s="1"/>
  <c r="E576" i="24"/>
  <c r="E207" i="24" s="1"/>
  <c r="F576" i="24"/>
  <c r="F207" i="24" s="1"/>
  <c r="G576" i="24"/>
  <c r="G207" i="24" s="1"/>
  <c r="H576" i="24"/>
  <c r="H229" i="24" s="1"/>
  <c r="I576" i="24"/>
  <c r="I229" i="24" s="1"/>
  <c r="J576" i="24"/>
  <c r="J229" i="24" s="1"/>
  <c r="K576" i="24"/>
  <c r="K229" i="24" s="1"/>
  <c r="L576" i="24"/>
  <c r="L229" i="24" s="1"/>
  <c r="M576" i="24"/>
  <c r="M229" i="24" s="1"/>
  <c r="N576" i="24"/>
  <c r="N229" i="24" s="1"/>
  <c r="O576" i="24"/>
  <c r="O228" i="24" s="1"/>
  <c r="P576" i="24"/>
  <c r="P227" i="24" s="1"/>
  <c r="Q576" i="24"/>
  <c r="Q226" i="24" s="1"/>
  <c r="R576" i="24"/>
  <c r="R225" i="24" s="1"/>
  <c r="S576" i="24"/>
  <c r="S209" i="24" s="1"/>
  <c r="T576" i="24"/>
  <c r="T210" i="24" s="1"/>
  <c r="U576" i="24"/>
  <c r="U207" i="24" s="1"/>
  <c r="V576" i="24"/>
  <c r="V207" i="24" s="1"/>
  <c r="W576" i="24"/>
  <c r="W207" i="24" s="1"/>
  <c r="X576" i="24"/>
  <c r="X229" i="24" s="1"/>
  <c r="Y576" i="24"/>
  <c r="Y229" i="24" s="1"/>
  <c r="Z576" i="24"/>
  <c r="Z229" i="24" s="1"/>
  <c r="AA576" i="24"/>
  <c r="AA229" i="24" s="1"/>
  <c r="AB576" i="24"/>
  <c r="AB229" i="24" s="1"/>
  <c r="AC576" i="24"/>
  <c r="AC229" i="24" s="1"/>
  <c r="C576" i="24"/>
  <c r="C225" i="24" s="1"/>
  <c r="BU575" i="24"/>
  <c r="BU576" i="24" s="1"/>
  <c r="BT575" i="24"/>
  <c r="BT582" i="24" s="1"/>
  <c r="AD115" i="24" a="1"/>
  <c r="AD115" i="24" s="1"/>
  <c r="AC115" i="24" a="1"/>
  <c r="AC115" i="24" s="1"/>
  <c r="AB115" i="24" a="1"/>
  <c r="AB115" i="24" s="1"/>
  <c r="AA115" i="24" a="1"/>
  <c r="AA115" i="24" s="1"/>
  <c r="Z115" i="24" a="1"/>
  <c r="Z115" i="24" s="1"/>
  <c r="Y115" i="24" a="1"/>
  <c r="Y115" i="24" s="1"/>
  <c r="X115" i="24" a="1"/>
  <c r="X115" i="24" s="1"/>
  <c r="W115" i="24" a="1"/>
  <c r="W115" i="24" s="1"/>
  <c r="V115" i="24" a="1"/>
  <c r="V115" i="24" s="1"/>
  <c r="L115" i="24" a="1"/>
  <c r="L115" i="24" s="1"/>
  <c r="K115" i="24" a="1"/>
  <c r="K115" i="24" s="1"/>
  <c r="J115" i="24" a="1"/>
  <c r="J115" i="24" s="1"/>
  <c r="I115" i="24" a="1"/>
  <c r="I115" i="24" s="1"/>
  <c r="H115" i="24" a="1"/>
  <c r="H115" i="24" s="1"/>
  <c r="G115" i="24" a="1"/>
  <c r="G115" i="24" s="1"/>
  <c r="F115" i="24" a="1"/>
  <c r="F115" i="24" s="1"/>
  <c r="E115" i="24" a="1"/>
  <c r="E115" i="24" s="1"/>
  <c r="D115" i="24" a="1"/>
  <c r="D115" i="24" s="1"/>
  <c r="C115" i="24" a="1"/>
  <c r="C115" i="24" s="1"/>
  <c r="CG114" i="24" a="1"/>
  <c r="CG114" i="24" s="1"/>
  <c r="AE114" i="24" s="1"/>
  <c r="AD114" i="24" a="1"/>
  <c r="AD114" i="24" s="1"/>
  <c r="AC114" i="24" a="1"/>
  <c r="AC114" i="24" s="1"/>
  <c r="AB114" i="24" a="1"/>
  <c r="AB114" i="24" s="1"/>
  <c r="AA114" i="24" a="1"/>
  <c r="AA114" i="24" s="1"/>
  <c r="Z114" i="24" a="1"/>
  <c r="Z114" i="24" s="1"/>
  <c r="Y114" i="24" a="1"/>
  <c r="Y114" i="24" s="1"/>
  <c r="X114" i="24" a="1"/>
  <c r="X114" i="24" s="1"/>
  <c r="W114" i="24" a="1"/>
  <c r="W114" i="24" s="1"/>
  <c r="V114" i="24" a="1"/>
  <c r="V114" i="24" s="1"/>
  <c r="L114" i="24" a="1"/>
  <c r="L114" i="24" s="1"/>
  <c r="K114" i="24" a="1"/>
  <c r="K114" i="24" s="1"/>
  <c r="J114" i="24" a="1"/>
  <c r="J114" i="24" s="1"/>
  <c r="I114" i="24" a="1"/>
  <c r="I114" i="24" s="1"/>
  <c r="H114" i="24" a="1"/>
  <c r="H114" i="24" s="1"/>
  <c r="G114" i="24" a="1"/>
  <c r="G114" i="24" s="1"/>
  <c r="F114" i="24" a="1"/>
  <c r="F114" i="24" s="1"/>
  <c r="E114" i="24" a="1"/>
  <c r="E114" i="24" s="1"/>
  <c r="D114" i="24" a="1"/>
  <c r="D114" i="24" s="1"/>
  <c r="C114" i="24" a="1"/>
  <c r="C114" i="24" s="1"/>
  <c r="CG113" i="24" a="1"/>
  <c r="CG113" i="24" s="1"/>
  <c r="AE113" i="24" s="1"/>
  <c r="AD113" i="24" a="1"/>
  <c r="AD113" i="24" s="1"/>
  <c r="AC113" i="24" a="1"/>
  <c r="AC113" i="24" s="1"/>
  <c r="AB113" i="24" a="1"/>
  <c r="AB113" i="24" s="1"/>
  <c r="AA113" i="24" a="1"/>
  <c r="AA113" i="24" s="1"/>
  <c r="Z113" i="24" a="1"/>
  <c r="Z113" i="24" s="1"/>
  <c r="Y113" i="24" a="1"/>
  <c r="Y113" i="24" s="1"/>
  <c r="X113" i="24" a="1"/>
  <c r="X113" i="24" s="1"/>
  <c r="W113" i="24" a="1"/>
  <c r="W113" i="24" s="1"/>
  <c r="V113" i="24" a="1"/>
  <c r="V113" i="24" s="1"/>
  <c r="L113" i="24" a="1"/>
  <c r="L113" i="24" s="1"/>
  <c r="K113" i="24" a="1"/>
  <c r="K113" i="24" s="1"/>
  <c r="J113" i="24" a="1"/>
  <c r="J113" i="24" s="1"/>
  <c r="I113" i="24" a="1"/>
  <c r="I113" i="24" s="1"/>
  <c r="H113" i="24" a="1"/>
  <c r="H113" i="24" s="1"/>
  <c r="G113" i="24" a="1"/>
  <c r="G113" i="24" s="1"/>
  <c r="F113" i="24" a="1"/>
  <c r="F113" i="24" s="1"/>
  <c r="E113" i="24" a="1"/>
  <c r="E113" i="24" s="1"/>
  <c r="D113" i="24" a="1"/>
  <c r="D113" i="24" s="1"/>
  <c r="C113" i="24" a="1"/>
  <c r="C113" i="24" s="1"/>
  <c r="CG112" i="24" a="1"/>
  <c r="CG112" i="24" s="1"/>
  <c r="AE112" i="24" s="1"/>
  <c r="AD112" i="24" a="1"/>
  <c r="AD112" i="24" s="1"/>
  <c r="AC112" i="24" a="1"/>
  <c r="AC112" i="24" s="1"/>
  <c r="AB112" i="24" a="1"/>
  <c r="AB112" i="24" s="1"/>
  <c r="AA112" i="24" a="1"/>
  <c r="AA112" i="24" s="1"/>
  <c r="Z112" i="24" a="1"/>
  <c r="Z112" i="24" s="1"/>
  <c r="Y112" i="24" a="1"/>
  <c r="Y112" i="24" s="1"/>
  <c r="X112" i="24" a="1"/>
  <c r="X112" i="24" s="1"/>
  <c r="W112" i="24" a="1"/>
  <c r="W112" i="24" s="1"/>
  <c r="V112" i="24" a="1"/>
  <c r="V112" i="24" s="1"/>
  <c r="L112" i="24" a="1"/>
  <c r="L112" i="24" s="1"/>
  <c r="K112" i="24" a="1"/>
  <c r="K112" i="24" s="1"/>
  <c r="J112" i="24" a="1"/>
  <c r="J112" i="24" s="1"/>
  <c r="I112" i="24" a="1"/>
  <c r="I112" i="24" s="1"/>
  <c r="H112" i="24" a="1"/>
  <c r="H112" i="24" s="1"/>
  <c r="G112" i="24" a="1"/>
  <c r="G112" i="24" s="1"/>
  <c r="F112" i="24" a="1"/>
  <c r="F112" i="24" s="1"/>
  <c r="E112" i="24" a="1"/>
  <c r="E112" i="24" s="1"/>
  <c r="D112" i="24" a="1"/>
  <c r="D112" i="24" s="1"/>
  <c r="C112" i="24" a="1"/>
  <c r="C112" i="24" s="1"/>
  <c r="CG111" i="24" a="1"/>
  <c r="CG111" i="24" s="1"/>
  <c r="AE111" i="24" s="1"/>
  <c r="AD111" i="24" a="1"/>
  <c r="AD111" i="24" s="1"/>
  <c r="AC111" i="24" a="1"/>
  <c r="AC111" i="24" s="1"/>
  <c r="AB111" i="24" a="1"/>
  <c r="AB111" i="24" s="1"/>
  <c r="AA111" i="24" a="1"/>
  <c r="AA111" i="24" s="1"/>
  <c r="Z111" i="24" a="1"/>
  <c r="Z111" i="24" s="1"/>
  <c r="Y111" i="24" a="1"/>
  <c r="Y111" i="24" s="1"/>
  <c r="X111" i="24" a="1"/>
  <c r="X111" i="24" s="1"/>
  <c r="W111" i="24" a="1"/>
  <c r="W111" i="24" s="1"/>
  <c r="V111" i="24" a="1"/>
  <c r="V111" i="24" s="1"/>
  <c r="L111" i="24" a="1"/>
  <c r="L111" i="24" s="1"/>
  <c r="K111" i="24" a="1"/>
  <c r="K111" i="24" s="1"/>
  <c r="J111" i="24" a="1"/>
  <c r="J111" i="24" s="1"/>
  <c r="I111" i="24" a="1"/>
  <c r="I111" i="24" s="1"/>
  <c r="H111" i="24" a="1"/>
  <c r="H111" i="24" s="1"/>
  <c r="G111" i="24" a="1"/>
  <c r="G111" i="24" s="1"/>
  <c r="F111" i="24" a="1"/>
  <c r="F111" i="24" s="1"/>
  <c r="E111" i="24" a="1"/>
  <c r="E111" i="24" s="1"/>
  <c r="D111" i="24" a="1"/>
  <c r="D111" i="24" s="1"/>
  <c r="C111" i="24" a="1"/>
  <c r="C111" i="24" s="1"/>
  <c r="CG110" i="24" a="1"/>
  <c r="CG110" i="24" s="1"/>
  <c r="AE110" i="24" s="1"/>
  <c r="AD110" i="24" a="1"/>
  <c r="AD110" i="24" s="1"/>
  <c r="AC110" i="24" a="1"/>
  <c r="AC110" i="24" s="1"/>
  <c r="AB110" i="24" a="1"/>
  <c r="AB110" i="24" s="1"/>
  <c r="AA110" i="24" a="1"/>
  <c r="AA110" i="24" s="1"/>
  <c r="Z110" i="24" a="1"/>
  <c r="Z110" i="24" s="1"/>
  <c r="Y110" i="24" a="1"/>
  <c r="Y110" i="24" s="1"/>
  <c r="X110" i="24" a="1"/>
  <c r="X110" i="24" s="1"/>
  <c r="W110" i="24" a="1"/>
  <c r="W110" i="24" s="1"/>
  <c r="V110" i="24" a="1"/>
  <c r="V110" i="24" s="1"/>
  <c r="L110" i="24" a="1"/>
  <c r="L110" i="24" s="1"/>
  <c r="K110" i="24" a="1"/>
  <c r="K110" i="24" s="1"/>
  <c r="J110" i="24" a="1"/>
  <c r="J110" i="24" s="1"/>
  <c r="I110" i="24" a="1"/>
  <c r="I110" i="24" s="1"/>
  <c r="H110" i="24" a="1"/>
  <c r="H110" i="24" s="1"/>
  <c r="G110" i="24" a="1"/>
  <c r="G110" i="24" s="1"/>
  <c r="F110" i="24" a="1"/>
  <c r="F110" i="24" s="1"/>
  <c r="E110" i="24" a="1"/>
  <c r="E110" i="24" s="1"/>
  <c r="D110" i="24" a="1"/>
  <c r="D110" i="24" s="1"/>
  <c r="C110" i="24" a="1"/>
  <c r="C110" i="24" s="1"/>
  <c r="CG109" i="24" a="1"/>
  <c r="CG109" i="24" s="1"/>
  <c r="AE109" i="24" s="1"/>
  <c r="AD109" i="24" a="1"/>
  <c r="AD109" i="24" s="1"/>
  <c r="AC109" i="24" a="1"/>
  <c r="AC109" i="24" s="1"/>
  <c r="AB109" i="24" a="1"/>
  <c r="AB109" i="24" s="1"/>
  <c r="AA109" i="24" a="1"/>
  <c r="AA109" i="24" s="1"/>
  <c r="Z109" i="24" a="1"/>
  <c r="Z109" i="24" s="1"/>
  <c r="Y109" i="24" a="1"/>
  <c r="Y109" i="24" s="1"/>
  <c r="X109" i="24" a="1"/>
  <c r="X109" i="24" s="1"/>
  <c r="W109" i="24" a="1"/>
  <c r="W109" i="24" s="1"/>
  <c r="V109" i="24" a="1"/>
  <c r="V109" i="24" s="1"/>
  <c r="L109" i="24" a="1"/>
  <c r="L109" i="24" s="1"/>
  <c r="K109" i="24" a="1"/>
  <c r="K109" i="24" s="1"/>
  <c r="J109" i="24" a="1"/>
  <c r="J109" i="24" s="1"/>
  <c r="I109" i="24" a="1"/>
  <c r="I109" i="24" s="1"/>
  <c r="H109" i="24" a="1"/>
  <c r="H109" i="24" s="1"/>
  <c r="G109" i="24" a="1"/>
  <c r="G109" i="24" s="1"/>
  <c r="F109" i="24" a="1"/>
  <c r="F109" i="24" s="1"/>
  <c r="E109" i="24" a="1"/>
  <c r="E109" i="24" s="1"/>
  <c r="D109" i="24" a="1"/>
  <c r="D109" i="24" s="1"/>
  <c r="C109" i="24" a="1"/>
  <c r="C109" i="24" s="1"/>
  <c r="CG108" i="24" a="1"/>
  <c r="CG108" i="24" s="1"/>
  <c r="AE108" i="24" s="1"/>
  <c r="AD108" i="24" a="1"/>
  <c r="AD108" i="24" s="1"/>
  <c r="AC108" i="24" a="1"/>
  <c r="AC108" i="24" s="1"/>
  <c r="AB108" i="24" a="1"/>
  <c r="AB108" i="24" s="1"/>
  <c r="AA108" i="24" a="1"/>
  <c r="AA108" i="24" s="1"/>
  <c r="Z108" i="24" a="1"/>
  <c r="Z108" i="24" s="1"/>
  <c r="Y108" i="24" a="1"/>
  <c r="Y108" i="24" s="1"/>
  <c r="X108" i="24" a="1"/>
  <c r="X108" i="24" s="1"/>
  <c r="W108" i="24" a="1"/>
  <c r="W108" i="24" s="1"/>
  <c r="V108" i="24" a="1"/>
  <c r="V108" i="24" s="1"/>
  <c r="L108" i="24" a="1"/>
  <c r="L108" i="24" s="1"/>
  <c r="K108" i="24" a="1"/>
  <c r="K108" i="24" s="1"/>
  <c r="J108" i="24" a="1"/>
  <c r="J108" i="24" s="1"/>
  <c r="I108" i="24" a="1"/>
  <c r="I108" i="24" s="1"/>
  <c r="H108" i="24" a="1"/>
  <c r="H108" i="24" s="1"/>
  <c r="G108" i="24" a="1"/>
  <c r="G108" i="24" s="1"/>
  <c r="F108" i="24" a="1"/>
  <c r="F108" i="24" s="1"/>
  <c r="E108" i="24" a="1"/>
  <c r="E108" i="24" s="1"/>
  <c r="D108" i="24" a="1"/>
  <c r="D108" i="24" s="1"/>
  <c r="C108" i="24" a="1"/>
  <c r="C108" i="24" s="1"/>
  <c r="CG107" i="24" a="1"/>
  <c r="CG107" i="24" s="1"/>
  <c r="AE107" i="24" s="1"/>
  <c r="AD107" i="24" a="1"/>
  <c r="AD107" i="24" s="1"/>
  <c r="AC107" i="24" a="1"/>
  <c r="AC107" i="24" s="1"/>
  <c r="AB107" i="24" a="1"/>
  <c r="AB107" i="24" s="1"/>
  <c r="AA107" i="24" a="1"/>
  <c r="AA107" i="24" s="1"/>
  <c r="Z107" i="24" a="1"/>
  <c r="Z107" i="24" s="1"/>
  <c r="Y107" i="24" a="1"/>
  <c r="Y107" i="24" s="1"/>
  <c r="X107" i="24" a="1"/>
  <c r="X107" i="24" s="1"/>
  <c r="W107" i="24" a="1"/>
  <c r="W107" i="24" s="1"/>
  <c r="V107" i="24" a="1"/>
  <c r="V107" i="24" s="1"/>
  <c r="L107" i="24" a="1"/>
  <c r="L107" i="24" s="1"/>
  <c r="K107" i="24" a="1"/>
  <c r="K107" i="24" s="1"/>
  <c r="J107" i="24" a="1"/>
  <c r="J107" i="24" s="1"/>
  <c r="I107" i="24" a="1"/>
  <c r="I107" i="24" s="1"/>
  <c r="H107" i="24" a="1"/>
  <c r="H107" i="24" s="1"/>
  <c r="G107" i="24" a="1"/>
  <c r="G107" i="24" s="1"/>
  <c r="F107" i="24" a="1"/>
  <c r="F107" i="24" s="1"/>
  <c r="E107" i="24" a="1"/>
  <c r="E107" i="24" s="1"/>
  <c r="D107" i="24" a="1"/>
  <c r="D107" i="24" s="1"/>
  <c r="C107" i="24" a="1"/>
  <c r="C107" i="24" s="1"/>
  <c r="CG106" i="24" a="1"/>
  <c r="CG106" i="24" s="1"/>
  <c r="AE106" i="24" s="1"/>
  <c r="AD106" i="24" a="1"/>
  <c r="AD106" i="24" s="1"/>
  <c r="AC106" i="24" a="1"/>
  <c r="AC106" i="24" s="1"/>
  <c r="AB106" i="24" a="1"/>
  <c r="AB106" i="24" s="1"/>
  <c r="AA106" i="24" a="1"/>
  <c r="AA106" i="24" s="1"/>
  <c r="Z106" i="24" a="1"/>
  <c r="Z106" i="24" s="1"/>
  <c r="Y106" i="24" a="1"/>
  <c r="Y106" i="24" s="1"/>
  <c r="X106" i="24" a="1"/>
  <c r="X106" i="24" s="1"/>
  <c r="W106" i="24" a="1"/>
  <c r="W106" i="24" s="1"/>
  <c r="V106" i="24" a="1"/>
  <c r="V106" i="24" s="1"/>
  <c r="L106" i="24" a="1"/>
  <c r="L106" i="24" s="1"/>
  <c r="K106" i="24" a="1"/>
  <c r="K106" i="24" s="1"/>
  <c r="J106" i="24" a="1"/>
  <c r="J106" i="24" s="1"/>
  <c r="I106" i="24" a="1"/>
  <c r="I106" i="24" s="1"/>
  <c r="H106" i="24" a="1"/>
  <c r="H106" i="24" s="1"/>
  <c r="G106" i="24" a="1"/>
  <c r="G106" i="24" s="1"/>
  <c r="F106" i="24" a="1"/>
  <c r="F106" i="24" s="1"/>
  <c r="E106" i="24" a="1"/>
  <c r="E106" i="24" s="1"/>
  <c r="D106" i="24" a="1"/>
  <c r="D106" i="24" s="1"/>
  <c r="C106" i="24" a="1"/>
  <c r="C106" i="24" s="1"/>
  <c r="CG104" i="24" a="1"/>
  <c r="CG104" i="24" s="1"/>
  <c r="AE104" i="24" s="1"/>
  <c r="AD104" i="24" a="1"/>
  <c r="AD104" i="24" s="1"/>
  <c r="AC104" i="24" a="1"/>
  <c r="AC104" i="24" s="1"/>
  <c r="AB104" i="24" a="1"/>
  <c r="AB104" i="24" s="1"/>
  <c r="AA104" i="24" a="1"/>
  <c r="AA104" i="24" s="1"/>
  <c r="Z104" i="24" a="1"/>
  <c r="Z104" i="24" s="1"/>
  <c r="Y104" i="24" a="1"/>
  <c r="Y104" i="24" s="1"/>
  <c r="X104" i="24" a="1"/>
  <c r="X104" i="24" s="1"/>
  <c r="W104" i="24" a="1"/>
  <c r="W104" i="24" s="1"/>
  <c r="V104" i="24" a="1"/>
  <c r="V104" i="24" s="1"/>
  <c r="L104" i="24" a="1"/>
  <c r="L104" i="24" s="1"/>
  <c r="K104" i="24" a="1"/>
  <c r="K104" i="24" s="1"/>
  <c r="J104" i="24" a="1"/>
  <c r="J104" i="24" s="1"/>
  <c r="I104" i="24" a="1"/>
  <c r="I104" i="24" s="1"/>
  <c r="H104" i="24" a="1"/>
  <c r="H104" i="24" s="1"/>
  <c r="G104" i="24" a="1"/>
  <c r="G104" i="24" s="1"/>
  <c r="F104" i="24" a="1"/>
  <c r="F104" i="24" s="1"/>
  <c r="E104" i="24" a="1"/>
  <c r="E104" i="24" s="1"/>
  <c r="D104" i="24" a="1"/>
  <c r="D104" i="24" s="1"/>
  <c r="C104" i="24" a="1"/>
  <c r="C104" i="24" s="1"/>
  <c r="CG103" i="24" a="1"/>
  <c r="CG103" i="24" s="1"/>
  <c r="AE103" i="24" s="1"/>
  <c r="AD103" i="24" a="1"/>
  <c r="AD103" i="24" s="1"/>
  <c r="AC103" i="24" a="1"/>
  <c r="AC103" i="24" s="1"/>
  <c r="AB103" i="24" a="1"/>
  <c r="AB103" i="24" s="1"/>
  <c r="AA103" i="24" a="1"/>
  <c r="AA103" i="24" s="1"/>
  <c r="Z103" i="24" a="1"/>
  <c r="Z103" i="24" s="1"/>
  <c r="Y103" i="24" a="1"/>
  <c r="Y103" i="24" s="1"/>
  <c r="X103" i="24" a="1"/>
  <c r="X103" i="24" s="1"/>
  <c r="W103" i="24" a="1"/>
  <c r="W103" i="24" s="1"/>
  <c r="V103" i="24" a="1"/>
  <c r="V103" i="24" s="1"/>
  <c r="L103" i="24" a="1"/>
  <c r="L103" i="24" s="1"/>
  <c r="K103" i="24" a="1"/>
  <c r="K103" i="24" s="1"/>
  <c r="J103" i="24" a="1"/>
  <c r="J103" i="24" s="1"/>
  <c r="I103" i="24" a="1"/>
  <c r="I103" i="24" s="1"/>
  <c r="H103" i="24" a="1"/>
  <c r="H103" i="24" s="1"/>
  <c r="G103" i="24" a="1"/>
  <c r="G103" i="24" s="1"/>
  <c r="F103" i="24" a="1"/>
  <c r="F103" i="24" s="1"/>
  <c r="E103" i="24" a="1"/>
  <c r="E103" i="24" s="1"/>
  <c r="D103" i="24" a="1"/>
  <c r="D103" i="24" s="1"/>
  <c r="C103" i="24" a="1"/>
  <c r="C103" i="24" s="1"/>
  <c r="CG101" i="24" a="1"/>
  <c r="CG101" i="24" s="1"/>
  <c r="AE101" i="24" s="1"/>
  <c r="AD101" i="24" a="1"/>
  <c r="AD101" i="24" s="1"/>
  <c r="AC101" i="24" a="1"/>
  <c r="AC101" i="24" s="1"/>
  <c r="AB101" i="24" a="1"/>
  <c r="AB101" i="24" s="1"/>
  <c r="AA101" i="24" a="1"/>
  <c r="AA101" i="24" s="1"/>
  <c r="Z101" i="24" a="1"/>
  <c r="Z101" i="24" s="1"/>
  <c r="Y101" i="24" a="1"/>
  <c r="Y101" i="24" s="1"/>
  <c r="X101" i="24" a="1"/>
  <c r="X101" i="24" s="1"/>
  <c r="W101" i="24" a="1"/>
  <c r="W101" i="24" s="1"/>
  <c r="V101" i="24" a="1"/>
  <c r="V101" i="24" s="1"/>
  <c r="L101" i="24" a="1"/>
  <c r="L101" i="24" s="1"/>
  <c r="K101" i="24" a="1"/>
  <c r="K101" i="24" s="1"/>
  <c r="J101" i="24" a="1"/>
  <c r="J101" i="24" s="1"/>
  <c r="I101" i="24" a="1"/>
  <c r="I101" i="24" s="1"/>
  <c r="H101" i="24" a="1"/>
  <c r="H101" i="24" s="1"/>
  <c r="G101" i="24" a="1"/>
  <c r="G101" i="24" s="1"/>
  <c r="F101" i="24" a="1"/>
  <c r="F101" i="24" s="1"/>
  <c r="E101" i="24" a="1"/>
  <c r="E101" i="24" s="1"/>
  <c r="D101" i="24" a="1"/>
  <c r="D101" i="24" s="1"/>
  <c r="C101" i="24" a="1"/>
  <c r="C101" i="24" s="1"/>
  <c r="CG100" i="24" a="1"/>
  <c r="CG100" i="24" s="1"/>
  <c r="AE100" i="24" s="1"/>
  <c r="AD100" i="24" a="1"/>
  <c r="AD100" i="24" s="1"/>
  <c r="AC100" i="24" a="1"/>
  <c r="AC100" i="24" s="1"/>
  <c r="AB100" i="24" a="1"/>
  <c r="AB100" i="24" s="1"/>
  <c r="AA100" i="24" a="1"/>
  <c r="AA100" i="24" s="1"/>
  <c r="Z100" i="24" a="1"/>
  <c r="Z100" i="24" s="1"/>
  <c r="Y100" i="24" a="1"/>
  <c r="Y100" i="24" s="1"/>
  <c r="X100" i="24" a="1"/>
  <c r="X100" i="24" s="1"/>
  <c r="W100" i="24" a="1"/>
  <c r="W100" i="24" s="1"/>
  <c r="V100" i="24" a="1"/>
  <c r="V100" i="24" s="1"/>
  <c r="L100" i="24" a="1"/>
  <c r="L100" i="24" s="1"/>
  <c r="K100" i="24" a="1"/>
  <c r="K100" i="24" s="1"/>
  <c r="J100" i="24" a="1"/>
  <c r="J100" i="24" s="1"/>
  <c r="I100" i="24" a="1"/>
  <c r="I100" i="24" s="1"/>
  <c r="H100" i="24" a="1"/>
  <c r="H100" i="24" s="1"/>
  <c r="G100" i="24" a="1"/>
  <c r="G100" i="24" s="1"/>
  <c r="F100" i="24" a="1"/>
  <c r="F100" i="24" s="1"/>
  <c r="E100" i="24" a="1"/>
  <c r="E100" i="24" s="1"/>
  <c r="D100" i="24" a="1"/>
  <c r="D100" i="24" s="1"/>
  <c r="C100" i="24" a="1"/>
  <c r="C100" i="24" s="1"/>
  <c r="CG99" i="24" a="1"/>
  <c r="CG99" i="24" s="1"/>
  <c r="AE99" i="24" s="1"/>
  <c r="AD99" i="24" a="1"/>
  <c r="AD99" i="24" s="1"/>
  <c r="AC99" i="24" a="1"/>
  <c r="AC99" i="24" s="1"/>
  <c r="AB99" i="24" a="1"/>
  <c r="AB99" i="24" s="1"/>
  <c r="AA99" i="24" a="1"/>
  <c r="AA99" i="24" s="1"/>
  <c r="Z99" i="24" a="1"/>
  <c r="Z99" i="24" s="1"/>
  <c r="Y99" i="24" a="1"/>
  <c r="Y99" i="24" s="1"/>
  <c r="X99" i="24" a="1"/>
  <c r="X99" i="24" s="1"/>
  <c r="W99" i="24" a="1"/>
  <c r="W99" i="24" s="1"/>
  <c r="V99" i="24" a="1"/>
  <c r="V99" i="24" s="1"/>
  <c r="L99" i="24" a="1"/>
  <c r="L99" i="24" s="1"/>
  <c r="K99" i="24" a="1"/>
  <c r="K99" i="24" s="1"/>
  <c r="J99" i="24" a="1"/>
  <c r="J99" i="24" s="1"/>
  <c r="I99" i="24" a="1"/>
  <c r="I99" i="24" s="1"/>
  <c r="H99" i="24" a="1"/>
  <c r="H99" i="24" s="1"/>
  <c r="G99" i="24" a="1"/>
  <c r="G99" i="24" s="1"/>
  <c r="F99" i="24" a="1"/>
  <c r="F99" i="24" s="1"/>
  <c r="E99" i="24" a="1"/>
  <c r="E99" i="24" s="1"/>
  <c r="D99" i="24" a="1"/>
  <c r="D99" i="24" s="1"/>
  <c r="C99" i="24" a="1"/>
  <c r="C99" i="24" s="1"/>
  <c r="CG98" i="24" a="1"/>
  <c r="CG98" i="24" s="1"/>
  <c r="AE98" i="24" s="1"/>
  <c r="AD98" i="24" a="1"/>
  <c r="AD98" i="24" s="1"/>
  <c r="AC98" i="24" a="1"/>
  <c r="AC98" i="24" s="1"/>
  <c r="AB98" i="24" a="1"/>
  <c r="AB98" i="24" s="1"/>
  <c r="AA98" i="24" a="1"/>
  <c r="AA98" i="24" s="1"/>
  <c r="Z98" i="24" a="1"/>
  <c r="Z98" i="24" s="1"/>
  <c r="Y98" i="24" a="1"/>
  <c r="Y98" i="24" s="1"/>
  <c r="X98" i="24" a="1"/>
  <c r="X98" i="24" s="1"/>
  <c r="W98" i="24" a="1"/>
  <c r="W98" i="24" s="1"/>
  <c r="V98" i="24" a="1"/>
  <c r="V98" i="24" s="1"/>
  <c r="L98" i="24" a="1"/>
  <c r="L98" i="24" s="1"/>
  <c r="K98" i="24" a="1"/>
  <c r="K98" i="24" s="1"/>
  <c r="J98" i="24" a="1"/>
  <c r="J98" i="24" s="1"/>
  <c r="I98" i="24" a="1"/>
  <c r="I98" i="24" s="1"/>
  <c r="H98" i="24" a="1"/>
  <c r="H98" i="24" s="1"/>
  <c r="G98" i="24" a="1"/>
  <c r="G98" i="24" s="1"/>
  <c r="F98" i="24" a="1"/>
  <c r="F98" i="24" s="1"/>
  <c r="E98" i="24" a="1"/>
  <c r="E98" i="24" s="1"/>
  <c r="D98" i="24" a="1"/>
  <c r="D98" i="24" s="1"/>
  <c r="C98" i="24" a="1"/>
  <c r="C98" i="24" s="1"/>
  <c r="CG97" i="24" a="1"/>
  <c r="CG97" i="24" s="1"/>
  <c r="AE97" i="24" s="1"/>
  <c r="AD97" i="24" a="1"/>
  <c r="AD97" i="24" s="1"/>
  <c r="AC97" i="24" a="1"/>
  <c r="AC97" i="24" s="1"/>
  <c r="AB97" i="24" a="1"/>
  <c r="AB97" i="24" s="1"/>
  <c r="AA97" i="24" a="1"/>
  <c r="AA97" i="24" s="1"/>
  <c r="Z97" i="24" a="1"/>
  <c r="Z97" i="24" s="1"/>
  <c r="Y97" i="24" a="1"/>
  <c r="Y97" i="24" s="1"/>
  <c r="X97" i="24" a="1"/>
  <c r="X97" i="24" s="1"/>
  <c r="W97" i="24" a="1"/>
  <c r="W97" i="24" s="1"/>
  <c r="V97" i="24" a="1"/>
  <c r="V97" i="24" s="1"/>
  <c r="L97" i="24" a="1"/>
  <c r="L97" i="24" s="1"/>
  <c r="K97" i="24" a="1"/>
  <c r="K97" i="24" s="1"/>
  <c r="J97" i="24" a="1"/>
  <c r="J97" i="24" s="1"/>
  <c r="I97" i="24" a="1"/>
  <c r="I97" i="24" s="1"/>
  <c r="H97" i="24" a="1"/>
  <c r="H97" i="24" s="1"/>
  <c r="G97" i="24" a="1"/>
  <c r="G97" i="24" s="1"/>
  <c r="F97" i="24" a="1"/>
  <c r="F97" i="24" s="1"/>
  <c r="E97" i="24" a="1"/>
  <c r="E97" i="24" s="1"/>
  <c r="D97" i="24" a="1"/>
  <c r="D97" i="24" s="1"/>
  <c r="C97" i="24" a="1"/>
  <c r="C97" i="24" s="1"/>
  <c r="CG96" i="24" a="1"/>
  <c r="CG96" i="24" s="1"/>
  <c r="AE96" i="24" s="1"/>
  <c r="AD96" i="24" a="1"/>
  <c r="AD96" i="24" s="1"/>
  <c r="AC96" i="24" a="1"/>
  <c r="AC96" i="24" s="1"/>
  <c r="AB96" i="24" a="1"/>
  <c r="AB96" i="24" s="1"/>
  <c r="AA96" i="24" a="1"/>
  <c r="AA96" i="24" s="1"/>
  <c r="Z96" i="24" a="1"/>
  <c r="Z96" i="24" s="1"/>
  <c r="Y96" i="24" a="1"/>
  <c r="Y96" i="24" s="1"/>
  <c r="X96" i="24" a="1"/>
  <c r="X96" i="24" s="1"/>
  <c r="W96" i="24" a="1"/>
  <c r="W96" i="24" s="1"/>
  <c r="V96" i="24" a="1"/>
  <c r="V96" i="24" s="1"/>
  <c r="L96" i="24" a="1"/>
  <c r="L96" i="24" s="1"/>
  <c r="K96" i="24" a="1"/>
  <c r="K96" i="24" s="1"/>
  <c r="J96" i="24" a="1"/>
  <c r="J96" i="24" s="1"/>
  <c r="I96" i="24" a="1"/>
  <c r="I96" i="24" s="1"/>
  <c r="H96" i="24" a="1"/>
  <c r="H96" i="24" s="1"/>
  <c r="G96" i="24" a="1"/>
  <c r="G96" i="24" s="1"/>
  <c r="F96" i="24" a="1"/>
  <c r="F96" i="24" s="1"/>
  <c r="E96" i="24" a="1"/>
  <c r="E96" i="24" s="1"/>
  <c r="D96" i="24" a="1"/>
  <c r="D96" i="24" s="1"/>
  <c r="C96" i="24" a="1"/>
  <c r="C96" i="24" s="1"/>
  <c r="CG95" i="24" a="1"/>
  <c r="CG95" i="24" s="1"/>
  <c r="AE95" i="24" s="1"/>
  <c r="AD95" i="24" a="1"/>
  <c r="AD95" i="24" s="1"/>
  <c r="AC95" i="24" a="1"/>
  <c r="AC95" i="24" s="1"/>
  <c r="AB95" i="24" a="1"/>
  <c r="AB95" i="24" s="1"/>
  <c r="AA95" i="24" a="1"/>
  <c r="AA95" i="24" s="1"/>
  <c r="Z95" i="24" a="1"/>
  <c r="Z95" i="24" s="1"/>
  <c r="Y95" i="24" a="1"/>
  <c r="Y95" i="24" s="1"/>
  <c r="X95" i="24" a="1"/>
  <c r="X95" i="24" s="1"/>
  <c r="W95" i="24" a="1"/>
  <c r="W95" i="24" s="1"/>
  <c r="V95" i="24" a="1"/>
  <c r="V95" i="24" s="1"/>
  <c r="L95" i="24" a="1"/>
  <c r="L95" i="24" s="1"/>
  <c r="K95" i="24" a="1"/>
  <c r="K95" i="24" s="1"/>
  <c r="J95" i="24" a="1"/>
  <c r="J95" i="24" s="1"/>
  <c r="I95" i="24" a="1"/>
  <c r="I95" i="24" s="1"/>
  <c r="H95" i="24" a="1"/>
  <c r="H95" i="24" s="1"/>
  <c r="G95" i="24" a="1"/>
  <c r="G95" i="24" s="1"/>
  <c r="F95" i="24" a="1"/>
  <c r="F95" i="24" s="1"/>
  <c r="E95" i="24" a="1"/>
  <c r="E95" i="24" s="1"/>
  <c r="D95" i="24" a="1"/>
  <c r="D95" i="24" s="1"/>
  <c r="C95" i="24" a="1"/>
  <c r="C95" i="24" s="1"/>
  <c r="CG94" i="24" a="1"/>
  <c r="CG94" i="24" s="1"/>
  <c r="AE94" i="24" s="1"/>
  <c r="AD94" i="24" a="1"/>
  <c r="AD94" i="24" s="1"/>
  <c r="AC94" i="24" a="1"/>
  <c r="AC94" i="24" s="1"/>
  <c r="AB94" i="24" a="1"/>
  <c r="AB94" i="24" s="1"/>
  <c r="AA94" i="24" a="1"/>
  <c r="AA94" i="24" s="1"/>
  <c r="Z94" i="24" a="1"/>
  <c r="Z94" i="24" s="1"/>
  <c r="Y94" i="24" a="1"/>
  <c r="Y94" i="24" s="1"/>
  <c r="X94" i="24" a="1"/>
  <c r="X94" i="24" s="1"/>
  <c r="W94" i="24" a="1"/>
  <c r="W94" i="24" s="1"/>
  <c r="V94" i="24" a="1"/>
  <c r="V94" i="24" s="1"/>
  <c r="L94" i="24" a="1"/>
  <c r="L94" i="24" s="1"/>
  <c r="K94" i="24" a="1"/>
  <c r="K94" i="24" s="1"/>
  <c r="J94" i="24" a="1"/>
  <c r="J94" i="24" s="1"/>
  <c r="I94" i="24" a="1"/>
  <c r="I94" i="24" s="1"/>
  <c r="H94" i="24" a="1"/>
  <c r="H94" i="24" s="1"/>
  <c r="G94" i="24" a="1"/>
  <c r="G94" i="24" s="1"/>
  <c r="F94" i="24" a="1"/>
  <c r="F94" i="24" s="1"/>
  <c r="E94" i="24" a="1"/>
  <c r="E94" i="24" s="1"/>
  <c r="D94" i="24" a="1"/>
  <c r="D94" i="24" s="1"/>
  <c r="C94" i="24" a="1"/>
  <c r="C94" i="24" s="1"/>
  <c r="CG93" i="24" a="1"/>
  <c r="CG93" i="24" s="1"/>
  <c r="AE93" i="24" s="1"/>
  <c r="AD93" i="24" a="1"/>
  <c r="AD93" i="24" s="1"/>
  <c r="AC93" i="24" a="1"/>
  <c r="AC93" i="24" s="1"/>
  <c r="AB93" i="24" a="1"/>
  <c r="AB93" i="24" s="1"/>
  <c r="AA93" i="24" a="1"/>
  <c r="AA93" i="24" s="1"/>
  <c r="Z93" i="24" a="1"/>
  <c r="Z93" i="24" s="1"/>
  <c r="Y93" i="24" a="1"/>
  <c r="Y93" i="24" s="1"/>
  <c r="X93" i="24" a="1"/>
  <c r="X93" i="24" s="1"/>
  <c r="W93" i="24" a="1"/>
  <c r="W93" i="24" s="1"/>
  <c r="V93" i="24" a="1"/>
  <c r="V93" i="24" s="1"/>
  <c r="L93" i="24" a="1"/>
  <c r="L93" i="24" s="1"/>
  <c r="K93" i="24" a="1"/>
  <c r="K93" i="24" s="1"/>
  <c r="J93" i="24" a="1"/>
  <c r="J93" i="24" s="1"/>
  <c r="I93" i="24" a="1"/>
  <c r="I93" i="24" s="1"/>
  <c r="H93" i="24" a="1"/>
  <c r="H93" i="24" s="1"/>
  <c r="G93" i="24" a="1"/>
  <c r="G93" i="24" s="1"/>
  <c r="F93" i="24" a="1"/>
  <c r="F93" i="24" s="1"/>
  <c r="E93" i="24" a="1"/>
  <c r="E93" i="24" s="1"/>
  <c r="D93" i="24" a="1"/>
  <c r="D93" i="24" s="1"/>
  <c r="C93" i="24" a="1"/>
  <c r="C93" i="24" s="1"/>
  <c r="CG91" i="24" a="1"/>
  <c r="CG91" i="24" s="1"/>
  <c r="AE91" i="24" s="1"/>
  <c r="AD91" i="24" a="1"/>
  <c r="AD91" i="24" s="1"/>
  <c r="AC91" i="24" a="1"/>
  <c r="AC91" i="24" s="1"/>
  <c r="AB91" i="24" a="1"/>
  <c r="AB91" i="24" s="1"/>
  <c r="AA91" i="24" a="1"/>
  <c r="AA91" i="24" s="1"/>
  <c r="Z91" i="24" a="1"/>
  <c r="Z91" i="24" s="1"/>
  <c r="Y91" i="24" a="1"/>
  <c r="Y91" i="24" s="1"/>
  <c r="X91" i="24" a="1"/>
  <c r="X91" i="24" s="1"/>
  <c r="W91" i="24" a="1"/>
  <c r="W91" i="24" s="1"/>
  <c r="V91" i="24" a="1"/>
  <c r="V91" i="24" s="1"/>
  <c r="L91" i="24" a="1"/>
  <c r="L91" i="24" s="1"/>
  <c r="K91" i="24" a="1"/>
  <c r="K91" i="24" s="1"/>
  <c r="J91" i="24" a="1"/>
  <c r="J91" i="24" s="1"/>
  <c r="I91" i="24" a="1"/>
  <c r="I91" i="24" s="1"/>
  <c r="H91" i="24" a="1"/>
  <c r="H91" i="24" s="1"/>
  <c r="G91" i="24" a="1"/>
  <c r="G91" i="24" s="1"/>
  <c r="F91" i="24" a="1"/>
  <c r="F91" i="24" s="1"/>
  <c r="E91" i="24" a="1"/>
  <c r="E91" i="24" s="1"/>
  <c r="D91" i="24" a="1"/>
  <c r="D91" i="24" s="1"/>
  <c r="C91" i="24" a="1"/>
  <c r="C91" i="24" s="1"/>
  <c r="CG89" i="24" a="1"/>
  <c r="CG89" i="24" s="1"/>
  <c r="AE89" i="24" s="1"/>
  <c r="AD89" i="24" a="1"/>
  <c r="AD89" i="24" s="1"/>
  <c r="AC89" i="24" a="1"/>
  <c r="AC89" i="24" s="1"/>
  <c r="AB89" i="24" a="1"/>
  <c r="AB89" i="24" s="1"/>
  <c r="AA89" i="24" a="1"/>
  <c r="AA89" i="24" s="1"/>
  <c r="Z89" i="24" a="1"/>
  <c r="Z89" i="24" s="1"/>
  <c r="Y89" i="24" a="1"/>
  <c r="Y89" i="24" s="1"/>
  <c r="X89" i="24" a="1"/>
  <c r="X89" i="24" s="1"/>
  <c r="W89" i="24" a="1"/>
  <c r="W89" i="24" s="1"/>
  <c r="V89" i="24" a="1"/>
  <c r="V89" i="24" s="1"/>
  <c r="L89" i="24" a="1"/>
  <c r="L89" i="24" s="1"/>
  <c r="K89" i="24" a="1"/>
  <c r="K89" i="24" s="1"/>
  <c r="J89" i="24" a="1"/>
  <c r="J89" i="24" s="1"/>
  <c r="I89" i="24" a="1"/>
  <c r="I89" i="24" s="1"/>
  <c r="H89" i="24" a="1"/>
  <c r="H89" i="24" s="1"/>
  <c r="G89" i="24" a="1"/>
  <c r="G89" i="24" s="1"/>
  <c r="F89" i="24" a="1"/>
  <c r="F89" i="24" s="1"/>
  <c r="E89" i="24" a="1"/>
  <c r="E89" i="24" s="1"/>
  <c r="D89" i="24" a="1"/>
  <c r="D89" i="24" s="1"/>
  <c r="C89" i="24" a="1"/>
  <c r="C89" i="24" s="1"/>
  <c r="CG88" i="24" a="1"/>
  <c r="CG88" i="24" s="1"/>
  <c r="AE88" i="24" s="1"/>
  <c r="AD88" i="24" a="1"/>
  <c r="AD88" i="24" s="1"/>
  <c r="AC88" i="24" a="1"/>
  <c r="AC88" i="24" s="1"/>
  <c r="AB88" i="24" a="1"/>
  <c r="AB88" i="24" s="1"/>
  <c r="AA88" i="24" a="1"/>
  <c r="AA88" i="24" s="1"/>
  <c r="Z88" i="24" a="1"/>
  <c r="Z88" i="24" s="1"/>
  <c r="Y88" i="24" a="1"/>
  <c r="Y88" i="24" s="1"/>
  <c r="X88" i="24" a="1"/>
  <c r="X88" i="24" s="1"/>
  <c r="W88" i="24" a="1"/>
  <c r="W88" i="24" s="1"/>
  <c r="V88" i="24" a="1"/>
  <c r="V88" i="24" s="1"/>
  <c r="L88" i="24" a="1"/>
  <c r="L88" i="24" s="1"/>
  <c r="K88" i="24" a="1"/>
  <c r="K88" i="24" s="1"/>
  <c r="J88" i="24" a="1"/>
  <c r="J88" i="24" s="1"/>
  <c r="I88" i="24" a="1"/>
  <c r="I88" i="24" s="1"/>
  <c r="H88" i="24" a="1"/>
  <c r="H88" i="24" s="1"/>
  <c r="G88" i="24" a="1"/>
  <c r="G88" i="24" s="1"/>
  <c r="F88" i="24" a="1"/>
  <c r="F88" i="24" s="1"/>
  <c r="E88" i="24" a="1"/>
  <c r="E88" i="24" s="1"/>
  <c r="D88" i="24" a="1"/>
  <c r="D88" i="24" s="1"/>
  <c r="C88" i="24" a="1"/>
  <c r="C88" i="24" s="1"/>
  <c r="CG87" i="24" a="1"/>
  <c r="CG87" i="24" s="1"/>
  <c r="AE87" i="24" s="1"/>
  <c r="AD87" i="24" a="1"/>
  <c r="AD87" i="24" s="1"/>
  <c r="AC87" i="24" a="1"/>
  <c r="AC87" i="24" s="1"/>
  <c r="AB87" i="24" a="1"/>
  <c r="AB87" i="24" s="1"/>
  <c r="AA87" i="24" a="1"/>
  <c r="AA87" i="24" s="1"/>
  <c r="Z87" i="24" a="1"/>
  <c r="Z87" i="24" s="1"/>
  <c r="Y87" i="24" a="1"/>
  <c r="Y87" i="24" s="1"/>
  <c r="X87" i="24" a="1"/>
  <c r="X87" i="24" s="1"/>
  <c r="W87" i="24" a="1"/>
  <c r="W87" i="24" s="1"/>
  <c r="V87" i="24" a="1"/>
  <c r="V87" i="24" s="1"/>
  <c r="L87" i="24" a="1"/>
  <c r="L87" i="24" s="1"/>
  <c r="K87" i="24" a="1"/>
  <c r="K87" i="24" s="1"/>
  <c r="J87" i="24" a="1"/>
  <c r="J87" i="24" s="1"/>
  <c r="I87" i="24" a="1"/>
  <c r="I87" i="24" s="1"/>
  <c r="H87" i="24" a="1"/>
  <c r="H87" i="24" s="1"/>
  <c r="G87" i="24" a="1"/>
  <c r="G87" i="24" s="1"/>
  <c r="F87" i="24" a="1"/>
  <c r="F87" i="24" s="1"/>
  <c r="E87" i="24" a="1"/>
  <c r="E87" i="24" s="1"/>
  <c r="D87" i="24" a="1"/>
  <c r="D87" i="24" s="1"/>
  <c r="C87" i="24" a="1"/>
  <c r="C87" i="24" s="1"/>
  <c r="CG86" i="24" a="1"/>
  <c r="CG86" i="24" s="1"/>
  <c r="AE86" i="24" s="1"/>
  <c r="AD86" i="24" a="1"/>
  <c r="AD86" i="24" s="1"/>
  <c r="AC86" i="24" a="1"/>
  <c r="AC86" i="24" s="1"/>
  <c r="AB86" i="24" a="1"/>
  <c r="AB86" i="24" s="1"/>
  <c r="AA86" i="24" a="1"/>
  <c r="AA86" i="24" s="1"/>
  <c r="Z86" i="24" a="1"/>
  <c r="Z86" i="24" s="1"/>
  <c r="Y86" i="24" a="1"/>
  <c r="Y86" i="24" s="1"/>
  <c r="X86" i="24" a="1"/>
  <c r="X86" i="24" s="1"/>
  <c r="W86" i="24" a="1"/>
  <c r="W86" i="24" s="1"/>
  <c r="V86" i="24" a="1"/>
  <c r="V86" i="24" s="1"/>
  <c r="L86" i="24" a="1"/>
  <c r="L86" i="24" s="1"/>
  <c r="K86" i="24" a="1"/>
  <c r="K86" i="24" s="1"/>
  <c r="J86" i="24" a="1"/>
  <c r="J86" i="24" s="1"/>
  <c r="I86" i="24" a="1"/>
  <c r="I86" i="24" s="1"/>
  <c r="H86" i="24" a="1"/>
  <c r="H86" i="24" s="1"/>
  <c r="G86" i="24" a="1"/>
  <c r="G86" i="24" s="1"/>
  <c r="F86" i="24" a="1"/>
  <c r="F86" i="24" s="1"/>
  <c r="E86" i="24" a="1"/>
  <c r="E86" i="24" s="1"/>
  <c r="D86" i="24" a="1"/>
  <c r="D86" i="24" s="1"/>
  <c r="C86" i="24" a="1"/>
  <c r="C86" i="24" s="1"/>
  <c r="CG85" i="24" a="1"/>
  <c r="CG85" i="24" s="1"/>
  <c r="AE85" i="24" s="1"/>
  <c r="AD85" i="24" a="1"/>
  <c r="AD85" i="24" s="1"/>
  <c r="AC85" i="24" a="1"/>
  <c r="AC85" i="24" s="1"/>
  <c r="AB85" i="24" a="1"/>
  <c r="AB85" i="24" s="1"/>
  <c r="AA85" i="24" a="1"/>
  <c r="AA85" i="24" s="1"/>
  <c r="Z85" i="24" a="1"/>
  <c r="Z85" i="24" s="1"/>
  <c r="Y85" i="24" a="1"/>
  <c r="Y85" i="24" s="1"/>
  <c r="X85" i="24" a="1"/>
  <c r="X85" i="24" s="1"/>
  <c r="W85" i="24" a="1"/>
  <c r="W85" i="24" s="1"/>
  <c r="V85" i="24" a="1"/>
  <c r="V85" i="24" s="1"/>
  <c r="L85" i="24" a="1"/>
  <c r="L85" i="24" s="1"/>
  <c r="K85" i="24" a="1"/>
  <c r="K85" i="24" s="1"/>
  <c r="J85" i="24" a="1"/>
  <c r="J85" i="24" s="1"/>
  <c r="I85" i="24" a="1"/>
  <c r="I85" i="24" s="1"/>
  <c r="H85" i="24" a="1"/>
  <c r="H85" i="24" s="1"/>
  <c r="G85" i="24" a="1"/>
  <c r="G85" i="24" s="1"/>
  <c r="F85" i="24" a="1"/>
  <c r="F85" i="24" s="1"/>
  <c r="E85" i="24" a="1"/>
  <c r="E85" i="24" s="1"/>
  <c r="D85" i="24" a="1"/>
  <c r="D85" i="24" s="1"/>
  <c r="C85" i="24" a="1"/>
  <c r="C85" i="24" s="1"/>
  <c r="CG84" i="24" a="1"/>
  <c r="CG84" i="24" s="1"/>
  <c r="AE84" i="24" s="1"/>
  <c r="AD84" i="24" a="1"/>
  <c r="AD84" i="24" s="1"/>
  <c r="AC84" i="24" a="1"/>
  <c r="AC84" i="24" s="1"/>
  <c r="AB84" i="24" a="1"/>
  <c r="AB84" i="24" s="1"/>
  <c r="AA84" i="24" a="1"/>
  <c r="AA84" i="24" s="1"/>
  <c r="Z84" i="24" a="1"/>
  <c r="Z84" i="24" s="1"/>
  <c r="Y84" i="24" a="1"/>
  <c r="Y84" i="24" s="1"/>
  <c r="X84" i="24" a="1"/>
  <c r="X84" i="24" s="1"/>
  <c r="W84" i="24" a="1"/>
  <c r="W84" i="24" s="1"/>
  <c r="V84" i="24" a="1"/>
  <c r="V84" i="24" s="1"/>
  <c r="L84" i="24" a="1"/>
  <c r="L84" i="24" s="1"/>
  <c r="K84" i="24" a="1"/>
  <c r="K84" i="24" s="1"/>
  <c r="J84" i="24" a="1"/>
  <c r="J84" i="24" s="1"/>
  <c r="I84" i="24" a="1"/>
  <c r="I84" i="24" s="1"/>
  <c r="H84" i="24" a="1"/>
  <c r="H84" i="24" s="1"/>
  <c r="G84" i="24" a="1"/>
  <c r="G84" i="24" s="1"/>
  <c r="F84" i="24" a="1"/>
  <c r="F84" i="24" s="1"/>
  <c r="E84" i="24" a="1"/>
  <c r="E84" i="24" s="1"/>
  <c r="D84" i="24" a="1"/>
  <c r="D84" i="24" s="1"/>
  <c r="C84" i="24" a="1"/>
  <c r="C84" i="24" s="1"/>
  <c r="CG83" i="24" a="1"/>
  <c r="CG83" i="24" s="1"/>
  <c r="AE83" i="24" s="1"/>
  <c r="AD83" i="24" a="1"/>
  <c r="AD83" i="24" s="1"/>
  <c r="AC83" i="24" a="1"/>
  <c r="AC83" i="24" s="1"/>
  <c r="AB83" i="24" a="1"/>
  <c r="AB83" i="24" s="1"/>
  <c r="AA83" i="24" a="1"/>
  <c r="AA83" i="24" s="1"/>
  <c r="Z83" i="24" a="1"/>
  <c r="Z83" i="24" s="1"/>
  <c r="Y83" i="24" a="1"/>
  <c r="Y83" i="24" s="1"/>
  <c r="X83" i="24" a="1"/>
  <c r="X83" i="24" s="1"/>
  <c r="W83" i="24" a="1"/>
  <c r="W83" i="24" s="1"/>
  <c r="V83" i="24" a="1"/>
  <c r="V83" i="24" s="1"/>
  <c r="L83" i="24" a="1"/>
  <c r="L83" i="24" s="1"/>
  <c r="K83" i="24" a="1"/>
  <c r="K83" i="24" s="1"/>
  <c r="J83" i="24" a="1"/>
  <c r="J83" i="24" s="1"/>
  <c r="I83" i="24" a="1"/>
  <c r="I83" i="24" s="1"/>
  <c r="H83" i="24" a="1"/>
  <c r="H83" i="24" s="1"/>
  <c r="G83" i="24" a="1"/>
  <c r="G83" i="24" s="1"/>
  <c r="F83" i="24" a="1"/>
  <c r="F83" i="24" s="1"/>
  <c r="E83" i="24" a="1"/>
  <c r="E83" i="24" s="1"/>
  <c r="D83" i="24" a="1"/>
  <c r="D83" i="24" s="1"/>
  <c r="C83" i="24" a="1"/>
  <c r="C83" i="24" s="1"/>
  <c r="CG81" i="24" a="1"/>
  <c r="CG81" i="24" s="1"/>
  <c r="AE81" i="24" s="1"/>
  <c r="AD81" i="24" a="1"/>
  <c r="AD81" i="24" s="1"/>
  <c r="AC81" i="24" a="1"/>
  <c r="AC81" i="24" s="1"/>
  <c r="AB81" i="24" a="1"/>
  <c r="AB81" i="24" s="1"/>
  <c r="AA81" i="24" a="1"/>
  <c r="AA81" i="24" s="1"/>
  <c r="Z81" i="24" a="1"/>
  <c r="Z81" i="24" s="1"/>
  <c r="Y81" i="24" a="1"/>
  <c r="Y81" i="24" s="1"/>
  <c r="X81" i="24" a="1"/>
  <c r="X81" i="24" s="1"/>
  <c r="W81" i="24" a="1"/>
  <c r="W81" i="24" s="1"/>
  <c r="V81" i="24" a="1"/>
  <c r="V81" i="24" s="1"/>
  <c r="L81" i="24" a="1"/>
  <c r="L81" i="24" s="1"/>
  <c r="K81" i="24" a="1"/>
  <c r="K81" i="24" s="1"/>
  <c r="J81" i="24" a="1"/>
  <c r="J81" i="24" s="1"/>
  <c r="I81" i="24" a="1"/>
  <c r="I81" i="24" s="1"/>
  <c r="H81" i="24" a="1"/>
  <c r="H81" i="24" s="1"/>
  <c r="G81" i="24" a="1"/>
  <c r="G81" i="24" s="1"/>
  <c r="F81" i="24" a="1"/>
  <c r="F81" i="24" s="1"/>
  <c r="E81" i="24" a="1"/>
  <c r="E81" i="24" s="1"/>
  <c r="D81" i="24" a="1"/>
  <c r="D81" i="24" s="1"/>
  <c r="C81" i="24" a="1"/>
  <c r="C81" i="24" s="1"/>
  <c r="CG79" i="24" a="1"/>
  <c r="CG79" i="24" s="1"/>
  <c r="AE79" i="24" s="1"/>
  <c r="AD79" i="24" a="1"/>
  <c r="AD79" i="24" s="1"/>
  <c r="AC79" i="24" a="1"/>
  <c r="AC79" i="24" s="1"/>
  <c r="AB79" i="24" a="1"/>
  <c r="AB79" i="24" s="1"/>
  <c r="AA79" i="24" a="1"/>
  <c r="AA79" i="24" s="1"/>
  <c r="Z79" i="24" a="1"/>
  <c r="Z79" i="24" s="1"/>
  <c r="Y79" i="24" a="1"/>
  <c r="Y79" i="24" s="1"/>
  <c r="X79" i="24" a="1"/>
  <c r="X79" i="24" s="1"/>
  <c r="W79" i="24" a="1"/>
  <c r="W79" i="24" s="1"/>
  <c r="V79" i="24" a="1"/>
  <c r="V79" i="24" s="1"/>
  <c r="L79" i="24" a="1"/>
  <c r="L79" i="24" s="1"/>
  <c r="K79" i="24" a="1"/>
  <c r="K79" i="24" s="1"/>
  <c r="J79" i="24" a="1"/>
  <c r="J79" i="24" s="1"/>
  <c r="I79" i="24" a="1"/>
  <c r="I79" i="24" s="1"/>
  <c r="H79" i="24" a="1"/>
  <c r="H79" i="24" s="1"/>
  <c r="G79" i="24" a="1"/>
  <c r="G79" i="24" s="1"/>
  <c r="F79" i="24" a="1"/>
  <c r="F79" i="24" s="1"/>
  <c r="E79" i="24" a="1"/>
  <c r="E79" i="24" s="1"/>
  <c r="D79" i="24" a="1"/>
  <c r="D79" i="24" s="1"/>
  <c r="C79" i="24" a="1"/>
  <c r="C79" i="24" s="1"/>
  <c r="CG77" i="24" a="1"/>
  <c r="CG77" i="24" s="1"/>
  <c r="AE77" i="24" s="1"/>
  <c r="AD77" i="24" a="1"/>
  <c r="AD77" i="24" s="1"/>
  <c r="AC77" i="24" a="1"/>
  <c r="AC77" i="24" s="1"/>
  <c r="AB77" i="24" a="1"/>
  <c r="AB77" i="24" s="1"/>
  <c r="AA77" i="24" a="1"/>
  <c r="AA77" i="24" s="1"/>
  <c r="Z77" i="24" a="1"/>
  <c r="Z77" i="24" s="1"/>
  <c r="Y77" i="24" a="1"/>
  <c r="Y77" i="24" s="1"/>
  <c r="X77" i="24" a="1"/>
  <c r="X77" i="24" s="1"/>
  <c r="W77" i="24" a="1"/>
  <c r="W77" i="24" s="1"/>
  <c r="V77" i="24" a="1"/>
  <c r="V77" i="24" s="1"/>
  <c r="L77" i="24" a="1"/>
  <c r="L77" i="24" s="1"/>
  <c r="K77" i="24" a="1"/>
  <c r="K77" i="24" s="1"/>
  <c r="J77" i="24" a="1"/>
  <c r="J77" i="24" s="1"/>
  <c r="I77" i="24" a="1"/>
  <c r="I77" i="24" s="1"/>
  <c r="H77" i="24" a="1"/>
  <c r="H77" i="24" s="1"/>
  <c r="G77" i="24" a="1"/>
  <c r="G77" i="24" s="1"/>
  <c r="F77" i="24" a="1"/>
  <c r="F77" i="24" s="1"/>
  <c r="E77" i="24" a="1"/>
  <c r="E77" i="24" s="1"/>
  <c r="D77" i="24" a="1"/>
  <c r="D77" i="24" s="1"/>
  <c r="C77" i="24" a="1"/>
  <c r="C77" i="24" s="1"/>
  <c r="CG76" i="24" a="1"/>
  <c r="CG76" i="24" s="1"/>
  <c r="AE76" i="24" s="1"/>
  <c r="AD76" i="24" a="1"/>
  <c r="AD76" i="24" s="1"/>
  <c r="AC76" i="24" a="1"/>
  <c r="AC76" i="24" s="1"/>
  <c r="AB76" i="24" a="1"/>
  <c r="AB76" i="24" s="1"/>
  <c r="AA76" i="24" a="1"/>
  <c r="AA76" i="24" s="1"/>
  <c r="Z76" i="24" a="1"/>
  <c r="Z76" i="24" s="1"/>
  <c r="Y76" i="24" a="1"/>
  <c r="Y76" i="24" s="1"/>
  <c r="X76" i="24" a="1"/>
  <c r="X76" i="24" s="1"/>
  <c r="W76" i="24" a="1"/>
  <c r="W76" i="24" s="1"/>
  <c r="V76" i="24" a="1"/>
  <c r="V76" i="24" s="1"/>
  <c r="L76" i="24" a="1"/>
  <c r="L76" i="24" s="1"/>
  <c r="K76" i="24" a="1"/>
  <c r="K76" i="24" s="1"/>
  <c r="J76" i="24" a="1"/>
  <c r="J76" i="24" s="1"/>
  <c r="I76" i="24" a="1"/>
  <c r="I76" i="24" s="1"/>
  <c r="H76" i="24" a="1"/>
  <c r="H76" i="24" s="1"/>
  <c r="G76" i="24" a="1"/>
  <c r="G76" i="24" s="1"/>
  <c r="F76" i="24" a="1"/>
  <c r="F76" i="24" s="1"/>
  <c r="E76" i="24" a="1"/>
  <c r="E76" i="24" s="1"/>
  <c r="D76" i="24" a="1"/>
  <c r="D76" i="24" s="1"/>
  <c r="C76" i="24" a="1"/>
  <c r="C76" i="24" s="1"/>
  <c r="CG75" i="24" a="1"/>
  <c r="CG75" i="24" s="1"/>
  <c r="AE75" i="24" s="1"/>
  <c r="AD75" i="24" a="1"/>
  <c r="AD75" i="24" s="1"/>
  <c r="AC75" i="24" a="1"/>
  <c r="AC75" i="24" s="1"/>
  <c r="AB75" i="24" a="1"/>
  <c r="AB75" i="24" s="1"/>
  <c r="AA75" i="24" a="1"/>
  <c r="AA75" i="24" s="1"/>
  <c r="Z75" i="24" a="1"/>
  <c r="Z75" i="24" s="1"/>
  <c r="Y75" i="24" a="1"/>
  <c r="Y75" i="24" s="1"/>
  <c r="X75" i="24" a="1"/>
  <c r="X75" i="24" s="1"/>
  <c r="W75" i="24" a="1"/>
  <c r="W75" i="24" s="1"/>
  <c r="V75" i="24" a="1"/>
  <c r="V75" i="24" s="1"/>
  <c r="L75" i="24" a="1"/>
  <c r="L75" i="24" s="1"/>
  <c r="K75" i="24" a="1"/>
  <c r="K75" i="24" s="1"/>
  <c r="J75" i="24" a="1"/>
  <c r="J75" i="24" s="1"/>
  <c r="I75" i="24" a="1"/>
  <c r="I75" i="24" s="1"/>
  <c r="H75" i="24" a="1"/>
  <c r="H75" i="24" s="1"/>
  <c r="G75" i="24" a="1"/>
  <c r="G75" i="24" s="1"/>
  <c r="F75" i="24" a="1"/>
  <c r="F75" i="24" s="1"/>
  <c r="E75" i="24" a="1"/>
  <c r="E75" i="24" s="1"/>
  <c r="D75" i="24" a="1"/>
  <c r="D75" i="24" s="1"/>
  <c r="C75" i="24" a="1"/>
  <c r="C75" i="24" s="1"/>
  <c r="CG74" i="24" a="1"/>
  <c r="CG74" i="24" s="1"/>
  <c r="AE74" i="24" s="1"/>
  <c r="AD74" i="24" a="1"/>
  <c r="AD74" i="24" s="1"/>
  <c r="AC74" i="24" a="1"/>
  <c r="AC74" i="24" s="1"/>
  <c r="AB74" i="24" a="1"/>
  <c r="AB74" i="24" s="1"/>
  <c r="AA74" i="24" a="1"/>
  <c r="AA74" i="24" s="1"/>
  <c r="Z74" i="24" a="1"/>
  <c r="Z74" i="24" s="1"/>
  <c r="Y74" i="24" a="1"/>
  <c r="Y74" i="24" s="1"/>
  <c r="X74" i="24" a="1"/>
  <c r="X74" i="24" s="1"/>
  <c r="W74" i="24" a="1"/>
  <c r="W74" i="24" s="1"/>
  <c r="V74" i="24" a="1"/>
  <c r="V74" i="24" s="1"/>
  <c r="L74" i="24" a="1"/>
  <c r="L74" i="24" s="1"/>
  <c r="K74" i="24" a="1"/>
  <c r="K74" i="24" s="1"/>
  <c r="J74" i="24" a="1"/>
  <c r="J74" i="24" s="1"/>
  <c r="I74" i="24" a="1"/>
  <c r="I74" i="24" s="1"/>
  <c r="H74" i="24" a="1"/>
  <c r="H74" i="24" s="1"/>
  <c r="G74" i="24" a="1"/>
  <c r="G74" i="24" s="1"/>
  <c r="F74" i="24" a="1"/>
  <c r="F74" i="24" s="1"/>
  <c r="E74" i="24" a="1"/>
  <c r="E74" i="24" s="1"/>
  <c r="D74" i="24" a="1"/>
  <c r="D74" i="24" s="1"/>
  <c r="C74" i="24" a="1"/>
  <c r="C74" i="24" s="1"/>
  <c r="CG73" i="24" a="1"/>
  <c r="CG73" i="24" s="1"/>
  <c r="AE73" i="24" s="1"/>
  <c r="AD73" i="24" a="1"/>
  <c r="AD73" i="24" s="1"/>
  <c r="AC73" i="24" a="1"/>
  <c r="AC73" i="24" s="1"/>
  <c r="AB73" i="24" a="1"/>
  <c r="AB73" i="24" s="1"/>
  <c r="AA73" i="24" a="1"/>
  <c r="AA73" i="24" s="1"/>
  <c r="Z73" i="24" a="1"/>
  <c r="Z73" i="24" s="1"/>
  <c r="Y73" i="24" a="1"/>
  <c r="Y73" i="24" s="1"/>
  <c r="X73" i="24" a="1"/>
  <c r="X73" i="24" s="1"/>
  <c r="W73" i="24" a="1"/>
  <c r="W73" i="24" s="1"/>
  <c r="V73" i="24" a="1"/>
  <c r="V73" i="24" s="1"/>
  <c r="L73" i="24" a="1"/>
  <c r="L73" i="24" s="1"/>
  <c r="K73" i="24" a="1"/>
  <c r="K73" i="24" s="1"/>
  <c r="J73" i="24" a="1"/>
  <c r="J73" i="24" s="1"/>
  <c r="I73" i="24" a="1"/>
  <c r="I73" i="24" s="1"/>
  <c r="H73" i="24" a="1"/>
  <c r="H73" i="24" s="1"/>
  <c r="G73" i="24" a="1"/>
  <c r="G73" i="24" s="1"/>
  <c r="F73" i="24" a="1"/>
  <c r="F73" i="24" s="1"/>
  <c r="E73" i="24" a="1"/>
  <c r="E73" i="24" s="1"/>
  <c r="D73" i="24" a="1"/>
  <c r="D73" i="24" s="1"/>
  <c r="C73" i="24" a="1"/>
  <c r="C73" i="24" s="1"/>
  <c r="CG72" i="24" a="1"/>
  <c r="CG72" i="24" s="1"/>
  <c r="AE72" i="24" s="1"/>
  <c r="AD72" i="24" a="1"/>
  <c r="AD72" i="24" s="1"/>
  <c r="AC72" i="24" a="1"/>
  <c r="AC72" i="24" s="1"/>
  <c r="AB72" i="24" a="1"/>
  <c r="AB72" i="24" s="1"/>
  <c r="AA72" i="24" a="1"/>
  <c r="AA72" i="24" s="1"/>
  <c r="Z72" i="24" a="1"/>
  <c r="Z72" i="24" s="1"/>
  <c r="Y72" i="24" a="1"/>
  <c r="Y72" i="24" s="1"/>
  <c r="X72" i="24" a="1"/>
  <c r="X72" i="24" s="1"/>
  <c r="W72" i="24" a="1"/>
  <c r="W72" i="24" s="1"/>
  <c r="V72" i="24" a="1"/>
  <c r="V72" i="24" s="1"/>
  <c r="L72" i="24" a="1"/>
  <c r="L72" i="24" s="1"/>
  <c r="K72" i="24" a="1"/>
  <c r="K72" i="24" s="1"/>
  <c r="J72" i="24" a="1"/>
  <c r="J72" i="24" s="1"/>
  <c r="I72" i="24" a="1"/>
  <c r="I72" i="24" s="1"/>
  <c r="H72" i="24" a="1"/>
  <c r="H72" i="24" s="1"/>
  <c r="G72" i="24" a="1"/>
  <c r="G72" i="24" s="1"/>
  <c r="F72" i="24" a="1"/>
  <c r="F72" i="24" s="1"/>
  <c r="E72" i="24" a="1"/>
  <c r="E72" i="24" s="1"/>
  <c r="D72" i="24" a="1"/>
  <c r="D72" i="24" s="1"/>
  <c r="C72" i="24" a="1"/>
  <c r="C72" i="24" s="1"/>
  <c r="CG71" i="24" a="1"/>
  <c r="CG71" i="24" s="1"/>
  <c r="AE71" i="24" s="1"/>
  <c r="AD71" i="24" a="1"/>
  <c r="AD71" i="24" s="1"/>
  <c r="AC71" i="24" a="1"/>
  <c r="AC71" i="24" s="1"/>
  <c r="AB71" i="24" a="1"/>
  <c r="AB71" i="24" s="1"/>
  <c r="AA71" i="24" a="1"/>
  <c r="AA71" i="24" s="1"/>
  <c r="Z71" i="24" a="1"/>
  <c r="Z71" i="24" s="1"/>
  <c r="Y71" i="24" a="1"/>
  <c r="Y71" i="24" s="1"/>
  <c r="X71" i="24" a="1"/>
  <c r="X71" i="24" s="1"/>
  <c r="W71" i="24" a="1"/>
  <c r="W71" i="24" s="1"/>
  <c r="V71" i="24" a="1"/>
  <c r="V71" i="24" s="1"/>
  <c r="L71" i="24" a="1"/>
  <c r="L71" i="24" s="1"/>
  <c r="K71" i="24" a="1"/>
  <c r="K71" i="24" s="1"/>
  <c r="J71" i="24" a="1"/>
  <c r="J71" i="24" s="1"/>
  <c r="I71" i="24" a="1"/>
  <c r="I71" i="24" s="1"/>
  <c r="H71" i="24" a="1"/>
  <c r="H71" i="24" s="1"/>
  <c r="G71" i="24" a="1"/>
  <c r="G71" i="24" s="1"/>
  <c r="F71" i="24" a="1"/>
  <c r="F71" i="24" s="1"/>
  <c r="E71" i="24" a="1"/>
  <c r="E71" i="24" s="1"/>
  <c r="D71" i="24" a="1"/>
  <c r="D71" i="24" s="1"/>
  <c r="C71" i="24" a="1"/>
  <c r="C71" i="24" s="1"/>
  <c r="CG70" i="24" a="1"/>
  <c r="CG70" i="24" s="1"/>
  <c r="AE70" i="24" s="1"/>
  <c r="AD70" i="24" a="1"/>
  <c r="AD70" i="24" s="1"/>
  <c r="AC70" i="24" a="1"/>
  <c r="AC70" i="24" s="1"/>
  <c r="AB70" i="24" a="1"/>
  <c r="AB70" i="24" s="1"/>
  <c r="AA70" i="24" a="1"/>
  <c r="AA70" i="24" s="1"/>
  <c r="Z70" i="24" a="1"/>
  <c r="Z70" i="24" s="1"/>
  <c r="Y70" i="24" a="1"/>
  <c r="Y70" i="24" s="1"/>
  <c r="X70" i="24" a="1"/>
  <c r="X70" i="24" s="1"/>
  <c r="W70" i="24" a="1"/>
  <c r="W70" i="24" s="1"/>
  <c r="V70" i="24" a="1"/>
  <c r="V70" i="24" s="1"/>
  <c r="L70" i="24" a="1"/>
  <c r="L70" i="24" s="1"/>
  <c r="K70" i="24" a="1"/>
  <c r="K70" i="24" s="1"/>
  <c r="J70" i="24" a="1"/>
  <c r="J70" i="24" s="1"/>
  <c r="I70" i="24" a="1"/>
  <c r="I70" i="24" s="1"/>
  <c r="H70" i="24" a="1"/>
  <c r="H70" i="24" s="1"/>
  <c r="G70" i="24" a="1"/>
  <c r="G70" i="24" s="1"/>
  <c r="F70" i="24" a="1"/>
  <c r="F70" i="24" s="1"/>
  <c r="E70" i="24" a="1"/>
  <c r="E70" i="24" s="1"/>
  <c r="D70" i="24" a="1"/>
  <c r="D70" i="24" s="1"/>
  <c r="C70" i="24" a="1"/>
  <c r="C70" i="24" s="1"/>
  <c r="CG68" i="24" a="1"/>
  <c r="CG68" i="24" s="1"/>
  <c r="AE68" i="24" s="1"/>
  <c r="AD68" i="24" a="1"/>
  <c r="AD68" i="24" s="1"/>
  <c r="AC68" i="24" a="1"/>
  <c r="AC68" i="24" s="1"/>
  <c r="AB68" i="24" a="1"/>
  <c r="AB68" i="24" s="1"/>
  <c r="AA68" i="24" a="1"/>
  <c r="AA68" i="24" s="1"/>
  <c r="Z68" i="24" a="1"/>
  <c r="Z68" i="24" s="1"/>
  <c r="Y68" i="24" a="1"/>
  <c r="Y68" i="24" s="1"/>
  <c r="X68" i="24" a="1"/>
  <c r="X68" i="24" s="1"/>
  <c r="W68" i="24" a="1"/>
  <c r="W68" i="24" s="1"/>
  <c r="V68" i="24" a="1"/>
  <c r="V68" i="24" s="1"/>
  <c r="L68" i="24" a="1"/>
  <c r="L68" i="24" s="1"/>
  <c r="K68" i="24" a="1"/>
  <c r="K68" i="24" s="1"/>
  <c r="J68" i="24" a="1"/>
  <c r="J68" i="24" s="1"/>
  <c r="I68" i="24" a="1"/>
  <c r="I68" i="24" s="1"/>
  <c r="H68" i="24" a="1"/>
  <c r="H68" i="24" s="1"/>
  <c r="G68" i="24" a="1"/>
  <c r="G68" i="24" s="1"/>
  <c r="F68" i="24" a="1"/>
  <c r="F68" i="24" s="1"/>
  <c r="E68" i="24" a="1"/>
  <c r="E68" i="24" s="1"/>
  <c r="D68" i="24" a="1"/>
  <c r="D68" i="24" s="1"/>
  <c r="C68" i="24" a="1"/>
  <c r="C68" i="24" s="1"/>
  <c r="CG67" i="24" a="1"/>
  <c r="CG67" i="24" s="1"/>
  <c r="AE67" i="24" s="1"/>
  <c r="AD67" i="24" a="1"/>
  <c r="AD67" i="24" s="1"/>
  <c r="AC67" i="24" a="1"/>
  <c r="AC67" i="24" s="1"/>
  <c r="AB67" i="24" a="1"/>
  <c r="AB67" i="24" s="1"/>
  <c r="AA67" i="24" a="1"/>
  <c r="AA67" i="24" s="1"/>
  <c r="Z67" i="24" a="1"/>
  <c r="Z67" i="24" s="1"/>
  <c r="Y67" i="24" a="1"/>
  <c r="Y67" i="24" s="1"/>
  <c r="X67" i="24" a="1"/>
  <c r="X67" i="24" s="1"/>
  <c r="W67" i="24" a="1"/>
  <c r="W67" i="24" s="1"/>
  <c r="V67" i="24" a="1"/>
  <c r="V67" i="24" s="1"/>
  <c r="L67" i="24" a="1"/>
  <c r="L67" i="24" s="1"/>
  <c r="K67" i="24" a="1"/>
  <c r="K67" i="24" s="1"/>
  <c r="J67" i="24" a="1"/>
  <c r="J67" i="24" s="1"/>
  <c r="I67" i="24" a="1"/>
  <c r="I67" i="24" s="1"/>
  <c r="H67" i="24" a="1"/>
  <c r="H67" i="24" s="1"/>
  <c r="G67" i="24" a="1"/>
  <c r="G67" i="24" s="1"/>
  <c r="F67" i="24" a="1"/>
  <c r="F67" i="24" s="1"/>
  <c r="E67" i="24" a="1"/>
  <c r="E67" i="24" s="1"/>
  <c r="D67" i="24" a="1"/>
  <c r="D67" i="24" s="1"/>
  <c r="C67" i="24" a="1"/>
  <c r="C67" i="24" s="1"/>
  <c r="CG66" i="24" a="1"/>
  <c r="CG66" i="24" s="1"/>
  <c r="AE66" i="24" s="1"/>
  <c r="AD66" i="24" a="1"/>
  <c r="AD66" i="24" s="1"/>
  <c r="AC66" i="24" a="1"/>
  <c r="AC66" i="24" s="1"/>
  <c r="AB66" i="24" a="1"/>
  <c r="AB66" i="24" s="1"/>
  <c r="AA66" i="24" a="1"/>
  <c r="AA66" i="24" s="1"/>
  <c r="Z66" i="24" a="1"/>
  <c r="Z66" i="24" s="1"/>
  <c r="Y66" i="24" a="1"/>
  <c r="Y66" i="24" s="1"/>
  <c r="X66" i="24" a="1"/>
  <c r="X66" i="24" s="1"/>
  <c r="W66" i="24" a="1"/>
  <c r="W66" i="24" s="1"/>
  <c r="V66" i="24" a="1"/>
  <c r="V66" i="24" s="1"/>
  <c r="L66" i="24" a="1"/>
  <c r="L66" i="24" s="1"/>
  <c r="K66" i="24" a="1"/>
  <c r="K66" i="24" s="1"/>
  <c r="J66" i="24" a="1"/>
  <c r="J66" i="24" s="1"/>
  <c r="I66" i="24" a="1"/>
  <c r="I66" i="24" s="1"/>
  <c r="H66" i="24" a="1"/>
  <c r="H66" i="24" s="1"/>
  <c r="G66" i="24" a="1"/>
  <c r="G66" i="24" s="1"/>
  <c r="F66" i="24" a="1"/>
  <c r="F66" i="24" s="1"/>
  <c r="E66" i="24" a="1"/>
  <c r="E66" i="24" s="1"/>
  <c r="D66" i="24" a="1"/>
  <c r="D66" i="24" s="1"/>
  <c r="C66" i="24" a="1"/>
  <c r="C66" i="24" s="1"/>
  <c r="CG65" i="24" a="1"/>
  <c r="CG65" i="24" s="1"/>
  <c r="AE65" i="24" s="1"/>
  <c r="AD65" i="24" a="1"/>
  <c r="AD65" i="24" s="1"/>
  <c r="AC65" i="24" a="1"/>
  <c r="AC65" i="24" s="1"/>
  <c r="AB65" i="24" a="1"/>
  <c r="AB65" i="24" s="1"/>
  <c r="AA65" i="24" a="1"/>
  <c r="AA65" i="24" s="1"/>
  <c r="Z65" i="24" a="1"/>
  <c r="Z65" i="24" s="1"/>
  <c r="Y65" i="24" a="1"/>
  <c r="Y65" i="24" s="1"/>
  <c r="X65" i="24" a="1"/>
  <c r="X65" i="24" s="1"/>
  <c r="W65" i="24" a="1"/>
  <c r="W65" i="24" s="1"/>
  <c r="V65" i="24" a="1"/>
  <c r="V65" i="24" s="1"/>
  <c r="L65" i="24" a="1"/>
  <c r="L65" i="24" s="1"/>
  <c r="K65" i="24" a="1"/>
  <c r="K65" i="24" s="1"/>
  <c r="J65" i="24" a="1"/>
  <c r="J65" i="24" s="1"/>
  <c r="I65" i="24" a="1"/>
  <c r="I65" i="24" s="1"/>
  <c r="H65" i="24" a="1"/>
  <c r="H65" i="24" s="1"/>
  <c r="G65" i="24" a="1"/>
  <c r="G65" i="24" s="1"/>
  <c r="F65" i="24" a="1"/>
  <c r="F65" i="24" s="1"/>
  <c r="E65" i="24" a="1"/>
  <c r="E65" i="24" s="1"/>
  <c r="D65" i="24" a="1"/>
  <c r="D65" i="24" s="1"/>
  <c r="C65" i="24" a="1"/>
  <c r="C65" i="24" s="1"/>
  <c r="CG64" i="24" a="1"/>
  <c r="CG64" i="24" s="1"/>
  <c r="AE64" i="24" s="1"/>
  <c r="AD64" i="24" a="1"/>
  <c r="AD64" i="24" s="1"/>
  <c r="AC64" i="24" a="1"/>
  <c r="AC64" i="24" s="1"/>
  <c r="AB64" i="24" a="1"/>
  <c r="AB64" i="24" s="1"/>
  <c r="AA64" i="24" a="1"/>
  <c r="AA64" i="24" s="1"/>
  <c r="Z64" i="24" a="1"/>
  <c r="Z64" i="24" s="1"/>
  <c r="Y64" i="24" a="1"/>
  <c r="Y64" i="24" s="1"/>
  <c r="X64" i="24" a="1"/>
  <c r="X64" i="24" s="1"/>
  <c r="W64" i="24" a="1"/>
  <c r="W64" i="24" s="1"/>
  <c r="V64" i="24" a="1"/>
  <c r="V64" i="24" s="1"/>
  <c r="L64" i="24" a="1"/>
  <c r="L64" i="24" s="1"/>
  <c r="K64" i="24" a="1"/>
  <c r="K64" i="24" s="1"/>
  <c r="J64" i="24" a="1"/>
  <c r="J64" i="24" s="1"/>
  <c r="I64" i="24" a="1"/>
  <c r="I64" i="24" s="1"/>
  <c r="H64" i="24" a="1"/>
  <c r="H64" i="24" s="1"/>
  <c r="G64" i="24" a="1"/>
  <c r="G64" i="24" s="1"/>
  <c r="F64" i="24" a="1"/>
  <c r="F64" i="24" s="1"/>
  <c r="E64" i="24" a="1"/>
  <c r="E64" i="24" s="1"/>
  <c r="D64" i="24" a="1"/>
  <c r="D64" i="24" s="1"/>
  <c r="C64" i="24" a="1"/>
  <c r="C64" i="24" s="1"/>
  <c r="CG63" i="24" a="1"/>
  <c r="CG63" i="24" s="1"/>
  <c r="AE63" i="24" s="1"/>
  <c r="AD63" i="24" a="1"/>
  <c r="AD63" i="24" s="1"/>
  <c r="AC63" i="24" a="1"/>
  <c r="AC63" i="24" s="1"/>
  <c r="AB63" i="24" a="1"/>
  <c r="AB63" i="24" s="1"/>
  <c r="AA63" i="24" a="1"/>
  <c r="AA63" i="24" s="1"/>
  <c r="Z63" i="24" a="1"/>
  <c r="Z63" i="24" s="1"/>
  <c r="Y63" i="24" a="1"/>
  <c r="Y63" i="24" s="1"/>
  <c r="X63" i="24" a="1"/>
  <c r="X63" i="24" s="1"/>
  <c r="W63" i="24" a="1"/>
  <c r="W63" i="24" s="1"/>
  <c r="V63" i="24" a="1"/>
  <c r="V63" i="24" s="1"/>
  <c r="L63" i="24" a="1"/>
  <c r="L63" i="24" s="1"/>
  <c r="K63" i="24" a="1"/>
  <c r="K63" i="24" s="1"/>
  <c r="J63" i="24" a="1"/>
  <c r="J63" i="24" s="1"/>
  <c r="I63" i="24" a="1"/>
  <c r="I63" i="24" s="1"/>
  <c r="H63" i="24" a="1"/>
  <c r="H63" i="24" s="1"/>
  <c r="G63" i="24" a="1"/>
  <c r="G63" i="24" s="1"/>
  <c r="F63" i="24" a="1"/>
  <c r="F63" i="24" s="1"/>
  <c r="E63" i="24" a="1"/>
  <c r="E63" i="24" s="1"/>
  <c r="D63" i="24" a="1"/>
  <c r="D63" i="24" s="1"/>
  <c r="C63" i="24" a="1"/>
  <c r="C63" i="24" s="1"/>
  <c r="CG62" i="24" a="1"/>
  <c r="CG62" i="24" s="1"/>
  <c r="AE62" i="24" s="1"/>
  <c r="AD62" i="24" a="1"/>
  <c r="AD62" i="24" s="1"/>
  <c r="AC62" i="24" a="1"/>
  <c r="AC62" i="24" s="1"/>
  <c r="AB62" i="24" a="1"/>
  <c r="AB62" i="24" s="1"/>
  <c r="AA62" i="24" a="1"/>
  <c r="AA62" i="24" s="1"/>
  <c r="Z62" i="24" a="1"/>
  <c r="Z62" i="24" s="1"/>
  <c r="Y62" i="24" a="1"/>
  <c r="Y62" i="24" s="1"/>
  <c r="X62" i="24" a="1"/>
  <c r="X62" i="24" s="1"/>
  <c r="W62" i="24" a="1"/>
  <c r="W62" i="24" s="1"/>
  <c r="V62" i="24" a="1"/>
  <c r="V62" i="24" s="1"/>
  <c r="L62" i="24" a="1"/>
  <c r="L62" i="24" s="1"/>
  <c r="K62" i="24" a="1"/>
  <c r="K62" i="24" s="1"/>
  <c r="J62" i="24" a="1"/>
  <c r="J62" i="24" s="1"/>
  <c r="I62" i="24" a="1"/>
  <c r="I62" i="24" s="1"/>
  <c r="H62" i="24" a="1"/>
  <c r="H62" i="24" s="1"/>
  <c r="G62" i="24" a="1"/>
  <c r="G62" i="24" s="1"/>
  <c r="F62" i="24" a="1"/>
  <c r="F62" i="24" s="1"/>
  <c r="E62" i="24" a="1"/>
  <c r="E62" i="24" s="1"/>
  <c r="D62" i="24" a="1"/>
  <c r="D62" i="24" s="1"/>
  <c r="C62" i="24" a="1"/>
  <c r="C62" i="24" s="1"/>
  <c r="CG61" i="24" a="1"/>
  <c r="CG61" i="24" s="1"/>
  <c r="AE61" i="24" s="1"/>
  <c r="AD61" i="24" a="1"/>
  <c r="AD61" i="24" s="1"/>
  <c r="AC61" i="24" a="1"/>
  <c r="AC61" i="24" s="1"/>
  <c r="AB61" i="24" a="1"/>
  <c r="AB61" i="24" s="1"/>
  <c r="AA61" i="24" a="1"/>
  <c r="AA61" i="24" s="1"/>
  <c r="Z61" i="24" a="1"/>
  <c r="Z61" i="24" s="1"/>
  <c r="Y61" i="24" a="1"/>
  <c r="Y61" i="24" s="1"/>
  <c r="X61" i="24" a="1"/>
  <c r="X61" i="24" s="1"/>
  <c r="W61" i="24" a="1"/>
  <c r="W61" i="24" s="1"/>
  <c r="V61" i="24" a="1"/>
  <c r="V61" i="24" s="1"/>
  <c r="L61" i="24" a="1"/>
  <c r="L61" i="24" s="1"/>
  <c r="K61" i="24" a="1"/>
  <c r="K61" i="24" s="1"/>
  <c r="J61" i="24" a="1"/>
  <c r="J61" i="24" s="1"/>
  <c r="I61" i="24" a="1"/>
  <c r="I61" i="24" s="1"/>
  <c r="H61" i="24" a="1"/>
  <c r="H61" i="24" s="1"/>
  <c r="G61" i="24" a="1"/>
  <c r="G61" i="24" s="1"/>
  <c r="F61" i="24" a="1"/>
  <c r="F61" i="24" s="1"/>
  <c r="E61" i="24" a="1"/>
  <c r="E61" i="24" s="1"/>
  <c r="D61" i="24" a="1"/>
  <c r="D61" i="24" s="1"/>
  <c r="C61" i="24" a="1"/>
  <c r="C61" i="24" s="1"/>
  <c r="CG60" i="24" a="1"/>
  <c r="CG60" i="24" s="1"/>
  <c r="AE60" i="24" s="1"/>
  <c r="AD60" i="24" a="1"/>
  <c r="AD60" i="24" s="1"/>
  <c r="AC60" i="24" a="1"/>
  <c r="AC60" i="24" s="1"/>
  <c r="AB60" i="24" a="1"/>
  <c r="AB60" i="24" s="1"/>
  <c r="AA60" i="24" a="1"/>
  <c r="AA60" i="24" s="1"/>
  <c r="Z60" i="24" a="1"/>
  <c r="Z60" i="24" s="1"/>
  <c r="Y60" i="24" a="1"/>
  <c r="Y60" i="24" s="1"/>
  <c r="X60" i="24" a="1"/>
  <c r="X60" i="24" s="1"/>
  <c r="W60" i="24" a="1"/>
  <c r="W60" i="24" s="1"/>
  <c r="V60" i="24" a="1"/>
  <c r="V60" i="24" s="1"/>
  <c r="L60" i="24" a="1"/>
  <c r="L60" i="24" s="1"/>
  <c r="K60" i="24" a="1"/>
  <c r="K60" i="24" s="1"/>
  <c r="J60" i="24" a="1"/>
  <c r="J60" i="24" s="1"/>
  <c r="I60" i="24" a="1"/>
  <c r="I60" i="24" s="1"/>
  <c r="H60" i="24" a="1"/>
  <c r="H60" i="24" s="1"/>
  <c r="G60" i="24" a="1"/>
  <c r="G60" i="24" s="1"/>
  <c r="F60" i="24" a="1"/>
  <c r="F60" i="24" s="1"/>
  <c r="E60" i="24" a="1"/>
  <c r="E60" i="24" s="1"/>
  <c r="D60" i="24" a="1"/>
  <c r="D60" i="24" s="1"/>
  <c r="C60" i="24" a="1"/>
  <c r="C60" i="24" s="1"/>
  <c r="CG59" i="24" a="1"/>
  <c r="CG59" i="24" s="1"/>
  <c r="AE59" i="24" s="1"/>
  <c r="AD59" i="24" a="1"/>
  <c r="AD59" i="24" s="1"/>
  <c r="AC59" i="24" a="1"/>
  <c r="AC59" i="24" s="1"/>
  <c r="AB59" i="24" a="1"/>
  <c r="AB59" i="24" s="1"/>
  <c r="AA59" i="24" a="1"/>
  <c r="AA59" i="24" s="1"/>
  <c r="Z59" i="24" a="1"/>
  <c r="Z59" i="24" s="1"/>
  <c r="Y59" i="24" a="1"/>
  <c r="Y59" i="24" s="1"/>
  <c r="X59" i="24" a="1"/>
  <c r="X59" i="24" s="1"/>
  <c r="W59" i="24" a="1"/>
  <c r="W59" i="24" s="1"/>
  <c r="V59" i="24" a="1"/>
  <c r="V59" i="24" s="1"/>
  <c r="L59" i="24" a="1"/>
  <c r="L59" i="24" s="1"/>
  <c r="K59" i="24" a="1"/>
  <c r="K59" i="24" s="1"/>
  <c r="J59" i="24" a="1"/>
  <c r="J59" i="24" s="1"/>
  <c r="I59" i="24" a="1"/>
  <c r="I59" i="24" s="1"/>
  <c r="H59" i="24" a="1"/>
  <c r="H59" i="24" s="1"/>
  <c r="G59" i="24" a="1"/>
  <c r="G59" i="24" s="1"/>
  <c r="F59" i="24" a="1"/>
  <c r="F59" i="24" s="1"/>
  <c r="E59" i="24" a="1"/>
  <c r="E59" i="24" s="1"/>
  <c r="D59" i="24" a="1"/>
  <c r="D59" i="24" s="1"/>
  <c r="C59" i="24" a="1"/>
  <c r="C59" i="24" s="1"/>
  <c r="CG58" i="24" a="1"/>
  <c r="CG58" i="24" s="1"/>
  <c r="AE58" i="24" s="1"/>
  <c r="AD58" i="24" a="1"/>
  <c r="AD58" i="24" s="1"/>
  <c r="AC58" i="24" a="1"/>
  <c r="AC58" i="24" s="1"/>
  <c r="AB58" i="24" a="1"/>
  <c r="AB58" i="24" s="1"/>
  <c r="AA58" i="24" a="1"/>
  <c r="AA58" i="24" s="1"/>
  <c r="Z58" i="24" a="1"/>
  <c r="Z58" i="24" s="1"/>
  <c r="Y58" i="24" a="1"/>
  <c r="Y58" i="24" s="1"/>
  <c r="X58" i="24" a="1"/>
  <c r="X58" i="24" s="1"/>
  <c r="W58" i="24" a="1"/>
  <c r="W58" i="24" s="1"/>
  <c r="V58" i="24" a="1"/>
  <c r="V58" i="24" s="1"/>
  <c r="L58" i="24" a="1"/>
  <c r="L58" i="24" s="1"/>
  <c r="K58" i="24" a="1"/>
  <c r="K58" i="24" s="1"/>
  <c r="J58" i="24" a="1"/>
  <c r="J58" i="24" s="1"/>
  <c r="I58" i="24" a="1"/>
  <c r="I58" i="24" s="1"/>
  <c r="H58" i="24" a="1"/>
  <c r="H58" i="24" s="1"/>
  <c r="G58" i="24" a="1"/>
  <c r="G58" i="24" s="1"/>
  <c r="F58" i="24" a="1"/>
  <c r="F58" i="24" s="1"/>
  <c r="E58" i="24" a="1"/>
  <c r="E58" i="24" s="1"/>
  <c r="D58" i="24" a="1"/>
  <c r="D58" i="24" s="1"/>
  <c r="C58" i="24" a="1"/>
  <c r="C58" i="24" s="1"/>
  <c r="CG57" i="24" a="1"/>
  <c r="CG57" i="24" s="1"/>
  <c r="AE57" i="24" s="1"/>
  <c r="AD57" i="24" a="1"/>
  <c r="AD57" i="24" s="1"/>
  <c r="AC57" i="24" a="1"/>
  <c r="AC57" i="24" s="1"/>
  <c r="AB57" i="24" a="1"/>
  <c r="AB57" i="24" s="1"/>
  <c r="AA57" i="24" a="1"/>
  <c r="AA57" i="24" s="1"/>
  <c r="Z57" i="24" a="1"/>
  <c r="Z57" i="24" s="1"/>
  <c r="Y57" i="24" a="1"/>
  <c r="Y57" i="24" s="1"/>
  <c r="X57" i="24" a="1"/>
  <c r="X57" i="24" s="1"/>
  <c r="W57" i="24" a="1"/>
  <c r="W57" i="24" s="1"/>
  <c r="V57" i="24" a="1"/>
  <c r="V57" i="24" s="1"/>
  <c r="L57" i="24" a="1"/>
  <c r="L57" i="24" s="1"/>
  <c r="K57" i="24" a="1"/>
  <c r="K57" i="24" s="1"/>
  <c r="J57" i="24" a="1"/>
  <c r="J57" i="24" s="1"/>
  <c r="I57" i="24" a="1"/>
  <c r="I57" i="24" s="1"/>
  <c r="H57" i="24" a="1"/>
  <c r="H57" i="24" s="1"/>
  <c r="G57" i="24" a="1"/>
  <c r="G57" i="24" s="1"/>
  <c r="F57" i="24" a="1"/>
  <c r="F57" i="24" s="1"/>
  <c r="E57" i="24" a="1"/>
  <c r="E57" i="24" s="1"/>
  <c r="D57" i="24" a="1"/>
  <c r="D57" i="24" s="1"/>
  <c r="C57" i="24" a="1"/>
  <c r="C57" i="24" s="1"/>
  <c r="CG56" i="24" a="1"/>
  <c r="CG56" i="24" s="1"/>
  <c r="AE56" i="24" s="1"/>
  <c r="AD56" i="24" a="1"/>
  <c r="AD56" i="24" s="1"/>
  <c r="AC56" i="24" a="1"/>
  <c r="AC56" i="24" s="1"/>
  <c r="AB56" i="24" a="1"/>
  <c r="AB56" i="24" s="1"/>
  <c r="AA56" i="24" a="1"/>
  <c r="AA56" i="24" s="1"/>
  <c r="Z56" i="24" a="1"/>
  <c r="Z56" i="24" s="1"/>
  <c r="Y56" i="24" a="1"/>
  <c r="Y56" i="24" s="1"/>
  <c r="X56" i="24" a="1"/>
  <c r="X56" i="24" s="1"/>
  <c r="W56" i="24" a="1"/>
  <c r="W56" i="24" s="1"/>
  <c r="V56" i="24" a="1"/>
  <c r="V56" i="24" s="1"/>
  <c r="L56" i="24" a="1"/>
  <c r="L56" i="24" s="1"/>
  <c r="K56" i="24" a="1"/>
  <c r="K56" i="24" s="1"/>
  <c r="J56" i="24" a="1"/>
  <c r="J56" i="24" s="1"/>
  <c r="I56" i="24" a="1"/>
  <c r="I56" i="24" s="1"/>
  <c r="H56" i="24" a="1"/>
  <c r="H56" i="24" s="1"/>
  <c r="G56" i="24" a="1"/>
  <c r="G56" i="24" s="1"/>
  <c r="F56" i="24" a="1"/>
  <c r="F56" i="24" s="1"/>
  <c r="E56" i="24" a="1"/>
  <c r="E56" i="24" s="1"/>
  <c r="D56" i="24" a="1"/>
  <c r="D56" i="24" s="1"/>
  <c r="C56" i="24" a="1"/>
  <c r="C56" i="24" s="1"/>
  <c r="CG55" i="24" a="1"/>
  <c r="CG55" i="24" s="1"/>
  <c r="AE55" i="24" s="1"/>
  <c r="AD55" i="24" a="1"/>
  <c r="AD55" i="24" s="1"/>
  <c r="AC55" i="24" a="1"/>
  <c r="AC55" i="24" s="1"/>
  <c r="AB55" i="24" a="1"/>
  <c r="AB55" i="24" s="1"/>
  <c r="AA55" i="24" a="1"/>
  <c r="AA55" i="24" s="1"/>
  <c r="Z55" i="24" a="1"/>
  <c r="Z55" i="24" s="1"/>
  <c r="Y55" i="24" a="1"/>
  <c r="Y55" i="24" s="1"/>
  <c r="X55" i="24" a="1"/>
  <c r="X55" i="24" s="1"/>
  <c r="W55" i="24" a="1"/>
  <c r="W55" i="24" s="1"/>
  <c r="V55" i="24" a="1"/>
  <c r="V55" i="24" s="1"/>
  <c r="L55" i="24" a="1"/>
  <c r="L55" i="24" s="1"/>
  <c r="K55" i="24" a="1"/>
  <c r="K55" i="24" s="1"/>
  <c r="J55" i="24" a="1"/>
  <c r="J55" i="24" s="1"/>
  <c r="I55" i="24" a="1"/>
  <c r="I55" i="24" s="1"/>
  <c r="H55" i="24" a="1"/>
  <c r="H55" i="24" s="1"/>
  <c r="G55" i="24" a="1"/>
  <c r="G55" i="24" s="1"/>
  <c r="F55" i="24" a="1"/>
  <c r="F55" i="24" s="1"/>
  <c r="E55" i="24" a="1"/>
  <c r="E55" i="24" s="1"/>
  <c r="D55" i="24" a="1"/>
  <c r="D55" i="24" s="1"/>
  <c r="C55" i="24" a="1"/>
  <c r="C55" i="24" s="1"/>
  <c r="CG54" i="24" a="1"/>
  <c r="CG54" i="24" s="1"/>
  <c r="AE54" i="24" s="1"/>
  <c r="AD54" i="24" a="1"/>
  <c r="AD54" i="24" s="1"/>
  <c r="AC54" i="24" a="1"/>
  <c r="AC54" i="24" s="1"/>
  <c r="AB54" i="24" a="1"/>
  <c r="AB54" i="24" s="1"/>
  <c r="AA54" i="24" a="1"/>
  <c r="AA54" i="24" s="1"/>
  <c r="Z54" i="24" a="1"/>
  <c r="Z54" i="24" s="1"/>
  <c r="Y54" i="24" a="1"/>
  <c r="Y54" i="24" s="1"/>
  <c r="X54" i="24" a="1"/>
  <c r="X54" i="24" s="1"/>
  <c r="W54" i="24" a="1"/>
  <c r="W54" i="24" s="1"/>
  <c r="V54" i="24" a="1"/>
  <c r="V54" i="24" s="1"/>
  <c r="L54" i="24" a="1"/>
  <c r="L54" i="24" s="1"/>
  <c r="K54" i="24" a="1"/>
  <c r="K54" i="24" s="1"/>
  <c r="J54" i="24" a="1"/>
  <c r="J54" i="24" s="1"/>
  <c r="I54" i="24" a="1"/>
  <c r="I54" i="24" s="1"/>
  <c r="H54" i="24" a="1"/>
  <c r="H54" i="24" s="1"/>
  <c r="G54" i="24" a="1"/>
  <c r="G54" i="24" s="1"/>
  <c r="F54" i="24" a="1"/>
  <c r="F54" i="24" s="1"/>
  <c r="E54" i="24" a="1"/>
  <c r="E54" i="24" s="1"/>
  <c r="D54" i="24" a="1"/>
  <c r="D54" i="24" s="1"/>
  <c r="C54" i="24" a="1"/>
  <c r="C54" i="24" s="1"/>
  <c r="CG53" i="24" a="1"/>
  <c r="CG53" i="24" s="1"/>
  <c r="AE53" i="24" s="1"/>
  <c r="AD53" i="24" a="1"/>
  <c r="AD53" i="24" s="1"/>
  <c r="AC53" i="24" a="1"/>
  <c r="AC53" i="24" s="1"/>
  <c r="AB53" i="24" a="1"/>
  <c r="AB53" i="24" s="1"/>
  <c r="AA53" i="24" a="1"/>
  <c r="AA53" i="24" s="1"/>
  <c r="Z53" i="24" a="1"/>
  <c r="Z53" i="24" s="1"/>
  <c r="Y53" i="24" a="1"/>
  <c r="Y53" i="24" s="1"/>
  <c r="X53" i="24" a="1"/>
  <c r="X53" i="24" s="1"/>
  <c r="W53" i="24" a="1"/>
  <c r="W53" i="24" s="1"/>
  <c r="V53" i="24" a="1"/>
  <c r="V53" i="24" s="1"/>
  <c r="L53" i="24" a="1"/>
  <c r="L53" i="24" s="1"/>
  <c r="K53" i="24" a="1"/>
  <c r="K53" i="24" s="1"/>
  <c r="J53" i="24" a="1"/>
  <c r="J53" i="24" s="1"/>
  <c r="I53" i="24" a="1"/>
  <c r="I53" i="24" s="1"/>
  <c r="H53" i="24" a="1"/>
  <c r="H53" i="24" s="1"/>
  <c r="G53" i="24" a="1"/>
  <c r="G53" i="24" s="1"/>
  <c r="F53" i="24" a="1"/>
  <c r="F53" i="24" s="1"/>
  <c r="E53" i="24" a="1"/>
  <c r="E53" i="24" s="1"/>
  <c r="D53" i="24" a="1"/>
  <c r="D53" i="24" s="1"/>
  <c r="C53" i="24" a="1"/>
  <c r="C53" i="24" s="1"/>
  <c r="CG52" i="24" a="1"/>
  <c r="CG52" i="24" s="1"/>
  <c r="AE52" i="24" s="1"/>
  <c r="AD52" i="24" a="1"/>
  <c r="AD52" i="24" s="1"/>
  <c r="AC52" i="24" a="1"/>
  <c r="AC52" i="24" s="1"/>
  <c r="AB52" i="24" a="1"/>
  <c r="AB52" i="24" s="1"/>
  <c r="AA52" i="24" a="1"/>
  <c r="AA52" i="24" s="1"/>
  <c r="Z52" i="24" a="1"/>
  <c r="Z52" i="24" s="1"/>
  <c r="Y52" i="24" a="1"/>
  <c r="Y52" i="24" s="1"/>
  <c r="X52" i="24" a="1"/>
  <c r="X52" i="24" s="1"/>
  <c r="W52" i="24" a="1"/>
  <c r="W52" i="24" s="1"/>
  <c r="V52" i="24" a="1"/>
  <c r="V52" i="24" s="1"/>
  <c r="L52" i="24" a="1"/>
  <c r="L52" i="24" s="1"/>
  <c r="K52" i="24" a="1"/>
  <c r="K52" i="24" s="1"/>
  <c r="J52" i="24" a="1"/>
  <c r="J52" i="24" s="1"/>
  <c r="I52" i="24" a="1"/>
  <c r="I52" i="24" s="1"/>
  <c r="H52" i="24" a="1"/>
  <c r="H52" i="24" s="1"/>
  <c r="G52" i="24" a="1"/>
  <c r="G52" i="24" s="1"/>
  <c r="F52" i="24" a="1"/>
  <c r="F52" i="24" s="1"/>
  <c r="E52" i="24" a="1"/>
  <c r="E52" i="24" s="1"/>
  <c r="D52" i="24" a="1"/>
  <c r="D52" i="24" s="1"/>
  <c r="C52" i="24" a="1"/>
  <c r="C52" i="24" s="1"/>
  <c r="CG51" i="24" a="1"/>
  <c r="CG51" i="24" s="1"/>
  <c r="AE51" i="24" s="1"/>
  <c r="AD51" i="24" a="1"/>
  <c r="AD51" i="24" s="1"/>
  <c r="AC51" i="24" a="1"/>
  <c r="AC51" i="24" s="1"/>
  <c r="AB51" i="24" a="1"/>
  <c r="AB51" i="24" s="1"/>
  <c r="AA51" i="24" a="1"/>
  <c r="AA51" i="24" s="1"/>
  <c r="Z51" i="24" a="1"/>
  <c r="Z51" i="24" s="1"/>
  <c r="Y51" i="24" a="1"/>
  <c r="Y51" i="24" s="1"/>
  <c r="X51" i="24" a="1"/>
  <c r="X51" i="24" s="1"/>
  <c r="W51" i="24" a="1"/>
  <c r="W51" i="24" s="1"/>
  <c r="V51" i="24" a="1"/>
  <c r="V51" i="24" s="1"/>
  <c r="L51" i="24" a="1"/>
  <c r="L51" i="24" s="1"/>
  <c r="K51" i="24" a="1"/>
  <c r="K51" i="24" s="1"/>
  <c r="J51" i="24" a="1"/>
  <c r="J51" i="24" s="1"/>
  <c r="I51" i="24" a="1"/>
  <c r="I51" i="24" s="1"/>
  <c r="H51" i="24" a="1"/>
  <c r="H51" i="24" s="1"/>
  <c r="G51" i="24" a="1"/>
  <c r="G51" i="24" s="1"/>
  <c r="F51" i="24" a="1"/>
  <c r="F51" i="24" s="1"/>
  <c r="E51" i="24" a="1"/>
  <c r="E51" i="24" s="1"/>
  <c r="D51" i="24" a="1"/>
  <c r="D51" i="24" s="1"/>
  <c r="C51" i="24" a="1"/>
  <c r="C51" i="24" s="1"/>
  <c r="CG49" i="24" a="1"/>
  <c r="CG49" i="24" s="1"/>
  <c r="AE49" i="24" s="1"/>
  <c r="AD49" i="24" a="1"/>
  <c r="AD49" i="24" s="1"/>
  <c r="AC49" i="24" a="1"/>
  <c r="AC49" i="24" s="1"/>
  <c r="AB49" i="24" a="1"/>
  <c r="AB49" i="24" s="1"/>
  <c r="AA49" i="24" a="1"/>
  <c r="AA49" i="24" s="1"/>
  <c r="Z49" i="24" a="1"/>
  <c r="Z49" i="24" s="1"/>
  <c r="Y49" i="24" a="1"/>
  <c r="Y49" i="24" s="1"/>
  <c r="X49" i="24" a="1"/>
  <c r="X49" i="24" s="1"/>
  <c r="W49" i="24" a="1"/>
  <c r="W49" i="24" s="1"/>
  <c r="V49" i="24" a="1"/>
  <c r="V49" i="24" s="1"/>
  <c r="L49" i="24" a="1"/>
  <c r="L49" i="24" s="1"/>
  <c r="K49" i="24" a="1"/>
  <c r="K49" i="24" s="1"/>
  <c r="J49" i="24" a="1"/>
  <c r="J49" i="24" s="1"/>
  <c r="I49" i="24" a="1"/>
  <c r="I49" i="24" s="1"/>
  <c r="H49" i="24" a="1"/>
  <c r="H49" i="24" s="1"/>
  <c r="G49" i="24" a="1"/>
  <c r="G49" i="24" s="1"/>
  <c r="F49" i="24" a="1"/>
  <c r="F49" i="24" s="1"/>
  <c r="E49" i="24" a="1"/>
  <c r="E49" i="24" s="1"/>
  <c r="D49" i="24" a="1"/>
  <c r="D49" i="24" s="1"/>
  <c r="C49" i="24" a="1"/>
  <c r="C49" i="24" s="1"/>
  <c r="CG48" i="24" a="1"/>
  <c r="CG48" i="24" s="1"/>
  <c r="AE48" i="24" s="1"/>
  <c r="AD48" i="24" a="1"/>
  <c r="AD48" i="24" s="1"/>
  <c r="AC48" i="24" a="1"/>
  <c r="AC48" i="24" s="1"/>
  <c r="AB48" i="24" a="1"/>
  <c r="AB48" i="24" s="1"/>
  <c r="AA48" i="24" a="1"/>
  <c r="AA48" i="24" s="1"/>
  <c r="Z48" i="24" a="1"/>
  <c r="Z48" i="24" s="1"/>
  <c r="Y48" i="24" a="1"/>
  <c r="Y48" i="24" s="1"/>
  <c r="X48" i="24" a="1"/>
  <c r="X48" i="24" s="1"/>
  <c r="W48" i="24" a="1"/>
  <c r="W48" i="24" s="1"/>
  <c r="V48" i="24" a="1"/>
  <c r="V48" i="24" s="1"/>
  <c r="L48" i="24" a="1"/>
  <c r="L48" i="24" s="1"/>
  <c r="K48" i="24" a="1"/>
  <c r="K48" i="24" s="1"/>
  <c r="J48" i="24" a="1"/>
  <c r="J48" i="24" s="1"/>
  <c r="I48" i="24" a="1"/>
  <c r="I48" i="24" s="1"/>
  <c r="H48" i="24" a="1"/>
  <c r="H48" i="24" s="1"/>
  <c r="G48" i="24" a="1"/>
  <c r="G48" i="24" s="1"/>
  <c r="F48" i="24" a="1"/>
  <c r="F48" i="24" s="1"/>
  <c r="E48" i="24" a="1"/>
  <c r="E48" i="24" s="1"/>
  <c r="D48" i="24" a="1"/>
  <c r="D48" i="24" s="1"/>
  <c r="C48" i="24" a="1"/>
  <c r="C48" i="24" s="1"/>
  <c r="CG47" i="24" a="1"/>
  <c r="CG47" i="24" s="1"/>
  <c r="AE47" i="24" s="1"/>
  <c r="AD47" i="24" a="1"/>
  <c r="AD47" i="24" s="1"/>
  <c r="AC47" i="24" a="1"/>
  <c r="AC47" i="24" s="1"/>
  <c r="AB47" i="24" a="1"/>
  <c r="AB47" i="24" s="1"/>
  <c r="AA47" i="24" a="1"/>
  <c r="AA47" i="24" s="1"/>
  <c r="Z47" i="24" a="1"/>
  <c r="Z47" i="24" s="1"/>
  <c r="Y47" i="24" a="1"/>
  <c r="Y47" i="24" s="1"/>
  <c r="X47" i="24" a="1"/>
  <c r="X47" i="24" s="1"/>
  <c r="W47" i="24" a="1"/>
  <c r="W47" i="24" s="1"/>
  <c r="V47" i="24" a="1"/>
  <c r="V47" i="24" s="1"/>
  <c r="L47" i="24" a="1"/>
  <c r="L47" i="24" s="1"/>
  <c r="K47" i="24" a="1"/>
  <c r="K47" i="24" s="1"/>
  <c r="J47" i="24" a="1"/>
  <c r="J47" i="24" s="1"/>
  <c r="I47" i="24" a="1"/>
  <c r="I47" i="24" s="1"/>
  <c r="H47" i="24" a="1"/>
  <c r="H47" i="24" s="1"/>
  <c r="G47" i="24" a="1"/>
  <c r="G47" i="24" s="1"/>
  <c r="F47" i="24" a="1"/>
  <c r="F47" i="24" s="1"/>
  <c r="E47" i="24" a="1"/>
  <c r="E47" i="24" s="1"/>
  <c r="D47" i="24" a="1"/>
  <c r="D47" i="24" s="1"/>
  <c r="C47" i="24" a="1"/>
  <c r="C47" i="24" s="1"/>
  <c r="CG46" i="24" a="1"/>
  <c r="CG46" i="24" s="1"/>
  <c r="AE46" i="24" s="1"/>
  <c r="AD46" i="24" a="1"/>
  <c r="AD46" i="24" s="1"/>
  <c r="AC46" i="24" a="1"/>
  <c r="AC46" i="24" s="1"/>
  <c r="AB46" i="24" a="1"/>
  <c r="AB46" i="24" s="1"/>
  <c r="AA46" i="24" a="1"/>
  <c r="AA46" i="24" s="1"/>
  <c r="Z46" i="24" a="1"/>
  <c r="Z46" i="24" s="1"/>
  <c r="Y46" i="24" a="1"/>
  <c r="Y46" i="24" s="1"/>
  <c r="X46" i="24" a="1"/>
  <c r="X46" i="24" s="1"/>
  <c r="W46" i="24" a="1"/>
  <c r="W46" i="24" s="1"/>
  <c r="V46" i="24" a="1"/>
  <c r="V46" i="24" s="1"/>
  <c r="L46" i="24" a="1"/>
  <c r="L46" i="24" s="1"/>
  <c r="K46" i="24" a="1"/>
  <c r="K46" i="24" s="1"/>
  <c r="J46" i="24" a="1"/>
  <c r="J46" i="24" s="1"/>
  <c r="I46" i="24" a="1"/>
  <c r="I46" i="24" s="1"/>
  <c r="H46" i="24" a="1"/>
  <c r="H46" i="24" s="1"/>
  <c r="G46" i="24" a="1"/>
  <c r="G46" i="24" s="1"/>
  <c r="F46" i="24" a="1"/>
  <c r="F46" i="24" s="1"/>
  <c r="E46" i="24" a="1"/>
  <c r="E46" i="24" s="1"/>
  <c r="D46" i="24" a="1"/>
  <c r="D46" i="24" s="1"/>
  <c r="C46" i="24" a="1"/>
  <c r="C46" i="24" s="1"/>
  <c r="CG45" i="24" a="1"/>
  <c r="CG45" i="24" s="1"/>
  <c r="AE45" i="24" s="1"/>
  <c r="AD45" i="24" a="1"/>
  <c r="AD45" i="24" s="1"/>
  <c r="AC45" i="24" a="1"/>
  <c r="AC45" i="24" s="1"/>
  <c r="AB45" i="24" a="1"/>
  <c r="AB45" i="24" s="1"/>
  <c r="AA45" i="24" a="1"/>
  <c r="AA45" i="24" s="1"/>
  <c r="Z45" i="24" a="1"/>
  <c r="Z45" i="24" s="1"/>
  <c r="Y45" i="24" a="1"/>
  <c r="Y45" i="24" s="1"/>
  <c r="X45" i="24" a="1"/>
  <c r="X45" i="24" s="1"/>
  <c r="W45" i="24" a="1"/>
  <c r="W45" i="24" s="1"/>
  <c r="V45" i="24" a="1"/>
  <c r="V45" i="24" s="1"/>
  <c r="L45" i="24" a="1"/>
  <c r="L45" i="24" s="1"/>
  <c r="K45" i="24" a="1"/>
  <c r="K45" i="24" s="1"/>
  <c r="J45" i="24" a="1"/>
  <c r="J45" i="24" s="1"/>
  <c r="I45" i="24" a="1"/>
  <c r="I45" i="24" s="1"/>
  <c r="H45" i="24" a="1"/>
  <c r="H45" i="24" s="1"/>
  <c r="G45" i="24" a="1"/>
  <c r="G45" i="24" s="1"/>
  <c r="F45" i="24" a="1"/>
  <c r="F45" i="24" s="1"/>
  <c r="E45" i="24" a="1"/>
  <c r="E45" i="24" s="1"/>
  <c r="D45" i="24" a="1"/>
  <c r="D45" i="24" s="1"/>
  <c r="C45" i="24" a="1"/>
  <c r="C45" i="24" s="1"/>
  <c r="CG44" i="24" a="1"/>
  <c r="CG44" i="24" s="1"/>
  <c r="AE44" i="24" s="1"/>
  <c r="AD44" i="24" a="1"/>
  <c r="AD44" i="24" s="1"/>
  <c r="AC44" i="24" a="1"/>
  <c r="AC44" i="24" s="1"/>
  <c r="AB44" i="24" a="1"/>
  <c r="AB44" i="24" s="1"/>
  <c r="AA44" i="24" a="1"/>
  <c r="AA44" i="24" s="1"/>
  <c r="Z44" i="24" a="1"/>
  <c r="Z44" i="24" s="1"/>
  <c r="Y44" i="24" a="1"/>
  <c r="Y44" i="24" s="1"/>
  <c r="X44" i="24" a="1"/>
  <c r="X44" i="24" s="1"/>
  <c r="W44" i="24" a="1"/>
  <c r="W44" i="24" s="1"/>
  <c r="V44" i="24" a="1"/>
  <c r="V44" i="24" s="1"/>
  <c r="L44" i="24" a="1"/>
  <c r="L44" i="24" s="1"/>
  <c r="K44" i="24" a="1"/>
  <c r="K44" i="24" s="1"/>
  <c r="J44" i="24" a="1"/>
  <c r="J44" i="24" s="1"/>
  <c r="I44" i="24" a="1"/>
  <c r="I44" i="24" s="1"/>
  <c r="H44" i="24" a="1"/>
  <c r="H44" i="24" s="1"/>
  <c r="G44" i="24" a="1"/>
  <c r="G44" i="24" s="1"/>
  <c r="F44" i="24" a="1"/>
  <c r="F44" i="24" s="1"/>
  <c r="E44" i="24" a="1"/>
  <c r="E44" i="24" s="1"/>
  <c r="D44" i="24" a="1"/>
  <c r="D44" i="24" s="1"/>
  <c r="C44" i="24" a="1"/>
  <c r="C44" i="24" s="1"/>
  <c r="CG43" i="24" a="1"/>
  <c r="CG43" i="24" s="1"/>
  <c r="AE43" i="24" s="1"/>
  <c r="AD43" i="24" a="1"/>
  <c r="AD43" i="24" s="1"/>
  <c r="AC43" i="24" a="1"/>
  <c r="AC43" i="24" s="1"/>
  <c r="AB43" i="24" a="1"/>
  <c r="AB43" i="24" s="1"/>
  <c r="AA43" i="24" a="1"/>
  <c r="AA43" i="24" s="1"/>
  <c r="Z43" i="24" a="1"/>
  <c r="Z43" i="24" s="1"/>
  <c r="Y43" i="24" a="1"/>
  <c r="Y43" i="24" s="1"/>
  <c r="X43" i="24" a="1"/>
  <c r="X43" i="24" s="1"/>
  <c r="W43" i="24" a="1"/>
  <c r="W43" i="24" s="1"/>
  <c r="V43" i="24" a="1"/>
  <c r="V43" i="24" s="1"/>
  <c r="L43" i="24" a="1"/>
  <c r="L43" i="24" s="1"/>
  <c r="K43" i="24" a="1"/>
  <c r="K43" i="24" s="1"/>
  <c r="J43" i="24" a="1"/>
  <c r="J43" i="24" s="1"/>
  <c r="I43" i="24" a="1"/>
  <c r="I43" i="24" s="1"/>
  <c r="H43" i="24" a="1"/>
  <c r="H43" i="24" s="1"/>
  <c r="G43" i="24" a="1"/>
  <c r="G43" i="24" s="1"/>
  <c r="F43" i="24" a="1"/>
  <c r="F43" i="24" s="1"/>
  <c r="E43" i="24" a="1"/>
  <c r="E43" i="24" s="1"/>
  <c r="D43" i="24" a="1"/>
  <c r="D43" i="24" s="1"/>
  <c r="C43" i="24" a="1"/>
  <c r="C43" i="24" s="1"/>
  <c r="CG41" i="24" a="1"/>
  <c r="CG41" i="24" s="1"/>
  <c r="AE41" i="24" s="1"/>
  <c r="AD41" i="24" a="1"/>
  <c r="AD41" i="24" s="1"/>
  <c r="AC41" i="24" a="1"/>
  <c r="AC41" i="24" s="1"/>
  <c r="AB41" i="24" a="1"/>
  <c r="AB41" i="24" s="1"/>
  <c r="AA41" i="24" a="1"/>
  <c r="AA41" i="24" s="1"/>
  <c r="Z41" i="24" a="1"/>
  <c r="Z41" i="24" s="1"/>
  <c r="Y41" i="24" a="1"/>
  <c r="Y41" i="24" s="1"/>
  <c r="X41" i="24" a="1"/>
  <c r="X41" i="24" s="1"/>
  <c r="W41" i="24" a="1"/>
  <c r="W41" i="24" s="1"/>
  <c r="V41" i="24" a="1"/>
  <c r="V41" i="24" s="1"/>
  <c r="L41" i="24" a="1"/>
  <c r="L41" i="24" s="1"/>
  <c r="K41" i="24" a="1"/>
  <c r="K41" i="24" s="1"/>
  <c r="J41" i="24" a="1"/>
  <c r="J41" i="24" s="1"/>
  <c r="I41" i="24" a="1"/>
  <c r="I41" i="24" s="1"/>
  <c r="H41" i="24" a="1"/>
  <c r="H41" i="24" s="1"/>
  <c r="G41" i="24" a="1"/>
  <c r="G41" i="24" s="1"/>
  <c r="F41" i="24" a="1"/>
  <c r="F41" i="24" s="1"/>
  <c r="E41" i="24" a="1"/>
  <c r="E41" i="24" s="1"/>
  <c r="D41" i="24" a="1"/>
  <c r="D41" i="24" s="1"/>
  <c r="C41" i="24" a="1"/>
  <c r="C41" i="24" s="1"/>
  <c r="CG39" i="24" a="1"/>
  <c r="CG39" i="24" s="1"/>
  <c r="AE39" i="24" s="1"/>
  <c r="AD39" i="24" a="1"/>
  <c r="AD39" i="24" s="1"/>
  <c r="AC39" i="24" a="1"/>
  <c r="AC39" i="24" s="1"/>
  <c r="AB39" i="24" a="1"/>
  <c r="AB39" i="24" s="1"/>
  <c r="AA39" i="24" a="1"/>
  <c r="AA39" i="24" s="1"/>
  <c r="Z39" i="24" a="1"/>
  <c r="Z39" i="24" s="1"/>
  <c r="Y39" i="24" a="1"/>
  <c r="Y39" i="24" s="1"/>
  <c r="X39" i="24" a="1"/>
  <c r="X39" i="24" s="1"/>
  <c r="W39" i="24" a="1"/>
  <c r="W39" i="24" s="1"/>
  <c r="V39" i="24" a="1"/>
  <c r="V39" i="24" s="1"/>
  <c r="L39" i="24" a="1"/>
  <c r="L39" i="24" s="1"/>
  <c r="K39" i="24" a="1"/>
  <c r="K39" i="24" s="1"/>
  <c r="J39" i="24" a="1"/>
  <c r="J39" i="24" s="1"/>
  <c r="I39" i="24" a="1"/>
  <c r="I39" i="24" s="1"/>
  <c r="H39" i="24" a="1"/>
  <c r="H39" i="24" s="1"/>
  <c r="G39" i="24" a="1"/>
  <c r="G39" i="24" s="1"/>
  <c r="F39" i="24" a="1"/>
  <c r="F39" i="24" s="1"/>
  <c r="E39" i="24" a="1"/>
  <c r="E39" i="24" s="1"/>
  <c r="D39" i="24" a="1"/>
  <c r="D39" i="24" s="1"/>
  <c r="C39" i="24" a="1"/>
  <c r="C39" i="24" s="1"/>
  <c r="CG37" i="24" a="1"/>
  <c r="CG37" i="24" s="1"/>
  <c r="AE37" i="24" s="1"/>
  <c r="AD37" i="24" a="1"/>
  <c r="AD37" i="24" s="1"/>
  <c r="AC37" i="24" a="1"/>
  <c r="AC37" i="24" s="1"/>
  <c r="AB37" i="24" a="1"/>
  <c r="AB37" i="24" s="1"/>
  <c r="AA37" i="24" a="1"/>
  <c r="AA37" i="24" s="1"/>
  <c r="Z37" i="24" a="1"/>
  <c r="Z37" i="24" s="1"/>
  <c r="Y37" i="24" a="1"/>
  <c r="Y37" i="24" s="1"/>
  <c r="X37" i="24" a="1"/>
  <c r="X37" i="24" s="1"/>
  <c r="W37" i="24" a="1"/>
  <c r="W37" i="24" s="1"/>
  <c r="V37" i="24" a="1"/>
  <c r="V37" i="24" s="1"/>
  <c r="L37" i="24" a="1"/>
  <c r="L37" i="24" s="1"/>
  <c r="K37" i="24" a="1"/>
  <c r="K37" i="24" s="1"/>
  <c r="J37" i="24" a="1"/>
  <c r="J37" i="24" s="1"/>
  <c r="I37" i="24" a="1"/>
  <c r="I37" i="24" s="1"/>
  <c r="H37" i="24" a="1"/>
  <c r="H37" i="24" s="1"/>
  <c r="G37" i="24" a="1"/>
  <c r="G37" i="24" s="1"/>
  <c r="F37" i="24" a="1"/>
  <c r="F37" i="24" s="1"/>
  <c r="E37" i="24" a="1"/>
  <c r="E37" i="24" s="1"/>
  <c r="D37" i="24" a="1"/>
  <c r="D37" i="24" s="1"/>
  <c r="C37" i="24" a="1"/>
  <c r="C37" i="24" s="1"/>
  <c r="CG36" i="24" a="1"/>
  <c r="CG36" i="24" s="1"/>
  <c r="AE36" i="24" s="1"/>
  <c r="AD36" i="24" a="1"/>
  <c r="AD36" i="24" s="1"/>
  <c r="AC36" i="24" a="1"/>
  <c r="AC36" i="24" s="1"/>
  <c r="AB36" i="24" a="1"/>
  <c r="AB36" i="24" s="1"/>
  <c r="AA36" i="24" a="1"/>
  <c r="AA36" i="24" s="1"/>
  <c r="Z36" i="24" a="1"/>
  <c r="Z36" i="24" s="1"/>
  <c r="Y36" i="24" a="1"/>
  <c r="Y36" i="24" s="1"/>
  <c r="X36" i="24" a="1"/>
  <c r="X36" i="24" s="1"/>
  <c r="W36" i="24" a="1"/>
  <c r="W36" i="24" s="1"/>
  <c r="V36" i="24" a="1"/>
  <c r="V36" i="24" s="1"/>
  <c r="L36" i="24" a="1"/>
  <c r="L36" i="24" s="1"/>
  <c r="K36" i="24" a="1"/>
  <c r="K36" i="24" s="1"/>
  <c r="J36" i="24" a="1"/>
  <c r="J36" i="24" s="1"/>
  <c r="I36" i="24" a="1"/>
  <c r="I36" i="24" s="1"/>
  <c r="H36" i="24" a="1"/>
  <c r="H36" i="24" s="1"/>
  <c r="G36" i="24" a="1"/>
  <c r="G36" i="24" s="1"/>
  <c r="F36" i="24" a="1"/>
  <c r="F36" i="24" s="1"/>
  <c r="E36" i="24" a="1"/>
  <c r="E36" i="24" s="1"/>
  <c r="D36" i="24" a="1"/>
  <c r="D36" i="24" s="1"/>
  <c r="C36" i="24" a="1"/>
  <c r="C36" i="24" s="1"/>
  <c r="CG35" i="24" a="1"/>
  <c r="CG35" i="24" s="1"/>
  <c r="AE35" i="24" s="1"/>
  <c r="AD35" i="24" a="1"/>
  <c r="AD35" i="24" s="1"/>
  <c r="AC35" i="24" a="1"/>
  <c r="AC35" i="24" s="1"/>
  <c r="AB35" i="24" a="1"/>
  <c r="AB35" i="24" s="1"/>
  <c r="AA35" i="24" a="1"/>
  <c r="AA35" i="24" s="1"/>
  <c r="Z35" i="24" a="1"/>
  <c r="Z35" i="24" s="1"/>
  <c r="Y35" i="24" a="1"/>
  <c r="Y35" i="24" s="1"/>
  <c r="X35" i="24" a="1"/>
  <c r="X35" i="24" s="1"/>
  <c r="W35" i="24" a="1"/>
  <c r="W35" i="24" s="1"/>
  <c r="V35" i="24" a="1"/>
  <c r="V35" i="24" s="1"/>
  <c r="L35" i="24" a="1"/>
  <c r="L35" i="24" s="1"/>
  <c r="K35" i="24" a="1"/>
  <c r="K35" i="24" s="1"/>
  <c r="J35" i="24" a="1"/>
  <c r="J35" i="24" s="1"/>
  <c r="I35" i="24" a="1"/>
  <c r="I35" i="24" s="1"/>
  <c r="H35" i="24" a="1"/>
  <c r="H35" i="24" s="1"/>
  <c r="G35" i="24" a="1"/>
  <c r="G35" i="24" s="1"/>
  <c r="F35" i="24" a="1"/>
  <c r="F35" i="24" s="1"/>
  <c r="E35" i="24" a="1"/>
  <c r="E35" i="24" s="1"/>
  <c r="D35" i="24" a="1"/>
  <c r="D35" i="24" s="1"/>
  <c r="C35" i="24" a="1"/>
  <c r="C35" i="24" s="1"/>
  <c r="CG34" i="24" a="1"/>
  <c r="CG34" i="24" s="1"/>
  <c r="AE34" i="24" s="1"/>
  <c r="AD34" i="24" a="1"/>
  <c r="AD34" i="24" s="1"/>
  <c r="AC34" i="24" a="1"/>
  <c r="AC34" i="24" s="1"/>
  <c r="AB34" i="24" a="1"/>
  <c r="AB34" i="24" s="1"/>
  <c r="AA34" i="24" a="1"/>
  <c r="AA34" i="24" s="1"/>
  <c r="Z34" i="24" a="1"/>
  <c r="Z34" i="24" s="1"/>
  <c r="Y34" i="24" a="1"/>
  <c r="Y34" i="24" s="1"/>
  <c r="X34" i="24" a="1"/>
  <c r="X34" i="24" s="1"/>
  <c r="W34" i="24" a="1"/>
  <c r="W34" i="24" s="1"/>
  <c r="V34" i="24" a="1"/>
  <c r="V34" i="24" s="1"/>
  <c r="L34" i="24" a="1"/>
  <c r="L34" i="24" s="1"/>
  <c r="K34" i="24" a="1"/>
  <c r="K34" i="24" s="1"/>
  <c r="J34" i="24" a="1"/>
  <c r="J34" i="24" s="1"/>
  <c r="I34" i="24" a="1"/>
  <c r="I34" i="24" s="1"/>
  <c r="H34" i="24" a="1"/>
  <c r="H34" i="24" s="1"/>
  <c r="G34" i="24" a="1"/>
  <c r="G34" i="24" s="1"/>
  <c r="F34" i="24" a="1"/>
  <c r="F34" i="24" s="1"/>
  <c r="E34" i="24" a="1"/>
  <c r="E34" i="24" s="1"/>
  <c r="D34" i="24" a="1"/>
  <c r="D34" i="24" s="1"/>
  <c r="C34" i="24" a="1"/>
  <c r="C34" i="24" s="1"/>
  <c r="CG33" i="24" a="1"/>
  <c r="CG33" i="24" s="1"/>
  <c r="AE33" i="24" s="1"/>
  <c r="AD33" i="24" a="1"/>
  <c r="AD33" i="24" s="1"/>
  <c r="AC33" i="24" a="1"/>
  <c r="AC33" i="24" s="1"/>
  <c r="AB33" i="24" a="1"/>
  <c r="AB33" i="24" s="1"/>
  <c r="AA33" i="24" a="1"/>
  <c r="AA33" i="24" s="1"/>
  <c r="Z33" i="24" a="1"/>
  <c r="Z33" i="24" s="1"/>
  <c r="Y33" i="24" a="1"/>
  <c r="Y33" i="24" s="1"/>
  <c r="X33" i="24" a="1"/>
  <c r="X33" i="24" s="1"/>
  <c r="W33" i="24" a="1"/>
  <c r="W33" i="24" s="1"/>
  <c r="V33" i="24" a="1"/>
  <c r="V33" i="24" s="1"/>
  <c r="L33" i="24" a="1"/>
  <c r="L33" i="24" s="1"/>
  <c r="K33" i="24" a="1"/>
  <c r="K33" i="24" s="1"/>
  <c r="J33" i="24" a="1"/>
  <c r="J33" i="24" s="1"/>
  <c r="I33" i="24" a="1"/>
  <c r="I33" i="24" s="1"/>
  <c r="H33" i="24" a="1"/>
  <c r="H33" i="24" s="1"/>
  <c r="G33" i="24" a="1"/>
  <c r="G33" i="24" s="1"/>
  <c r="F33" i="24" a="1"/>
  <c r="F33" i="24" s="1"/>
  <c r="E33" i="24" a="1"/>
  <c r="E33" i="24" s="1"/>
  <c r="D33" i="24" a="1"/>
  <c r="D33" i="24" s="1"/>
  <c r="C33" i="24" a="1"/>
  <c r="C33" i="24" s="1"/>
  <c r="CG32" i="24" a="1"/>
  <c r="CG32" i="24" s="1"/>
  <c r="AE32" i="24" s="1"/>
  <c r="AD32" i="24" a="1"/>
  <c r="AD32" i="24" s="1"/>
  <c r="AC32" i="24" a="1"/>
  <c r="AC32" i="24" s="1"/>
  <c r="AB32" i="24" a="1"/>
  <c r="AB32" i="24" s="1"/>
  <c r="AA32" i="24" a="1"/>
  <c r="AA32" i="24" s="1"/>
  <c r="Z32" i="24" a="1"/>
  <c r="Z32" i="24" s="1"/>
  <c r="Y32" i="24" a="1"/>
  <c r="Y32" i="24" s="1"/>
  <c r="X32" i="24" a="1"/>
  <c r="X32" i="24" s="1"/>
  <c r="W32" i="24" a="1"/>
  <c r="W32" i="24" s="1"/>
  <c r="V32" i="24" a="1"/>
  <c r="V32" i="24" s="1"/>
  <c r="L32" i="24" a="1"/>
  <c r="L32" i="24" s="1"/>
  <c r="K32" i="24" a="1"/>
  <c r="K32" i="24" s="1"/>
  <c r="J32" i="24" a="1"/>
  <c r="J32" i="24" s="1"/>
  <c r="I32" i="24" a="1"/>
  <c r="I32" i="24" s="1"/>
  <c r="H32" i="24" a="1"/>
  <c r="H32" i="24" s="1"/>
  <c r="G32" i="24" a="1"/>
  <c r="G32" i="24" s="1"/>
  <c r="F32" i="24" a="1"/>
  <c r="F32" i="24" s="1"/>
  <c r="E32" i="24" a="1"/>
  <c r="E32" i="24" s="1"/>
  <c r="D32" i="24" a="1"/>
  <c r="D32" i="24" s="1"/>
  <c r="C32" i="24" a="1"/>
  <c r="C32" i="24" s="1"/>
  <c r="CG31" i="24" a="1"/>
  <c r="CG31" i="24" s="1"/>
  <c r="AE31" i="24" s="1"/>
  <c r="AD31" i="24" a="1"/>
  <c r="AD31" i="24" s="1"/>
  <c r="AC31" i="24" a="1"/>
  <c r="AC31" i="24" s="1"/>
  <c r="AB31" i="24" a="1"/>
  <c r="AB31" i="24" s="1"/>
  <c r="AA31" i="24" a="1"/>
  <c r="AA31" i="24" s="1"/>
  <c r="Z31" i="24" a="1"/>
  <c r="Z31" i="24" s="1"/>
  <c r="Y31" i="24" a="1"/>
  <c r="Y31" i="24" s="1"/>
  <c r="X31" i="24" a="1"/>
  <c r="X31" i="24" s="1"/>
  <c r="W31" i="24" a="1"/>
  <c r="W31" i="24" s="1"/>
  <c r="V31" i="24" a="1"/>
  <c r="V31" i="24" s="1"/>
  <c r="L31" i="24" a="1"/>
  <c r="L31" i="24" s="1"/>
  <c r="K31" i="24" a="1"/>
  <c r="K31" i="24" s="1"/>
  <c r="J31" i="24" a="1"/>
  <c r="J31" i="24" s="1"/>
  <c r="I31" i="24" a="1"/>
  <c r="I31" i="24" s="1"/>
  <c r="H31" i="24" a="1"/>
  <c r="H31" i="24" s="1"/>
  <c r="G31" i="24" a="1"/>
  <c r="G31" i="24" s="1"/>
  <c r="F31" i="24" a="1"/>
  <c r="F31" i="24" s="1"/>
  <c r="E31" i="24" a="1"/>
  <c r="E31" i="24" s="1"/>
  <c r="D31" i="24" a="1"/>
  <c r="D31" i="24" s="1"/>
  <c r="C31" i="24" a="1"/>
  <c r="C31" i="24" s="1"/>
  <c r="CG29" i="24" a="1"/>
  <c r="CG29" i="24" s="1"/>
  <c r="AE29" i="24" s="1"/>
  <c r="AD29" i="24" a="1"/>
  <c r="AD29" i="24" s="1"/>
  <c r="AC29" i="24" a="1"/>
  <c r="AC29" i="24" s="1"/>
  <c r="AB29" i="24" a="1"/>
  <c r="AB29" i="24" s="1"/>
  <c r="AA29" i="24" a="1"/>
  <c r="AA29" i="24" s="1"/>
  <c r="Z29" i="24" a="1"/>
  <c r="Z29" i="24" s="1"/>
  <c r="Y29" i="24" a="1"/>
  <c r="Y29" i="24" s="1"/>
  <c r="X29" i="24" a="1"/>
  <c r="X29" i="24" s="1"/>
  <c r="W29" i="24" a="1"/>
  <c r="W29" i="24" s="1"/>
  <c r="V29" i="24" a="1"/>
  <c r="V29" i="24" s="1"/>
  <c r="L29" i="24" a="1"/>
  <c r="L29" i="24" s="1"/>
  <c r="K29" i="24" a="1"/>
  <c r="K29" i="24" s="1"/>
  <c r="J29" i="24" a="1"/>
  <c r="J29" i="24" s="1"/>
  <c r="I29" i="24" a="1"/>
  <c r="I29" i="24" s="1"/>
  <c r="H29" i="24" a="1"/>
  <c r="H29" i="24" s="1"/>
  <c r="G29" i="24" a="1"/>
  <c r="G29" i="24" s="1"/>
  <c r="F29" i="24" a="1"/>
  <c r="F29" i="24" s="1"/>
  <c r="E29" i="24" a="1"/>
  <c r="E29" i="24" s="1"/>
  <c r="D29" i="24" a="1"/>
  <c r="D29" i="24" s="1"/>
  <c r="C29" i="24" a="1"/>
  <c r="C29" i="24" s="1"/>
  <c r="CG28" i="24" a="1"/>
  <c r="CG28" i="24" s="1"/>
  <c r="AE28" i="24" s="1"/>
  <c r="AD28" i="24" a="1"/>
  <c r="AD28" i="24" s="1"/>
  <c r="AC28" i="24" a="1"/>
  <c r="AC28" i="24" s="1"/>
  <c r="AB28" i="24" a="1"/>
  <c r="AB28" i="24" s="1"/>
  <c r="AA28" i="24" a="1"/>
  <c r="AA28" i="24" s="1"/>
  <c r="Z28" i="24" a="1"/>
  <c r="Z28" i="24" s="1"/>
  <c r="Y28" i="24" a="1"/>
  <c r="Y28" i="24" s="1"/>
  <c r="X28" i="24" a="1"/>
  <c r="X28" i="24" s="1"/>
  <c r="W28" i="24" a="1"/>
  <c r="W28" i="24" s="1"/>
  <c r="V28" i="24" a="1"/>
  <c r="V28" i="24" s="1"/>
  <c r="L28" i="24" a="1"/>
  <c r="L28" i="24" s="1"/>
  <c r="K28" i="24" a="1"/>
  <c r="K28" i="24" s="1"/>
  <c r="J28" i="24" a="1"/>
  <c r="J28" i="24" s="1"/>
  <c r="I28" i="24" a="1"/>
  <c r="I28" i="24" s="1"/>
  <c r="H28" i="24" a="1"/>
  <c r="H28" i="24" s="1"/>
  <c r="G28" i="24" a="1"/>
  <c r="G28" i="24" s="1"/>
  <c r="F28" i="24" a="1"/>
  <c r="F28" i="24" s="1"/>
  <c r="E28" i="24" a="1"/>
  <c r="E28" i="24" s="1"/>
  <c r="D28" i="24" a="1"/>
  <c r="D28" i="24" s="1"/>
  <c r="C28" i="24" a="1"/>
  <c r="C28" i="24" s="1"/>
  <c r="CG26" i="24" a="1"/>
  <c r="CG26" i="24" s="1"/>
  <c r="AE26" i="24" s="1"/>
  <c r="AD26" i="24" a="1"/>
  <c r="AD26" i="24" s="1"/>
  <c r="AC26" i="24" a="1"/>
  <c r="AC26" i="24" s="1"/>
  <c r="AB26" i="24" a="1"/>
  <c r="AB26" i="24" s="1"/>
  <c r="AA26" i="24" a="1"/>
  <c r="AA26" i="24" s="1"/>
  <c r="Z26" i="24" a="1"/>
  <c r="Z26" i="24" s="1"/>
  <c r="Y26" i="24" a="1"/>
  <c r="Y26" i="24" s="1"/>
  <c r="X26" i="24" a="1"/>
  <c r="X26" i="24" s="1"/>
  <c r="W26" i="24" a="1"/>
  <c r="W26" i="24" s="1"/>
  <c r="V26" i="24" a="1"/>
  <c r="V26" i="24" s="1"/>
  <c r="L26" i="24" a="1"/>
  <c r="L26" i="24" s="1"/>
  <c r="K26" i="24" a="1"/>
  <c r="K26" i="24" s="1"/>
  <c r="J26" i="24" a="1"/>
  <c r="J26" i="24" s="1"/>
  <c r="I26" i="24" a="1"/>
  <c r="I26" i="24" s="1"/>
  <c r="H26" i="24" a="1"/>
  <c r="H26" i="24" s="1"/>
  <c r="G26" i="24" a="1"/>
  <c r="G26" i="24" s="1"/>
  <c r="F26" i="24" a="1"/>
  <c r="F26" i="24" s="1"/>
  <c r="E26" i="24" a="1"/>
  <c r="E26" i="24" s="1"/>
  <c r="D26" i="24" a="1"/>
  <c r="D26" i="24" s="1"/>
  <c r="C26" i="24" a="1"/>
  <c r="C26" i="24" s="1"/>
  <c r="CG25" i="24" a="1"/>
  <c r="CG25" i="24" s="1"/>
  <c r="AE25" i="24" s="1"/>
  <c r="AD25" i="24" a="1"/>
  <c r="AD25" i="24" s="1"/>
  <c r="AC25" i="24" a="1"/>
  <c r="AC25" i="24" s="1"/>
  <c r="AB25" i="24" a="1"/>
  <c r="AB25" i="24" s="1"/>
  <c r="AA25" i="24" a="1"/>
  <c r="AA25" i="24" s="1"/>
  <c r="Z25" i="24" a="1"/>
  <c r="Z25" i="24" s="1"/>
  <c r="Y25" i="24" a="1"/>
  <c r="Y25" i="24" s="1"/>
  <c r="X25" i="24" a="1"/>
  <c r="X25" i="24" s="1"/>
  <c r="W25" i="24" a="1"/>
  <c r="W25" i="24" s="1"/>
  <c r="V25" i="24" a="1"/>
  <c r="V25" i="24" s="1"/>
  <c r="L25" i="24" a="1"/>
  <c r="L25" i="24" s="1"/>
  <c r="K25" i="24" a="1"/>
  <c r="K25" i="24" s="1"/>
  <c r="J25" i="24" a="1"/>
  <c r="J25" i="24" s="1"/>
  <c r="I25" i="24" a="1"/>
  <c r="I25" i="24" s="1"/>
  <c r="H25" i="24" a="1"/>
  <c r="H25" i="24" s="1"/>
  <c r="G25" i="24" a="1"/>
  <c r="G25" i="24" s="1"/>
  <c r="F25" i="24" a="1"/>
  <c r="F25" i="24" s="1"/>
  <c r="E25" i="24" a="1"/>
  <c r="E25" i="24" s="1"/>
  <c r="D25" i="24" a="1"/>
  <c r="D25" i="24" s="1"/>
  <c r="C25" i="24" a="1"/>
  <c r="C25" i="24" s="1"/>
  <c r="CG23" i="24" a="1"/>
  <c r="CG23" i="24" s="1"/>
  <c r="AE23" i="24" s="1"/>
  <c r="AD23" i="24" a="1"/>
  <c r="AD23" i="24" s="1"/>
  <c r="AC23" i="24" a="1"/>
  <c r="AC23" i="24" s="1"/>
  <c r="AB23" i="24" a="1"/>
  <c r="AB23" i="24" s="1"/>
  <c r="AA23" i="24" a="1"/>
  <c r="AA23" i="24" s="1"/>
  <c r="Z23" i="24" a="1"/>
  <c r="Z23" i="24" s="1"/>
  <c r="Y23" i="24" a="1"/>
  <c r="Y23" i="24" s="1"/>
  <c r="X23" i="24" a="1"/>
  <c r="X23" i="24" s="1"/>
  <c r="W23" i="24" a="1"/>
  <c r="W23" i="24" s="1"/>
  <c r="V23" i="24" a="1"/>
  <c r="V23" i="24" s="1"/>
  <c r="L23" i="24" a="1"/>
  <c r="L23" i="24" s="1"/>
  <c r="K23" i="24" a="1"/>
  <c r="K23" i="24" s="1"/>
  <c r="J23" i="24" a="1"/>
  <c r="J23" i="24" s="1"/>
  <c r="I23" i="24" a="1"/>
  <c r="I23" i="24" s="1"/>
  <c r="H23" i="24" a="1"/>
  <c r="H23" i="24" s="1"/>
  <c r="G23" i="24" a="1"/>
  <c r="G23" i="24" s="1"/>
  <c r="F23" i="24" a="1"/>
  <c r="F23" i="24" s="1"/>
  <c r="E23" i="24" a="1"/>
  <c r="E23" i="24" s="1"/>
  <c r="D23" i="24" a="1"/>
  <c r="D23" i="24" s="1"/>
  <c r="C23" i="24" a="1"/>
  <c r="C23" i="24" s="1"/>
  <c r="CG22" i="24" a="1"/>
  <c r="CG22" i="24" s="1"/>
  <c r="AE22" i="24" s="1"/>
  <c r="AD22" i="24" a="1"/>
  <c r="AD22" i="24" s="1"/>
  <c r="AC22" i="24" a="1"/>
  <c r="AC22" i="24" s="1"/>
  <c r="AB22" i="24" a="1"/>
  <c r="AB22" i="24" s="1"/>
  <c r="AA22" i="24" a="1"/>
  <c r="AA22" i="24" s="1"/>
  <c r="Z22" i="24" a="1"/>
  <c r="Z22" i="24" s="1"/>
  <c r="Y22" i="24" a="1"/>
  <c r="Y22" i="24" s="1"/>
  <c r="X22" i="24" a="1"/>
  <c r="X22" i="24" s="1"/>
  <c r="W22" i="24" a="1"/>
  <c r="W22" i="24" s="1"/>
  <c r="V22" i="24" a="1"/>
  <c r="V22" i="24" s="1"/>
  <c r="L22" i="24" a="1"/>
  <c r="L22" i="24" s="1"/>
  <c r="K22" i="24" a="1"/>
  <c r="K22" i="24" s="1"/>
  <c r="J22" i="24" a="1"/>
  <c r="J22" i="24" s="1"/>
  <c r="I22" i="24" a="1"/>
  <c r="I22" i="24" s="1"/>
  <c r="H22" i="24" a="1"/>
  <c r="H22" i="24" s="1"/>
  <c r="G22" i="24" a="1"/>
  <c r="G22" i="24" s="1"/>
  <c r="F22" i="24" a="1"/>
  <c r="F22" i="24" s="1"/>
  <c r="E22" i="24" a="1"/>
  <c r="E22" i="24" s="1"/>
  <c r="D22" i="24" a="1"/>
  <c r="D22" i="24" s="1"/>
  <c r="C22" i="24" a="1"/>
  <c r="C22" i="24" s="1"/>
  <c r="CG21" i="24" a="1"/>
  <c r="CG21" i="24" s="1"/>
  <c r="AE21" i="24" s="1"/>
  <c r="AD21" i="24" a="1"/>
  <c r="AD21" i="24" s="1"/>
  <c r="AC21" i="24" a="1"/>
  <c r="AC21" i="24" s="1"/>
  <c r="AB21" i="24" a="1"/>
  <c r="AB21" i="24" s="1"/>
  <c r="AA21" i="24" a="1"/>
  <c r="AA21" i="24" s="1"/>
  <c r="Z21" i="24" a="1"/>
  <c r="Z21" i="24" s="1"/>
  <c r="Y21" i="24" a="1"/>
  <c r="Y21" i="24" s="1"/>
  <c r="X21" i="24" a="1"/>
  <c r="X21" i="24" s="1"/>
  <c r="W21" i="24" a="1"/>
  <c r="W21" i="24" s="1"/>
  <c r="V21" i="24" a="1"/>
  <c r="V21" i="24" s="1"/>
  <c r="L21" i="24" a="1"/>
  <c r="L21" i="24" s="1"/>
  <c r="K21" i="24" a="1"/>
  <c r="K21" i="24" s="1"/>
  <c r="J21" i="24" a="1"/>
  <c r="J21" i="24" s="1"/>
  <c r="I21" i="24" a="1"/>
  <c r="I21" i="24" s="1"/>
  <c r="H21" i="24" a="1"/>
  <c r="H21" i="24" s="1"/>
  <c r="G21" i="24" a="1"/>
  <c r="G21" i="24" s="1"/>
  <c r="F21" i="24" a="1"/>
  <c r="F21" i="24" s="1"/>
  <c r="E21" i="24" a="1"/>
  <c r="E21" i="24" s="1"/>
  <c r="D21" i="24" a="1"/>
  <c r="D21" i="24" s="1"/>
  <c r="C21" i="24" a="1"/>
  <c r="C21" i="24" s="1"/>
  <c r="CG20" i="24" a="1"/>
  <c r="CG20" i="24" s="1"/>
  <c r="AE20" i="24" s="1"/>
  <c r="AD20" i="24" a="1"/>
  <c r="AD20" i="24" s="1"/>
  <c r="AC20" i="24" a="1"/>
  <c r="AC20" i="24" s="1"/>
  <c r="AB20" i="24" a="1"/>
  <c r="AB20" i="24" s="1"/>
  <c r="AA20" i="24" a="1"/>
  <c r="AA20" i="24" s="1"/>
  <c r="Z20" i="24" a="1"/>
  <c r="Z20" i="24" s="1"/>
  <c r="Y20" i="24" a="1"/>
  <c r="Y20" i="24" s="1"/>
  <c r="X20" i="24" a="1"/>
  <c r="X20" i="24" s="1"/>
  <c r="W20" i="24" a="1"/>
  <c r="W20" i="24" s="1"/>
  <c r="V20" i="24" a="1"/>
  <c r="V20" i="24" s="1"/>
  <c r="L20" i="24" a="1"/>
  <c r="L20" i="24" s="1"/>
  <c r="K20" i="24" a="1"/>
  <c r="K20" i="24" s="1"/>
  <c r="J20" i="24" a="1"/>
  <c r="J20" i="24" s="1"/>
  <c r="I20" i="24" a="1"/>
  <c r="I20" i="24" s="1"/>
  <c r="H20" i="24" a="1"/>
  <c r="H20" i="24" s="1"/>
  <c r="G20" i="24" a="1"/>
  <c r="G20" i="24" s="1"/>
  <c r="F20" i="24" a="1"/>
  <c r="F20" i="24" s="1"/>
  <c r="E20" i="24" a="1"/>
  <c r="E20" i="24" s="1"/>
  <c r="D20" i="24" a="1"/>
  <c r="D20" i="24" s="1"/>
  <c r="C20" i="24" a="1"/>
  <c r="C20" i="24" s="1"/>
  <c r="CG19" i="24" a="1"/>
  <c r="CG19" i="24" s="1"/>
  <c r="AE19" i="24" s="1"/>
  <c r="AD19" i="24" a="1"/>
  <c r="AD19" i="24" s="1"/>
  <c r="AC19" i="24" a="1"/>
  <c r="AC19" i="24" s="1"/>
  <c r="AB19" i="24" a="1"/>
  <c r="AB19" i="24" s="1"/>
  <c r="AA19" i="24" a="1"/>
  <c r="AA19" i="24" s="1"/>
  <c r="Z19" i="24" a="1"/>
  <c r="Z19" i="24" s="1"/>
  <c r="Y19" i="24" a="1"/>
  <c r="Y19" i="24" s="1"/>
  <c r="X19" i="24" a="1"/>
  <c r="X19" i="24" s="1"/>
  <c r="W19" i="24" a="1"/>
  <c r="W19" i="24" s="1"/>
  <c r="V19" i="24" a="1"/>
  <c r="V19" i="24" s="1"/>
  <c r="L19" i="24" a="1"/>
  <c r="L19" i="24" s="1"/>
  <c r="K19" i="24" a="1"/>
  <c r="K19" i="24" s="1"/>
  <c r="J19" i="24" a="1"/>
  <c r="J19" i="24" s="1"/>
  <c r="I19" i="24" a="1"/>
  <c r="I19" i="24" s="1"/>
  <c r="H19" i="24" a="1"/>
  <c r="H19" i="24" s="1"/>
  <c r="G19" i="24" a="1"/>
  <c r="G19" i="24" s="1"/>
  <c r="F19" i="24" a="1"/>
  <c r="F19" i="24" s="1"/>
  <c r="E19" i="24" a="1"/>
  <c r="E19" i="24" s="1"/>
  <c r="D19" i="24" a="1"/>
  <c r="D19" i="24" s="1"/>
  <c r="C19" i="24" a="1"/>
  <c r="C19" i="24" s="1"/>
  <c r="CG18" i="24" a="1"/>
  <c r="CG18" i="24" s="1"/>
  <c r="AE18" i="24" s="1"/>
  <c r="AD18" i="24" a="1"/>
  <c r="AD18" i="24" s="1"/>
  <c r="AC18" i="24" a="1"/>
  <c r="AC18" i="24" s="1"/>
  <c r="AB18" i="24" a="1"/>
  <c r="AB18" i="24" s="1"/>
  <c r="AA18" i="24" a="1"/>
  <c r="AA18" i="24" s="1"/>
  <c r="Z18" i="24" a="1"/>
  <c r="Z18" i="24" s="1"/>
  <c r="Y18" i="24" a="1"/>
  <c r="Y18" i="24" s="1"/>
  <c r="X18" i="24" a="1"/>
  <c r="X18" i="24" s="1"/>
  <c r="W18" i="24" a="1"/>
  <c r="W18" i="24" s="1"/>
  <c r="V18" i="24" a="1"/>
  <c r="V18" i="24" s="1"/>
  <c r="L18" i="24" a="1"/>
  <c r="L18" i="24" s="1"/>
  <c r="K18" i="24" a="1"/>
  <c r="K18" i="24" s="1"/>
  <c r="J18" i="24" a="1"/>
  <c r="J18" i="24" s="1"/>
  <c r="I18" i="24" a="1"/>
  <c r="I18" i="24" s="1"/>
  <c r="H18" i="24" a="1"/>
  <c r="H18" i="24" s="1"/>
  <c r="G18" i="24" a="1"/>
  <c r="G18" i="24" s="1"/>
  <c r="F18" i="24" a="1"/>
  <c r="F18" i="24" s="1"/>
  <c r="E18" i="24" a="1"/>
  <c r="E18" i="24" s="1"/>
  <c r="D18" i="24" a="1"/>
  <c r="D18" i="24" s="1"/>
  <c r="C18" i="24" a="1"/>
  <c r="C18" i="24" s="1"/>
  <c r="CG16" i="24" a="1"/>
  <c r="CG16" i="24" s="1"/>
  <c r="AE16" i="24" s="1"/>
  <c r="AD16" i="24" a="1"/>
  <c r="AD16" i="24" s="1"/>
  <c r="AC16" i="24" a="1"/>
  <c r="AC16" i="24" s="1"/>
  <c r="AB16" i="24" a="1"/>
  <c r="AB16" i="24" s="1"/>
  <c r="AA16" i="24" a="1"/>
  <c r="AA16" i="24" s="1"/>
  <c r="Z16" i="24" a="1"/>
  <c r="Z16" i="24" s="1"/>
  <c r="Y16" i="24" a="1"/>
  <c r="Y16" i="24" s="1"/>
  <c r="X16" i="24" a="1"/>
  <c r="X16" i="24" s="1"/>
  <c r="W16" i="24" a="1"/>
  <c r="W16" i="24" s="1"/>
  <c r="V16" i="24" a="1"/>
  <c r="V16" i="24" s="1"/>
  <c r="L16" i="24" a="1"/>
  <c r="L16" i="24" s="1"/>
  <c r="K16" i="24" a="1"/>
  <c r="K16" i="24" s="1"/>
  <c r="J16" i="24" a="1"/>
  <c r="J16" i="24" s="1"/>
  <c r="I16" i="24" a="1"/>
  <c r="I16" i="24" s="1"/>
  <c r="H16" i="24" a="1"/>
  <c r="H16" i="24" s="1"/>
  <c r="G16" i="24" a="1"/>
  <c r="G16" i="24" s="1"/>
  <c r="F16" i="24" a="1"/>
  <c r="F16" i="24" s="1"/>
  <c r="E16" i="24" a="1"/>
  <c r="E16" i="24" s="1"/>
  <c r="D16" i="24" a="1"/>
  <c r="D16" i="24" s="1"/>
  <c r="C16" i="24" a="1"/>
  <c r="C16" i="24" s="1"/>
  <c r="CG15" i="24" a="1"/>
  <c r="CG15" i="24" s="1"/>
  <c r="AE15" i="24" s="1"/>
  <c r="AD15" i="24" a="1"/>
  <c r="AD15" i="24" s="1"/>
  <c r="AC15" i="24" a="1"/>
  <c r="AC15" i="24" s="1"/>
  <c r="AB15" i="24" a="1"/>
  <c r="AB15" i="24" s="1"/>
  <c r="AA15" i="24" a="1"/>
  <c r="AA15" i="24" s="1"/>
  <c r="Z15" i="24" a="1"/>
  <c r="Z15" i="24" s="1"/>
  <c r="Y15" i="24" a="1"/>
  <c r="Y15" i="24" s="1"/>
  <c r="X15" i="24" a="1"/>
  <c r="X15" i="24" s="1"/>
  <c r="W15" i="24" a="1"/>
  <c r="W15" i="24" s="1"/>
  <c r="V15" i="24" a="1"/>
  <c r="V15" i="24" s="1"/>
  <c r="L15" i="24" a="1"/>
  <c r="L15" i="24" s="1"/>
  <c r="K15" i="24" a="1"/>
  <c r="K15" i="24" s="1"/>
  <c r="J15" i="24" a="1"/>
  <c r="J15" i="24" s="1"/>
  <c r="I15" i="24" a="1"/>
  <c r="I15" i="24" s="1"/>
  <c r="H15" i="24" a="1"/>
  <c r="H15" i="24" s="1"/>
  <c r="G15" i="24" a="1"/>
  <c r="G15" i="24" s="1"/>
  <c r="F15" i="24" a="1"/>
  <c r="F15" i="24" s="1"/>
  <c r="E15" i="24" a="1"/>
  <c r="E15" i="24" s="1"/>
  <c r="D15" i="24" a="1"/>
  <c r="D15" i="24" s="1"/>
  <c r="C15" i="24" a="1"/>
  <c r="C15" i="24" s="1"/>
  <c r="CG13" i="24" a="1"/>
  <c r="CG13" i="24" s="1"/>
  <c r="AE13" i="24" s="1"/>
  <c r="AD13" i="24" a="1"/>
  <c r="AD13" i="24" s="1"/>
  <c r="AC13" i="24" a="1"/>
  <c r="AC13" i="24" s="1"/>
  <c r="AB13" i="24" a="1"/>
  <c r="AB13" i="24" s="1"/>
  <c r="AA13" i="24" a="1"/>
  <c r="AA13" i="24" s="1"/>
  <c r="Z13" i="24" a="1"/>
  <c r="Z13" i="24" s="1"/>
  <c r="Y13" i="24" a="1"/>
  <c r="Y13" i="24" s="1"/>
  <c r="X13" i="24" a="1"/>
  <c r="X13" i="24" s="1"/>
  <c r="W13" i="24" a="1"/>
  <c r="W13" i="24" s="1"/>
  <c r="V13" i="24" a="1"/>
  <c r="V13" i="24" s="1"/>
  <c r="L13" i="24" a="1"/>
  <c r="L13" i="24" s="1"/>
  <c r="K13" i="24" a="1"/>
  <c r="K13" i="24" s="1"/>
  <c r="J13" i="24" a="1"/>
  <c r="J13" i="24" s="1"/>
  <c r="I13" i="24" a="1"/>
  <c r="I13" i="24" s="1"/>
  <c r="H13" i="24" a="1"/>
  <c r="H13" i="24" s="1"/>
  <c r="G13" i="24" a="1"/>
  <c r="G13" i="24" s="1"/>
  <c r="F13" i="24" a="1"/>
  <c r="F13" i="24" s="1"/>
  <c r="E13" i="24" a="1"/>
  <c r="E13" i="24" s="1"/>
  <c r="D13" i="24" a="1"/>
  <c r="D13" i="24" s="1"/>
  <c r="C13" i="24" a="1"/>
  <c r="C13" i="24" s="1"/>
  <c r="CG12" i="24" a="1"/>
  <c r="CG12" i="24" s="1"/>
  <c r="AE12" i="24" s="1"/>
  <c r="AD12" i="24" a="1"/>
  <c r="AD12" i="24" s="1"/>
  <c r="AC12" i="24" a="1"/>
  <c r="AC12" i="24" s="1"/>
  <c r="AB12" i="24" a="1"/>
  <c r="AB12" i="24" s="1"/>
  <c r="AA12" i="24" a="1"/>
  <c r="AA12" i="24" s="1"/>
  <c r="Z12" i="24" a="1"/>
  <c r="Z12" i="24" s="1"/>
  <c r="Y12" i="24" a="1"/>
  <c r="Y12" i="24" s="1"/>
  <c r="X12" i="24" a="1"/>
  <c r="X12" i="24" s="1"/>
  <c r="W12" i="24" a="1"/>
  <c r="W12" i="24" s="1"/>
  <c r="V12" i="24" a="1"/>
  <c r="V12" i="24" s="1"/>
  <c r="L12" i="24" a="1"/>
  <c r="L12" i="24" s="1"/>
  <c r="K12" i="24" a="1"/>
  <c r="K12" i="24" s="1"/>
  <c r="J12" i="24" a="1"/>
  <c r="J12" i="24" s="1"/>
  <c r="I12" i="24" a="1"/>
  <c r="I12" i="24" s="1"/>
  <c r="H12" i="24" a="1"/>
  <c r="H12" i="24" s="1"/>
  <c r="G12" i="24" a="1"/>
  <c r="G12" i="24" s="1"/>
  <c r="F12" i="24" a="1"/>
  <c r="F12" i="24" s="1"/>
  <c r="E12" i="24" a="1"/>
  <c r="E12" i="24" s="1"/>
  <c r="D12" i="24" a="1"/>
  <c r="D12" i="24" s="1"/>
  <c r="C12" i="24" a="1"/>
  <c r="C12" i="24" s="1"/>
  <c r="CG11" i="24" a="1"/>
  <c r="CG11" i="24" s="1"/>
  <c r="AE11" i="24" s="1"/>
  <c r="AD11" i="24" a="1"/>
  <c r="AD11" i="24" s="1"/>
  <c r="AC11" i="24" a="1"/>
  <c r="AC11" i="24" s="1"/>
  <c r="AB11" i="24" a="1"/>
  <c r="AB11" i="24" s="1"/>
  <c r="AA11" i="24" a="1"/>
  <c r="AA11" i="24" s="1"/>
  <c r="Z11" i="24" a="1"/>
  <c r="Z11" i="24" s="1"/>
  <c r="Y11" i="24" a="1"/>
  <c r="Y11" i="24" s="1"/>
  <c r="X11" i="24" a="1"/>
  <c r="X11" i="24" s="1"/>
  <c r="W11" i="24" a="1"/>
  <c r="W11" i="24" s="1"/>
  <c r="V11" i="24" a="1"/>
  <c r="V11" i="24" s="1"/>
  <c r="L11" i="24" a="1"/>
  <c r="L11" i="24" s="1"/>
  <c r="K11" i="24" a="1"/>
  <c r="K11" i="24" s="1"/>
  <c r="J11" i="24" a="1"/>
  <c r="J11" i="24" s="1"/>
  <c r="I11" i="24" a="1"/>
  <c r="I11" i="24" s="1"/>
  <c r="H11" i="24" a="1"/>
  <c r="H11" i="24" s="1"/>
  <c r="G11" i="24" a="1"/>
  <c r="G11" i="24" s="1"/>
  <c r="F11" i="24" a="1"/>
  <c r="F11" i="24" s="1"/>
  <c r="E11" i="24" a="1"/>
  <c r="E11" i="24" s="1"/>
  <c r="D11" i="24" a="1"/>
  <c r="D11" i="24" s="1"/>
  <c r="C11" i="24" a="1"/>
  <c r="C11" i="24" s="1"/>
  <c r="CG9" i="24" a="1"/>
  <c r="CG9" i="24" s="1"/>
  <c r="AE9" i="24" s="1"/>
  <c r="AD9" i="24" a="1"/>
  <c r="AD9" i="24" s="1"/>
  <c r="AC9" i="24" a="1"/>
  <c r="AC9" i="24" s="1"/>
  <c r="AB9" i="24" a="1"/>
  <c r="AB9" i="24" s="1"/>
  <c r="AA9" i="24" a="1"/>
  <c r="AA9" i="24" s="1"/>
  <c r="Z9" i="24" a="1"/>
  <c r="Z9" i="24" s="1"/>
  <c r="Y9" i="24" a="1"/>
  <c r="Y9" i="24" s="1"/>
  <c r="X9" i="24" a="1"/>
  <c r="X9" i="24" s="1"/>
  <c r="W9" i="24" a="1"/>
  <c r="W9" i="24" s="1"/>
  <c r="V9" i="24" a="1"/>
  <c r="V9" i="24" s="1"/>
  <c r="L9" i="24" a="1"/>
  <c r="L9" i="24" s="1"/>
  <c r="K9" i="24" a="1"/>
  <c r="K9" i="24" s="1"/>
  <c r="J9" i="24" a="1"/>
  <c r="J9" i="24" s="1"/>
  <c r="I9" i="24" a="1"/>
  <c r="I9" i="24" s="1"/>
  <c r="H9" i="24" a="1"/>
  <c r="H9" i="24" s="1"/>
  <c r="G9" i="24" a="1"/>
  <c r="G9" i="24" s="1"/>
  <c r="F9" i="24" a="1"/>
  <c r="F9" i="24" s="1"/>
  <c r="E9" i="24" a="1"/>
  <c r="E9" i="24" s="1"/>
  <c r="D9" i="24" a="1"/>
  <c r="D9" i="24" s="1"/>
  <c r="C9" i="24" a="1"/>
  <c r="C9" i="24" s="1"/>
  <c r="CG7" i="24" a="1"/>
  <c r="CG7" i="24" s="1"/>
  <c r="AE7" i="24" s="1"/>
  <c r="AD7" i="24" a="1"/>
  <c r="AD7" i="24" s="1"/>
  <c r="AC7" i="24" a="1"/>
  <c r="AC7" i="24" s="1"/>
  <c r="AB7" i="24" a="1"/>
  <c r="AB7" i="24" s="1"/>
  <c r="AA7" i="24" a="1"/>
  <c r="AA7" i="24" s="1"/>
  <c r="Z7" i="24" a="1"/>
  <c r="Z7" i="24" s="1"/>
  <c r="Y7" i="24" a="1"/>
  <c r="Y7" i="24" s="1"/>
  <c r="X7" i="24" a="1"/>
  <c r="X7" i="24" s="1"/>
  <c r="W7" i="24" a="1"/>
  <c r="W7" i="24" s="1"/>
  <c r="V7" i="24" a="1"/>
  <c r="V7" i="24" s="1"/>
  <c r="L7" i="24" a="1"/>
  <c r="L7" i="24" s="1"/>
  <c r="K7" i="24" a="1"/>
  <c r="K7" i="24" s="1"/>
  <c r="J7" i="24" a="1"/>
  <c r="J7" i="24" s="1"/>
  <c r="I7" i="24" a="1"/>
  <c r="I7" i="24" s="1"/>
  <c r="H7" i="24" a="1"/>
  <c r="H7" i="24" s="1"/>
  <c r="G7" i="24" a="1"/>
  <c r="G7" i="24" s="1"/>
  <c r="F7" i="24" a="1"/>
  <c r="F7" i="24" s="1"/>
  <c r="E7" i="24" a="1"/>
  <c r="E7" i="24" s="1"/>
  <c r="D7" i="24" a="1"/>
  <c r="D7" i="24" s="1"/>
  <c r="C7" i="24" a="1"/>
  <c r="C7" i="24" s="1"/>
  <c r="CG6" i="24" a="1"/>
  <c r="CG6" i="24" s="1"/>
  <c r="AE6" i="24" s="1"/>
  <c r="AD6" i="24" a="1"/>
  <c r="AD6" i="24" s="1"/>
  <c r="AC6" i="24" a="1"/>
  <c r="AC6" i="24" s="1"/>
  <c r="AB6" i="24" a="1"/>
  <c r="AB6" i="24" s="1"/>
  <c r="AA6" i="24" a="1"/>
  <c r="AA6" i="24" s="1"/>
  <c r="Z6" i="24" a="1"/>
  <c r="Z6" i="24" s="1"/>
  <c r="Y6" i="24" a="1"/>
  <c r="Y6" i="24" s="1"/>
  <c r="X6" i="24" a="1"/>
  <c r="X6" i="24" s="1"/>
  <c r="W6" i="24" a="1"/>
  <c r="W6" i="24" s="1"/>
  <c r="V6" i="24" a="1"/>
  <c r="V6" i="24" s="1"/>
  <c r="L6" i="24" a="1"/>
  <c r="L6" i="24" s="1"/>
  <c r="K6" i="24" a="1"/>
  <c r="K6" i="24" s="1"/>
  <c r="J6" i="24" a="1"/>
  <c r="J6" i="24" s="1"/>
  <c r="I6" i="24" a="1"/>
  <c r="I6" i="24" s="1"/>
  <c r="H6" i="24" a="1"/>
  <c r="H6" i="24" s="1"/>
  <c r="G6" i="24" a="1"/>
  <c r="G6" i="24" s="1"/>
  <c r="F6" i="24" a="1"/>
  <c r="F6" i="24" s="1"/>
  <c r="E6" i="24" a="1"/>
  <c r="E6" i="24" s="1"/>
  <c r="D6" i="24" a="1"/>
  <c r="D6" i="24" s="1"/>
  <c r="C6" i="24" a="1"/>
  <c r="C6" i="24" s="1"/>
  <c r="CG5" i="24" a="1"/>
  <c r="CG5" i="24" s="1"/>
  <c r="AE5" i="24" s="1"/>
  <c r="AD5" i="24" a="1"/>
  <c r="AD5" i="24" s="1"/>
  <c r="AC5" i="24" a="1"/>
  <c r="AC5" i="24" s="1"/>
  <c r="AB5" i="24" a="1"/>
  <c r="AB5" i="24" s="1"/>
  <c r="AA5" i="24" a="1"/>
  <c r="AA5" i="24" s="1"/>
  <c r="Z5" i="24" a="1"/>
  <c r="Z5" i="24" s="1"/>
  <c r="Y5" i="24" a="1"/>
  <c r="Y5" i="24" s="1"/>
  <c r="X5" i="24" a="1"/>
  <c r="X5" i="24" s="1"/>
  <c r="W5" i="24" a="1"/>
  <c r="W5" i="24" s="1"/>
  <c r="V5" i="24" a="1"/>
  <c r="V5" i="24" s="1"/>
  <c r="L5" i="24" a="1"/>
  <c r="L5" i="24" s="1"/>
  <c r="K5" i="24" a="1"/>
  <c r="K5" i="24" s="1"/>
  <c r="J5" i="24" a="1"/>
  <c r="J5" i="24" s="1"/>
  <c r="I5" i="24" a="1"/>
  <c r="I5" i="24" s="1"/>
  <c r="H5" i="24" a="1"/>
  <c r="H5" i="24" s="1"/>
  <c r="G5" i="24" a="1"/>
  <c r="G5" i="24" s="1"/>
  <c r="F5" i="24" a="1"/>
  <c r="F5" i="24" s="1"/>
  <c r="E5" i="24" a="1"/>
  <c r="E5" i="24" s="1"/>
  <c r="D5" i="24" a="1"/>
  <c r="D5" i="24" s="1"/>
  <c r="C5" i="24" a="1"/>
  <c r="C5" i="24" s="1"/>
  <c r="CG4" i="24" a="1"/>
  <c r="CG4" i="24" s="1"/>
  <c r="AE4" i="24" s="1"/>
  <c r="AD4" i="24" a="1"/>
  <c r="AD4" i="24" s="1"/>
  <c r="AC4" i="24" a="1"/>
  <c r="AC4" i="24" s="1"/>
  <c r="AB4" i="24" a="1"/>
  <c r="AB4" i="24" s="1"/>
  <c r="AA4" i="24" a="1"/>
  <c r="AA4" i="24" s="1"/>
  <c r="Z4" i="24" a="1"/>
  <c r="Z4" i="24" s="1"/>
  <c r="Y4" i="24" a="1"/>
  <c r="Y4" i="24" s="1"/>
  <c r="X4" i="24" a="1"/>
  <c r="X4" i="24" s="1"/>
  <c r="W4" i="24" a="1"/>
  <c r="W4" i="24" s="1"/>
  <c r="V4" i="24" a="1"/>
  <c r="V4" i="24" s="1"/>
  <c r="L4" i="24" a="1"/>
  <c r="L4" i="24" s="1"/>
  <c r="K4" i="24" a="1"/>
  <c r="K4" i="24" s="1"/>
  <c r="J4" i="24" a="1"/>
  <c r="J4" i="24" s="1"/>
  <c r="I4" i="24" a="1"/>
  <c r="I4" i="24" s="1"/>
  <c r="H4" i="24" a="1"/>
  <c r="H4" i="24" s="1"/>
  <c r="G4" i="24" a="1"/>
  <c r="G4" i="24" s="1"/>
  <c r="F4" i="24" a="1"/>
  <c r="F4" i="24" s="1"/>
  <c r="E4" i="24" a="1"/>
  <c r="E4" i="24" s="1"/>
  <c r="D4" i="24" a="1"/>
  <c r="D4" i="24" s="1"/>
  <c r="C4" i="24" a="1"/>
  <c r="C4" i="24" s="1"/>
  <c r="CG3" i="24" a="1"/>
  <c r="CG3" i="24" s="1"/>
  <c r="AE3" i="24" s="1"/>
  <c r="AD3" i="24" a="1"/>
  <c r="AD3" i="24" s="1"/>
  <c r="AC3" i="24" a="1"/>
  <c r="AC3" i="24" s="1"/>
  <c r="AB3" i="24" a="1"/>
  <c r="AB3" i="24" s="1"/>
  <c r="AA3" i="24" a="1"/>
  <c r="AA3" i="24" s="1"/>
  <c r="Z3" i="24" a="1"/>
  <c r="Z3" i="24" s="1"/>
  <c r="Y3" i="24" a="1"/>
  <c r="Y3" i="24" s="1"/>
  <c r="X3" i="24" a="1"/>
  <c r="X3" i="24" s="1"/>
  <c r="W3" i="24" a="1"/>
  <c r="W3" i="24" s="1"/>
  <c r="V3" i="24" a="1"/>
  <c r="V3" i="24" s="1"/>
  <c r="L3" i="24" a="1"/>
  <c r="L3" i="24" s="1"/>
  <c r="K3" i="24" a="1"/>
  <c r="K3" i="24" s="1"/>
  <c r="J3" i="24" a="1"/>
  <c r="J3" i="24" s="1"/>
  <c r="I3" i="24" a="1"/>
  <c r="I3" i="24" s="1"/>
  <c r="H3" i="24" a="1"/>
  <c r="H3" i="24" s="1"/>
  <c r="G3" i="24" a="1"/>
  <c r="G3" i="24" s="1"/>
  <c r="F3" i="24" a="1"/>
  <c r="F3" i="24" s="1"/>
  <c r="E3" i="24" a="1"/>
  <c r="E3" i="24" s="1"/>
  <c r="D3" i="24" a="1"/>
  <c r="D3" i="24" s="1"/>
  <c r="C3" i="24" a="1"/>
  <c r="C3" i="24" s="1"/>
  <c r="CG2" i="24" a="1"/>
  <c r="CG2" i="24" s="1"/>
  <c r="AE2" i="24" s="1"/>
  <c r="AD2" i="24" a="1"/>
  <c r="AD2" i="24" s="1"/>
  <c r="AC2" i="24" a="1"/>
  <c r="AC2" i="24" s="1"/>
  <c r="AB2" i="24" a="1"/>
  <c r="AB2" i="24" s="1"/>
  <c r="AA2" i="24" a="1"/>
  <c r="AA2" i="24" s="1"/>
  <c r="Z2" i="24" a="1"/>
  <c r="Z2" i="24" s="1"/>
  <c r="Y2" i="24" a="1"/>
  <c r="Y2" i="24" s="1"/>
  <c r="X2" i="24" a="1"/>
  <c r="X2" i="24" s="1"/>
  <c r="W2" i="24" a="1"/>
  <c r="W2" i="24" s="1"/>
  <c r="V2" i="24" a="1"/>
  <c r="V2" i="24" s="1"/>
  <c r="L2" i="24" a="1"/>
  <c r="L2" i="24" s="1"/>
  <c r="K2" i="24" a="1"/>
  <c r="K2" i="24" s="1"/>
  <c r="J2" i="24" a="1"/>
  <c r="J2" i="24" s="1"/>
  <c r="I2" i="24" a="1"/>
  <c r="I2" i="24" s="1"/>
  <c r="H2" i="24" a="1"/>
  <c r="H2" i="24" s="1"/>
  <c r="G2" i="24" a="1"/>
  <c r="G2" i="24" s="1"/>
  <c r="F2" i="24" a="1"/>
  <c r="F2" i="24" s="1"/>
  <c r="E2" i="24" a="1"/>
  <c r="E2" i="24" s="1"/>
  <c r="D2" i="24" a="1"/>
  <c r="D2" i="24" s="1"/>
  <c r="C2" i="24" a="1"/>
  <c r="C2" i="24" s="1"/>
  <c r="C839" i="24"/>
  <c r="D839" i="24" s="1"/>
  <c r="E839" i="24" s="1"/>
  <c r="F839" i="24" s="1"/>
  <c r="G839" i="24" s="1"/>
  <c r="H839" i="24" s="1"/>
  <c r="I839" i="24" s="1"/>
  <c r="J839" i="24" s="1"/>
  <c r="K839" i="24" s="1"/>
  <c r="L839" i="24" s="1"/>
  <c r="M839" i="24" s="1"/>
  <c r="N839" i="24" s="1"/>
  <c r="O839" i="24" s="1"/>
  <c r="P839" i="24" s="1"/>
  <c r="Q839" i="24" s="1"/>
  <c r="R839" i="24" s="1"/>
  <c r="S839" i="24" s="1"/>
  <c r="T839" i="24" s="1"/>
  <c r="U839" i="24" s="1"/>
  <c r="V839" i="24" s="1"/>
  <c r="W839" i="24" s="1"/>
  <c r="X839" i="24" s="1"/>
  <c r="Y839" i="24" s="1"/>
  <c r="Z839" i="24" s="1"/>
  <c r="AA839" i="24" s="1"/>
  <c r="AB839" i="24" s="1"/>
  <c r="AC839" i="24" s="1"/>
  <c r="AD839" i="24" s="1"/>
  <c r="AE839" i="24" s="1"/>
  <c r="AF839" i="24" s="1"/>
  <c r="AG839" i="24" s="1"/>
  <c r="AH839" i="24" s="1"/>
  <c r="E39" i="28" l="1"/>
  <c r="G13" i="28"/>
  <c r="AD229" i="24"/>
  <c r="AE229" i="24"/>
  <c r="AE228" i="24"/>
  <c r="AE227" i="24"/>
  <c r="AE226" i="24"/>
  <c r="AE225" i="24"/>
  <c r="AE207" i="24"/>
  <c r="AE210" i="24"/>
  <c r="AE209" i="24"/>
  <c r="AD134" i="24"/>
  <c r="AE134" i="24"/>
  <c r="CD207" i="24"/>
  <c r="CE226" i="24"/>
  <c r="B40" i="28"/>
  <c r="D40" i="28" s="1"/>
  <c r="E40" i="28" s="1"/>
  <c r="CF226" i="24"/>
  <c r="B28" i="28"/>
  <c r="B29" i="28"/>
  <c r="C29" i="28" s="1"/>
  <c r="B41" i="28" s="1"/>
  <c r="D41" i="28" s="1"/>
  <c r="E41" i="28" s="1"/>
  <c r="CB207" i="24"/>
  <c r="AK225" i="24"/>
  <c r="CC229" i="24"/>
  <c r="BB210" i="24"/>
  <c r="AH227" i="24"/>
  <c r="CE227" i="24"/>
  <c r="CC228" i="24"/>
  <c r="BL229" i="24"/>
  <c r="AS12" i="24"/>
  <c r="BI12" i="24"/>
  <c r="BY12" i="24"/>
  <c r="AT12" i="24"/>
  <c r="BJ12" i="24"/>
  <c r="BZ12" i="24"/>
  <c r="AU12" i="24"/>
  <c r="BK12" i="24"/>
  <c r="CA12" i="24"/>
  <c r="AF12" i="24"/>
  <c r="AV12" i="24"/>
  <c r="BL12" i="24"/>
  <c r="CB12" i="24"/>
  <c r="AG12" i="24"/>
  <c r="AW12" i="24"/>
  <c r="BM12" i="24"/>
  <c r="CC12" i="24"/>
  <c r="AH12" i="24"/>
  <c r="AX12" i="24"/>
  <c r="BN12" i="24"/>
  <c r="CD12" i="24"/>
  <c r="AI12" i="24"/>
  <c r="AY12" i="24"/>
  <c r="BO12" i="24"/>
  <c r="CE12" i="24"/>
  <c r="AJ12" i="24"/>
  <c r="AZ12" i="24"/>
  <c r="BP12" i="24"/>
  <c r="CF12" i="24"/>
  <c r="AK12" i="24"/>
  <c r="BA12" i="24"/>
  <c r="BQ12" i="24"/>
  <c r="AN12" i="24"/>
  <c r="BD12" i="24"/>
  <c r="BT12" i="24"/>
  <c r="AO12" i="24"/>
  <c r="BE12" i="24"/>
  <c r="AP12" i="24"/>
  <c r="BF12" i="24"/>
  <c r="AQ12" i="24"/>
  <c r="BG12" i="24"/>
  <c r="BW12" i="24"/>
  <c r="BC12" i="24"/>
  <c r="BH12" i="24"/>
  <c r="BR12" i="24"/>
  <c r="BS12" i="24"/>
  <c r="BX12" i="24"/>
  <c r="AL12" i="24"/>
  <c r="AM12" i="24"/>
  <c r="AR12" i="24"/>
  <c r="BB12" i="24"/>
  <c r="AK22" i="24"/>
  <c r="BA22" i="24"/>
  <c r="BQ22" i="24"/>
  <c r="AL22" i="24"/>
  <c r="BB22" i="24"/>
  <c r="BR22" i="24"/>
  <c r="AM22" i="24"/>
  <c r="BC22" i="24"/>
  <c r="BS22" i="24"/>
  <c r="AN22" i="24"/>
  <c r="BD22" i="24"/>
  <c r="BT22" i="24"/>
  <c r="AO22" i="24"/>
  <c r="BE22" i="24"/>
  <c r="AP22" i="24"/>
  <c r="BF22" i="24"/>
  <c r="AQ22" i="24"/>
  <c r="BG22" i="24"/>
  <c r="BW22" i="24"/>
  <c r="AR22" i="24"/>
  <c r="BH22" i="24"/>
  <c r="BX22" i="24"/>
  <c r="AS22" i="24"/>
  <c r="BI22" i="24"/>
  <c r="BY22" i="24"/>
  <c r="AF22" i="24"/>
  <c r="AV22" i="24"/>
  <c r="BL22" i="24"/>
  <c r="CB22" i="24"/>
  <c r="AH22" i="24"/>
  <c r="AX22" i="24"/>
  <c r="BN22" i="24"/>
  <c r="CD22" i="24"/>
  <c r="AI22" i="24"/>
  <c r="AY22" i="24"/>
  <c r="BO22" i="24"/>
  <c r="CE22" i="24"/>
  <c r="AW22" i="24"/>
  <c r="AZ22" i="24"/>
  <c r="BJ22" i="24"/>
  <c r="BK22" i="24"/>
  <c r="BM22" i="24"/>
  <c r="BP22" i="24"/>
  <c r="BZ22" i="24"/>
  <c r="CA22" i="24"/>
  <c r="CC22" i="24"/>
  <c r="CF22" i="24"/>
  <c r="AG22" i="24"/>
  <c r="AJ22" i="24"/>
  <c r="AT22" i="24"/>
  <c r="AU22" i="24"/>
  <c r="AH61" i="24"/>
  <c r="AX61" i="24"/>
  <c r="BN61" i="24"/>
  <c r="CD61" i="24"/>
  <c r="AI61" i="24"/>
  <c r="AY61" i="24"/>
  <c r="BO61" i="24"/>
  <c r="CE61" i="24"/>
  <c r="AJ61" i="24"/>
  <c r="AZ61" i="24"/>
  <c r="BP61" i="24"/>
  <c r="CF61" i="24"/>
  <c r="AK61" i="24"/>
  <c r="BA61" i="24"/>
  <c r="BQ61" i="24"/>
  <c r="AL61" i="24"/>
  <c r="BB61" i="24"/>
  <c r="BR61" i="24"/>
  <c r="AM61" i="24"/>
  <c r="BC61" i="24"/>
  <c r="BS61" i="24"/>
  <c r="AN61" i="24"/>
  <c r="BD61" i="24"/>
  <c r="BT61" i="24"/>
  <c r="AO61" i="24"/>
  <c r="BE61" i="24"/>
  <c r="AP61" i="24"/>
  <c r="BF61" i="24"/>
  <c r="AQ61" i="24"/>
  <c r="BG61" i="24"/>
  <c r="BW61" i="24"/>
  <c r="AR61" i="24"/>
  <c r="BH61" i="24"/>
  <c r="BX61" i="24"/>
  <c r="AS61" i="24"/>
  <c r="BI61" i="24"/>
  <c r="BY61" i="24"/>
  <c r="AT61" i="24"/>
  <c r="BJ61" i="24"/>
  <c r="BZ61" i="24"/>
  <c r="AU61" i="24"/>
  <c r="BK61" i="24"/>
  <c r="CA61" i="24"/>
  <c r="AF61" i="24"/>
  <c r="AV61" i="24"/>
  <c r="BL61" i="24"/>
  <c r="CB61" i="24"/>
  <c r="AG61" i="24"/>
  <c r="AW61" i="24"/>
  <c r="BM61" i="24"/>
  <c r="CC61" i="24"/>
  <c r="AT65" i="24"/>
  <c r="BJ65" i="24"/>
  <c r="BZ65" i="24"/>
  <c r="AU65" i="24"/>
  <c r="BK65" i="24"/>
  <c r="CA65" i="24"/>
  <c r="AF65" i="24"/>
  <c r="AV65" i="24"/>
  <c r="BL65" i="24"/>
  <c r="CB65" i="24"/>
  <c r="AG65" i="24"/>
  <c r="AW65" i="24"/>
  <c r="BM65" i="24"/>
  <c r="CC65" i="24"/>
  <c r="AH65" i="24"/>
  <c r="AX65" i="24"/>
  <c r="BN65" i="24"/>
  <c r="CD65" i="24"/>
  <c r="AI65" i="24"/>
  <c r="AY65" i="24"/>
  <c r="BO65" i="24"/>
  <c r="CE65" i="24"/>
  <c r="AJ65" i="24"/>
  <c r="AZ65" i="24"/>
  <c r="BP65" i="24"/>
  <c r="CF65" i="24"/>
  <c r="AK65" i="24"/>
  <c r="BA65" i="24"/>
  <c r="BQ65" i="24"/>
  <c r="AL65" i="24"/>
  <c r="BB65" i="24"/>
  <c r="BR65" i="24"/>
  <c r="AM65" i="24"/>
  <c r="BC65" i="24"/>
  <c r="BS65" i="24"/>
  <c r="AN65" i="24"/>
  <c r="BD65" i="24"/>
  <c r="BT65" i="24"/>
  <c r="AO65" i="24"/>
  <c r="BE65" i="24"/>
  <c r="AP65" i="24"/>
  <c r="BF65" i="24"/>
  <c r="AQ65" i="24"/>
  <c r="BG65" i="24"/>
  <c r="BW65" i="24"/>
  <c r="AR65" i="24"/>
  <c r="BH65" i="24"/>
  <c r="BX65" i="24"/>
  <c r="AS65" i="24"/>
  <c r="BI65" i="24"/>
  <c r="BY65" i="24"/>
  <c r="AP70" i="24"/>
  <c r="BF70" i="24"/>
  <c r="AQ70" i="24"/>
  <c r="BG70" i="24"/>
  <c r="BW70" i="24"/>
  <c r="AR70" i="24"/>
  <c r="BH70" i="24"/>
  <c r="BX70" i="24"/>
  <c r="AS70" i="24"/>
  <c r="BI70" i="24"/>
  <c r="BY70" i="24"/>
  <c r="AT70" i="24"/>
  <c r="BJ70" i="24"/>
  <c r="BZ70" i="24"/>
  <c r="AU70" i="24"/>
  <c r="BK70" i="24"/>
  <c r="CA70" i="24"/>
  <c r="AF70" i="24"/>
  <c r="AV70" i="24"/>
  <c r="BL70" i="24"/>
  <c r="CB70" i="24"/>
  <c r="AG70" i="24"/>
  <c r="AW70" i="24"/>
  <c r="BM70" i="24"/>
  <c r="CC70" i="24"/>
  <c r="AH70" i="24"/>
  <c r="AX70" i="24"/>
  <c r="BN70" i="24"/>
  <c r="CD70" i="24"/>
  <c r="AI70" i="24"/>
  <c r="AY70" i="24"/>
  <c r="BO70" i="24"/>
  <c r="CE70" i="24"/>
  <c r="AJ70" i="24"/>
  <c r="AZ70" i="24"/>
  <c r="BP70" i="24"/>
  <c r="CF70" i="24"/>
  <c r="AK70" i="24"/>
  <c r="BA70" i="24"/>
  <c r="BQ70" i="24"/>
  <c r="AL70" i="24"/>
  <c r="BB70" i="24"/>
  <c r="BR70" i="24"/>
  <c r="AM70" i="24"/>
  <c r="BC70" i="24"/>
  <c r="BS70" i="24"/>
  <c r="AN70" i="24"/>
  <c r="BD70" i="24"/>
  <c r="BT70" i="24"/>
  <c r="AO70" i="24"/>
  <c r="BE70" i="24"/>
  <c r="AM89" i="24"/>
  <c r="BC89" i="24"/>
  <c r="BS89" i="24"/>
  <c r="AN89" i="24"/>
  <c r="BD89" i="24"/>
  <c r="BT89" i="24"/>
  <c r="AO89" i="24"/>
  <c r="BE89" i="24"/>
  <c r="AP89" i="24"/>
  <c r="BF89" i="24"/>
  <c r="AQ89" i="24"/>
  <c r="BG89" i="24"/>
  <c r="BW89" i="24"/>
  <c r="AR89" i="24"/>
  <c r="BH89" i="24"/>
  <c r="BX89" i="24"/>
  <c r="AS89" i="24"/>
  <c r="BI89" i="24"/>
  <c r="BY89" i="24"/>
  <c r="AT89" i="24"/>
  <c r="BJ89" i="24"/>
  <c r="BZ89" i="24"/>
  <c r="AU89" i="24"/>
  <c r="BK89" i="24"/>
  <c r="CA89" i="24"/>
  <c r="AF89" i="24"/>
  <c r="AV89" i="24"/>
  <c r="BL89" i="24"/>
  <c r="CB89" i="24"/>
  <c r="AG89" i="24"/>
  <c r="AW89" i="24"/>
  <c r="BM89" i="24"/>
  <c r="CC89" i="24"/>
  <c r="AH89" i="24"/>
  <c r="AX89" i="24"/>
  <c r="BN89" i="24"/>
  <c r="CD89" i="24"/>
  <c r="AI89" i="24"/>
  <c r="AY89" i="24"/>
  <c r="BO89" i="24"/>
  <c r="CE89" i="24"/>
  <c r="AJ89" i="24"/>
  <c r="AZ89" i="24"/>
  <c r="BP89" i="24"/>
  <c r="CF89" i="24"/>
  <c r="AK89" i="24"/>
  <c r="AL89" i="24"/>
  <c r="BA89" i="24"/>
  <c r="BB89" i="24"/>
  <c r="BQ89" i="24"/>
  <c r="BR89" i="24"/>
  <c r="AI95" i="24"/>
  <c r="AY95" i="24"/>
  <c r="BO95" i="24"/>
  <c r="CE95" i="24"/>
  <c r="AJ95" i="24"/>
  <c r="AZ95" i="24"/>
  <c r="BP95" i="24"/>
  <c r="CF95" i="24"/>
  <c r="AK95" i="24"/>
  <c r="BA95" i="24"/>
  <c r="BQ95" i="24"/>
  <c r="AL95" i="24"/>
  <c r="BB95" i="24"/>
  <c r="BR95" i="24"/>
  <c r="AM95" i="24"/>
  <c r="BC95" i="24"/>
  <c r="BS95" i="24"/>
  <c r="AN95" i="24"/>
  <c r="BD95" i="24"/>
  <c r="BT95" i="24"/>
  <c r="AO95" i="24"/>
  <c r="BE95" i="24"/>
  <c r="AP95" i="24"/>
  <c r="BF95" i="24"/>
  <c r="AQ95" i="24"/>
  <c r="BG95" i="24"/>
  <c r="BW95" i="24"/>
  <c r="AR95" i="24"/>
  <c r="BH95" i="24"/>
  <c r="BX95" i="24"/>
  <c r="AS95" i="24"/>
  <c r="BI95" i="24"/>
  <c r="BY95" i="24"/>
  <c r="AT95" i="24"/>
  <c r="BJ95" i="24"/>
  <c r="BZ95" i="24"/>
  <c r="AU95" i="24"/>
  <c r="BK95" i="24"/>
  <c r="CA95" i="24"/>
  <c r="AF95" i="24"/>
  <c r="AV95" i="24"/>
  <c r="BL95" i="24"/>
  <c r="CB95" i="24"/>
  <c r="CC95" i="24"/>
  <c r="CD95" i="24"/>
  <c r="BN95" i="24"/>
  <c r="AG95" i="24"/>
  <c r="AH95" i="24"/>
  <c r="AW95" i="24"/>
  <c r="AX95" i="24"/>
  <c r="BM95" i="24"/>
  <c r="AU99" i="24"/>
  <c r="BK99" i="24"/>
  <c r="CA99" i="24"/>
  <c r="AF99" i="24"/>
  <c r="AV99" i="24"/>
  <c r="BL99" i="24"/>
  <c r="CB99" i="24"/>
  <c r="AG99" i="24"/>
  <c r="AW99" i="24"/>
  <c r="BM99" i="24"/>
  <c r="CC99" i="24"/>
  <c r="AH99" i="24"/>
  <c r="AX99" i="24"/>
  <c r="BN99" i="24"/>
  <c r="CD99" i="24"/>
  <c r="AI99" i="24"/>
  <c r="AY99" i="24"/>
  <c r="BO99" i="24"/>
  <c r="CE99" i="24"/>
  <c r="AJ99" i="24"/>
  <c r="AZ99" i="24"/>
  <c r="BP99" i="24"/>
  <c r="CF99" i="24"/>
  <c r="AK99" i="24"/>
  <c r="BA99" i="24"/>
  <c r="BQ99" i="24"/>
  <c r="AL99" i="24"/>
  <c r="BB99" i="24"/>
  <c r="BR99" i="24"/>
  <c r="AM99" i="24"/>
  <c r="BC99" i="24"/>
  <c r="BS99" i="24"/>
  <c r="AN99" i="24"/>
  <c r="BD99" i="24"/>
  <c r="BT99" i="24"/>
  <c r="AO99" i="24"/>
  <c r="BE99" i="24"/>
  <c r="AP99" i="24"/>
  <c r="BF99" i="24"/>
  <c r="AQ99" i="24"/>
  <c r="BG99" i="24"/>
  <c r="BW99" i="24"/>
  <c r="AR99" i="24"/>
  <c r="BH99" i="24"/>
  <c r="BX99" i="24"/>
  <c r="AS99" i="24"/>
  <c r="AT99" i="24"/>
  <c r="BI99" i="24"/>
  <c r="BJ99" i="24"/>
  <c r="BY99" i="24"/>
  <c r="BZ99" i="24"/>
  <c r="AQ104" i="24"/>
  <c r="BG104" i="24"/>
  <c r="BW104" i="24"/>
  <c r="AR104" i="24"/>
  <c r="BH104" i="24"/>
  <c r="BX104" i="24"/>
  <c r="AS104" i="24"/>
  <c r="BI104" i="24"/>
  <c r="BY104" i="24"/>
  <c r="AT104" i="24"/>
  <c r="BJ104" i="24"/>
  <c r="BZ104" i="24"/>
  <c r="AU104" i="24"/>
  <c r="BK104" i="24"/>
  <c r="CA104" i="24"/>
  <c r="AF104" i="24"/>
  <c r="AV104" i="24"/>
  <c r="BL104" i="24"/>
  <c r="CB104" i="24"/>
  <c r="AG104" i="24"/>
  <c r="AW104" i="24"/>
  <c r="BM104" i="24"/>
  <c r="CC104" i="24"/>
  <c r="AH104" i="24"/>
  <c r="AX104" i="24"/>
  <c r="BN104" i="24"/>
  <c r="CD104" i="24"/>
  <c r="AI104" i="24"/>
  <c r="AY104" i="24"/>
  <c r="BO104" i="24"/>
  <c r="CE104" i="24"/>
  <c r="AJ104" i="24"/>
  <c r="AZ104" i="24"/>
  <c r="BP104" i="24"/>
  <c r="CF104" i="24"/>
  <c r="AK104" i="24"/>
  <c r="BA104" i="24"/>
  <c r="BQ104" i="24"/>
  <c r="AL104" i="24"/>
  <c r="BB104" i="24"/>
  <c r="BR104" i="24"/>
  <c r="AM104" i="24"/>
  <c r="BC104" i="24"/>
  <c r="BS104" i="24"/>
  <c r="AN104" i="24"/>
  <c r="BD104" i="24"/>
  <c r="BT104" i="24"/>
  <c r="AO104" i="24"/>
  <c r="AP104" i="24"/>
  <c r="BE104" i="24"/>
  <c r="BF104" i="24"/>
  <c r="AM109" i="24"/>
  <c r="BC109" i="24"/>
  <c r="BS109" i="24"/>
  <c r="AN109" i="24"/>
  <c r="BD109" i="24"/>
  <c r="BT109" i="24"/>
  <c r="AO109" i="24"/>
  <c r="BE109" i="24"/>
  <c r="AP109" i="24"/>
  <c r="BF109" i="24"/>
  <c r="AQ109" i="24"/>
  <c r="BG109" i="24"/>
  <c r="BW109" i="24"/>
  <c r="AR109" i="24"/>
  <c r="BH109" i="24"/>
  <c r="BX109" i="24"/>
  <c r="AS109" i="24"/>
  <c r="BI109" i="24"/>
  <c r="BY109" i="24"/>
  <c r="AT109" i="24"/>
  <c r="BJ109" i="24"/>
  <c r="BZ109" i="24"/>
  <c r="AU109" i="24"/>
  <c r="BK109" i="24"/>
  <c r="CA109" i="24"/>
  <c r="AF109" i="24"/>
  <c r="AV109" i="24"/>
  <c r="BL109" i="24"/>
  <c r="CB109" i="24"/>
  <c r="AG109" i="24"/>
  <c r="AW109" i="24"/>
  <c r="BM109" i="24"/>
  <c r="CC109" i="24"/>
  <c r="AH109" i="24"/>
  <c r="AX109" i="24"/>
  <c r="BN109" i="24"/>
  <c r="CD109" i="24"/>
  <c r="AI109" i="24"/>
  <c r="AY109" i="24"/>
  <c r="BO109" i="24"/>
  <c r="CE109" i="24"/>
  <c r="BP109" i="24"/>
  <c r="BQ109" i="24"/>
  <c r="BR109" i="24"/>
  <c r="CF109" i="24"/>
  <c r="BB109" i="24"/>
  <c r="AJ109" i="24"/>
  <c r="AK109" i="24"/>
  <c r="AL109" i="24"/>
  <c r="AZ109" i="24"/>
  <c r="BA109" i="24"/>
  <c r="AG113" i="24"/>
  <c r="AW113" i="24"/>
  <c r="BM113" i="24"/>
  <c r="CC113" i="24"/>
  <c r="AZ113" i="24"/>
  <c r="BQ113" i="24"/>
  <c r="AL113" i="24"/>
  <c r="BE113" i="24"/>
  <c r="BH113" i="24"/>
  <c r="AH113" i="24"/>
  <c r="AX113" i="24"/>
  <c r="BN113" i="24"/>
  <c r="CD113" i="24"/>
  <c r="BB113" i="24"/>
  <c r="AO113" i="24"/>
  <c r="AI113" i="24"/>
  <c r="AY113" i="24"/>
  <c r="BO113" i="24"/>
  <c r="CE113" i="24"/>
  <c r="BP113" i="24"/>
  <c r="AK113" i="24"/>
  <c r="AS113" i="24"/>
  <c r="AJ113" i="24"/>
  <c r="CF113" i="24"/>
  <c r="BS113" i="24"/>
  <c r="BA113" i="24"/>
  <c r="BJ113" i="24"/>
  <c r="BR113" i="24"/>
  <c r="AU113" i="24"/>
  <c r="AM113" i="24"/>
  <c r="BC113" i="24"/>
  <c r="AN113" i="24"/>
  <c r="BD113" i="24"/>
  <c r="BT113" i="24"/>
  <c r="BW113" i="24"/>
  <c r="BX113" i="24"/>
  <c r="BI113" i="24"/>
  <c r="BZ113" i="24"/>
  <c r="CA113" i="24"/>
  <c r="AT113" i="24"/>
  <c r="CB113" i="24"/>
  <c r="AP113" i="24"/>
  <c r="BF113" i="24"/>
  <c r="AR113" i="24"/>
  <c r="AQ113" i="24"/>
  <c r="BG113" i="24"/>
  <c r="BL113" i="24"/>
  <c r="BY113" i="24"/>
  <c r="BK113" i="24"/>
  <c r="AV113" i="24"/>
  <c r="AF113" i="24"/>
  <c r="AN2" i="24"/>
  <c r="BD2" i="24"/>
  <c r="BT2" i="24"/>
  <c r="BG2" i="24"/>
  <c r="AR2" i="24"/>
  <c r="BJ2" i="24"/>
  <c r="AV2" i="24"/>
  <c r="CC2" i="24"/>
  <c r="AH2" i="24"/>
  <c r="BQ2" i="24"/>
  <c r="AO2" i="24"/>
  <c r="BE2" i="24"/>
  <c r="BX2" i="24"/>
  <c r="AT2" i="24"/>
  <c r="BZ2" i="24"/>
  <c r="AF2" i="24"/>
  <c r="AP2" i="24"/>
  <c r="BF2" i="24"/>
  <c r="BW2" i="24"/>
  <c r="BH2" i="24"/>
  <c r="BI2" i="24"/>
  <c r="AW2" i="24"/>
  <c r="BN2" i="24"/>
  <c r="AQ2" i="24"/>
  <c r="AS2" i="24"/>
  <c r="BM2" i="24"/>
  <c r="CD2" i="24"/>
  <c r="AJ2" i="24"/>
  <c r="AM2" i="24"/>
  <c r="AL2" i="24"/>
  <c r="BY2" i="24"/>
  <c r="BL2" i="24"/>
  <c r="BR2" i="24"/>
  <c r="BS2" i="24"/>
  <c r="AU2" i="24"/>
  <c r="BK2" i="24"/>
  <c r="CA2" i="24"/>
  <c r="CB2" i="24"/>
  <c r="CE2" i="24"/>
  <c r="BP2" i="24"/>
  <c r="AG2" i="24"/>
  <c r="AX2" i="24"/>
  <c r="BO2" i="24"/>
  <c r="CF2" i="24"/>
  <c r="BB2" i="24"/>
  <c r="AY2" i="24"/>
  <c r="BA2" i="24"/>
  <c r="AI2" i="24"/>
  <c r="AZ2" i="24"/>
  <c r="AK2" i="24"/>
  <c r="BC2" i="24"/>
  <c r="AF44" i="24"/>
  <c r="AV44" i="24"/>
  <c r="BL44" i="24"/>
  <c r="CB44" i="24"/>
  <c r="AG44" i="24"/>
  <c r="AW44" i="24"/>
  <c r="BM44" i="24"/>
  <c r="CC44" i="24"/>
  <c r="AH44" i="24"/>
  <c r="AX44" i="24"/>
  <c r="BN44" i="24"/>
  <c r="CD44" i="24"/>
  <c r="AI44" i="24"/>
  <c r="AY44" i="24"/>
  <c r="BO44" i="24"/>
  <c r="CE44" i="24"/>
  <c r="AJ44" i="24"/>
  <c r="AZ44" i="24"/>
  <c r="BP44" i="24"/>
  <c r="CF44" i="24"/>
  <c r="AK44" i="24"/>
  <c r="BA44" i="24"/>
  <c r="BQ44" i="24"/>
  <c r="AL44" i="24"/>
  <c r="BB44" i="24"/>
  <c r="BR44" i="24"/>
  <c r="AM44" i="24"/>
  <c r="BC44" i="24"/>
  <c r="BS44" i="24"/>
  <c r="AN44" i="24"/>
  <c r="BD44" i="24"/>
  <c r="BT44" i="24"/>
  <c r="AO44" i="24"/>
  <c r="BE44" i="24"/>
  <c r="AP44" i="24"/>
  <c r="BF44" i="24"/>
  <c r="AQ44" i="24"/>
  <c r="BG44" i="24"/>
  <c r="BW44" i="24"/>
  <c r="AR44" i="24"/>
  <c r="BH44" i="24"/>
  <c r="BX44" i="24"/>
  <c r="AS44" i="24"/>
  <c r="BI44" i="24"/>
  <c r="BY44" i="24"/>
  <c r="AT44" i="24"/>
  <c r="BJ44" i="24"/>
  <c r="BZ44" i="24"/>
  <c r="AU44" i="24"/>
  <c r="BK44" i="24"/>
  <c r="CA44" i="24"/>
  <c r="AF3" i="24"/>
  <c r="AV3" i="24"/>
  <c r="BL3" i="24"/>
  <c r="CB3" i="24"/>
  <c r="AG3" i="24"/>
  <c r="AW3" i="24"/>
  <c r="BM3" i="24"/>
  <c r="CC3" i="24"/>
  <c r="AH3" i="24"/>
  <c r="AX3" i="24"/>
  <c r="BN3" i="24"/>
  <c r="CD3" i="24"/>
  <c r="AI3" i="24"/>
  <c r="AY3" i="24"/>
  <c r="BO3" i="24"/>
  <c r="CE3" i="24"/>
  <c r="AJ3" i="24"/>
  <c r="AZ3" i="24"/>
  <c r="BP3" i="24"/>
  <c r="CF3" i="24"/>
  <c r="AK3" i="24"/>
  <c r="BA3" i="24"/>
  <c r="BQ3" i="24"/>
  <c r="AL3" i="24"/>
  <c r="BB3" i="24"/>
  <c r="BR3" i="24"/>
  <c r="AM3" i="24"/>
  <c r="BC3" i="24"/>
  <c r="BS3" i="24"/>
  <c r="AN3" i="24"/>
  <c r="BD3" i="24"/>
  <c r="BT3" i="24"/>
  <c r="AQ3" i="24"/>
  <c r="BG3" i="24"/>
  <c r="BW3" i="24"/>
  <c r="AR3" i="24"/>
  <c r="BH3" i="24"/>
  <c r="BX3" i="24"/>
  <c r="AS3" i="24"/>
  <c r="BI3" i="24"/>
  <c r="BY3" i="24"/>
  <c r="AT3" i="24"/>
  <c r="BJ3" i="24"/>
  <c r="BZ3" i="24"/>
  <c r="AO3" i="24"/>
  <c r="AP3" i="24"/>
  <c r="AU3" i="24"/>
  <c r="BE3" i="24"/>
  <c r="BF3" i="24"/>
  <c r="BK3" i="24"/>
  <c r="CA3" i="24"/>
  <c r="AR7" i="24"/>
  <c r="BH7" i="24"/>
  <c r="BX7" i="24"/>
  <c r="AS7" i="24"/>
  <c r="BI7" i="24"/>
  <c r="BY7" i="24"/>
  <c r="AT7" i="24"/>
  <c r="BJ7" i="24"/>
  <c r="BZ7" i="24"/>
  <c r="AU7" i="24"/>
  <c r="BK7" i="24"/>
  <c r="CA7" i="24"/>
  <c r="AF7" i="24"/>
  <c r="AV7" i="24"/>
  <c r="BL7" i="24"/>
  <c r="CB7" i="24"/>
  <c r="AG7" i="24"/>
  <c r="AW7" i="24"/>
  <c r="BM7" i="24"/>
  <c r="CC7" i="24"/>
  <c r="AH7" i="24"/>
  <c r="AX7" i="24"/>
  <c r="BN7" i="24"/>
  <c r="CD7" i="24"/>
  <c r="AI7" i="24"/>
  <c r="AY7" i="24"/>
  <c r="BO7" i="24"/>
  <c r="CE7" i="24"/>
  <c r="AJ7" i="24"/>
  <c r="AZ7" i="24"/>
  <c r="BP7" i="24"/>
  <c r="CF7" i="24"/>
  <c r="AM7" i="24"/>
  <c r="BC7" i="24"/>
  <c r="BS7" i="24"/>
  <c r="AN7" i="24"/>
  <c r="BD7" i="24"/>
  <c r="BT7" i="24"/>
  <c r="AO7" i="24"/>
  <c r="BE7" i="24"/>
  <c r="AP7" i="24"/>
  <c r="BF7" i="24"/>
  <c r="AQ7" i="24"/>
  <c r="BA7" i="24"/>
  <c r="BB7" i="24"/>
  <c r="BG7" i="24"/>
  <c r="BQ7" i="24"/>
  <c r="BR7" i="24"/>
  <c r="BW7" i="24"/>
  <c r="AK7" i="24"/>
  <c r="AL7" i="24"/>
  <c r="AN13" i="24"/>
  <c r="BD13" i="24"/>
  <c r="BT13" i="24"/>
  <c r="AO13" i="24"/>
  <c r="BE13" i="24"/>
  <c r="AP13" i="24"/>
  <c r="BF13" i="24"/>
  <c r="AQ13" i="24"/>
  <c r="BG13" i="24"/>
  <c r="BW13" i="24"/>
  <c r="AR13" i="24"/>
  <c r="BH13" i="24"/>
  <c r="BX13" i="24"/>
  <c r="AS13" i="24"/>
  <c r="BI13" i="24"/>
  <c r="BY13" i="24"/>
  <c r="AT13" i="24"/>
  <c r="BJ13" i="24"/>
  <c r="BZ13" i="24"/>
  <c r="AU13" i="24"/>
  <c r="BK13" i="24"/>
  <c r="CA13" i="24"/>
  <c r="AF13" i="24"/>
  <c r="AV13" i="24"/>
  <c r="BL13" i="24"/>
  <c r="CB13" i="24"/>
  <c r="AI13" i="24"/>
  <c r="AY13" i="24"/>
  <c r="BO13" i="24"/>
  <c r="CE13" i="24"/>
  <c r="AJ13" i="24"/>
  <c r="AZ13" i="24"/>
  <c r="BP13" i="24"/>
  <c r="CF13" i="24"/>
  <c r="AK13" i="24"/>
  <c r="BA13" i="24"/>
  <c r="BQ13" i="24"/>
  <c r="AL13" i="24"/>
  <c r="BB13" i="24"/>
  <c r="BR13" i="24"/>
  <c r="AG13" i="24"/>
  <c r="AH13" i="24"/>
  <c r="AM13" i="24"/>
  <c r="AW13" i="24"/>
  <c r="AX13" i="24"/>
  <c r="BC13" i="24"/>
  <c r="BM13" i="24"/>
  <c r="BN13" i="24"/>
  <c r="BS13" i="24"/>
  <c r="CC13" i="24"/>
  <c r="CD13" i="24"/>
  <c r="AJ19" i="24"/>
  <c r="AZ19" i="24"/>
  <c r="BP19" i="24"/>
  <c r="CF19" i="24"/>
  <c r="AK19" i="24"/>
  <c r="BA19" i="24"/>
  <c r="BQ19" i="24"/>
  <c r="AL19" i="24"/>
  <c r="BB19" i="24"/>
  <c r="BR19" i="24"/>
  <c r="AM19" i="24"/>
  <c r="BC19" i="24"/>
  <c r="BS19" i="24"/>
  <c r="AN19" i="24"/>
  <c r="BD19" i="24"/>
  <c r="BT19" i="24"/>
  <c r="AO19" i="24"/>
  <c r="BE19" i="24"/>
  <c r="AP19" i="24"/>
  <c r="BF19" i="24"/>
  <c r="AQ19" i="24"/>
  <c r="BG19" i="24"/>
  <c r="BW19" i="24"/>
  <c r="AR19" i="24"/>
  <c r="BH19" i="24"/>
  <c r="BX19" i="24"/>
  <c r="AU19" i="24"/>
  <c r="BK19" i="24"/>
  <c r="CA19" i="24"/>
  <c r="AF19" i="24"/>
  <c r="AV19" i="24"/>
  <c r="BL19" i="24"/>
  <c r="CB19" i="24"/>
  <c r="AG19" i="24"/>
  <c r="AW19" i="24"/>
  <c r="BM19" i="24"/>
  <c r="CC19" i="24"/>
  <c r="AH19" i="24"/>
  <c r="AX19" i="24"/>
  <c r="BN19" i="24"/>
  <c r="CD19" i="24"/>
  <c r="AT19" i="24"/>
  <c r="AY19" i="24"/>
  <c r="BI19" i="24"/>
  <c r="BJ19" i="24"/>
  <c r="BO19" i="24"/>
  <c r="BY19" i="24"/>
  <c r="BZ19" i="24"/>
  <c r="CE19" i="24"/>
  <c r="AI19" i="24"/>
  <c r="AS19" i="24"/>
  <c r="AF23" i="24"/>
  <c r="AV23" i="24"/>
  <c r="BL23" i="24"/>
  <c r="CB23" i="24"/>
  <c r="AG23" i="24"/>
  <c r="AW23" i="24"/>
  <c r="BM23" i="24"/>
  <c r="CC23" i="24"/>
  <c r="AH23" i="24"/>
  <c r="AX23" i="24"/>
  <c r="BN23" i="24"/>
  <c r="CD23" i="24"/>
  <c r="AI23" i="24"/>
  <c r="AY23" i="24"/>
  <c r="BO23" i="24"/>
  <c r="CE23" i="24"/>
  <c r="AJ23" i="24"/>
  <c r="AZ23" i="24"/>
  <c r="BP23" i="24"/>
  <c r="CF23" i="24"/>
  <c r="AK23" i="24"/>
  <c r="BA23" i="24"/>
  <c r="BQ23" i="24"/>
  <c r="AL23" i="24"/>
  <c r="BB23" i="24"/>
  <c r="BR23" i="24"/>
  <c r="AM23" i="24"/>
  <c r="BC23" i="24"/>
  <c r="BS23" i="24"/>
  <c r="AN23" i="24"/>
  <c r="BD23" i="24"/>
  <c r="BT23" i="24"/>
  <c r="AQ23" i="24"/>
  <c r="AS23" i="24"/>
  <c r="BI23" i="24"/>
  <c r="BY23" i="24"/>
  <c r="AT23" i="24"/>
  <c r="BJ23" i="24"/>
  <c r="BZ23" i="24"/>
  <c r="BG23" i="24"/>
  <c r="BH23" i="24"/>
  <c r="BK23" i="24"/>
  <c r="BW23" i="24"/>
  <c r="BX23" i="24"/>
  <c r="CA23" i="24"/>
  <c r="AO23" i="24"/>
  <c r="AP23" i="24"/>
  <c r="AR23" i="24"/>
  <c r="AU23" i="24"/>
  <c r="BE23" i="24"/>
  <c r="BF23" i="24"/>
  <c r="AR29" i="24"/>
  <c r="BH29" i="24"/>
  <c r="BX29" i="24"/>
  <c r="AS29" i="24"/>
  <c r="BI29" i="24"/>
  <c r="BY29" i="24"/>
  <c r="AT29" i="24"/>
  <c r="BJ29" i="24"/>
  <c r="BZ29" i="24"/>
  <c r="AU29" i="24"/>
  <c r="BK29" i="24"/>
  <c r="CA29" i="24"/>
  <c r="AF29" i="24"/>
  <c r="AV29" i="24"/>
  <c r="BL29" i="24"/>
  <c r="CB29" i="24"/>
  <c r="AH29" i="24"/>
  <c r="AX29" i="24"/>
  <c r="BN29" i="24"/>
  <c r="CD29" i="24"/>
  <c r="AI29" i="24"/>
  <c r="AJ29" i="24"/>
  <c r="AZ29" i="24"/>
  <c r="BP29" i="24"/>
  <c r="CF29" i="24"/>
  <c r="AP29" i="24"/>
  <c r="BD29" i="24"/>
  <c r="BE29" i="24"/>
  <c r="BF29" i="24"/>
  <c r="BG29" i="24"/>
  <c r="AG29" i="24"/>
  <c r="BM29" i="24"/>
  <c r="AK29" i="24"/>
  <c r="BO29" i="24"/>
  <c r="AL29" i="24"/>
  <c r="BQ29" i="24"/>
  <c r="AM29" i="24"/>
  <c r="BR29" i="24"/>
  <c r="AN29" i="24"/>
  <c r="BS29" i="24"/>
  <c r="AO29" i="24"/>
  <c r="BT29" i="24"/>
  <c r="AQ29" i="24"/>
  <c r="AW29" i="24"/>
  <c r="AY29" i="24"/>
  <c r="BW29" i="24"/>
  <c r="BA29" i="24"/>
  <c r="CC29" i="24"/>
  <c r="BB29" i="24"/>
  <c r="CE29" i="24"/>
  <c r="BC29" i="24"/>
  <c r="AI34" i="24"/>
  <c r="AY34" i="24"/>
  <c r="BO34" i="24"/>
  <c r="CE34" i="24"/>
  <c r="AJ34" i="24"/>
  <c r="AZ34" i="24"/>
  <c r="BP34" i="24"/>
  <c r="CF34" i="24"/>
  <c r="AK34" i="24"/>
  <c r="BA34" i="24"/>
  <c r="BQ34" i="24"/>
  <c r="AL34" i="24"/>
  <c r="BB34" i="24"/>
  <c r="BR34" i="24"/>
  <c r="AM34" i="24"/>
  <c r="BC34" i="24"/>
  <c r="BS34" i="24"/>
  <c r="AN34" i="24"/>
  <c r="BD34" i="24"/>
  <c r="BT34" i="24"/>
  <c r="AO34" i="24"/>
  <c r="BE34" i="24"/>
  <c r="AP34" i="24"/>
  <c r="BF34" i="24"/>
  <c r="AQ34" i="24"/>
  <c r="BG34" i="24"/>
  <c r="BW34" i="24"/>
  <c r="AR34" i="24"/>
  <c r="BH34" i="24"/>
  <c r="BX34" i="24"/>
  <c r="AS34" i="24"/>
  <c r="BI34" i="24"/>
  <c r="BY34" i="24"/>
  <c r="AT34" i="24"/>
  <c r="BJ34" i="24"/>
  <c r="BZ34" i="24"/>
  <c r="AU34" i="24"/>
  <c r="BK34" i="24"/>
  <c r="CA34" i="24"/>
  <c r="AF34" i="24"/>
  <c r="AV34" i="24"/>
  <c r="BL34" i="24"/>
  <c r="CB34" i="24"/>
  <c r="AG34" i="24"/>
  <c r="AW34" i="24"/>
  <c r="BM34" i="24"/>
  <c r="CC34" i="24"/>
  <c r="AH34" i="24"/>
  <c r="AX34" i="24"/>
  <c r="BN34" i="24"/>
  <c r="CD34" i="24"/>
  <c r="AU39" i="24"/>
  <c r="BK39" i="24"/>
  <c r="CA39" i="24"/>
  <c r="AF39" i="24"/>
  <c r="AV39" i="24"/>
  <c r="BL39" i="24"/>
  <c r="CB39" i="24"/>
  <c r="AG39" i="24"/>
  <c r="AW39" i="24"/>
  <c r="BM39" i="24"/>
  <c r="CC39" i="24"/>
  <c r="AH39" i="24"/>
  <c r="AX39" i="24"/>
  <c r="BN39" i="24"/>
  <c r="CD39" i="24"/>
  <c r="AI39" i="24"/>
  <c r="AY39" i="24"/>
  <c r="BO39" i="24"/>
  <c r="CE39" i="24"/>
  <c r="AJ39" i="24"/>
  <c r="AZ39" i="24"/>
  <c r="BP39" i="24"/>
  <c r="CF39" i="24"/>
  <c r="AK39" i="24"/>
  <c r="BA39" i="24"/>
  <c r="BQ39" i="24"/>
  <c r="AL39" i="24"/>
  <c r="BB39" i="24"/>
  <c r="BR39" i="24"/>
  <c r="AM39" i="24"/>
  <c r="BC39" i="24"/>
  <c r="BS39" i="24"/>
  <c r="AN39" i="24"/>
  <c r="BD39" i="24"/>
  <c r="BT39" i="24"/>
  <c r="AO39" i="24"/>
  <c r="BE39" i="24"/>
  <c r="AP39" i="24"/>
  <c r="BF39" i="24"/>
  <c r="AQ39" i="24"/>
  <c r="BG39" i="24"/>
  <c r="BW39" i="24"/>
  <c r="AR39" i="24"/>
  <c r="BH39" i="24"/>
  <c r="BX39" i="24"/>
  <c r="AS39" i="24"/>
  <c r="BI39" i="24"/>
  <c r="BY39" i="24"/>
  <c r="AT39" i="24"/>
  <c r="BJ39" i="24"/>
  <c r="BZ39" i="24"/>
  <c r="AQ45" i="24"/>
  <c r="BG45" i="24"/>
  <c r="BW45" i="24"/>
  <c r="AR45" i="24"/>
  <c r="BH45" i="24"/>
  <c r="BX45" i="24"/>
  <c r="AS45" i="24"/>
  <c r="BI45" i="24"/>
  <c r="BY45" i="24"/>
  <c r="AT45" i="24"/>
  <c r="BJ45" i="24"/>
  <c r="BZ45" i="24"/>
  <c r="AU45" i="24"/>
  <c r="BK45" i="24"/>
  <c r="CA45" i="24"/>
  <c r="AF45" i="24"/>
  <c r="AV45" i="24"/>
  <c r="BL45" i="24"/>
  <c r="CB45" i="24"/>
  <c r="AG45" i="24"/>
  <c r="AW45" i="24"/>
  <c r="BM45" i="24"/>
  <c r="CC45" i="24"/>
  <c r="AH45" i="24"/>
  <c r="AX45" i="24"/>
  <c r="BN45" i="24"/>
  <c r="CD45" i="24"/>
  <c r="AI45" i="24"/>
  <c r="AY45" i="24"/>
  <c r="BO45" i="24"/>
  <c r="CE45" i="24"/>
  <c r="AJ45" i="24"/>
  <c r="AZ45" i="24"/>
  <c r="BP45" i="24"/>
  <c r="CF45" i="24"/>
  <c r="AK45" i="24"/>
  <c r="BA45" i="24"/>
  <c r="BQ45" i="24"/>
  <c r="AL45" i="24"/>
  <c r="BB45" i="24"/>
  <c r="BR45" i="24"/>
  <c r="AM45" i="24"/>
  <c r="BC45" i="24"/>
  <c r="BS45" i="24"/>
  <c r="AN45" i="24"/>
  <c r="BD45" i="24"/>
  <c r="BT45" i="24"/>
  <c r="AO45" i="24"/>
  <c r="BE45" i="24"/>
  <c r="AP45" i="24"/>
  <c r="BF45" i="24"/>
  <c r="AM49" i="24"/>
  <c r="BC49" i="24"/>
  <c r="BS49" i="24"/>
  <c r="AN49" i="24"/>
  <c r="BD49" i="24"/>
  <c r="BT49" i="24"/>
  <c r="AO49" i="24"/>
  <c r="BE49" i="24"/>
  <c r="AP49" i="24"/>
  <c r="BF49" i="24"/>
  <c r="AQ49" i="24"/>
  <c r="BG49" i="24"/>
  <c r="BW49" i="24"/>
  <c r="AR49" i="24"/>
  <c r="BH49" i="24"/>
  <c r="BX49" i="24"/>
  <c r="AS49" i="24"/>
  <c r="BI49" i="24"/>
  <c r="BY49" i="24"/>
  <c r="AT49" i="24"/>
  <c r="BJ49" i="24"/>
  <c r="BZ49" i="24"/>
  <c r="AU49" i="24"/>
  <c r="BK49" i="24"/>
  <c r="CA49" i="24"/>
  <c r="AF49" i="24"/>
  <c r="AV49" i="24"/>
  <c r="BL49" i="24"/>
  <c r="CB49" i="24"/>
  <c r="AG49" i="24"/>
  <c r="AW49" i="24"/>
  <c r="BM49" i="24"/>
  <c r="CC49" i="24"/>
  <c r="AH49" i="24"/>
  <c r="AX49" i="24"/>
  <c r="BN49" i="24"/>
  <c r="CD49" i="24"/>
  <c r="AI49" i="24"/>
  <c r="AY49" i="24"/>
  <c r="BO49" i="24"/>
  <c r="CE49" i="24"/>
  <c r="AK49" i="24"/>
  <c r="BA49" i="24"/>
  <c r="BQ49" i="24"/>
  <c r="AJ49" i="24"/>
  <c r="AL49" i="24"/>
  <c r="AZ49" i="24"/>
  <c r="BB49" i="24"/>
  <c r="BP49" i="24"/>
  <c r="BR49" i="24"/>
  <c r="CF49" i="24"/>
  <c r="AI54" i="24"/>
  <c r="AY54" i="24"/>
  <c r="BO54" i="24"/>
  <c r="CE54" i="24"/>
  <c r="AJ54" i="24"/>
  <c r="AZ54" i="24"/>
  <c r="BP54" i="24"/>
  <c r="CF54" i="24"/>
  <c r="AK54" i="24"/>
  <c r="BA54" i="24"/>
  <c r="BQ54" i="24"/>
  <c r="AL54" i="24"/>
  <c r="BB54" i="24"/>
  <c r="BR54" i="24"/>
  <c r="AM54" i="24"/>
  <c r="BC54" i="24"/>
  <c r="BS54" i="24"/>
  <c r="AN54" i="24"/>
  <c r="BD54" i="24"/>
  <c r="BT54" i="24"/>
  <c r="AO54" i="24"/>
  <c r="BE54" i="24"/>
  <c r="AP54" i="24"/>
  <c r="BF54" i="24"/>
  <c r="AQ54" i="24"/>
  <c r="BG54" i="24"/>
  <c r="BW54" i="24"/>
  <c r="AR54" i="24"/>
  <c r="BH54" i="24"/>
  <c r="BX54" i="24"/>
  <c r="AT54" i="24"/>
  <c r="BJ54" i="24"/>
  <c r="BZ54" i="24"/>
  <c r="AU54" i="24"/>
  <c r="BK54" i="24"/>
  <c r="CA54" i="24"/>
  <c r="AG54" i="24"/>
  <c r="AW54" i="24"/>
  <c r="BM54" i="24"/>
  <c r="CC54" i="24"/>
  <c r="BI54" i="24"/>
  <c r="BL54" i="24"/>
  <c r="BN54" i="24"/>
  <c r="BY54" i="24"/>
  <c r="CB54" i="24"/>
  <c r="CD54" i="24"/>
  <c r="AF54" i="24"/>
  <c r="AH54" i="24"/>
  <c r="AS54" i="24"/>
  <c r="AV54" i="24"/>
  <c r="AX54" i="24"/>
  <c r="AG58" i="24"/>
  <c r="AW58" i="24"/>
  <c r="BM58" i="24"/>
  <c r="CC58" i="24"/>
  <c r="AH58" i="24"/>
  <c r="AX58" i="24"/>
  <c r="BN58" i="24"/>
  <c r="CD58" i="24"/>
  <c r="AI58" i="24"/>
  <c r="AY58" i="24"/>
  <c r="BO58" i="24"/>
  <c r="CE58" i="24"/>
  <c r="AJ58" i="24"/>
  <c r="AZ58" i="24"/>
  <c r="BP58" i="24"/>
  <c r="CF58" i="24"/>
  <c r="AK58" i="24"/>
  <c r="BA58" i="24"/>
  <c r="BQ58" i="24"/>
  <c r="AL58" i="24"/>
  <c r="BB58" i="24"/>
  <c r="BR58" i="24"/>
  <c r="AM58" i="24"/>
  <c r="BC58" i="24"/>
  <c r="BS58" i="24"/>
  <c r="AN58" i="24"/>
  <c r="BD58" i="24"/>
  <c r="BT58" i="24"/>
  <c r="AO58" i="24"/>
  <c r="BE58" i="24"/>
  <c r="AP58" i="24"/>
  <c r="BF58" i="24"/>
  <c r="AQ58" i="24"/>
  <c r="BG58" i="24"/>
  <c r="BW58" i="24"/>
  <c r="AR58" i="24"/>
  <c r="BH58" i="24"/>
  <c r="BX58" i="24"/>
  <c r="AS58" i="24"/>
  <c r="BI58" i="24"/>
  <c r="BY58" i="24"/>
  <c r="AT58" i="24"/>
  <c r="BJ58" i="24"/>
  <c r="BZ58" i="24"/>
  <c r="AU58" i="24"/>
  <c r="BK58" i="24"/>
  <c r="CA58" i="24"/>
  <c r="BL58" i="24"/>
  <c r="CB58" i="24"/>
  <c r="AF58" i="24"/>
  <c r="AV58" i="24"/>
  <c r="AS62" i="24"/>
  <c r="BI62" i="24"/>
  <c r="BY62" i="24"/>
  <c r="AT62" i="24"/>
  <c r="BJ62" i="24"/>
  <c r="BZ62" i="24"/>
  <c r="AU62" i="24"/>
  <c r="BK62" i="24"/>
  <c r="CA62" i="24"/>
  <c r="AF62" i="24"/>
  <c r="AV62" i="24"/>
  <c r="BL62" i="24"/>
  <c r="CB62" i="24"/>
  <c r="AG62" i="24"/>
  <c r="AW62" i="24"/>
  <c r="BM62" i="24"/>
  <c r="CC62" i="24"/>
  <c r="AH62" i="24"/>
  <c r="AX62" i="24"/>
  <c r="BN62" i="24"/>
  <c r="CD62" i="24"/>
  <c r="AI62" i="24"/>
  <c r="AY62" i="24"/>
  <c r="BO62" i="24"/>
  <c r="CE62" i="24"/>
  <c r="AJ62" i="24"/>
  <c r="AZ62" i="24"/>
  <c r="BP62" i="24"/>
  <c r="CF62" i="24"/>
  <c r="AK62" i="24"/>
  <c r="BA62" i="24"/>
  <c r="BQ62" i="24"/>
  <c r="AL62" i="24"/>
  <c r="BB62" i="24"/>
  <c r="BR62" i="24"/>
  <c r="AM62" i="24"/>
  <c r="BC62" i="24"/>
  <c r="BS62" i="24"/>
  <c r="AN62" i="24"/>
  <c r="BD62" i="24"/>
  <c r="BT62" i="24"/>
  <c r="AO62" i="24"/>
  <c r="BE62" i="24"/>
  <c r="AP62" i="24"/>
  <c r="BF62" i="24"/>
  <c r="AQ62" i="24"/>
  <c r="BG62" i="24"/>
  <c r="BW62" i="24"/>
  <c r="AR62" i="24"/>
  <c r="BH62" i="24"/>
  <c r="BX62" i="24"/>
  <c r="AO66" i="24"/>
  <c r="BE66" i="24"/>
  <c r="AP66" i="24"/>
  <c r="BF66" i="24"/>
  <c r="AQ66" i="24"/>
  <c r="BG66" i="24"/>
  <c r="BW66" i="24"/>
  <c r="AR66" i="24"/>
  <c r="BH66" i="24"/>
  <c r="BX66" i="24"/>
  <c r="AS66" i="24"/>
  <c r="BI66" i="24"/>
  <c r="BY66" i="24"/>
  <c r="AT66" i="24"/>
  <c r="BJ66" i="24"/>
  <c r="BZ66" i="24"/>
  <c r="AU66" i="24"/>
  <c r="BK66" i="24"/>
  <c r="CA66" i="24"/>
  <c r="AF66" i="24"/>
  <c r="AV66" i="24"/>
  <c r="BL66" i="24"/>
  <c r="CB66" i="24"/>
  <c r="AG66" i="24"/>
  <c r="AW66" i="24"/>
  <c r="BM66" i="24"/>
  <c r="CC66" i="24"/>
  <c r="AH66" i="24"/>
  <c r="AX66" i="24"/>
  <c r="BN66" i="24"/>
  <c r="CD66" i="24"/>
  <c r="AI66" i="24"/>
  <c r="AY66" i="24"/>
  <c r="BO66" i="24"/>
  <c r="CE66" i="24"/>
  <c r="AJ66" i="24"/>
  <c r="AZ66" i="24"/>
  <c r="BP66" i="24"/>
  <c r="CF66" i="24"/>
  <c r="AK66" i="24"/>
  <c r="BA66" i="24"/>
  <c r="BQ66" i="24"/>
  <c r="AL66" i="24"/>
  <c r="BB66" i="24"/>
  <c r="BR66" i="24"/>
  <c r="AM66" i="24"/>
  <c r="BC66" i="24"/>
  <c r="BS66" i="24"/>
  <c r="AN66" i="24"/>
  <c r="BD66" i="24"/>
  <c r="BT66" i="24"/>
  <c r="AK71" i="24"/>
  <c r="BA71" i="24"/>
  <c r="BQ71" i="24"/>
  <c r="AL71" i="24"/>
  <c r="BB71" i="24"/>
  <c r="BR71" i="24"/>
  <c r="AM71" i="24"/>
  <c r="BC71" i="24"/>
  <c r="BS71" i="24"/>
  <c r="AN71" i="24"/>
  <c r="BD71" i="24"/>
  <c r="BT71" i="24"/>
  <c r="AO71" i="24"/>
  <c r="BE71" i="24"/>
  <c r="AP71" i="24"/>
  <c r="BF71" i="24"/>
  <c r="AQ71" i="24"/>
  <c r="BG71" i="24"/>
  <c r="BW71" i="24"/>
  <c r="AR71" i="24"/>
  <c r="BH71" i="24"/>
  <c r="BX71" i="24"/>
  <c r="AS71" i="24"/>
  <c r="BI71" i="24"/>
  <c r="BY71" i="24"/>
  <c r="AT71" i="24"/>
  <c r="BJ71" i="24"/>
  <c r="BZ71" i="24"/>
  <c r="AU71" i="24"/>
  <c r="BK71" i="24"/>
  <c r="CA71" i="24"/>
  <c r="AF71" i="24"/>
  <c r="AV71" i="24"/>
  <c r="BL71" i="24"/>
  <c r="CB71" i="24"/>
  <c r="AG71" i="24"/>
  <c r="AW71" i="24"/>
  <c r="BM71" i="24"/>
  <c r="CC71" i="24"/>
  <c r="AH71" i="24"/>
  <c r="AX71" i="24"/>
  <c r="BN71" i="24"/>
  <c r="CD71" i="24"/>
  <c r="AI71" i="24"/>
  <c r="AY71" i="24"/>
  <c r="BO71" i="24"/>
  <c r="CE71" i="24"/>
  <c r="AJ71" i="24"/>
  <c r="AZ71" i="24"/>
  <c r="BP71" i="24"/>
  <c r="CF71" i="24"/>
  <c r="AG75" i="24"/>
  <c r="AW75" i="24"/>
  <c r="BM75" i="24"/>
  <c r="CC75" i="24"/>
  <c r="AH75" i="24"/>
  <c r="AX75" i="24"/>
  <c r="BN75" i="24"/>
  <c r="CD75" i="24"/>
  <c r="AI75" i="24"/>
  <c r="AY75" i="24"/>
  <c r="BO75" i="24"/>
  <c r="CE75" i="24"/>
  <c r="AJ75" i="24"/>
  <c r="AZ75" i="24"/>
  <c r="BP75" i="24"/>
  <c r="CF75" i="24"/>
  <c r="AK75" i="24"/>
  <c r="BA75" i="24"/>
  <c r="BQ75" i="24"/>
  <c r="AL75" i="24"/>
  <c r="BB75" i="24"/>
  <c r="BR75" i="24"/>
  <c r="AM75" i="24"/>
  <c r="BC75" i="24"/>
  <c r="BS75" i="24"/>
  <c r="AN75" i="24"/>
  <c r="BD75" i="24"/>
  <c r="BT75" i="24"/>
  <c r="AO75" i="24"/>
  <c r="BE75" i="24"/>
  <c r="AP75" i="24"/>
  <c r="BF75" i="24"/>
  <c r="AQ75" i="24"/>
  <c r="BG75" i="24"/>
  <c r="BW75" i="24"/>
  <c r="AR75" i="24"/>
  <c r="BH75" i="24"/>
  <c r="BX75" i="24"/>
  <c r="AS75" i="24"/>
  <c r="BI75" i="24"/>
  <c r="BY75" i="24"/>
  <c r="AT75" i="24"/>
  <c r="BJ75" i="24"/>
  <c r="BZ75" i="24"/>
  <c r="AU75" i="24"/>
  <c r="BK75" i="24"/>
  <c r="CA75" i="24"/>
  <c r="AF75" i="24"/>
  <c r="AV75" i="24"/>
  <c r="BL75" i="24"/>
  <c r="CB75" i="24"/>
  <c r="AS81" i="24"/>
  <c r="BI81" i="24"/>
  <c r="BY81" i="24"/>
  <c r="AT81" i="24"/>
  <c r="BJ81" i="24"/>
  <c r="BZ81" i="24"/>
  <c r="AU81" i="24"/>
  <c r="BK81" i="24"/>
  <c r="CA81" i="24"/>
  <c r="AF81" i="24"/>
  <c r="AV81" i="24"/>
  <c r="BL81" i="24"/>
  <c r="CB81" i="24"/>
  <c r="AG81" i="24"/>
  <c r="AW81" i="24"/>
  <c r="BM81" i="24"/>
  <c r="CC81" i="24"/>
  <c r="AH81" i="24"/>
  <c r="AX81" i="24"/>
  <c r="BN81" i="24"/>
  <c r="CD81" i="24"/>
  <c r="AI81" i="24"/>
  <c r="AY81" i="24"/>
  <c r="BO81" i="24"/>
  <c r="CE81" i="24"/>
  <c r="AJ81" i="24"/>
  <c r="AZ81" i="24"/>
  <c r="BP81" i="24"/>
  <c r="CF81" i="24"/>
  <c r="AK81" i="24"/>
  <c r="BA81" i="24"/>
  <c r="BQ81" i="24"/>
  <c r="AL81" i="24"/>
  <c r="BB81" i="24"/>
  <c r="BR81" i="24"/>
  <c r="AM81" i="24"/>
  <c r="BC81" i="24"/>
  <c r="BS81" i="24"/>
  <c r="AN81" i="24"/>
  <c r="BD81" i="24"/>
  <c r="BT81" i="24"/>
  <c r="AO81" i="24"/>
  <c r="BE81" i="24"/>
  <c r="AP81" i="24"/>
  <c r="BF81" i="24"/>
  <c r="AQ81" i="24"/>
  <c r="BG81" i="24"/>
  <c r="BW81" i="24"/>
  <c r="AR81" i="24"/>
  <c r="BH81" i="24"/>
  <c r="BX81" i="24"/>
  <c r="AL86" i="24"/>
  <c r="BB86" i="24"/>
  <c r="BR86" i="24"/>
  <c r="AM86" i="24"/>
  <c r="BC86" i="24"/>
  <c r="BS86" i="24"/>
  <c r="AN86" i="24"/>
  <c r="BD86" i="24"/>
  <c r="BT86" i="24"/>
  <c r="AO86" i="24"/>
  <c r="BE86" i="24"/>
  <c r="AP86" i="24"/>
  <c r="BF86" i="24"/>
  <c r="AQ86" i="24"/>
  <c r="BG86" i="24"/>
  <c r="BW86" i="24"/>
  <c r="AR86" i="24"/>
  <c r="BH86" i="24"/>
  <c r="BX86" i="24"/>
  <c r="AS86" i="24"/>
  <c r="BI86" i="24"/>
  <c r="BY86" i="24"/>
  <c r="AT86" i="24"/>
  <c r="BJ86" i="24"/>
  <c r="BZ86" i="24"/>
  <c r="AU86" i="24"/>
  <c r="BK86" i="24"/>
  <c r="CA86" i="24"/>
  <c r="AF86" i="24"/>
  <c r="AV86" i="24"/>
  <c r="BL86" i="24"/>
  <c r="CB86" i="24"/>
  <c r="AG86" i="24"/>
  <c r="AW86" i="24"/>
  <c r="BM86" i="24"/>
  <c r="CC86" i="24"/>
  <c r="AH86" i="24"/>
  <c r="AX86" i="24"/>
  <c r="BN86" i="24"/>
  <c r="CD86" i="24"/>
  <c r="AI86" i="24"/>
  <c r="AY86" i="24"/>
  <c r="BO86" i="24"/>
  <c r="CE86" i="24"/>
  <c r="BP86" i="24"/>
  <c r="BQ86" i="24"/>
  <c r="CF86" i="24"/>
  <c r="AJ86" i="24"/>
  <c r="AK86" i="24"/>
  <c r="BA86" i="24"/>
  <c r="AZ86" i="24"/>
  <c r="AH91" i="24"/>
  <c r="AX91" i="24"/>
  <c r="BN91" i="24"/>
  <c r="CD91" i="24"/>
  <c r="AI91" i="24"/>
  <c r="AY91" i="24"/>
  <c r="BO91" i="24"/>
  <c r="CE91" i="24"/>
  <c r="AJ91" i="24"/>
  <c r="AZ91" i="24"/>
  <c r="BP91" i="24"/>
  <c r="CF91" i="24"/>
  <c r="AK91" i="24"/>
  <c r="BA91" i="24"/>
  <c r="BQ91" i="24"/>
  <c r="AL91" i="24"/>
  <c r="BB91" i="24"/>
  <c r="BR91" i="24"/>
  <c r="AM91" i="24"/>
  <c r="BC91" i="24"/>
  <c r="BS91" i="24"/>
  <c r="AN91" i="24"/>
  <c r="BD91" i="24"/>
  <c r="BT91" i="24"/>
  <c r="AO91" i="24"/>
  <c r="BE91" i="24"/>
  <c r="AP91" i="24"/>
  <c r="BF91" i="24"/>
  <c r="AQ91" i="24"/>
  <c r="BG91" i="24"/>
  <c r="BW91" i="24"/>
  <c r="AR91" i="24"/>
  <c r="BH91" i="24"/>
  <c r="BX91" i="24"/>
  <c r="AS91" i="24"/>
  <c r="BI91" i="24"/>
  <c r="BY91" i="24"/>
  <c r="AT91" i="24"/>
  <c r="BJ91" i="24"/>
  <c r="BZ91" i="24"/>
  <c r="AU91" i="24"/>
  <c r="BK91" i="24"/>
  <c r="CA91" i="24"/>
  <c r="AF91" i="24"/>
  <c r="AG91" i="24"/>
  <c r="AV91" i="24"/>
  <c r="AW91" i="24"/>
  <c r="BL91" i="24"/>
  <c r="BM91" i="24"/>
  <c r="CB91" i="24"/>
  <c r="CC91" i="24"/>
  <c r="AT96" i="24"/>
  <c r="BJ96" i="24"/>
  <c r="BZ96" i="24"/>
  <c r="AU96" i="24"/>
  <c r="BK96" i="24"/>
  <c r="CA96" i="24"/>
  <c r="AF96" i="24"/>
  <c r="AV96" i="24"/>
  <c r="BL96" i="24"/>
  <c r="CB96" i="24"/>
  <c r="AG96" i="24"/>
  <c r="AW96" i="24"/>
  <c r="BM96" i="24"/>
  <c r="CC96" i="24"/>
  <c r="AH96" i="24"/>
  <c r="AX96" i="24"/>
  <c r="BN96" i="24"/>
  <c r="CD96" i="24"/>
  <c r="AI96" i="24"/>
  <c r="AY96" i="24"/>
  <c r="BO96" i="24"/>
  <c r="CE96" i="24"/>
  <c r="AJ96" i="24"/>
  <c r="AZ96" i="24"/>
  <c r="BP96" i="24"/>
  <c r="CF96" i="24"/>
  <c r="AK96" i="24"/>
  <c r="BA96" i="24"/>
  <c r="BQ96" i="24"/>
  <c r="AL96" i="24"/>
  <c r="BB96" i="24"/>
  <c r="BR96" i="24"/>
  <c r="AM96" i="24"/>
  <c r="BC96" i="24"/>
  <c r="BS96" i="24"/>
  <c r="AN96" i="24"/>
  <c r="BD96" i="24"/>
  <c r="BT96" i="24"/>
  <c r="AO96" i="24"/>
  <c r="BE96" i="24"/>
  <c r="AP96" i="24"/>
  <c r="BF96" i="24"/>
  <c r="AQ96" i="24"/>
  <c r="BG96" i="24"/>
  <c r="BW96" i="24"/>
  <c r="AR96" i="24"/>
  <c r="AS96" i="24"/>
  <c r="BH96" i="24"/>
  <c r="BI96" i="24"/>
  <c r="BX96" i="24"/>
  <c r="BY96" i="24"/>
  <c r="AP100" i="24"/>
  <c r="BF100" i="24"/>
  <c r="AQ100" i="24"/>
  <c r="BG100" i="24"/>
  <c r="BW100" i="24"/>
  <c r="AR100" i="24"/>
  <c r="BH100" i="24"/>
  <c r="BX100" i="24"/>
  <c r="AS100" i="24"/>
  <c r="BI100" i="24"/>
  <c r="BY100" i="24"/>
  <c r="AT100" i="24"/>
  <c r="BJ100" i="24"/>
  <c r="BZ100" i="24"/>
  <c r="AU100" i="24"/>
  <c r="BK100" i="24"/>
  <c r="CA100" i="24"/>
  <c r="AF100" i="24"/>
  <c r="AV100" i="24"/>
  <c r="BL100" i="24"/>
  <c r="CB100" i="24"/>
  <c r="AG100" i="24"/>
  <c r="AW100" i="24"/>
  <c r="BM100" i="24"/>
  <c r="CC100" i="24"/>
  <c r="AH100" i="24"/>
  <c r="AX100" i="24"/>
  <c r="BN100" i="24"/>
  <c r="CD100" i="24"/>
  <c r="AI100" i="24"/>
  <c r="AY100" i="24"/>
  <c r="BO100" i="24"/>
  <c r="CE100" i="24"/>
  <c r="AJ100" i="24"/>
  <c r="AZ100" i="24"/>
  <c r="BP100" i="24"/>
  <c r="CF100" i="24"/>
  <c r="AK100" i="24"/>
  <c r="BA100" i="24"/>
  <c r="BQ100" i="24"/>
  <c r="AL100" i="24"/>
  <c r="BB100" i="24"/>
  <c r="BR100" i="24"/>
  <c r="AM100" i="24"/>
  <c r="BC100" i="24"/>
  <c r="BS100" i="24"/>
  <c r="BT100" i="24"/>
  <c r="BE100" i="24"/>
  <c r="AN100" i="24"/>
  <c r="AO100" i="24"/>
  <c r="BD100" i="24"/>
  <c r="AL106" i="24"/>
  <c r="BB106" i="24"/>
  <c r="BR106" i="24"/>
  <c r="AM106" i="24"/>
  <c r="BC106" i="24"/>
  <c r="BS106" i="24"/>
  <c r="AN106" i="24"/>
  <c r="BD106" i="24"/>
  <c r="BT106" i="24"/>
  <c r="AO106" i="24"/>
  <c r="BE106" i="24"/>
  <c r="AP106" i="24"/>
  <c r="BF106" i="24"/>
  <c r="AQ106" i="24"/>
  <c r="BG106" i="24"/>
  <c r="BW106" i="24"/>
  <c r="AR106" i="24"/>
  <c r="BH106" i="24"/>
  <c r="BX106" i="24"/>
  <c r="AS106" i="24"/>
  <c r="BI106" i="24"/>
  <c r="BY106" i="24"/>
  <c r="AT106" i="24"/>
  <c r="BJ106" i="24"/>
  <c r="BZ106" i="24"/>
  <c r="AU106" i="24"/>
  <c r="BK106" i="24"/>
  <c r="CA106" i="24"/>
  <c r="AF106" i="24"/>
  <c r="AV106" i="24"/>
  <c r="BL106" i="24"/>
  <c r="CB106" i="24"/>
  <c r="AG106" i="24"/>
  <c r="AW106" i="24"/>
  <c r="BM106" i="24"/>
  <c r="CC106" i="24"/>
  <c r="AH106" i="24"/>
  <c r="AX106" i="24"/>
  <c r="BN106" i="24"/>
  <c r="CD106" i="24"/>
  <c r="AI106" i="24"/>
  <c r="AY106" i="24"/>
  <c r="BO106" i="24"/>
  <c r="CE106" i="24"/>
  <c r="AJ106" i="24"/>
  <c r="AK106" i="24"/>
  <c r="AZ106" i="24"/>
  <c r="BA106" i="24"/>
  <c r="BP106" i="24"/>
  <c r="BQ106" i="24"/>
  <c r="CF106" i="24"/>
  <c r="AH110" i="24"/>
  <c r="AX110" i="24"/>
  <c r="BN110" i="24"/>
  <c r="CD110" i="24"/>
  <c r="AI110" i="24"/>
  <c r="AY110" i="24"/>
  <c r="BO110" i="24"/>
  <c r="CE110" i="24"/>
  <c r="AJ110" i="24"/>
  <c r="AZ110" i="24"/>
  <c r="BP110" i="24"/>
  <c r="CF110" i="24"/>
  <c r="AK110" i="24"/>
  <c r="BA110" i="24"/>
  <c r="BQ110" i="24"/>
  <c r="AL110" i="24"/>
  <c r="BB110" i="24"/>
  <c r="BR110" i="24"/>
  <c r="AM110" i="24"/>
  <c r="BC110" i="24"/>
  <c r="BS110" i="24"/>
  <c r="AN110" i="24"/>
  <c r="BD110" i="24"/>
  <c r="BT110" i="24"/>
  <c r="AO110" i="24"/>
  <c r="BE110" i="24"/>
  <c r="AP110" i="24"/>
  <c r="BF110" i="24"/>
  <c r="AQ110" i="24"/>
  <c r="BG110" i="24"/>
  <c r="BW110" i="24"/>
  <c r="AR110" i="24"/>
  <c r="BH110" i="24"/>
  <c r="BX110" i="24"/>
  <c r="AS110" i="24"/>
  <c r="BI110" i="24"/>
  <c r="BY110" i="24"/>
  <c r="AT110" i="24"/>
  <c r="BJ110" i="24"/>
  <c r="BZ110" i="24"/>
  <c r="AF110" i="24"/>
  <c r="AG110" i="24"/>
  <c r="AU110" i="24"/>
  <c r="AV110" i="24"/>
  <c r="AW110" i="24"/>
  <c r="BM110" i="24"/>
  <c r="BK110" i="24"/>
  <c r="BL110" i="24"/>
  <c r="CA110" i="24"/>
  <c r="CB110" i="24"/>
  <c r="CC110" i="24"/>
  <c r="AR114" i="24"/>
  <c r="BH114" i="24"/>
  <c r="BX114" i="24"/>
  <c r="AU114" i="24"/>
  <c r="CC114" i="24"/>
  <c r="AX114" i="24"/>
  <c r="AO114" i="24"/>
  <c r="AS114" i="24"/>
  <c r="BI114" i="24"/>
  <c r="BY114" i="24"/>
  <c r="CA114" i="24"/>
  <c r="AF114" i="24"/>
  <c r="CB114" i="24"/>
  <c r="AL114" i="24"/>
  <c r="BE114" i="24"/>
  <c r="BF114" i="24"/>
  <c r="AT114" i="24"/>
  <c r="BJ114" i="24"/>
  <c r="BZ114" i="24"/>
  <c r="BK114" i="24"/>
  <c r="AG114" i="24"/>
  <c r="AH114" i="24"/>
  <c r="CF114" i="24"/>
  <c r="AV114" i="24"/>
  <c r="AW114" i="24"/>
  <c r="BP114" i="24"/>
  <c r="BL114" i="24"/>
  <c r="BM114" i="24"/>
  <c r="CD114" i="24"/>
  <c r="BD114" i="24"/>
  <c r="BS114" i="24"/>
  <c r="BW114" i="24"/>
  <c r="BN114" i="24"/>
  <c r="AZ114" i="24"/>
  <c r="BR114" i="24"/>
  <c r="BC114" i="24"/>
  <c r="AQ114" i="24"/>
  <c r="AI114" i="24"/>
  <c r="AY114" i="24"/>
  <c r="BO114" i="24"/>
  <c r="CE114" i="24"/>
  <c r="AJ114" i="24"/>
  <c r="BT114" i="24"/>
  <c r="AK114" i="24"/>
  <c r="BA114" i="24"/>
  <c r="BQ114" i="24"/>
  <c r="AN114" i="24"/>
  <c r="BB114" i="24"/>
  <c r="AM114" i="24"/>
  <c r="BG114" i="24"/>
  <c r="AP114" i="24"/>
  <c r="AF33" i="24"/>
  <c r="AG33" i="24"/>
  <c r="AI33" i="24"/>
  <c r="AK33" i="24"/>
  <c r="AN33" i="24"/>
  <c r="BD33" i="24"/>
  <c r="BT33" i="24"/>
  <c r="AO33" i="24"/>
  <c r="BE33" i="24"/>
  <c r="AP33" i="24"/>
  <c r="BF33" i="24"/>
  <c r="AQ33" i="24"/>
  <c r="BG33" i="24"/>
  <c r="BW33" i="24"/>
  <c r="AR33" i="24"/>
  <c r="BH33" i="24"/>
  <c r="BX33" i="24"/>
  <c r="AS33" i="24"/>
  <c r="BI33" i="24"/>
  <c r="BY33" i="24"/>
  <c r="AT33" i="24"/>
  <c r="BJ33" i="24"/>
  <c r="BZ33" i="24"/>
  <c r="AU33" i="24"/>
  <c r="BK33" i="24"/>
  <c r="CA33" i="24"/>
  <c r="AV33" i="24"/>
  <c r="BL33" i="24"/>
  <c r="CB33" i="24"/>
  <c r="AW33" i="24"/>
  <c r="BM33" i="24"/>
  <c r="CC33" i="24"/>
  <c r="AX33" i="24"/>
  <c r="BN33" i="24"/>
  <c r="CD33" i="24"/>
  <c r="AY33" i="24"/>
  <c r="BO33" i="24"/>
  <c r="CE33" i="24"/>
  <c r="AH33" i="24"/>
  <c r="AZ33" i="24"/>
  <c r="BP33" i="24"/>
  <c r="CF33" i="24"/>
  <c r="AJ33" i="24"/>
  <c r="BA33" i="24"/>
  <c r="BQ33" i="24"/>
  <c r="AL33" i="24"/>
  <c r="BB33" i="24"/>
  <c r="BR33" i="24"/>
  <c r="AM33" i="24"/>
  <c r="BC33" i="24"/>
  <c r="BS33" i="24"/>
  <c r="AQ85" i="24"/>
  <c r="BG85" i="24"/>
  <c r="BW85" i="24"/>
  <c r="AR85" i="24"/>
  <c r="BH85" i="24"/>
  <c r="BX85" i="24"/>
  <c r="AS85" i="24"/>
  <c r="BI85" i="24"/>
  <c r="BY85" i="24"/>
  <c r="AT85" i="24"/>
  <c r="BJ85" i="24"/>
  <c r="BZ85" i="24"/>
  <c r="AU85" i="24"/>
  <c r="BK85" i="24"/>
  <c r="CA85" i="24"/>
  <c r="AF85" i="24"/>
  <c r="AV85" i="24"/>
  <c r="BL85" i="24"/>
  <c r="CB85" i="24"/>
  <c r="AG85" i="24"/>
  <c r="AW85" i="24"/>
  <c r="BM85" i="24"/>
  <c r="CC85" i="24"/>
  <c r="AH85" i="24"/>
  <c r="AX85" i="24"/>
  <c r="BN85" i="24"/>
  <c r="CD85" i="24"/>
  <c r="AI85" i="24"/>
  <c r="AY85" i="24"/>
  <c r="BO85" i="24"/>
  <c r="CE85" i="24"/>
  <c r="AJ85" i="24"/>
  <c r="AZ85" i="24"/>
  <c r="BP85" i="24"/>
  <c r="CF85" i="24"/>
  <c r="AK85" i="24"/>
  <c r="BA85" i="24"/>
  <c r="BQ85" i="24"/>
  <c r="AL85" i="24"/>
  <c r="BB85" i="24"/>
  <c r="BR85" i="24"/>
  <c r="AM85" i="24"/>
  <c r="BC85" i="24"/>
  <c r="BS85" i="24"/>
  <c r="AN85" i="24"/>
  <c r="BD85" i="24"/>
  <c r="BT85" i="24"/>
  <c r="AO85" i="24"/>
  <c r="AP85" i="24"/>
  <c r="BE85" i="24"/>
  <c r="BF85" i="24"/>
  <c r="AL57" i="24"/>
  <c r="BB57" i="24"/>
  <c r="BR57" i="24"/>
  <c r="AM57" i="24"/>
  <c r="BC57" i="24"/>
  <c r="BS57" i="24"/>
  <c r="AN57" i="24"/>
  <c r="BD57" i="24"/>
  <c r="BT57" i="24"/>
  <c r="AO57" i="24"/>
  <c r="BE57" i="24"/>
  <c r="AP57" i="24"/>
  <c r="BF57" i="24"/>
  <c r="AQ57" i="24"/>
  <c r="BG57" i="24"/>
  <c r="BW57" i="24"/>
  <c r="AR57" i="24"/>
  <c r="BH57" i="24"/>
  <c r="BX57" i="24"/>
  <c r="AS57" i="24"/>
  <c r="BI57" i="24"/>
  <c r="BY57" i="24"/>
  <c r="AT57" i="24"/>
  <c r="BJ57" i="24"/>
  <c r="BZ57" i="24"/>
  <c r="AU57" i="24"/>
  <c r="BK57" i="24"/>
  <c r="CA57" i="24"/>
  <c r="AF57" i="24"/>
  <c r="AV57" i="24"/>
  <c r="BL57" i="24"/>
  <c r="CB57" i="24"/>
  <c r="AG57" i="24"/>
  <c r="AW57" i="24"/>
  <c r="BM57" i="24"/>
  <c r="CC57" i="24"/>
  <c r="AH57" i="24"/>
  <c r="AX57" i="24"/>
  <c r="BN57" i="24"/>
  <c r="CD57" i="24"/>
  <c r="AI57" i="24"/>
  <c r="AY57" i="24"/>
  <c r="BO57" i="24"/>
  <c r="CE57" i="24"/>
  <c r="AJ57" i="24"/>
  <c r="AZ57" i="24"/>
  <c r="BP57" i="24"/>
  <c r="CF57" i="24"/>
  <c r="AK57" i="24"/>
  <c r="BA57" i="24"/>
  <c r="BQ57" i="24"/>
  <c r="AQ4" i="24"/>
  <c r="BG4" i="24"/>
  <c r="BW4" i="24"/>
  <c r="AR4" i="24"/>
  <c r="BH4" i="24"/>
  <c r="BX4" i="24"/>
  <c r="AS4" i="24"/>
  <c r="BI4" i="24"/>
  <c r="BY4" i="24"/>
  <c r="AT4" i="24"/>
  <c r="BJ4" i="24"/>
  <c r="BZ4" i="24"/>
  <c r="AU4" i="24"/>
  <c r="BK4" i="24"/>
  <c r="CA4" i="24"/>
  <c r="AF4" i="24"/>
  <c r="AV4" i="24"/>
  <c r="BL4" i="24"/>
  <c r="CB4" i="24"/>
  <c r="AG4" i="24"/>
  <c r="AW4" i="24"/>
  <c r="BM4" i="24"/>
  <c r="CC4" i="24"/>
  <c r="AH4" i="24"/>
  <c r="AX4" i="24"/>
  <c r="BN4" i="24"/>
  <c r="CD4" i="24"/>
  <c r="AI4" i="24"/>
  <c r="AY4" i="24"/>
  <c r="BO4" i="24"/>
  <c r="CE4" i="24"/>
  <c r="AL4" i="24"/>
  <c r="BB4" i="24"/>
  <c r="BR4" i="24"/>
  <c r="AM4" i="24"/>
  <c r="BC4" i="24"/>
  <c r="BS4" i="24"/>
  <c r="AN4" i="24"/>
  <c r="BD4" i="24"/>
  <c r="BT4" i="24"/>
  <c r="AO4" i="24"/>
  <c r="BE4" i="24"/>
  <c r="AJ4" i="24"/>
  <c r="AK4" i="24"/>
  <c r="AP4" i="24"/>
  <c r="AZ4" i="24"/>
  <c r="BA4" i="24"/>
  <c r="BF4" i="24"/>
  <c r="BP4" i="24"/>
  <c r="BQ4" i="24"/>
  <c r="CF4" i="24"/>
  <c r="AM9" i="24"/>
  <c r="BC9" i="24"/>
  <c r="BS9" i="24"/>
  <c r="AN9" i="24"/>
  <c r="BD9" i="24"/>
  <c r="BT9" i="24"/>
  <c r="AO9" i="24"/>
  <c r="BE9" i="24"/>
  <c r="AP9" i="24"/>
  <c r="BF9" i="24"/>
  <c r="AQ9" i="24"/>
  <c r="BG9" i="24"/>
  <c r="BW9" i="24"/>
  <c r="AR9" i="24"/>
  <c r="BH9" i="24"/>
  <c r="BX9" i="24"/>
  <c r="AS9" i="24"/>
  <c r="BI9" i="24"/>
  <c r="BY9" i="24"/>
  <c r="AT9" i="24"/>
  <c r="BJ9" i="24"/>
  <c r="BZ9" i="24"/>
  <c r="AU9" i="24"/>
  <c r="BK9" i="24"/>
  <c r="CA9" i="24"/>
  <c r="AH9" i="24"/>
  <c r="AX9" i="24"/>
  <c r="BN9" i="24"/>
  <c r="CD9" i="24"/>
  <c r="AI9" i="24"/>
  <c r="AY9" i="24"/>
  <c r="BO9" i="24"/>
  <c r="CE9" i="24"/>
  <c r="AJ9" i="24"/>
  <c r="AZ9" i="24"/>
  <c r="BP9" i="24"/>
  <c r="CF9" i="24"/>
  <c r="AK9" i="24"/>
  <c r="BA9" i="24"/>
  <c r="BQ9" i="24"/>
  <c r="CB9" i="24"/>
  <c r="CC9" i="24"/>
  <c r="AF9" i="24"/>
  <c r="AG9" i="24"/>
  <c r="AL9" i="24"/>
  <c r="AV9" i="24"/>
  <c r="AW9" i="24"/>
  <c r="BB9" i="24"/>
  <c r="BL9" i="24"/>
  <c r="BM9" i="24"/>
  <c r="BR9" i="24"/>
  <c r="AI15" i="24"/>
  <c r="AY15" i="24"/>
  <c r="BO15" i="24"/>
  <c r="CE15" i="24"/>
  <c r="AJ15" i="24"/>
  <c r="AZ15" i="24"/>
  <c r="BP15" i="24"/>
  <c r="CF15" i="24"/>
  <c r="AK15" i="24"/>
  <c r="BA15" i="24"/>
  <c r="BQ15" i="24"/>
  <c r="AL15" i="24"/>
  <c r="BB15" i="24"/>
  <c r="BR15" i="24"/>
  <c r="AM15" i="24"/>
  <c r="BC15" i="24"/>
  <c r="BS15" i="24"/>
  <c r="AN15" i="24"/>
  <c r="BD15" i="24"/>
  <c r="BT15" i="24"/>
  <c r="AO15" i="24"/>
  <c r="BE15" i="24"/>
  <c r="AP15" i="24"/>
  <c r="BF15" i="24"/>
  <c r="AQ15" i="24"/>
  <c r="BG15" i="24"/>
  <c r="BW15" i="24"/>
  <c r="AT15" i="24"/>
  <c r="BJ15" i="24"/>
  <c r="BZ15" i="24"/>
  <c r="AU15" i="24"/>
  <c r="BK15" i="24"/>
  <c r="CA15" i="24"/>
  <c r="AF15" i="24"/>
  <c r="AV15" i="24"/>
  <c r="BL15" i="24"/>
  <c r="CB15" i="24"/>
  <c r="AG15" i="24"/>
  <c r="AW15" i="24"/>
  <c r="BM15" i="24"/>
  <c r="CC15" i="24"/>
  <c r="AH15" i="24"/>
  <c r="AR15" i="24"/>
  <c r="AS15" i="24"/>
  <c r="AX15" i="24"/>
  <c r="BH15" i="24"/>
  <c r="BI15" i="24"/>
  <c r="BN15" i="24"/>
  <c r="BX15" i="24"/>
  <c r="BY15" i="24"/>
  <c r="CD15" i="24"/>
  <c r="AU20" i="24"/>
  <c r="BK20" i="24"/>
  <c r="CA20" i="24"/>
  <c r="AF20" i="24"/>
  <c r="AV20" i="24"/>
  <c r="BL20" i="24"/>
  <c r="CB20" i="24"/>
  <c r="AG20" i="24"/>
  <c r="AW20" i="24"/>
  <c r="BM20" i="24"/>
  <c r="CC20" i="24"/>
  <c r="AH20" i="24"/>
  <c r="AX20" i="24"/>
  <c r="BN20" i="24"/>
  <c r="CD20" i="24"/>
  <c r="AI20" i="24"/>
  <c r="AY20" i="24"/>
  <c r="BO20" i="24"/>
  <c r="CE20" i="24"/>
  <c r="AJ20" i="24"/>
  <c r="AZ20" i="24"/>
  <c r="BP20" i="24"/>
  <c r="CF20" i="24"/>
  <c r="AK20" i="24"/>
  <c r="BA20" i="24"/>
  <c r="BQ20" i="24"/>
  <c r="AL20" i="24"/>
  <c r="BB20" i="24"/>
  <c r="BR20" i="24"/>
  <c r="AM20" i="24"/>
  <c r="BC20" i="24"/>
  <c r="BS20" i="24"/>
  <c r="AP20" i="24"/>
  <c r="BF20" i="24"/>
  <c r="AQ20" i="24"/>
  <c r="BG20" i="24"/>
  <c r="BW20" i="24"/>
  <c r="AR20" i="24"/>
  <c r="BH20" i="24"/>
  <c r="BX20" i="24"/>
  <c r="AS20" i="24"/>
  <c r="BI20" i="24"/>
  <c r="BY20" i="24"/>
  <c r="BZ20" i="24"/>
  <c r="AN20" i="24"/>
  <c r="AO20" i="24"/>
  <c r="AT20" i="24"/>
  <c r="BD20" i="24"/>
  <c r="BE20" i="24"/>
  <c r="BJ20" i="24"/>
  <c r="BT20" i="24"/>
  <c r="AQ25" i="24"/>
  <c r="BG25" i="24"/>
  <c r="BW25" i="24"/>
  <c r="AR25" i="24"/>
  <c r="BH25" i="24"/>
  <c r="BX25" i="24"/>
  <c r="AS25" i="24"/>
  <c r="BI25" i="24"/>
  <c r="BY25" i="24"/>
  <c r="AT25" i="24"/>
  <c r="BJ25" i="24"/>
  <c r="BZ25" i="24"/>
  <c r="AU25" i="24"/>
  <c r="BK25" i="24"/>
  <c r="CA25" i="24"/>
  <c r="AG25" i="24"/>
  <c r="AW25" i="24"/>
  <c r="BM25" i="24"/>
  <c r="CC25" i="24"/>
  <c r="AH25" i="24"/>
  <c r="AX25" i="24"/>
  <c r="BN25" i="24"/>
  <c r="CD25" i="24"/>
  <c r="AI25" i="24"/>
  <c r="AY25" i="24"/>
  <c r="BO25" i="24"/>
  <c r="CE25" i="24"/>
  <c r="AN25" i="24"/>
  <c r="BD25" i="24"/>
  <c r="BT25" i="24"/>
  <c r="AO25" i="24"/>
  <c r="BE25" i="24"/>
  <c r="BA25" i="24"/>
  <c r="BB25" i="24"/>
  <c r="BC25" i="24"/>
  <c r="BF25" i="24"/>
  <c r="BL25" i="24"/>
  <c r="BP25" i="24"/>
  <c r="BQ25" i="24"/>
  <c r="BR25" i="24"/>
  <c r="AF25" i="24"/>
  <c r="BS25" i="24"/>
  <c r="AJ25" i="24"/>
  <c r="AK25" i="24"/>
  <c r="CB25" i="24"/>
  <c r="AL25" i="24"/>
  <c r="CF25" i="24"/>
  <c r="AM25" i="24"/>
  <c r="AP25" i="24"/>
  <c r="AV25" i="24"/>
  <c r="AZ25" i="24"/>
  <c r="AM31" i="24"/>
  <c r="BC31" i="24"/>
  <c r="BS31" i="24"/>
  <c r="AN31" i="24"/>
  <c r="BD31" i="24"/>
  <c r="BT31" i="24"/>
  <c r="AO31" i="24"/>
  <c r="BE31" i="24"/>
  <c r="AP31" i="24"/>
  <c r="BF31" i="24"/>
  <c r="AQ31" i="24"/>
  <c r="BG31" i="24"/>
  <c r="BW31" i="24"/>
  <c r="AS31" i="24"/>
  <c r="BI31" i="24"/>
  <c r="BY31" i="24"/>
  <c r="AU31" i="24"/>
  <c r="BK31" i="24"/>
  <c r="CA31" i="24"/>
  <c r="AG31" i="24"/>
  <c r="BJ31" i="24"/>
  <c r="AH31" i="24"/>
  <c r="BL31" i="24"/>
  <c r="AI31" i="24"/>
  <c r="BM31" i="24"/>
  <c r="AJ31" i="24"/>
  <c r="BN31" i="24"/>
  <c r="AK31" i="24"/>
  <c r="BO31" i="24"/>
  <c r="AL31" i="24"/>
  <c r="BP31" i="24"/>
  <c r="AR31" i="24"/>
  <c r="BQ31" i="24"/>
  <c r="AT31" i="24"/>
  <c r="BR31" i="24"/>
  <c r="AV31" i="24"/>
  <c r="BX31" i="24"/>
  <c r="AW31" i="24"/>
  <c r="BZ31" i="24"/>
  <c r="AX31" i="24"/>
  <c r="CB31" i="24"/>
  <c r="AY31" i="24"/>
  <c r="CC31" i="24"/>
  <c r="AZ31" i="24"/>
  <c r="CD31" i="24"/>
  <c r="BA31" i="24"/>
  <c r="CE31" i="24"/>
  <c r="BB31" i="24"/>
  <c r="CF31" i="24"/>
  <c r="AF31" i="24"/>
  <c r="BH31" i="24"/>
  <c r="AT35" i="24"/>
  <c r="BJ35" i="24"/>
  <c r="BZ35" i="24"/>
  <c r="AU35" i="24"/>
  <c r="BK35" i="24"/>
  <c r="CA35" i="24"/>
  <c r="AF35" i="24"/>
  <c r="AV35" i="24"/>
  <c r="BL35" i="24"/>
  <c r="CB35" i="24"/>
  <c r="AG35" i="24"/>
  <c r="AW35" i="24"/>
  <c r="BM35" i="24"/>
  <c r="CC35" i="24"/>
  <c r="AH35" i="24"/>
  <c r="AX35" i="24"/>
  <c r="BN35" i="24"/>
  <c r="CD35" i="24"/>
  <c r="AI35" i="24"/>
  <c r="AY35" i="24"/>
  <c r="BO35" i="24"/>
  <c r="CE35" i="24"/>
  <c r="AJ35" i="24"/>
  <c r="AZ35" i="24"/>
  <c r="BP35" i="24"/>
  <c r="CF35" i="24"/>
  <c r="AK35" i="24"/>
  <c r="BA35" i="24"/>
  <c r="BQ35" i="24"/>
  <c r="AL35" i="24"/>
  <c r="BB35" i="24"/>
  <c r="BR35" i="24"/>
  <c r="AM35" i="24"/>
  <c r="BC35" i="24"/>
  <c r="BS35" i="24"/>
  <c r="AN35" i="24"/>
  <c r="BD35" i="24"/>
  <c r="BT35" i="24"/>
  <c r="AO35" i="24"/>
  <c r="BE35" i="24"/>
  <c r="AP35" i="24"/>
  <c r="BF35" i="24"/>
  <c r="AQ35" i="24"/>
  <c r="BG35" i="24"/>
  <c r="BW35" i="24"/>
  <c r="AR35" i="24"/>
  <c r="BH35" i="24"/>
  <c r="BX35" i="24"/>
  <c r="AS35" i="24"/>
  <c r="BI35" i="24"/>
  <c r="BY35" i="24"/>
  <c r="AP41" i="24"/>
  <c r="BF41" i="24"/>
  <c r="AQ41" i="24"/>
  <c r="BG41" i="24"/>
  <c r="BW41" i="24"/>
  <c r="AR41" i="24"/>
  <c r="BH41" i="24"/>
  <c r="BX41" i="24"/>
  <c r="AS41" i="24"/>
  <c r="BI41" i="24"/>
  <c r="BY41" i="24"/>
  <c r="AT41" i="24"/>
  <c r="BJ41" i="24"/>
  <c r="BZ41" i="24"/>
  <c r="AU41" i="24"/>
  <c r="BK41" i="24"/>
  <c r="CA41" i="24"/>
  <c r="AF41" i="24"/>
  <c r="AV41" i="24"/>
  <c r="BL41" i="24"/>
  <c r="CB41" i="24"/>
  <c r="AG41" i="24"/>
  <c r="AW41" i="24"/>
  <c r="BM41" i="24"/>
  <c r="CC41" i="24"/>
  <c r="AH41" i="24"/>
  <c r="AX41" i="24"/>
  <c r="BN41" i="24"/>
  <c r="CD41" i="24"/>
  <c r="AI41" i="24"/>
  <c r="AY41" i="24"/>
  <c r="BO41" i="24"/>
  <c r="CE41" i="24"/>
  <c r="AJ41" i="24"/>
  <c r="AZ41" i="24"/>
  <c r="BP41" i="24"/>
  <c r="CF41" i="24"/>
  <c r="AK41" i="24"/>
  <c r="BA41" i="24"/>
  <c r="BQ41" i="24"/>
  <c r="AL41" i="24"/>
  <c r="BB41" i="24"/>
  <c r="BR41" i="24"/>
  <c r="AM41" i="24"/>
  <c r="BC41" i="24"/>
  <c r="BS41" i="24"/>
  <c r="AN41" i="24"/>
  <c r="BD41" i="24"/>
  <c r="BT41" i="24"/>
  <c r="AO41" i="24"/>
  <c r="BE41" i="24"/>
  <c r="AL46" i="24"/>
  <c r="BB46" i="24"/>
  <c r="BR46" i="24"/>
  <c r="AM46" i="24"/>
  <c r="BC46" i="24"/>
  <c r="BS46" i="24"/>
  <c r="AN46" i="24"/>
  <c r="BD46" i="24"/>
  <c r="BT46" i="24"/>
  <c r="AO46" i="24"/>
  <c r="BE46" i="24"/>
  <c r="AP46" i="24"/>
  <c r="BF46" i="24"/>
  <c r="AQ46" i="24"/>
  <c r="BG46" i="24"/>
  <c r="BW46" i="24"/>
  <c r="AR46" i="24"/>
  <c r="BH46" i="24"/>
  <c r="BX46" i="24"/>
  <c r="AS46" i="24"/>
  <c r="BI46" i="24"/>
  <c r="BY46" i="24"/>
  <c r="AT46" i="24"/>
  <c r="BJ46" i="24"/>
  <c r="BZ46" i="24"/>
  <c r="AU46" i="24"/>
  <c r="BK46" i="24"/>
  <c r="CA46" i="24"/>
  <c r="AF46" i="24"/>
  <c r="AV46" i="24"/>
  <c r="BL46" i="24"/>
  <c r="CB46" i="24"/>
  <c r="AG46" i="24"/>
  <c r="AW46" i="24"/>
  <c r="BM46" i="24"/>
  <c r="CC46" i="24"/>
  <c r="AH46" i="24"/>
  <c r="AX46" i="24"/>
  <c r="BN46" i="24"/>
  <c r="CD46" i="24"/>
  <c r="AI46" i="24"/>
  <c r="AY46" i="24"/>
  <c r="BO46" i="24"/>
  <c r="CE46" i="24"/>
  <c r="AJ46" i="24"/>
  <c r="AZ46" i="24"/>
  <c r="BP46" i="24"/>
  <c r="CF46" i="24"/>
  <c r="AK46" i="24"/>
  <c r="BA46" i="24"/>
  <c r="BQ46" i="24"/>
  <c r="AH51" i="24"/>
  <c r="AX51" i="24"/>
  <c r="BN51" i="24"/>
  <c r="CD51" i="24"/>
  <c r="AI51" i="24"/>
  <c r="AY51" i="24"/>
  <c r="BO51" i="24"/>
  <c r="CE51" i="24"/>
  <c r="AJ51" i="24"/>
  <c r="AZ51" i="24"/>
  <c r="BP51" i="24"/>
  <c r="CF51" i="24"/>
  <c r="AK51" i="24"/>
  <c r="BA51" i="24"/>
  <c r="BQ51" i="24"/>
  <c r="AL51" i="24"/>
  <c r="BB51" i="24"/>
  <c r="BR51" i="24"/>
  <c r="AM51" i="24"/>
  <c r="BC51" i="24"/>
  <c r="BS51" i="24"/>
  <c r="AN51" i="24"/>
  <c r="BD51" i="24"/>
  <c r="BT51" i="24"/>
  <c r="AO51" i="24"/>
  <c r="BE51" i="24"/>
  <c r="AP51" i="24"/>
  <c r="BF51" i="24"/>
  <c r="AQ51" i="24"/>
  <c r="BG51" i="24"/>
  <c r="BW51" i="24"/>
  <c r="AR51" i="24"/>
  <c r="BH51" i="24"/>
  <c r="BX51" i="24"/>
  <c r="AS51" i="24"/>
  <c r="BI51" i="24"/>
  <c r="BY51" i="24"/>
  <c r="AT51" i="24"/>
  <c r="BJ51" i="24"/>
  <c r="BZ51" i="24"/>
  <c r="AF51" i="24"/>
  <c r="AV51" i="24"/>
  <c r="BL51" i="24"/>
  <c r="CB51" i="24"/>
  <c r="AG51" i="24"/>
  <c r="AU51" i="24"/>
  <c r="AW51" i="24"/>
  <c r="BK51" i="24"/>
  <c r="BM51" i="24"/>
  <c r="CA51" i="24"/>
  <c r="CC51" i="24"/>
  <c r="AT55" i="24"/>
  <c r="BJ55" i="24"/>
  <c r="BZ55" i="24"/>
  <c r="AU55" i="24"/>
  <c r="BK55" i="24"/>
  <c r="CA55" i="24"/>
  <c r="AF55" i="24"/>
  <c r="AV55" i="24"/>
  <c r="BL55" i="24"/>
  <c r="CB55" i="24"/>
  <c r="AG55" i="24"/>
  <c r="AW55" i="24"/>
  <c r="BM55" i="24"/>
  <c r="AH55" i="24"/>
  <c r="AX55" i="24"/>
  <c r="BN55" i="24"/>
  <c r="CD55" i="24"/>
  <c r="AI55" i="24"/>
  <c r="AY55" i="24"/>
  <c r="BO55" i="24"/>
  <c r="CE55" i="24"/>
  <c r="AJ55" i="24"/>
  <c r="AZ55" i="24"/>
  <c r="BP55" i="24"/>
  <c r="AK55" i="24"/>
  <c r="BA55" i="24"/>
  <c r="BQ55" i="24"/>
  <c r="AL55" i="24"/>
  <c r="BB55" i="24"/>
  <c r="BR55" i="24"/>
  <c r="AM55" i="24"/>
  <c r="BC55" i="24"/>
  <c r="BS55" i="24"/>
  <c r="AO55" i="24"/>
  <c r="BE55" i="24"/>
  <c r="AP55" i="24"/>
  <c r="BF55" i="24"/>
  <c r="AR55" i="24"/>
  <c r="BH55" i="24"/>
  <c r="BX55" i="24"/>
  <c r="CC55" i="24"/>
  <c r="CF55" i="24"/>
  <c r="AN55" i="24"/>
  <c r="AQ55" i="24"/>
  <c r="AS55" i="24"/>
  <c r="BD55" i="24"/>
  <c r="BG55" i="24"/>
  <c r="BI55" i="24"/>
  <c r="BT55" i="24"/>
  <c r="BW55" i="24"/>
  <c r="BY55" i="24"/>
  <c r="AR59" i="24"/>
  <c r="BH59" i="24"/>
  <c r="BX59" i="24"/>
  <c r="AS59" i="24"/>
  <c r="BI59" i="24"/>
  <c r="BY59" i="24"/>
  <c r="AT59" i="24"/>
  <c r="BJ59" i="24"/>
  <c r="BZ59" i="24"/>
  <c r="AU59" i="24"/>
  <c r="BK59" i="24"/>
  <c r="CA59" i="24"/>
  <c r="AF59" i="24"/>
  <c r="AV59" i="24"/>
  <c r="BL59" i="24"/>
  <c r="CB59" i="24"/>
  <c r="AG59" i="24"/>
  <c r="AW59" i="24"/>
  <c r="BM59" i="24"/>
  <c r="CC59" i="24"/>
  <c r="AH59" i="24"/>
  <c r="AX59" i="24"/>
  <c r="BN59" i="24"/>
  <c r="CD59" i="24"/>
  <c r="AI59" i="24"/>
  <c r="AY59" i="24"/>
  <c r="BO59" i="24"/>
  <c r="CE59" i="24"/>
  <c r="AJ59" i="24"/>
  <c r="AZ59" i="24"/>
  <c r="BP59" i="24"/>
  <c r="CF59" i="24"/>
  <c r="AK59" i="24"/>
  <c r="BA59" i="24"/>
  <c r="BQ59" i="24"/>
  <c r="AL59" i="24"/>
  <c r="BB59" i="24"/>
  <c r="BR59" i="24"/>
  <c r="AM59" i="24"/>
  <c r="BC59" i="24"/>
  <c r="BS59" i="24"/>
  <c r="AN59" i="24"/>
  <c r="BD59" i="24"/>
  <c r="BT59" i="24"/>
  <c r="AO59" i="24"/>
  <c r="BE59" i="24"/>
  <c r="AP59" i="24"/>
  <c r="BF59" i="24"/>
  <c r="AQ59" i="24"/>
  <c r="BG59" i="24"/>
  <c r="BW59" i="24"/>
  <c r="AN63" i="24"/>
  <c r="BD63" i="24"/>
  <c r="BT63" i="24"/>
  <c r="AO63" i="24"/>
  <c r="BE63" i="24"/>
  <c r="AP63" i="24"/>
  <c r="BF63" i="24"/>
  <c r="AQ63" i="24"/>
  <c r="BG63" i="24"/>
  <c r="BW63" i="24"/>
  <c r="AR63" i="24"/>
  <c r="BH63" i="24"/>
  <c r="BX63" i="24"/>
  <c r="AS63" i="24"/>
  <c r="BI63" i="24"/>
  <c r="BY63" i="24"/>
  <c r="AT63" i="24"/>
  <c r="BJ63" i="24"/>
  <c r="BZ63" i="24"/>
  <c r="AU63" i="24"/>
  <c r="BK63" i="24"/>
  <c r="CA63" i="24"/>
  <c r="AF63" i="24"/>
  <c r="AV63" i="24"/>
  <c r="BL63" i="24"/>
  <c r="CB63" i="24"/>
  <c r="AG63" i="24"/>
  <c r="AW63" i="24"/>
  <c r="BM63" i="24"/>
  <c r="CC63" i="24"/>
  <c r="AH63" i="24"/>
  <c r="AX63" i="24"/>
  <c r="BN63" i="24"/>
  <c r="CD63" i="24"/>
  <c r="AI63" i="24"/>
  <c r="AY63" i="24"/>
  <c r="BO63" i="24"/>
  <c r="CE63" i="24"/>
  <c r="AJ63" i="24"/>
  <c r="AZ63" i="24"/>
  <c r="BP63" i="24"/>
  <c r="CF63" i="24"/>
  <c r="AK63" i="24"/>
  <c r="BA63" i="24"/>
  <c r="BQ63" i="24"/>
  <c r="AL63" i="24"/>
  <c r="BB63" i="24"/>
  <c r="BR63" i="24"/>
  <c r="BC63" i="24"/>
  <c r="BS63" i="24"/>
  <c r="AM63" i="24"/>
  <c r="AJ67" i="24"/>
  <c r="AZ67" i="24"/>
  <c r="BP67" i="24"/>
  <c r="CF67" i="24"/>
  <c r="AK67" i="24"/>
  <c r="BA67" i="24"/>
  <c r="BQ67" i="24"/>
  <c r="AL67" i="24"/>
  <c r="BB67" i="24"/>
  <c r="BR67" i="24"/>
  <c r="AM67" i="24"/>
  <c r="BC67" i="24"/>
  <c r="BS67" i="24"/>
  <c r="AN67" i="24"/>
  <c r="BD67" i="24"/>
  <c r="BT67" i="24"/>
  <c r="AO67" i="24"/>
  <c r="BE67" i="24"/>
  <c r="AP67" i="24"/>
  <c r="BF67" i="24"/>
  <c r="AQ67" i="24"/>
  <c r="BG67" i="24"/>
  <c r="BW67" i="24"/>
  <c r="AR67" i="24"/>
  <c r="BH67" i="24"/>
  <c r="BX67" i="24"/>
  <c r="AS67" i="24"/>
  <c r="BI67" i="24"/>
  <c r="BY67" i="24"/>
  <c r="AT67" i="24"/>
  <c r="BJ67" i="24"/>
  <c r="BZ67" i="24"/>
  <c r="AU67" i="24"/>
  <c r="BK67" i="24"/>
  <c r="CA67" i="24"/>
  <c r="AF67" i="24"/>
  <c r="AV67" i="24"/>
  <c r="BL67" i="24"/>
  <c r="CB67" i="24"/>
  <c r="AG67" i="24"/>
  <c r="AW67" i="24"/>
  <c r="BM67" i="24"/>
  <c r="CC67" i="24"/>
  <c r="AH67" i="24"/>
  <c r="AX67" i="24"/>
  <c r="BN67" i="24"/>
  <c r="CD67" i="24"/>
  <c r="AI67" i="24"/>
  <c r="AY67" i="24"/>
  <c r="BO67" i="24"/>
  <c r="CE67" i="24"/>
  <c r="AF72" i="24"/>
  <c r="AV72" i="24"/>
  <c r="BL72" i="24"/>
  <c r="CB72" i="24"/>
  <c r="AG72" i="24"/>
  <c r="AW72" i="24"/>
  <c r="BM72" i="24"/>
  <c r="CC72" i="24"/>
  <c r="AH72" i="24"/>
  <c r="AX72" i="24"/>
  <c r="BN72" i="24"/>
  <c r="CD72" i="24"/>
  <c r="AI72" i="24"/>
  <c r="AY72" i="24"/>
  <c r="BO72" i="24"/>
  <c r="CE72" i="24"/>
  <c r="AJ72" i="24"/>
  <c r="AZ72" i="24"/>
  <c r="BP72" i="24"/>
  <c r="CF72" i="24"/>
  <c r="AK72" i="24"/>
  <c r="BA72" i="24"/>
  <c r="BQ72" i="24"/>
  <c r="AL72" i="24"/>
  <c r="BB72" i="24"/>
  <c r="BR72" i="24"/>
  <c r="AM72" i="24"/>
  <c r="BC72" i="24"/>
  <c r="BS72" i="24"/>
  <c r="AN72" i="24"/>
  <c r="BD72" i="24"/>
  <c r="BT72" i="24"/>
  <c r="AO72" i="24"/>
  <c r="BE72" i="24"/>
  <c r="AP72" i="24"/>
  <c r="BF72" i="24"/>
  <c r="AQ72" i="24"/>
  <c r="BG72" i="24"/>
  <c r="BW72" i="24"/>
  <c r="AR72" i="24"/>
  <c r="BH72" i="24"/>
  <c r="BX72" i="24"/>
  <c r="AS72" i="24"/>
  <c r="BI72" i="24"/>
  <c r="BY72" i="24"/>
  <c r="AT72" i="24"/>
  <c r="BJ72" i="24"/>
  <c r="BZ72" i="24"/>
  <c r="AU72" i="24"/>
  <c r="BK72" i="24"/>
  <c r="CA72" i="24"/>
  <c r="AR76" i="24"/>
  <c r="BH76" i="24"/>
  <c r="BX76" i="24"/>
  <c r="AS76" i="24"/>
  <c r="BI76" i="24"/>
  <c r="BY76" i="24"/>
  <c r="AT76" i="24"/>
  <c r="BJ76" i="24"/>
  <c r="BZ76" i="24"/>
  <c r="AU76" i="24"/>
  <c r="BK76" i="24"/>
  <c r="CA76" i="24"/>
  <c r="AF76" i="24"/>
  <c r="AV76" i="24"/>
  <c r="BL76" i="24"/>
  <c r="CB76" i="24"/>
  <c r="AG76" i="24"/>
  <c r="AW76" i="24"/>
  <c r="BM76" i="24"/>
  <c r="CC76" i="24"/>
  <c r="AH76" i="24"/>
  <c r="AX76" i="24"/>
  <c r="BN76" i="24"/>
  <c r="CD76" i="24"/>
  <c r="AI76" i="24"/>
  <c r="AY76" i="24"/>
  <c r="BO76" i="24"/>
  <c r="CE76" i="24"/>
  <c r="AJ76" i="24"/>
  <c r="AZ76" i="24"/>
  <c r="BP76" i="24"/>
  <c r="CF76" i="24"/>
  <c r="AK76" i="24"/>
  <c r="BA76" i="24"/>
  <c r="BQ76" i="24"/>
  <c r="AL76" i="24"/>
  <c r="BB76" i="24"/>
  <c r="BR76" i="24"/>
  <c r="AM76" i="24"/>
  <c r="BC76" i="24"/>
  <c r="BS76" i="24"/>
  <c r="AN76" i="24"/>
  <c r="BD76" i="24"/>
  <c r="BT76" i="24"/>
  <c r="AO76" i="24"/>
  <c r="BE76" i="24"/>
  <c r="AP76" i="24"/>
  <c r="BF76" i="24"/>
  <c r="AQ76" i="24"/>
  <c r="BG76" i="24"/>
  <c r="BW76" i="24"/>
  <c r="AN83" i="24"/>
  <c r="BD83" i="24"/>
  <c r="AO83" i="24"/>
  <c r="BE83" i="24"/>
  <c r="AP83" i="24"/>
  <c r="AQ83" i="24"/>
  <c r="AR83" i="24"/>
  <c r="AS83" i="24"/>
  <c r="AT83" i="24"/>
  <c r="AU83" i="24"/>
  <c r="BK83" i="24"/>
  <c r="AF83" i="24"/>
  <c r="AV83" i="24"/>
  <c r="AG83" i="24"/>
  <c r="AW83" i="24"/>
  <c r="AH83" i="24"/>
  <c r="AX83" i="24"/>
  <c r="AI83" i="24"/>
  <c r="AY83" i="24"/>
  <c r="AJ83" i="24"/>
  <c r="AZ83" i="24"/>
  <c r="AK83" i="24"/>
  <c r="BA83" i="24"/>
  <c r="AL83" i="24"/>
  <c r="BB83" i="24"/>
  <c r="BQ83" i="24"/>
  <c r="BR83" i="24"/>
  <c r="BS83" i="24"/>
  <c r="BT83" i="24"/>
  <c r="AM83" i="24"/>
  <c r="BC83" i="24"/>
  <c r="BF83" i="24"/>
  <c r="BW83" i="24"/>
  <c r="BG83" i="24"/>
  <c r="BX83" i="24"/>
  <c r="BH83" i="24"/>
  <c r="BY83" i="24"/>
  <c r="BI83" i="24"/>
  <c r="BZ83" i="24"/>
  <c r="BJ83" i="24"/>
  <c r="CA83" i="24"/>
  <c r="BL83" i="24"/>
  <c r="CB83" i="24"/>
  <c r="BM83" i="24"/>
  <c r="CC83" i="24"/>
  <c r="BN83" i="24"/>
  <c r="CD83" i="24"/>
  <c r="CF83" i="24"/>
  <c r="BO83" i="24"/>
  <c r="BP83" i="24"/>
  <c r="CE83" i="24"/>
  <c r="AG87" i="24"/>
  <c r="AW87" i="24"/>
  <c r="BM87" i="24"/>
  <c r="CC87" i="24"/>
  <c r="AH87" i="24"/>
  <c r="AX87" i="24"/>
  <c r="BN87" i="24"/>
  <c r="CD87" i="24"/>
  <c r="AI87" i="24"/>
  <c r="AY87" i="24"/>
  <c r="BO87" i="24"/>
  <c r="CE87" i="24"/>
  <c r="AJ87" i="24"/>
  <c r="AZ87" i="24"/>
  <c r="BP87" i="24"/>
  <c r="CF87" i="24"/>
  <c r="AK87" i="24"/>
  <c r="BA87" i="24"/>
  <c r="BQ87" i="24"/>
  <c r="AL87" i="24"/>
  <c r="BB87" i="24"/>
  <c r="BR87" i="24"/>
  <c r="AM87" i="24"/>
  <c r="BC87" i="24"/>
  <c r="BS87" i="24"/>
  <c r="AN87" i="24"/>
  <c r="BD87" i="24"/>
  <c r="BT87" i="24"/>
  <c r="AO87" i="24"/>
  <c r="BE87" i="24"/>
  <c r="AP87" i="24"/>
  <c r="BF87" i="24"/>
  <c r="AQ87" i="24"/>
  <c r="BG87" i="24"/>
  <c r="BW87" i="24"/>
  <c r="AR87" i="24"/>
  <c r="BH87" i="24"/>
  <c r="BX87" i="24"/>
  <c r="AS87" i="24"/>
  <c r="BI87" i="24"/>
  <c r="BY87" i="24"/>
  <c r="AT87" i="24"/>
  <c r="BJ87" i="24"/>
  <c r="BZ87" i="24"/>
  <c r="AF87" i="24"/>
  <c r="AU87" i="24"/>
  <c r="AV87" i="24"/>
  <c r="BK87" i="24"/>
  <c r="BL87" i="24"/>
  <c r="CA87" i="24"/>
  <c r="CB87" i="24"/>
  <c r="AS93" i="24"/>
  <c r="BI93" i="24"/>
  <c r="BY93" i="24"/>
  <c r="AT93" i="24"/>
  <c r="BJ93" i="24"/>
  <c r="BZ93" i="24"/>
  <c r="AU93" i="24"/>
  <c r="BK93" i="24"/>
  <c r="CA93" i="24"/>
  <c r="AF93" i="24"/>
  <c r="AV93" i="24"/>
  <c r="BL93" i="24"/>
  <c r="CB93" i="24"/>
  <c r="AG93" i="24"/>
  <c r="AW93" i="24"/>
  <c r="BM93" i="24"/>
  <c r="CC93" i="24"/>
  <c r="AH93" i="24"/>
  <c r="AX93" i="24"/>
  <c r="BN93" i="24"/>
  <c r="CD93" i="24"/>
  <c r="AI93" i="24"/>
  <c r="AY93" i="24"/>
  <c r="BO93" i="24"/>
  <c r="CE93" i="24"/>
  <c r="AJ93" i="24"/>
  <c r="AZ93" i="24"/>
  <c r="BP93" i="24"/>
  <c r="CF93" i="24"/>
  <c r="AK93" i="24"/>
  <c r="BA93" i="24"/>
  <c r="BQ93" i="24"/>
  <c r="AL93" i="24"/>
  <c r="BB93" i="24"/>
  <c r="BR93" i="24"/>
  <c r="AM93" i="24"/>
  <c r="BC93" i="24"/>
  <c r="BS93" i="24"/>
  <c r="AN93" i="24"/>
  <c r="BD93" i="24"/>
  <c r="BT93" i="24"/>
  <c r="AO93" i="24"/>
  <c r="BE93" i="24"/>
  <c r="AP93" i="24"/>
  <c r="BF93" i="24"/>
  <c r="BG93" i="24"/>
  <c r="BH93" i="24"/>
  <c r="BW93" i="24"/>
  <c r="BX93" i="24"/>
  <c r="AR93" i="24"/>
  <c r="AQ93" i="24"/>
  <c r="AO97" i="24"/>
  <c r="BE97" i="24"/>
  <c r="AP97" i="24"/>
  <c r="BF97" i="24"/>
  <c r="AQ97" i="24"/>
  <c r="BG97" i="24"/>
  <c r="BW97" i="24"/>
  <c r="AR97" i="24"/>
  <c r="BH97" i="24"/>
  <c r="BX97" i="24"/>
  <c r="AS97" i="24"/>
  <c r="BI97" i="24"/>
  <c r="BY97" i="24"/>
  <c r="AT97" i="24"/>
  <c r="BJ97" i="24"/>
  <c r="BZ97" i="24"/>
  <c r="AU97" i="24"/>
  <c r="BK97" i="24"/>
  <c r="CA97" i="24"/>
  <c r="AF97" i="24"/>
  <c r="AV97" i="24"/>
  <c r="BL97" i="24"/>
  <c r="CB97" i="24"/>
  <c r="AG97" i="24"/>
  <c r="AW97" i="24"/>
  <c r="BM97" i="24"/>
  <c r="CC97" i="24"/>
  <c r="AH97" i="24"/>
  <c r="AX97" i="24"/>
  <c r="BN97" i="24"/>
  <c r="CD97" i="24"/>
  <c r="AI97" i="24"/>
  <c r="AY97" i="24"/>
  <c r="BO97" i="24"/>
  <c r="CE97" i="24"/>
  <c r="AJ97" i="24"/>
  <c r="AZ97" i="24"/>
  <c r="BP97" i="24"/>
  <c r="CF97" i="24"/>
  <c r="AK97" i="24"/>
  <c r="BA97" i="24"/>
  <c r="BQ97" i="24"/>
  <c r="AL97" i="24"/>
  <c r="BB97" i="24"/>
  <c r="BR97" i="24"/>
  <c r="AM97" i="24"/>
  <c r="AN97" i="24"/>
  <c r="BC97" i="24"/>
  <c r="BD97" i="24"/>
  <c r="BS97" i="24"/>
  <c r="BT97" i="24"/>
  <c r="AK101" i="24"/>
  <c r="BA101" i="24"/>
  <c r="BQ101" i="24"/>
  <c r="AL101" i="24"/>
  <c r="BB101" i="24"/>
  <c r="BR101" i="24"/>
  <c r="AM101" i="24"/>
  <c r="BC101" i="24"/>
  <c r="BS101" i="24"/>
  <c r="AN101" i="24"/>
  <c r="BD101" i="24"/>
  <c r="BT101" i="24"/>
  <c r="AO101" i="24"/>
  <c r="BE101" i="24"/>
  <c r="AP101" i="24"/>
  <c r="BF101" i="24"/>
  <c r="AQ101" i="24"/>
  <c r="BG101" i="24"/>
  <c r="BW101" i="24"/>
  <c r="AR101" i="24"/>
  <c r="BH101" i="24"/>
  <c r="BX101" i="24"/>
  <c r="AS101" i="24"/>
  <c r="BI101" i="24"/>
  <c r="BY101" i="24"/>
  <c r="AT101" i="24"/>
  <c r="BJ101" i="24"/>
  <c r="BZ101" i="24"/>
  <c r="AU101" i="24"/>
  <c r="BK101" i="24"/>
  <c r="CA101" i="24"/>
  <c r="AF101" i="24"/>
  <c r="AV101" i="24"/>
  <c r="BL101" i="24"/>
  <c r="CB101" i="24"/>
  <c r="AG101" i="24"/>
  <c r="AW101" i="24"/>
  <c r="BM101" i="24"/>
  <c r="CC101" i="24"/>
  <c r="AH101" i="24"/>
  <c r="AX101" i="24"/>
  <c r="BN101" i="24"/>
  <c r="CD101" i="24"/>
  <c r="AI101" i="24"/>
  <c r="AJ101" i="24"/>
  <c r="AY101" i="24"/>
  <c r="AZ101" i="24"/>
  <c r="BO101" i="24"/>
  <c r="BP101" i="24"/>
  <c r="CE101" i="24"/>
  <c r="CF101" i="24"/>
  <c r="AG107" i="24"/>
  <c r="AW107" i="24"/>
  <c r="BM107" i="24"/>
  <c r="CC107" i="24"/>
  <c r="AH107" i="24"/>
  <c r="AX107" i="24"/>
  <c r="BN107" i="24"/>
  <c r="CD107" i="24"/>
  <c r="AI107" i="24"/>
  <c r="AY107" i="24"/>
  <c r="BO107" i="24"/>
  <c r="CE107" i="24"/>
  <c r="AJ107" i="24"/>
  <c r="AZ107" i="24"/>
  <c r="BP107" i="24"/>
  <c r="CF107" i="24"/>
  <c r="AK107" i="24"/>
  <c r="BA107" i="24"/>
  <c r="BQ107" i="24"/>
  <c r="AL107" i="24"/>
  <c r="BB107" i="24"/>
  <c r="BR107" i="24"/>
  <c r="AM107" i="24"/>
  <c r="BC107" i="24"/>
  <c r="BS107" i="24"/>
  <c r="AN107" i="24"/>
  <c r="BD107" i="24"/>
  <c r="BT107" i="24"/>
  <c r="AO107" i="24"/>
  <c r="BE107" i="24"/>
  <c r="AP107" i="24"/>
  <c r="BF107" i="24"/>
  <c r="AQ107" i="24"/>
  <c r="BG107" i="24"/>
  <c r="BW107" i="24"/>
  <c r="AR107" i="24"/>
  <c r="BH107" i="24"/>
  <c r="BX107" i="24"/>
  <c r="AS107" i="24"/>
  <c r="BI107" i="24"/>
  <c r="BY107" i="24"/>
  <c r="AT107" i="24"/>
  <c r="BJ107" i="24"/>
  <c r="BZ107" i="24"/>
  <c r="BK107" i="24"/>
  <c r="BL107" i="24"/>
  <c r="CA107" i="24"/>
  <c r="CB107" i="24"/>
  <c r="AV107" i="24"/>
  <c r="AF107" i="24"/>
  <c r="AU107" i="24"/>
  <c r="AS111" i="24"/>
  <c r="BI111" i="24"/>
  <c r="AT111" i="24"/>
  <c r="BJ111" i="24"/>
  <c r="AU111" i="24"/>
  <c r="AF111" i="24"/>
  <c r="AV111" i="24"/>
  <c r="AG111" i="24"/>
  <c r="AW111" i="24"/>
  <c r="AH111" i="24"/>
  <c r="AX111" i="24"/>
  <c r="AI111" i="24"/>
  <c r="AY111" i="24"/>
  <c r="AJ111" i="24"/>
  <c r="AZ111" i="24"/>
  <c r="AK111" i="24"/>
  <c r="BA111" i="24"/>
  <c r="BQ111" i="24"/>
  <c r="AL111" i="24"/>
  <c r="BB111" i="24"/>
  <c r="AM111" i="24"/>
  <c r="BC111" i="24"/>
  <c r="AN111" i="24"/>
  <c r="BD111" i="24"/>
  <c r="AO111" i="24"/>
  <c r="BE111" i="24"/>
  <c r="AQ111" i="24"/>
  <c r="BW111" i="24"/>
  <c r="AR111" i="24"/>
  <c r="BX111" i="24"/>
  <c r="BF111" i="24"/>
  <c r="BY111" i="24"/>
  <c r="BT111" i="24"/>
  <c r="BG111" i="24"/>
  <c r="BZ111" i="24"/>
  <c r="BH111" i="24"/>
  <c r="CA111" i="24"/>
  <c r="BK111" i="24"/>
  <c r="CB111" i="24"/>
  <c r="CE111" i="24"/>
  <c r="BL111" i="24"/>
  <c r="CC111" i="24"/>
  <c r="BS111" i="24"/>
  <c r="AP111" i="24"/>
  <c r="BM111" i="24"/>
  <c r="CD111" i="24"/>
  <c r="BN111" i="24"/>
  <c r="BO111" i="24"/>
  <c r="CF111" i="24"/>
  <c r="BP111" i="24"/>
  <c r="BR111" i="24"/>
  <c r="AR48" i="24"/>
  <c r="BH48" i="24"/>
  <c r="BX48" i="24"/>
  <c r="AS48" i="24"/>
  <c r="BI48" i="24"/>
  <c r="BY48" i="24"/>
  <c r="AT48" i="24"/>
  <c r="BJ48" i="24"/>
  <c r="BZ48" i="24"/>
  <c r="AU48" i="24"/>
  <c r="BK48" i="24"/>
  <c r="CA48" i="24"/>
  <c r="AF48" i="24"/>
  <c r="AV48" i="24"/>
  <c r="BL48" i="24"/>
  <c r="CB48" i="24"/>
  <c r="AG48" i="24"/>
  <c r="AW48" i="24"/>
  <c r="BM48" i="24"/>
  <c r="CC48" i="24"/>
  <c r="AH48" i="24"/>
  <c r="AX48" i="24"/>
  <c r="BN48" i="24"/>
  <c r="CD48" i="24"/>
  <c r="AI48" i="24"/>
  <c r="AY48" i="24"/>
  <c r="BO48" i="24"/>
  <c r="CE48" i="24"/>
  <c r="AJ48" i="24"/>
  <c r="AZ48" i="24"/>
  <c r="BP48" i="24"/>
  <c r="CF48" i="24"/>
  <c r="AK48" i="24"/>
  <c r="BA48" i="24"/>
  <c r="BQ48" i="24"/>
  <c r="AL48" i="24"/>
  <c r="BB48" i="24"/>
  <c r="BR48" i="24"/>
  <c r="AM48" i="24"/>
  <c r="BC48" i="24"/>
  <c r="BS48" i="24"/>
  <c r="AN48" i="24"/>
  <c r="BD48" i="24"/>
  <c r="BT48" i="24"/>
  <c r="AO48" i="24"/>
  <c r="BE48" i="24"/>
  <c r="AP48" i="24"/>
  <c r="BF48" i="24"/>
  <c r="BW48" i="24"/>
  <c r="AQ48" i="24"/>
  <c r="BG48" i="24"/>
  <c r="AL74" i="24"/>
  <c r="BB74" i="24"/>
  <c r="BR74" i="24"/>
  <c r="AM74" i="24"/>
  <c r="BC74" i="24"/>
  <c r="BS74" i="24"/>
  <c r="AN74" i="24"/>
  <c r="BD74" i="24"/>
  <c r="BT74" i="24"/>
  <c r="AO74" i="24"/>
  <c r="BE74" i="24"/>
  <c r="AP74" i="24"/>
  <c r="BF74" i="24"/>
  <c r="AQ74" i="24"/>
  <c r="BG74" i="24"/>
  <c r="BW74" i="24"/>
  <c r="AR74" i="24"/>
  <c r="BH74" i="24"/>
  <c r="BX74" i="24"/>
  <c r="AS74" i="24"/>
  <c r="BI74" i="24"/>
  <c r="BY74" i="24"/>
  <c r="AT74" i="24"/>
  <c r="BJ74" i="24"/>
  <c r="BZ74" i="24"/>
  <c r="AU74" i="24"/>
  <c r="BK74" i="24"/>
  <c r="CA74" i="24"/>
  <c r="AF74" i="24"/>
  <c r="AV74" i="24"/>
  <c r="BL74" i="24"/>
  <c r="CB74" i="24"/>
  <c r="AG74" i="24"/>
  <c r="AW74" i="24"/>
  <c r="BM74" i="24"/>
  <c r="CC74" i="24"/>
  <c r="AH74" i="24"/>
  <c r="AX74" i="24"/>
  <c r="BN74" i="24"/>
  <c r="CD74" i="24"/>
  <c r="AI74" i="24"/>
  <c r="AY74" i="24"/>
  <c r="BO74" i="24"/>
  <c r="CE74" i="24"/>
  <c r="AJ74" i="24"/>
  <c r="AZ74" i="24"/>
  <c r="BP74" i="24"/>
  <c r="CF74" i="24"/>
  <c r="AK74" i="24"/>
  <c r="BA74" i="24"/>
  <c r="BQ74" i="24"/>
  <c r="AL5" i="24"/>
  <c r="BB5" i="24"/>
  <c r="BR5" i="24"/>
  <c r="AM5" i="24"/>
  <c r="BC5" i="24"/>
  <c r="BS5" i="24"/>
  <c r="AN5" i="24"/>
  <c r="BD5" i="24"/>
  <c r="BT5" i="24"/>
  <c r="AO5" i="24"/>
  <c r="BE5" i="24"/>
  <c r="AP5" i="24"/>
  <c r="BF5" i="24"/>
  <c r="AQ5" i="24"/>
  <c r="BG5" i="24"/>
  <c r="BW5" i="24"/>
  <c r="AR5" i="24"/>
  <c r="BH5" i="24"/>
  <c r="BX5" i="24"/>
  <c r="AS5" i="24"/>
  <c r="BI5" i="24"/>
  <c r="BY5" i="24"/>
  <c r="AT5" i="24"/>
  <c r="BJ5" i="24"/>
  <c r="BZ5" i="24"/>
  <c r="AG5" i="24"/>
  <c r="AW5" i="24"/>
  <c r="BM5" i="24"/>
  <c r="CC5" i="24"/>
  <c r="AH5" i="24"/>
  <c r="AX5" i="24"/>
  <c r="BN5" i="24"/>
  <c r="CD5" i="24"/>
  <c r="AI5" i="24"/>
  <c r="AY5" i="24"/>
  <c r="BO5" i="24"/>
  <c r="CE5" i="24"/>
  <c r="AJ5" i="24"/>
  <c r="AZ5" i="24"/>
  <c r="BP5" i="24"/>
  <c r="CF5" i="24"/>
  <c r="BL5" i="24"/>
  <c r="BQ5" i="24"/>
  <c r="CA5" i="24"/>
  <c r="CB5" i="24"/>
  <c r="AF5" i="24"/>
  <c r="AK5" i="24"/>
  <c r="AU5" i="24"/>
  <c r="AV5" i="24"/>
  <c r="BA5" i="24"/>
  <c r="BK5" i="24"/>
  <c r="AH11" i="24"/>
  <c r="AX11" i="24"/>
  <c r="BN11" i="24"/>
  <c r="CD11" i="24"/>
  <c r="AI11" i="24"/>
  <c r="AY11" i="24"/>
  <c r="BO11" i="24"/>
  <c r="CE11" i="24"/>
  <c r="AJ11" i="24"/>
  <c r="AZ11" i="24"/>
  <c r="BP11" i="24"/>
  <c r="CF11" i="24"/>
  <c r="AK11" i="24"/>
  <c r="BA11" i="24"/>
  <c r="BQ11" i="24"/>
  <c r="AL11" i="24"/>
  <c r="BB11" i="24"/>
  <c r="BR11" i="24"/>
  <c r="AM11" i="24"/>
  <c r="BC11" i="24"/>
  <c r="BS11" i="24"/>
  <c r="AN11" i="24"/>
  <c r="BD11" i="24"/>
  <c r="BT11" i="24"/>
  <c r="AO11" i="24"/>
  <c r="BE11" i="24"/>
  <c r="AP11" i="24"/>
  <c r="BF11" i="24"/>
  <c r="AS11" i="24"/>
  <c r="BI11" i="24"/>
  <c r="BY11" i="24"/>
  <c r="AT11" i="24"/>
  <c r="BJ11" i="24"/>
  <c r="BZ11" i="24"/>
  <c r="AU11" i="24"/>
  <c r="BK11" i="24"/>
  <c r="CA11" i="24"/>
  <c r="AF11" i="24"/>
  <c r="AV11" i="24"/>
  <c r="BL11" i="24"/>
  <c r="CB11" i="24"/>
  <c r="AG11" i="24"/>
  <c r="AQ11" i="24"/>
  <c r="AR11" i="24"/>
  <c r="AW11" i="24"/>
  <c r="BG11" i="24"/>
  <c r="BH11" i="24"/>
  <c r="BM11" i="24"/>
  <c r="BW11" i="24"/>
  <c r="BX11" i="24"/>
  <c r="CC11" i="24"/>
  <c r="AT16" i="24"/>
  <c r="BJ16" i="24"/>
  <c r="BZ16" i="24"/>
  <c r="AU16" i="24"/>
  <c r="BK16" i="24"/>
  <c r="CA16" i="24"/>
  <c r="AF16" i="24"/>
  <c r="AV16" i="24"/>
  <c r="BL16" i="24"/>
  <c r="CB16" i="24"/>
  <c r="AG16" i="24"/>
  <c r="AW16" i="24"/>
  <c r="BM16" i="24"/>
  <c r="CC16" i="24"/>
  <c r="AH16" i="24"/>
  <c r="AX16" i="24"/>
  <c r="BN16" i="24"/>
  <c r="CD16" i="24"/>
  <c r="AI16" i="24"/>
  <c r="AY16" i="24"/>
  <c r="BO16" i="24"/>
  <c r="CE16" i="24"/>
  <c r="AJ16" i="24"/>
  <c r="AZ16" i="24"/>
  <c r="BP16" i="24"/>
  <c r="CF16" i="24"/>
  <c r="AK16" i="24"/>
  <c r="BA16" i="24"/>
  <c r="BQ16" i="24"/>
  <c r="AL16" i="24"/>
  <c r="BB16" i="24"/>
  <c r="BR16" i="24"/>
  <c r="AO16" i="24"/>
  <c r="BE16" i="24"/>
  <c r="AP16" i="24"/>
  <c r="BF16" i="24"/>
  <c r="AQ16" i="24"/>
  <c r="BG16" i="24"/>
  <c r="BW16" i="24"/>
  <c r="AR16" i="24"/>
  <c r="BH16" i="24"/>
  <c r="BX16" i="24"/>
  <c r="BS16" i="24"/>
  <c r="BT16" i="24"/>
  <c r="BY16" i="24"/>
  <c r="AM16" i="24"/>
  <c r="AN16" i="24"/>
  <c r="AS16" i="24"/>
  <c r="BC16" i="24"/>
  <c r="BD16" i="24"/>
  <c r="BI16" i="24"/>
  <c r="AP21" i="24"/>
  <c r="BF21" i="24"/>
  <c r="AQ21" i="24"/>
  <c r="BG21" i="24"/>
  <c r="BW21" i="24"/>
  <c r="AR21" i="24"/>
  <c r="BH21" i="24"/>
  <c r="BX21" i="24"/>
  <c r="AS21" i="24"/>
  <c r="BI21" i="24"/>
  <c r="BY21" i="24"/>
  <c r="AT21" i="24"/>
  <c r="BJ21" i="24"/>
  <c r="BZ21" i="24"/>
  <c r="AU21" i="24"/>
  <c r="BK21" i="24"/>
  <c r="CA21" i="24"/>
  <c r="AF21" i="24"/>
  <c r="AV21" i="24"/>
  <c r="BL21" i="24"/>
  <c r="CB21" i="24"/>
  <c r="AG21" i="24"/>
  <c r="AW21" i="24"/>
  <c r="BM21" i="24"/>
  <c r="CC21" i="24"/>
  <c r="AH21" i="24"/>
  <c r="AX21" i="24"/>
  <c r="BN21" i="24"/>
  <c r="CD21" i="24"/>
  <c r="AK21" i="24"/>
  <c r="BA21" i="24"/>
  <c r="BQ21" i="24"/>
  <c r="AL21" i="24"/>
  <c r="BB21" i="24"/>
  <c r="BR21" i="24"/>
  <c r="AM21" i="24"/>
  <c r="BC21" i="24"/>
  <c r="BS21" i="24"/>
  <c r="AN21" i="24"/>
  <c r="BD21" i="24"/>
  <c r="BT21" i="24"/>
  <c r="AI21" i="24"/>
  <c r="AJ21" i="24"/>
  <c r="AO21" i="24"/>
  <c r="AY21" i="24"/>
  <c r="AZ21" i="24"/>
  <c r="BE21" i="24"/>
  <c r="BO21" i="24"/>
  <c r="BP21" i="24"/>
  <c r="CE21" i="24"/>
  <c r="CF21" i="24"/>
  <c r="AL26" i="24"/>
  <c r="BB26" i="24"/>
  <c r="BR26" i="24"/>
  <c r="AM26" i="24"/>
  <c r="BC26" i="24"/>
  <c r="BS26" i="24"/>
  <c r="AN26" i="24"/>
  <c r="BD26" i="24"/>
  <c r="BT26" i="24"/>
  <c r="AO26" i="24"/>
  <c r="BE26" i="24"/>
  <c r="AP26" i="24"/>
  <c r="BF26" i="24"/>
  <c r="AR26" i="24"/>
  <c r="BH26" i="24"/>
  <c r="BX26" i="24"/>
  <c r="AS26" i="24"/>
  <c r="BI26" i="24"/>
  <c r="BY26" i="24"/>
  <c r="AT26" i="24"/>
  <c r="BJ26" i="24"/>
  <c r="BZ26" i="24"/>
  <c r="AI26" i="24"/>
  <c r="AY26" i="24"/>
  <c r="BO26" i="24"/>
  <c r="CE26" i="24"/>
  <c r="AJ26" i="24"/>
  <c r="AZ26" i="24"/>
  <c r="BP26" i="24"/>
  <c r="CF26" i="24"/>
  <c r="AQ26" i="24"/>
  <c r="CD26" i="24"/>
  <c r="AU26" i="24"/>
  <c r="AV26" i="24"/>
  <c r="AW26" i="24"/>
  <c r="AX26" i="24"/>
  <c r="BA26" i="24"/>
  <c r="BG26" i="24"/>
  <c r="BK26" i="24"/>
  <c r="BL26" i="24"/>
  <c r="BM26" i="24"/>
  <c r="BN26" i="24"/>
  <c r="BQ26" i="24"/>
  <c r="AF26" i="24"/>
  <c r="BW26" i="24"/>
  <c r="AG26" i="24"/>
  <c r="CA26" i="24"/>
  <c r="AH26" i="24"/>
  <c r="CB26" i="24"/>
  <c r="AK26" i="24"/>
  <c r="CC26" i="24"/>
  <c r="AH32" i="24"/>
  <c r="AX32" i="24"/>
  <c r="BN32" i="24"/>
  <c r="CD32" i="24"/>
  <c r="AI32" i="24"/>
  <c r="AY32" i="24"/>
  <c r="BO32" i="24"/>
  <c r="CE32" i="24"/>
  <c r="AJ32" i="24"/>
  <c r="AZ32" i="24"/>
  <c r="BP32" i="24"/>
  <c r="CF32" i="24"/>
  <c r="AK32" i="24"/>
  <c r="BA32" i="24"/>
  <c r="BQ32" i="24"/>
  <c r="AL32" i="24"/>
  <c r="BB32" i="24"/>
  <c r="BR32" i="24"/>
  <c r="AN32" i="24"/>
  <c r="BD32" i="24"/>
  <c r="BT32" i="24"/>
  <c r="AP32" i="24"/>
  <c r="BF32" i="24"/>
  <c r="AG32" i="24"/>
  <c r="BK32" i="24"/>
  <c r="AM32" i="24"/>
  <c r="BL32" i="24"/>
  <c r="AO32" i="24"/>
  <c r="BM32" i="24"/>
  <c r="AQ32" i="24"/>
  <c r="BS32" i="24"/>
  <c r="AR32" i="24"/>
  <c r="AS32" i="24"/>
  <c r="BW32" i="24"/>
  <c r="AT32" i="24"/>
  <c r="BX32" i="24"/>
  <c r="AU32" i="24"/>
  <c r="BY32" i="24"/>
  <c r="AV32" i="24"/>
  <c r="BZ32" i="24"/>
  <c r="AW32" i="24"/>
  <c r="CA32" i="24"/>
  <c r="BC32" i="24"/>
  <c r="CB32" i="24"/>
  <c r="BE32" i="24"/>
  <c r="CC32" i="24"/>
  <c r="BG32" i="24"/>
  <c r="BH32" i="24"/>
  <c r="BI32" i="24"/>
  <c r="AF32" i="24"/>
  <c r="BJ32" i="24"/>
  <c r="AO36" i="24"/>
  <c r="BE36" i="24"/>
  <c r="AP36" i="24"/>
  <c r="BF36" i="24"/>
  <c r="AQ36" i="24"/>
  <c r="BG36" i="24"/>
  <c r="BW36" i="24"/>
  <c r="AR36" i="24"/>
  <c r="BH36" i="24"/>
  <c r="BX36" i="24"/>
  <c r="AS36" i="24"/>
  <c r="BI36" i="24"/>
  <c r="BY36" i="24"/>
  <c r="AT36" i="24"/>
  <c r="BJ36" i="24"/>
  <c r="BZ36" i="24"/>
  <c r="AU36" i="24"/>
  <c r="BK36" i="24"/>
  <c r="CA36" i="24"/>
  <c r="AF36" i="24"/>
  <c r="AV36" i="24"/>
  <c r="BL36" i="24"/>
  <c r="CB36" i="24"/>
  <c r="AG36" i="24"/>
  <c r="AW36" i="24"/>
  <c r="BM36" i="24"/>
  <c r="CC36" i="24"/>
  <c r="AH36" i="24"/>
  <c r="AX36" i="24"/>
  <c r="BN36" i="24"/>
  <c r="CD36" i="24"/>
  <c r="AI36" i="24"/>
  <c r="AY36" i="24"/>
  <c r="BO36" i="24"/>
  <c r="CE36" i="24"/>
  <c r="AJ36" i="24"/>
  <c r="AZ36" i="24"/>
  <c r="BP36" i="24"/>
  <c r="CF36" i="24"/>
  <c r="AK36" i="24"/>
  <c r="BA36" i="24"/>
  <c r="BQ36" i="24"/>
  <c r="AL36" i="24"/>
  <c r="BB36" i="24"/>
  <c r="BR36" i="24"/>
  <c r="AM36" i="24"/>
  <c r="BC36" i="24"/>
  <c r="BS36" i="24"/>
  <c r="AN36" i="24"/>
  <c r="BD36" i="24"/>
  <c r="BT36" i="24"/>
  <c r="AK43" i="24"/>
  <c r="BA43" i="24"/>
  <c r="BQ43" i="24"/>
  <c r="AL43" i="24"/>
  <c r="BB43" i="24"/>
  <c r="BR43" i="24"/>
  <c r="AM43" i="24"/>
  <c r="BC43" i="24"/>
  <c r="BS43" i="24"/>
  <c r="AN43" i="24"/>
  <c r="BD43" i="24"/>
  <c r="BT43" i="24"/>
  <c r="AO43" i="24"/>
  <c r="BE43" i="24"/>
  <c r="AP43" i="24"/>
  <c r="BF43" i="24"/>
  <c r="AQ43" i="24"/>
  <c r="BG43" i="24"/>
  <c r="BW43" i="24"/>
  <c r="AR43" i="24"/>
  <c r="BH43" i="24"/>
  <c r="BX43" i="24"/>
  <c r="AS43" i="24"/>
  <c r="BI43" i="24"/>
  <c r="BY43" i="24"/>
  <c r="AT43" i="24"/>
  <c r="BJ43" i="24"/>
  <c r="BZ43" i="24"/>
  <c r="AU43" i="24"/>
  <c r="BK43" i="24"/>
  <c r="CA43" i="24"/>
  <c r="AF43" i="24"/>
  <c r="AV43" i="24"/>
  <c r="BL43" i="24"/>
  <c r="CB43" i="24"/>
  <c r="AG43" i="24"/>
  <c r="AW43" i="24"/>
  <c r="BM43" i="24"/>
  <c r="CC43" i="24"/>
  <c r="AH43" i="24"/>
  <c r="AX43" i="24"/>
  <c r="BN43" i="24"/>
  <c r="CD43" i="24"/>
  <c r="AI43" i="24"/>
  <c r="AY43" i="24"/>
  <c r="BO43" i="24"/>
  <c r="CE43" i="24"/>
  <c r="CF43" i="24"/>
  <c r="AJ43" i="24"/>
  <c r="AZ43" i="24"/>
  <c r="BP43" i="24"/>
  <c r="AG47" i="24"/>
  <c r="AW47" i="24"/>
  <c r="BM47" i="24"/>
  <c r="CC47" i="24"/>
  <c r="AH47" i="24"/>
  <c r="AX47" i="24"/>
  <c r="BN47" i="24"/>
  <c r="CD47" i="24"/>
  <c r="AI47" i="24"/>
  <c r="AY47" i="24"/>
  <c r="BO47" i="24"/>
  <c r="CE47" i="24"/>
  <c r="AJ47" i="24"/>
  <c r="AZ47" i="24"/>
  <c r="BP47" i="24"/>
  <c r="CF47" i="24"/>
  <c r="AK47" i="24"/>
  <c r="BA47" i="24"/>
  <c r="BQ47" i="24"/>
  <c r="AL47" i="24"/>
  <c r="BB47" i="24"/>
  <c r="BR47" i="24"/>
  <c r="AM47" i="24"/>
  <c r="BC47" i="24"/>
  <c r="BS47" i="24"/>
  <c r="AN47" i="24"/>
  <c r="BD47" i="24"/>
  <c r="BT47" i="24"/>
  <c r="AO47" i="24"/>
  <c r="BE47" i="24"/>
  <c r="AP47" i="24"/>
  <c r="BF47" i="24"/>
  <c r="AQ47" i="24"/>
  <c r="BG47" i="24"/>
  <c r="BW47" i="24"/>
  <c r="AR47" i="24"/>
  <c r="BH47" i="24"/>
  <c r="BX47" i="24"/>
  <c r="AS47" i="24"/>
  <c r="BI47" i="24"/>
  <c r="BY47" i="24"/>
  <c r="AT47" i="24"/>
  <c r="BJ47" i="24"/>
  <c r="BZ47" i="24"/>
  <c r="AU47" i="24"/>
  <c r="BK47" i="24"/>
  <c r="CA47" i="24"/>
  <c r="AF47" i="24"/>
  <c r="AV47" i="24"/>
  <c r="BL47" i="24"/>
  <c r="CB47" i="24"/>
  <c r="AS52" i="24"/>
  <c r="BI52" i="24"/>
  <c r="BY52" i="24"/>
  <c r="AT52" i="24"/>
  <c r="BJ52" i="24"/>
  <c r="BZ52" i="24"/>
  <c r="AU52" i="24"/>
  <c r="BK52" i="24"/>
  <c r="CA52" i="24"/>
  <c r="AF52" i="24"/>
  <c r="AV52" i="24"/>
  <c r="BL52" i="24"/>
  <c r="CB52" i="24"/>
  <c r="AG52" i="24"/>
  <c r="AW52" i="24"/>
  <c r="BM52" i="24"/>
  <c r="CC52" i="24"/>
  <c r="AH52" i="24"/>
  <c r="AX52" i="24"/>
  <c r="BN52" i="24"/>
  <c r="CD52" i="24"/>
  <c r="AI52" i="24"/>
  <c r="AY52" i="24"/>
  <c r="BO52" i="24"/>
  <c r="CE52" i="24"/>
  <c r="AJ52" i="24"/>
  <c r="AZ52" i="24"/>
  <c r="BP52" i="24"/>
  <c r="CF52" i="24"/>
  <c r="AK52" i="24"/>
  <c r="BA52" i="24"/>
  <c r="BQ52" i="24"/>
  <c r="AL52" i="24"/>
  <c r="BB52" i="24"/>
  <c r="BR52" i="24"/>
  <c r="AM52" i="24"/>
  <c r="BC52" i="24"/>
  <c r="BS52" i="24"/>
  <c r="AN52" i="24"/>
  <c r="BD52" i="24"/>
  <c r="BT52" i="24"/>
  <c r="AO52" i="24"/>
  <c r="BE52" i="24"/>
  <c r="AQ52" i="24"/>
  <c r="BG52" i="24"/>
  <c r="BW52" i="24"/>
  <c r="AR52" i="24"/>
  <c r="BF52" i="24"/>
  <c r="BH52" i="24"/>
  <c r="BX52" i="24"/>
  <c r="AP52" i="24"/>
  <c r="AO56" i="24"/>
  <c r="BE56" i="24"/>
  <c r="AP56" i="24"/>
  <c r="AQ56" i="24"/>
  <c r="AS56" i="24"/>
  <c r="AT56" i="24"/>
  <c r="AF56" i="24"/>
  <c r="AV56" i="24"/>
  <c r="AG56" i="24"/>
  <c r="AH56" i="24"/>
  <c r="AK56" i="24"/>
  <c r="AM56" i="24"/>
  <c r="BC56" i="24"/>
  <c r="BG56" i="24"/>
  <c r="BW56" i="24"/>
  <c r="BH56" i="24"/>
  <c r="BX56" i="24"/>
  <c r="AI56" i="24"/>
  <c r="BI56" i="24"/>
  <c r="BY56" i="24"/>
  <c r="AJ56" i="24"/>
  <c r="BJ56" i="24"/>
  <c r="BZ56" i="24"/>
  <c r="AL56" i="24"/>
  <c r="BK56" i="24"/>
  <c r="CA56" i="24"/>
  <c r="AN56" i="24"/>
  <c r="BL56" i="24"/>
  <c r="CB56" i="24"/>
  <c r="AR56" i="24"/>
  <c r="BM56" i="24"/>
  <c r="CC56" i="24"/>
  <c r="AU56" i="24"/>
  <c r="BN56" i="24"/>
  <c r="CD56" i="24"/>
  <c r="AW56" i="24"/>
  <c r="BO56" i="24"/>
  <c r="CE56" i="24"/>
  <c r="AX56" i="24"/>
  <c r="BP56" i="24"/>
  <c r="CF56" i="24"/>
  <c r="AY56" i="24"/>
  <c r="BQ56" i="24"/>
  <c r="AZ56" i="24"/>
  <c r="BR56" i="24"/>
  <c r="BA56" i="24"/>
  <c r="BS56" i="24"/>
  <c r="BB56" i="24"/>
  <c r="BT56" i="24"/>
  <c r="BD56" i="24"/>
  <c r="BF56" i="24"/>
  <c r="AM60" i="24"/>
  <c r="BC60" i="24"/>
  <c r="BS60" i="24"/>
  <c r="AN60" i="24"/>
  <c r="BD60" i="24"/>
  <c r="BT60" i="24"/>
  <c r="AO60" i="24"/>
  <c r="BE60" i="24"/>
  <c r="AP60" i="24"/>
  <c r="BF60" i="24"/>
  <c r="AQ60" i="24"/>
  <c r="BG60" i="24"/>
  <c r="BW60" i="24"/>
  <c r="AR60" i="24"/>
  <c r="BH60" i="24"/>
  <c r="BX60" i="24"/>
  <c r="AS60" i="24"/>
  <c r="BI60" i="24"/>
  <c r="BY60" i="24"/>
  <c r="AT60" i="24"/>
  <c r="BJ60" i="24"/>
  <c r="BZ60" i="24"/>
  <c r="AU60" i="24"/>
  <c r="BK60" i="24"/>
  <c r="CA60" i="24"/>
  <c r="AF60" i="24"/>
  <c r="AV60" i="24"/>
  <c r="BL60" i="24"/>
  <c r="CB60" i="24"/>
  <c r="AG60" i="24"/>
  <c r="AW60" i="24"/>
  <c r="BM60" i="24"/>
  <c r="CC60" i="24"/>
  <c r="AH60" i="24"/>
  <c r="AX60" i="24"/>
  <c r="BN60" i="24"/>
  <c r="CD60" i="24"/>
  <c r="AI60" i="24"/>
  <c r="AY60" i="24"/>
  <c r="BO60" i="24"/>
  <c r="CE60" i="24"/>
  <c r="AJ60" i="24"/>
  <c r="AZ60" i="24"/>
  <c r="BP60" i="24"/>
  <c r="CF60" i="24"/>
  <c r="AK60" i="24"/>
  <c r="BA60" i="24"/>
  <c r="BQ60" i="24"/>
  <c r="AL60" i="24"/>
  <c r="BB60" i="24"/>
  <c r="BR60" i="24"/>
  <c r="AI64" i="24"/>
  <c r="AY64" i="24"/>
  <c r="BO64" i="24"/>
  <c r="CE64" i="24"/>
  <c r="AJ64" i="24"/>
  <c r="AZ64" i="24"/>
  <c r="BP64" i="24"/>
  <c r="CF64" i="24"/>
  <c r="AK64" i="24"/>
  <c r="BA64" i="24"/>
  <c r="BQ64" i="24"/>
  <c r="AL64" i="24"/>
  <c r="BB64" i="24"/>
  <c r="BR64" i="24"/>
  <c r="AM64" i="24"/>
  <c r="BC64" i="24"/>
  <c r="BS64" i="24"/>
  <c r="AN64" i="24"/>
  <c r="BD64" i="24"/>
  <c r="BT64" i="24"/>
  <c r="AO64" i="24"/>
  <c r="BE64" i="24"/>
  <c r="AP64" i="24"/>
  <c r="BF64" i="24"/>
  <c r="AQ64" i="24"/>
  <c r="BG64" i="24"/>
  <c r="BW64" i="24"/>
  <c r="AR64" i="24"/>
  <c r="BH64" i="24"/>
  <c r="BX64" i="24"/>
  <c r="AS64" i="24"/>
  <c r="BI64" i="24"/>
  <c r="BY64" i="24"/>
  <c r="AT64" i="24"/>
  <c r="BJ64" i="24"/>
  <c r="BZ64" i="24"/>
  <c r="AU64" i="24"/>
  <c r="BK64" i="24"/>
  <c r="CA64" i="24"/>
  <c r="AF64" i="24"/>
  <c r="AV64" i="24"/>
  <c r="BL64" i="24"/>
  <c r="CB64" i="24"/>
  <c r="AG64" i="24"/>
  <c r="AW64" i="24"/>
  <c r="BM64" i="24"/>
  <c r="CC64" i="24"/>
  <c r="AH64" i="24"/>
  <c r="AX64" i="24"/>
  <c r="BN64" i="24"/>
  <c r="CD64" i="24"/>
  <c r="AU68" i="24"/>
  <c r="BK68" i="24"/>
  <c r="CA68" i="24"/>
  <c r="AF68" i="24"/>
  <c r="AV68" i="24"/>
  <c r="BL68" i="24"/>
  <c r="CB68" i="24"/>
  <c r="AG68" i="24"/>
  <c r="AW68" i="24"/>
  <c r="BM68" i="24"/>
  <c r="CC68" i="24"/>
  <c r="AH68" i="24"/>
  <c r="AX68" i="24"/>
  <c r="BN68" i="24"/>
  <c r="CD68" i="24"/>
  <c r="AI68" i="24"/>
  <c r="AY68" i="24"/>
  <c r="BO68" i="24"/>
  <c r="CE68" i="24"/>
  <c r="AJ68" i="24"/>
  <c r="AZ68" i="24"/>
  <c r="BP68" i="24"/>
  <c r="CF68" i="24"/>
  <c r="AK68" i="24"/>
  <c r="BA68" i="24"/>
  <c r="BQ68" i="24"/>
  <c r="AL68" i="24"/>
  <c r="BB68" i="24"/>
  <c r="BR68" i="24"/>
  <c r="AM68" i="24"/>
  <c r="BC68" i="24"/>
  <c r="BS68" i="24"/>
  <c r="AN68" i="24"/>
  <c r="BD68" i="24"/>
  <c r="BT68" i="24"/>
  <c r="AO68" i="24"/>
  <c r="BE68" i="24"/>
  <c r="AP68" i="24"/>
  <c r="BF68" i="24"/>
  <c r="AQ68" i="24"/>
  <c r="BG68" i="24"/>
  <c r="BW68" i="24"/>
  <c r="AR68" i="24"/>
  <c r="BH68" i="24"/>
  <c r="BX68" i="24"/>
  <c r="AS68" i="24"/>
  <c r="BI68" i="24"/>
  <c r="BY68" i="24"/>
  <c r="AT68" i="24"/>
  <c r="BJ68" i="24"/>
  <c r="BZ68" i="24"/>
  <c r="AQ73" i="24"/>
  <c r="BG73" i="24"/>
  <c r="BW73" i="24"/>
  <c r="AR73" i="24"/>
  <c r="BH73" i="24"/>
  <c r="BX73" i="24"/>
  <c r="AS73" i="24"/>
  <c r="BI73" i="24"/>
  <c r="BY73" i="24"/>
  <c r="AT73" i="24"/>
  <c r="BJ73" i="24"/>
  <c r="BZ73" i="24"/>
  <c r="AU73" i="24"/>
  <c r="BK73" i="24"/>
  <c r="CA73" i="24"/>
  <c r="AF73" i="24"/>
  <c r="AV73" i="24"/>
  <c r="BL73" i="24"/>
  <c r="CB73" i="24"/>
  <c r="AG73" i="24"/>
  <c r="AW73" i="24"/>
  <c r="BM73" i="24"/>
  <c r="CC73" i="24"/>
  <c r="AH73" i="24"/>
  <c r="AX73" i="24"/>
  <c r="BN73" i="24"/>
  <c r="CD73" i="24"/>
  <c r="AI73" i="24"/>
  <c r="AY73" i="24"/>
  <c r="BO73" i="24"/>
  <c r="CE73" i="24"/>
  <c r="AJ73" i="24"/>
  <c r="AZ73" i="24"/>
  <c r="BP73" i="24"/>
  <c r="CF73" i="24"/>
  <c r="AK73" i="24"/>
  <c r="BA73" i="24"/>
  <c r="BQ73" i="24"/>
  <c r="AL73" i="24"/>
  <c r="BB73" i="24"/>
  <c r="BR73" i="24"/>
  <c r="AM73" i="24"/>
  <c r="BC73" i="24"/>
  <c r="BS73" i="24"/>
  <c r="AN73" i="24"/>
  <c r="BD73" i="24"/>
  <c r="BT73" i="24"/>
  <c r="AO73" i="24"/>
  <c r="BE73" i="24"/>
  <c r="AP73" i="24"/>
  <c r="BF73" i="24"/>
  <c r="AM77" i="24"/>
  <c r="BC77" i="24"/>
  <c r="BS77" i="24"/>
  <c r="AN77" i="24"/>
  <c r="BD77" i="24"/>
  <c r="BT77" i="24"/>
  <c r="AO77" i="24"/>
  <c r="BE77" i="24"/>
  <c r="AP77" i="24"/>
  <c r="BF77" i="24"/>
  <c r="AQ77" i="24"/>
  <c r="BG77" i="24"/>
  <c r="BW77" i="24"/>
  <c r="AR77" i="24"/>
  <c r="BH77" i="24"/>
  <c r="BX77" i="24"/>
  <c r="AS77" i="24"/>
  <c r="BI77" i="24"/>
  <c r="BY77" i="24"/>
  <c r="AT77" i="24"/>
  <c r="BJ77" i="24"/>
  <c r="BZ77" i="24"/>
  <c r="AU77" i="24"/>
  <c r="BK77" i="24"/>
  <c r="CA77" i="24"/>
  <c r="AF77" i="24"/>
  <c r="AV77" i="24"/>
  <c r="BL77" i="24"/>
  <c r="CB77" i="24"/>
  <c r="AG77" i="24"/>
  <c r="AW77" i="24"/>
  <c r="BM77" i="24"/>
  <c r="CC77" i="24"/>
  <c r="AH77" i="24"/>
  <c r="AX77" i="24"/>
  <c r="BN77" i="24"/>
  <c r="CD77" i="24"/>
  <c r="AI77" i="24"/>
  <c r="AY77" i="24"/>
  <c r="BO77" i="24"/>
  <c r="CE77" i="24"/>
  <c r="AJ77" i="24"/>
  <c r="AZ77" i="24"/>
  <c r="BP77" i="24"/>
  <c r="CF77" i="24"/>
  <c r="AK77" i="24"/>
  <c r="BA77" i="24"/>
  <c r="BQ77" i="24"/>
  <c r="AL77" i="24"/>
  <c r="BB77" i="24"/>
  <c r="BR77" i="24"/>
  <c r="AF84" i="24"/>
  <c r="AV84" i="24"/>
  <c r="BL84" i="24"/>
  <c r="CB84" i="24"/>
  <c r="AG84" i="24"/>
  <c r="AW84" i="24"/>
  <c r="BM84" i="24"/>
  <c r="CC84" i="24"/>
  <c r="AH84" i="24"/>
  <c r="AX84" i="24"/>
  <c r="BN84" i="24"/>
  <c r="CD84" i="24"/>
  <c r="AI84" i="24"/>
  <c r="AY84" i="24"/>
  <c r="BO84" i="24"/>
  <c r="CE84" i="24"/>
  <c r="AJ84" i="24"/>
  <c r="AZ84" i="24"/>
  <c r="BP84" i="24"/>
  <c r="CF84" i="24"/>
  <c r="AK84" i="24"/>
  <c r="BA84" i="24"/>
  <c r="BQ84" i="24"/>
  <c r="AL84" i="24"/>
  <c r="BB84" i="24"/>
  <c r="BR84" i="24"/>
  <c r="AM84" i="24"/>
  <c r="BC84" i="24"/>
  <c r="BS84" i="24"/>
  <c r="AN84" i="24"/>
  <c r="BD84" i="24"/>
  <c r="BT84" i="24"/>
  <c r="AO84" i="24"/>
  <c r="BE84" i="24"/>
  <c r="AP84" i="24"/>
  <c r="BF84" i="24"/>
  <c r="AQ84" i="24"/>
  <c r="BG84" i="24"/>
  <c r="BW84" i="24"/>
  <c r="AR84" i="24"/>
  <c r="BH84" i="24"/>
  <c r="BX84" i="24"/>
  <c r="AS84" i="24"/>
  <c r="BI84" i="24"/>
  <c r="BY84" i="24"/>
  <c r="AT84" i="24"/>
  <c r="AU84" i="24"/>
  <c r="BJ84" i="24"/>
  <c r="BK84" i="24"/>
  <c r="BZ84" i="24"/>
  <c r="CA84" i="24"/>
  <c r="AR88" i="24"/>
  <c r="BH88" i="24"/>
  <c r="BX88" i="24"/>
  <c r="AS88" i="24"/>
  <c r="BI88" i="24"/>
  <c r="BY88" i="24"/>
  <c r="AT88" i="24"/>
  <c r="BJ88" i="24"/>
  <c r="BZ88" i="24"/>
  <c r="AU88" i="24"/>
  <c r="BK88" i="24"/>
  <c r="CA88" i="24"/>
  <c r="AF88" i="24"/>
  <c r="AV88" i="24"/>
  <c r="BL88" i="24"/>
  <c r="CB88" i="24"/>
  <c r="AG88" i="24"/>
  <c r="AW88" i="24"/>
  <c r="BM88" i="24"/>
  <c r="CC88" i="24"/>
  <c r="AH88" i="24"/>
  <c r="AX88" i="24"/>
  <c r="BN88" i="24"/>
  <c r="CD88" i="24"/>
  <c r="AI88" i="24"/>
  <c r="AY88" i="24"/>
  <c r="BO88" i="24"/>
  <c r="CE88" i="24"/>
  <c r="AJ88" i="24"/>
  <c r="AZ88" i="24"/>
  <c r="BP88" i="24"/>
  <c r="CF88" i="24"/>
  <c r="AK88" i="24"/>
  <c r="BA88" i="24"/>
  <c r="BQ88" i="24"/>
  <c r="AL88" i="24"/>
  <c r="BB88" i="24"/>
  <c r="BR88" i="24"/>
  <c r="AM88" i="24"/>
  <c r="BC88" i="24"/>
  <c r="BS88" i="24"/>
  <c r="AN88" i="24"/>
  <c r="BD88" i="24"/>
  <c r="BT88" i="24"/>
  <c r="AO88" i="24"/>
  <c r="BE88" i="24"/>
  <c r="BW88" i="24"/>
  <c r="AP88" i="24"/>
  <c r="AQ88" i="24"/>
  <c r="BF88" i="24"/>
  <c r="BG88" i="24"/>
  <c r="AN94" i="24"/>
  <c r="BD94" i="24"/>
  <c r="BT94" i="24"/>
  <c r="AO94" i="24"/>
  <c r="BE94" i="24"/>
  <c r="AP94" i="24"/>
  <c r="BF94" i="24"/>
  <c r="AQ94" i="24"/>
  <c r="BG94" i="24"/>
  <c r="BW94" i="24"/>
  <c r="AR94" i="24"/>
  <c r="BH94" i="24"/>
  <c r="BX94" i="24"/>
  <c r="AS94" i="24"/>
  <c r="BI94" i="24"/>
  <c r="BY94" i="24"/>
  <c r="AT94" i="24"/>
  <c r="BJ94" i="24"/>
  <c r="BZ94" i="24"/>
  <c r="AU94" i="24"/>
  <c r="BK94" i="24"/>
  <c r="CA94" i="24"/>
  <c r="AF94" i="24"/>
  <c r="AV94" i="24"/>
  <c r="BL94" i="24"/>
  <c r="CB94" i="24"/>
  <c r="AG94" i="24"/>
  <c r="AW94" i="24"/>
  <c r="BM94" i="24"/>
  <c r="CC94" i="24"/>
  <c r="AH94" i="24"/>
  <c r="AX94" i="24"/>
  <c r="BN94" i="24"/>
  <c r="CD94" i="24"/>
  <c r="AI94" i="24"/>
  <c r="AY94" i="24"/>
  <c r="BO94" i="24"/>
  <c r="CE94" i="24"/>
  <c r="AJ94" i="24"/>
  <c r="AZ94" i="24"/>
  <c r="BP94" i="24"/>
  <c r="CF94" i="24"/>
  <c r="AK94" i="24"/>
  <c r="BA94" i="24"/>
  <c r="BQ94" i="24"/>
  <c r="AL94" i="24"/>
  <c r="AM94" i="24"/>
  <c r="BB94" i="24"/>
  <c r="BC94" i="24"/>
  <c r="BR94" i="24"/>
  <c r="BS94" i="24"/>
  <c r="AJ98" i="24"/>
  <c r="AZ98" i="24"/>
  <c r="BP98" i="24"/>
  <c r="CF98" i="24"/>
  <c r="AK98" i="24"/>
  <c r="BA98" i="24"/>
  <c r="BQ98" i="24"/>
  <c r="AL98" i="24"/>
  <c r="BB98" i="24"/>
  <c r="BR98" i="24"/>
  <c r="AM98" i="24"/>
  <c r="BC98" i="24"/>
  <c r="BS98" i="24"/>
  <c r="AN98" i="24"/>
  <c r="BD98" i="24"/>
  <c r="BT98" i="24"/>
  <c r="AO98" i="24"/>
  <c r="BE98" i="24"/>
  <c r="AP98" i="24"/>
  <c r="BF98" i="24"/>
  <c r="AQ98" i="24"/>
  <c r="BG98" i="24"/>
  <c r="BW98" i="24"/>
  <c r="AR98" i="24"/>
  <c r="BH98" i="24"/>
  <c r="BX98" i="24"/>
  <c r="AS98" i="24"/>
  <c r="BI98" i="24"/>
  <c r="BY98" i="24"/>
  <c r="AT98" i="24"/>
  <c r="BJ98" i="24"/>
  <c r="BZ98" i="24"/>
  <c r="AU98" i="24"/>
  <c r="BK98" i="24"/>
  <c r="CA98" i="24"/>
  <c r="AF98" i="24"/>
  <c r="AV98" i="24"/>
  <c r="BL98" i="24"/>
  <c r="CB98" i="24"/>
  <c r="AG98" i="24"/>
  <c r="AW98" i="24"/>
  <c r="BM98" i="24"/>
  <c r="CC98" i="24"/>
  <c r="AX98" i="24"/>
  <c r="AY98" i="24"/>
  <c r="BN98" i="24"/>
  <c r="BO98" i="24"/>
  <c r="AI98" i="24"/>
  <c r="CD98" i="24"/>
  <c r="CE98" i="24"/>
  <c r="AH98" i="24"/>
  <c r="AF103" i="24"/>
  <c r="AV103" i="24"/>
  <c r="BL103" i="24"/>
  <c r="CB103" i="24"/>
  <c r="AG103" i="24"/>
  <c r="AW103" i="24"/>
  <c r="BM103" i="24"/>
  <c r="CC103" i="24"/>
  <c r="AH103" i="24"/>
  <c r="AX103" i="24"/>
  <c r="BN103" i="24"/>
  <c r="CD103" i="24"/>
  <c r="AI103" i="24"/>
  <c r="AY103" i="24"/>
  <c r="BO103" i="24"/>
  <c r="CE103" i="24"/>
  <c r="AJ103" i="24"/>
  <c r="AZ103" i="24"/>
  <c r="BP103" i="24"/>
  <c r="CF103" i="24"/>
  <c r="AK103" i="24"/>
  <c r="BA103" i="24"/>
  <c r="BQ103" i="24"/>
  <c r="AL103" i="24"/>
  <c r="BB103" i="24"/>
  <c r="BR103" i="24"/>
  <c r="AM103" i="24"/>
  <c r="BC103" i="24"/>
  <c r="BS103" i="24"/>
  <c r="AN103" i="24"/>
  <c r="BD103" i="24"/>
  <c r="BT103" i="24"/>
  <c r="AO103" i="24"/>
  <c r="BE103" i="24"/>
  <c r="AP103" i="24"/>
  <c r="BF103" i="24"/>
  <c r="AQ103" i="24"/>
  <c r="BG103" i="24"/>
  <c r="BW103" i="24"/>
  <c r="AR103" i="24"/>
  <c r="BH103" i="24"/>
  <c r="BX103" i="24"/>
  <c r="AS103" i="24"/>
  <c r="BI103" i="24"/>
  <c r="BY103" i="24"/>
  <c r="AT103" i="24"/>
  <c r="AU103" i="24"/>
  <c r="BJ103" i="24"/>
  <c r="BK103" i="24"/>
  <c r="BZ103" i="24"/>
  <c r="CA103" i="24"/>
  <c r="AR108" i="24"/>
  <c r="BH108" i="24"/>
  <c r="BX108" i="24"/>
  <c r="AS108" i="24"/>
  <c r="BI108" i="24"/>
  <c r="BY108" i="24"/>
  <c r="AT108" i="24"/>
  <c r="BJ108" i="24"/>
  <c r="BZ108" i="24"/>
  <c r="AU108" i="24"/>
  <c r="BK108" i="24"/>
  <c r="CA108" i="24"/>
  <c r="AF108" i="24"/>
  <c r="AV108" i="24"/>
  <c r="BL108" i="24"/>
  <c r="CB108" i="24"/>
  <c r="AG108" i="24"/>
  <c r="AW108" i="24"/>
  <c r="BM108" i="24"/>
  <c r="CC108" i="24"/>
  <c r="AH108" i="24"/>
  <c r="AX108" i="24"/>
  <c r="BN108" i="24"/>
  <c r="CD108" i="24"/>
  <c r="AI108" i="24"/>
  <c r="AY108" i="24"/>
  <c r="BO108" i="24"/>
  <c r="CE108" i="24"/>
  <c r="AJ108" i="24"/>
  <c r="AZ108" i="24"/>
  <c r="BP108" i="24"/>
  <c r="CF108" i="24"/>
  <c r="AK108" i="24"/>
  <c r="BA108" i="24"/>
  <c r="BQ108" i="24"/>
  <c r="AL108" i="24"/>
  <c r="BB108" i="24"/>
  <c r="BR108" i="24"/>
  <c r="AM108" i="24"/>
  <c r="BC108" i="24"/>
  <c r="BS108" i="24"/>
  <c r="AN108" i="24"/>
  <c r="BD108" i="24"/>
  <c r="BT108" i="24"/>
  <c r="AO108" i="24"/>
  <c r="BE108" i="24"/>
  <c r="AP108" i="24"/>
  <c r="AQ108" i="24"/>
  <c r="BF108" i="24"/>
  <c r="BG108" i="24"/>
  <c r="BW108" i="24"/>
  <c r="AL112" i="24"/>
  <c r="BB112" i="24"/>
  <c r="BR112" i="24"/>
  <c r="AX112" i="24"/>
  <c r="AM112" i="24"/>
  <c r="BC112" i="24"/>
  <c r="BS112" i="24"/>
  <c r="CC112" i="24"/>
  <c r="BN112" i="24"/>
  <c r="AN112" i="24"/>
  <c r="BD112" i="24"/>
  <c r="BT112" i="24"/>
  <c r="BM112" i="24"/>
  <c r="AO112" i="24"/>
  <c r="BE112" i="24"/>
  <c r="AW112" i="24"/>
  <c r="AY112" i="24"/>
  <c r="AP112" i="24"/>
  <c r="BF112" i="24"/>
  <c r="BZ112" i="24"/>
  <c r="AG112" i="24"/>
  <c r="AQ112" i="24"/>
  <c r="BG112" i="24"/>
  <c r="BW112" i="24"/>
  <c r="AH112" i="24"/>
  <c r="BA112" i="24"/>
  <c r="AR112" i="24"/>
  <c r="BH112" i="24"/>
  <c r="BX112" i="24"/>
  <c r="CF112" i="24"/>
  <c r="AK112" i="24"/>
  <c r="BQ112" i="24"/>
  <c r="AS112" i="24"/>
  <c r="BI112" i="24"/>
  <c r="BY112" i="24"/>
  <c r="AT112" i="24"/>
  <c r="BJ112" i="24"/>
  <c r="AU112" i="24"/>
  <c r="BK112" i="24"/>
  <c r="CA112" i="24"/>
  <c r="CE112" i="24"/>
  <c r="AF112" i="24"/>
  <c r="AV112" i="24"/>
  <c r="BL112" i="24"/>
  <c r="CB112" i="24"/>
  <c r="CD112" i="24"/>
  <c r="BO112" i="24"/>
  <c r="AI112" i="24"/>
  <c r="AJ112" i="24"/>
  <c r="AZ112" i="24"/>
  <c r="BP112" i="24"/>
  <c r="AJ37" i="24"/>
  <c r="AZ37" i="24"/>
  <c r="BP37" i="24"/>
  <c r="CF37" i="24"/>
  <c r="AK37" i="24"/>
  <c r="BA37" i="24"/>
  <c r="BQ37" i="24"/>
  <c r="AL37" i="24"/>
  <c r="BB37" i="24"/>
  <c r="BR37" i="24"/>
  <c r="AM37" i="24"/>
  <c r="BC37" i="24"/>
  <c r="BS37" i="24"/>
  <c r="AN37" i="24"/>
  <c r="BD37" i="24"/>
  <c r="BT37" i="24"/>
  <c r="AO37" i="24"/>
  <c r="BE37" i="24"/>
  <c r="AP37" i="24"/>
  <c r="BF37" i="24"/>
  <c r="AQ37" i="24"/>
  <c r="BG37" i="24"/>
  <c r="BW37" i="24"/>
  <c r="AR37" i="24"/>
  <c r="BH37" i="24"/>
  <c r="BX37" i="24"/>
  <c r="AS37" i="24"/>
  <c r="BI37" i="24"/>
  <c r="BY37" i="24"/>
  <c r="AT37" i="24"/>
  <c r="BJ37" i="24"/>
  <c r="BZ37" i="24"/>
  <c r="AU37" i="24"/>
  <c r="BK37" i="24"/>
  <c r="CA37" i="24"/>
  <c r="AF37" i="24"/>
  <c r="AV37" i="24"/>
  <c r="BL37" i="24"/>
  <c r="CB37" i="24"/>
  <c r="AG37" i="24"/>
  <c r="AW37" i="24"/>
  <c r="BM37" i="24"/>
  <c r="CC37" i="24"/>
  <c r="AH37" i="24"/>
  <c r="AX37" i="24"/>
  <c r="BN37" i="24"/>
  <c r="CD37" i="24"/>
  <c r="AI37" i="24"/>
  <c r="AY37" i="24"/>
  <c r="BO37" i="24"/>
  <c r="CE37" i="24"/>
  <c r="AG6" i="24"/>
  <c r="AW6" i="24"/>
  <c r="BM6" i="24"/>
  <c r="CC6" i="24"/>
  <c r="AH6" i="24"/>
  <c r="AX6" i="24"/>
  <c r="BN6" i="24"/>
  <c r="CD6" i="24"/>
  <c r="AI6" i="24"/>
  <c r="AY6" i="24"/>
  <c r="BO6" i="24"/>
  <c r="CE6" i="24"/>
  <c r="AJ6" i="24"/>
  <c r="AZ6" i="24"/>
  <c r="BP6" i="24"/>
  <c r="CF6" i="24"/>
  <c r="AK6" i="24"/>
  <c r="BA6" i="24"/>
  <c r="BQ6" i="24"/>
  <c r="AL6" i="24"/>
  <c r="BB6" i="24"/>
  <c r="BR6" i="24"/>
  <c r="AM6" i="24"/>
  <c r="BC6" i="24"/>
  <c r="BS6" i="24"/>
  <c r="AN6" i="24"/>
  <c r="BD6" i="24"/>
  <c r="BT6" i="24"/>
  <c r="AO6" i="24"/>
  <c r="BE6" i="24"/>
  <c r="AR6" i="24"/>
  <c r="BH6" i="24"/>
  <c r="BX6" i="24"/>
  <c r="AS6" i="24"/>
  <c r="BI6" i="24"/>
  <c r="BY6" i="24"/>
  <c r="AT6" i="24"/>
  <c r="BJ6" i="24"/>
  <c r="BZ6" i="24"/>
  <c r="AU6" i="24"/>
  <c r="BK6" i="24"/>
  <c r="CA6" i="24"/>
  <c r="AF6" i="24"/>
  <c r="AP6" i="24"/>
  <c r="AQ6" i="24"/>
  <c r="AV6" i="24"/>
  <c r="BF6" i="24"/>
  <c r="BG6" i="24"/>
  <c r="BL6" i="24"/>
  <c r="BW6" i="24"/>
  <c r="CB6" i="24"/>
  <c r="AO18" i="24"/>
  <c r="BE18" i="24"/>
  <c r="AP18" i="24"/>
  <c r="BF18" i="24"/>
  <c r="AQ18" i="24"/>
  <c r="BG18" i="24"/>
  <c r="BW18" i="24"/>
  <c r="AR18" i="24"/>
  <c r="BH18" i="24"/>
  <c r="BX18" i="24"/>
  <c r="AS18" i="24"/>
  <c r="BI18" i="24"/>
  <c r="BY18" i="24"/>
  <c r="AT18" i="24"/>
  <c r="BJ18" i="24"/>
  <c r="BZ18" i="24"/>
  <c r="AU18" i="24"/>
  <c r="BK18" i="24"/>
  <c r="CA18" i="24"/>
  <c r="AF18" i="24"/>
  <c r="AV18" i="24"/>
  <c r="BL18" i="24"/>
  <c r="CB18" i="24"/>
  <c r="AG18" i="24"/>
  <c r="AW18" i="24"/>
  <c r="BM18" i="24"/>
  <c r="CC18" i="24"/>
  <c r="AJ18" i="24"/>
  <c r="AZ18" i="24"/>
  <c r="BP18" i="24"/>
  <c r="CF18" i="24"/>
  <c r="AK18" i="24"/>
  <c r="BA18" i="24"/>
  <c r="BQ18" i="24"/>
  <c r="AL18" i="24"/>
  <c r="BB18" i="24"/>
  <c r="BR18" i="24"/>
  <c r="AM18" i="24"/>
  <c r="BC18" i="24"/>
  <c r="BS18" i="24"/>
  <c r="AH18" i="24"/>
  <c r="AI18" i="24"/>
  <c r="AN18" i="24"/>
  <c r="AX18" i="24"/>
  <c r="AY18" i="24"/>
  <c r="BD18" i="24"/>
  <c r="BN18" i="24"/>
  <c r="BO18" i="24"/>
  <c r="BT18" i="24"/>
  <c r="CD18" i="24"/>
  <c r="CE18" i="24"/>
  <c r="AN53" i="24"/>
  <c r="BD53" i="24"/>
  <c r="BT53" i="24"/>
  <c r="AO53" i="24"/>
  <c r="BE53" i="24"/>
  <c r="AP53" i="24"/>
  <c r="BF53" i="24"/>
  <c r="AQ53" i="24"/>
  <c r="BG53" i="24"/>
  <c r="BW53" i="24"/>
  <c r="AR53" i="24"/>
  <c r="BH53" i="24"/>
  <c r="BX53" i="24"/>
  <c r="AS53" i="24"/>
  <c r="BI53" i="24"/>
  <c r="BY53" i="24"/>
  <c r="AT53" i="24"/>
  <c r="BJ53" i="24"/>
  <c r="BZ53" i="24"/>
  <c r="AU53" i="24"/>
  <c r="BK53" i="24"/>
  <c r="CA53" i="24"/>
  <c r="AF53" i="24"/>
  <c r="AV53" i="24"/>
  <c r="BL53" i="24"/>
  <c r="CB53" i="24"/>
  <c r="AG53" i="24"/>
  <c r="AW53" i="24"/>
  <c r="BM53" i="24"/>
  <c r="CC53" i="24"/>
  <c r="AH53" i="24"/>
  <c r="AX53" i="24"/>
  <c r="BN53" i="24"/>
  <c r="CD53" i="24"/>
  <c r="AI53" i="24"/>
  <c r="AY53" i="24"/>
  <c r="BO53" i="24"/>
  <c r="CE53" i="24"/>
  <c r="AJ53" i="24"/>
  <c r="AZ53" i="24"/>
  <c r="BP53" i="24"/>
  <c r="CF53" i="24"/>
  <c r="AL53" i="24"/>
  <c r="BB53" i="24"/>
  <c r="BR53" i="24"/>
  <c r="AK53" i="24"/>
  <c r="AM53" i="24"/>
  <c r="BA53" i="24"/>
  <c r="BC53" i="24"/>
  <c r="BQ53" i="24"/>
  <c r="BS53" i="24"/>
  <c r="AG28" i="24"/>
  <c r="AW28" i="24"/>
  <c r="BM28" i="24"/>
  <c r="CC28" i="24"/>
  <c r="AH28" i="24"/>
  <c r="AX28" i="24"/>
  <c r="BN28" i="24"/>
  <c r="CD28" i="24"/>
  <c r="AI28" i="24"/>
  <c r="AY28" i="24"/>
  <c r="BO28" i="24"/>
  <c r="CE28" i="24"/>
  <c r="AJ28" i="24"/>
  <c r="AZ28" i="24"/>
  <c r="BP28" i="24"/>
  <c r="CF28" i="24"/>
  <c r="AK28" i="24"/>
  <c r="BA28" i="24"/>
  <c r="BQ28" i="24"/>
  <c r="AM28" i="24"/>
  <c r="BC28" i="24"/>
  <c r="BS28" i="24"/>
  <c r="AN28" i="24"/>
  <c r="BD28" i="24"/>
  <c r="BT28" i="24"/>
  <c r="AO28" i="24"/>
  <c r="BE28" i="24"/>
  <c r="AT28" i="24"/>
  <c r="BJ28" i="24"/>
  <c r="BZ28" i="24"/>
  <c r="AU28" i="24"/>
  <c r="BK28" i="24"/>
  <c r="CA28" i="24"/>
  <c r="BW28" i="24"/>
  <c r="AF28" i="24"/>
  <c r="BX28" i="24"/>
  <c r="AL28" i="24"/>
  <c r="BY28" i="24"/>
  <c r="AP28" i="24"/>
  <c r="CB28" i="24"/>
  <c r="AQ28" i="24"/>
  <c r="AR28" i="24"/>
  <c r="AS28" i="24"/>
  <c r="AV28" i="24"/>
  <c r="BB28" i="24"/>
  <c r="BF28" i="24"/>
  <c r="BG28" i="24"/>
  <c r="BH28" i="24"/>
  <c r="BI28" i="24"/>
  <c r="BL28" i="24"/>
  <c r="BR28" i="24"/>
  <c r="AH79" i="24"/>
  <c r="AX79" i="24"/>
  <c r="BN79" i="24"/>
  <c r="CD79" i="24"/>
  <c r="AI79" i="24"/>
  <c r="AY79" i="24"/>
  <c r="BO79" i="24"/>
  <c r="CE79" i="24"/>
  <c r="AJ79" i="24"/>
  <c r="AZ79" i="24"/>
  <c r="BP79" i="24"/>
  <c r="CF79" i="24"/>
  <c r="AK79" i="24"/>
  <c r="BA79" i="24"/>
  <c r="BQ79" i="24"/>
  <c r="AL79" i="24"/>
  <c r="BB79" i="24"/>
  <c r="BR79" i="24"/>
  <c r="AM79" i="24"/>
  <c r="BC79" i="24"/>
  <c r="BS79" i="24"/>
  <c r="AN79" i="24"/>
  <c r="BD79" i="24"/>
  <c r="BT79" i="24"/>
  <c r="AO79" i="24"/>
  <c r="BE79" i="24"/>
  <c r="AP79" i="24"/>
  <c r="BF79" i="24"/>
  <c r="AQ79" i="24"/>
  <c r="BG79" i="24"/>
  <c r="BW79" i="24"/>
  <c r="AR79" i="24"/>
  <c r="BH79" i="24"/>
  <c r="BX79" i="24"/>
  <c r="AS79" i="24"/>
  <c r="BI79" i="24"/>
  <c r="BY79" i="24"/>
  <c r="AT79" i="24"/>
  <c r="BJ79" i="24"/>
  <c r="BZ79" i="24"/>
  <c r="AU79" i="24"/>
  <c r="BK79" i="24"/>
  <c r="CA79" i="24"/>
  <c r="AF79" i="24"/>
  <c r="AV79" i="24"/>
  <c r="BL79" i="24"/>
  <c r="CB79" i="24"/>
  <c r="CC79" i="24"/>
  <c r="AG79" i="24"/>
  <c r="AW79" i="24"/>
  <c r="BM79" i="24"/>
  <c r="AG207" i="24"/>
  <c r="U209" i="24"/>
  <c r="AI226" i="24"/>
  <c r="AW229" i="24"/>
  <c r="Q207" i="24"/>
  <c r="AK209" i="24"/>
  <c r="AJ226" i="24"/>
  <c r="P228" i="24"/>
  <c r="P207" i="24"/>
  <c r="AL209" i="24"/>
  <c r="AY226" i="24"/>
  <c r="Q228" i="24"/>
  <c r="BM229" i="24"/>
  <c r="E210" i="24"/>
  <c r="BA209" i="24"/>
  <c r="AZ226" i="24"/>
  <c r="AG228" i="24"/>
  <c r="CB229" i="24"/>
  <c r="F210" i="24"/>
  <c r="BB209" i="24"/>
  <c r="BO226" i="24"/>
  <c r="AH228" i="24"/>
  <c r="U210" i="24"/>
  <c r="BP226" i="24"/>
  <c r="AW228" i="24"/>
  <c r="V210" i="24"/>
  <c r="D225" i="24"/>
  <c r="AX228" i="24"/>
  <c r="AL210" i="24"/>
  <c r="T225" i="24"/>
  <c r="BM228" i="24"/>
  <c r="BT581" i="24"/>
  <c r="CC207" i="24"/>
  <c r="AM210" i="24"/>
  <c r="AJ225" i="24"/>
  <c r="Q227" i="24"/>
  <c r="BN228" i="24"/>
  <c r="CA207" i="24"/>
  <c r="BC210" i="24"/>
  <c r="AZ225" i="24"/>
  <c r="AI227" i="24"/>
  <c r="CD228" i="24"/>
  <c r="BN207" i="24"/>
  <c r="BR210" i="24"/>
  <c r="BA225" i="24"/>
  <c r="AX227" i="24"/>
  <c r="O229" i="24"/>
  <c r="BM207" i="24"/>
  <c r="BS210" i="24"/>
  <c r="BP225" i="24"/>
  <c r="AY227" i="24"/>
  <c r="P229" i="24"/>
  <c r="AX207" i="24"/>
  <c r="D209" i="24"/>
  <c r="CF225" i="24"/>
  <c r="BN227" i="24"/>
  <c r="AF229" i="24"/>
  <c r="C207" i="24"/>
  <c r="C209" i="24"/>
  <c r="C210" i="24"/>
  <c r="AW207" i="24"/>
  <c r="E209" i="24"/>
  <c r="C226" i="24"/>
  <c r="BO227" i="24"/>
  <c r="AG229" i="24"/>
  <c r="AH207" i="24"/>
  <c r="T209" i="24"/>
  <c r="R226" i="24"/>
  <c r="CD227" i="24"/>
  <c r="AV229" i="24"/>
  <c r="BV229" i="24"/>
  <c r="BV228" i="24"/>
  <c r="BV227" i="24"/>
  <c r="BV207" i="24"/>
  <c r="BV226" i="24"/>
  <c r="BV225" i="24"/>
  <c r="BV209" i="24"/>
  <c r="BV210" i="24"/>
  <c r="BR209" i="24"/>
  <c r="BQ225" i="24"/>
  <c r="S226" i="24"/>
  <c r="R227" i="24"/>
  <c r="BQ209" i="24"/>
  <c r="BL207" i="24"/>
  <c r="AV207" i="24"/>
  <c r="AF207" i="24"/>
  <c r="O207" i="24"/>
  <c r="G210" i="24"/>
  <c r="W210" i="24"/>
  <c r="AN210" i="24"/>
  <c r="BD210" i="24"/>
  <c r="BT210" i="24"/>
  <c r="F209" i="24"/>
  <c r="V209" i="24"/>
  <c r="AM209" i="24"/>
  <c r="BC209" i="24"/>
  <c r="BS209" i="24"/>
  <c r="E225" i="24"/>
  <c r="U225" i="24"/>
  <c r="AL225" i="24"/>
  <c r="BB225" i="24"/>
  <c r="BR225" i="24"/>
  <c r="D226" i="24"/>
  <c r="T226" i="24"/>
  <c r="AK226" i="24"/>
  <c r="BA226" i="24"/>
  <c r="BQ226" i="24"/>
  <c r="C227" i="24"/>
  <c r="S227" i="24"/>
  <c r="AJ227" i="24"/>
  <c r="AZ227" i="24"/>
  <c r="BP227" i="24"/>
  <c r="CF227" i="24"/>
  <c r="R228" i="24"/>
  <c r="AI228" i="24"/>
  <c r="AY228" i="24"/>
  <c r="BO228" i="24"/>
  <c r="CE228" i="24"/>
  <c r="Q229" i="24"/>
  <c r="AH229" i="24"/>
  <c r="AX229" i="24"/>
  <c r="BN229" i="24"/>
  <c r="CD229" i="24"/>
  <c r="BK207" i="24"/>
  <c r="AU207" i="24"/>
  <c r="AD207" i="24"/>
  <c r="N207" i="24"/>
  <c r="H210" i="24"/>
  <c r="X210" i="24"/>
  <c r="AO210" i="24"/>
  <c r="BE210" i="24"/>
  <c r="G209" i="24"/>
  <c r="W209" i="24"/>
  <c r="AN209" i="24"/>
  <c r="BD209" i="24"/>
  <c r="BT209" i="24"/>
  <c r="F225" i="24"/>
  <c r="V225" i="24"/>
  <c r="AM225" i="24"/>
  <c r="BC225" i="24"/>
  <c r="BS225" i="24"/>
  <c r="E226" i="24"/>
  <c r="U226" i="24"/>
  <c r="AL226" i="24"/>
  <c r="BB226" i="24"/>
  <c r="BR226" i="24"/>
  <c r="D227" i="24"/>
  <c r="T227" i="24"/>
  <c r="AK227" i="24"/>
  <c r="BA227" i="24"/>
  <c r="BQ227" i="24"/>
  <c r="C228" i="24"/>
  <c r="S228" i="24"/>
  <c r="AJ228" i="24"/>
  <c r="AZ228" i="24"/>
  <c r="BP228" i="24"/>
  <c r="CF228" i="24"/>
  <c r="R229" i="24"/>
  <c r="AI229" i="24"/>
  <c r="AY229" i="24"/>
  <c r="BO229" i="24"/>
  <c r="CE229" i="24"/>
  <c r="BT580" i="24"/>
  <c r="BT576" i="24"/>
  <c r="BZ207" i="24"/>
  <c r="BJ207" i="24"/>
  <c r="AT207" i="24"/>
  <c r="AC207" i="24"/>
  <c r="M207" i="24"/>
  <c r="I210" i="24"/>
  <c r="Y210" i="24"/>
  <c r="AP210" i="24"/>
  <c r="BF210" i="24"/>
  <c r="H209" i="24"/>
  <c r="X209" i="24"/>
  <c r="AO209" i="24"/>
  <c r="BE209" i="24"/>
  <c r="G225" i="24"/>
  <c r="W225" i="24"/>
  <c r="AN225" i="24"/>
  <c r="BD225" i="24"/>
  <c r="BT225" i="24"/>
  <c r="F226" i="24"/>
  <c r="V226" i="24"/>
  <c r="AM226" i="24"/>
  <c r="BC226" i="24"/>
  <c r="BS226" i="24"/>
  <c r="E227" i="24"/>
  <c r="U227" i="24"/>
  <c r="AL227" i="24"/>
  <c r="BB227" i="24"/>
  <c r="BR227" i="24"/>
  <c r="D228" i="24"/>
  <c r="T228" i="24"/>
  <c r="AK228" i="24"/>
  <c r="BA228" i="24"/>
  <c r="BQ228" i="24"/>
  <c r="C229" i="24"/>
  <c r="S229" i="24"/>
  <c r="AJ229" i="24"/>
  <c r="AZ229" i="24"/>
  <c r="BP229" i="24"/>
  <c r="CF229" i="24"/>
  <c r="BU583" i="24"/>
  <c r="BY207" i="24"/>
  <c r="BI207" i="24"/>
  <c r="AS207" i="24"/>
  <c r="AB207" i="24"/>
  <c r="L207" i="24"/>
  <c r="J210" i="24"/>
  <c r="Z210" i="24"/>
  <c r="AQ210" i="24"/>
  <c r="BG210" i="24"/>
  <c r="BW210" i="24"/>
  <c r="I209" i="24"/>
  <c r="Y209" i="24"/>
  <c r="AP209" i="24"/>
  <c r="BF209" i="24"/>
  <c r="H225" i="24"/>
  <c r="X225" i="24"/>
  <c r="AO225" i="24"/>
  <c r="BE225" i="24"/>
  <c r="G226" i="24"/>
  <c r="W226" i="24"/>
  <c r="AN226" i="24"/>
  <c r="BD226" i="24"/>
  <c r="BT226" i="24"/>
  <c r="F227" i="24"/>
  <c r="V227" i="24"/>
  <c r="AM227" i="24"/>
  <c r="BC227" i="24"/>
  <c r="BS227" i="24"/>
  <c r="E228" i="24"/>
  <c r="U228" i="24"/>
  <c r="AL228" i="24"/>
  <c r="BB228" i="24"/>
  <c r="BR228" i="24"/>
  <c r="D229" i="24"/>
  <c r="T229" i="24"/>
  <c r="AK229" i="24"/>
  <c r="BA229" i="24"/>
  <c r="BQ229" i="24"/>
  <c r="BU582" i="24"/>
  <c r="BX207" i="24"/>
  <c r="BH207" i="24"/>
  <c r="AR207" i="24"/>
  <c r="AA207" i="24"/>
  <c r="K207" i="24"/>
  <c r="K210" i="24"/>
  <c r="AA210" i="24"/>
  <c r="AR210" i="24"/>
  <c r="BH210" i="24"/>
  <c r="BX210" i="24"/>
  <c r="J209" i="24"/>
  <c r="Z209" i="24"/>
  <c r="AQ209" i="24"/>
  <c r="BG209" i="24"/>
  <c r="BW209" i="24"/>
  <c r="I225" i="24"/>
  <c r="Y225" i="24"/>
  <c r="AP225" i="24"/>
  <c r="BF225" i="24"/>
  <c r="H226" i="24"/>
  <c r="X226" i="24"/>
  <c r="AO226" i="24"/>
  <c r="BE226" i="24"/>
  <c r="G227" i="24"/>
  <c r="W227" i="24"/>
  <c r="AN227" i="24"/>
  <c r="BD227" i="24"/>
  <c r="BT227" i="24"/>
  <c r="F228" i="24"/>
  <c r="V228" i="24"/>
  <c r="AM228" i="24"/>
  <c r="BC228" i="24"/>
  <c r="BS228" i="24"/>
  <c r="E229" i="24"/>
  <c r="U229" i="24"/>
  <c r="AL229" i="24"/>
  <c r="BB229" i="24"/>
  <c r="BR229" i="24"/>
  <c r="S225" i="24"/>
  <c r="BT579" i="24"/>
  <c r="BU581" i="24"/>
  <c r="BW207" i="24"/>
  <c r="BG207" i="24"/>
  <c r="AQ207" i="24"/>
  <c r="Z207" i="24"/>
  <c r="J207" i="24"/>
  <c r="L210" i="24"/>
  <c r="AB210" i="24"/>
  <c r="AS210" i="24"/>
  <c r="BI210" i="24"/>
  <c r="BY210" i="24"/>
  <c r="K209" i="24"/>
  <c r="AA209" i="24"/>
  <c r="AR209" i="24"/>
  <c r="BH209" i="24"/>
  <c r="BX209" i="24"/>
  <c r="J225" i="24"/>
  <c r="Z225" i="24"/>
  <c r="AQ225" i="24"/>
  <c r="BG225" i="24"/>
  <c r="BW225" i="24"/>
  <c r="I226" i="24"/>
  <c r="Y226" i="24"/>
  <c r="AP226" i="24"/>
  <c r="BF226" i="24"/>
  <c r="H227" i="24"/>
  <c r="X227" i="24"/>
  <c r="AO227" i="24"/>
  <c r="BE227" i="24"/>
  <c r="G228" i="24"/>
  <c r="W228" i="24"/>
  <c r="AN228" i="24"/>
  <c r="BD228" i="24"/>
  <c r="BT228" i="24"/>
  <c r="F229" i="24"/>
  <c r="V229" i="24"/>
  <c r="AM229" i="24"/>
  <c r="BC229" i="24"/>
  <c r="BS229" i="24"/>
  <c r="BU580" i="24"/>
  <c r="BF207" i="24"/>
  <c r="AP207" i="24"/>
  <c r="Y207" i="24"/>
  <c r="I207" i="24"/>
  <c r="M210" i="24"/>
  <c r="AC210" i="24"/>
  <c r="AT210" i="24"/>
  <c r="BJ210" i="24"/>
  <c r="BZ210" i="24"/>
  <c r="L209" i="24"/>
  <c r="AB209" i="24"/>
  <c r="AS209" i="24"/>
  <c r="BI209" i="24"/>
  <c r="BY209" i="24"/>
  <c r="K225" i="24"/>
  <c r="AA225" i="24"/>
  <c r="AR225" i="24"/>
  <c r="BH225" i="24"/>
  <c r="BX225" i="24"/>
  <c r="J226" i="24"/>
  <c r="Z226" i="24"/>
  <c r="AQ226" i="24"/>
  <c r="BG226" i="24"/>
  <c r="BW226" i="24"/>
  <c r="I227" i="24"/>
  <c r="Y227" i="24"/>
  <c r="AP227" i="24"/>
  <c r="BF227" i="24"/>
  <c r="H228" i="24"/>
  <c r="X228" i="24"/>
  <c r="AO228" i="24"/>
  <c r="BE228" i="24"/>
  <c r="G229" i="24"/>
  <c r="W229" i="24"/>
  <c r="AN229" i="24"/>
  <c r="BD229" i="24"/>
  <c r="BT229" i="24"/>
  <c r="BU579" i="24"/>
  <c r="BE207" i="24"/>
  <c r="AO207" i="24"/>
  <c r="X207" i="24"/>
  <c r="H207" i="24"/>
  <c r="N210" i="24"/>
  <c r="AD210" i="24"/>
  <c r="AU210" i="24"/>
  <c r="BK210" i="24"/>
  <c r="CA210" i="24"/>
  <c r="M209" i="24"/>
  <c r="AC209" i="24"/>
  <c r="AT209" i="24"/>
  <c r="BJ209" i="24"/>
  <c r="BZ209" i="24"/>
  <c r="L225" i="24"/>
  <c r="AB225" i="24"/>
  <c r="AS225" i="24"/>
  <c r="BI225" i="24"/>
  <c r="BY225" i="24"/>
  <c r="K226" i="24"/>
  <c r="AA226" i="24"/>
  <c r="AR226" i="24"/>
  <c r="BH226" i="24"/>
  <c r="BX226" i="24"/>
  <c r="J227" i="24"/>
  <c r="Z227" i="24"/>
  <c r="AQ227" i="24"/>
  <c r="BG227" i="24"/>
  <c r="BW227" i="24"/>
  <c r="I228" i="24"/>
  <c r="Y228" i="24"/>
  <c r="AP228" i="24"/>
  <c r="BF228" i="24"/>
  <c r="BT578" i="24"/>
  <c r="BU578" i="24"/>
  <c r="O210" i="24"/>
  <c r="AF210" i="24"/>
  <c r="AV210" i="24"/>
  <c r="BL210" i="24"/>
  <c r="CB210" i="24"/>
  <c r="N209" i="24"/>
  <c r="AD209" i="24"/>
  <c r="AU209" i="24"/>
  <c r="BK209" i="24"/>
  <c r="CA209" i="24"/>
  <c r="M225" i="24"/>
  <c r="AC225" i="24"/>
  <c r="AT225" i="24"/>
  <c r="BJ225" i="24"/>
  <c r="BZ225" i="24"/>
  <c r="L226" i="24"/>
  <c r="AB226" i="24"/>
  <c r="AS226" i="24"/>
  <c r="BI226" i="24"/>
  <c r="BY226" i="24"/>
  <c r="K227" i="24"/>
  <c r="AA227" i="24"/>
  <c r="AR227" i="24"/>
  <c r="BH227" i="24"/>
  <c r="BX227" i="24"/>
  <c r="J228" i="24"/>
  <c r="Z228" i="24"/>
  <c r="AQ228" i="24"/>
  <c r="BG228" i="24"/>
  <c r="BW228" i="24"/>
  <c r="BT583" i="24"/>
  <c r="BU577" i="24"/>
  <c r="P210" i="24"/>
  <c r="AG210" i="24"/>
  <c r="AW210" i="24"/>
  <c r="BM210" i="24"/>
  <c r="CC210" i="24"/>
  <c r="O209" i="24"/>
  <c r="AF209" i="24"/>
  <c r="AV209" i="24"/>
  <c r="BL209" i="24"/>
  <c r="CB209" i="24"/>
  <c r="N225" i="24"/>
  <c r="AD225" i="24"/>
  <c r="AU225" i="24"/>
  <c r="BK225" i="24"/>
  <c r="CA225" i="24"/>
  <c r="M226" i="24"/>
  <c r="AC226" i="24"/>
  <c r="AT226" i="24"/>
  <c r="BJ226" i="24"/>
  <c r="BZ226" i="24"/>
  <c r="L227" i="24"/>
  <c r="AB227" i="24"/>
  <c r="AS227" i="24"/>
  <c r="BI227" i="24"/>
  <c r="BY227" i="24"/>
  <c r="K228" i="24"/>
  <c r="AA228" i="24"/>
  <c r="AR228" i="24"/>
  <c r="BH228" i="24"/>
  <c r="BX228" i="24"/>
  <c r="Q210" i="24"/>
  <c r="AH210" i="24"/>
  <c r="AX210" i="24"/>
  <c r="BN210" i="24"/>
  <c r="CD210" i="24"/>
  <c r="P209" i="24"/>
  <c r="AG209" i="24"/>
  <c r="AW209" i="24"/>
  <c r="BM209" i="24"/>
  <c r="CC209" i="24"/>
  <c r="O225" i="24"/>
  <c r="AF225" i="24"/>
  <c r="AV225" i="24"/>
  <c r="BL225" i="24"/>
  <c r="CB225" i="24"/>
  <c r="N226" i="24"/>
  <c r="AD226" i="24"/>
  <c r="AU226" i="24"/>
  <c r="BK226" i="24"/>
  <c r="CA226" i="24"/>
  <c r="M227" i="24"/>
  <c r="AC227" i="24"/>
  <c r="AT227" i="24"/>
  <c r="BJ227" i="24"/>
  <c r="BZ227" i="24"/>
  <c r="L228" i="24"/>
  <c r="AB228" i="24"/>
  <c r="AS228" i="24"/>
  <c r="BI228" i="24"/>
  <c r="BY228" i="24"/>
  <c r="BT577" i="24"/>
  <c r="BQ207" i="24"/>
  <c r="BA207" i="24"/>
  <c r="AK207" i="24"/>
  <c r="T207" i="24"/>
  <c r="D207" i="24"/>
  <c r="R210" i="24"/>
  <c r="AI210" i="24"/>
  <c r="AY210" i="24"/>
  <c r="BO210" i="24"/>
  <c r="CE210" i="24"/>
  <c r="Q209" i="24"/>
  <c r="AH209" i="24"/>
  <c r="AX209" i="24"/>
  <c r="BN209" i="24"/>
  <c r="CD209" i="24"/>
  <c r="P225" i="24"/>
  <c r="AG225" i="24"/>
  <c r="AW225" i="24"/>
  <c r="BM225" i="24"/>
  <c r="CC225" i="24"/>
  <c r="O226" i="24"/>
  <c r="AF226" i="24"/>
  <c r="AV226" i="24"/>
  <c r="BL226" i="24"/>
  <c r="CB226" i="24"/>
  <c r="N227" i="24"/>
  <c r="AD227" i="24"/>
  <c r="AU227" i="24"/>
  <c r="BK227" i="24"/>
  <c r="CA227" i="24"/>
  <c r="M228" i="24"/>
  <c r="AC228" i="24"/>
  <c r="AT228" i="24"/>
  <c r="BJ228" i="24"/>
  <c r="BZ228" i="24"/>
  <c r="CF207" i="24"/>
  <c r="BP207" i="24"/>
  <c r="AZ207" i="24"/>
  <c r="AJ207" i="24"/>
  <c r="S207" i="24"/>
  <c r="S210" i="24"/>
  <c r="AJ210" i="24"/>
  <c r="AZ210" i="24"/>
  <c r="BP210" i="24"/>
  <c r="CF210" i="24"/>
  <c r="R209" i="24"/>
  <c r="AI209" i="24"/>
  <c r="AY209" i="24"/>
  <c r="BO209" i="24"/>
  <c r="CE209" i="24"/>
  <c r="Q225" i="24"/>
  <c r="AH225" i="24"/>
  <c r="AX225" i="24"/>
  <c r="BN225" i="24"/>
  <c r="CD225" i="24"/>
  <c r="P226" i="24"/>
  <c r="AG226" i="24"/>
  <c r="AW226" i="24"/>
  <c r="BM226" i="24"/>
  <c r="CC226" i="24"/>
  <c r="O227" i="24"/>
  <c r="AF227" i="24"/>
  <c r="AV227" i="24"/>
  <c r="BL227" i="24"/>
  <c r="CB227" i="24"/>
  <c r="N228" i="24"/>
  <c r="AD228" i="24"/>
  <c r="AU228" i="24"/>
  <c r="BK228" i="24"/>
  <c r="CA228" i="24"/>
  <c r="CE207" i="24"/>
  <c r="BO207" i="24"/>
  <c r="AY207" i="24"/>
  <c r="AI207" i="24"/>
  <c r="R207" i="24"/>
  <c r="B26" i="16"/>
  <c r="F37" i="28" l="1"/>
  <c r="G37" i="28" s="1"/>
  <c r="D10" i="20"/>
  <c r="B18" i="20" s="1"/>
  <c r="C18" i="20" s="1"/>
  <c r="BU229" i="24"/>
  <c r="BU207" i="24"/>
  <c r="BU228" i="24"/>
  <c r="BU227" i="24"/>
  <c r="BU226" i="24"/>
  <c r="BU225" i="24"/>
  <c r="BU209" i="24"/>
  <c r="BU210" i="24"/>
  <c r="A22" i="1" a="1"/>
  <c r="A22" i="1" s="1"/>
  <c r="B22" i="1" s="1"/>
  <c r="U457" i="24"/>
  <c r="T457" i="24"/>
  <c r="S457" i="24"/>
  <c r="R457" i="24"/>
  <c r="Q457" i="24"/>
  <c r="P457" i="24"/>
  <c r="O457" i="24"/>
  <c r="N457" i="24"/>
  <c r="M457" i="24"/>
  <c r="U456" i="24"/>
  <c r="T456" i="24"/>
  <c r="S456" i="24"/>
  <c r="R456" i="24"/>
  <c r="Q456" i="24"/>
  <c r="P456" i="24"/>
  <c r="O456" i="24"/>
  <c r="N456" i="24"/>
  <c r="M456" i="24"/>
  <c r="U455" i="24"/>
  <c r="T455" i="24"/>
  <c r="S455" i="24"/>
  <c r="R455" i="24"/>
  <c r="Q455" i="24"/>
  <c r="P455" i="24"/>
  <c r="O455" i="24"/>
  <c r="N455" i="24"/>
  <c r="M455" i="24"/>
  <c r="U454" i="24"/>
  <c r="T454" i="24"/>
  <c r="S454" i="24"/>
  <c r="R454" i="24"/>
  <c r="Q454" i="24"/>
  <c r="P454" i="24"/>
  <c r="O454" i="24"/>
  <c r="N454" i="24"/>
  <c r="M454" i="24"/>
  <c r="U453" i="24"/>
  <c r="T453" i="24"/>
  <c r="S453" i="24"/>
  <c r="R453" i="24"/>
  <c r="Q453" i="24"/>
  <c r="P453" i="24"/>
  <c r="O453" i="24"/>
  <c r="N453" i="24"/>
  <c r="M453" i="24"/>
  <c r="U452" i="24"/>
  <c r="T452" i="24"/>
  <c r="S452" i="24"/>
  <c r="R452" i="24"/>
  <c r="Q452" i="24"/>
  <c r="P452" i="24"/>
  <c r="O452" i="24"/>
  <c r="N452" i="24"/>
  <c r="M452" i="24"/>
  <c r="U451" i="24"/>
  <c r="T451" i="24"/>
  <c r="S451" i="24"/>
  <c r="R451" i="24"/>
  <c r="Q451" i="24"/>
  <c r="P451" i="24"/>
  <c r="O451" i="24"/>
  <c r="N451" i="24"/>
  <c r="M451" i="24"/>
  <c r="U450" i="24"/>
  <c r="T450" i="24"/>
  <c r="S450" i="24"/>
  <c r="R450" i="24"/>
  <c r="Q450" i="24"/>
  <c r="P450" i="24"/>
  <c r="O450" i="24"/>
  <c r="N450" i="24"/>
  <c r="M450" i="24"/>
  <c r="U449" i="24"/>
  <c r="T449" i="24"/>
  <c r="S449" i="24"/>
  <c r="R449" i="24"/>
  <c r="Q449" i="24"/>
  <c r="P449" i="24"/>
  <c r="O449" i="24"/>
  <c r="N449" i="24"/>
  <c r="M449" i="24"/>
  <c r="U448" i="24"/>
  <c r="T448" i="24"/>
  <c r="S448" i="24"/>
  <c r="R448" i="24"/>
  <c r="Q448" i="24"/>
  <c r="P448" i="24"/>
  <c r="O448" i="24"/>
  <c r="N448" i="24"/>
  <c r="M448" i="24"/>
  <c r="U447" i="24"/>
  <c r="T447" i="24"/>
  <c r="S447" i="24"/>
  <c r="R447" i="24"/>
  <c r="Q447" i="24"/>
  <c r="P447" i="24"/>
  <c r="O447" i="24"/>
  <c r="N447" i="24"/>
  <c r="M447" i="24"/>
  <c r="U446" i="24"/>
  <c r="T446" i="24"/>
  <c r="S446" i="24"/>
  <c r="R446" i="24"/>
  <c r="Q446" i="24"/>
  <c r="P446" i="24"/>
  <c r="O446" i="24"/>
  <c r="N446" i="24"/>
  <c r="M446" i="24"/>
  <c r="U445" i="24"/>
  <c r="T445" i="24"/>
  <c r="S445" i="24"/>
  <c r="R445" i="24"/>
  <c r="Q445" i="24"/>
  <c r="P445" i="24"/>
  <c r="O445" i="24"/>
  <c r="N445" i="24"/>
  <c r="M445" i="24"/>
  <c r="U444" i="24"/>
  <c r="T444" i="24"/>
  <c r="S444" i="24"/>
  <c r="R444" i="24"/>
  <c r="Q444" i="24"/>
  <c r="P444" i="24"/>
  <c r="O444" i="24"/>
  <c r="N444" i="24"/>
  <c r="M444" i="24"/>
  <c r="U443" i="24"/>
  <c r="T443" i="24"/>
  <c r="S443" i="24"/>
  <c r="R443" i="24"/>
  <c r="Q443" i="24"/>
  <c r="P443" i="24"/>
  <c r="O443" i="24"/>
  <c r="N443" i="24"/>
  <c r="M443" i="24"/>
  <c r="U442" i="24"/>
  <c r="T442" i="24"/>
  <c r="S442" i="24"/>
  <c r="R442" i="24"/>
  <c r="Q442" i="24"/>
  <c r="P442" i="24"/>
  <c r="O442" i="24"/>
  <c r="N442" i="24"/>
  <c r="M442" i="24"/>
  <c r="U441" i="24"/>
  <c r="T441" i="24"/>
  <c r="S441" i="24"/>
  <c r="R441" i="24"/>
  <c r="Q441" i="24"/>
  <c r="P441" i="24"/>
  <c r="O441" i="24"/>
  <c r="N441" i="24"/>
  <c r="M441" i="24"/>
  <c r="U440" i="24"/>
  <c r="T440" i="24"/>
  <c r="S440" i="24"/>
  <c r="R440" i="24"/>
  <c r="Q440" i="24"/>
  <c r="P440" i="24"/>
  <c r="O440" i="24"/>
  <c r="N440" i="24"/>
  <c r="M440" i="24"/>
  <c r="U439" i="24"/>
  <c r="T439" i="24"/>
  <c r="S439" i="24"/>
  <c r="R439" i="24"/>
  <c r="Q439" i="24"/>
  <c r="P439" i="24"/>
  <c r="O439" i="24"/>
  <c r="N439" i="24"/>
  <c r="M439" i="24"/>
  <c r="U438" i="24"/>
  <c r="T438" i="24"/>
  <c r="S438" i="24"/>
  <c r="R438" i="24"/>
  <c r="Q438" i="24"/>
  <c r="P438" i="24"/>
  <c r="O438" i="24"/>
  <c r="N438" i="24"/>
  <c r="M438" i="24"/>
  <c r="U437" i="24"/>
  <c r="T437" i="24"/>
  <c r="S437" i="24"/>
  <c r="R437" i="24"/>
  <c r="Q437" i="24"/>
  <c r="P437" i="24"/>
  <c r="O437" i="24"/>
  <c r="N437" i="24"/>
  <c r="M437" i="24"/>
  <c r="U436" i="24"/>
  <c r="T436" i="24"/>
  <c r="S436" i="24"/>
  <c r="R436" i="24"/>
  <c r="Q436" i="24"/>
  <c r="P436" i="24"/>
  <c r="O436" i="24"/>
  <c r="N436" i="24"/>
  <c r="M436" i="24"/>
  <c r="U435" i="24"/>
  <c r="T435" i="24"/>
  <c r="S435" i="24"/>
  <c r="R435" i="24"/>
  <c r="Q435" i="24"/>
  <c r="P435" i="24"/>
  <c r="O435" i="24"/>
  <c r="N435" i="24"/>
  <c r="M435" i="24"/>
  <c r="U434" i="24"/>
  <c r="T434" i="24"/>
  <c r="S434" i="24"/>
  <c r="R434" i="24"/>
  <c r="Q434" i="24"/>
  <c r="P434" i="24"/>
  <c r="O434" i="24"/>
  <c r="N434" i="24"/>
  <c r="M434" i="24"/>
  <c r="U433" i="24"/>
  <c r="T433" i="24"/>
  <c r="S433" i="24"/>
  <c r="R433" i="24"/>
  <c r="Q433" i="24"/>
  <c r="P433" i="24"/>
  <c r="O433" i="24"/>
  <c r="N433" i="24"/>
  <c r="M433" i="24"/>
  <c r="U432" i="24"/>
  <c r="T432" i="24"/>
  <c r="S432" i="24"/>
  <c r="R432" i="24"/>
  <c r="Q432" i="24"/>
  <c r="P432" i="24"/>
  <c r="O432" i="24"/>
  <c r="N432" i="24"/>
  <c r="M432" i="24"/>
  <c r="U431" i="24"/>
  <c r="T431" i="24"/>
  <c r="S431" i="24"/>
  <c r="R431" i="24"/>
  <c r="Q431" i="24"/>
  <c r="P431" i="24"/>
  <c r="O431" i="24"/>
  <c r="N431" i="24"/>
  <c r="M431" i="24"/>
  <c r="U430" i="24"/>
  <c r="T430" i="24"/>
  <c r="S430" i="24"/>
  <c r="R430" i="24"/>
  <c r="Q430" i="24"/>
  <c r="P430" i="24"/>
  <c r="O430" i="24"/>
  <c r="N430" i="24"/>
  <c r="M430" i="24"/>
  <c r="U429" i="24"/>
  <c r="T429" i="24"/>
  <c r="S429" i="24"/>
  <c r="R429" i="24"/>
  <c r="Q429" i="24"/>
  <c r="P429" i="24"/>
  <c r="O429" i="24"/>
  <c r="N429" i="24"/>
  <c r="M429" i="24"/>
  <c r="U428" i="24"/>
  <c r="T428" i="24"/>
  <c r="S428" i="24"/>
  <c r="R428" i="24"/>
  <c r="Q428" i="24"/>
  <c r="P428" i="24"/>
  <c r="O428" i="24"/>
  <c r="N428" i="24"/>
  <c r="M428" i="24"/>
  <c r="U427" i="24"/>
  <c r="T427" i="24"/>
  <c r="S427" i="24"/>
  <c r="R427" i="24"/>
  <c r="Q427" i="24"/>
  <c r="P427" i="24"/>
  <c r="O427" i="24"/>
  <c r="N427" i="24"/>
  <c r="M427" i="24"/>
  <c r="U426" i="24"/>
  <c r="T426" i="24"/>
  <c r="S426" i="24"/>
  <c r="R426" i="24"/>
  <c r="Q426" i="24"/>
  <c r="P426" i="24"/>
  <c r="O426" i="24"/>
  <c r="N426" i="24"/>
  <c r="M426" i="24"/>
  <c r="U425" i="24"/>
  <c r="T425" i="24"/>
  <c r="S425" i="24"/>
  <c r="R425" i="24"/>
  <c r="Q425" i="24"/>
  <c r="P425" i="24"/>
  <c r="O425" i="24"/>
  <c r="N425" i="24"/>
  <c r="M425" i="24"/>
  <c r="U424" i="24"/>
  <c r="T424" i="24"/>
  <c r="S424" i="24"/>
  <c r="R424" i="24"/>
  <c r="Q424" i="24"/>
  <c r="P424" i="24"/>
  <c r="O424" i="24"/>
  <c r="N424" i="24"/>
  <c r="M424" i="24"/>
  <c r="U423" i="24"/>
  <c r="T423" i="24"/>
  <c r="S423" i="24"/>
  <c r="R423" i="24"/>
  <c r="Q423" i="24"/>
  <c r="P423" i="24"/>
  <c r="O423" i="24"/>
  <c r="N423" i="24"/>
  <c r="M423" i="24"/>
  <c r="U422" i="24"/>
  <c r="T422" i="24"/>
  <c r="S422" i="24"/>
  <c r="R422" i="24"/>
  <c r="Q422" i="24"/>
  <c r="P422" i="24"/>
  <c r="O422" i="24"/>
  <c r="N422" i="24"/>
  <c r="M422" i="24"/>
  <c r="U421" i="24"/>
  <c r="T421" i="24"/>
  <c r="S421" i="24"/>
  <c r="R421" i="24"/>
  <c r="Q421" i="24"/>
  <c r="P421" i="24"/>
  <c r="O421" i="24"/>
  <c r="N421" i="24"/>
  <c r="M421" i="24"/>
  <c r="U420" i="24"/>
  <c r="T420" i="24"/>
  <c r="S420" i="24"/>
  <c r="R420" i="24"/>
  <c r="Q420" i="24"/>
  <c r="P420" i="24"/>
  <c r="O420" i="24"/>
  <c r="N420" i="24"/>
  <c r="M420" i="24"/>
  <c r="U419" i="24"/>
  <c r="T419" i="24"/>
  <c r="S419" i="24"/>
  <c r="R419" i="24"/>
  <c r="Q419" i="24"/>
  <c r="P419" i="24"/>
  <c r="O419" i="24"/>
  <c r="N419" i="24"/>
  <c r="M419" i="24"/>
  <c r="U418" i="24"/>
  <c r="T418" i="24"/>
  <c r="S418" i="24"/>
  <c r="R418" i="24"/>
  <c r="Q418" i="24"/>
  <c r="P418" i="24"/>
  <c r="O418" i="24"/>
  <c r="N418" i="24"/>
  <c r="M418" i="24"/>
  <c r="U417" i="24"/>
  <c r="T417" i="24"/>
  <c r="S417" i="24"/>
  <c r="R417" i="24"/>
  <c r="Q417" i="24"/>
  <c r="P417" i="24"/>
  <c r="O417" i="24"/>
  <c r="N417" i="24"/>
  <c r="M417" i="24"/>
  <c r="U416" i="24"/>
  <c r="T416" i="24"/>
  <c r="S416" i="24"/>
  <c r="R416" i="24"/>
  <c r="Q416" i="24"/>
  <c r="P416" i="24"/>
  <c r="O416" i="24"/>
  <c r="N416" i="24"/>
  <c r="M416" i="24"/>
  <c r="U415" i="24"/>
  <c r="T415" i="24"/>
  <c r="S415" i="24"/>
  <c r="R415" i="24"/>
  <c r="Q415" i="24"/>
  <c r="P415" i="24"/>
  <c r="O415" i="24"/>
  <c r="N415" i="24"/>
  <c r="M415" i="24"/>
  <c r="U414" i="24"/>
  <c r="T414" i="24"/>
  <c r="S414" i="24"/>
  <c r="R414" i="24"/>
  <c r="Q414" i="24"/>
  <c r="P414" i="24"/>
  <c r="O414" i="24"/>
  <c r="N414" i="24"/>
  <c r="M414" i="24"/>
  <c r="U413" i="24"/>
  <c r="T413" i="24"/>
  <c r="S413" i="24"/>
  <c r="R413" i="24"/>
  <c r="Q413" i="24"/>
  <c r="P413" i="24"/>
  <c r="O413" i="24"/>
  <c r="N413" i="24"/>
  <c r="M413" i="24"/>
  <c r="U412" i="24"/>
  <c r="T412" i="24"/>
  <c r="S412" i="24"/>
  <c r="R412" i="24"/>
  <c r="Q412" i="24"/>
  <c r="P412" i="24"/>
  <c r="O412" i="24"/>
  <c r="N412" i="24"/>
  <c r="M412" i="24"/>
  <c r="U411" i="24"/>
  <c r="T411" i="24"/>
  <c r="S411" i="24"/>
  <c r="R411" i="24"/>
  <c r="Q411" i="24"/>
  <c r="P411" i="24"/>
  <c r="O411" i="24"/>
  <c r="N411" i="24"/>
  <c r="M411" i="24"/>
  <c r="U410" i="24"/>
  <c r="T410" i="24"/>
  <c r="S410" i="24"/>
  <c r="R410" i="24"/>
  <c r="Q410" i="24"/>
  <c r="P410" i="24"/>
  <c r="O410" i="24"/>
  <c r="N410" i="24"/>
  <c r="M410" i="24"/>
  <c r="U409" i="24"/>
  <c r="T409" i="24"/>
  <c r="S409" i="24"/>
  <c r="R409" i="24"/>
  <c r="Q409" i="24"/>
  <c r="P409" i="24"/>
  <c r="O409" i="24"/>
  <c r="N409" i="24"/>
  <c r="M409" i="24"/>
  <c r="U408" i="24"/>
  <c r="T408" i="24"/>
  <c r="S408" i="24"/>
  <c r="R408" i="24"/>
  <c r="Q408" i="24"/>
  <c r="P408" i="24"/>
  <c r="O408" i="24"/>
  <c r="N408" i="24"/>
  <c r="M408" i="24"/>
  <c r="U407" i="24"/>
  <c r="T407" i="24"/>
  <c r="S407" i="24"/>
  <c r="R407" i="24"/>
  <c r="Q407" i="24"/>
  <c r="P407" i="24"/>
  <c r="O407" i="24"/>
  <c r="N407" i="24"/>
  <c r="M407" i="24"/>
  <c r="U406" i="24"/>
  <c r="T406" i="24"/>
  <c r="S406" i="24"/>
  <c r="R406" i="24"/>
  <c r="Q406" i="24"/>
  <c r="P406" i="24"/>
  <c r="O406" i="24"/>
  <c r="N406" i="24"/>
  <c r="M406" i="24"/>
  <c r="U405" i="24"/>
  <c r="T405" i="24"/>
  <c r="S405" i="24"/>
  <c r="R405" i="24"/>
  <c r="Q405" i="24"/>
  <c r="P405" i="24"/>
  <c r="O405" i="24"/>
  <c r="N405" i="24"/>
  <c r="M405" i="24"/>
  <c r="U404" i="24"/>
  <c r="T404" i="24"/>
  <c r="S404" i="24"/>
  <c r="R404" i="24"/>
  <c r="Q404" i="24"/>
  <c r="P404" i="24"/>
  <c r="O404" i="24"/>
  <c r="N404" i="24"/>
  <c r="M404" i="24"/>
  <c r="U403" i="24"/>
  <c r="T403" i="24"/>
  <c r="S403" i="24"/>
  <c r="R403" i="24"/>
  <c r="Q403" i="24"/>
  <c r="P403" i="24"/>
  <c r="O403" i="24"/>
  <c r="N403" i="24"/>
  <c r="M403" i="24"/>
  <c r="U402" i="24"/>
  <c r="T402" i="24"/>
  <c r="S402" i="24"/>
  <c r="R402" i="24"/>
  <c r="Q402" i="24"/>
  <c r="P402" i="24"/>
  <c r="O402" i="24"/>
  <c r="N402" i="24"/>
  <c r="M402" i="24"/>
  <c r="U401" i="24"/>
  <c r="T401" i="24"/>
  <c r="S401" i="24"/>
  <c r="R401" i="24"/>
  <c r="Q401" i="24"/>
  <c r="P401" i="24"/>
  <c r="O401" i="24"/>
  <c r="N401" i="24"/>
  <c r="M401" i="24"/>
  <c r="U400" i="24"/>
  <c r="T400" i="24"/>
  <c r="S400" i="24"/>
  <c r="R400" i="24"/>
  <c r="Q400" i="24"/>
  <c r="P400" i="24"/>
  <c r="O400" i="24"/>
  <c r="N400" i="24"/>
  <c r="M400" i="24"/>
  <c r="U399" i="24"/>
  <c r="T399" i="24"/>
  <c r="S399" i="24"/>
  <c r="R399" i="24"/>
  <c r="Q399" i="24"/>
  <c r="P399" i="24"/>
  <c r="O399" i="24"/>
  <c r="N399" i="24"/>
  <c r="M399" i="24"/>
  <c r="U398" i="24"/>
  <c r="T398" i="24"/>
  <c r="S398" i="24"/>
  <c r="R398" i="24"/>
  <c r="Q398" i="24"/>
  <c r="P398" i="24"/>
  <c r="O398" i="24"/>
  <c r="N398" i="24"/>
  <c r="M398" i="24"/>
  <c r="U397" i="24"/>
  <c r="T397" i="24"/>
  <c r="S397" i="24"/>
  <c r="R397" i="24"/>
  <c r="Q397" i="24"/>
  <c r="P397" i="24"/>
  <c r="O397" i="24"/>
  <c r="N397" i="24"/>
  <c r="M397" i="24"/>
  <c r="U396" i="24"/>
  <c r="T396" i="24"/>
  <c r="S396" i="24"/>
  <c r="R396" i="24"/>
  <c r="Q396" i="24"/>
  <c r="P396" i="24"/>
  <c r="O396" i="24"/>
  <c r="N396" i="24"/>
  <c r="M396" i="24"/>
  <c r="U395" i="24"/>
  <c r="T395" i="24"/>
  <c r="S395" i="24"/>
  <c r="R395" i="24"/>
  <c r="Q395" i="24"/>
  <c r="P395" i="24"/>
  <c r="O395" i="24"/>
  <c r="N395" i="24"/>
  <c r="M395" i="24"/>
  <c r="U394" i="24"/>
  <c r="T394" i="24"/>
  <c r="S394" i="24"/>
  <c r="R394" i="24"/>
  <c r="Q394" i="24"/>
  <c r="P394" i="24"/>
  <c r="O394" i="24"/>
  <c r="N394" i="24"/>
  <c r="M394" i="24"/>
  <c r="U393" i="24"/>
  <c r="T393" i="24"/>
  <c r="S393" i="24"/>
  <c r="R393" i="24"/>
  <c r="Q393" i="24"/>
  <c r="P393" i="24"/>
  <c r="O393" i="24"/>
  <c r="N393" i="24"/>
  <c r="M393" i="24"/>
  <c r="U392" i="24"/>
  <c r="T392" i="24"/>
  <c r="S392" i="24"/>
  <c r="R392" i="24"/>
  <c r="Q392" i="24"/>
  <c r="P392" i="24"/>
  <c r="O392" i="24"/>
  <c r="N392" i="24"/>
  <c r="M392" i="24"/>
  <c r="U391" i="24"/>
  <c r="T391" i="24"/>
  <c r="S391" i="24"/>
  <c r="R391" i="24"/>
  <c r="Q391" i="24"/>
  <c r="P391" i="24"/>
  <c r="O391" i="24"/>
  <c r="N391" i="24"/>
  <c r="M391" i="24"/>
  <c r="U390" i="24"/>
  <c r="T390" i="24"/>
  <c r="S390" i="24"/>
  <c r="R390" i="24"/>
  <c r="Q390" i="24"/>
  <c r="P390" i="24"/>
  <c r="O390" i="24"/>
  <c r="N390" i="24"/>
  <c r="M390" i="24"/>
  <c r="U389" i="24"/>
  <c r="T389" i="24"/>
  <c r="S389" i="24"/>
  <c r="R389" i="24"/>
  <c r="Q389" i="24"/>
  <c r="P389" i="24"/>
  <c r="O389" i="24"/>
  <c r="N389" i="24"/>
  <c r="M389" i="24"/>
  <c r="U388" i="24"/>
  <c r="T388" i="24"/>
  <c r="S388" i="24"/>
  <c r="R388" i="24"/>
  <c r="Q388" i="24"/>
  <c r="P388" i="24"/>
  <c r="O388" i="24"/>
  <c r="N388" i="24"/>
  <c r="M388" i="24"/>
  <c r="U387" i="24"/>
  <c r="T387" i="24"/>
  <c r="S387" i="24"/>
  <c r="R387" i="24"/>
  <c r="Q387" i="24"/>
  <c r="P387" i="24"/>
  <c r="O387" i="24"/>
  <c r="N387" i="24"/>
  <c r="M387" i="24"/>
  <c r="U386" i="24"/>
  <c r="T386" i="24"/>
  <c r="S386" i="24"/>
  <c r="R386" i="24"/>
  <c r="Q386" i="24"/>
  <c r="P386" i="24"/>
  <c r="O386" i="24"/>
  <c r="N386" i="24"/>
  <c r="M386" i="24"/>
  <c r="U385" i="24"/>
  <c r="T385" i="24"/>
  <c r="S385" i="24"/>
  <c r="R385" i="24"/>
  <c r="Q385" i="24"/>
  <c r="P385" i="24"/>
  <c r="O385" i="24"/>
  <c r="N385" i="24"/>
  <c r="M385" i="24"/>
  <c r="U384" i="24"/>
  <c r="T384" i="24"/>
  <c r="S384" i="24"/>
  <c r="R384" i="24"/>
  <c r="Q384" i="24"/>
  <c r="P384" i="24"/>
  <c r="O384" i="24"/>
  <c r="N384" i="24"/>
  <c r="M384" i="24"/>
  <c r="U383" i="24"/>
  <c r="T383" i="24"/>
  <c r="S383" i="24"/>
  <c r="R383" i="24"/>
  <c r="Q383" i="24"/>
  <c r="P383" i="24"/>
  <c r="O383" i="24"/>
  <c r="N383" i="24"/>
  <c r="M383" i="24"/>
  <c r="U382" i="24"/>
  <c r="T382" i="24"/>
  <c r="S382" i="24"/>
  <c r="R382" i="24"/>
  <c r="Q382" i="24"/>
  <c r="P382" i="24"/>
  <c r="O382" i="24"/>
  <c r="N382" i="24"/>
  <c r="M382" i="24"/>
  <c r="U381" i="24"/>
  <c r="T381" i="24"/>
  <c r="S381" i="24"/>
  <c r="R381" i="24"/>
  <c r="Q381" i="24"/>
  <c r="P381" i="24"/>
  <c r="O381" i="24"/>
  <c r="N381" i="24"/>
  <c r="M381" i="24"/>
  <c r="U380" i="24"/>
  <c r="T380" i="24"/>
  <c r="S380" i="24"/>
  <c r="R380" i="24"/>
  <c r="Q380" i="24"/>
  <c r="P380" i="24"/>
  <c r="O380" i="24"/>
  <c r="N380" i="24"/>
  <c r="M380" i="24"/>
  <c r="U379" i="24"/>
  <c r="T379" i="24"/>
  <c r="S379" i="24"/>
  <c r="R379" i="24"/>
  <c r="Q379" i="24"/>
  <c r="P379" i="24"/>
  <c r="O379" i="24"/>
  <c r="N379" i="24"/>
  <c r="M379" i="24"/>
  <c r="U378" i="24"/>
  <c r="T378" i="24"/>
  <c r="S378" i="24"/>
  <c r="R378" i="24"/>
  <c r="Q378" i="24"/>
  <c r="P378" i="24"/>
  <c r="O378" i="24"/>
  <c r="N378" i="24"/>
  <c r="M378" i="24"/>
  <c r="U377" i="24"/>
  <c r="T377" i="24"/>
  <c r="S377" i="24"/>
  <c r="R377" i="24"/>
  <c r="Q377" i="24"/>
  <c r="P377" i="24"/>
  <c r="O377" i="24"/>
  <c r="N377" i="24"/>
  <c r="M377" i="24"/>
  <c r="U376" i="24"/>
  <c r="T376" i="24"/>
  <c r="S376" i="24"/>
  <c r="R376" i="24"/>
  <c r="Q376" i="24"/>
  <c r="P376" i="24"/>
  <c r="O376" i="24"/>
  <c r="N376" i="24"/>
  <c r="M376" i="24"/>
  <c r="U375" i="24"/>
  <c r="T375" i="24"/>
  <c r="S375" i="24"/>
  <c r="R375" i="24"/>
  <c r="Q375" i="24"/>
  <c r="P375" i="24"/>
  <c r="O375" i="24"/>
  <c r="N375" i="24"/>
  <c r="M375" i="24"/>
  <c r="U374" i="24"/>
  <c r="T374" i="24"/>
  <c r="S374" i="24"/>
  <c r="R374" i="24"/>
  <c r="Q374" i="24"/>
  <c r="P374" i="24"/>
  <c r="O374" i="24"/>
  <c r="N374" i="24"/>
  <c r="M374" i="24"/>
  <c r="U373" i="24"/>
  <c r="T373" i="24"/>
  <c r="S373" i="24"/>
  <c r="R373" i="24"/>
  <c r="Q373" i="24"/>
  <c r="P373" i="24"/>
  <c r="O373" i="24"/>
  <c r="N373" i="24"/>
  <c r="M373" i="24"/>
  <c r="U372" i="24"/>
  <c r="T372" i="24"/>
  <c r="S372" i="24"/>
  <c r="R372" i="24"/>
  <c r="Q372" i="24"/>
  <c r="P372" i="24"/>
  <c r="O372" i="24"/>
  <c r="N372" i="24"/>
  <c r="M372" i="24"/>
  <c r="U371" i="24"/>
  <c r="T371" i="24"/>
  <c r="S371" i="24"/>
  <c r="R371" i="24"/>
  <c r="Q371" i="24"/>
  <c r="P371" i="24"/>
  <c r="O371" i="24"/>
  <c r="N371" i="24"/>
  <c r="M371" i="24"/>
  <c r="U370" i="24"/>
  <c r="T370" i="24"/>
  <c r="S370" i="24"/>
  <c r="R370" i="24"/>
  <c r="Q370" i="24"/>
  <c r="P370" i="24"/>
  <c r="O370" i="24"/>
  <c r="N370" i="24"/>
  <c r="M370" i="24"/>
  <c r="U369" i="24"/>
  <c r="T369" i="24"/>
  <c r="S369" i="24"/>
  <c r="R369" i="24"/>
  <c r="Q369" i="24"/>
  <c r="P369" i="24"/>
  <c r="O369" i="24"/>
  <c r="N369" i="24"/>
  <c r="M369" i="24"/>
  <c r="U368" i="24"/>
  <c r="T368" i="24"/>
  <c r="S368" i="24"/>
  <c r="R368" i="24"/>
  <c r="Q368" i="24"/>
  <c r="P368" i="24"/>
  <c r="O368" i="24"/>
  <c r="N368" i="24"/>
  <c r="M368" i="24"/>
  <c r="U367" i="24"/>
  <c r="T367" i="24"/>
  <c r="S367" i="24"/>
  <c r="R367" i="24"/>
  <c r="Q367" i="24"/>
  <c r="P367" i="24"/>
  <c r="O367" i="24"/>
  <c r="N367" i="24"/>
  <c r="M367" i="24"/>
  <c r="U366" i="24"/>
  <c r="T366" i="24"/>
  <c r="S366" i="24"/>
  <c r="R366" i="24"/>
  <c r="Q366" i="24"/>
  <c r="P366" i="24"/>
  <c r="O366" i="24"/>
  <c r="N366" i="24"/>
  <c r="M366" i="24"/>
  <c r="U365" i="24"/>
  <c r="T365" i="24"/>
  <c r="S365" i="24"/>
  <c r="R365" i="24"/>
  <c r="Q365" i="24"/>
  <c r="P365" i="24"/>
  <c r="O365" i="24"/>
  <c r="N365" i="24"/>
  <c r="M365" i="24"/>
  <c r="U364" i="24"/>
  <c r="T364" i="24"/>
  <c r="S364" i="24"/>
  <c r="R364" i="24"/>
  <c r="Q364" i="24"/>
  <c r="P364" i="24"/>
  <c r="O364" i="24"/>
  <c r="N364" i="24"/>
  <c r="M364" i="24"/>
  <c r="U363" i="24"/>
  <c r="T363" i="24"/>
  <c r="S363" i="24"/>
  <c r="R363" i="24"/>
  <c r="Q363" i="24"/>
  <c r="P363" i="24"/>
  <c r="O363" i="24"/>
  <c r="N363" i="24"/>
  <c r="M363" i="24"/>
  <c r="U362" i="24"/>
  <c r="T362" i="24"/>
  <c r="S362" i="24"/>
  <c r="R362" i="24"/>
  <c r="Q362" i="24"/>
  <c r="P362" i="24"/>
  <c r="O362" i="24"/>
  <c r="N362" i="24"/>
  <c r="M362" i="24"/>
  <c r="U361" i="24"/>
  <c r="T361" i="24"/>
  <c r="S361" i="24"/>
  <c r="R361" i="24"/>
  <c r="Q361" i="24"/>
  <c r="P361" i="24"/>
  <c r="O361" i="24"/>
  <c r="N361" i="24"/>
  <c r="M361" i="24"/>
  <c r="U360" i="24"/>
  <c r="T360" i="24"/>
  <c r="S360" i="24"/>
  <c r="R360" i="24"/>
  <c r="Q360" i="24"/>
  <c r="P360" i="24"/>
  <c r="O360" i="24"/>
  <c r="N360" i="24"/>
  <c r="M360" i="24"/>
  <c r="U359" i="24"/>
  <c r="T359" i="24"/>
  <c r="S359" i="24"/>
  <c r="R359" i="24"/>
  <c r="Q359" i="24"/>
  <c r="P359" i="24"/>
  <c r="O359" i="24"/>
  <c r="N359" i="24"/>
  <c r="M359" i="24"/>
  <c r="U358" i="24"/>
  <c r="T358" i="24"/>
  <c r="S358" i="24"/>
  <c r="R358" i="24"/>
  <c r="Q358" i="24"/>
  <c r="P358" i="24"/>
  <c r="O358" i="24"/>
  <c r="N358" i="24"/>
  <c r="M358" i="24"/>
  <c r="U357" i="24"/>
  <c r="T357" i="24"/>
  <c r="S357" i="24"/>
  <c r="R357" i="24"/>
  <c r="Q357" i="24"/>
  <c r="P357" i="24"/>
  <c r="O357" i="24"/>
  <c r="N357" i="24"/>
  <c r="M357" i="24"/>
  <c r="U356" i="24"/>
  <c r="T356" i="24"/>
  <c r="S356" i="24"/>
  <c r="R356" i="24"/>
  <c r="Q356" i="24"/>
  <c r="P356" i="24"/>
  <c r="O356" i="24"/>
  <c r="N356" i="24"/>
  <c r="M356" i="24"/>
  <c r="U355" i="24"/>
  <c r="T355" i="24"/>
  <c r="S355" i="24"/>
  <c r="R355" i="24"/>
  <c r="Q355" i="24"/>
  <c r="P355" i="24"/>
  <c r="O355" i="24"/>
  <c r="N355" i="24"/>
  <c r="M355" i="24"/>
  <c r="U354" i="24"/>
  <c r="T354" i="24"/>
  <c r="S354" i="24"/>
  <c r="R354" i="24"/>
  <c r="Q354" i="24"/>
  <c r="P354" i="24"/>
  <c r="O354" i="24"/>
  <c r="N354" i="24"/>
  <c r="M354" i="24"/>
  <c r="U353" i="24"/>
  <c r="T353" i="24"/>
  <c r="S353" i="24"/>
  <c r="R353" i="24"/>
  <c r="Q353" i="24"/>
  <c r="P353" i="24"/>
  <c r="O353" i="24"/>
  <c r="N353" i="24"/>
  <c r="M353" i="24"/>
  <c r="U352" i="24"/>
  <c r="T352" i="24"/>
  <c r="S352" i="24"/>
  <c r="R352" i="24"/>
  <c r="Q352" i="24"/>
  <c r="P352" i="24"/>
  <c r="O352" i="24"/>
  <c r="N352" i="24"/>
  <c r="M352" i="24"/>
  <c r="U351" i="24"/>
  <c r="T351" i="24"/>
  <c r="S351" i="24"/>
  <c r="R351" i="24"/>
  <c r="Q351" i="24"/>
  <c r="P351" i="24"/>
  <c r="O351" i="24"/>
  <c r="N351" i="24"/>
  <c r="M351" i="24"/>
  <c r="U350" i="24"/>
  <c r="T350" i="24"/>
  <c r="S350" i="24"/>
  <c r="R350" i="24"/>
  <c r="Q350" i="24"/>
  <c r="P350" i="24"/>
  <c r="O350" i="24"/>
  <c r="N350" i="24"/>
  <c r="M350" i="24"/>
  <c r="U349" i="24"/>
  <c r="T349" i="24"/>
  <c r="S349" i="24"/>
  <c r="R349" i="24"/>
  <c r="Q349" i="24"/>
  <c r="P349" i="24"/>
  <c r="O349" i="24"/>
  <c r="N349" i="24"/>
  <c r="M349" i="24"/>
  <c r="U348" i="24"/>
  <c r="T348" i="24"/>
  <c r="S348" i="24"/>
  <c r="R348" i="24"/>
  <c r="Q348" i="24"/>
  <c r="P348" i="24"/>
  <c r="O348" i="24"/>
  <c r="N348" i="24"/>
  <c r="M348" i="24"/>
  <c r="U347" i="24"/>
  <c r="T347" i="24"/>
  <c r="S347" i="24"/>
  <c r="R347" i="24"/>
  <c r="Q347" i="24"/>
  <c r="P347" i="24"/>
  <c r="O347" i="24"/>
  <c r="N347" i="24"/>
  <c r="M347" i="24"/>
  <c r="U346" i="24"/>
  <c r="T346" i="24"/>
  <c r="S346" i="24"/>
  <c r="R346" i="24"/>
  <c r="Q346" i="24"/>
  <c r="P346" i="24"/>
  <c r="O346" i="24"/>
  <c r="N346" i="24"/>
  <c r="M346" i="24"/>
  <c r="U345" i="24"/>
  <c r="T345" i="24"/>
  <c r="S345" i="24"/>
  <c r="R345" i="24"/>
  <c r="Q345" i="24"/>
  <c r="P345" i="24"/>
  <c r="O345" i="24"/>
  <c r="N345" i="24"/>
  <c r="M345" i="24"/>
  <c r="U344" i="24"/>
  <c r="T344" i="24"/>
  <c r="S344" i="24"/>
  <c r="R344" i="24"/>
  <c r="Q344" i="24"/>
  <c r="P344" i="24"/>
  <c r="O344" i="24"/>
  <c r="N344" i="24"/>
  <c r="M344" i="24"/>
  <c r="L344" i="24"/>
  <c r="E16" i="14" l="1"/>
  <c r="E17" i="14"/>
  <c r="E18" i="14"/>
  <c r="CL343" i="24"/>
  <c r="CI230" i="24"/>
  <c r="CJ230" i="24"/>
  <c r="AT230" i="24" s="1"/>
  <c r="CK230" i="24"/>
  <c r="BA230" i="24" s="1"/>
  <c r="CL230" i="24"/>
  <c r="CI231" i="24"/>
  <c r="CJ231" i="24"/>
  <c r="AT231" i="24" s="1"/>
  <c r="CK231" i="24"/>
  <c r="BA231" i="24" s="1"/>
  <c r="CL231" i="24"/>
  <c r="CI232" i="24"/>
  <c r="CJ232" i="24"/>
  <c r="AT232" i="24" s="1"/>
  <c r="CK232" i="24"/>
  <c r="BA232" i="24" s="1"/>
  <c r="CL232" i="24"/>
  <c r="CI233" i="24"/>
  <c r="CJ233" i="24"/>
  <c r="AT233" i="24" s="1"/>
  <c r="CK233" i="24"/>
  <c r="BA233" i="24" s="1"/>
  <c r="CL233" i="24"/>
  <c r="CI234" i="24"/>
  <c r="CJ234" i="24"/>
  <c r="AT234" i="24" s="1"/>
  <c r="CK234" i="24"/>
  <c r="BA234" i="24" s="1"/>
  <c r="CL234" i="24"/>
  <c r="CI235" i="24"/>
  <c r="CJ235" i="24"/>
  <c r="AT235" i="24" s="1"/>
  <c r="CK235" i="24"/>
  <c r="BA235" i="24" s="1"/>
  <c r="CL235" i="24"/>
  <c r="CI236" i="24"/>
  <c r="CJ236" i="24"/>
  <c r="AT236" i="24" s="1"/>
  <c r="CK236" i="24"/>
  <c r="BA236" i="24" s="1"/>
  <c r="CL236" i="24"/>
  <c r="CI237" i="24"/>
  <c r="CJ237" i="24"/>
  <c r="AT237" i="24" s="1"/>
  <c r="CK237" i="24"/>
  <c r="BA237" i="24" s="1"/>
  <c r="CL237" i="24"/>
  <c r="CI238" i="24"/>
  <c r="CJ238" i="24"/>
  <c r="AT238" i="24" s="1"/>
  <c r="CK238" i="24"/>
  <c r="BA238" i="24" s="1"/>
  <c r="CL238" i="24"/>
  <c r="CI239" i="24"/>
  <c r="CJ239" i="24"/>
  <c r="AT239" i="24" s="1"/>
  <c r="CK239" i="24"/>
  <c r="BA239" i="24" s="1"/>
  <c r="CL239" i="24"/>
  <c r="CI240" i="24"/>
  <c r="CJ240" i="24"/>
  <c r="AT240" i="24" s="1"/>
  <c r="CK240" i="24"/>
  <c r="BA240" i="24" s="1"/>
  <c r="CL240" i="24"/>
  <c r="CI241" i="24"/>
  <c r="CJ241" i="24"/>
  <c r="AT241" i="24" s="1"/>
  <c r="CK241" i="24"/>
  <c r="BA241" i="24" s="1"/>
  <c r="CL241" i="24"/>
  <c r="CI242" i="24"/>
  <c r="CJ242" i="24"/>
  <c r="AT242" i="24" s="1"/>
  <c r="CK242" i="24"/>
  <c r="BA242" i="24" s="1"/>
  <c r="CL242" i="24"/>
  <c r="CI243" i="24"/>
  <c r="CJ243" i="24"/>
  <c r="AT243" i="24" s="1"/>
  <c r="CK243" i="24"/>
  <c r="BA243" i="24" s="1"/>
  <c r="CL243" i="24"/>
  <c r="CI244" i="24"/>
  <c r="CJ244" i="24"/>
  <c r="AT244" i="24" s="1"/>
  <c r="CK244" i="24"/>
  <c r="BA244" i="24" s="1"/>
  <c r="CL244" i="24"/>
  <c r="CI246" i="24"/>
  <c r="CJ246" i="24"/>
  <c r="AT246" i="24" s="1"/>
  <c r="CK246" i="24"/>
  <c r="BA246" i="24" s="1"/>
  <c r="CL246" i="24"/>
  <c r="CI247" i="24"/>
  <c r="CJ247" i="24"/>
  <c r="AT247" i="24" s="1"/>
  <c r="CK247" i="24"/>
  <c r="BA247" i="24" s="1"/>
  <c r="CL247" i="24"/>
  <c r="CI249" i="24"/>
  <c r="CJ249" i="24"/>
  <c r="AT249" i="24" s="1"/>
  <c r="CK249" i="24"/>
  <c r="BA249" i="24" s="1"/>
  <c r="CL249" i="24"/>
  <c r="CI250" i="24"/>
  <c r="CJ250" i="24"/>
  <c r="AT250" i="24" s="1"/>
  <c r="CK250" i="24"/>
  <c r="BA250" i="24" s="1"/>
  <c r="CL250" i="24"/>
  <c r="CI251" i="24"/>
  <c r="CJ251" i="24"/>
  <c r="AT251" i="24" s="1"/>
  <c r="CK251" i="24"/>
  <c r="BA251" i="24" s="1"/>
  <c r="CL251" i="24"/>
  <c r="CI252" i="24"/>
  <c r="CJ252" i="24"/>
  <c r="AT252" i="24" s="1"/>
  <c r="CK252" i="24"/>
  <c r="BA252" i="24" s="1"/>
  <c r="CL252" i="24"/>
  <c r="CI253" i="24"/>
  <c r="CJ253" i="24"/>
  <c r="AT253" i="24" s="1"/>
  <c r="CK253" i="24"/>
  <c r="BA253" i="24" s="1"/>
  <c r="CL253" i="24"/>
  <c r="CI254" i="24"/>
  <c r="CJ254" i="24"/>
  <c r="AT254" i="24" s="1"/>
  <c r="CK254" i="24"/>
  <c r="BA254" i="24" s="1"/>
  <c r="CL254" i="24"/>
  <c r="CI255" i="24"/>
  <c r="CJ255" i="24"/>
  <c r="AT255" i="24" s="1"/>
  <c r="CK255" i="24"/>
  <c r="BA255" i="24" s="1"/>
  <c r="CL255" i="24"/>
  <c r="CI256" i="24"/>
  <c r="CJ256" i="24"/>
  <c r="AT256" i="24" s="1"/>
  <c r="CK256" i="24"/>
  <c r="BA256" i="24" s="1"/>
  <c r="CL256" i="24"/>
  <c r="CI257" i="24"/>
  <c r="CJ257" i="24"/>
  <c r="AT257" i="24" s="1"/>
  <c r="CK257" i="24"/>
  <c r="BA257" i="24" s="1"/>
  <c r="CL257" i="24"/>
  <c r="CI258" i="24"/>
  <c r="CJ258" i="24"/>
  <c r="AT258" i="24" s="1"/>
  <c r="CK258" i="24"/>
  <c r="BA258" i="24" s="1"/>
  <c r="CL258" i="24"/>
  <c r="CI259" i="24"/>
  <c r="CJ259" i="24"/>
  <c r="AT259" i="24" s="1"/>
  <c r="CK259" i="24"/>
  <c r="BA259" i="24" s="1"/>
  <c r="CL259" i="24"/>
  <c r="CI260" i="24"/>
  <c r="CJ260" i="24"/>
  <c r="AT260" i="24" s="1"/>
  <c r="CK260" i="24"/>
  <c r="BA260" i="24" s="1"/>
  <c r="CL260" i="24"/>
  <c r="CI261" i="24"/>
  <c r="CJ261" i="24"/>
  <c r="AT261" i="24" s="1"/>
  <c r="CK261" i="24"/>
  <c r="BA261" i="24" s="1"/>
  <c r="CL261" i="24"/>
  <c r="CI262" i="24"/>
  <c r="CJ262" i="24"/>
  <c r="AT262" i="24" s="1"/>
  <c r="CK262" i="24"/>
  <c r="BA262" i="24" s="1"/>
  <c r="CL262" i="24"/>
  <c r="CI263" i="24"/>
  <c r="CJ263" i="24"/>
  <c r="AT263" i="24" s="1"/>
  <c r="CK263" i="24"/>
  <c r="BA263" i="24" s="1"/>
  <c r="CL263" i="24"/>
  <c r="CI264" i="24"/>
  <c r="CJ264" i="24"/>
  <c r="AT264" i="24" s="1"/>
  <c r="CK264" i="24"/>
  <c r="BA264" i="24" s="1"/>
  <c r="CL264" i="24"/>
  <c r="CI265" i="24"/>
  <c r="CJ265" i="24"/>
  <c r="AT265" i="24" s="1"/>
  <c r="CK265" i="24"/>
  <c r="BA265" i="24" s="1"/>
  <c r="CL265" i="24"/>
  <c r="CI266" i="24"/>
  <c r="CJ266" i="24"/>
  <c r="AT266" i="24" s="1"/>
  <c r="CK266" i="24"/>
  <c r="BA266" i="24" s="1"/>
  <c r="CL266" i="24"/>
  <c r="CI267" i="24"/>
  <c r="CJ267" i="24"/>
  <c r="AT267" i="24" s="1"/>
  <c r="CK267" i="24"/>
  <c r="BA267" i="24" s="1"/>
  <c r="CL267" i="24"/>
  <c r="CI269" i="24"/>
  <c r="CJ269" i="24"/>
  <c r="AT269" i="24" s="1"/>
  <c r="CK269" i="24"/>
  <c r="BA269" i="24" s="1"/>
  <c r="CL269" i="24"/>
  <c r="CI271" i="24"/>
  <c r="CJ271" i="24"/>
  <c r="AT271" i="24" s="1"/>
  <c r="CK271" i="24"/>
  <c r="BA271" i="24" s="1"/>
  <c r="CL271" i="24"/>
  <c r="CI272" i="24"/>
  <c r="CJ272" i="24"/>
  <c r="AT272" i="24" s="1"/>
  <c r="CK272" i="24"/>
  <c r="BA272" i="24" s="1"/>
  <c r="CL272" i="24"/>
  <c r="CI273" i="24"/>
  <c r="CJ273" i="24"/>
  <c r="AT273" i="24" s="1"/>
  <c r="CK273" i="24"/>
  <c r="BA273" i="24" s="1"/>
  <c r="CL273" i="24"/>
  <c r="CI274" i="24"/>
  <c r="CJ274" i="24"/>
  <c r="AT274" i="24" s="1"/>
  <c r="CK274" i="24"/>
  <c r="BA274" i="24" s="1"/>
  <c r="CL274" i="24"/>
  <c r="CI275" i="24"/>
  <c r="CJ275" i="24"/>
  <c r="AT275" i="24" s="1"/>
  <c r="CK275" i="24"/>
  <c r="BA275" i="24" s="1"/>
  <c r="CL275" i="24"/>
  <c r="CI276" i="24"/>
  <c r="CJ276" i="24"/>
  <c r="AT276" i="24" s="1"/>
  <c r="CK276" i="24"/>
  <c r="BA276" i="24" s="1"/>
  <c r="CL276" i="24"/>
  <c r="CI277" i="24"/>
  <c r="CJ277" i="24"/>
  <c r="AT277" i="24" s="1"/>
  <c r="CK277" i="24"/>
  <c r="BA277" i="24" s="1"/>
  <c r="CL277" i="24"/>
  <c r="CI278" i="24"/>
  <c r="CJ278" i="24"/>
  <c r="AT278" i="24" s="1"/>
  <c r="CK278" i="24"/>
  <c r="BA278" i="24" s="1"/>
  <c r="CL278" i="24"/>
  <c r="CI279" i="24"/>
  <c r="CJ279" i="24"/>
  <c r="AT279" i="24" s="1"/>
  <c r="CK279" i="24"/>
  <c r="BA279" i="24" s="1"/>
  <c r="CL279" i="24"/>
  <c r="CI280" i="24"/>
  <c r="CJ280" i="24"/>
  <c r="AT280" i="24" s="1"/>
  <c r="CK280" i="24"/>
  <c r="BA280" i="24" s="1"/>
  <c r="CL280" i="24"/>
  <c r="CI281" i="24"/>
  <c r="CJ281" i="24"/>
  <c r="AT281" i="24" s="1"/>
  <c r="CK281" i="24"/>
  <c r="BA281" i="24" s="1"/>
  <c r="CL281" i="24"/>
  <c r="CI282" i="24"/>
  <c r="CJ282" i="24"/>
  <c r="AT282" i="24" s="1"/>
  <c r="CK282" i="24"/>
  <c r="BA282" i="24" s="1"/>
  <c r="CL282" i="24"/>
  <c r="CI283" i="24"/>
  <c r="CJ283" i="24"/>
  <c r="AT283" i="24" s="1"/>
  <c r="CK283" i="24"/>
  <c r="BA283" i="24" s="1"/>
  <c r="CL283" i="24"/>
  <c r="CI284" i="24"/>
  <c r="CJ284" i="24"/>
  <c r="AT284" i="24" s="1"/>
  <c r="CK284" i="24"/>
  <c r="BA284" i="24" s="1"/>
  <c r="CL284" i="24"/>
  <c r="CI285" i="24"/>
  <c r="CJ285" i="24"/>
  <c r="AT285" i="24" s="1"/>
  <c r="CK285" i="24"/>
  <c r="BA285" i="24" s="1"/>
  <c r="CL285" i="24"/>
  <c r="CI286" i="24"/>
  <c r="CJ286" i="24"/>
  <c r="AT286" i="24" s="1"/>
  <c r="CK286" i="24"/>
  <c r="BA286" i="24" s="1"/>
  <c r="CL286" i="24"/>
  <c r="CI287" i="24"/>
  <c r="CJ287" i="24"/>
  <c r="AT287" i="24" s="1"/>
  <c r="CK287" i="24"/>
  <c r="BA287" i="24" s="1"/>
  <c r="CL287" i="24"/>
  <c r="CI288" i="24"/>
  <c r="CJ288" i="24"/>
  <c r="AT288" i="24" s="1"/>
  <c r="CK288" i="24"/>
  <c r="BA288" i="24" s="1"/>
  <c r="CL288" i="24"/>
  <c r="CI289" i="24"/>
  <c r="CJ289" i="24"/>
  <c r="AT289" i="24" s="1"/>
  <c r="CK289" i="24"/>
  <c r="BA289" i="24" s="1"/>
  <c r="CL289" i="24"/>
  <c r="CI290" i="24"/>
  <c r="CJ290" i="24"/>
  <c r="AT290" i="24" s="1"/>
  <c r="CK290" i="24"/>
  <c r="BA290" i="24" s="1"/>
  <c r="CL290" i="24"/>
  <c r="CI291" i="24"/>
  <c r="CJ291" i="24"/>
  <c r="AT291" i="24" s="1"/>
  <c r="CK291" i="24"/>
  <c r="BA291" i="24" s="1"/>
  <c r="CL291" i="24"/>
  <c r="CI292" i="24"/>
  <c r="CJ292" i="24"/>
  <c r="AT292" i="24" s="1"/>
  <c r="CK292" i="24"/>
  <c r="BA292" i="24" s="1"/>
  <c r="CL292" i="24"/>
  <c r="CI293" i="24"/>
  <c r="CJ293" i="24"/>
  <c r="AT293" i="24" s="1"/>
  <c r="CK293" i="24"/>
  <c r="BA293" i="24" s="1"/>
  <c r="CL293" i="24"/>
  <c r="CI294" i="24"/>
  <c r="CJ294" i="24"/>
  <c r="AT294" i="24" s="1"/>
  <c r="CK294" i="24"/>
  <c r="BA294" i="24" s="1"/>
  <c r="CL294" i="24"/>
  <c r="CI295" i="24"/>
  <c r="CJ295" i="24"/>
  <c r="AT295" i="24" s="1"/>
  <c r="CK295" i="24"/>
  <c r="BA295" i="24" s="1"/>
  <c r="CL295" i="24"/>
  <c r="CI296" i="24"/>
  <c r="CJ296" i="24"/>
  <c r="AT296" i="24" s="1"/>
  <c r="CK296" i="24"/>
  <c r="BA296" i="24" s="1"/>
  <c r="CL296" i="24"/>
  <c r="CI297" i="24"/>
  <c r="CJ297" i="24"/>
  <c r="AT297" i="24" s="1"/>
  <c r="CK297" i="24"/>
  <c r="BA297" i="24" s="1"/>
  <c r="CL297" i="24"/>
  <c r="CI298" i="24"/>
  <c r="CJ298" i="24"/>
  <c r="AT298" i="24" s="1"/>
  <c r="CK298" i="24"/>
  <c r="BA298" i="24" s="1"/>
  <c r="CL298" i="24"/>
  <c r="CI299" i="24"/>
  <c r="CJ299" i="24"/>
  <c r="AT299" i="24" s="1"/>
  <c r="CK299" i="24"/>
  <c r="BA299" i="24" s="1"/>
  <c r="CL299" i="24"/>
  <c r="CI300" i="24"/>
  <c r="CJ300" i="24"/>
  <c r="AT300" i="24" s="1"/>
  <c r="CK300" i="24"/>
  <c r="BA300" i="24" s="1"/>
  <c r="CL300" i="24"/>
  <c r="CI301" i="24"/>
  <c r="CJ301" i="24"/>
  <c r="AT301" i="24" s="1"/>
  <c r="CK301" i="24"/>
  <c r="BA301" i="24" s="1"/>
  <c r="CL301" i="24"/>
  <c r="CI302" i="24"/>
  <c r="CJ302" i="24"/>
  <c r="AT302" i="24" s="1"/>
  <c r="CK302" i="24"/>
  <c r="BA302" i="24" s="1"/>
  <c r="CL302" i="24"/>
  <c r="CI303" i="24"/>
  <c r="CJ303" i="24"/>
  <c r="AT303" i="24" s="1"/>
  <c r="CK303" i="24"/>
  <c r="BA303" i="24" s="1"/>
  <c r="CL303" i="24"/>
  <c r="CI304" i="24"/>
  <c r="CJ304" i="24"/>
  <c r="AT304" i="24" s="1"/>
  <c r="CK304" i="24"/>
  <c r="BA304" i="24" s="1"/>
  <c r="CL304" i="24"/>
  <c r="CI305" i="24"/>
  <c r="CJ305" i="24"/>
  <c r="AT305" i="24" s="1"/>
  <c r="CK305" i="24"/>
  <c r="BA305" i="24" s="1"/>
  <c r="CL305" i="24"/>
  <c r="CI306" i="24"/>
  <c r="CJ306" i="24"/>
  <c r="AT306" i="24" s="1"/>
  <c r="CK306" i="24"/>
  <c r="BA306" i="24" s="1"/>
  <c r="CL306" i="24"/>
  <c r="CI307" i="24"/>
  <c r="CJ307" i="24"/>
  <c r="AT307" i="24" s="1"/>
  <c r="CK307" i="24"/>
  <c r="BA307" i="24" s="1"/>
  <c r="CL307" i="24"/>
  <c r="CI308" i="24"/>
  <c r="CJ308" i="24"/>
  <c r="AT308" i="24" s="1"/>
  <c r="CK308" i="24"/>
  <c r="BA308" i="24" s="1"/>
  <c r="CL308" i="24"/>
  <c r="CI309" i="24"/>
  <c r="CJ309" i="24"/>
  <c r="AT309" i="24" s="1"/>
  <c r="CK309" i="24"/>
  <c r="BA309" i="24" s="1"/>
  <c r="CL309" i="24"/>
  <c r="CI310" i="24"/>
  <c r="CJ310" i="24"/>
  <c r="AT310" i="24" s="1"/>
  <c r="CK310" i="24"/>
  <c r="BA310" i="24" s="1"/>
  <c r="CL310" i="24"/>
  <c r="CI311" i="24"/>
  <c r="CJ311" i="24"/>
  <c r="AT311" i="24" s="1"/>
  <c r="CK311" i="24"/>
  <c r="BA311" i="24" s="1"/>
  <c r="CL311" i="24"/>
  <c r="CI312" i="24"/>
  <c r="CJ312" i="24"/>
  <c r="AT312" i="24" s="1"/>
  <c r="CK312" i="24"/>
  <c r="BA312" i="24" s="1"/>
  <c r="CL312" i="24"/>
  <c r="CI313" i="24"/>
  <c r="CJ313" i="24"/>
  <c r="AT313" i="24" s="1"/>
  <c r="CK313" i="24"/>
  <c r="BA313" i="24" s="1"/>
  <c r="CL313" i="24"/>
  <c r="CI314" i="24"/>
  <c r="CJ314" i="24"/>
  <c r="AT314" i="24" s="1"/>
  <c r="CK314" i="24"/>
  <c r="BA314" i="24" s="1"/>
  <c r="CL314" i="24"/>
  <c r="CI315" i="24"/>
  <c r="CJ315" i="24"/>
  <c r="AT315" i="24" s="1"/>
  <c r="CK315" i="24"/>
  <c r="BA315" i="24" s="1"/>
  <c r="CL315" i="24"/>
  <c r="CI316" i="24"/>
  <c r="CJ316" i="24"/>
  <c r="AT316" i="24" s="1"/>
  <c r="CK316" i="24"/>
  <c r="BA316" i="24" s="1"/>
  <c r="CL316" i="24"/>
  <c r="CI317" i="24"/>
  <c r="CJ317" i="24"/>
  <c r="AT317" i="24" s="1"/>
  <c r="CK317" i="24"/>
  <c r="BA317" i="24" s="1"/>
  <c r="CL317" i="24"/>
  <c r="CI318" i="24"/>
  <c r="CJ318" i="24"/>
  <c r="AT318" i="24" s="1"/>
  <c r="CK318" i="24"/>
  <c r="BA318" i="24" s="1"/>
  <c r="CL318" i="24"/>
  <c r="CI319" i="24"/>
  <c r="CJ319" i="24"/>
  <c r="AT319" i="24" s="1"/>
  <c r="CK319" i="24"/>
  <c r="BA319" i="24" s="1"/>
  <c r="CL319" i="24"/>
  <c r="CI320" i="24"/>
  <c r="CJ320" i="24"/>
  <c r="AT320" i="24" s="1"/>
  <c r="CK320" i="24"/>
  <c r="BA320" i="24" s="1"/>
  <c r="CL320" i="24"/>
  <c r="CI321" i="24"/>
  <c r="CJ321" i="24"/>
  <c r="AT321" i="24" s="1"/>
  <c r="CK321" i="24"/>
  <c r="BA321" i="24" s="1"/>
  <c r="CL321" i="24"/>
  <c r="CI322" i="24"/>
  <c r="CJ322" i="24"/>
  <c r="AT322" i="24" s="1"/>
  <c r="CK322" i="24"/>
  <c r="BA322" i="24" s="1"/>
  <c r="CL322" i="24"/>
  <c r="CI323" i="24"/>
  <c r="CJ323" i="24"/>
  <c r="AT323" i="24" s="1"/>
  <c r="CK323" i="24"/>
  <c r="BA323" i="24" s="1"/>
  <c r="CL323" i="24"/>
  <c r="CI324" i="24"/>
  <c r="CJ324" i="24"/>
  <c r="AT324" i="24" s="1"/>
  <c r="CK324" i="24"/>
  <c r="BA324" i="24" s="1"/>
  <c r="CL324" i="24"/>
  <c r="CI325" i="24"/>
  <c r="CJ325" i="24"/>
  <c r="AT325" i="24" s="1"/>
  <c r="CK325" i="24"/>
  <c r="BA325" i="24" s="1"/>
  <c r="CL325" i="24"/>
  <c r="CI326" i="24"/>
  <c r="CJ326" i="24"/>
  <c r="AT326" i="24" s="1"/>
  <c r="CK326" i="24"/>
  <c r="BA326" i="24" s="1"/>
  <c r="CL326" i="24"/>
  <c r="CI327" i="24"/>
  <c r="CJ327" i="24"/>
  <c r="AT327" i="24" s="1"/>
  <c r="CK327" i="24"/>
  <c r="BA327" i="24" s="1"/>
  <c r="CL327" i="24"/>
  <c r="CI328" i="24"/>
  <c r="CJ328" i="24"/>
  <c r="AT328" i="24" s="1"/>
  <c r="CK328" i="24"/>
  <c r="BA328" i="24" s="1"/>
  <c r="CL328" i="24"/>
  <c r="CI329" i="24"/>
  <c r="CJ329" i="24"/>
  <c r="AT329" i="24" s="1"/>
  <c r="CK329" i="24"/>
  <c r="BA329" i="24" s="1"/>
  <c r="CL329" i="24"/>
  <c r="CI331" i="24"/>
  <c r="CJ331" i="24"/>
  <c r="AT331" i="24" s="1"/>
  <c r="CK331" i="24"/>
  <c r="BA331" i="24" s="1"/>
  <c r="CL331" i="24"/>
  <c r="CI332" i="24"/>
  <c r="CJ332" i="24"/>
  <c r="AT332" i="24" s="1"/>
  <c r="CK332" i="24"/>
  <c r="BA332" i="24" s="1"/>
  <c r="CL332" i="24"/>
  <c r="CI333" i="24"/>
  <c r="CJ333" i="24"/>
  <c r="AT333" i="24" s="1"/>
  <c r="CK333" i="24"/>
  <c r="BA333" i="24" s="1"/>
  <c r="CL333" i="24"/>
  <c r="CI334" i="24"/>
  <c r="CJ334" i="24"/>
  <c r="AT334" i="24" s="1"/>
  <c r="CK334" i="24"/>
  <c r="BA334" i="24" s="1"/>
  <c r="CL334" i="24"/>
  <c r="CI335" i="24"/>
  <c r="CJ335" i="24"/>
  <c r="AT335" i="24" s="1"/>
  <c r="CK335" i="24"/>
  <c r="BA335" i="24" s="1"/>
  <c r="CL335" i="24"/>
  <c r="CI336" i="24"/>
  <c r="CJ336" i="24"/>
  <c r="AT336" i="24" s="1"/>
  <c r="CK336" i="24"/>
  <c r="BA336" i="24" s="1"/>
  <c r="CL336" i="24"/>
  <c r="CI337" i="24"/>
  <c r="CJ337" i="24"/>
  <c r="AT337" i="24" s="1"/>
  <c r="CK337" i="24"/>
  <c r="BA337" i="24" s="1"/>
  <c r="CL337" i="24"/>
  <c r="CI338" i="24"/>
  <c r="CJ338" i="24"/>
  <c r="AT338" i="24" s="1"/>
  <c r="CK338" i="24"/>
  <c r="BA338" i="24" s="1"/>
  <c r="CL338" i="24"/>
  <c r="CI339" i="24"/>
  <c r="CJ339" i="24"/>
  <c r="AT339" i="24" s="1"/>
  <c r="CK339" i="24"/>
  <c r="BA339" i="24" s="1"/>
  <c r="CL339" i="24"/>
  <c r="CI340" i="24"/>
  <c r="CJ340" i="24"/>
  <c r="AT340" i="24" s="1"/>
  <c r="CK340" i="24"/>
  <c r="BA340" i="24" s="1"/>
  <c r="CL340" i="24"/>
  <c r="CI341" i="24"/>
  <c r="CJ341" i="24"/>
  <c r="AT341" i="24" s="1"/>
  <c r="CK341" i="24"/>
  <c r="BA341" i="24" s="1"/>
  <c r="CL341" i="24"/>
  <c r="CI342" i="24"/>
  <c r="CJ342" i="24"/>
  <c r="AT342" i="24" s="1"/>
  <c r="CK342" i="24"/>
  <c r="BA342" i="24" s="1"/>
  <c r="CL342" i="24"/>
  <c r="CI343" i="24"/>
  <c r="CJ343" i="24"/>
  <c r="AT343" i="24" s="1"/>
  <c r="CK343" i="24"/>
  <c r="BA343" i="24" s="1"/>
  <c r="CH343" i="24"/>
  <c r="AK343" i="24" s="1"/>
  <c r="CH231" i="24"/>
  <c r="AK231" i="24" s="1"/>
  <c r="CH232" i="24"/>
  <c r="AK232" i="24" s="1"/>
  <c r="CH233" i="24"/>
  <c r="AK233" i="24" s="1"/>
  <c r="CH234" i="24"/>
  <c r="AK234" i="24" s="1"/>
  <c r="CH235" i="24"/>
  <c r="AK235" i="24" s="1"/>
  <c r="CH236" i="24"/>
  <c r="AK236" i="24" s="1"/>
  <c r="CH237" i="24"/>
  <c r="AK237" i="24" s="1"/>
  <c r="CH238" i="24"/>
  <c r="AK238" i="24" s="1"/>
  <c r="CH239" i="24"/>
  <c r="AK239" i="24" s="1"/>
  <c r="CH240" i="24"/>
  <c r="AK240" i="24" s="1"/>
  <c r="CH241" i="24"/>
  <c r="AK241" i="24" s="1"/>
  <c r="CH242" i="24"/>
  <c r="AK242" i="24" s="1"/>
  <c r="CH243" i="24"/>
  <c r="AK243" i="24" s="1"/>
  <c r="CH244" i="24"/>
  <c r="AK244" i="24" s="1"/>
  <c r="CH246" i="24"/>
  <c r="AK246" i="24" s="1"/>
  <c r="CH247" i="24"/>
  <c r="AK247" i="24" s="1"/>
  <c r="CH249" i="24"/>
  <c r="AK249" i="24" s="1"/>
  <c r="CH250" i="24"/>
  <c r="AK250" i="24" s="1"/>
  <c r="CH251" i="24"/>
  <c r="AK251" i="24" s="1"/>
  <c r="CH252" i="24"/>
  <c r="AK252" i="24" s="1"/>
  <c r="CH253" i="24"/>
  <c r="AK253" i="24" s="1"/>
  <c r="CH254" i="24"/>
  <c r="AK254" i="24" s="1"/>
  <c r="CH255" i="24"/>
  <c r="AK255" i="24" s="1"/>
  <c r="CH256" i="24"/>
  <c r="AK256" i="24" s="1"/>
  <c r="CH257" i="24"/>
  <c r="AK257" i="24" s="1"/>
  <c r="CH258" i="24"/>
  <c r="AK258" i="24" s="1"/>
  <c r="CH259" i="24"/>
  <c r="AK259" i="24" s="1"/>
  <c r="CH260" i="24"/>
  <c r="AK260" i="24" s="1"/>
  <c r="CH261" i="24"/>
  <c r="AK261" i="24" s="1"/>
  <c r="CH262" i="24"/>
  <c r="AK262" i="24" s="1"/>
  <c r="CH263" i="24"/>
  <c r="AK263" i="24" s="1"/>
  <c r="CH264" i="24"/>
  <c r="AK264" i="24" s="1"/>
  <c r="CH265" i="24"/>
  <c r="AK265" i="24" s="1"/>
  <c r="CH266" i="24"/>
  <c r="AK266" i="24" s="1"/>
  <c r="CH267" i="24"/>
  <c r="AK267" i="24" s="1"/>
  <c r="CH269" i="24"/>
  <c r="AK269" i="24" s="1"/>
  <c r="CH271" i="24"/>
  <c r="AK271" i="24" s="1"/>
  <c r="CH272" i="24"/>
  <c r="AK272" i="24" s="1"/>
  <c r="CH273" i="24"/>
  <c r="AK273" i="24" s="1"/>
  <c r="CH274" i="24"/>
  <c r="AK274" i="24" s="1"/>
  <c r="CH275" i="24"/>
  <c r="AK275" i="24" s="1"/>
  <c r="CH276" i="24"/>
  <c r="AK276" i="24" s="1"/>
  <c r="CH277" i="24"/>
  <c r="AK277" i="24" s="1"/>
  <c r="CH278" i="24"/>
  <c r="AK278" i="24" s="1"/>
  <c r="CH279" i="24"/>
  <c r="AK279" i="24" s="1"/>
  <c r="CH280" i="24"/>
  <c r="AK280" i="24" s="1"/>
  <c r="CH281" i="24"/>
  <c r="AK281" i="24" s="1"/>
  <c r="CH282" i="24"/>
  <c r="AK282" i="24" s="1"/>
  <c r="CH283" i="24"/>
  <c r="AK283" i="24" s="1"/>
  <c r="CH284" i="24"/>
  <c r="AK284" i="24" s="1"/>
  <c r="CH285" i="24"/>
  <c r="AK285" i="24" s="1"/>
  <c r="CH286" i="24"/>
  <c r="AK286" i="24" s="1"/>
  <c r="CH287" i="24"/>
  <c r="AK287" i="24" s="1"/>
  <c r="CH288" i="24"/>
  <c r="AK288" i="24" s="1"/>
  <c r="CH289" i="24"/>
  <c r="AK289" i="24" s="1"/>
  <c r="CH290" i="24"/>
  <c r="AK290" i="24" s="1"/>
  <c r="CH291" i="24"/>
  <c r="AK291" i="24" s="1"/>
  <c r="CH292" i="24"/>
  <c r="AK292" i="24" s="1"/>
  <c r="CH293" i="24"/>
  <c r="AK293" i="24" s="1"/>
  <c r="CH294" i="24"/>
  <c r="AK294" i="24" s="1"/>
  <c r="CH295" i="24"/>
  <c r="AK295" i="24" s="1"/>
  <c r="CH296" i="24"/>
  <c r="AK296" i="24" s="1"/>
  <c r="CH297" i="24"/>
  <c r="AK297" i="24" s="1"/>
  <c r="CH298" i="24"/>
  <c r="AK298" i="24" s="1"/>
  <c r="CH299" i="24"/>
  <c r="AK299" i="24" s="1"/>
  <c r="CH300" i="24"/>
  <c r="AK300" i="24" s="1"/>
  <c r="CH301" i="24"/>
  <c r="AK301" i="24" s="1"/>
  <c r="CH302" i="24"/>
  <c r="AK302" i="24" s="1"/>
  <c r="CH303" i="24"/>
  <c r="AK303" i="24" s="1"/>
  <c r="CH304" i="24"/>
  <c r="AK304" i="24" s="1"/>
  <c r="CH305" i="24"/>
  <c r="AK305" i="24" s="1"/>
  <c r="CH306" i="24"/>
  <c r="AK306" i="24" s="1"/>
  <c r="CH307" i="24"/>
  <c r="AK307" i="24" s="1"/>
  <c r="CH308" i="24"/>
  <c r="AK308" i="24" s="1"/>
  <c r="CH309" i="24"/>
  <c r="AK309" i="24" s="1"/>
  <c r="CH310" i="24"/>
  <c r="AK310" i="24" s="1"/>
  <c r="CH311" i="24"/>
  <c r="AK311" i="24" s="1"/>
  <c r="CH312" i="24"/>
  <c r="AK312" i="24" s="1"/>
  <c r="CH313" i="24"/>
  <c r="AK313" i="24" s="1"/>
  <c r="CH314" i="24"/>
  <c r="AK314" i="24" s="1"/>
  <c r="CH315" i="24"/>
  <c r="AK315" i="24" s="1"/>
  <c r="CH316" i="24"/>
  <c r="AK316" i="24" s="1"/>
  <c r="CH317" i="24"/>
  <c r="AK317" i="24" s="1"/>
  <c r="CH318" i="24"/>
  <c r="AK318" i="24" s="1"/>
  <c r="CH319" i="24"/>
  <c r="AK319" i="24" s="1"/>
  <c r="CH320" i="24"/>
  <c r="AK320" i="24" s="1"/>
  <c r="CH321" i="24"/>
  <c r="AK321" i="24" s="1"/>
  <c r="CH322" i="24"/>
  <c r="AK322" i="24" s="1"/>
  <c r="CH323" i="24"/>
  <c r="AK323" i="24" s="1"/>
  <c r="CH324" i="24"/>
  <c r="AK324" i="24" s="1"/>
  <c r="CH325" i="24"/>
  <c r="AK325" i="24" s="1"/>
  <c r="CH326" i="24"/>
  <c r="AK326" i="24" s="1"/>
  <c r="CH327" i="24"/>
  <c r="AK327" i="24" s="1"/>
  <c r="CH328" i="24"/>
  <c r="AK328" i="24" s="1"/>
  <c r="CH329" i="24"/>
  <c r="AK329" i="24" s="1"/>
  <c r="CH331" i="24"/>
  <c r="AK331" i="24" s="1"/>
  <c r="CH332" i="24"/>
  <c r="AK332" i="24" s="1"/>
  <c r="CH333" i="24"/>
  <c r="AK333" i="24" s="1"/>
  <c r="CH334" i="24"/>
  <c r="AK334" i="24" s="1"/>
  <c r="CH335" i="24"/>
  <c r="AK335" i="24" s="1"/>
  <c r="CH336" i="24"/>
  <c r="AK336" i="24" s="1"/>
  <c r="CH337" i="24"/>
  <c r="AK337" i="24" s="1"/>
  <c r="CH338" i="24"/>
  <c r="AK338" i="24" s="1"/>
  <c r="CH339" i="24"/>
  <c r="AK339" i="24" s="1"/>
  <c r="CH340" i="24"/>
  <c r="AK340" i="24" s="1"/>
  <c r="CH341" i="24"/>
  <c r="AK341" i="24" s="1"/>
  <c r="CH342" i="24"/>
  <c r="AK342" i="24" s="1"/>
  <c r="CH230" i="24"/>
  <c r="Z231" i="24"/>
  <c r="AA231" i="24"/>
  <c r="AB231" i="24"/>
  <c r="AC231" i="24"/>
  <c r="AD231" i="24"/>
  <c r="Z232" i="24"/>
  <c r="AA232" i="24"/>
  <c r="AB232" i="24"/>
  <c r="AC232" i="24"/>
  <c r="AD232" i="24"/>
  <c r="Z233" i="24"/>
  <c r="AA233" i="24"/>
  <c r="AB233" i="24"/>
  <c r="AC233" i="24"/>
  <c r="AD233" i="24"/>
  <c r="Z234" i="24"/>
  <c r="AA234" i="24"/>
  <c r="AB234" i="24"/>
  <c r="AC234" i="24"/>
  <c r="AD234" i="24"/>
  <c r="Z235" i="24"/>
  <c r="AA235" i="24"/>
  <c r="AB235" i="24"/>
  <c r="AC235" i="24"/>
  <c r="AD235" i="24"/>
  <c r="Z236" i="24"/>
  <c r="AA236" i="24"/>
  <c r="AB236" i="24"/>
  <c r="AC236" i="24"/>
  <c r="AD236" i="24"/>
  <c r="Z237" i="24"/>
  <c r="AA237" i="24"/>
  <c r="AB237" i="24"/>
  <c r="AC237" i="24"/>
  <c r="AD237" i="24"/>
  <c r="Z238" i="24"/>
  <c r="AA238" i="24"/>
  <c r="AB238" i="24"/>
  <c r="AC238" i="24"/>
  <c r="AD238" i="24"/>
  <c r="Z239" i="24"/>
  <c r="AA239" i="24"/>
  <c r="AB239" i="24"/>
  <c r="AC239" i="24"/>
  <c r="AD239" i="24"/>
  <c r="Z240" i="24"/>
  <c r="AA240" i="24"/>
  <c r="AB240" i="24"/>
  <c r="AC240" i="24"/>
  <c r="AD240" i="24"/>
  <c r="Z241" i="24"/>
  <c r="AA241" i="24"/>
  <c r="AB241" i="24"/>
  <c r="AC241" i="24"/>
  <c r="AD241" i="24"/>
  <c r="Z242" i="24"/>
  <c r="AA242" i="24"/>
  <c r="AB242" i="24"/>
  <c r="AC242" i="24"/>
  <c r="AD242" i="24"/>
  <c r="Z243" i="24"/>
  <c r="AA243" i="24"/>
  <c r="AB243" i="24"/>
  <c r="AC243" i="24"/>
  <c r="AD243" i="24"/>
  <c r="Z244" i="24"/>
  <c r="AA244" i="24"/>
  <c r="AB244" i="24"/>
  <c r="AC244" i="24"/>
  <c r="AD244" i="24"/>
  <c r="Z246" i="24"/>
  <c r="AA246" i="24"/>
  <c r="AB246" i="24"/>
  <c r="AC246" i="24"/>
  <c r="AD246" i="24"/>
  <c r="Z247" i="24"/>
  <c r="AA247" i="24"/>
  <c r="AB247" i="24"/>
  <c r="AC247" i="24"/>
  <c r="AD247" i="24"/>
  <c r="Z249" i="24"/>
  <c r="AA249" i="24"/>
  <c r="AB249" i="24"/>
  <c r="AC249" i="24"/>
  <c r="AD249" i="24"/>
  <c r="Z250" i="24"/>
  <c r="AA250" i="24"/>
  <c r="AB250" i="24"/>
  <c r="AC250" i="24"/>
  <c r="AD250" i="24"/>
  <c r="Z251" i="24"/>
  <c r="AA251" i="24"/>
  <c r="AB251" i="24"/>
  <c r="AC251" i="24"/>
  <c r="AD251" i="24"/>
  <c r="Z252" i="24"/>
  <c r="AA252" i="24"/>
  <c r="AB252" i="24"/>
  <c r="AC252" i="24"/>
  <c r="AD252" i="24"/>
  <c r="Z253" i="24"/>
  <c r="AA253" i="24"/>
  <c r="AB253" i="24"/>
  <c r="AC253" i="24"/>
  <c r="AD253" i="24"/>
  <c r="Z254" i="24"/>
  <c r="AA254" i="24"/>
  <c r="AB254" i="24"/>
  <c r="AC254" i="24"/>
  <c r="AD254" i="24"/>
  <c r="Z255" i="24"/>
  <c r="AA255" i="24"/>
  <c r="AB255" i="24"/>
  <c r="AC255" i="24"/>
  <c r="AD255" i="24"/>
  <c r="Z256" i="24"/>
  <c r="AA256" i="24"/>
  <c r="AB256" i="24"/>
  <c r="AC256" i="24"/>
  <c r="AD256" i="24"/>
  <c r="Z257" i="24"/>
  <c r="AA257" i="24"/>
  <c r="AB257" i="24"/>
  <c r="AC257" i="24"/>
  <c r="AD257" i="24"/>
  <c r="Z258" i="24"/>
  <c r="AA258" i="24"/>
  <c r="AB258" i="24"/>
  <c r="AC258" i="24"/>
  <c r="AD258" i="24"/>
  <c r="Z259" i="24"/>
  <c r="AA259" i="24"/>
  <c r="AB259" i="24"/>
  <c r="AC259" i="24"/>
  <c r="AD259" i="24"/>
  <c r="Z260" i="24"/>
  <c r="AA260" i="24"/>
  <c r="AB260" i="24"/>
  <c r="AC260" i="24"/>
  <c r="AD260" i="24"/>
  <c r="Z261" i="24"/>
  <c r="AA261" i="24"/>
  <c r="AB261" i="24"/>
  <c r="AC261" i="24"/>
  <c r="AD261" i="24"/>
  <c r="Z262" i="24"/>
  <c r="AA262" i="24"/>
  <c r="AB262" i="24"/>
  <c r="AC262" i="24"/>
  <c r="AD262" i="24"/>
  <c r="Z263" i="24"/>
  <c r="AA263" i="24"/>
  <c r="AB263" i="24"/>
  <c r="AC263" i="24"/>
  <c r="AD263" i="24"/>
  <c r="Z264" i="24"/>
  <c r="AA264" i="24"/>
  <c r="AB264" i="24"/>
  <c r="AC264" i="24"/>
  <c r="AD264" i="24"/>
  <c r="Z265" i="24"/>
  <c r="AA265" i="24"/>
  <c r="AB265" i="24"/>
  <c r="AC265" i="24"/>
  <c r="AD265" i="24"/>
  <c r="Z266" i="24"/>
  <c r="AA266" i="24"/>
  <c r="AB266" i="24"/>
  <c r="AC266" i="24"/>
  <c r="AD266" i="24"/>
  <c r="Z267" i="24"/>
  <c r="AA267" i="24"/>
  <c r="AB267" i="24"/>
  <c r="AC267" i="24"/>
  <c r="AD267" i="24"/>
  <c r="Z269" i="24"/>
  <c r="AA269" i="24"/>
  <c r="AB269" i="24"/>
  <c r="AC269" i="24"/>
  <c r="AD269" i="24"/>
  <c r="Z271" i="24"/>
  <c r="AA271" i="24"/>
  <c r="AB271" i="24"/>
  <c r="AC271" i="24"/>
  <c r="AD271" i="24"/>
  <c r="Z272" i="24"/>
  <c r="AA272" i="24"/>
  <c r="AB272" i="24"/>
  <c r="AC272" i="24"/>
  <c r="AD272" i="24"/>
  <c r="Z273" i="24"/>
  <c r="AA273" i="24"/>
  <c r="AB273" i="24"/>
  <c r="AC273" i="24"/>
  <c r="AD273" i="24"/>
  <c r="Z274" i="24"/>
  <c r="AA274" i="24"/>
  <c r="AB274" i="24"/>
  <c r="AC274" i="24"/>
  <c r="AD274" i="24"/>
  <c r="Z275" i="24"/>
  <c r="AA275" i="24"/>
  <c r="AB275" i="24"/>
  <c r="AC275" i="24"/>
  <c r="AD275" i="24"/>
  <c r="Z276" i="24"/>
  <c r="AA276" i="24"/>
  <c r="AB276" i="24"/>
  <c r="AC276" i="24"/>
  <c r="AD276" i="24"/>
  <c r="Z277" i="24"/>
  <c r="AA277" i="24"/>
  <c r="AB277" i="24"/>
  <c r="AC277" i="24"/>
  <c r="AD277" i="24"/>
  <c r="Z278" i="24"/>
  <c r="AA278" i="24"/>
  <c r="AB278" i="24"/>
  <c r="AC278" i="24"/>
  <c r="AD278" i="24"/>
  <c r="Z279" i="24"/>
  <c r="AA279" i="24"/>
  <c r="AB279" i="24"/>
  <c r="AC279" i="24"/>
  <c r="AD279" i="24"/>
  <c r="Z280" i="24"/>
  <c r="AA280" i="24"/>
  <c r="AB280" i="24"/>
  <c r="AC280" i="24"/>
  <c r="AD280" i="24"/>
  <c r="Z281" i="24"/>
  <c r="AA281" i="24"/>
  <c r="AB281" i="24"/>
  <c r="AC281" i="24"/>
  <c r="AD281" i="24"/>
  <c r="Z282" i="24"/>
  <c r="AA282" i="24"/>
  <c r="AB282" i="24"/>
  <c r="AC282" i="24"/>
  <c r="AD282" i="24"/>
  <c r="Z283" i="24"/>
  <c r="AA283" i="24"/>
  <c r="AB283" i="24"/>
  <c r="AC283" i="24"/>
  <c r="AD283" i="24"/>
  <c r="Z284" i="24"/>
  <c r="AA284" i="24"/>
  <c r="AB284" i="24"/>
  <c r="AC284" i="24"/>
  <c r="AD284" i="24"/>
  <c r="Z285" i="24"/>
  <c r="AA285" i="24"/>
  <c r="AB285" i="24"/>
  <c r="AC285" i="24"/>
  <c r="AD285" i="24"/>
  <c r="Z286" i="24"/>
  <c r="AA286" i="24"/>
  <c r="AB286" i="24"/>
  <c r="AC286" i="24"/>
  <c r="AD286" i="24"/>
  <c r="Z287" i="24"/>
  <c r="AA287" i="24"/>
  <c r="AB287" i="24"/>
  <c r="AC287" i="24"/>
  <c r="AD287" i="24"/>
  <c r="Z288" i="24"/>
  <c r="AA288" i="24"/>
  <c r="AB288" i="24"/>
  <c r="AC288" i="24"/>
  <c r="AD288" i="24"/>
  <c r="Z289" i="24"/>
  <c r="AA289" i="24"/>
  <c r="AB289" i="24"/>
  <c r="AC289" i="24"/>
  <c r="AD289" i="24"/>
  <c r="Z290" i="24"/>
  <c r="AA290" i="24"/>
  <c r="AB290" i="24"/>
  <c r="AC290" i="24"/>
  <c r="AD290" i="24"/>
  <c r="Z291" i="24"/>
  <c r="AA291" i="24"/>
  <c r="AB291" i="24"/>
  <c r="AC291" i="24"/>
  <c r="AD291" i="24"/>
  <c r="Z292" i="24"/>
  <c r="AA292" i="24"/>
  <c r="AB292" i="24"/>
  <c r="AC292" i="24"/>
  <c r="AD292" i="24"/>
  <c r="Z293" i="24"/>
  <c r="AA293" i="24"/>
  <c r="AB293" i="24"/>
  <c r="AC293" i="24"/>
  <c r="AD293" i="24"/>
  <c r="Z294" i="24"/>
  <c r="AA294" i="24"/>
  <c r="AB294" i="24"/>
  <c r="AC294" i="24"/>
  <c r="AD294" i="24"/>
  <c r="Z295" i="24"/>
  <c r="AA295" i="24"/>
  <c r="AB295" i="24"/>
  <c r="AC295" i="24"/>
  <c r="AD295" i="24"/>
  <c r="Z296" i="24"/>
  <c r="AA296" i="24"/>
  <c r="AB296" i="24"/>
  <c r="AC296" i="24"/>
  <c r="AD296" i="24"/>
  <c r="Z297" i="24"/>
  <c r="AA297" i="24"/>
  <c r="AB297" i="24"/>
  <c r="AC297" i="24"/>
  <c r="AD297" i="24"/>
  <c r="Z298" i="24"/>
  <c r="AA298" i="24"/>
  <c r="AB298" i="24"/>
  <c r="AC298" i="24"/>
  <c r="AD298" i="24"/>
  <c r="Z299" i="24"/>
  <c r="AA299" i="24"/>
  <c r="AB299" i="24"/>
  <c r="AC299" i="24"/>
  <c r="AD299" i="24"/>
  <c r="Z300" i="24"/>
  <c r="AA300" i="24"/>
  <c r="AB300" i="24"/>
  <c r="AC300" i="24"/>
  <c r="AD300" i="24"/>
  <c r="Z301" i="24"/>
  <c r="AA301" i="24"/>
  <c r="AB301" i="24"/>
  <c r="AC301" i="24"/>
  <c r="AD301" i="24"/>
  <c r="Z302" i="24"/>
  <c r="AA302" i="24"/>
  <c r="AB302" i="24"/>
  <c r="AC302" i="24"/>
  <c r="AD302" i="24"/>
  <c r="Z303" i="24"/>
  <c r="AA303" i="24"/>
  <c r="AB303" i="24"/>
  <c r="AC303" i="24"/>
  <c r="AD303" i="24"/>
  <c r="Z304" i="24"/>
  <c r="AA304" i="24"/>
  <c r="AB304" i="24"/>
  <c r="AC304" i="24"/>
  <c r="AD304" i="24"/>
  <c r="Z305" i="24"/>
  <c r="AA305" i="24"/>
  <c r="AB305" i="24"/>
  <c r="AC305" i="24"/>
  <c r="AD305" i="24"/>
  <c r="Z306" i="24"/>
  <c r="AA306" i="24"/>
  <c r="AB306" i="24"/>
  <c r="AC306" i="24"/>
  <c r="AD306" i="24"/>
  <c r="Z307" i="24"/>
  <c r="AA307" i="24"/>
  <c r="AB307" i="24"/>
  <c r="AC307" i="24"/>
  <c r="AD307" i="24"/>
  <c r="Z308" i="24"/>
  <c r="AA308" i="24"/>
  <c r="AB308" i="24"/>
  <c r="AC308" i="24"/>
  <c r="AD308" i="24"/>
  <c r="Z309" i="24"/>
  <c r="AA309" i="24"/>
  <c r="AB309" i="24"/>
  <c r="AC309" i="24"/>
  <c r="AD309" i="24"/>
  <c r="Z310" i="24"/>
  <c r="AA310" i="24"/>
  <c r="AB310" i="24"/>
  <c r="AC310" i="24"/>
  <c r="AD310" i="24"/>
  <c r="Z311" i="24"/>
  <c r="AA311" i="24"/>
  <c r="AB311" i="24"/>
  <c r="AC311" i="24"/>
  <c r="AD311" i="24"/>
  <c r="Z312" i="24"/>
  <c r="AA312" i="24"/>
  <c r="AB312" i="24"/>
  <c r="AC312" i="24"/>
  <c r="AD312" i="24"/>
  <c r="Z313" i="24"/>
  <c r="AA313" i="24"/>
  <c r="AB313" i="24"/>
  <c r="AC313" i="24"/>
  <c r="AD313" i="24"/>
  <c r="Z314" i="24"/>
  <c r="AA314" i="24"/>
  <c r="AB314" i="24"/>
  <c r="AC314" i="24"/>
  <c r="AD314" i="24"/>
  <c r="Z315" i="24"/>
  <c r="AA315" i="24"/>
  <c r="AB315" i="24"/>
  <c r="AC315" i="24"/>
  <c r="AD315" i="24"/>
  <c r="Z316" i="24"/>
  <c r="AA316" i="24"/>
  <c r="AB316" i="24"/>
  <c r="AC316" i="24"/>
  <c r="AD316" i="24"/>
  <c r="Z317" i="24"/>
  <c r="AA317" i="24"/>
  <c r="AB317" i="24"/>
  <c r="AC317" i="24"/>
  <c r="AD317" i="24"/>
  <c r="Z318" i="24"/>
  <c r="AA318" i="24"/>
  <c r="AB318" i="24"/>
  <c r="AC318" i="24"/>
  <c r="AD318" i="24"/>
  <c r="Z319" i="24"/>
  <c r="AA319" i="24"/>
  <c r="AB319" i="24"/>
  <c r="AC319" i="24"/>
  <c r="AD319" i="24"/>
  <c r="Z320" i="24"/>
  <c r="AA320" i="24"/>
  <c r="AB320" i="24"/>
  <c r="AC320" i="24"/>
  <c r="AD320" i="24"/>
  <c r="Z321" i="24"/>
  <c r="AA321" i="24"/>
  <c r="AB321" i="24"/>
  <c r="AC321" i="24"/>
  <c r="AD321" i="24"/>
  <c r="Z322" i="24"/>
  <c r="AA322" i="24"/>
  <c r="AB322" i="24"/>
  <c r="AC322" i="24"/>
  <c r="AD322" i="24"/>
  <c r="Z323" i="24"/>
  <c r="AA323" i="24"/>
  <c r="AB323" i="24"/>
  <c r="AC323" i="24"/>
  <c r="AD323" i="24"/>
  <c r="Z324" i="24"/>
  <c r="AA324" i="24"/>
  <c r="AB324" i="24"/>
  <c r="AC324" i="24"/>
  <c r="AD324" i="24"/>
  <c r="Z325" i="24"/>
  <c r="AA325" i="24"/>
  <c r="AB325" i="24"/>
  <c r="AC325" i="24"/>
  <c r="AD325" i="24"/>
  <c r="Z326" i="24"/>
  <c r="AA326" i="24"/>
  <c r="AB326" i="24"/>
  <c r="AC326" i="24"/>
  <c r="AD326" i="24"/>
  <c r="Z327" i="24"/>
  <c r="AA327" i="24"/>
  <c r="AB327" i="24"/>
  <c r="AC327" i="24"/>
  <c r="AD327" i="24"/>
  <c r="Z328" i="24"/>
  <c r="AA328" i="24"/>
  <c r="AB328" i="24"/>
  <c r="AC328" i="24"/>
  <c r="AD328" i="24"/>
  <c r="Z329" i="24"/>
  <c r="AA329" i="24"/>
  <c r="AB329" i="24"/>
  <c r="AC329" i="24"/>
  <c r="AD329" i="24"/>
  <c r="Z331" i="24"/>
  <c r="AA331" i="24"/>
  <c r="AB331" i="24"/>
  <c r="AC331" i="24"/>
  <c r="AD331" i="24"/>
  <c r="Z332" i="24"/>
  <c r="AA332" i="24"/>
  <c r="AB332" i="24"/>
  <c r="AC332" i="24"/>
  <c r="AD332" i="24"/>
  <c r="Z333" i="24"/>
  <c r="AA333" i="24"/>
  <c r="AB333" i="24"/>
  <c r="AC333" i="24"/>
  <c r="AD333" i="24"/>
  <c r="Z334" i="24"/>
  <c r="AA334" i="24"/>
  <c r="AB334" i="24"/>
  <c r="AC334" i="24"/>
  <c r="AD334" i="24"/>
  <c r="Z335" i="24"/>
  <c r="AA335" i="24"/>
  <c r="AB335" i="24"/>
  <c r="AC335" i="24"/>
  <c r="AD335" i="24"/>
  <c r="Z336" i="24"/>
  <c r="AA336" i="24"/>
  <c r="AB336" i="24"/>
  <c r="AC336" i="24"/>
  <c r="AD336" i="24"/>
  <c r="Z337" i="24"/>
  <c r="AA337" i="24"/>
  <c r="AB337" i="24"/>
  <c r="AC337" i="24"/>
  <c r="AD337" i="24"/>
  <c r="Z338" i="24"/>
  <c r="AA338" i="24"/>
  <c r="AB338" i="24"/>
  <c r="AC338" i="24"/>
  <c r="AD338" i="24"/>
  <c r="Z339" i="24"/>
  <c r="AA339" i="24"/>
  <c r="AB339" i="24"/>
  <c r="AC339" i="24"/>
  <c r="AD339" i="24"/>
  <c r="Z340" i="24"/>
  <c r="AA340" i="24"/>
  <c r="AB340" i="24"/>
  <c r="AC340" i="24"/>
  <c r="AD340" i="24"/>
  <c r="Z341" i="24"/>
  <c r="AA341" i="24"/>
  <c r="AB341" i="24"/>
  <c r="AC341" i="24"/>
  <c r="AD341" i="24"/>
  <c r="Z342" i="24"/>
  <c r="AA342" i="24"/>
  <c r="AB342" i="24"/>
  <c r="AC342" i="24"/>
  <c r="AD342" i="24"/>
  <c r="Z343" i="24"/>
  <c r="AA343" i="24"/>
  <c r="AB343" i="24"/>
  <c r="AC343" i="24"/>
  <c r="AD343" i="24"/>
  <c r="AD230" i="24"/>
  <c r="AC230" i="24"/>
  <c r="AB230" i="24"/>
  <c r="AA230" i="24"/>
  <c r="Z230" i="24"/>
  <c r="Y230" i="24"/>
  <c r="Y231" i="24"/>
  <c r="Y232" i="24"/>
  <c r="Y233" i="24"/>
  <c r="Y234" i="24"/>
  <c r="Y235" i="24"/>
  <c r="Y236" i="24"/>
  <c r="Y237" i="24"/>
  <c r="Y238" i="24"/>
  <c r="Y239" i="24"/>
  <c r="Y240" i="24"/>
  <c r="Y241" i="24"/>
  <c r="Y242" i="24"/>
  <c r="Y243" i="24"/>
  <c r="Y244" i="24"/>
  <c r="Y246" i="24"/>
  <c r="Y247" i="24"/>
  <c r="Y249" i="24"/>
  <c r="Y250" i="24"/>
  <c r="Y251" i="24"/>
  <c r="Y252" i="24"/>
  <c r="Y253" i="24"/>
  <c r="Y254" i="24"/>
  <c r="Y255" i="24"/>
  <c r="Y256" i="24"/>
  <c r="Y257" i="24"/>
  <c r="Y258" i="24"/>
  <c r="Y259" i="24"/>
  <c r="Y260" i="24"/>
  <c r="Y261" i="24"/>
  <c r="Y262" i="24"/>
  <c r="Y263" i="24"/>
  <c r="Y264" i="24"/>
  <c r="Y265" i="24"/>
  <c r="Y266" i="24"/>
  <c r="Y267" i="24"/>
  <c r="Y269" i="24"/>
  <c r="Y271" i="24"/>
  <c r="Y272" i="24"/>
  <c r="Y273" i="24"/>
  <c r="Y274" i="24"/>
  <c r="Y275" i="24"/>
  <c r="Y276" i="24"/>
  <c r="Y277" i="24"/>
  <c r="Y278" i="24"/>
  <c r="Y279" i="24"/>
  <c r="Y280" i="24"/>
  <c r="Y281" i="24"/>
  <c r="Y282" i="24"/>
  <c r="Y283" i="24"/>
  <c r="Y284" i="24"/>
  <c r="Y285" i="24"/>
  <c r="Y286" i="24"/>
  <c r="Y287" i="24"/>
  <c r="Y288" i="24"/>
  <c r="Y289" i="24"/>
  <c r="Y290" i="24"/>
  <c r="Y291" i="24"/>
  <c r="Y292" i="24"/>
  <c r="Y293" i="24"/>
  <c r="Y294" i="24"/>
  <c r="Y295" i="24"/>
  <c r="Y296" i="24"/>
  <c r="Y297" i="24"/>
  <c r="Y298" i="24"/>
  <c r="Y299" i="24"/>
  <c r="Y300" i="24"/>
  <c r="Y301" i="24"/>
  <c r="Y302" i="24"/>
  <c r="Y303" i="24"/>
  <c r="Y304" i="24"/>
  <c r="Y305" i="24"/>
  <c r="Y306" i="24"/>
  <c r="Y307" i="24"/>
  <c r="Y308" i="24"/>
  <c r="Y309" i="24"/>
  <c r="Y310" i="24"/>
  <c r="Y311" i="24"/>
  <c r="Y312" i="24"/>
  <c r="Y313" i="24"/>
  <c r="Y314" i="24"/>
  <c r="Y315" i="24"/>
  <c r="Y316" i="24"/>
  <c r="Y317" i="24"/>
  <c r="Y318" i="24"/>
  <c r="Y319" i="24"/>
  <c r="Y320" i="24"/>
  <c r="Y321" i="24"/>
  <c r="Y322" i="24"/>
  <c r="Y323" i="24"/>
  <c r="Y324" i="24"/>
  <c r="Y325" i="24"/>
  <c r="Y326" i="24"/>
  <c r="Y327" i="24"/>
  <c r="Y328" i="24"/>
  <c r="Y329" i="24"/>
  <c r="Y331" i="24"/>
  <c r="Y332" i="24"/>
  <c r="Y333" i="24"/>
  <c r="Y334" i="24"/>
  <c r="Y335" i="24"/>
  <c r="Y336" i="24"/>
  <c r="Y337" i="24"/>
  <c r="Y338" i="24"/>
  <c r="Y339" i="24"/>
  <c r="Y340" i="24"/>
  <c r="Y341" i="24"/>
  <c r="Y342" i="24"/>
  <c r="Y343" i="24"/>
  <c r="X231" i="24"/>
  <c r="X232" i="24"/>
  <c r="X233" i="24"/>
  <c r="X234" i="24"/>
  <c r="X235" i="24"/>
  <c r="X236" i="24"/>
  <c r="X237" i="24"/>
  <c r="X238" i="24"/>
  <c r="X239" i="24"/>
  <c r="X240" i="24"/>
  <c r="X241" i="24"/>
  <c r="X242" i="24"/>
  <c r="X243" i="24"/>
  <c r="X244" i="24"/>
  <c r="X246" i="24"/>
  <c r="X247" i="24"/>
  <c r="X249" i="24"/>
  <c r="X250" i="24"/>
  <c r="X251" i="24"/>
  <c r="X252" i="24"/>
  <c r="X253" i="24"/>
  <c r="X254" i="24"/>
  <c r="X255" i="24"/>
  <c r="X256" i="24"/>
  <c r="X257" i="24"/>
  <c r="X258" i="24"/>
  <c r="X259" i="24"/>
  <c r="X260" i="24"/>
  <c r="X261" i="24"/>
  <c r="X262" i="24"/>
  <c r="X263" i="24"/>
  <c r="X264" i="24"/>
  <c r="X265" i="24"/>
  <c r="X266" i="24"/>
  <c r="X267" i="24"/>
  <c r="X269" i="24"/>
  <c r="X271" i="24"/>
  <c r="X272" i="24"/>
  <c r="X273" i="24"/>
  <c r="X274" i="24"/>
  <c r="X275" i="24"/>
  <c r="X276" i="24"/>
  <c r="X277" i="24"/>
  <c r="X278" i="24"/>
  <c r="X279" i="24"/>
  <c r="X280" i="24"/>
  <c r="X281" i="24"/>
  <c r="X282" i="24"/>
  <c r="X283" i="24"/>
  <c r="X284" i="24"/>
  <c r="X285" i="24"/>
  <c r="X286" i="24"/>
  <c r="X287" i="24"/>
  <c r="X288" i="24"/>
  <c r="X289" i="24"/>
  <c r="X290" i="24"/>
  <c r="X291" i="24"/>
  <c r="X292" i="24"/>
  <c r="X293" i="24"/>
  <c r="X294" i="24"/>
  <c r="X295" i="24"/>
  <c r="X296" i="24"/>
  <c r="X297" i="24"/>
  <c r="X298" i="24"/>
  <c r="X299" i="24"/>
  <c r="X300" i="24"/>
  <c r="X301" i="24"/>
  <c r="X302" i="24"/>
  <c r="X303" i="24"/>
  <c r="X304" i="24"/>
  <c r="X305" i="24"/>
  <c r="X306" i="24"/>
  <c r="X307" i="24"/>
  <c r="X308" i="24"/>
  <c r="X309" i="24"/>
  <c r="X310" i="24"/>
  <c r="X311" i="24"/>
  <c r="X312" i="24"/>
  <c r="X313" i="24"/>
  <c r="X314" i="24"/>
  <c r="X315" i="24"/>
  <c r="X316" i="24"/>
  <c r="X317" i="24"/>
  <c r="X318" i="24"/>
  <c r="X319" i="24"/>
  <c r="X320" i="24"/>
  <c r="X321" i="24"/>
  <c r="X322" i="24"/>
  <c r="X323" i="24"/>
  <c r="X324" i="24"/>
  <c r="X325" i="24"/>
  <c r="X326" i="24"/>
  <c r="X327" i="24"/>
  <c r="X328" i="24"/>
  <c r="X329" i="24"/>
  <c r="X331" i="24"/>
  <c r="X332" i="24"/>
  <c r="X333" i="24"/>
  <c r="X334" i="24"/>
  <c r="X335" i="24"/>
  <c r="X336" i="24"/>
  <c r="X337" i="24"/>
  <c r="X338" i="24"/>
  <c r="X339" i="24"/>
  <c r="X340" i="24"/>
  <c r="X341" i="24"/>
  <c r="X342" i="24"/>
  <c r="X343" i="24"/>
  <c r="X230" i="24"/>
  <c r="W343" i="24"/>
  <c r="V343" i="24"/>
  <c r="L343" i="24"/>
  <c r="K343" i="24"/>
  <c r="J343" i="24"/>
  <c r="I343" i="24"/>
  <c r="H343" i="24"/>
  <c r="G343" i="24"/>
  <c r="F343" i="24"/>
  <c r="E343" i="24"/>
  <c r="D343" i="24"/>
  <c r="W342" i="24"/>
  <c r="V342" i="24"/>
  <c r="L342" i="24"/>
  <c r="K342" i="24"/>
  <c r="J342" i="24"/>
  <c r="I342" i="24"/>
  <c r="H342" i="24"/>
  <c r="G342" i="24"/>
  <c r="F342" i="24"/>
  <c r="E342" i="24"/>
  <c r="D342" i="24"/>
  <c r="W341" i="24"/>
  <c r="V341" i="24"/>
  <c r="L341" i="24"/>
  <c r="K341" i="24"/>
  <c r="J341" i="24"/>
  <c r="I341" i="24"/>
  <c r="H341" i="24"/>
  <c r="G341" i="24"/>
  <c r="F341" i="24"/>
  <c r="E341" i="24"/>
  <c r="D341" i="24"/>
  <c r="W340" i="24"/>
  <c r="V340" i="24"/>
  <c r="L340" i="24"/>
  <c r="K340" i="24"/>
  <c r="J340" i="24"/>
  <c r="I340" i="24"/>
  <c r="H340" i="24"/>
  <c r="G340" i="24"/>
  <c r="F340" i="24"/>
  <c r="E340" i="24"/>
  <c r="D340" i="24"/>
  <c r="W339" i="24"/>
  <c r="V339" i="24"/>
  <c r="L339" i="24"/>
  <c r="K339" i="24"/>
  <c r="J339" i="24"/>
  <c r="I339" i="24"/>
  <c r="H339" i="24"/>
  <c r="G339" i="24"/>
  <c r="F339" i="24"/>
  <c r="E339" i="24"/>
  <c r="D339" i="24"/>
  <c r="W338" i="24"/>
  <c r="V338" i="24"/>
  <c r="L338" i="24"/>
  <c r="K338" i="24"/>
  <c r="J338" i="24"/>
  <c r="I338" i="24"/>
  <c r="H338" i="24"/>
  <c r="G338" i="24"/>
  <c r="F338" i="24"/>
  <c r="E338" i="24"/>
  <c r="D338" i="24"/>
  <c r="W337" i="24"/>
  <c r="V337" i="24"/>
  <c r="L337" i="24"/>
  <c r="K337" i="24"/>
  <c r="J337" i="24"/>
  <c r="I337" i="24"/>
  <c r="H337" i="24"/>
  <c r="G337" i="24"/>
  <c r="F337" i="24"/>
  <c r="E337" i="24"/>
  <c r="D337" i="24"/>
  <c r="W336" i="24"/>
  <c r="V336" i="24"/>
  <c r="L336" i="24"/>
  <c r="K336" i="24"/>
  <c r="J336" i="24"/>
  <c r="I336" i="24"/>
  <c r="H336" i="24"/>
  <c r="G336" i="24"/>
  <c r="F336" i="24"/>
  <c r="E336" i="24"/>
  <c r="D336" i="24"/>
  <c r="W335" i="24"/>
  <c r="V335" i="24"/>
  <c r="L335" i="24"/>
  <c r="K335" i="24"/>
  <c r="J335" i="24"/>
  <c r="I335" i="24"/>
  <c r="H335" i="24"/>
  <c r="G335" i="24"/>
  <c r="F335" i="24"/>
  <c r="E335" i="24"/>
  <c r="D335" i="24"/>
  <c r="W334" i="24"/>
  <c r="V334" i="24"/>
  <c r="L334" i="24"/>
  <c r="K334" i="24"/>
  <c r="J334" i="24"/>
  <c r="I334" i="24"/>
  <c r="H334" i="24"/>
  <c r="G334" i="24"/>
  <c r="F334" i="24"/>
  <c r="E334" i="24"/>
  <c r="D334" i="24"/>
  <c r="W333" i="24"/>
  <c r="V333" i="24"/>
  <c r="L333" i="24"/>
  <c r="K333" i="24"/>
  <c r="J333" i="24"/>
  <c r="I333" i="24"/>
  <c r="H333" i="24"/>
  <c r="G333" i="24"/>
  <c r="F333" i="24"/>
  <c r="E333" i="24"/>
  <c r="D333" i="24"/>
  <c r="W332" i="24"/>
  <c r="V332" i="24"/>
  <c r="L332" i="24"/>
  <c r="K332" i="24"/>
  <c r="J332" i="24"/>
  <c r="I332" i="24"/>
  <c r="H332" i="24"/>
  <c r="G332" i="24"/>
  <c r="F332" i="24"/>
  <c r="E332" i="24"/>
  <c r="D332" i="24"/>
  <c r="W331" i="24"/>
  <c r="V331" i="24"/>
  <c r="L331" i="24"/>
  <c r="K331" i="24"/>
  <c r="J331" i="24"/>
  <c r="I331" i="24"/>
  <c r="H331" i="24"/>
  <c r="G331" i="24"/>
  <c r="F331" i="24"/>
  <c r="E331" i="24"/>
  <c r="D331" i="24"/>
  <c r="W329" i="24"/>
  <c r="V329" i="24"/>
  <c r="L329" i="24"/>
  <c r="K329" i="24"/>
  <c r="J329" i="24"/>
  <c r="I329" i="24"/>
  <c r="H329" i="24"/>
  <c r="G329" i="24"/>
  <c r="F329" i="24"/>
  <c r="E329" i="24"/>
  <c r="D329" i="24"/>
  <c r="W328" i="24"/>
  <c r="V328" i="24"/>
  <c r="L328" i="24"/>
  <c r="K328" i="24"/>
  <c r="J328" i="24"/>
  <c r="I328" i="24"/>
  <c r="H328" i="24"/>
  <c r="G328" i="24"/>
  <c r="F328" i="24"/>
  <c r="E328" i="24"/>
  <c r="D328" i="24"/>
  <c r="W327" i="24"/>
  <c r="V327" i="24"/>
  <c r="L327" i="24"/>
  <c r="K327" i="24"/>
  <c r="J327" i="24"/>
  <c r="I327" i="24"/>
  <c r="H327" i="24"/>
  <c r="G327" i="24"/>
  <c r="F327" i="24"/>
  <c r="E327" i="24"/>
  <c r="D327" i="24"/>
  <c r="W326" i="24"/>
  <c r="V326" i="24"/>
  <c r="L326" i="24"/>
  <c r="K326" i="24"/>
  <c r="J326" i="24"/>
  <c r="I326" i="24"/>
  <c r="H326" i="24"/>
  <c r="G326" i="24"/>
  <c r="F326" i="24"/>
  <c r="E326" i="24"/>
  <c r="D326" i="24"/>
  <c r="W325" i="24"/>
  <c r="V325" i="24"/>
  <c r="L325" i="24"/>
  <c r="K325" i="24"/>
  <c r="J325" i="24"/>
  <c r="I325" i="24"/>
  <c r="H325" i="24"/>
  <c r="G325" i="24"/>
  <c r="F325" i="24"/>
  <c r="E325" i="24"/>
  <c r="D325" i="24"/>
  <c r="W324" i="24"/>
  <c r="V324" i="24"/>
  <c r="L324" i="24"/>
  <c r="K324" i="24"/>
  <c r="J324" i="24"/>
  <c r="I324" i="24"/>
  <c r="H324" i="24"/>
  <c r="G324" i="24"/>
  <c r="F324" i="24"/>
  <c r="E324" i="24"/>
  <c r="D324" i="24"/>
  <c r="W323" i="24"/>
  <c r="V323" i="24"/>
  <c r="L323" i="24"/>
  <c r="K323" i="24"/>
  <c r="J323" i="24"/>
  <c r="I323" i="24"/>
  <c r="H323" i="24"/>
  <c r="G323" i="24"/>
  <c r="F323" i="24"/>
  <c r="E323" i="24"/>
  <c r="D323" i="24"/>
  <c r="W322" i="24"/>
  <c r="V322" i="24"/>
  <c r="L322" i="24"/>
  <c r="K322" i="24"/>
  <c r="J322" i="24"/>
  <c r="I322" i="24"/>
  <c r="H322" i="24"/>
  <c r="G322" i="24"/>
  <c r="F322" i="24"/>
  <c r="E322" i="24"/>
  <c r="D322" i="24"/>
  <c r="W321" i="24"/>
  <c r="V321" i="24"/>
  <c r="L321" i="24"/>
  <c r="K321" i="24"/>
  <c r="J321" i="24"/>
  <c r="I321" i="24"/>
  <c r="H321" i="24"/>
  <c r="G321" i="24"/>
  <c r="F321" i="24"/>
  <c r="E321" i="24"/>
  <c r="D321" i="24"/>
  <c r="W320" i="24"/>
  <c r="V320" i="24"/>
  <c r="L320" i="24"/>
  <c r="K320" i="24"/>
  <c r="J320" i="24"/>
  <c r="I320" i="24"/>
  <c r="H320" i="24"/>
  <c r="G320" i="24"/>
  <c r="F320" i="24"/>
  <c r="E320" i="24"/>
  <c r="D320" i="24"/>
  <c r="W319" i="24"/>
  <c r="V319" i="24"/>
  <c r="L319" i="24"/>
  <c r="K319" i="24"/>
  <c r="J319" i="24"/>
  <c r="I319" i="24"/>
  <c r="H319" i="24"/>
  <c r="G319" i="24"/>
  <c r="F319" i="24"/>
  <c r="E319" i="24"/>
  <c r="D319" i="24"/>
  <c r="W318" i="24"/>
  <c r="V318" i="24"/>
  <c r="L318" i="24"/>
  <c r="K318" i="24"/>
  <c r="J318" i="24"/>
  <c r="I318" i="24"/>
  <c r="H318" i="24"/>
  <c r="G318" i="24"/>
  <c r="F318" i="24"/>
  <c r="E318" i="24"/>
  <c r="D318" i="24"/>
  <c r="W317" i="24"/>
  <c r="V317" i="24"/>
  <c r="L317" i="24"/>
  <c r="K317" i="24"/>
  <c r="J317" i="24"/>
  <c r="I317" i="24"/>
  <c r="H317" i="24"/>
  <c r="G317" i="24"/>
  <c r="F317" i="24"/>
  <c r="E317" i="24"/>
  <c r="D317" i="24"/>
  <c r="W316" i="24"/>
  <c r="V316" i="24"/>
  <c r="L316" i="24"/>
  <c r="K316" i="24"/>
  <c r="J316" i="24"/>
  <c r="I316" i="24"/>
  <c r="H316" i="24"/>
  <c r="G316" i="24"/>
  <c r="F316" i="24"/>
  <c r="E316" i="24"/>
  <c r="D316" i="24"/>
  <c r="W315" i="24"/>
  <c r="V315" i="24"/>
  <c r="L315" i="24"/>
  <c r="K315" i="24"/>
  <c r="J315" i="24"/>
  <c r="I315" i="24"/>
  <c r="H315" i="24"/>
  <c r="G315" i="24"/>
  <c r="F315" i="24"/>
  <c r="E315" i="24"/>
  <c r="D315" i="24"/>
  <c r="W314" i="24"/>
  <c r="V314" i="24"/>
  <c r="L314" i="24"/>
  <c r="K314" i="24"/>
  <c r="J314" i="24"/>
  <c r="I314" i="24"/>
  <c r="H314" i="24"/>
  <c r="G314" i="24"/>
  <c r="F314" i="24"/>
  <c r="E314" i="24"/>
  <c r="D314" i="24"/>
  <c r="W313" i="24"/>
  <c r="V313" i="24"/>
  <c r="L313" i="24"/>
  <c r="K313" i="24"/>
  <c r="J313" i="24"/>
  <c r="I313" i="24"/>
  <c r="H313" i="24"/>
  <c r="G313" i="24"/>
  <c r="F313" i="24"/>
  <c r="E313" i="24"/>
  <c r="D313" i="24"/>
  <c r="W312" i="24"/>
  <c r="V312" i="24"/>
  <c r="L312" i="24"/>
  <c r="K312" i="24"/>
  <c r="J312" i="24"/>
  <c r="I312" i="24"/>
  <c r="H312" i="24"/>
  <c r="G312" i="24"/>
  <c r="F312" i="24"/>
  <c r="E312" i="24"/>
  <c r="D312" i="24"/>
  <c r="W311" i="24"/>
  <c r="V311" i="24"/>
  <c r="L311" i="24"/>
  <c r="K311" i="24"/>
  <c r="J311" i="24"/>
  <c r="I311" i="24"/>
  <c r="H311" i="24"/>
  <c r="G311" i="24"/>
  <c r="F311" i="24"/>
  <c r="E311" i="24"/>
  <c r="D311" i="24"/>
  <c r="W310" i="24"/>
  <c r="V310" i="24"/>
  <c r="L310" i="24"/>
  <c r="K310" i="24"/>
  <c r="J310" i="24"/>
  <c r="I310" i="24"/>
  <c r="H310" i="24"/>
  <c r="G310" i="24"/>
  <c r="F310" i="24"/>
  <c r="E310" i="24"/>
  <c r="D310" i="24"/>
  <c r="W309" i="24"/>
  <c r="V309" i="24"/>
  <c r="L309" i="24"/>
  <c r="K309" i="24"/>
  <c r="J309" i="24"/>
  <c r="I309" i="24"/>
  <c r="H309" i="24"/>
  <c r="G309" i="24"/>
  <c r="F309" i="24"/>
  <c r="E309" i="24"/>
  <c r="D309" i="24"/>
  <c r="W308" i="24"/>
  <c r="V308" i="24"/>
  <c r="L308" i="24"/>
  <c r="K308" i="24"/>
  <c r="J308" i="24"/>
  <c r="I308" i="24"/>
  <c r="H308" i="24"/>
  <c r="G308" i="24"/>
  <c r="F308" i="24"/>
  <c r="E308" i="24"/>
  <c r="D308" i="24"/>
  <c r="W307" i="24"/>
  <c r="V307" i="24"/>
  <c r="L307" i="24"/>
  <c r="K307" i="24"/>
  <c r="J307" i="24"/>
  <c r="I307" i="24"/>
  <c r="H307" i="24"/>
  <c r="G307" i="24"/>
  <c r="F307" i="24"/>
  <c r="E307" i="24"/>
  <c r="D307" i="24"/>
  <c r="W306" i="24"/>
  <c r="V306" i="24"/>
  <c r="L306" i="24"/>
  <c r="K306" i="24"/>
  <c r="J306" i="24"/>
  <c r="I306" i="24"/>
  <c r="H306" i="24"/>
  <c r="G306" i="24"/>
  <c r="F306" i="24"/>
  <c r="E306" i="24"/>
  <c r="D306" i="24"/>
  <c r="W305" i="24"/>
  <c r="V305" i="24"/>
  <c r="L305" i="24"/>
  <c r="K305" i="24"/>
  <c r="J305" i="24"/>
  <c r="I305" i="24"/>
  <c r="H305" i="24"/>
  <c r="G305" i="24"/>
  <c r="F305" i="24"/>
  <c r="E305" i="24"/>
  <c r="D305" i="24"/>
  <c r="W304" i="24"/>
  <c r="V304" i="24"/>
  <c r="L304" i="24"/>
  <c r="K304" i="24"/>
  <c r="J304" i="24"/>
  <c r="I304" i="24"/>
  <c r="H304" i="24"/>
  <c r="G304" i="24"/>
  <c r="F304" i="24"/>
  <c r="E304" i="24"/>
  <c r="D304" i="24"/>
  <c r="W303" i="24"/>
  <c r="V303" i="24"/>
  <c r="L303" i="24"/>
  <c r="K303" i="24"/>
  <c r="J303" i="24"/>
  <c r="I303" i="24"/>
  <c r="H303" i="24"/>
  <c r="G303" i="24"/>
  <c r="F303" i="24"/>
  <c r="E303" i="24"/>
  <c r="D303" i="24"/>
  <c r="W302" i="24"/>
  <c r="V302" i="24"/>
  <c r="L302" i="24"/>
  <c r="K302" i="24"/>
  <c r="J302" i="24"/>
  <c r="I302" i="24"/>
  <c r="H302" i="24"/>
  <c r="G302" i="24"/>
  <c r="F302" i="24"/>
  <c r="E302" i="24"/>
  <c r="D302" i="24"/>
  <c r="W301" i="24"/>
  <c r="V301" i="24"/>
  <c r="L301" i="24"/>
  <c r="K301" i="24"/>
  <c r="J301" i="24"/>
  <c r="I301" i="24"/>
  <c r="H301" i="24"/>
  <c r="G301" i="24"/>
  <c r="F301" i="24"/>
  <c r="E301" i="24"/>
  <c r="D301" i="24"/>
  <c r="W300" i="24"/>
  <c r="V300" i="24"/>
  <c r="L300" i="24"/>
  <c r="K300" i="24"/>
  <c r="J300" i="24"/>
  <c r="I300" i="24"/>
  <c r="H300" i="24"/>
  <c r="G300" i="24"/>
  <c r="F300" i="24"/>
  <c r="E300" i="24"/>
  <c r="D300" i="24"/>
  <c r="W299" i="24"/>
  <c r="V299" i="24"/>
  <c r="L299" i="24"/>
  <c r="K299" i="24"/>
  <c r="J299" i="24"/>
  <c r="I299" i="24"/>
  <c r="H299" i="24"/>
  <c r="G299" i="24"/>
  <c r="F299" i="24"/>
  <c r="E299" i="24"/>
  <c r="D299" i="24"/>
  <c r="W298" i="24"/>
  <c r="V298" i="24"/>
  <c r="L298" i="24"/>
  <c r="K298" i="24"/>
  <c r="J298" i="24"/>
  <c r="I298" i="24"/>
  <c r="H298" i="24"/>
  <c r="G298" i="24"/>
  <c r="F298" i="24"/>
  <c r="E298" i="24"/>
  <c r="D298" i="24"/>
  <c r="W297" i="24"/>
  <c r="V297" i="24"/>
  <c r="L297" i="24"/>
  <c r="K297" i="24"/>
  <c r="J297" i="24"/>
  <c r="I297" i="24"/>
  <c r="H297" i="24"/>
  <c r="G297" i="24"/>
  <c r="F297" i="24"/>
  <c r="E297" i="24"/>
  <c r="D297" i="24"/>
  <c r="W296" i="24"/>
  <c r="V296" i="24"/>
  <c r="L296" i="24"/>
  <c r="K296" i="24"/>
  <c r="J296" i="24"/>
  <c r="I296" i="24"/>
  <c r="H296" i="24"/>
  <c r="G296" i="24"/>
  <c r="F296" i="24"/>
  <c r="E296" i="24"/>
  <c r="D296" i="24"/>
  <c r="W295" i="24"/>
  <c r="V295" i="24"/>
  <c r="L295" i="24"/>
  <c r="K295" i="24"/>
  <c r="J295" i="24"/>
  <c r="I295" i="24"/>
  <c r="H295" i="24"/>
  <c r="G295" i="24"/>
  <c r="F295" i="24"/>
  <c r="E295" i="24"/>
  <c r="D295" i="24"/>
  <c r="W294" i="24"/>
  <c r="V294" i="24"/>
  <c r="L294" i="24"/>
  <c r="K294" i="24"/>
  <c r="J294" i="24"/>
  <c r="I294" i="24"/>
  <c r="H294" i="24"/>
  <c r="G294" i="24"/>
  <c r="F294" i="24"/>
  <c r="E294" i="24"/>
  <c r="D294" i="24"/>
  <c r="W293" i="24"/>
  <c r="V293" i="24"/>
  <c r="L293" i="24"/>
  <c r="K293" i="24"/>
  <c r="J293" i="24"/>
  <c r="I293" i="24"/>
  <c r="H293" i="24"/>
  <c r="G293" i="24"/>
  <c r="F293" i="24"/>
  <c r="E293" i="24"/>
  <c r="D293" i="24"/>
  <c r="W292" i="24"/>
  <c r="V292" i="24"/>
  <c r="L292" i="24"/>
  <c r="K292" i="24"/>
  <c r="J292" i="24"/>
  <c r="I292" i="24"/>
  <c r="H292" i="24"/>
  <c r="G292" i="24"/>
  <c r="F292" i="24"/>
  <c r="E292" i="24"/>
  <c r="D292" i="24"/>
  <c r="W291" i="24"/>
  <c r="V291" i="24"/>
  <c r="L291" i="24"/>
  <c r="K291" i="24"/>
  <c r="J291" i="24"/>
  <c r="I291" i="24"/>
  <c r="H291" i="24"/>
  <c r="G291" i="24"/>
  <c r="F291" i="24"/>
  <c r="E291" i="24"/>
  <c r="D291" i="24"/>
  <c r="W290" i="24"/>
  <c r="V290" i="24"/>
  <c r="L290" i="24"/>
  <c r="K290" i="24"/>
  <c r="J290" i="24"/>
  <c r="I290" i="24"/>
  <c r="H290" i="24"/>
  <c r="G290" i="24"/>
  <c r="F290" i="24"/>
  <c r="E290" i="24"/>
  <c r="D290" i="24"/>
  <c r="W289" i="24"/>
  <c r="V289" i="24"/>
  <c r="L289" i="24"/>
  <c r="K289" i="24"/>
  <c r="J289" i="24"/>
  <c r="I289" i="24"/>
  <c r="H289" i="24"/>
  <c r="G289" i="24"/>
  <c r="F289" i="24"/>
  <c r="E289" i="24"/>
  <c r="D289" i="24"/>
  <c r="W288" i="24"/>
  <c r="V288" i="24"/>
  <c r="L288" i="24"/>
  <c r="K288" i="24"/>
  <c r="J288" i="24"/>
  <c r="I288" i="24"/>
  <c r="H288" i="24"/>
  <c r="G288" i="24"/>
  <c r="F288" i="24"/>
  <c r="E288" i="24"/>
  <c r="D288" i="24"/>
  <c r="W287" i="24"/>
  <c r="V287" i="24"/>
  <c r="L287" i="24"/>
  <c r="K287" i="24"/>
  <c r="J287" i="24"/>
  <c r="I287" i="24"/>
  <c r="H287" i="24"/>
  <c r="G287" i="24"/>
  <c r="F287" i="24"/>
  <c r="E287" i="24"/>
  <c r="D287" i="24"/>
  <c r="W286" i="24"/>
  <c r="V286" i="24"/>
  <c r="L286" i="24"/>
  <c r="K286" i="24"/>
  <c r="J286" i="24"/>
  <c r="I286" i="24"/>
  <c r="H286" i="24"/>
  <c r="G286" i="24"/>
  <c r="F286" i="24"/>
  <c r="E286" i="24"/>
  <c r="D286" i="24"/>
  <c r="W285" i="24"/>
  <c r="V285" i="24"/>
  <c r="L285" i="24"/>
  <c r="K285" i="24"/>
  <c r="J285" i="24"/>
  <c r="I285" i="24"/>
  <c r="H285" i="24"/>
  <c r="G285" i="24"/>
  <c r="F285" i="24"/>
  <c r="E285" i="24"/>
  <c r="D285" i="24"/>
  <c r="W284" i="24"/>
  <c r="V284" i="24"/>
  <c r="L284" i="24"/>
  <c r="K284" i="24"/>
  <c r="J284" i="24"/>
  <c r="I284" i="24"/>
  <c r="H284" i="24"/>
  <c r="G284" i="24"/>
  <c r="F284" i="24"/>
  <c r="E284" i="24"/>
  <c r="D284" i="24"/>
  <c r="W283" i="24"/>
  <c r="V283" i="24"/>
  <c r="L283" i="24"/>
  <c r="K283" i="24"/>
  <c r="J283" i="24"/>
  <c r="I283" i="24"/>
  <c r="H283" i="24"/>
  <c r="G283" i="24"/>
  <c r="F283" i="24"/>
  <c r="E283" i="24"/>
  <c r="D283" i="24"/>
  <c r="W282" i="24"/>
  <c r="V282" i="24"/>
  <c r="L282" i="24"/>
  <c r="K282" i="24"/>
  <c r="J282" i="24"/>
  <c r="I282" i="24"/>
  <c r="H282" i="24"/>
  <c r="G282" i="24"/>
  <c r="F282" i="24"/>
  <c r="E282" i="24"/>
  <c r="D282" i="24"/>
  <c r="W281" i="24"/>
  <c r="V281" i="24"/>
  <c r="L281" i="24"/>
  <c r="K281" i="24"/>
  <c r="J281" i="24"/>
  <c r="I281" i="24"/>
  <c r="H281" i="24"/>
  <c r="G281" i="24"/>
  <c r="F281" i="24"/>
  <c r="E281" i="24"/>
  <c r="D281" i="24"/>
  <c r="W280" i="24"/>
  <c r="V280" i="24"/>
  <c r="L280" i="24"/>
  <c r="K280" i="24"/>
  <c r="J280" i="24"/>
  <c r="I280" i="24"/>
  <c r="H280" i="24"/>
  <c r="G280" i="24"/>
  <c r="F280" i="24"/>
  <c r="E280" i="24"/>
  <c r="D280" i="24"/>
  <c r="W279" i="24"/>
  <c r="V279" i="24"/>
  <c r="L279" i="24"/>
  <c r="K279" i="24"/>
  <c r="J279" i="24"/>
  <c r="I279" i="24"/>
  <c r="H279" i="24"/>
  <c r="G279" i="24"/>
  <c r="F279" i="24"/>
  <c r="E279" i="24"/>
  <c r="D279" i="24"/>
  <c r="W278" i="24"/>
  <c r="V278" i="24"/>
  <c r="L278" i="24"/>
  <c r="K278" i="24"/>
  <c r="J278" i="24"/>
  <c r="I278" i="24"/>
  <c r="H278" i="24"/>
  <c r="G278" i="24"/>
  <c r="F278" i="24"/>
  <c r="E278" i="24"/>
  <c r="D278" i="24"/>
  <c r="W277" i="24"/>
  <c r="V277" i="24"/>
  <c r="L277" i="24"/>
  <c r="K277" i="24"/>
  <c r="J277" i="24"/>
  <c r="I277" i="24"/>
  <c r="H277" i="24"/>
  <c r="G277" i="24"/>
  <c r="F277" i="24"/>
  <c r="E277" i="24"/>
  <c r="D277" i="24"/>
  <c r="W276" i="24"/>
  <c r="V276" i="24"/>
  <c r="L276" i="24"/>
  <c r="K276" i="24"/>
  <c r="J276" i="24"/>
  <c r="I276" i="24"/>
  <c r="H276" i="24"/>
  <c r="G276" i="24"/>
  <c r="F276" i="24"/>
  <c r="E276" i="24"/>
  <c r="D276" i="24"/>
  <c r="W275" i="24"/>
  <c r="V275" i="24"/>
  <c r="L275" i="24"/>
  <c r="K275" i="24"/>
  <c r="J275" i="24"/>
  <c r="I275" i="24"/>
  <c r="H275" i="24"/>
  <c r="G275" i="24"/>
  <c r="F275" i="24"/>
  <c r="E275" i="24"/>
  <c r="D275" i="24"/>
  <c r="W274" i="24"/>
  <c r="V274" i="24"/>
  <c r="L274" i="24"/>
  <c r="K274" i="24"/>
  <c r="J274" i="24"/>
  <c r="I274" i="24"/>
  <c r="H274" i="24"/>
  <c r="G274" i="24"/>
  <c r="F274" i="24"/>
  <c r="E274" i="24"/>
  <c r="D274" i="24"/>
  <c r="W273" i="24"/>
  <c r="V273" i="24"/>
  <c r="L273" i="24"/>
  <c r="K273" i="24"/>
  <c r="J273" i="24"/>
  <c r="I273" i="24"/>
  <c r="H273" i="24"/>
  <c r="G273" i="24"/>
  <c r="F273" i="24"/>
  <c r="E273" i="24"/>
  <c r="D273" i="24"/>
  <c r="W272" i="24"/>
  <c r="V272" i="24"/>
  <c r="L272" i="24"/>
  <c r="K272" i="24"/>
  <c r="J272" i="24"/>
  <c r="I272" i="24"/>
  <c r="H272" i="24"/>
  <c r="G272" i="24"/>
  <c r="F272" i="24"/>
  <c r="E272" i="24"/>
  <c r="D272" i="24"/>
  <c r="W271" i="24"/>
  <c r="V271" i="24"/>
  <c r="L271" i="24"/>
  <c r="K271" i="24"/>
  <c r="J271" i="24"/>
  <c r="I271" i="24"/>
  <c r="H271" i="24"/>
  <c r="G271" i="24"/>
  <c r="F271" i="24"/>
  <c r="E271" i="24"/>
  <c r="D271" i="24"/>
  <c r="W269" i="24"/>
  <c r="V269" i="24"/>
  <c r="L269" i="24"/>
  <c r="K269" i="24"/>
  <c r="J269" i="24"/>
  <c r="I269" i="24"/>
  <c r="H269" i="24"/>
  <c r="G269" i="24"/>
  <c r="F269" i="24"/>
  <c r="E269" i="24"/>
  <c r="D269" i="24"/>
  <c r="W267" i="24"/>
  <c r="V267" i="24"/>
  <c r="L267" i="24"/>
  <c r="K267" i="24"/>
  <c r="J267" i="24"/>
  <c r="I267" i="24"/>
  <c r="H267" i="24"/>
  <c r="G267" i="24"/>
  <c r="F267" i="24"/>
  <c r="E267" i="24"/>
  <c r="D267" i="24"/>
  <c r="W266" i="24"/>
  <c r="V266" i="24"/>
  <c r="L266" i="24"/>
  <c r="K266" i="24"/>
  <c r="J266" i="24"/>
  <c r="I266" i="24"/>
  <c r="H266" i="24"/>
  <c r="G266" i="24"/>
  <c r="F266" i="24"/>
  <c r="E266" i="24"/>
  <c r="D266" i="24"/>
  <c r="W265" i="24"/>
  <c r="V265" i="24"/>
  <c r="L265" i="24"/>
  <c r="K265" i="24"/>
  <c r="J265" i="24"/>
  <c r="I265" i="24"/>
  <c r="H265" i="24"/>
  <c r="G265" i="24"/>
  <c r="F265" i="24"/>
  <c r="E265" i="24"/>
  <c r="D265" i="24"/>
  <c r="W264" i="24"/>
  <c r="V264" i="24"/>
  <c r="L264" i="24"/>
  <c r="K264" i="24"/>
  <c r="J264" i="24"/>
  <c r="I264" i="24"/>
  <c r="H264" i="24"/>
  <c r="G264" i="24"/>
  <c r="F264" i="24"/>
  <c r="E264" i="24"/>
  <c r="D264" i="24"/>
  <c r="W263" i="24"/>
  <c r="V263" i="24"/>
  <c r="L263" i="24"/>
  <c r="K263" i="24"/>
  <c r="J263" i="24"/>
  <c r="I263" i="24"/>
  <c r="H263" i="24"/>
  <c r="G263" i="24"/>
  <c r="F263" i="24"/>
  <c r="E263" i="24"/>
  <c r="D263" i="24"/>
  <c r="W262" i="24"/>
  <c r="V262" i="24"/>
  <c r="L262" i="24"/>
  <c r="K262" i="24"/>
  <c r="J262" i="24"/>
  <c r="I262" i="24"/>
  <c r="H262" i="24"/>
  <c r="G262" i="24"/>
  <c r="F262" i="24"/>
  <c r="E262" i="24"/>
  <c r="D262" i="24"/>
  <c r="W261" i="24"/>
  <c r="V261" i="24"/>
  <c r="L261" i="24"/>
  <c r="K261" i="24"/>
  <c r="J261" i="24"/>
  <c r="I261" i="24"/>
  <c r="H261" i="24"/>
  <c r="G261" i="24"/>
  <c r="F261" i="24"/>
  <c r="E261" i="24"/>
  <c r="D261" i="24"/>
  <c r="W260" i="24"/>
  <c r="V260" i="24"/>
  <c r="L260" i="24"/>
  <c r="K260" i="24"/>
  <c r="J260" i="24"/>
  <c r="I260" i="24"/>
  <c r="H260" i="24"/>
  <c r="G260" i="24"/>
  <c r="F260" i="24"/>
  <c r="E260" i="24"/>
  <c r="D260" i="24"/>
  <c r="W259" i="24"/>
  <c r="V259" i="24"/>
  <c r="L259" i="24"/>
  <c r="K259" i="24"/>
  <c r="J259" i="24"/>
  <c r="I259" i="24"/>
  <c r="H259" i="24"/>
  <c r="G259" i="24"/>
  <c r="F259" i="24"/>
  <c r="E259" i="24"/>
  <c r="D259" i="24"/>
  <c r="W258" i="24"/>
  <c r="V258" i="24"/>
  <c r="L258" i="24"/>
  <c r="K258" i="24"/>
  <c r="J258" i="24"/>
  <c r="I258" i="24"/>
  <c r="H258" i="24"/>
  <c r="G258" i="24"/>
  <c r="F258" i="24"/>
  <c r="E258" i="24"/>
  <c r="D258" i="24"/>
  <c r="W257" i="24"/>
  <c r="V257" i="24"/>
  <c r="L257" i="24"/>
  <c r="K257" i="24"/>
  <c r="J257" i="24"/>
  <c r="I257" i="24"/>
  <c r="H257" i="24"/>
  <c r="G257" i="24"/>
  <c r="F257" i="24"/>
  <c r="E257" i="24"/>
  <c r="D257" i="24"/>
  <c r="W256" i="24"/>
  <c r="V256" i="24"/>
  <c r="L256" i="24"/>
  <c r="K256" i="24"/>
  <c r="J256" i="24"/>
  <c r="I256" i="24"/>
  <c r="H256" i="24"/>
  <c r="G256" i="24"/>
  <c r="F256" i="24"/>
  <c r="E256" i="24"/>
  <c r="D256" i="24"/>
  <c r="W255" i="24"/>
  <c r="V255" i="24"/>
  <c r="L255" i="24"/>
  <c r="K255" i="24"/>
  <c r="J255" i="24"/>
  <c r="I255" i="24"/>
  <c r="H255" i="24"/>
  <c r="G255" i="24"/>
  <c r="F255" i="24"/>
  <c r="E255" i="24"/>
  <c r="D255" i="24"/>
  <c r="W254" i="24"/>
  <c r="V254" i="24"/>
  <c r="L254" i="24"/>
  <c r="K254" i="24"/>
  <c r="J254" i="24"/>
  <c r="I254" i="24"/>
  <c r="H254" i="24"/>
  <c r="G254" i="24"/>
  <c r="F254" i="24"/>
  <c r="E254" i="24"/>
  <c r="D254" i="24"/>
  <c r="W253" i="24"/>
  <c r="V253" i="24"/>
  <c r="L253" i="24"/>
  <c r="K253" i="24"/>
  <c r="J253" i="24"/>
  <c r="I253" i="24"/>
  <c r="H253" i="24"/>
  <c r="G253" i="24"/>
  <c r="F253" i="24"/>
  <c r="E253" i="24"/>
  <c r="D253" i="24"/>
  <c r="W252" i="24"/>
  <c r="V252" i="24"/>
  <c r="L252" i="24"/>
  <c r="K252" i="24"/>
  <c r="J252" i="24"/>
  <c r="I252" i="24"/>
  <c r="H252" i="24"/>
  <c r="G252" i="24"/>
  <c r="F252" i="24"/>
  <c r="E252" i="24"/>
  <c r="D252" i="24"/>
  <c r="W251" i="24"/>
  <c r="V251" i="24"/>
  <c r="L251" i="24"/>
  <c r="K251" i="24"/>
  <c r="J251" i="24"/>
  <c r="I251" i="24"/>
  <c r="H251" i="24"/>
  <c r="G251" i="24"/>
  <c r="F251" i="24"/>
  <c r="E251" i="24"/>
  <c r="D251" i="24"/>
  <c r="W250" i="24"/>
  <c r="V250" i="24"/>
  <c r="L250" i="24"/>
  <c r="K250" i="24"/>
  <c r="J250" i="24"/>
  <c r="I250" i="24"/>
  <c r="H250" i="24"/>
  <c r="G250" i="24"/>
  <c r="F250" i="24"/>
  <c r="E250" i="24"/>
  <c r="D250" i="24"/>
  <c r="W249" i="24"/>
  <c r="V249" i="24"/>
  <c r="L249" i="24"/>
  <c r="K249" i="24"/>
  <c r="J249" i="24"/>
  <c r="I249" i="24"/>
  <c r="H249" i="24"/>
  <c r="G249" i="24"/>
  <c r="F249" i="24"/>
  <c r="E249" i="24"/>
  <c r="D249" i="24"/>
  <c r="W247" i="24"/>
  <c r="V247" i="24"/>
  <c r="L247" i="24"/>
  <c r="K247" i="24"/>
  <c r="J247" i="24"/>
  <c r="I247" i="24"/>
  <c r="H247" i="24"/>
  <c r="G247" i="24"/>
  <c r="F247" i="24"/>
  <c r="E247" i="24"/>
  <c r="D247" i="24"/>
  <c r="W246" i="24"/>
  <c r="V246" i="24"/>
  <c r="L246" i="24"/>
  <c r="K246" i="24"/>
  <c r="J246" i="24"/>
  <c r="I246" i="24"/>
  <c r="H246" i="24"/>
  <c r="G246" i="24"/>
  <c r="F246" i="24"/>
  <c r="E246" i="24"/>
  <c r="D246" i="24"/>
  <c r="W244" i="24"/>
  <c r="V244" i="24"/>
  <c r="L244" i="24"/>
  <c r="K244" i="24"/>
  <c r="J244" i="24"/>
  <c r="I244" i="24"/>
  <c r="H244" i="24"/>
  <c r="G244" i="24"/>
  <c r="F244" i="24"/>
  <c r="E244" i="24"/>
  <c r="D244" i="24"/>
  <c r="W243" i="24"/>
  <c r="V243" i="24"/>
  <c r="L243" i="24"/>
  <c r="K243" i="24"/>
  <c r="J243" i="24"/>
  <c r="I243" i="24"/>
  <c r="H243" i="24"/>
  <c r="G243" i="24"/>
  <c r="F243" i="24"/>
  <c r="E243" i="24"/>
  <c r="D243" i="24"/>
  <c r="W242" i="24"/>
  <c r="V242" i="24"/>
  <c r="L242" i="24"/>
  <c r="K242" i="24"/>
  <c r="J242" i="24"/>
  <c r="I242" i="24"/>
  <c r="H242" i="24"/>
  <c r="G242" i="24"/>
  <c r="F242" i="24"/>
  <c r="E242" i="24"/>
  <c r="D242" i="24"/>
  <c r="W241" i="24"/>
  <c r="V241" i="24"/>
  <c r="L241" i="24"/>
  <c r="K241" i="24"/>
  <c r="J241" i="24"/>
  <c r="I241" i="24"/>
  <c r="H241" i="24"/>
  <c r="G241" i="24"/>
  <c r="F241" i="24"/>
  <c r="E241" i="24"/>
  <c r="D241" i="24"/>
  <c r="W240" i="24"/>
  <c r="V240" i="24"/>
  <c r="L240" i="24"/>
  <c r="K240" i="24"/>
  <c r="J240" i="24"/>
  <c r="I240" i="24"/>
  <c r="H240" i="24"/>
  <c r="G240" i="24"/>
  <c r="F240" i="24"/>
  <c r="E240" i="24"/>
  <c r="D240" i="24"/>
  <c r="W239" i="24"/>
  <c r="V239" i="24"/>
  <c r="L239" i="24"/>
  <c r="K239" i="24"/>
  <c r="J239" i="24"/>
  <c r="I239" i="24"/>
  <c r="H239" i="24"/>
  <c r="G239" i="24"/>
  <c r="F239" i="24"/>
  <c r="E239" i="24"/>
  <c r="D239" i="24"/>
  <c r="W238" i="24"/>
  <c r="V238" i="24"/>
  <c r="L238" i="24"/>
  <c r="K238" i="24"/>
  <c r="J238" i="24"/>
  <c r="I238" i="24"/>
  <c r="H238" i="24"/>
  <c r="G238" i="24"/>
  <c r="F238" i="24"/>
  <c r="E238" i="24"/>
  <c r="D238" i="24"/>
  <c r="W237" i="24"/>
  <c r="V237" i="24"/>
  <c r="L237" i="24"/>
  <c r="K237" i="24"/>
  <c r="J237" i="24"/>
  <c r="I237" i="24"/>
  <c r="H237" i="24"/>
  <c r="G237" i="24"/>
  <c r="F237" i="24"/>
  <c r="E237" i="24"/>
  <c r="D237" i="24"/>
  <c r="W236" i="24"/>
  <c r="V236" i="24"/>
  <c r="L236" i="24"/>
  <c r="K236" i="24"/>
  <c r="J236" i="24"/>
  <c r="I236" i="24"/>
  <c r="H236" i="24"/>
  <c r="G236" i="24"/>
  <c r="F236" i="24"/>
  <c r="E236" i="24"/>
  <c r="D236" i="24"/>
  <c r="W235" i="24"/>
  <c r="V235" i="24"/>
  <c r="L235" i="24"/>
  <c r="K235" i="24"/>
  <c r="J235" i="24"/>
  <c r="I235" i="24"/>
  <c r="H235" i="24"/>
  <c r="G235" i="24"/>
  <c r="F235" i="24"/>
  <c r="E235" i="24"/>
  <c r="D235" i="24"/>
  <c r="W234" i="24"/>
  <c r="V234" i="24"/>
  <c r="L234" i="24"/>
  <c r="K234" i="24"/>
  <c r="J234" i="24"/>
  <c r="I234" i="24"/>
  <c r="H234" i="24"/>
  <c r="G234" i="24"/>
  <c r="F234" i="24"/>
  <c r="E234" i="24"/>
  <c r="D234" i="24"/>
  <c r="W233" i="24"/>
  <c r="V233" i="24"/>
  <c r="L233" i="24"/>
  <c r="K233" i="24"/>
  <c r="J233" i="24"/>
  <c r="I233" i="24"/>
  <c r="H233" i="24"/>
  <c r="G233" i="24"/>
  <c r="F233" i="24"/>
  <c r="E233" i="24"/>
  <c r="D233" i="24"/>
  <c r="W232" i="24"/>
  <c r="V232" i="24"/>
  <c r="L232" i="24"/>
  <c r="K232" i="24"/>
  <c r="J232" i="24"/>
  <c r="I232" i="24"/>
  <c r="H232" i="24"/>
  <c r="G232" i="24"/>
  <c r="F232" i="24"/>
  <c r="E232" i="24"/>
  <c r="D232" i="24"/>
  <c r="W231" i="24"/>
  <c r="V231" i="24"/>
  <c r="L231" i="24"/>
  <c r="K231" i="24"/>
  <c r="J231" i="24"/>
  <c r="I231" i="24"/>
  <c r="H231" i="24"/>
  <c r="G231" i="24"/>
  <c r="F231" i="24"/>
  <c r="E231" i="24"/>
  <c r="D231" i="24"/>
  <c r="W230" i="24"/>
  <c r="V230" i="24"/>
  <c r="L230" i="24"/>
  <c r="K230" i="24"/>
  <c r="J230" i="24"/>
  <c r="I230" i="24"/>
  <c r="H230" i="24"/>
  <c r="G230" i="24"/>
  <c r="F230" i="24"/>
  <c r="E230" i="24"/>
  <c r="D230" i="24"/>
  <c r="C231" i="24"/>
  <c r="C232" i="24"/>
  <c r="C233" i="24"/>
  <c r="C234" i="24"/>
  <c r="C235" i="24"/>
  <c r="C236" i="24"/>
  <c r="C237" i="24"/>
  <c r="C238" i="24"/>
  <c r="C239" i="24"/>
  <c r="C240" i="24"/>
  <c r="C241" i="24"/>
  <c r="C242" i="24"/>
  <c r="C243" i="24"/>
  <c r="C244" i="24"/>
  <c r="C246" i="24"/>
  <c r="C247" i="24"/>
  <c r="C249" i="24"/>
  <c r="C250" i="24"/>
  <c r="C251" i="24"/>
  <c r="C252" i="24"/>
  <c r="C253" i="24"/>
  <c r="C254" i="24"/>
  <c r="C255" i="24"/>
  <c r="C256" i="24"/>
  <c r="C257" i="24"/>
  <c r="C258" i="24"/>
  <c r="C259" i="24"/>
  <c r="C260" i="24"/>
  <c r="C261" i="24"/>
  <c r="C262" i="24"/>
  <c r="C263" i="24"/>
  <c r="C264" i="24"/>
  <c r="C265" i="24"/>
  <c r="C266" i="24"/>
  <c r="C267" i="24"/>
  <c r="C269" i="24"/>
  <c r="C271" i="24"/>
  <c r="C272" i="24"/>
  <c r="C273" i="24"/>
  <c r="C274" i="24"/>
  <c r="C275" i="24"/>
  <c r="C276" i="24"/>
  <c r="C277" i="24"/>
  <c r="C278" i="24"/>
  <c r="C279" i="24"/>
  <c r="C280" i="24"/>
  <c r="C281" i="24"/>
  <c r="C282" i="24"/>
  <c r="C283" i="24"/>
  <c r="C284" i="24"/>
  <c r="C285" i="24"/>
  <c r="C286" i="24"/>
  <c r="C287" i="24"/>
  <c r="C288" i="24"/>
  <c r="C289" i="24"/>
  <c r="C290" i="24"/>
  <c r="C291" i="24"/>
  <c r="C292" i="24"/>
  <c r="C293" i="24"/>
  <c r="C294" i="24"/>
  <c r="C295" i="24"/>
  <c r="C296" i="24"/>
  <c r="C297" i="24"/>
  <c r="C298" i="24"/>
  <c r="C299" i="24"/>
  <c r="C300" i="24"/>
  <c r="C301" i="24"/>
  <c r="C302" i="24"/>
  <c r="C303" i="24"/>
  <c r="C304" i="24"/>
  <c r="C305" i="24"/>
  <c r="C306" i="24"/>
  <c r="C307" i="24"/>
  <c r="C308" i="24"/>
  <c r="C309" i="24"/>
  <c r="C310" i="24"/>
  <c r="C311" i="24"/>
  <c r="C312" i="24"/>
  <c r="C313" i="24"/>
  <c r="C314" i="24"/>
  <c r="C315" i="24"/>
  <c r="C316" i="24"/>
  <c r="C317" i="24"/>
  <c r="C318" i="24"/>
  <c r="C319" i="24"/>
  <c r="C320" i="24"/>
  <c r="C321" i="24"/>
  <c r="C322" i="24"/>
  <c r="C323" i="24"/>
  <c r="C324" i="24"/>
  <c r="C325" i="24"/>
  <c r="C326" i="24"/>
  <c r="C327" i="24"/>
  <c r="C328" i="24"/>
  <c r="C329" i="24"/>
  <c r="C331" i="24"/>
  <c r="C332" i="24"/>
  <c r="C333" i="24"/>
  <c r="C334" i="24"/>
  <c r="C335" i="24"/>
  <c r="C336" i="24"/>
  <c r="C337" i="24"/>
  <c r="C338" i="24"/>
  <c r="C339" i="24"/>
  <c r="C340" i="24"/>
  <c r="C341" i="24"/>
  <c r="C342" i="24"/>
  <c r="C343" i="24"/>
  <c r="C230" i="24"/>
  <c r="X344" i="24"/>
  <c r="Y345" i="24"/>
  <c r="Y346" i="24"/>
  <c r="Y347" i="24"/>
  <c r="Y348" i="24"/>
  <c r="Y349" i="24"/>
  <c r="Y350" i="24"/>
  <c r="Y351" i="24"/>
  <c r="Y352" i="24"/>
  <c r="Y353" i="24"/>
  <c r="Y354" i="24"/>
  <c r="Y355" i="24"/>
  <c r="Y356" i="24"/>
  <c r="Y357" i="24"/>
  <c r="Y358" i="24"/>
  <c r="Y359" i="24"/>
  <c r="Y360" i="24"/>
  <c r="Y361" i="24"/>
  <c r="Y362" i="24"/>
  <c r="Y363" i="24"/>
  <c r="Y364" i="24"/>
  <c r="Y365" i="24"/>
  <c r="Y366" i="24"/>
  <c r="Y367" i="24"/>
  <c r="Y368" i="24"/>
  <c r="Y369" i="24"/>
  <c r="Y370" i="24"/>
  <c r="Y371" i="24"/>
  <c r="Y372" i="24"/>
  <c r="Y373" i="24"/>
  <c r="Y374" i="24"/>
  <c r="Y375" i="24"/>
  <c r="Y376" i="24"/>
  <c r="Y377" i="24"/>
  <c r="Y378" i="24"/>
  <c r="Y379" i="24"/>
  <c r="Y380" i="24"/>
  <c r="Y381" i="24"/>
  <c r="Y382" i="24"/>
  <c r="Y383" i="24"/>
  <c r="Y384" i="24"/>
  <c r="Y385" i="24"/>
  <c r="Y386" i="24"/>
  <c r="Y387" i="24"/>
  <c r="Y388" i="24"/>
  <c r="Y389" i="24"/>
  <c r="Y390" i="24"/>
  <c r="Y391" i="24"/>
  <c r="Y392" i="24"/>
  <c r="Y393" i="24"/>
  <c r="Y394" i="24"/>
  <c r="Y395" i="24"/>
  <c r="Y396" i="24"/>
  <c r="Y397" i="24"/>
  <c r="Y398" i="24"/>
  <c r="Y399" i="24"/>
  <c r="Y400" i="24"/>
  <c r="Y401" i="24"/>
  <c r="Y402" i="24"/>
  <c r="Y403" i="24"/>
  <c r="Y404" i="24"/>
  <c r="Y405" i="24"/>
  <c r="Y406" i="24"/>
  <c r="Y407" i="24"/>
  <c r="Y408" i="24"/>
  <c r="Y409" i="24"/>
  <c r="Y410" i="24"/>
  <c r="Y411" i="24"/>
  <c r="Y412" i="24"/>
  <c r="Y413" i="24"/>
  <c r="Y414" i="24"/>
  <c r="Y415" i="24"/>
  <c r="Y416" i="24"/>
  <c r="Y417" i="24"/>
  <c r="Y418" i="24"/>
  <c r="Y419" i="24"/>
  <c r="Y420" i="24"/>
  <c r="Y421" i="24"/>
  <c r="Y422" i="24"/>
  <c r="Y423" i="24"/>
  <c r="Y424" i="24"/>
  <c r="Y425" i="24"/>
  <c r="Y426" i="24"/>
  <c r="Y427" i="24"/>
  <c r="Y428" i="24"/>
  <c r="Y429" i="24"/>
  <c r="Y430" i="24"/>
  <c r="Y431" i="24"/>
  <c r="Y432" i="24"/>
  <c r="Y433" i="24"/>
  <c r="Y434" i="24"/>
  <c r="Y435" i="24"/>
  <c r="Y436" i="24"/>
  <c r="Y437" i="24"/>
  <c r="Y438" i="24"/>
  <c r="Y439" i="24"/>
  <c r="Y440" i="24"/>
  <c r="Y441" i="24"/>
  <c r="Y442" i="24"/>
  <c r="Y443" i="24"/>
  <c r="Y444" i="24"/>
  <c r="Y445" i="24"/>
  <c r="Y446" i="24"/>
  <c r="Y447" i="24"/>
  <c r="Y448" i="24"/>
  <c r="Y449" i="24"/>
  <c r="Y450" i="24"/>
  <c r="Y451" i="24"/>
  <c r="Y452" i="24"/>
  <c r="Y453" i="24"/>
  <c r="Y454" i="24"/>
  <c r="Y455" i="24"/>
  <c r="Y456" i="24"/>
  <c r="Y457" i="24"/>
  <c r="Y344" i="24"/>
  <c r="C345" i="24"/>
  <c r="D345" i="24"/>
  <c r="E345" i="24"/>
  <c r="F345" i="24"/>
  <c r="G345" i="24"/>
  <c r="H345" i="24"/>
  <c r="I345" i="24"/>
  <c r="J345" i="24"/>
  <c r="K345" i="24"/>
  <c r="L345" i="24"/>
  <c r="V345" i="24"/>
  <c r="W345" i="24"/>
  <c r="X345" i="24"/>
  <c r="C346" i="24"/>
  <c r="D346" i="24"/>
  <c r="E346" i="24"/>
  <c r="F346" i="24"/>
  <c r="G346" i="24"/>
  <c r="H346" i="24"/>
  <c r="I346" i="24"/>
  <c r="J346" i="24"/>
  <c r="K346" i="24"/>
  <c r="L346" i="24"/>
  <c r="V346" i="24"/>
  <c r="W346" i="24"/>
  <c r="X346" i="24"/>
  <c r="C347" i="24"/>
  <c r="D347" i="24"/>
  <c r="E347" i="24"/>
  <c r="F347" i="24"/>
  <c r="G347" i="24"/>
  <c r="H347" i="24"/>
  <c r="I347" i="24"/>
  <c r="J347" i="24"/>
  <c r="K347" i="24"/>
  <c r="L347" i="24"/>
  <c r="V347" i="24"/>
  <c r="W347" i="24"/>
  <c r="X347" i="24"/>
  <c r="C348" i="24"/>
  <c r="D348" i="24"/>
  <c r="E348" i="24"/>
  <c r="F348" i="24"/>
  <c r="G348" i="24"/>
  <c r="H348" i="24"/>
  <c r="I348" i="24"/>
  <c r="J348" i="24"/>
  <c r="K348" i="24"/>
  <c r="L348" i="24"/>
  <c r="V348" i="24"/>
  <c r="W348" i="24"/>
  <c r="X348" i="24"/>
  <c r="C349" i="24"/>
  <c r="D349" i="24"/>
  <c r="E349" i="24"/>
  <c r="F349" i="24"/>
  <c r="G349" i="24"/>
  <c r="H349" i="24"/>
  <c r="I349" i="24"/>
  <c r="J349" i="24"/>
  <c r="K349" i="24"/>
  <c r="L349" i="24"/>
  <c r="V349" i="24"/>
  <c r="W349" i="24"/>
  <c r="X349" i="24"/>
  <c r="C350" i="24"/>
  <c r="D350" i="24"/>
  <c r="E350" i="24"/>
  <c r="F350" i="24"/>
  <c r="G350" i="24"/>
  <c r="H350" i="24"/>
  <c r="I350" i="24"/>
  <c r="J350" i="24"/>
  <c r="K350" i="24"/>
  <c r="L350" i="24"/>
  <c r="V350" i="24"/>
  <c r="W350" i="24"/>
  <c r="X350" i="24"/>
  <c r="C351" i="24"/>
  <c r="D351" i="24"/>
  <c r="E351" i="24"/>
  <c r="F351" i="24"/>
  <c r="G351" i="24"/>
  <c r="H351" i="24"/>
  <c r="I351" i="24"/>
  <c r="J351" i="24"/>
  <c r="K351" i="24"/>
  <c r="L351" i="24"/>
  <c r="V351" i="24"/>
  <c r="W351" i="24"/>
  <c r="X351" i="24"/>
  <c r="C352" i="24"/>
  <c r="D352" i="24"/>
  <c r="E352" i="24"/>
  <c r="F352" i="24"/>
  <c r="G352" i="24"/>
  <c r="H352" i="24"/>
  <c r="I352" i="24"/>
  <c r="J352" i="24"/>
  <c r="K352" i="24"/>
  <c r="L352" i="24"/>
  <c r="V352" i="24"/>
  <c r="W352" i="24"/>
  <c r="X352" i="24"/>
  <c r="C353" i="24"/>
  <c r="D353" i="24"/>
  <c r="E353" i="24"/>
  <c r="F353" i="24"/>
  <c r="G353" i="24"/>
  <c r="H353" i="24"/>
  <c r="I353" i="24"/>
  <c r="J353" i="24"/>
  <c r="K353" i="24"/>
  <c r="L353" i="24"/>
  <c r="V353" i="24"/>
  <c r="W353" i="24"/>
  <c r="X353" i="24"/>
  <c r="C354" i="24"/>
  <c r="D354" i="24"/>
  <c r="E354" i="24"/>
  <c r="F354" i="24"/>
  <c r="G354" i="24"/>
  <c r="H354" i="24"/>
  <c r="I354" i="24"/>
  <c r="J354" i="24"/>
  <c r="K354" i="24"/>
  <c r="L354" i="24"/>
  <c r="V354" i="24"/>
  <c r="W354" i="24"/>
  <c r="X354" i="24"/>
  <c r="C355" i="24"/>
  <c r="D355" i="24"/>
  <c r="E355" i="24"/>
  <c r="F355" i="24"/>
  <c r="G355" i="24"/>
  <c r="H355" i="24"/>
  <c r="I355" i="24"/>
  <c r="J355" i="24"/>
  <c r="K355" i="24"/>
  <c r="L355" i="24"/>
  <c r="V355" i="24"/>
  <c r="W355" i="24"/>
  <c r="X355" i="24"/>
  <c r="C356" i="24"/>
  <c r="D356" i="24"/>
  <c r="E356" i="24"/>
  <c r="F356" i="24"/>
  <c r="G356" i="24"/>
  <c r="H356" i="24"/>
  <c r="I356" i="24"/>
  <c r="J356" i="24"/>
  <c r="K356" i="24"/>
  <c r="L356" i="24"/>
  <c r="V356" i="24"/>
  <c r="W356" i="24"/>
  <c r="X356" i="24"/>
  <c r="C357" i="24"/>
  <c r="D357" i="24"/>
  <c r="E357" i="24"/>
  <c r="F357" i="24"/>
  <c r="G357" i="24"/>
  <c r="H357" i="24"/>
  <c r="I357" i="24"/>
  <c r="J357" i="24"/>
  <c r="K357" i="24"/>
  <c r="L357" i="24"/>
  <c r="V357" i="24"/>
  <c r="W357" i="24"/>
  <c r="X357" i="24"/>
  <c r="C358" i="24"/>
  <c r="D358" i="24"/>
  <c r="E358" i="24"/>
  <c r="F358" i="24"/>
  <c r="G358" i="24"/>
  <c r="H358" i="24"/>
  <c r="I358" i="24"/>
  <c r="J358" i="24"/>
  <c r="K358" i="24"/>
  <c r="L358" i="24"/>
  <c r="V358" i="24"/>
  <c r="W358" i="24"/>
  <c r="X358" i="24"/>
  <c r="C359" i="24"/>
  <c r="D359" i="24"/>
  <c r="E359" i="24"/>
  <c r="F359" i="24"/>
  <c r="G359" i="24"/>
  <c r="H359" i="24"/>
  <c r="I359" i="24"/>
  <c r="J359" i="24"/>
  <c r="K359" i="24"/>
  <c r="L359" i="24"/>
  <c r="V359" i="24"/>
  <c r="W359" i="24"/>
  <c r="X359" i="24"/>
  <c r="C360" i="24"/>
  <c r="D360" i="24"/>
  <c r="E360" i="24"/>
  <c r="F360" i="24"/>
  <c r="G360" i="24"/>
  <c r="H360" i="24"/>
  <c r="I360" i="24"/>
  <c r="J360" i="24"/>
  <c r="K360" i="24"/>
  <c r="L360" i="24"/>
  <c r="V360" i="24"/>
  <c r="W360" i="24"/>
  <c r="X360" i="24"/>
  <c r="C361" i="24"/>
  <c r="D361" i="24"/>
  <c r="E361" i="24"/>
  <c r="F361" i="24"/>
  <c r="G361" i="24"/>
  <c r="H361" i="24"/>
  <c r="I361" i="24"/>
  <c r="J361" i="24"/>
  <c r="K361" i="24"/>
  <c r="L361" i="24"/>
  <c r="V361" i="24"/>
  <c r="W361" i="24"/>
  <c r="X361" i="24"/>
  <c r="C362" i="24"/>
  <c r="D362" i="24"/>
  <c r="E362" i="24"/>
  <c r="F362" i="24"/>
  <c r="G362" i="24"/>
  <c r="H362" i="24"/>
  <c r="I362" i="24"/>
  <c r="J362" i="24"/>
  <c r="K362" i="24"/>
  <c r="L362" i="24"/>
  <c r="V362" i="24"/>
  <c r="W362" i="24"/>
  <c r="X362" i="24"/>
  <c r="C363" i="24"/>
  <c r="D363" i="24"/>
  <c r="E363" i="24"/>
  <c r="F363" i="24"/>
  <c r="G363" i="24"/>
  <c r="H363" i="24"/>
  <c r="I363" i="24"/>
  <c r="J363" i="24"/>
  <c r="K363" i="24"/>
  <c r="L363" i="24"/>
  <c r="V363" i="24"/>
  <c r="W363" i="24"/>
  <c r="X363" i="24"/>
  <c r="C364" i="24"/>
  <c r="D364" i="24"/>
  <c r="E364" i="24"/>
  <c r="F364" i="24"/>
  <c r="G364" i="24"/>
  <c r="H364" i="24"/>
  <c r="I364" i="24"/>
  <c r="J364" i="24"/>
  <c r="K364" i="24"/>
  <c r="L364" i="24"/>
  <c r="V364" i="24"/>
  <c r="W364" i="24"/>
  <c r="X364" i="24"/>
  <c r="C365" i="24"/>
  <c r="D365" i="24"/>
  <c r="E365" i="24"/>
  <c r="F365" i="24"/>
  <c r="G365" i="24"/>
  <c r="H365" i="24"/>
  <c r="I365" i="24"/>
  <c r="J365" i="24"/>
  <c r="K365" i="24"/>
  <c r="L365" i="24"/>
  <c r="V365" i="24"/>
  <c r="W365" i="24"/>
  <c r="X365" i="24"/>
  <c r="C366" i="24"/>
  <c r="D366" i="24"/>
  <c r="E366" i="24"/>
  <c r="F366" i="24"/>
  <c r="G366" i="24"/>
  <c r="H366" i="24"/>
  <c r="I366" i="24"/>
  <c r="J366" i="24"/>
  <c r="K366" i="24"/>
  <c r="L366" i="24"/>
  <c r="V366" i="24"/>
  <c r="W366" i="24"/>
  <c r="X366" i="24"/>
  <c r="C367" i="24"/>
  <c r="D367" i="24"/>
  <c r="E367" i="24"/>
  <c r="F367" i="24"/>
  <c r="G367" i="24"/>
  <c r="H367" i="24"/>
  <c r="I367" i="24"/>
  <c r="J367" i="24"/>
  <c r="K367" i="24"/>
  <c r="L367" i="24"/>
  <c r="V367" i="24"/>
  <c r="W367" i="24"/>
  <c r="X367" i="24"/>
  <c r="C368" i="24"/>
  <c r="D368" i="24"/>
  <c r="E368" i="24"/>
  <c r="F368" i="24"/>
  <c r="G368" i="24"/>
  <c r="H368" i="24"/>
  <c r="I368" i="24"/>
  <c r="J368" i="24"/>
  <c r="K368" i="24"/>
  <c r="L368" i="24"/>
  <c r="V368" i="24"/>
  <c r="W368" i="24"/>
  <c r="X368" i="24"/>
  <c r="C369" i="24"/>
  <c r="D369" i="24"/>
  <c r="E369" i="24"/>
  <c r="F369" i="24"/>
  <c r="G369" i="24"/>
  <c r="H369" i="24"/>
  <c r="I369" i="24"/>
  <c r="J369" i="24"/>
  <c r="K369" i="24"/>
  <c r="L369" i="24"/>
  <c r="V369" i="24"/>
  <c r="W369" i="24"/>
  <c r="X369" i="24"/>
  <c r="C370" i="24"/>
  <c r="D370" i="24"/>
  <c r="E370" i="24"/>
  <c r="F370" i="24"/>
  <c r="G370" i="24"/>
  <c r="H370" i="24"/>
  <c r="I370" i="24"/>
  <c r="J370" i="24"/>
  <c r="K370" i="24"/>
  <c r="L370" i="24"/>
  <c r="V370" i="24"/>
  <c r="W370" i="24"/>
  <c r="X370" i="24"/>
  <c r="C371" i="24"/>
  <c r="D371" i="24"/>
  <c r="E371" i="24"/>
  <c r="F371" i="24"/>
  <c r="G371" i="24"/>
  <c r="H371" i="24"/>
  <c r="I371" i="24"/>
  <c r="J371" i="24"/>
  <c r="K371" i="24"/>
  <c r="L371" i="24"/>
  <c r="V371" i="24"/>
  <c r="W371" i="24"/>
  <c r="X371" i="24"/>
  <c r="C372" i="24"/>
  <c r="D372" i="24"/>
  <c r="E372" i="24"/>
  <c r="F372" i="24"/>
  <c r="G372" i="24"/>
  <c r="H372" i="24"/>
  <c r="I372" i="24"/>
  <c r="J372" i="24"/>
  <c r="K372" i="24"/>
  <c r="L372" i="24"/>
  <c r="V372" i="24"/>
  <c r="W372" i="24"/>
  <c r="X372" i="24"/>
  <c r="C373" i="24"/>
  <c r="D373" i="24"/>
  <c r="E373" i="24"/>
  <c r="F373" i="24"/>
  <c r="G373" i="24"/>
  <c r="H373" i="24"/>
  <c r="I373" i="24"/>
  <c r="J373" i="24"/>
  <c r="K373" i="24"/>
  <c r="L373" i="24"/>
  <c r="V373" i="24"/>
  <c r="W373" i="24"/>
  <c r="X373" i="24"/>
  <c r="C374" i="24"/>
  <c r="D374" i="24"/>
  <c r="E374" i="24"/>
  <c r="F374" i="24"/>
  <c r="G374" i="24"/>
  <c r="H374" i="24"/>
  <c r="I374" i="24"/>
  <c r="J374" i="24"/>
  <c r="K374" i="24"/>
  <c r="L374" i="24"/>
  <c r="V374" i="24"/>
  <c r="W374" i="24"/>
  <c r="X374" i="24"/>
  <c r="C375" i="24"/>
  <c r="D375" i="24"/>
  <c r="E375" i="24"/>
  <c r="F375" i="24"/>
  <c r="G375" i="24"/>
  <c r="H375" i="24"/>
  <c r="I375" i="24"/>
  <c r="J375" i="24"/>
  <c r="K375" i="24"/>
  <c r="L375" i="24"/>
  <c r="V375" i="24"/>
  <c r="W375" i="24"/>
  <c r="X375" i="24"/>
  <c r="C376" i="24"/>
  <c r="D376" i="24"/>
  <c r="E376" i="24"/>
  <c r="F376" i="24"/>
  <c r="G376" i="24"/>
  <c r="H376" i="24"/>
  <c r="I376" i="24"/>
  <c r="J376" i="24"/>
  <c r="K376" i="24"/>
  <c r="L376" i="24"/>
  <c r="V376" i="24"/>
  <c r="W376" i="24"/>
  <c r="X376" i="24"/>
  <c r="C377" i="24"/>
  <c r="D377" i="24"/>
  <c r="E377" i="24"/>
  <c r="F377" i="24"/>
  <c r="G377" i="24"/>
  <c r="H377" i="24"/>
  <c r="I377" i="24"/>
  <c r="J377" i="24"/>
  <c r="K377" i="24"/>
  <c r="L377" i="24"/>
  <c r="V377" i="24"/>
  <c r="W377" i="24"/>
  <c r="X377" i="24"/>
  <c r="C378" i="24"/>
  <c r="D378" i="24"/>
  <c r="E378" i="24"/>
  <c r="F378" i="24"/>
  <c r="G378" i="24"/>
  <c r="H378" i="24"/>
  <c r="I378" i="24"/>
  <c r="J378" i="24"/>
  <c r="K378" i="24"/>
  <c r="L378" i="24"/>
  <c r="V378" i="24"/>
  <c r="W378" i="24"/>
  <c r="X378" i="24"/>
  <c r="C379" i="24"/>
  <c r="D379" i="24"/>
  <c r="E379" i="24"/>
  <c r="F379" i="24"/>
  <c r="G379" i="24"/>
  <c r="H379" i="24"/>
  <c r="I379" i="24"/>
  <c r="J379" i="24"/>
  <c r="K379" i="24"/>
  <c r="L379" i="24"/>
  <c r="V379" i="24"/>
  <c r="W379" i="24"/>
  <c r="X379" i="24"/>
  <c r="C380" i="24"/>
  <c r="D380" i="24"/>
  <c r="E380" i="24"/>
  <c r="F380" i="24"/>
  <c r="G380" i="24"/>
  <c r="H380" i="24"/>
  <c r="I380" i="24"/>
  <c r="J380" i="24"/>
  <c r="K380" i="24"/>
  <c r="L380" i="24"/>
  <c r="V380" i="24"/>
  <c r="W380" i="24"/>
  <c r="X380" i="24"/>
  <c r="C381" i="24"/>
  <c r="D381" i="24"/>
  <c r="E381" i="24"/>
  <c r="F381" i="24"/>
  <c r="G381" i="24"/>
  <c r="H381" i="24"/>
  <c r="I381" i="24"/>
  <c r="J381" i="24"/>
  <c r="K381" i="24"/>
  <c r="L381" i="24"/>
  <c r="V381" i="24"/>
  <c r="W381" i="24"/>
  <c r="X381" i="24"/>
  <c r="C382" i="24"/>
  <c r="D382" i="24"/>
  <c r="E382" i="24"/>
  <c r="F382" i="24"/>
  <c r="G382" i="24"/>
  <c r="H382" i="24"/>
  <c r="I382" i="24"/>
  <c r="J382" i="24"/>
  <c r="K382" i="24"/>
  <c r="L382" i="24"/>
  <c r="V382" i="24"/>
  <c r="W382" i="24"/>
  <c r="X382" i="24"/>
  <c r="C383" i="24"/>
  <c r="D383" i="24"/>
  <c r="E383" i="24"/>
  <c r="F383" i="24"/>
  <c r="G383" i="24"/>
  <c r="H383" i="24"/>
  <c r="I383" i="24"/>
  <c r="J383" i="24"/>
  <c r="K383" i="24"/>
  <c r="L383" i="24"/>
  <c r="V383" i="24"/>
  <c r="W383" i="24"/>
  <c r="X383" i="24"/>
  <c r="C384" i="24"/>
  <c r="D384" i="24"/>
  <c r="E384" i="24"/>
  <c r="F384" i="24"/>
  <c r="G384" i="24"/>
  <c r="H384" i="24"/>
  <c r="I384" i="24"/>
  <c r="J384" i="24"/>
  <c r="K384" i="24"/>
  <c r="L384" i="24"/>
  <c r="V384" i="24"/>
  <c r="W384" i="24"/>
  <c r="X384" i="24"/>
  <c r="C385" i="24"/>
  <c r="D385" i="24"/>
  <c r="E385" i="24"/>
  <c r="F385" i="24"/>
  <c r="G385" i="24"/>
  <c r="H385" i="24"/>
  <c r="I385" i="24"/>
  <c r="J385" i="24"/>
  <c r="K385" i="24"/>
  <c r="L385" i="24"/>
  <c r="V385" i="24"/>
  <c r="W385" i="24"/>
  <c r="X385" i="24"/>
  <c r="C386" i="24"/>
  <c r="D386" i="24"/>
  <c r="E386" i="24"/>
  <c r="F386" i="24"/>
  <c r="G386" i="24"/>
  <c r="H386" i="24"/>
  <c r="I386" i="24"/>
  <c r="J386" i="24"/>
  <c r="K386" i="24"/>
  <c r="L386" i="24"/>
  <c r="V386" i="24"/>
  <c r="W386" i="24"/>
  <c r="X386" i="24"/>
  <c r="C387" i="24"/>
  <c r="D387" i="24"/>
  <c r="E387" i="24"/>
  <c r="F387" i="24"/>
  <c r="G387" i="24"/>
  <c r="H387" i="24"/>
  <c r="I387" i="24"/>
  <c r="J387" i="24"/>
  <c r="K387" i="24"/>
  <c r="L387" i="24"/>
  <c r="V387" i="24"/>
  <c r="W387" i="24"/>
  <c r="X387" i="24"/>
  <c r="C388" i="24"/>
  <c r="D388" i="24"/>
  <c r="E388" i="24"/>
  <c r="F388" i="24"/>
  <c r="G388" i="24"/>
  <c r="H388" i="24"/>
  <c r="I388" i="24"/>
  <c r="J388" i="24"/>
  <c r="K388" i="24"/>
  <c r="L388" i="24"/>
  <c r="V388" i="24"/>
  <c r="W388" i="24"/>
  <c r="X388" i="24"/>
  <c r="C389" i="24"/>
  <c r="D389" i="24"/>
  <c r="E389" i="24"/>
  <c r="F389" i="24"/>
  <c r="G389" i="24"/>
  <c r="H389" i="24"/>
  <c r="I389" i="24"/>
  <c r="J389" i="24"/>
  <c r="K389" i="24"/>
  <c r="L389" i="24"/>
  <c r="V389" i="24"/>
  <c r="W389" i="24"/>
  <c r="X389" i="24"/>
  <c r="C390" i="24"/>
  <c r="D390" i="24"/>
  <c r="E390" i="24"/>
  <c r="F390" i="24"/>
  <c r="G390" i="24"/>
  <c r="H390" i="24"/>
  <c r="I390" i="24"/>
  <c r="J390" i="24"/>
  <c r="K390" i="24"/>
  <c r="L390" i="24"/>
  <c r="V390" i="24"/>
  <c r="W390" i="24"/>
  <c r="X390" i="24"/>
  <c r="C391" i="24"/>
  <c r="D391" i="24"/>
  <c r="E391" i="24"/>
  <c r="F391" i="24"/>
  <c r="G391" i="24"/>
  <c r="H391" i="24"/>
  <c r="I391" i="24"/>
  <c r="J391" i="24"/>
  <c r="K391" i="24"/>
  <c r="L391" i="24"/>
  <c r="V391" i="24"/>
  <c r="W391" i="24"/>
  <c r="X391" i="24"/>
  <c r="C392" i="24"/>
  <c r="D392" i="24"/>
  <c r="E392" i="24"/>
  <c r="F392" i="24"/>
  <c r="G392" i="24"/>
  <c r="H392" i="24"/>
  <c r="I392" i="24"/>
  <c r="J392" i="24"/>
  <c r="K392" i="24"/>
  <c r="L392" i="24"/>
  <c r="V392" i="24"/>
  <c r="W392" i="24"/>
  <c r="X392" i="24"/>
  <c r="C393" i="24"/>
  <c r="D393" i="24"/>
  <c r="E393" i="24"/>
  <c r="F393" i="24"/>
  <c r="G393" i="24"/>
  <c r="H393" i="24"/>
  <c r="I393" i="24"/>
  <c r="J393" i="24"/>
  <c r="K393" i="24"/>
  <c r="L393" i="24"/>
  <c r="V393" i="24"/>
  <c r="W393" i="24"/>
  <c r="X393" i="24"/>
  <c r="C394" i="24"/>
  <c r="D394" i="24"/>
  <c r="E394" i="24"/>
  <c r="F394" i="24"/>
  <c r="G394" i="24"/>
  <c r="H394" i="24"/>
  <c r="I394" i="24"/>
  <c r="J394" i="24"/>
  <c r="K394" i="24"/>
  <c r="L394" i="24"/>
  <c r="V394" i="24"/>
  <c r="W394" i="24"/>
  <c r="X394" i="24"/>
  <c r="C395" i="24"/>
  <c r="D395" i="24"/>
  <c r="E395" i="24"/>
  <c r="F395" i="24"/>
  <c r="G395" i="24"/>
  <c r="H395" i="24"/>
  <c r="I395" i="24"/>
  <c r="J395" i="24"/>
  <c r="K395" i="24"/>
  <c r="L395" i="24"/>
  <c r="V395" i="24"/>
  <c r="W395" i="24"/>
  <c r="X395" i="24"/>
  <c r="C396" i="24"/>
  <c r="D396" i="24"/>
  <c r="E396" i="24"/>
  <c r="F396" i="24"/>
  <c r="G396" i="24"/>
  <c r="H396" i="24"/>
  <c r="I396" i="24"/>
  <c r="J396" i="24"/>
  <c r="K396" i="24"/>
  <c r="L396" i="24"/>
  <c r="V396" i="24"/>
  <c r="W396" i="24"/>
  <c r="X396" i="24"/>
  <c r="C397" i="24"/>
  <c r="D397" i="24"/>
  <c r="E397" i="24"/>
  <c r="F397" i="24"/>
  <c r="G397" i="24"/>
  <c r="H397" i="24"/>
  <c r="I397" i="24"/>
  <c r="J397" i="24"/>
  <c r="K397" i="24"/>
  <c r="L397" i="24"/>
  <c r="V397" i="24"/>
  <c r="W397" i="24"/>
  <c r="X397" i="24"/>
  <c r="C398" i="24"/>
  <c r="D398" i="24"/>
  <c r="E398" i="24"/>
  <c r="F398" i="24"/>
  <c r="G398" i="24"/>
  <c r="H398" i="24"/>
  <c r="I398" i="24"/>
  <c r="J398" i="24"/>
  <c r="K398" i="24"/>
  <c r="L398" i="24"/>
  <c r="V398" i="24"/>
  <c r="W398" i="24"/>
  <c r="X398" i="24"/>
  <c r="C399" i="24"/>
  <c r="D399" i="24"/>
  <c r="E399" i="24"/>
  <c r="F399" i="24"/>
  <c r="G399" i="24"/>
  <c r="H399" i="24"/>
  <c r="I399" i="24"/>
  <c r="J399" i="24"/>
  <c r="K399" i="24"/>
  <c r="L399" i="24"/>
  <c r="V399" i="24"/>
  <c r="W399" i="24"/>
  <c r="X399" i="24"/>
  <c r="C400" i="24"/>
  <c r="D400" i="24"/>
  <c r="E400" i="24"/>
  <c r="F400" i="24"/>
  <c r="G400" i="24"/>
  <c r="H400" i="24"/>
  <c r="I400" i="24"/>
  <c r="J400" i="24"/>
  <c r="K400" i="24"/>
  <c r="L400" i="24"/>
  <c r="V400" i="24"/>
  <c r="W400" i="24"/>
  <c r="X400" i="24"/>
  <c r="C401" i="24"/>
  <c r="D401" i="24"/>
  <c r="E401" i="24"/>
  <c r="F401" i="24"/>
  <c r="G401" i="24"/>
  <c r="H401" i="24"/>
  <c r="I401" i="24"/>
  <c r="J401" i="24"/>
  <c r="K401" i="24"/>
  <c r="L401" i="24"/>
  <c r="V401" i="24"/>
  <c r="W401" i="24"/>
  <c r="X401" i="24"/>
  <c r="C402" i="24"/>
  <c r="D402" i="24"/>
  <c r="E402" i="24"/>
  <c r="F402" i="24"/>
  <c r="G402" i="24"/>
  <c r="H402" i="24"/>
  <c r="I402" i="24"/>
  <c r="J402" i="24"/>
  <c r="K402" i="24"/>
  <c r="L402" i="24"/>
  <c r="V402" i="24"/>
  <c r="W402" i="24"/>
  <c r="X402" i="24"/>
  <c r="C403" i="24"/>
  <c r="D403" i="24"/>
  <c r="E403" i="24"/>
  <c r="F403" i="24"/>
  <c r="G403" i="24"/>
  <c r="H403" i="24"/>
  <c r="I403" i="24"/>
  <c r="J403" i="24"/>
  <c r="K403" i="24"/>
  <c r="L403" i="24"/>
  <c r="V403" i="24"/>
  <c r="W403" i="24"/>
  <c r="X403" i="24"/>
  <c r="C404" i="24"/>
  <c r="D404" i="24"/>
  <c r="E404" i="24"/>
  <c r="F404" i="24"/>
  <c r="G404" i="24"/>
  <c r="H404" i="24"/>
  <c r="I404" i="24"/>
  <c r="J404" i="24"/>
  <c r="K404" i="24"/>
  <c r="L404" i="24"/>
  <c r="V404" i="24"/>
  <c r="W404" i="24"/>
  <c r="X404" i="24"/>
  <c r="C405" i="24"/>
  <c r="D405" i="24"/>
  <c r="E405" i="24"/>
  <c r="F405" i="24"/>
  <c r="G405" i="24"/>
  <c r="H405" i="24"/>
  <c r="I405" i="24"/>
  <c r="J405" i="24"/>
  <c r="K405" i="24"/>
  <c r="L405" i="24"/>
  <c r="V405" i="24"/>
  <c r="W405" i="24"/>
  <c r="X405" i="24"/>
  <c r="C406" i="24"/>
  <c r="D406" i="24"/>
  <c r="E406" i="24"/>
  <c r="F406" i="24"/>
  <c r="G406" i="24"/>
  <c r="H406" i="24"/>
  <c r="I406" i="24"/>
  <c r="J406" i="24"/>
  <c r="K406" i="24"/>
  <c r="L406" i="24"/>
  <c r="V406" i="24"/>
  <c r="W406" i="24"/>
  <c r="X406" i="24"/>
  <c r="C407" i="24"/>
  <c r="D407" i="24"/>
  <c r="E407" i="24"/>
  <c r="F407" i="24"/>
  <c r="G407" i="24"/>
  <c r="H407" i="24"/>
  <c r="I407" i="24"/>
  <c r="J407" i="24"/>
  <c r="K407" i="24"/>
  <c r="L407" i="24"/>
  <c r="V407" i="24"/>
  <c r="W407" i="24"/>
  <c r="X407" i="24"/>
  <c r="C408" i="24"/>
  <c r="D408" i="24"/>
  <c r="E408" i="24"/>
  <c r="F408" i="24"/>
  <c r="G408" i="24"/>
  <c r="H408" i="24"/>
  <c r="I408" i="24"/>
  <c r="J408" i="24"/>
  <c r="K408" i="24"/>
  <c r="L408" i="24"/>
  <c r="V408" i="24"/>
  <c r="W408" i="24"/>
  <c r="X408" i="24"/>
  <c r="C409" i="24"/>
  <c r="D409" i="24"/>
  <c r="E409" i="24"/>
  <c r="F409" i="24"/>
  <c r="G409" i="24"/>
  <c r="H409" i="24"/>
  <c r="I409" i="24"/>
  <c r="J409" i="24"/>
  <c r="K409" i="24"/>
  <c r="L409" i="24"/>
  <c r="V409" i="24"/>
  <c r="W409" i="24"/>
  <c r="X409" i="24"/>
  <c r="C410" i="24"/>
  <c r="D410" i="24"/>
  <c r="E410" i="24"/>
  <c r="F410" i="24"/>
  <c r="G410" i="24"/>
  <c r="H410" i="24"/>
  <c r="I410" i="24"/>
  <c r="J410" i="24"/>
  <c r="K410" i="24"/>
  <c r="L410" i="24"/>
  <c r="V410" i="24"/>
  <c r="W410" i="24"/>
  <c r="X410" i="24"/>
  <c r="C411" i="24"/>
  <c r="D411" i="24"/>
  <c r="E411" i="24"/>
  <c r="F411" i="24"/>
  <c r="G411" i="24"/>
  <c r="H411" i="24"/>
  <c r="I411" i="24"/>
  <c r="J411" i="24"/>
  <c r="K411" i="24"/>
  <c r="L411" i="24"/>
  <c r="V411" i="24"/>
  <c r="W411" i="24"/>
  <c r="X411" i="24"/>
  <c r="C412" i="24"/>
  <c r="D412" i="24"/>
  <c r="E412" i="24"/>
  <c r="F412" i="24"/>
  <c r="G412" i="24"/>
  <c r="H412" i="24"/>
  <c r="I412" i="24"/>
  <c r="J412" i="24"/>
  <c r="K412" i="24"/>
  <c r="L412" i="24"/>
  <c r="V412" i="24"/>
  <c r="W412" i="24"/>
  <c r="X412" i="24"/>
  <c r="C413" i="24"/>
  <c r="D413" i="24"/>
  <c r="E413" i="24"/>
  <c r="F413" i="24"/>
  <c r="G413" i="24"/>
  <c r="H413" i="24"/>
  <c r="I413" i="24"/>
  <c r="J413" i="24"/>
  <c r="K413" i="24"/>
  <c r="L413" i="24"/>
  <c r="V413" i="24"/>
  <c r="W413" i="24"/>
  <c r="X413" i="24"/>
  <c r="C414" i="24"/>
  <c r="D414" i="24"/>
  <c r="E414" i="24"/>
  <c r="F414" i="24"/>
  <c r="G414" i="24"/>
  <c r="H414" i="24"/>
  <c r="I414" i="24"/>
  <c r="J414" i="24"/>
  <c r="K414" i="24"/>
  <c r="L414" i="24"/>
  <c r="V414" i="24"/>
  <c r="W414" i="24"/>
  <c r="X414" i="24"/>
  <c r="C415" i="24"/>
  <c r="D415" i="24"/>
  <c r="E415" i="24"/>
  <c r="F415" i="24"/>
  <c r="G415" i="24"/>
  <c r="H415" i="24"/>
  <c r="I415" i="24"/>
  <c r="J415" i="24"/>
  <c r="K415" i="24"/>
  <c r="L415" i="24"/>
  <c r="V415" i="24"/>
  <c r="W415" i="24"/>
  <c r="X415" i="24"/>
  <c r="C416" i="24"/>
  <c r="D416" i="24"/>
  <c r="E416" i="24"/>
  <c r="F416" i="24"/>
  <c r="G416" i="24"/>
  <c r="H416" i="24"/>
  <c r="I416" i="24"/>
  <c r="J416" i="24"/>
  <c r="K416" i="24"/>
  <c r="L416" i="24"/>
  <c r="V416" i="24"/>
  <c r="W416" i="24"/>
  <c r="X416" i="24"/>
  <c r="C417" i="24"/>
  <c r="D417" i="24"/>
  <c r="E417" i="24"/>
  <c r="F417" i="24"/>
  <c r="G417" i="24"/>
  <c r="H417" i="24"/>
  <c r="I417" i="24"/>
  <c r="J417" i="24"/>
  <c r="K417" i="24"/>
  <c r="L417" i="24"/>
  <c r="V417" i="24"/>
  <c r="W417" i="24"/>
  <c r="X417" i="24"/>
  <c r="C418" i="24"/>
  <c r="D418" i="24"/>
  <c r="E418" i="24"/>
  <c r="F418" i="24"/>
  <c r="G418" i="24"/>
  <c r="H418" i="24"/>
  <c r="I418" i="24"/>
  <c r="J418" i="24"/>
  <c r="K418" i="24"/>
  <c r="L418" i="24"/>
  <c r="V418" i="24"/>
  <c r="W418" i="24"/>
  <c r="X418" i="24"/>
  <c r="C419" i="24"/>
  <c r="D419" i="24"/>
  <c r="E419" i="24"/>
  <c r="F419" i="24"/>
  <c r="G419" i="24"/>
  <c r="H419" i="24"/>
  <c r="I419" i="24"/>
  <c r="J419" i="24"/>
  <c r="K419" i="24"/>
  <c r="L419" i="24"/>
  <c r="V419" i="24"/>
  <c r="W419" i="24"/>
  <c r="X419" i="24"/>
  <c r="C420" i="24"/>
  <c r="D420" i="24"/>
  <c r="E420" i="24"/>
  <c r="F420" i="24"/>
  <c r="G420" i="24"/>
  <c r="H420" i="24"/>
  <c r="I420" i="24"/>
  <c r="J420" i="24"/>
  <c r="K420" i="24"/>
  <c r="L420" i="24"/>
  <c r="V420" i="24"/>
  <c r="W420" i="24"/>
  <c r="X420" i="24"/>
  <c r="C421" i="24"/>
  <c r="D421" i="24"/>
  <c r="E421" i="24"/>
  <c r="F421" i="24"/>
  <c r="G421" i="24"/>
  <c r="H421" i="24"/>
  <c r="I421" i="24"/>
  <c r="J421" i="24"/>
  <c r="K421" i="24"/>
  <c r="L421" i="24"/>
  <c r="V421" i="24"/>
  <c r="W421" i="24"/>
  <c r="X421" i="24"/>
  <c r="C422" i="24"/>
  <c r="D422" i="24"/>
  <c r="E422" i="24"/>
  <c r="F422" i="24"/>
  <c r="G422" i="24"/>
  <c r="H422" i="24"/>
  <c r="I422" i="24"/>
  <c r="J422" i="24"/>
  <c r="K422" i="24"/>
  <c r="L422" i="24"/>
  <c r="V422" i="24"/>
  <c r="W422" i="24"/>
  <c r="X422" i="24"/>
  <c r="C423" i="24"/>
  <c r="D423" i="24"/>
  <c r="E423" i="24"/>
  <c r="F423" i="24"/>
  <c r="G423" i="24"/>
  <c r="H423" i="24"/>
  <c r="I423" i="24"/>
  <c r="J423" i="24"/>
  <c r="K423" i="24"/>
  <c r="L423" i="24"/>
  <c r="V423" i="24"/>
  <c r="W423" i="24"/>
  <c r="X423" i="24"/>
  <c r="C424" i="24"/>
  <c r="D424" i="24"/>
  <c r="E424" i="24"/>
  <c r="F424" i="24"/>
  <c r="G424" i="24"/>
  <c r="H424" i="24"/>
  <c r="I424" i="24"/>
  <c r="J424" i="24"/>
  <c r="K424" i="24"/>
  <c r="L424" i="24"/>
  <c r="V424" i="24"/>
  <c r="W424" i="24"/>
  <c r="X424" i="24"/>
  <c r="C425" i="24"/>
  <c r="D425" i="24"/>
  <c r="E425" i="24"/>
  <c r="F425" i="24"/>
  <c r="G425" i="24"/>
  <c r="H425" i="24"/>
  <c r="I425" i="24"/>
  <c r="J425" i="24"/>
  <c r="K425" i="24"/>
  <c r="L425" i="24"/>
  <c r="V425" i="24"/>
  <c r="W425" i="24"/>
  <c r="X425" i="24"/>
  <c r="C426" i="24"/>
  <c r="D426" i="24"/>
  <c r="E426" i="24"/>
  <c r="F426" i="24"/>
  <c r="G426" i="24"/>
  <c r="H426" i="24"/>
  <c r="I426" i="24"/>
  <c r="J426" i="24"/>
  <c r="K426" i="24"/>
  <c r="L426" i="24"/>
  <c r="V426" i="24"/>
  <c r="W426" i="24"/>
  <c r="X426" i="24"/>
  <c r="C427" i="24"/>
  <c r="D427" i="24"/>
  <c r="E427" i="24"/>
  <c r="F427" i="24"/>
  <c r="G427" i="24"/>
  <c r="H427" i="24"/>
  <c r="I427" i="24"/>
  <c r="J427" i="24"/>
  <c r="K427" i="24"/>
  <c r="L427" i="24"/>
  <c r="V427" i="24"/>
  <c r="W427" i="24"/>
  <c r="X427" i="24"/>
  <c r="C428" i="24"/>
  <c r="D428" i="24"/>
  <c r="E428" i="24"/>
  <c r="F428" i="24"/>
  <c r="G428" i="24"/>
  <c r="H428" i="24"/>
  <c r="I428" i="24"/>
  <c r="J428" i="24"/>
  <c r="K428" i="24"/>
  <c r="L428" i="24"/>
  <c r="V428" i="24"/>
  <c r="W428" i="24"/>
  <c r="X428" i="24"/>
  <c r="C429" i="24"/>
  <c r="D429" i="24"/>
  <c r="E429" i="24"/>
  <c r="F429" i="24"/>
  <c r="G429" i="24"/>
  <c r="H429" i="24"/>
  <c r="I429" i="24"/>
  <c r="J429" i="24"/>
  <c r="K429" i="24"/>
  <c r="L429" i="24"/>
  <c r="V429" i="24"/>
  <c r="W429" i="24"/>
  <c r="X429" i="24"/>
  <c r="C430" i="24"/>
  <c r="D430" i="24"/>
  <c r="E430" i="24"/>
  <c r="F430" i="24"/>
  <c r="G430" i="24"/>
  <c r="H430" i="24"/>
  <c r="I430" i="24"/>
  <c r="J430" i="24"/>
  <c r="K430" i="24"/>
  <c r="L430" i="24"/>
  <c r="V430" i="24"/>
  <c r="W430" i="24"/>
  <c r="X430" i="24"/>
  <c r="C431" i="24"/>
  <c r="D431" i="24"/>
  <c r="E431" i="24"/>
  <c r="F431" i="24"/>
  <c r="G431" i="24"/>
  <c r="H431" i="24"/>
  <c r="I431" i="24"/>
  <c r="J431" i="24"/>
  <c r="K431" i="24"/>
  <c r="L431" i="24"/>
  <c r="V431" i="24"/>
  <c r="W431" i="24"/>
  <c r="X431" i="24"/>
  <c r="C432" i="24"/>
  <c r="D432" i="24"/>
  <c r="E432" i="24"/>
  <c r="F432" i="24"/>
  <c r="G432" i="24"/>
  <c r="H432" i="24"/>
  <c r="I432" i="24"/>
  <c r="J432" i="24"/>
  <c r="K432" i="24"/>
  <c r="L432" i="24"/>
  <c r="V432" i="24"/>
  <c r="W432" i="24"/>
  <c r="X432" i="24"/>
  <c r="C433" i="24"/>
  <c r="D433" i="24"/>
  <c r="E433" i="24"/>
  <c r="F433" i="24"/>
  <c r="G433" i="24"/>
  <c r="H433" i="24"/>
  <c r="I433" i="24"/>
  <c r="J433" i="24"/>
  <c r="K433" i="24"/>
  <c r="L433" i="24"/>
  <c r="V433" i="24"/>
  <c r="W433" i="24"/>
  <c r="X433" i="24"/>
  <c r="C434" i="24"/>
  <c r="D434" i="24"/>
  <c r="E434" i="24"/>
  <c r="F434" i="24"/>
  <c r="G434" i="24"/>
  <c r="H434" i="24"/>
  <c r="I434" i="24"/>
  <c r="J434" i="24"/>
  <c r="K434" i="24"/>
  <c r="L434" i="24"/>
  <c r="V434" i="24"/>
  <c r="W434" i="24"/>
  <c r="X434" i="24"/>
  <c r="C435" i="24"/>
  <c r="D435" i="24"/>
  <c r="E435" i="24"/>
  <c r="F435" i="24"/>
  <c r="G435" i="24"/>
  <c r="H435" i="24"/>
  <c r="I435" i="24"/>
  <c r="J435" i="24"/>
  <c r="K435" i="24"/>
  <c r="L435" i="24"/>
  <c r="V435" i="24"/>
  <c r="W435" i="24"/>
  <c r="X435" i="24"/>
  <c r="C436" i="24"/>
  <c r="D436" i="24"/>
  <c r="E436" i="24"/>
  <c r="F436" i="24"/>
  <c r="G436" i="24"/>
  <c r="H436" i="24"/>
  <c r="I436" i="24"/>
  <c r="J436" i="24"/>
  <c r="K436" i="24"/>
  <c r="L436" i="24"/>
  <c r="V436" i="24"/>
  <c r="W436" i="24"/>
  <c r="X436" i="24"/>
  <c r="C437" i="24"/>
  <c r="D437" i="24"/>
  <c r="E437" i="24"/>
  <c r="F437" i="24"/>
  <c r="G437" i="24"/>
  <c r="H437" i="24"/>
  <c r="I437" i="24"/>
  <c r="J437" i="24"/>
  <c r="K437" i="24"/>
  <c r="L437" i="24"/>
  <c r="V437" i="24"/>
  <c r="W437" i="24"/>
  <c r="X437" i="24"/>
  <c r="C438" i="24"/>
  <c r="D438" i="24"/>
  <c r="E438" i="24"/>
  <c r="F438" i="24"/>
  <c r="G438" i="24"/>
  <c r="H438" i="24"/>
  <c r="I438" i="24"/>
  <c r="J438" i="24"/>
  <c r="K438" i="24"/>
  <c r="L438" i="24"/>
  <c r="V438" i="24"/>
  <c r="W438" i="24"/>
  <c r="X438" i="24"/>
  <c r="C439" i="24"/>
  <c r="D439" i="24"/>
  <c r="E439" i="24"/>
  <c r="F439" i="24"/>
  <c r="G439" i="24"/>
  <c r="H439" i="24"/>
  <c r="I439" i="24"/>
  <c r="J439" i="24"/>
  <c r="K439" i="24"/>
  <c r="L439" i="24"/>
  <c r="V439" i="24"/>
  <c r="W439" i="24"/>
  <c r="X439" i="24"/>
  <c r="C440" i="24"/>
  <c r="D440" i="24"/>
  <c r="E440" i="24"/>
  <c r="F440" i="24"/>
  <c r="G440" i="24"/>
  <c r="H440" i="24"/>
  <c r="I440" i="24"/>
  <c r="J440" i="24"/>
  <c r="K440" i="24"/>
  <c r="L440" i="24"/>
  <c r="V440" i="24"/>
  <c r="W440" i="24"/>
  <c r="X440" i="24"/>
  <c r="C441" i="24"/>
  <c r="D441" i="24"/>
  <c r="E441" i="24"/>
  <c r="F441" i="24"/>
  <c r="G441" i="24"/>
  <c r="H441" i="24"/>
  <c r="I441" i="24"/>
  <c r="J441" i="24"/>
  <c r="K441" i="24"/>
  <c r="L441" i="24"/>
  <c r="V441" i="24"/>
  <c r="W441" i="24"/>
  <c r="X441" i="24"/>
  <c r="C442" i="24"/>
  <c r="D442" i="24"/>
  <c r="E442" i="24"/>
  <c r="F442" i="24"/>
  <c r="G442" i="24"/>
  <c r="H442" i="24"/>
  <c r="I442" i="24"/>
  <c r="J442" i="24"/>
  <c r="K442" i="24"/>
  <c r="L442" i="24"/>
  <c r="V442" i="24"/>
  <c r="W442" i="24"/>
  <c r="X442" i="24"/>
  <c r="C443" i="24"/>
  <c r="D443" i="24"/>
  <c r="E443" i="24"/>
  <c r="F443" i="24"/>
  <c r="G443" i="24"/>
  <c r="H443" i="24"/>
  <c r="I443" i="24"/>
  <c r="J443" i="24"/>
  <c r="K443" i="24"/>
  <c r="L443" i="24"/>
  <c r="V443" i="24"/>
  <c r="W443" i="24"/>
  <c r="X443" i="24"/>
  <c r="C444" i="24"/>
  <c r="D444" i="24"/>
  <c r="E444" i="24"/>
  <c r="F444" i="24"/>
  <c r="G444" i="24"/>
  <c r="H444" i="24"/>
  <c r="I444" i="24"/>
  <c r="J444" i="24"/>
  <c r="K444" i="24"/>
  <c r="L444" i="24"/>
  <c r="V444" i="24"/>
  <c r="W444" i="24"/>
  <c r="X444" i="24"/>
  <c r="C445" i="24"/>
  <c r="D445" i="24"/>
  <c r="E445" i="24"/>
  <c r="F445" i="24"/>
  <c r="G445" i="24"/>
  <c r="H445" i="24"/>
  <c r="I445" i="24"/>
  <c r="J445" i="24"/>
  <c r="K445" i="24"/>
  <c r="L445" i="24"/>
  <c r="V445" i="24"/>
  <c r="W445" i="24"/>
  <c r="X445" i="24"/>
  <c r="C446" i="24"/>
  <c r="D446" i="24"/>
  <c r="E446" i="24"/>
  <c r="F446" i="24"/>
  <c r="G446" i="24"/>
  <c r="H446" i="24"/>
  <c r="I446" i="24"/>
  <c r="J446" i="24"/>
  <c r="K446" i="24"/>
  <c r="L446" i="24"/>
  <c r="V446" i="24"/>
  <c r="W446" i="24"/>
  <c r="X446" i="24"/>
  <c r="C447" i="24"/>
  <c r="D447" i="24"/>
  <c r="E447" i="24"/>
  <c r="F447" i="24"/>
  <c r="G447" i="24"/>
  <c r="H447" i="24"/>
  <c r="I447" i="24"/>
  <c r="J447" i="24"/>
  <c r="K447" i="24"/>
  <c r="L447" i="24"/>
  <c r="V447" i="24"/>
  <c r="W447" i="24"/>
  <c r="X447" i="24"/>
  <c r="C448" i="24"/>
  <c r="D448" i="24"/>
  <c r="E448" i="24"/>
  <c r="F448" i="24"/>
  <c r="G448" i="24"/>
  <c r="H448" i="24"/>
  <c r="I448" i="24"/>
  <c r="J448" i="24"/>
  <c r="K448" i="24"/>
  <c r="L448" i="24"/>
  <c r="V448" i="24"/>
  <c r="W448" i="24"/>
  <c r="X448" i="24"/>
  <c r="C449" i="24"/>
  <c r="D449" i="24"/>
  <c r="E449" i="24"/>
  <c r="F449" i="24"/>
  <c r="G449" i="24"/>
  <c r="H449" i="24"/>
  <c r="I449" i="24"/>
  <c r="J449" i="24"/>
  <c r="K449" i="24"/>
  <c r="L449" i="24"/>
  <c r="V449" i="24"/>
  <c r="W449" i="24"/>
  <c r="X449" i="24"/>
  <c r="C450" i="24"/>
  <c r="D450" i="24"/>
  <c r="E450" i="24"/>
  <c r="F450" i="24"/>
  <c r="G450" i="24"/>
  <c r="H450" i="24"/>
  <c r="I450" i="24"/>
  <c r="J450" i="24"/>
  <c r="K450" i="24"/>
  <c r="L450" i="24"/>
  <c r="V450" i="24"/>
  <c r="W450" i="24"/>
  <c r="X450" i="24"/>
  <c r="C451" i="24"/>
  <c r="D451" i="24"/>
  <c r="E451" i="24"/>
  <c r="F451" i="24"/>
  <c r="G451" i="24"/>
  <c r="H451" i="24"/>
  <c r="I451" i="24"/>
  <c r="J451" i="24"/>
  <c r="K451" i="24"/>
  <c r="L451" i="24"/>
  <c r="V451" i="24"/>
  <c r="W451" i="24"/>
  <c r="X451" i="24"/>
  <c r="C452" i="24"/>
  <c r="D452" i="24"/>
  <c r="E452" i="24"/>
  <c r="F452" i="24"/>
  <c r="G452" i="24"/>
  <c r="H452" i="24"/>
  <c r="I452" i="24"/>
  <c r="J452" i="24"/>
  <c r="K452" i="24"/>
  <c r="L452" i="24"/>
  <c r="V452" i="24"/>
  <c r="W452" i="24"/>
  <c r="X452" i="24"/>
  <c r="C453" i="24"/>
  <c r="D453" i="24"/>
  <c r="E453" i="24"/>
  <c r="F453" i="24"/>
  <c r="G453" i="24"/>
  <c r="H453" i="24"/>
  <c r="I453" i="24"/>
  <c r="J453" i="24"/>
  <c r="K453" i="24"/>
  <c r="L453" i="24"/>
  <c r="V453" i="24"/>
  <c r="W453" i="24"/>
  <c r="X453" i="24"/>
  <c r="C454" i="24"/>
  <c r="D454" i="24"/>
  <c r="E454" i="24"/>
  <c r="F454" i="24"/>
  <c r="G454" i="24"/>
  <c r="H454" i="24"/>
  <c r="I454" i="24"/>
  <c r="J454" i="24"/>
  <c r="K454" i="24"/>
  <c r="L454" i="24"/>
  <c r="V454" i="24"/>
  <c r="W454" i="24"/>
  <c r="X454" i="24"/>
  <c r="C455" i="24"/>
  <c r="D455" i="24"/>
  <c r="E455" i="24"/>
  <c r="F455" i="24"/>
  <c r="G455" i="24"/>
  <c r="H455" i="24"/>
  <c r="I455" i="24"/>
  <c r="J455" i="24"/>
  <c r="K455" i="24"/>
  <c r="L455" i="24"/>
  <c r="V455" i="24"/>
  <c r="W455" i="24"/>
  <c r="X455" i="24"/>
  <c r="C456" i="24"/>
  <c r="D456" i="24"/>
  <c r="E456" i="24"/>
  <c r="F456" i="24"/>
  <c r="G456" i="24"/>
  <c r="H456" i="24"/>
  <c r="I456" i="24"/>
  <c r="J456" i="24"/>
  <c r="K456" i="24"/>
  <c r="L456" i="24"/>
  <c r="V456" i="24"/>
  <c r="W456" i="24"/>
  <c r="X456" i="24"/>
  <c r="C457" i="24"/>
  <c r="D457" i="24"/>
  <c r="E457" i="24"/>
  <c r="F457" i="24"/>
  <c r="G457" i="24"/>
  <c r="H457" i="24"/>
  <c r="I457" i="24"/>
  <c r="J457" i="24"/>
  <c r="K457" i="24"/>
  <c r="L457" i="24"/>
  <c r="V457" i="24"/>
  <c r="W457" i="24"/>
  <c r="X457" i="24"/>
  <c r="W344" i="24"/>
  <c r="V344" i="24"/>
  <c r="K344" i="24"/>
  <c r="J344" i="24"/>
  <c r="I344" i="24"/>
  <c r="H344" i="24"/>
  <c r="G344" i="24"/>
  <c r="F344" i="24"/>
  <c r="E344" i="24"/>
  <c r="D344" i="24"/>
  <c r="C344" i="24"/>
  <c r="AN341" i="24" l="1"/>
  <c r="AR341" i="24"/>
  <c r="AN337" i="24"/>
  <c r="AR337" i="24"/>
  <c r="AN333" i="24"/>
  <c r="AR333" i="24"/>
  <c r="AN328" i="24"/>
  <c r="AR328" i="24"/>
  <c r="AN324" i="24"/>
  <c r="AR324" i="24"/>
  <c r="AN320" i="24"/>
  <c r="AR320" i="24"/>
  <c r="AN316" i="24"/>
  <c r="AR316" i="24"/>
  <c r="AN312" i="24"/>
  <c r="AR312" i="24"/>
  <c r="AN308" i="24"/>
  <c r="AR308" i="24"/>
  <c r="AN304" i="24"/>
  <c r="AR304" i="24"/>
  <c r="AN300" i="24"/>
  <c r="AR300" i="24"/>
  <c r="AN296" i="24"/>
  <c r="AR296" i="24"/>
  <c r="AN292" i="24"/>
  <c r="AR292" i="24"/>
  <c r="AN288" i="24"/>
  <c r="AR288" i="24"/>
  <c r="AN284" i="24"/>
  <c r="AR284" i="24"/>
  <c r="AN280" i="24"/>
  <c r="AR280" i="24"/>
  <c r="AN276" i="24"/>
  <c r="AR276" i="24"/>
  <c r="AN272" i="24"/>
  <c r="AR272" i="24"/>
  <c r="AN266" i="24"/>
  <c r="AR266" i="24"/>
  <c r="AN262" i="24"/>
  <c r="AR262" i="24"/>
  <c r="AN258" i="24"/>
  <c r="AR258" i="24"/>
  <c r="AN254" i="24"/>
  <c r="AR254" i="24"/>
  <c r="AN250" i="24"/>
  <c r="AR250" i="24"/>
  <c r="AN246" i="24"/>
  <c r="AR246" i="24"/>
  <c r="AN241" i="24"/>
  <c r="AR241" i="24"/>
  <c r="AN237" i="24"/>
  <c r="AR237" i="24"/>
  <c r="AN233" i="24"/>
  <c r="AR233" i="24"/>
  <c r="AN340" i="24"/>
  <c r="AR340" i="24"/>
  <c r="AN336" i="24"/>
  <c r="AR336" i="24"/>
  <c r="AN332" i="24"/>
  <c r="AR332" i="24"/>
  <c r="AN327" i="24"/>
  <c r="AR327" i="24"/>
  <c r="AN323" i="24"/>
  <c r="AR323" i="24"/>
  <c r="AN319" i="24"/>
  <c r="AR319" i="24"/>
  <c r="AN315" i="24"/>
  <c r="AR315" i="24"/>
  <c r="AN311" i="24"/>
  <c r="AR311" i="24"/>
  <c r="AN307" i="24"/>
  <c r="AR307" i="24"/>
  <c r="AN303" i="24"/>
  <c r="AR303" i="24"/>
  <c r="AN299" i="24"/>
  <c r="AR299" i="24"/>
  <c r="AN295" i="24"/>
  <c r="AR295" i="24"/>
  <c r="AN291" i="24"/>
  <c r="AR291" i="24"/>
  <c r="AN287" i="24"/>
  <c r="AR287" i="24"/>
  <c r="AN283" i="24"/>
  <c r="AR283" i="24"/>
  <c r="AN279" i="24"/>
  <c r="AR279" i="24"/>
  <c r="AN275" i="24"/>
  <c r="AR275" i="24"/>
  <c r="AN271" i="24"/>
  <c r="AR271" i="24"/>
  <c r="AN265" i="24"/>
  <c r="AR265" i="24"/>
  <c r="AN261" i="24"/>
  <c r="AR261" i="24"/>
  <c r="AN257" i="24"/>
  <c r="AR257" i="24"/>
  <c r="AN253" i="24"/>
  <c r="AR253" i="24"/>
  <c r="AN249" i="24"/>
  <c r="AR249" i="24"/>
  <c r="AN244" i="24"/>
  <c r="AR244" i="24"/>
  <c r="AN240" i="24"/>
  <c r="AR240" i="24"/>
  <c r="AN236" i="24"/>
  <c r="AR236" i="24"/>
  <c r="AN232" i="24"/>
  <c r="AR232" i="24"/>
  <c r="AN343" i="24"/>
  <c r="AR343" i="24"/>
  <c r="AN339" i="24"/>
  <c r="AR339" i="24"/>
  <c r="AN335" i="24"/>
  <c r="AR335" i="24"/>
  <c r="AN331" i="24"/>
  <c r="AR331" i="24"/>
  <c r="AN326" i="24"/>
  <c r="AR326" i="24"/>
  <c r="AN322" i="24"/>
  <c r="AR322" i="24"/>
  <c r="AN318" i="24"/>
  <c r="AR318" i="24"/>
  <c r="AN314" i="24"/>
  <c r="AR314" i="24"/>
  <c r="AN310" i="24"/>
  <c r="AR310" i="24"/>
  <c r="AN306" i="24"/>
  <c r="AR306" i="24"/>
  <c r="AN302" i="24"/>
  <c r="AR302" i="24"/>
  <c r="AN298" i="24"/>
  <c r="AR298" i="24"/>
  <c r="AN294" i="24"/>
  <c r="AR294" i="24"/>
  <c r="AN290" i="24"/>
  <c r="AR290" i="24"/>
  <c r="AN286" i="24"/>
  <c r="AR286" i="24"/>
  <c r="AN282" i="24"/>
  <c r="AR282" i="24"/>
  <c r="AN278" i="24"/>
  <c r="AR278" i="24"/>
  <c r="AN274" i="24"/>
  <c r="AR274" i="24"/>
  <c r="AN269" i="24"/>
  <c r="AR269" i="24"/>
  <c r="AN264" i="24"/>
  <c r="AR264" i="24"/>
  <c r="AN260" i="24"/>
  <c r="AR260" i="24"/>
  <c r="AN256" i="24"/>
  <c r="AR256" i="24"/>
  <c r="AN252" i="24"/>
  <c r="AR252" i="24"/>
  <c r="AN243" i="24"/>
  <c r="AR243" i="24"/>
  <c r="AN239" i="24"/>
  <c r="AR239" i="24"/>
  <c r="AN235" i="24"/>
  <c r="AR235" i="24"/>
  <c r="AN231" i="24"/>
  <c r="AR231" i="24"/>
  <c r="AN342" i="24"/>
  <c r="AR342" i="24"/>
  <c r="AN338" i="24"/>
  <c r="AR338" i="24"/>
  <c r="AN334" i="24"/>
  <c r="AR334" i="24"/>
  <c r="AN329" i="24"/>
  <c r="AR329" i="24"/>
  <c r="AN325" i="24"/>
  <c r="AR325" i="24"/>
  <c r="AN321" i="24"/>
  <c r="AR321" i="24"/>
  <c r="AN317" i="24"/>
  <c r="AR317" i="24"/>
  <c r="AN313" i="24"/>
  <c r="AR313" i="24"/>
  <c r="AN309" i="24"/>
  <c r="AR309" i="24"/>
  <c r="AN305" i="24"/>
  <c r="AR305" i="24"/>
  <c r="AN301" i="24"/>
  <c r="AR301" i="24"/>
  <c r="AN297" i="24"/>
  <c r="AR297" i="24"/>
  <c r="AN293" i="24"/>
  <c r="AR293" i="24"/>
  <c r="AN289" i="24"/>
  <c r="AR289" i="24"/>
  <c r="AN285" i="24"/>
  <c r="AR285" i="24"/>
  <c r="AN281" i="24"/>
  <c r="AR281" i="24"/>
  <c r="AN277" i="24"/>
  <c r="AR277" i="24"/>
  <c r="AN273" i="24"/>
  <c r="AR273" i="24"/>
  <c r="AN267" i="24"/>
  <c r="AR267" i="24"/>
  <c r="AN263" i="24"/>
  <c r="AR263" i="24"/>
  <c r="AN259" i="24"/>
  <c r="AR259" i="24"/>
  <c r="AN255" i="24"/>
  <c r="AR255" i="24"/>
  <c r="AN251" i="24"/>
  <c r="AR251" i="24"/>
  <c r="AN247" i="24"/>
  <c r="AR247" i="24"/>
  <c r="AN242" i="24"/>
  <c r="AR242" i="24"/>
  <c r="AN238" i="24"/>
  <c r="AR238" i="24"/>
  <c r="AN234" i="24"/>
  <c r="AR234" i="24"/>
  <c r="AN230" i="24"/>
  <c r="AR230" i="24"/>
  <c r="AP230" i="24"/>
  <c r="AK230" i="24"/>
  <c r="AI230" i="24"/>
  <c r="AG253" i="24"/>
  <c r="AI253" i="24"/>
  <c r="AG335" i="24"/>
  <c r="AI335" i="24"/>
  <c r="AG318" i="24"/>
  <c r="AI318" i="24"/>
  <c r="AG302" i="24"/>
  <c r="AI302" i="24"/>
  <c r="AG286" i="24"/>
  <c r="AI286" i="24"/>
  <c r="AG269" i="24"/>
  <c r="AI269" i="24"/>
  <c r="AG252" i="24"/>
  <c r="AI252" i="24"/>
  <c r="AG235" i="24"/>
  <c r="AI235" i="24"/>
  <c r="AP341" i="24"/>
  <c r="AL341" i="24"/>
  <c r="AL337" i="24"/>
  <c r="AP337" i="24"/>
  <c r="AL333" i="24"/>
  <c r="AP333" i="24"/>
  <c r="AL328" i="24"/>
  <c r="AP328" i="24"/>
  <c r="AP324" i="24"/>
  <c r="AL324" i="24"/>
  <c r="AL320" i="24"/>
  <c r="AP320" i="24"/>
  <c r="AL316" i="24"/>
  <c r="AP316" i="24"/>
  <c r="AL312" i="24"/>
  <c r="AP312" i="24"/>
  <c r="AP308" i="24"/>
  <c r="AL308" i="24"/>
  <c r="AL304" i="24"/>
  <c r="AP304" i="24"/>
  <c r="AL300" i="24"/>
  <c r="AP300" i="24"/>
  <c r="AL296" i="24"/>
  <c r="AP296" i="24"/>
  <c r="AL292" i="24"/>
  <c r="AP292" i="24"/>
  <c r="AL288" i="24"/>
  <c r="AP288" i="24"/>
  <c r="AL284" i="24"/>
  <c r="AP284" i="24"/>
  <c r="AL280" i="24"/>
  <c r="AP280" i="24"/>
  <c r="AP276" i="24"/>
  <c r="AL276" i="24"/>
  <c r="AL272" i="24"/>
  <c r="AP272" i="24"/>
  <c r="AL266" i="24"/>
  <c r="AP266" i="24"/>
  <c r="AL262" i="24"/>
  <c r="AP262" i="24"/>
  <c r="AP258" i="24"/>
  <c r="AL258" i="24"/>
  <c r="AL254" i="24"/>
  <c r="AP254" i="24"/>
  <c r="AL250" i="24"/>
  <c r="AP250" i="24"/>
  <c r="AL246" i="24"/>
  <c r="AP246" i="24"/>
  <c r="AP241" i="24"/>
  <c r="AL241" i="24"/>
  <c r="AL237" i="24"/>
  <c r="AP237" i="24"/>
  <c r="AL233" i="24"/>
  <c r="AP233" i="24"/>
  <c r="AI287" i="24"/>
  <c r="AG287" i="24"/>
  <c r="AG334" i="24"/>
  <c r="AI334" i="24"/>
  <c r="AG317" i="24"/>
  <c r="AI317" i="24"/>
  <c r="AG301" i="24"/>
  <c r="AI301" i="24"/>
  <c r="AG285" i="24"/>
  <c r="AI285" i="24"/>
  <c r="AG267" i="24"/>
  <c r="AI267" i="24"/>
  <c r="AG251" i="24"/>
  <c r="AI251" i="24"/>
  <c r="AG234" i="24"/>
  <c r="AI234" i="24"/>
  <c r="BF340" i="24"/>
  <c r="BI340" i="24"/>
  <c r="BL340" i="24"/>
  <c r="BF336" i="24"/>
  <c r="BI336" i="24"/>
  <c r="BL336" i="24"/>
  <c r="BI332" i="24"/>
  <c r="BL332" i="24"/>
  <c r="BF332" i="24"/>
  <c r="BF327" i="24"/>
  <c r="BI327" i="24"/>
  <c r="BL327" i="24"/>
  <c r="BF323" i="24"/>
  <c r="BI323" i="24"/>
  <c r="BL323" i="24"/>
  <c r="BF319" i="24"/>
  <c r="BI319" i="24"/>
  <c r="BL319" i="24"/>
  <c r="BI315" i="24"/>
  <c r="BL315" i="24"/>
  <c r="BF315" i="24"/>
  <c r="BF311" i="24"/>
  <c r="BI311" i="24"/>
  <c r="BL311" i="24"/>
  <c r="BF307" i="24"/>
  <c r="BI307" i="24"/>
  <c r="BL307" i="24"/>
  <c r="BF303" i="24"/>
  <c r="BI303" i="24"/>
  <c r="BL303" i="24"/>
  <c r="BI299" i="24"/>
  <c r="BL299" i="24"/>
  <c r="BF299" i="24"/>
  <c r="BF295" i="24"/>
  <c r="BI295" i="24"/>
  <c r="BL295" i="24"/>
  <c r="BF291" i="24"/>
  <c r="BI291" i="24"/>
  <c r="BL291" i="24"/>
  <c r="BF287" i="24"/>
  <c r="BI287" i="24"/>
  <c r="BL287" i="24"/>
  <c r="BI283" i="24"/>
  <c r="BL283" i="24"/>
  <c r="BF283" i="24"/>
  <c r="BF279" i="24"/>
  <c r="BI279" i="24"/>
  <c r="BL279" i="24"/>
  <c r="BF275" i="24"/>
  <c r="BI275" i="24"/>
  <c r="BL275" i="24"/>
  <c r="BF271" i="24"/>
  <c r="BI271" i="24"/>
  <c r="BL271" i="24"/>
  <c r="BI265" i="24"/>
  <c r="BL265" i="24"/>
  <c r="BF265" i="24"/>
  <c r="BF261" i="24"/>
  <c r="BI261" i="24"/>
  <c r="BL261" i="24"/>
  <c r="BF257" i="24"/>
  <c r="BI257" i="24"/>
  <c r="BL257" i="24"/>
  <c r="BF253" i="24"/>
  <c r="BI253" i="24"/>
  <c r="BL253" i="24"/>
  <c r="BI249" i="24"/>
  <c r="BL249" i="24"/>
  <c r="BF249" i="24"/>
  <c r="BF244" i="24"/>
  <c r="BI244" i="24"/>
  <c r="BL244" i="24"/>
  <c r="BF240" i="24"/>
  <c r="BI240" i="24"/>
  <c r="BL240" i="24"/>
  <c r="BF236" i="24"/>
  <c r="BI236" i="24"/>
  <c r="BL236" i="24"/>
  <c r="BI232" i="24"/>
  <c r="BL232" i="24"/>
  <c r="BF232" i="24"/>
  <c r="AI333" i="24"/>
  <c r="AG333" i="24"/>
  <c r="AG316" i="24"/>
  <c r="AI316" i="24"/>
  <c r="AG300" i="24"/>
  <c r="AI300" i="24"/>
  <c r="AG284" i="24"/>
  <c r="AI284" i="24"/>
  <c r="AG266" i="24"/>
  <c r="AI266" i="24"/>
  <c r="AG250" i="24"/>
  <c r="AI250" i="24"/>
  <c r="AG233" i="24"/>
  <c r="AI233" i="24"/>
  <c r="AG332" i="24"/>
  <c r="AI332" i="24"/>
  <c r="AG315" i="24"/>
  <c r="AI315" i="24"/>
  <c r="AG299" i="24"/>
  <c r="AI299" i="24"/>
  <c r="AG283" i="24"/>
  <c r="AI283" i="24"/>
  <c r="AG265" i="24"/>
  <c r="AI265" i="24"/>
  <c r="AG249" i="24"/>
  <c r="AI249" i="24"/>
  <c r="AG232" i="24"/>
  <c r="AI232" i="24"/>
  <c r="AG331" i="24"/>
  <c r="AI331" i="24"/>
  <c r="AG314" i="24"/>
  <c r="AI314" i="24"/>
  <c r="AG298" i="24"/>
  <c r="AI298" i="24"/>
  <c r="AG282" i="24"/>
  <c r="AI282" i="24"/>
  <c r="AG264" i="24"/>
  <c r="AI264" i="24"/>
  <c r="AG231" i="24"/>
  <c r="AI231" i="24"/>
  <c r="AP340" i="24"/>
  <c r="AL340" i="24"/>
  <c r="AL336" i="24"/>
  <c r="AP336" i="24"/>
  <c r="AL332" i="24"/>
  <c r="AP332" i="24"/>
  <c r="AL327" i="24"/>
  <c r="AP327" i="24"/>
  <c r="AP323" i="24"/>
  <c r="AL323" i="24"/>
  <c r="AL319" i="24"/>
  <c r="AP319" i="24"/>
  <c r="AL315" i="24"/>
  <c r="AP315" i="24"/>
  <c r="AL311" i="24"/>
  <c r="AP311" i="24"/>
  <c r="AP307" i="24"/>
  <c r="AL307" i="24"/>
  <c r="AL303" i="24"/>
  <c r="AP303" i="24"/>
  <c r="AL299" i="24"/>
  <c r="AP299" i="24"/>
  <c r="AL295" i="24"/>
  <c r="AP295" i="24"/>
  <c r="AP291" i="24"/>
  <c r="AL291" i="24"/>
  <c r="AL287" i="24"/>
  <c r="AP287" i="24"/>
  <c r="AL283" i="24"/>
  <c r="AP283" i="24"/>
  <c r="AL279" i="24"/>
  <c r="AP279" i="24"/>
  <c r="AP275" i="24"/>
  <c r="AL275" i="24"/>
  <c r="AL271" i="24"/>
  <c r="AP271" i="24"/>
  <c r="AL265" i="24"/>
  <c r="AP265" i="24"/>
  <c r="AL261" i="24"/>
  <c r="AP261" i="24"/>
  <c r="AP257" i="24"/>
  <c r="AL257" i="24"/>
  <c r="AL253" i="24"/>
  <c r="AP253" i="24"/>
  <c r="AL249" i="24"/>
  <c r="AP249" i="24"/>
  <c r="AL244" i="24"/>
  <c r="AP244" i="24"/>
  <c r="AP240" i="24"/>
  <c r="AL240" i="24"/>
  <c r="AL236" i="24"/>
  <c r="AP236" i="24"/>
  <c r="AL232" i="24"/>
  <c r="AP232" i="24"/>
  <c r="AG329" i="24"/>
  <c r="AI329" i="24"/>
  <c r="AG313" i="24"/>
  <c r="AI313" i="24"/>
  <c r="AG297" i="24"/>
  <c r="AI297" i="24"/>
  <c r="AG281" i="24"/>
  <c r="AI281" i="24"/>
  <c r="AG263" i="24"/>
  <c r="AI263" i="24"/>
  <c r="AG247" i="24"/>
  <c r="AI247" i="24"/>
  <c r="AI343" i="24"/>
  <c r="AG343" i="24"/>
  <c r="BF339" i="24"/>
  <c r="BI339" i="24"/>
  <c r="BL339" i="24"/>
  <c r="BF335" i="24"/>
  <c r="BI335" i="24"/>
  <c r="BL335" i="24"/>
  <c r="BL331" i="24"/>
  <c r="BI331" i="24"/>
  <c r="BF331" i="24"/>
  <c r="BF326" i="24"/>
  <c r="BI326" i="24"/>
  <c r="BL326" i="24"/>
  <c r="BF322" i="24"/>
  <c r="BI322" i="24"/>
  <c r="BL322" i="24"/>
  <c r="BF318" i="24"/>
  <c r="BI318" i="24"/>
  <c r="BL318" i="24"/>
  <c r="BL314" i="24"/>
  <c r="BI314" i="24"/>
  <c r="BF314" i="24"/>
  <c r="BF310" i="24"/>
  <c r="BI310" i="24"/>
  <c r="BL310" i="24"/>
  <c r="BF306" i="24"/>
  <c r="BI306" i="24"/>
  <c r="BL306" i="24"/>
  <c r="BF302" i="24"/>
  <c r="BI302" i="24"/>
  <c r="BL302" i="24"/>
  <c r="BL298" i="24"/>
  <c r="BI298" i="24"/>
  <c r="BF298" i="24"/>
  <c r="BF294" i="24"/>
  <c r="BI294" i="24"/>
  <c r="BL294" i="24"/>
  <c r="BF290" i="24"/>
  <c r="BI290" i="24"/>
  <c r="BL290" i="24"/>
  <c r="BF286" i="24"/>
  <c r="BI286" i="24"/>
  <c r="BL286" i="24"/>
  <c r="BI282" i="24"/>
  <c r="BL282" i="24"/>
  <c r="BF282" i="24"/>
  <c r="BF278" i="24"/>
  <c r="BI278" i="24"/>
  <c r="BL278" i="24"/>
  <c r="BF274" i="24"/>
  <c r="BI274" i="24"/>
  <c r="BL274" i="24"/>
  <c r="BF269" i="24"/>
  <c r="BI269" i="24"/>
  <c r="BL269" i="24"/>
  <c r="BL264" i="24"/>
  <c r="BI264" i="24"/>
  <c r="BF264" i="24"/>
  <c r="BF260" i="24"/>
  <c r="BI260" i="24"/>
  <c r="BL260" i="24"/>
  <c r="BF256" i="24"/>
  <c r="BI256" i="24"/>
  <c r="BL256" i="24"/>
  <c r="BF252" i="24"/>
  <c r="BI252" i="24"/>
  <c r="BL252" i="24"/>
  <c r="BF243" i="24"/>
  <c r="BI243" i="24"/>
  <c r="BL243" i="24"/>
  <c r="BF239" i="24"/>
  <c r="BI239" i="24"/>
  <c r="BL239" i="24"/>
  <c r="BF235" i="24"/>
  <c r="BI235" i="24"/>
  <c r="BL235" i="24"/>
  <c r="BL231" i="24"/>
  <c r="BI231" i="24"/>
  <c r="BF231" i="24"/>
  <c r="AI328" i="24"/>
  <c r="AG328" i="24"/>
  <c r="AI312" i="24"/>
  <c r="AG312" i="24"/>
  <c r="AG296" i="24"/>
  <c r="AI296" i="24"/>
  <c r="AI280" i="24"/>
  <c r="AG280" i="24"/>
  <c r="AI262" i="24"/>
  <c r="AG262" i="24"/>
  <c r="AI246" i="24"/>
  <c r="AG246" i="24"/>
  <c r="AI327" i="24"/>
  <c r="AG327" i="24"/>
  <c r="AI311" i="24"/>
  <c r="AG311" i="24"/>
  <c r="AI295" i="24"/>
  <c r="AG295" i="24"/>
  <c r="AI279" i="24"/>
  <c r="AG279" i="24"/>
  <c r="AI261" i="24"/>
  <c r="AG261" i="24"/>
  <c r="AI244" i="24"/>
  <c r="AG244" i="24"/>
  <c r="AI319" i="24"/>
  <c r="AG319" i="24"/>
  <c r="AG230" i="24"/>
  <c r="AI326" i="24"/>
  <c r="AG326" i="24"/>
  <c r="AG310" i="24"/>
  <c r="AI310" i="24"/>
  <c r="AG294" i="24"/>
  <c r="AI294" i="24"/>
  <c r="AG278" i="24"/>
  <c r="AI278" i="24"/>
  <c r="AG260" i="24"/>
  <c r="AI260" i="24"/>
  <c r="AI243" i="24"/>
  <c r="AG243" i="24"/>
  <c r="AL343" i="24"/>
  <c r="AP343" i="24"/>
  <c r="AP339" i="24"/>
  <c r="AL339" i="24"/>
  <c r="AL335" i="24"/>
  <c r="AP335" i="24"/>
  <c r="AL331" i="24"/>
  <c r="AP331" i="24"/>
  <c r="AL326" i="24"/>
  <c r="AP326" i="24"/>
  <c r="AP322" i="24"/>
  <c r="AL322" i="24"/>
  <c r="AL318" i="24"/>
  <c r="AP318" i="24"/>
  <c r="AL314" i="24"/>
  <c r="AP314" i="24"/>
  <c r="AL310" i="24"/>
  <c r="AP310" i="24"/>
  <c r="AP306" i="24"/>
  <c r="AL306" i="24"/>
  <c r="AL302" i="24"/>
  <c r="AP302" i="24"/>
  <c r="AL298" i="24"/>
  <c r="AP298" i="24"/>
  <c r="AL294" i="24"/>
  <c r="AP294" i="24"/>
  <c r="AL290" i="24"/>
  <c r="AP290" i="24"/>
  <c r="AL286" i="24"/>
  <c r="AP286" i="24"/>
  <c r="AL282" i="24"/>
  <c r="AP282" i="24"/>
  <c r="AL278" i="24"/>
  <c r="AP278" i="24"/>
  <c r="AP274" i="24"/>
  <c r="AL274" i="24"/>
  <c r="AL269" i="24"/>
  <c r="AP269" i="24"/>
  <c r="AL264" i="24"/>
  <c r="AP264" i="24"/>
  <c r="AL260" i="24"/>
  <c r="AP260" i="24"/>
  <c r="AP256" i="24"/>
  <c r="AL256" i="24"/>
  <c r="AL252" i="24"/>
  <c r="AP252" i="24"/>
  <c r="AL243" i="24"/>
  <c r="AP243" i="24"/>
  <c r="AP239" i="24"/>
  <c r="AL239" i="24"/>
  <c r="AL235" i="24"/>
  <c r="AP235" i="24"/>
  <c r="AL231" i="24"/>
  <c r="AP231" i="24"/>
  <c r="AG336" i="24"/>
  <c r="AI336" i="24"/>
  <c r="AI303" i="24"/>
  <c r="AG303" i="24"/>
  <c r="AG271" i="24"/>
  <c r="AI271" i="24"/>
  <c r="AG236" i="24"/>
  <c r="AI236" i="24"/>
  <c r="AG342" i="24"/>
  <c r="AI342" i="24"/>
  <c r="AG325" i="24"/>
  <c r="AI325" i="24"/>
  <c r="AI309" i="24"/>
  <c r="AG309" i="24"/>
  <c r="AG293" i="24"/>
  <c r="AI293" i="24"/>
  <c r="AI277" i="24"/>
  <c r="AG277" i="24"/>
  <c r="AI259" i="24"/>
  <c r="AG259" i="24"/>
  <c r="AG242" i="24"/>
  <c r="AI242" i="24"/>
  <c r="BF342" i="24"/>
  <c r="BI342" i="24"/>
  <c r="BL342" i="24"/>
  <c r="BF338" i="24"/>
  <c r="BI338" i="24"/>
  <c r="BL338" i="24"/>
  <c r="BF334" i="24"/>
  <c r="BI334" i="24"/>
  <c r="BL334" i="24"/>
  <c r="BL329" i="24"/>
  <c r="BF329" i="24"/>
  <c r="BI329" i="24"/>
  <c r="BF325" i="24"/>
  <c r="BI325" i="24"/>
  <c r="BL325" i="24"/>
  <c r="BF321" i="24"/>
  <c r="BI321" i="24"/>
  <c r="BL321" i="24"/>
  <c r="BF317" i="24"/>
  <c r="BI317" i="24"/>
  <c r="BL317" i="24"/>
  <c r="BL313" i="24"/>
  <c r="BF313" i="24"/>
  <c r="BI313" i="24"/>
  <c r="BF309" i="24"/>
  <c r="BI309" i="24"/>
  <c r="BL309" i="24"/>
  <c r="BF305" i="24"/>
  <c r="BI305" i="24"/>
  <c r="BL305" i="24"/>
  <c r="BF301" i="24"/>
  <c r="BI301" i="24"/>
  <c r="BL301" i="24"/>
  <c r="BL297" i="24"/>
  <c r="BF297" i="24"/>
  <c r="BI297" i="24"/>
  <c r="BF293" i="24"/>
  <c r="BI293" i="24"/>
  <c r="BL293" i="24"/>
  <c r="BF289" i="24"/>
  <c r="BI289" i="24"/>
  <c r="BL289" i="24"/>
  <c r="BF285" i="24"/>
  <c r="BI285" i="24"/>
  <c r="BL285" i="24"/>
  <c r="BL281" i="24"/>
  <c r="BF281" i="24"/>
  <c r="BI281" i="24"/>
  <c r="BF277" i="24"/>
  <c r="BI277" i="24"/>
  <c r="BL277" i="24"/>
  <c r="BF273" i="24"/>
  <c r="BI273" i="24"/>
  <c r="BL273" i="24"/>
  <c r="BF267" i="24"/>
  <c r="BI267" i="24"/>
  <c r="BL267" i="24"/>
  <c r="BL263" i="24"/>
  <c r="BF263" i="24"/>
  <c r="BI263" i="24"/>
  <c r="BF259" i="24"/>
  <c r="BI259" i="24"/>
  <c r="BL259" i="24"/>
  <c r="BF255" i="24"/>
  <c r="BI255" i="24"/>
  <c r="BL255" i="24"/>
  <c r="BF251" i="24"/>
  <c r="BI251" i="24"/>
  <c r="BL251" i="24"/>
  <c r="BL247" i="24"/>
  <c r="BF247" i="24"/>
  <c r="BI247" i="24"/>
  <c r="BF242" i="24"/>
  <c r="BI242" i="24"/>
  <c r="BL242" i="24"/>
  <c r="BF238" i="24"/>
  <c r="BI238" i="24"/>
  <c r="BL238" i="24"/>
  <c r="BF234" i="24"/>
  <c r="BI234" i="24"/>
  <c r="BL234" i="24"/>
  <c r="BF230" i="24"/>
  <c r="BI230" i="24"/>
  <c r="BL230" i="24"/>
  <c r="AI341" i="24"/>
  <c r="AG341" i="24"/>
  <c r="AG324" i="24"/>
  <c r="AI324" i="24"/>
  <c r="AG308" i="24"/>
  <c r="AI308" i="24"/>
  <c r="AI292" i="24"/>
  <c r="AG292" i="24"/>
  <c r="AG276" i="24"/>
  <c r="AI276" i="24"/>
  <c r="AI258" i="24"/>
  <c r="AG258" i="24"/>
  <c r="AI241" i="24"/>
  <c r="AG241" i="24"/>
  <c r="AG340" i="24"/>
  <c r="AI340" i="24"/>
  <c r="AI323" i="24"/>
  <c r="AG323" i="24"/>
  <c r="AG307" i="24"/>
  <c r="AI307" i="24"/>
  <c r="AG291" i="24"/>
  <c r="AI291" i="24"/>
  <c r="AI275" i="24"/>
  <c r="AG275" i="24"/>
  <c r="AI257" i="24"/>
  <c r="AG257" i="24"/>
  <c r="AI240" i="24"/>
  <c r="AG240" i="24"/>
  <c r="AI339" i="24"/>
  <c r="AG339" i="24"/>
  <c r="AI322" i="24"/>
  <c r="AG322" i="24"/>
  <c r="AI306" i="24"/>
  <c r="AG306" i="24"/>
  <c r="AG290" i="24"/>
  <c r="AI290" i="24"/>
  <c r="AI274" i="24"/>
  <c r="AG274" i="24"/>
  <c r="AG256" i="24"/>
  <c r="AI256" i="24"/>
  <c r="AG239" i="24"/>
  <c r="AI239" i="24"/>
  <c r="AL342" i="24"/>
  <c r="AP342" i="24"/>
  <c r="AL338" i="24"/>
  <c r="AP338" i="24"/>
  <c r="AL334" i="24"/>
  <c r="AP334" i="24"/>
  <c r="AL329" i="24"/>
  <c r="AP329" i="24"/>
  <c r="AL325" i="24"/>
  <c r="AP325" i="24"/>
  <c r="AL321" i="24"/>
  <c r="AP321" i="24"/>
  <c r="AL317" i="24"/>
  <c r="AP317" i="24"/>
  <c r="AL313" i="24"/>
  <c r="AP313" i="24"/>
  <c r="AL309" i="24"/>
  <c r="AP309" i="24"/>
  <c r="AL305" i="24"/>
  <c r="AP305" i="24"/>
  <c r="AL301" i="24"/>
  <c r="AP301" i="24"/>
  <c r="AL297" i="24"/>
  <c r="AP297" i="24"/>
  <c r="AL293" i="24"/>
  <c r="AP293" i="24"/>
  <c r="AL289" i="24"/>
  <c r="AP289" i="24"/>
  <c r="AL285" i="24"/>
  <c r="AP285" i="24"/>
  <c r="AL281" i="24"/>
  <c r="AP281" i="24"/>
  <c r="AL277" i="24"/>
  <c r="AP277" i="24"/>
  <c r="AL273" i="24"/>
  <c r="AP273" i="24"/>
  <c r="AL267" i="24"/>
  <c r="AP267" i="24"/>
  <c r="AL263" i="24"/>
  <c r="AP263" i="24"/>
  <c r="AL259" i="24"/>
  <c r="AP259" i="24"/>
  <c r="AL255" i="24"/>
  <c r="AP255" i="24"/>
  <c r="AL251" i="24"/>
  <c r="AP251" i="24"/>
  <c r="AL247" i="24"/>
  <c r="AP247" i="24"/>
  <c r="AL242" i="24"/>
  <c r="AP242" i="24"/>
  <c r="AL238" i="24"/>
  <c r="AP238" i="24"/>
  <c r="AL234" i="24"/>
  <c r="AP234" i="24"/>
  <c r="AL230" i="24"/>
  <c r="AI338" i="24"/>
  <c r="AG338" i="24"/>
  <c r="AG321" i="24"/>
  <c r="AI321" i="24"/>
  <c r="AG305" i="24"/>
  <c r="AI305" i="24"/>
  <c r="AG289" i="24"/>
  <c r="AI289" i="24"/>
  <c r="AG273" i="24"/>
  <c r="AI273" i="24"/>
  <c r="AG255" i="24"/>
  <c r="AI255" i="24"/>
  <c r="AG238" i="24"/>
  <c r="AI238" i="24"/>
  <c r="BF341" i="24"/>
  <c r="BI341" i="24"/>
  <c r="BL341" i="24"/>
  <c r="BF337" i="24"/>
  <c r="BI337" i="24"/>
  <c r="BL337" i="24"/>
  <c r="BF333" i="24"/>
  <c r="BI333" i="24"/>
  <c r="BL333" i="24"/>
  <c r="BL328" i="24"/>
  <c r="BF328" i="24"/>
  <c r="BI328" i="24"/>
  <c r="BF324" i="24"/>
  <c r="BI324" i="24"/>
  <c r="BL324" i="24"/>
  <c r="BF320" i="24"/>
  <c r="BI320" i="24"/>
  <c r="BL320" i="24"/>
  <c r="BI316" i="24"/>
  <c r="BL316" i="24"/>
  <c r="BF316" i="24"/>
  <c r="BL312" i="24"/>
  <c r="BF312" i="24"/>
  <c r="BI312" i="24"/>
  <c r="BF308" i="24"/>
  <c r="BI308" i="24"/>
  <c r="BL308" i="24"/>
  <c r="BF304" i="24"/>
  <c r="BI304" i="24"/>
  <c r="BL304" i="24"/>
  <c r="BI300" i="24"/>
  <c r="BL300" i="24"/>
  <c r="BF300" i="24"/>
  <c r="BL296" i="24"/>
  <c r="BF296" i="24"/>
  <c r="BI296" i="24"/>
  <c r="BF292" i="24"/>
  <c r="BI292" i="24"/>
  <c r="BL292" i="24"/>
  <c r="BF288" i="24"/>
  <c r="BI288" i="24"/>
  <c r="BL288" i="24"/>
  <c r="BI284" i="24"/>
  <c r="BL284" i="24"/>
  <c r="BF284" i="24"/>
  <c r="BL280" i="24"/>
  <c r="BF280" i="24"/>
  <c r="BI280" i="24"/>
  <c r="BF276" i="24"/>
  <c r="BI276" i="24"/>
  <c r="BL276" i="24"/>
  <c r="BF272" i="24"/>
  <c r="BI272" i="24"/>
  <c r="BL272" i="24"/>
  <c r="BI266" i="24"/>
  <c r="BL266" i="24"/>
  <c r="BF266" i="24"/>
  <c r="BL262" i="24"/>
  <c r="BF262" i="24"/>
  <c r="BI262" i="24"/>
  <c r="BF258" i="24"/>
  <c r="BI258" i="24"/>
  <c r="BL258" i="24"/>
  <c r="BF254" i="24"/>
  <c r="BI254" i="24"/>
  <c r="BL254" i="24"/>
  <c r="BI250" i="24"/>
  <c r="BL250" i="24"/>
  <c r="BF250" i="24"/>
  <c r="BF246" i="24"/>
  <c r="BI246" i="24"/>
  <c r="BL246" i="24"/>
  <c r="BF241" i="24"/>
  <c r="BI241" i="24"/>
  <c r="BL241" i="24"/>
  <c r="BF237" i="24"/>
  <c r="BI237" i="24"/>
  <c r="BL237" i="24"/>
  <c r="BI233" i="24"/>
  <c r="BL233" i="24"/>
  <c r="BF233" i="24"/>
  <c r="BF343" i="24"/>
  <c r="BI343" i="24"/>
  <c r="BL343" i="24"/>
  <c r="AG337" i="24"/>
  <c r="AI337" i="24"/>
  <c r="AI320" i="24"/>
  <c r="AG320" i="24"/>
  <c r="AG304" i="24"/>
  <c r="AI304" i="24"/>
  <c r="AG288" i="24"/>
  <c r="AI288" i="24"/>
  <c r="AG272" i="24"/>
  <c r="AI272" i="24"/>
  <c r="AG254" i="24"/>
  <c r="AI254" i="24"/>
  <c r="AG237" i="24"/>
  <c r="AI237" i="24"/>
  <c r="A28" i="16"/>
  <c r="B28" i="16" l="1"/>
  <c r="C21" i="16"/>
  <c r="C22" i="16"/>
  <c r="B53" i="1"/>
  <c r="B20" i="1"/>
  <c r="I17" i="14"/>
  <c r="D14" i="14" s="1"/>
  <c r="I26" i="14"/>
  <c r="J26" i="14"/>
  <c r="G15" i="14"/>
  <c r="H17" i="14" s="1"/>
  <c r="M50" i="20"/>
  <c r="M49" i="20"/>
  <c r="D38" i="14" l="1"/>
  <c r="B31" i="20"/>
  <c r="M56" i="20"/>
  <c r="M57" i="20" s="1"/>
  <c r="O56" i="20"/>
  <c r="O57" i="20" s="1"/>
  <c r="N56" i="20"/>
  <c r="N57" i="20" s="1"/>
  <c r="I15" i="14"/>
  <c r="D3" i="14" s="1"/>
  <c r="H19" i="14"/>
  <c r="D5" i="14" s="1"/>
  <c r="H15" i="14"/>
  <c r="D2" i="14" s="1"/>
  <c r="I19" i="14"/>
  <c r="D4" i="14" s="1"/>
  <c r="C15" i="1"/>
  <c r="C16" i="1"/>
  <c r="C17" i="1"/>
  <c r="C18" i="1"/>
  <c r="C19" i="1"/>
  <c r="E2" i="14" l="1"/>
  <c r="N59" i="20"/>
  <c r="O59" i="20"/>
  <c r="D6" i="14"/>
  <c r="D8" i="14" s="1"/>
  <c r="D20" i="14"/>
  <c r="B18" i="26"/>
  <c r="B20" i="26" s="1"/>
  <c r="A18" i="26"/>
  <c r="A20" i="26" s="1"/>
  <c r="B16" i="26"/>
  <c r="A16" i="26"/>
  <c r="B14" i="26"/>
  <c r="A14" i="26"/>
  <c r="E12" i="26"/>
  <c r="E14" i="26" s="1"/>
  <c r="D14" i="26" s="1"/>
  <c r="D12" i="26"/>
  <c r="D10" i="26"/>
  <c r="B26" i="25"/>
  <c r="A9" i="25"/>
  <c r="Z3" i="25"/>
  <c r="D3" i="25"/>
  <c r="A28" i="25" s="1"/>
  <c r="C3" i="25"/>
  <c r="M1" i="25"/>
  <c r="L1" i="25"/>
  <c r="M2" i="25"/>
  <c r="N61" i="20" l="1"/>
  <c r="N60" i="20"/>
  <c r="E20" i="14"/>
  <c r="O60" i="20"/>
  <c r="A22" i="26"/>
  <c r="B22" i="26" s="1"/>
  <c r="M3" i="25"/>
  <c r="C23" i="25"/>
  <c r="C21" i="25"/>
  <c r="C24" i="25"/>
  <c r="C22" i="25"/>
  <c r="C25" i="25"/>
  <c r="N62" i="20" l="1"/>
  <c r="N63" i="20" s="1"/>
  <c r="N64" i="20" s="1"/>
  <c r="O61" i="20"/>
  <c r="O62" i="20" s="1"/>
  <c r="W36" i="17"/>
  <c r="W35" i="17"/>
  <c r="W34" i="17"/>
  <c r="W33" i="17"/>
  <c r="W32" i="17"/>
  <c r="W31" i="17"/>
  <c r="W30" i="17"/>
  <c r="V36" i="17"/>
  <c r="V35" i="17"/>
  <c r="V34" i="17"/>
  <c r="V33" i="17"/>
  <c r="V32" i="17"/>
  <c r="V31" i="17"/>
  <c r="V30" i="17"/>
  <c r="U36" i="17"/>
  <c r="U35" i="17"/>
  <c r="U34" i="17"/>
  <c r="U33" i="17"/>
  <c r="U32" i="17"/>
  <c r="U31" i="17"/>
  <c r="U30" i="17"/>
  <c r="B34" i="20"/>
  <c r="C34" i="20"/>
  <c r="B44" i="20" s="1"/>
  <c r="D44" i="20" s="1"/>
  <c r="E44" i="20" s="1"/>
  <c r="BV1" i="24"/>
  <c r="BU1" i="24"/>
  <c r="O63" i="20" l="1"/>
  <c r="O64" i="20" s="1"/>
  <c r="M59" i="20"/>
  <c r="F53" i="16" a="1"/>
  <c r="F53" i="16" s="1"/>
  <c r="F56" i="16" a="1"/>
  <c r="F56" i="16" s="1"/>
  <c r="G56" i="16" s="1" a="1"/>
  <c r="G56" i="16" s="1"/>
  <c r="F55" i="16" a="1"/>
  <c r="F55" i="16" s="1"/>
  <c r="G55" i="16" s="1" a="1"/>
  <c r="G55" i="16" s="1"/>
  <c r="F52" i="16" a="1"/>
  <c r="F52" i="16" s="1"/>
  <c r="G52" i="16" s="1" a="1"/>
  <c r="G52" i="16" s="1"/>
  <c r="F54" i="16" a="1"/>
  <c r="F54" i="16" s="1"/>
  <c r="G54" i="16" s="1" a="1"/>
  <c r="G54" i="16" s="1"/>
  <c r="F22" i="16" a="1"/>
  <c r="F22" i="16" s="1"/>
  <c r="G22" i="16" s="1" a="1"/>
  <c r="G22" i="16" s="1"/>
  <c r="BU115" i="24"/>
  <c r="BU81" i="24"/>
  <c r="BU25" i="24"/>
  <c r="BU55" i="24"/>
  <c r="BU73" i="24"/>
  <c r="BU108" i="24"/>
  <c r="BU53" i="24"/>
  <c r="BU54" i="24"/>
  <c r="BU59" i="24"/>
  <c r="BU93" i="24"/>
  <c r="BU52" i="24"/>
  <c r="BU79" i="24"/>
  <c r="BU44" i="24"/>
  <c r="BU7" i="24"/>
  <c r="BU57" i="24"/>
  <c r="BU35" i="24"/>
  <c r="BU110" i="24"/>
  <c r="BU56" i="24"/>
  <c r="BU74" i="24"/>
  <c r="BU23" i="24"/>
  <c r="BU41" i="24"/>
  <c r="BU51" i="24"/>
  <c r="BU107" i="24"/>
  <c r="BU32" i="24"/>
  <c r="BU111" i="24"/>
  <c r="BU13" i="24"/>
  <c r="BU72" i="24"/>
  <c r="BU5" i="24"/>
  <c r="BU89" i="24"/>
  <c r="BU86" i="24"/>
  <c r="BU85" i="24"/>
  <c r="BU76" i="24"/>
  <c r="BU16" i="24"/>
  <c r="BU39" i="24"/>
  <c r="BU31" i="24"/>
  <c r="BU46" i="24"/>
  <c r="BU6" i="24"/>
  <c r="BU19" i="24"/>
  <c r="BU33" i="24"/>
  <c r="BU4" i="24"/>
  <c r="BU22" i="24"/>
  <c r="BU2" i="24"/>
  <c r="BU3" i="24"/>
  <c r="BU87" i="24"/>
  <c r="BU61" i="24"/>
  <c r="BU95" i="24"/>
  <c r="BU66" i="24"/>
  <c r="BU11" i="24"/>
  <c r="BU26" i="24"/>
  <c r="BU60" i="24"/>
  <c r="BU94" i="24"/>
  <c r="BU18" i="24"/>
  <c r="BU12" i="24"/>
  <c r="BU109" i="24"/>
  <c r="BU29" i="24"/>
  <c r="BU34" i="24"/>
  <c r="BU71" i="24"/>
  <c r="BU91" i="24"/>
  <c r="BU100" i="24"/>
  <c r="BU106" i="24"/>
  <c r="BU9" i="24"/>
  <c r="BU36" i="24"/>
  <c r="BU63" i="24"/>
  <c r="BU97" i="24"/>
  <c r="BU67" i="24"/>
  <c r="BU49" i="24"/>
  <c r="BU58" i="24"/>
  <c r="BU114" i="24"/>
  <c r="BU83" i="24"/>
  <c r="BU21" i="24"/>
  <c r="BU43" i="24"/>
  <c r="BU98" i="24"/>
  <c r="BU65" i="24"/>
  <c r="BU113" i="24"/>
  <c r="BU64" i="24"/>
  <c r="BU84" i="24"/>
  <c r="BU28" i="24"/>
  <c r="BU48" i="24"/>
  <c r="BU68" i="24"/>
  <c r="BU70" i="24"/>
  <c r="BU99" i="24"/>
  <c r="BU62" i="24"/>
  <c r="BU96" i="24"/>
  <c r="BU15" i="24"/>
  <c r="BU77" i="24"/>
  <c r="BU88" i="24"/>
  <c r="BU103" i="24"/>
  <c r="BU45" i="24"/>
  <c r="BU75" i="24"/>
  <c r="BU101" i="24"/>
  <c r="BU112" i="24"/>
  <c r="BU37" i="24"/>
  <c r="BU104" i="24"/>
  <c r="BU20" i="24"/>
  <c r="BU47" i="24"/>
  <c r="BV115" i="24"/>
  <c r="BV104" i="24"/>
  <c r="BV39" i="24"/>
  <c r="BV54" i="24"/>
  <c r="BV110" i="24"/>
  <c r="BV31" i="24"/>
  <c r="BV63" i="24"/>
  <c r="BV97" i="24"/>
  <c r="BV48" i="24"/>
  <c r="BV45" i="24"/>
  <c r="BV75" i="24"/>
  <c r="BV41" i="24"/>
  <c r="BV101" i="24"/>
  <c r="BV37" i="24"/>
  <c r="BV113" i="24"/>
  <c r="BV46" i="24"/>
  <c r="BV67" i="24"/>
  <c r="BV87" i="24"/>
  <c r="BV74" i="24"/>
  <c r="BV47" i="24"/>
  <c r="BV68" i="24"/>
  <c r="BV88" i="24"/>
  <c r="BV103" i="24"/>
  <c r="BV79" i="24"/>
  <c r="BV81" i="24"/>
  <c r="BV55" i="24"/>
  <c r="BV73" i="24"/>
  <c r="BV6" i="24"/>
  <c r="BV53" i="24"/>
  <c r="BV49" i="24"/>
  <c r="BV23" i="24"/>
  <c r="BV59" i="24"/>
  <c r="BV93" i="24"/>
  <c r="BV28" i="24"/>
  <c r="BV98" i="24"/>
  <c r="BV44" i="24"/>
  <c r="BV7" i="24"/>
  <c r="BV57" i="24"/>
  <c r="BV35" i="24"/>
  <c r="BV108" i="24"/>
  <c r="BV58" i="24"/>
  <c r="BV85" i="24"/>
  <c r="BV51" i="24"/>
  <c r="BV107" i="24"/>
  <c r="BV13" i="24"/>
  <c r="BV72" i="24"/>
  <c r="BV5" i="24"/>
  <c r="BV20" i="24"/>
  <c r="BV89" i="24"/>
  <c r="BV3" i="24"/>
  <c r="BV86" i="24"/>
  <c r="BV76" i="24"/>
  <c r="BV16" i="24"/>
  <c r="BV52" i="24"/>
  <c r="BV19" i="24"/>
  <c r="BV33" i="24"/>
  <c r="BV32" i="24"/>
  <c r="BV22" i="24"/>
  <c r="BV70" i="24"/>
  <c r="BV21" i="24"/>
  <c r="BV56" i="24"/>
  <c r="BV77" i="24"/>
  <c r="BV61" i="24"/>
  <c r="BV95" i="24"/>
  <c r="BV29" i="24"/>
  <c r="BV66" i="24"/>
  <c r="BV100" i="24"/>
  <c r="BV11" i="24"/>
  <c r="BV26" i="24"/>
  <c r="BV60" i="24"/>
  <c r="BV94" i="24"/>
  <c r="BV112" i="24"/>
  <c r="BV18" i="24"/>
  <c r="BV43" i="24"/>
  <c r="BV12" i="24"/>
  <c r="BV109" i="24"/>
  <c r="BV34" i="24"/>
  <c r="BV71" i="24"/>
  <c r="BV91" i="24"/>
  <c r="BV106" i="24"/>
  <c r="BV9" i="24"/>
  <c r="BV25" i="24"/>
  <c r="BV83" i="24"/>
  <c r="BV36" i="24"/>
  <c r="BV65" i="24"/>
  <c r="BV2" i="24"/>
  <c r="BV111" i="24"/>
  <c r="BV64" i="24"/>
  <c r="BV84" i="24"/>
  <c r="BV99" i="24"/>
  <c r="BV62" i="24"/>
  <c r="BV96" i="24"/>
  <c r="BV114" i="24"/>
  <c r="BV4" i="24"/>
  <c r="BV15" i="24"/>
  <c r="G53" i="16" l="1" a="1"/>
  <c r="G53" i="16" s="1"/>
  <c r="F57" i="16"/>
  <c r="F21" i="16" a="1"/>
  <c r="F21" i="16" s="1"/>
  <c r="M60" i="20"/>
  <c r="A57" i="16"/>
  <c r="C25" i="16"/>
  <c r="F25" i="16" s="1" a="1"/>
  <c r="F25" i="16" s="1"/>
  <c r="C24" i="16"/>
  <c r="F24" i="16" s="1" a="1"/>
  <c r="F24" i="16" s="1"/>
  <c r="C23" i="16"/>
  <c r="F23" i="16" s="1" a="1"/>
  <c r="F23" i="16" s="1"/>
  <c r="G21" i="16" l="1" a="1"/>
  <c r="G21" i="16" s="1"/>
  <c r="F26" i="16"/>
  <c r="E11" i="28"/>
  <c r="I13" i="28" s="1"/>
  <c r="M61" i="20"/>
  <c r="M62" i="20" s="1"/>
  <c r="G23" i="16" a="1"/>
  <c r="G23" i="16" s="1"/>
  <c r="G24" i="16" a="1"/>
  <c r="G24" i="16" s="1"/>
  <c r="G25" i="16" a="1"/>
  <c r="G25" i="16" s="1"/>
  <c r="B50" i="20"/>
  <c r="D50" i="20" s="1"/>
  <c r="F21" i="25" a="1"/>
  <c r="M63" i="20" l="1"/>
  <c r="E50" i="20"/>
  <c r="J16" i="20"/>
  <c r="F21" i="25"/>
  <c r="G21" i="25" s="1" a="1"/>
  <c r="G21" i="25" s="1"/>
  <c r="D18" i="20"/>
  <c r="I16" i="20"/>
  <c r="M64" i="20" l="1"/>
  <c r="D17" i="20"/>
  <c r="B53" i="20" s="1"/>
  <c r="D53" i="20" s="1"/>
  <c r="O68" i="20" l="1"/>
  <c r="M68" i="20"/>
  <c r="N68" i="20"/>
  <c r="A41" i="20"/>
  <c r="E53" i="20"/>
  <c r="E27" i="20"/>
  <c r="D27" i="20"/>
  <c r="E26" i="20"/>
  <c r="D26" i="20"/>
  <c r="E25" i="20"/>
  <c r="A41" i="14"/>
  <c r="A39" i="14"/>
  <c r="E13" i="20" l="1"/>
  <c r="D7" i="20" l="1"/>
  <c r="E7" i="20" s="1"/>
  <c r="D3" i="20"/>
  <c r="D5" i="20"/>
  <c r="E5" i="20" s="1"/>
  <c r="D2" i="20"/>
  <c r="D4" i="20"/>
  <c r="D6" i="20"/>
  <c r="E6" i="20" s="1"/>
  <c r="A2" i="20"/>
  <c r="E26" i="14"/>
  <c r="E27" i="14"/>
  <c r="E4" i="20" l="1"/>
  <c r="A5" i="20" s="1"/>
  <c r="E8" i="20"/>
  <c r="A9" i="20" l="1"/>
  <c r="A11" i="20" s="1"/>
  <c r="G12" i="3"/>
  <c r="G13" i="3"/>
  <c r="F12" i="3"/>
  <c r="F13" i="3"/>
  <c r="E12" i="3"/>
  <c r="D12" i="3"/>
  <c r="D11" i="3"/>
  <c r="E11" i="3"/>
  <c r="F11" i="3"/>
  <c r="G11" i="3"/>
  <c r="B20" i="20" l="1"/>
  <c r="D11" i="14"/>
  <c r="D21" i="14" l="1"/>
  <c r="E10" i="14"/>
  <c r="C36" i="3"/>
  <c r="C37" i="3" s="1"/>
  <c r="C38" i="3" s="1"/>
  <c r="D36" i="3"/>
  <c r="D37" i="3" s="1"/>
  <c r="E36" i="3"/>
  <c r="E37" i="3" s="1"/>
  <c r="E38" i="3" s="1"/>
  <c r="F36" i="3"/>
  <c r="F37" i="3" s="1"/>
  <c r="F38" i="3" s="1"/>
  <c r="B36" i="3"/>
  <c r="B37" i="3" s="1"/>
  <c r="B38" i="3" s="1"/>
  <c r="D38" i="3" l="1"/>
  <c r="A25" i="26" l="1"/>
  <c r="D8" i="20" l="1"/>
  <c r="B17" i="20" l="1"/>
  <c r="C17" i="20" s="1"/>
  <c r="B49" i="20" s="1"/>
  <c r="C26" i="20"/>
  <c r="C25" i="20" s="1"/>
  <c r="C27" i="20"/>
  <c r="D25" i="20"/>
  <c r="M6" i="16"/>
  <c r="B35" i="20"/>
  <c r="C35" i="20" s="1"/>
  <c r="B45" i="20" s="1"/>
  <c r="D45" i="20" s="1"/>
  <c r="E45" i="20" s="1"/>
  <c r="B19" i="20" l="1"/>
  <c r="C19" i="20" s="1"/>
  <c r="B51" i="20" s="1"/>
  <c r="D51" i="20" s="1"/>
  <c r="I15" i="20"/>
  <c r="C31" i="20"/>
  <c r="B46" i="20" s="1"/>
  <c r="D46" i="20" s="1"/>
  <c r="E46" i="20" s="1"/>
  <c r="B32" i="20"/>
  <c r="B41" i="20" l="1"/>
  <c r="D41" i="20" s="1"/>
  <c r="C32" i="20"/>
  <c r="B43" i="20" s="1"/>
  <c r="D43" i="20" s="1"/>
  <c r="E43" i="20" s="1"/>
  <c r="I21" i="20"/>
  <c r="E51" i="20"/>
  <c r="D49" i="20"/>
  <c r="J15" i="20" s="1"/>
  <c r="B55" i="20"/>
  <c r="E41" i="20" l="1"/>
  <c r="E49" i="20"/>
  <c r="I13" i="20"/>
  <c r="B56" i="20"/>
  <c r="B58" i="20" s="1"/>
  <c r="D58" i="20" s="1"/>
  <c r="J13" i="20" l="1"/>
  <c r="E58" i="20"/>
  <c r="F17" i="1" l="1" a="1"/>
  <c r="F17" i="1" s="1"/>
  <c r="G17" i="1" s="1" a="1"/>
  <c r="G17" i="1" s="1"/>
  <c r="F15" i="1" l="1" a="1"/>
  <c r="F15" i="1" s="1"/>
  <c r="G15" i="1" l="1" a="1"/>
  <c r="G15" i="1" s="1"/>
  <c r="F18" i="1" a="1"/>
  <c r="F18" i="1" s="1"/>
  <c r="G18" i="1" s="1" a="1"/>
  <c r="G18" i="1" s="1"/>
  <c r="F19" i="1" a="1"/>
  <c r="F19" i="1" s="1"/>
  <c r="G19" i="1" s="1" a="1"/>
  <c r="G19" i="1" s="1"/>
  <c r="F16" i="1" a="1"/>
  <c r="F16" i="1" s="1"/>
  <c r="F22" i="25" a="1"/>
  <c r="F23" i="25" a="1"/>
  <c r="F25" i="25" a="1"/>
  <c r="F24" i="25" a="1"/>
  <c r="F24" i="25" l="1"/>
  <c r="G24" i="25" s="1" a="1"/>
  <c r="G24" i="25" s="1"/>
  <c r="F25" i="25"/>
  <c r="G25" i="25" s="1" a="1"/>
  <c r="G25" i="25" s="1"/>
  <c r="F22" i="25"/>
  <c r="G22" i="25" s="1" a="1"/>
  <c r="G22" i="25" s="1"/>
  <c r="F23" i="25"/>
  <c r="G23" i="25" s="1" a="1"/>
  <c r="G23" i="25" s="1"/>
  <c r="A26" i="16"/>
  <c r="I23" i="20"/>
  <c r="M25" i="20" s="1"/>
  <c r="G16" i="1" a="1"/>
  <c r="G16" i="1" s="1"/>
  <c r="F20" i="1"/>
  <c r="A25" i="1" s="1"/>
  <c r="A20" i="1"/>
  <c r="D22" i="14" l="1"/>
  <c r="A26" i="25"/>
  <c r="F26" i="25"/>
  <c r="G2" i="1" l="1"/>
  <c r="C29" i="20" l="1"/>
  <c r="B28" i="25"/>
  <c r="C20" i="20"/>
  <c r="B52" i="20" s="1"/>
  <c r="D52" i="20" s="1"/>
  <c r="L25" i="20" s="1"/>
  <c r="E52" i="20" l="1"/>
  <c r="F49" i="20"/>
  <c r="G49" i="20" s="1"/>
  <c r="D56" i="20"/>
  <c r="B59" i="20" s="1"/>
  <c r="D59" i="20" s="1"/>
  <c r="I14" i="20"/>
  <c r="I25" i="20" s="1"/>
  <c r="B42" i="20"/>
  <c r="D42" i="20" s="1"/>
  <c r="K25" i="20" s="1"/>
  <c r="D55" i="20"/>
  <c r="C21" i="20"/>
  <c r="F58" i="20" l="1"/>
  <c r="G58" i="20" s="1"/>
  <c r="E59" i="20"/>
  <c r="F41" i="20"/>
  <c r="E42" i="20"/>
  <c r="J14" i="20"/>
  <c r="J25" i="20" l="1"/>
  <c r="A13" i="20"/>
  <c r="G41" i="20"/>
  <c r="A62" i="20" s="1"/>
  <c r="F19" i="20" l="1"/>
  <c r="O25" i="20"/>
  <c r="A31" i="25"/>
  <c r="G4" i="1" l="1"/>
  <c r="C44" i="16"/>
  <c r="B16" i="28"/>
  <c r="E4" i="28" l="1"/>
  <c r="C16" i="28"/>
  <c r="B17" i="28"/>
  <c r="C17" i="28" s="1"/>
  <c r="B18" i="28"/>
  <c r="C18" i="28" l="1"/>
  <c r="B49" i="28" s="1"/>
  <c r="D49" i="28" s="1"/>
  <c r="E49" i="28" s="1"/>
  <c r="B48" i="28"/>
  <c r="D48" i="28" s="1"/>
  <c r="F4" i="28"/>
  <c r="B46" i="28"/>
  <c r="D46" i="28" s="1"/>
  <c r="A8" i="28"/>
  <c r="C19" i="28" l="1"/>
  <c r="A10" i="28"/>
  <c r="B52" i="28"/>
  <c r="F46" i="28"/>
  <c r="G46" i="28" s="1"/>
  <c r="E46" i="28"/>
  <c r="H13" i="28"/>
  <c r="E48" i="28"/>
  <c r="B53" i="28" l="1"/>
  <c r="E3" i="28"/>
  <c r="E13" i="28" s="1"/>
  <c r="B55" i="28"/>
  <c r="D55" i="28" l="1"/>
  <c r="E55" i="28" s="1"/>
  <c r="F55" i="28" s="1"/>
  <c r="G55" i="28" s="1"/>
  <c r="A59" i="28" s="1"/>
  <c r="F3" i="28"/>
  <c r="F13" i="28" l="1"/>
  <c r="F17" i="28" s="1"/>
  <c r="A12" i="28"/>
  <c r="K13" i="28" l="1"/>
  <c r="A55" i="1"/>
  <c r="C51" i="1" l="1"/>
  <c r="F51" i="1" s="1" a="1"/>
  <c r="F51" i="1" s="1"/>
  <c r="G51" i="1" s="1" a="1"/>
  <c r="G51" i="1" s="1"/>
  <c r="B55" i="1"/>
  <c r="E44" i="14"/>
  <c r="E45" i="14"/>
  <c r="C48" i="1"/>
  <c r="F48" i="1" s="1" a="1"/>
  <c r="F48" i="1" s="1"/>
  <c r="C50" i="1"/>
  <c r="F50" i="1" s="1" a="1"/>
  <c r="F50" i="1" s="1"/>
  <c r="G50" i="1" s="1" a="1"/>
  <c r="G50" i="1" s="1"/>
  <c r="C49" i="1"/>
  <c r="F49" i="1" s="1" a="1"/>
  <c r="F49" i="1" s="1"/>
  <c r="G49" i="1" s="1" a="1"/>
  <c r="G49" i="1" s="1"/>
  <c r="C52" i="1"/>
  <c r="F52" i="1" s="1" a="1"/>
  <c r="F52" i="1" s="1"/>
  <c r="G52" i="1" s="1" a="1"/>
  <c r="G52" i="1" s="1"/>
  <c r="E46" i="14"/>
  <c r="I37" i="14"/>
  <c r="I35" i="14" s="1"/>
  <c r="H37" i="14" l="1"/>
  <c r="D34" i="14" s="1"/>
  <c r="H35" i="14"/>
  <c r="A53" i="1"/>
  <c r="G48" i="1" a="1"/>
  <c r="G48" i="1" s="1"/>
  <c r="F53" i="1"/>
  <c r="D35" i="14" l="1"/>
  <c r="D36" i="14" s="1"/>
  <c r="D33" i="14"/>
  <c r="D47" i="14" l="1"/>
  <c r="D48" i="14" s="1"/>
  <c r="K53" i="1" s="1"/>
  <c r="E33" i="14"/>
  <c r="E38" i="14"/>
  <c r="D16" i="26" l="1"/>
  <c r="N25" i="20"/>
  <c r="A31" i="16" s="1"/>
  <c r="G3" i="16" s="1"/>
  <c r="G4" i="16" s="1"/>
  <c r="F17" i="2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<sst xmlns="http://schemas.openxmlformats.org/spreadsheetml/2006/main" count="35859" uniqueCount="1071">
  <si>
    <t>Quantité</t>
  </si>
  <si>
    <t>Façonnage</t>
  </si>
  <si>
    <t>Dos carré collé</t>
  </si>
  <si>
    <t>Quadri</t>
  </si>
  <si>
    <r>
      <t xml:space="preserve">Sans couture, grammage intérieur inférieur à 135gr exprimé en </t>
    </r>
    <r>
      <rPr>
        <b/>
        <u/>
        <sz val="11"/>
        <color rgb="FFFF0000"/>
        <rFont val="Calibri"/>
        <family val="2"/>
        <scheme val="minor"/>
      </rPr>
      <t>COUT UNITAIRE</t>
    </r>
  </si>
  <si>
    <t>PS : Lire le prix unitaire par tranche (exemple : pour 35 ex prendre le prix unitaire entre 25 et 50)</t>
  </si>
  <si>
    <t>500 +</t>
  </si>
  <si>
    <t>Quadrichromie</t>
  </si>
  <si>
    <t>Prix calage fixe</t>
  </si>
  <si>
    <t xml:space="preserve">Prix </t>
  </si>
  <si>
    <t>Prix coûtant</t>
  </si>
  <si>
    <t>Grammage</t>
  </si>
  <si>
    <t>Poids</t>
  </si>
  <si>
    <t>Prix papier intérieur / kg</t>
  </si>
  <si>
    <t>Prix papier couverture / kg</t>
  </si>
  <si>
    <t>Clic couverture</t>
  </si>
  <si>
    <t>Clic intérieur</t>
  </si>
  <si>
    <t>Coût du clic couverture</t>
  </si>
  <si>
    <t>Coût du clic intérieur</t>
  </si>
  <si>
    <t>Noir</t>
  </si>
  <si>
    <t>Pelliculage au m²</t>
  </si>
  <si>
    <t>à partir de (en nombre de feuilles)</t>
  </si>
  <si>
    <t>Hotmelt</t>
  </si>
  <si>
    <t>PUR</t>
  </si>
  <si>
    <t>Calage</t>
  </si>
  <si>
    <t>2 PIQURE A CHEVAL (avec couverture)</t>
  </si>
  <si>
    <t>Prix unitaire</t>
  </si>
  <si>
    <t>1 feuille = 0,158 m²</t>
  </si>
  <si>
    <t>&lt; 200</t>
  </si>
  <si>
    <t>&gt;200</t>
  </si>
  <si>
    <t>25-50</t>
  </si>
  <si>
    <t>200-300</t>
  </si>
  <si>
    <t>100-200</t>
  </si>
  <si>
    <t>300-400</t>
  </si>
  <si>
    <t>400-500</t>
  </si>
  <si>
    <t xml:space="preserve">Pagination /Quantité </t>
  </si>
  <si>
    <t>32-72</t>
  </si>
  <si>
    <t>76-152</t>
  </si>
  <si>
    <t>152-280</t>
  </si>
  <si>
    <t>Nombre de feuilles intérieur 32x45</t>
  </si>
  <si>
    <t>Nombre de feuilles couverture 32x45</t>
  </si>
  <si>
    <t>Coût papier couverture</t>
  </si>
  <si>
    <t>Coût papier intérieur</t>
  </si>
  <si>
    <t>Prix unitaire à la feuille</t>
  </si>
  <si>
    <t>Papier et Clic x 1,50</t>
  </si>
  <si>
    <t>Dos carré collé PUR</t>
  </si>
  <si>
    <t>Amortissement machine</t>
  </si>
  <si>
    <t xml:space="preserve">Prix clic </t>
  </si>
  <si>
    <t xml:space="preserve">Prix Hors TAXE </t>
  </si>
  <si>
    <t>Livraison et répartition</t>
  </si>
  <si>
    <r>
      <rPr>
        <b/>
        <u/>
        <sz val="11"/>
        <color theme="1"/>
        <rFont val="Calibri"/>
        <family val="2"/>
        <scheme val="minor"/>
      </rPr>
      <t>Finitions</t>
    </r>
    <r>
      <rPr>
        <sz val="11"/>
        <color theme="1"/>
        <rFont val="Calibri"/>
        <family val="2"/>
        <scheme val="minor"/>
      </rPr>
      <t xml:space="preserve"> (pelliculage couverture)</t>
    </r>
  </si>
  <si>
    <r>
      <rPr>
        <b/>
        <u/>
        <sz val="11"/>
        <color theme="1"/>
        <rFont val="Calibri"/>
        <family val="2"/>
        <scheme val="minor"/>
      </rPr>
      <t>Temps machine</t>
    </r>
    <r>
      <rPr>
        <i/>
        <sz val="11"/>
        <color theme="1"/>
        <rFont val="Calibri"/>
        <family val="2"/>
        <scheme val="minor"/>
      </rPr>
      <t xml:space="preserve"> (en H) soit en euros</t>
    </r>
  </si>
  <si>
    <t>TABLEAU DETAIL TARIF</t>
  </si>
  <si>
    <t>Nombre de clic</t>
  </si>
  <si>
    <t>Nombre de feuille</t>
  </si>
  <si>
    <t xml:space="preserve">Coût du clic </t>
  </si>
  <si>
    <t xml:space="preserve">Coupe </t>
  </si>
  <si>
    <r>
      <rPr>
        <b/>
        <u/>
        <sz val="11"/>
        <color theme="1"/>
        <rFont val="Calibri"/>
        <family val="2"/>
        <scheme val="minor"/>
      </rPr>
      <t>Finitions</t>
    </r>
    <r>
      <rPr>
        <sz val="11"/>
        <color theme="1"/>
        <rFont val="Calibri"/>
        <family val="2"/>
        <scheme val="minor"/>
      </rPr>
      <t xml:space="preserve"> (pelliculage)</t>
    </r>
  </si>
  <si>
    <t>Poid papier (en kg)</t>
  </si>
  <si>
    <t>Prix papier / kg</t>
  </si>
  <si>
    <t>500+</t>
  </si>
  <si>
    <t>6000+</t>
  </si>
  <si>
    <t>Coût fixe</t>
  </si>
  <si>
    <t>Pour fiche (prix unitaire)</t>
  </si>
  <si>
    <t>Pour brochure (prix unitaire)</t>
  </si>
  <si>
    <t xml:space="preserve">En € </t>
  </si>
  <si>
    <t>Pour carte de visite (prix unitaire)</t>
  </si>
  <si>
    <t>Plieuse</t>
  </si>
  <si>
    <t>Pliage (max sur format A3 ouvert)</t>
  </si>
  <si>
    <t>1 pli</t>
  </si>
  <si>
    <t>2 plis</t>
  </si>
  <si>
    <t>3 plis</t>
  </si>
  <si>
    <r>
      <t xml:space="preserve">Prix coupe / </t>
    </r>
    <r>
      <rPr>
        <b/>
        <sz val="9"/>
        <color rgb="FFFF0000"/>
        <rFont val="Calibri"/>
        <family val="2"/>
        <scheme val="minor"/>
      </rPr>
      <t>Quantité</t>
    </r>
  </si>
  <si>
    <t>4 plis</t>
  </si>
  <si>
    <t>Minimum facturation</t>
  </si>
  <si>
    <t>Conditionnement</t>
  </si>
  <si>
    <t>Prix</t>
  </si>
  <si>
    <t>Nb paquets</t>
  </si>
  <si>
    <t>Rien</t>
  </si>
  <si>
    <t>Prix réel du clic</t>
  </si>
  <si>
    <t>Oui</t>
  </si>
  <si>
    <t>Piqûre (rainage inclus sur +200gr)</t>
  </si>
  <si>
    <t>Prix livraison par points</t>
  </si>
  <si>
    <t>Quantité par points</t>
  </si>
  <si>
    <t>Numéro département</t>
  </si>
  <si>
    <t>Poids de l'exemplaire en gramme</t>
  </si>
  <si>
    <t>Poids / points en KG</t>
  </si>
  <si>
    <t>Poids de l'exemplaire (gramme)</t>
  </si>
  <si>
    <t>TARIF HORS LIVRAISON en € H.T.</t>
  </si>
  <si>
    <t>Conditionnement - Coupe</t>
  </si>
  <si>
    <t>France EXPRESS</t>
  </si>
  <si>
    <t>Poids (kg) jusqu'à</t>
  </si>
  <si>
    <t>100 +</t>
  </si>
  <si>
    <t>Prix aux 100 kg</t>
  </si>
  <si>
    <t>Zone 01</t>
  </si>
  <si>
    <t>Zone 02</t>
  </si>
  <si>
    <t>Zone 03</t>
  </si>
  <si>
    <t>Zone 04</t>
  </si>
  <si>
    <t>Zone 05</t>
  </si>
  <si>
    <t>27-50-61-76</t>
  </si>
  <si>
    <t>02-22-28-29-35-37-41-44-45-49-53-56-59-60-62-72-75-77-78-80-85-91-92-93-94-95</t>
  </si>
  <si>
    <t>01-03-08-10-15-16-17-18-19-21-23-24-25-36-39-42-43-46-51-52-54-55-57-58-63-67-68-69-70-71-79-86-87-88-89-90</t>
  </si>
  <si>
    <t>04-05-06-07-09-11-12-13-26-30-31-32-33-34-38-40-47-48-64-65-66-73-74-81-82-83-84</t>
  </si>
  <si>
    <t>TNT</t>
  </si>
  <si>
    <t>Poids en kg</t>
  </si>
  <si>
    <t>Express</t>
  </si>
  <si>
    <t>Pour estimer les livraisons, un tableau est à votre disposition sur les onglets ci-dessous.</t>
  </si>
  <si>
    <t>Note :
Ce tableau est un prototype, nous essayons de proposer une solution simple pour avoir tous vos prix rapidement, il est susceptible d'être modifié régulièrement, de ce fait, après envoi d'un nouveau tableau, cette version ne sera plus valable.</t>
  </si>
  <si>
    <r>
      <t xml:space="preserve">Caractéristiques techniques
POUR </t>
    </r>
    <r>
      <rPr>
        <b/>
        <i/>
        <u/>
        <sz val="12"/>
        <color rgb="FFFF0000"/>
        <rFont val="Calibri"/>
        <family val="2"/>
        <scheme val="minor"/>
      </rPr>
      <t>LES CARTES, DEPLIANTS ET AFFICHES</t>
    </r>
  </si>
  <si>
    <t>Poids papier intérieur en KG</t>
  </si>
  <si>
    <t>Poids papier couverture en KG</t>
  </si>
  <si>
    <t>3 / Pages intérieur (sans couverture)</t>
  </si>
  <si>
    <t>4 / Page couverture</t>
  </si>
  <si>
    <t>5 / Grammage intérieur et type</t>
  </si>
  <si>
    <t>6 / Grammage couverture et type</t>
  </si>
  <si>
    <t>7 / Type d'impression intérieur</t>
  </si>
  <si>
    <t>8 / Type d'impression Couverture</t>
  </si>
  <si>
    <t>9 / Façonnage</t>
  </si>
  <si>
    <t>10 / Pelliculage</t>
  </si>
  <si>
    <t>2 / Format fini (fermé) en cm</t>
  </si>
  <si>
    <t xml:space="preserve">1 / Quantité </t>
  </si>
  <si>
    <t>4 / Type d'impression</t>
  </si>
  <si>
    <t>4.bis / Recto verso</t>
  </si>
  <si>
    <t>3 / Grammage et type</t>
  </si>
  <si>
    <t>5 / Nombre de plis</t>
  </si>
  <si>
    <t>6 / Finitions</t>
  </si>
  <si>
    <r>
      <t xml:space="preserve">Caractéristiques techniques
POUR </t>
    </r>
    <r>
      <rPr>
        <b/>
        <i/>
        <u/>
        <sz val="12"/>
        <color rgb="FFFF0000"/>
        <rFont val="Calibri"/>
        <family val="2"/>
        <scheme val="minor"/>
      </rPr>
      <t>LES LIVRES ET BROCHURES DOS CARRE ET DEUX POINTS METAL</t>
    </r>
  </si>
  <si>
    <t>Nombre de Modèles</t>
  </si>
  <si>
    <t>Modèles</t>
  </si>
  <si>
    <t>Nb de Boite en plastique</t>
  </si>
  <si>
    <t>Boite</t>
  </si>
  <si>
    <t>OFFSET</t>
  </si>
  <si>
    <t>Couché</t>
  </si>
  <si>
    <t>BOUFFANT MUNKEN BLANC, main 1,50</t>
  </si>
  <si>
    <t>BOUFFANT MUNKEN CREME, main 1,80</t>
  </si>
  <si>
    <t>Carte 1 face</t>
  </si>
  <si>
    <t>Poids de la commande (KG)</t>
  </si>
  <si>
    <t xml:space="preserve">Ajouter au KG sup </t>
  </si>
  <si>
    <t>AVANT MIDI +3€</t>
  </si>
  <si>
    <t>Piqûre</t>
  </si>
  <si>
    <t>Frais de dossiers</t>
  </si>
  <si>
    <t>Version 3.0</t>
  </si>
  <si>
    <t>Offset</t>
  </si>
  <si>
    <t>Grammage couvertures</t>
  </si>
  <si>
    <t>Grammage intérieurs</t>
  </si>
  <si>
    <t>5,5x8,5</t>
  </si>
  <si>
    <t>21x29,7</t>
  </si>
  <si>
    <t>Dos carré collé sans couture</t>
  </si>
  <si>
    <t>Cahiers + CV</t>
  </si>
  <si>
    <t>Roulage au 1000</t>
  </si>
  <si>
    <t>1+</t>
  </si>
  <si>
    <t>Supplément à appliquer sur calage + roulage</t>
  </si>
  <si>
    <t>Mise sous film à l'unité</t>
  </si>
  <si>
    <t>Mise sous film par 2</t>
  </si>
  <si>
    <t>Mise sous film par 3</t>
  </si>
  <si>
    <t>Mise sous film par 4+</t>
  </si>
  <si>
    <t>Mise sous film par 10+</t>
  </si>
  <si>
    <t>Cahiers et Feuillets mélangés</t>
  </si>
  <si>
    <t>Papier Intérieur inférieur à 70g</t>
  </si>
  <si>
    <t>Dos - 3 mm ou + de 35mm (max 50 mm)</t>
  </si>
  <si>
    <t>Dos carré collé avec couture</t>
  </si>
  <si>
    <t>Papier couché satin de plus de 115g</t>
  </si>
  <si>
    <t>Papier couché mat de plus de 115 g</t>
  </si>
  <si>
    <t>1 Cahier encarté à cheval</t>
  </si>
  <si>
    <t>Cahier encartés à cheval 2 par 2</t>
  </si>
  <si>
    <t>Papier intérieur inférieur à 70g</t>
  </si>
  <si>
    <t>dos -3mm ou de + de 35mm (max 50mm)</t>
  </si>
  <si>
    <t>Papier intérieur + de 170 g</t>
  </si>
  <si>
    <t>2 Piqûres métal</t>
  </si>
  <si>
    <t>Cahiers</t>
  </si>
  <si>
    <t>1er mille</t>
  </si>
  <si>
    <t>1-5k +</t>
  </si>
  <si>
    <t>1k+ au-delà de 5k</t>
  </si>
  <si>
    <t>Recassage</t>
  </si>
  <si>
    <t>Roulage au 1k</t>
  </si>
  <si>
    <t>Perforation 4 trous</t>
  </si>
  <si>
    <t>Encart jeté aléatoire</t>
  </si>
  <si>
    <t>Ouvrage à rabats</t>
  </si>
  <si>
    <t>1 rabat</t>
  </si>
  <si>
    <t>2 rabats</t>
  </si>
  <si>
    <t>Coupe frontale</t>
  </si>
  <si>
    <t>au 1k</t>
  </si>
  <si>
    <t>Pelliculage IMB</t>
  </si>
  <si>
    <t>Brillant</t>
  </si>
  <si>
    <t>Type</t>
  </si>
  <si>
    <t>€ au m²</t>
  </si>
  <si>
    <t>Mat</t>
  </si>
  <si>
    <t>Soft touch</t>
  </si>
  <si>
    <t>Facturation mini</t>
  </si>
  <si>
    <t>PO DREUX SOUS TRAITANCE</t>
  </si>
  <si>
    <t>Vernis UV BRILLANT</t>
  </si>
  <si>
    <t>Format &lt; 50 x 70</t>
  </si>
  <si>
    <t>au 1000 m²</t>
  </si>
  <si>
    <t>Format &gt; 50 x 70</t>
  </si>
  <si>
    <t>Vernis Réserve UV Brillant &lt; 50%</t>
  </si>
  <si>
    <t xml:space="preserve">Facturation mini </t>
  </si>
  <si>
    <t>Au 1000 feuilles</t>
  </si>
  <si>
    <t>Forfait calage et photogravure</t>
  </si>
  <si>
    <t>Recto ou Recto Verso Basculé</t>
  </si>
  <si>
    <t>Recto verso différent</t>
  </si>
  <si>
    <t>Prix ht</t>
  </si>
  <si>
    <t>Jusqu'à 100 kgs</t>
  </si>
  <si>
    <t>101 à 200 kgs</t>
  </si>
  <si>
    <t>201 à 300 kgs</t>
  </si>
  <si>
    <t>Forfaits</t>
  </si>
  <si>
    <t>301 à 400 kgs</t>
  </si>
  <si>
    <t>401 à 500 kgs</t>
  </si>
  <si>
    <t>501 à 600 kgs</t>
  </si>
  <si>
    <t>601kgs à 1 T</t>
  </si>
  <si>
    <t>1 T</t>
  </si>
  <si>
    <t>2 T</t>
  </si>
  <si>
    <t>3 T</t>
  </si>
  <si>
    <t>La</t>
  </si>
  <si>
    <t>5 T</t>
  </si>
  <si>
    <t>tonne</t>
  </si>
  <si>
    <t>7 T</t>
  </si>
  <si>
    <t>10 T</t>
  </si>
  <si>
    <t>Complet</t>
  </si>
  <si>
    <t>Forfait</t>
  </si>
  <si>
    <t>Calage vernis</t>
  </si>
  <si>
    <t>Recherche de teinte</t>
  </si>
  <si>
    <t>Données retirés</t>
  </si>
  <si>
    <t>Nombre de feuilles intérieur</t>
  </si>
  <si>
    <t>Nombre de feuilles couverture</t>
  </si>
  <si>
    <t>Jusqu'à 8 têtes de numérotation</t>
  </si>
  <si>
    <t>Papier</t>
  </si>
  <si>
    <t>Automatique</t>
  </si>
  <si>
    <t>457 x 457</t>
  </si>
  <si>
    <t>Numérotation séquentielle</t>
  </si>
  <si>
    <t>Numéroteuse</t>
  </si>
  <si>
    <t>Numéroteuse Morgana FSN</t>
  </si>
  <si>
    <t>Rotation jusqu'à 12 tours/minute</t>
  </si>
  <si>
    <t>Palette</t>
  </si>
  <si>
    <t>1550 x 1550</t>
  </si>
  <si>
    <t>Filmage palette semi-auto</t>
  </si>
  <si>
    <t>Filmeuse</t>
  </si>
  <si>
    <t>Filmeuse OneWrap</t>
  </si>
  <si>
    <t>Découpe et dorure à chaud</t>
  </si>
  <si>
    <t>Manuelle</t>
  </si>
  <si>
    <t>340 x 460</t>
  </si>
  <si>
    <t>Rainage / découpe / dorure</t>
  </si>
  <si>
    <t>Presse typographique</t>
  </si>
  <si>
    <t>Heidelberg Platine</t>
  </si>
  <si>
    <t>15 rainages max en un passage</t>
  </si>
  <si>
    <t>460 x 320</t>
  </si>
  <si>
    <t>Rainage de couverture</t>
  </si>
  <si>
    <t>Raineuse</t>
  </si>
  <si>
    <t>Raineuse Duplo DC-445</t>
  </si>
  <si>
    <t>6 stations, 1 trimmer</t>
  </si>
  <si>
    <t>480 x 320</t>
  </si>
  <si>
    <t>Assemblage et piqûre</t>
  </si>
  <si>
    <t>Encarteuse Piqueuse</t>
  </si>
  <si>
    <t>Encarteuse Piqueuse Bravo-T</t>
  </si>
  <si>
    <t>11 plis en ligne, 3 groupes</t>
  </si>
  <si>
    <t>780 x 1200</t>
  </si>
  <si>
    <t>Pliage haute performance</t>
  </si>
  <si>
    <t>Plieuse MBO T800</t>
  </si>
  <si>
    <t>6 couteaux Z2, pli complexe</t>
  </si>
  <si>
    <t>Pliage complexe</t>
  </si>
  <si>
    <t>Plieuse MBO K800</t>
  </si>
  <si>
    <t>4 poches, pli parallèle</t>
  </si>
  <si>
    <t>530 x 840</t>
  </si>
  <si>
    <t>Pliage standard</t>
  </si>
  <si>
    <t>Plieuse MBO T530</t>
  </si>
  <si>
    <t>Colle EVA, 1–60 mm, alimentation manuelle</t>
  </si>
  <si>
    <t>385 x 380</t>
  </si>
  <si>
    <t>Dos carré collé EVA</t>
  </si>
  <si>
    <t>Relieuse EVA</t>
  </si>
  <si>
    <t>CP Bourg BB3002 EVA</t>
  </si>
  <si>
    <t>Colle PUR, 1–60 mm, alimentation manuelle</t>
  </si>
  <si>
    <t>Relieuse PUR</t>
  </si>
  <si>
    <t>CP Bourg BB3002 PUR</t>
  </si>
  <si>
    <t>Table avant 715 mm, dimensions 2560 x 2360 mm</t>
  </si>
  <si>
    <t>1150 x 1150</t>
  </si>
  <si>
    <t>Coupe droite</t>
  </si>
  <si>
    <t>Massicot</t>
  </si>
  <si>
    <t>Massicot POLAR 115</t>
  </si>
  <si>
    <t>Remarques</t>
  </si>
  <si>
    <t>Type de support</t>
  </si>
  <si>
    <t>Alimentation</t>
  </si>
  <si>
    <t>Cadence max (ex/h)</t>
  </si>
  <si>
    <t>Épaisseur max (mm)</t>
  </si>
  <si>
    <t>Format max (mm)</t>
  </si>
  <si>
    <t>Fonction principale</t>
  </si>
  <si>
    <t>Machine</t>
  </si>
  <si>
    <t>📚 FAÇONNAGE / FINITION</t>
  </si>
  <si>
    <t>InlineFoiler, TripleFlow</t>
  </si>
  <si>
    <t>ColorPilot, InlineObserver</t>
  </si>
  <si>
    <t>IR/UV/Hybride</t>
  </si>
  <si>
    <t>Oui (APL, PECOM, QuickChange)</t>
  </si>
  <si>
    <t>Rolandmatic + Delta</t>
  </si>
  <si>
    <t>0,09 – 0,7 mm</t>
  </si>
  <si>
    <t>20 000</t>
  </si>
  <si>
    <t>4 (quadri)</t>
  </si>
  <si>
    <t>715×1030 mm</t>
  </si>
  <si>
    <t>750×1050 mm</t>
  </si>
  <si>
    <t>Manroland R700 (4 groupes)</t>
  </si>
  <si>
    <t>KMS-IV, PQC-S, lavage auto</t>
  </si>
  <si>
    <t>PDC-SII (densito spectro)</t>
  </si>
  <si>
    <t>IR ou UV</t>
  </si>
  <si>
    <t>Oui (APC, AMR, KHS-AI, PDC-SII)</t>
  </si>
  <si>
    <t>Komorimatic + Technotrans</t>
  </si>
  <si>
    <t>0,04 – 1,0 mm</t>
  </si>
  <si>
    <t>16 000</t>
  </si>
  <si>
    <t>Non</t>
  </si>
  <si>
    <t>5 (quadri + vernis)</t>
  </si>
  <si>
    <t>710×1020 mm</t>
  </si>
  <si>
    <t>720×1030 mm</t>
  </si>
  <si>
    <t>Komori Lithrone LS540</t>
  </si>
  <si>
    <t>Fonction / remarques</t>
  </si>
  <si>
    <t>Contrôle qualité</t>
  </si>
  <si>
    <t>Type de collage / séchage</t>
  </si>
  <si>
    <t>Calage auto</t>
  </si>
  <si>
    <t>Système de pliage</t>
  </si>
  <si>
    <t>Épaisseur papier</t>
  </si>
  <si>
    <t>Vitesse max (f/h)</t>
  </si>
  <si>
    <t>Retiration possible</t>
  </si>
  <si>
    <t>Couleurs max</t>
  </si>
  <si>
    <t>Groupes impression</t>
  </si>
  <si>
    <t>Format impression max</t>
  </si>
  <si>
    <t>Format papier max</t>
  </si>
  <si>
    <t>🖨️ PRESSES OFFSET</t>
  </si>
  <si>
    <t>Groupes</t>
  </si>
  <si>
    <t>Couleurs</t>
  </si>
  <si>
    <t>Tirage Quadri</t>
  </si>
  <si>
    <t>Lavage Quadri</t>
  </si>
  <si>
    <t>Grammage min (g/m²)</t>
  </si>
  <si>
    <t>Grammage max (g/m²)</t>
  </si>
  <si>
    <t>Format mini (cm)</t>
  </si>
  <si>
    <t>Format maxi (cm)</t>
  </si>
  <si>
    <t>Format standard (cm)</t>
  </si>
  <si>
    <t>Écart +/- (cm)</t>
  </si>
  <si>
    <t>Format impression max (cm)</t>
  </si>
  <si>
    <t>Prise de pince (cm)</t>
  </si>
  <si>
    <t>Bandes de freinage (cm)</t>
  </si>
  <si>
    <t>Retiration uniquement</t>
  </si>
  <si>
    <t>Gamme Bruner côté pince</t>
  </si>
  <si>
    <t>Blanc tournant côté pince</t>
  </si>
  <si>
    <t>Komori LSR540</t>
  </si>
  <si>
    <t>Feuilles</t>
  </si>
  <si>
    <t>36,0 x 52,0</t>
  </si>
  <si>
    <t>72,0 x 102,0</t>
  </si>
  <si>
    <t>65,0 x 92,0</t>
  </si>
  <si>
    <t>1,5 (grand côté)</t>
  </si>
  <si>
    <t>Type de réglage</t>
  </si>
  <si>
    <t>Valeur</t>
  </si>
  <si>
    <t>Unité</t>
  </si>
  <si>
    <t>Prix de revient horaire</t>
  </si>
  <si>
    <t>€/h</t>
  </si>
  <si>
    <t>→ Minorations cadence</t>
  </si>
  <si>
    <t>Marge appliquée</t>
  </si>
  <si>
    <t>%</t>
  </si>
  <si>
    <t>Encrage &lt; 90 g/m²</t>
  </si>
  <si>
    <t>Mise en route (base)</t>
  </si>
  <si>
    <t>00h00mn</t>
  </si>
  <si>
    <t>temps</t>
  </si>
  <si>
    <t>→ Cadences par palier</t>
  </si>
  <si>
    <t>Encrage ≥ 90 g/m²</t>
  </si>
  <si>
    <t>Calage (par plaque)</t>
  </si>
  <si>
    <t>00h05mn</t>
  </si>
  <si>
    <t>Cadence ≤ 1 000 ex</t>
  </si>
  <si>
    <t>tours/h</t>
  </si>
  <si>
    <t>→ Gâches</t>
  </si>
  <si>
    <t>00h07mn</t>
  </si>
  <si>
    <t>Cadence ≤ 3 000 ex</t>
  </si>
  <si>
    <t>→ Gâches de calage (fils/plq)</t>
  </si>
  <si>
    <t>feuilles</t>
  </si>
  <si>
    <t>Cadence ≤ 5 000 ex</t>
  </si>
  <si>
    <t>→ Recherche teinte (fils supp/plq)</t>
  </si>
  <si>
    <t>Lavage d’un groupe</t>
  </si>
  <si>
    <t>Cadence ≤ 10 000 ex</t>
  </si>
  <si>
    <t>→ Gâches de tirage</t>
  </si>
  <si>
    <t>pourcentage</t>
  </si>
  <si>
    <t>Lavage d’un groupe noir</t>
  </si>
  <si>
    <t>Cadence ≤ 20 000 ex</t>
  </si>
  <si>
    <t>→ Gâches vernis (fils/plq)</t>
  </si>
  <si>
    <t>→ Types de cahiers autorisés</t>
  </si>
  <si>
    <t>→ PRIX DE CALAGE / LAVAGE – KOMORI 540 (TIRE MAXI)</t>
  </si>
  <si>
    <t>→ COÛTS DE TIRAGE (€/1000 TOURS) – KOMORI 540</t>
  </si>
  <si>
    <t>2 pages</t>
  </si>
  <si>
    <t>Tirage ≤ 1 000</t>
  </si>
  <si>
    <t>€/1000 tours</t>
  </si>
  <si>
    <t>4 pages</t>
  </si>
  <si>
    <t>Marge</t>
  </si>
  <si>
    <t>Tirage ≤ 3 000</t>
  </si>
  <si>
    <t>2 pages numérique pique</t>
  </si>
  <si>
    <t>€</t>
  </si>
  <si>
    <t>Tirage ≤ 5 000</t>
  </si>
  <si>
    <t>8 pages</t>
  </si>
  <si>
    <t>Tirage ≤ 10 000</t>
  </si>
  <si>
    <t>8 pages plis économiques</t>
  </si>
  <si>
    <t>Tirage ≤ 12 000</t>
  </si>
  <si>
    <t>8 pages numérique</t>
  </si>
  <si>
    <t>12 pages</t>
  </si>
  <si>
    <t>16 pages</t>
  </si>
  <si>
    <t>16 pages Italienne</t>
  </si>
  <si>
    <t>→ GÂCHES DE TIRAGE (en % de tirage)</t>
  </si>
  <si>
    <t>→ MAJORATION COÛTS DE TIRAGE PAR GRAMMAGE – KOMORI 540</t>
  </si>
  <si>
    <t>24 pages</t>
  </si>
  <si>
    <t>Tirage ≤ 3 000 tours</t>
  </si>
  <si>
    <t>≤ 90 g/m²</t>
  </si>
  <si>
    <t>24 pages 6 larg × 2 haut Fr</t>
  </si>
  <si>
    <t>Tirage ≤ 5 000 tours</t>
  </si>
  <si>
    <t>&gt; 90 g/m²</t>
  </si>
  <si>
    <t>Tirage ≤ 8 000 tours</t>
  </si>
  <si>
    <t>&gt; 115 g/m²</t>
  </si>
  <si>
    <t>Tirage ≤ 10 000 tours</t>
  </si>
  <si>
    <t>&gt; 135 g/m²</t>
  </si>
  <si>
    <t>&gt; 170 g/m²</t>
  </si>
  <si>
    <t>&gt; 250 g/m²</t>
  </si>
  <si>
    <t>&gt; 300 g/m²</t>
  </si>
  <si>
    <t>&gt; 350 g/m²</t>
  </si>
  <si>
    <t>ROLAND 1+1</t>
  </si>
  <si>
    <t>45,0 x 64,0</t>
  </si>
  <si>
    <t>74,0 x 104,0</t>
  </si>
  <si>
    <t>→ Calage / Lavage (coûts TIRE MAXI)</t>
  </si>
  <si>
    <t>non applicable</t>
  </si>
  <si>
    <t>→ Coûts de tirage (€/1 000 tours)</t>
  </si>
  <si>
    <t>≤ 1 000 ex</t>
  </si>
  <si>
    <t>≤ 3 000 ex</t>
  </si>
  <si>
    <t>≤ 5 000 ex</t>
  </si>
  <si>
    <t>≤ 10 000 ex</t>
  </si>
  <si>
    <t>≤ 12 000 ex</t>
  </si>
  <si>
    <t>Tous les types de cahiers et les amalgames</t>
  </si>
  <si>
    <t>→ Gâches de calage d'impression</t>
  </si>
  <si>
    <t>Calage (fils/plq)</t>
  </si>
  <si>
    <t>Recherche teinte (fils/plq)</t>
  </si>
  <si>
    <t>≤ 3 000 tours</t>
  </si>
  <si>
    <t>≤ 5 000 tours</t>
  </si>
  <si>
    <t>≤ 10 000 tours</t>
  </si>
  <si>
    <t>→ Minoration de la cadence de tirage selon grammage</t>
  </si>
  <si>
    <t>Inférieur ou égal à 90 g/m²</t>
  </si>
  <si>
    <t>Supérieur à 90 g/m²</t>
  </si>
  <si>
    <t>→ Temps de calage (TIRE MAXI)</t>
  </si>
  <si>
    <t>Calage retiration</t>
  </si>
  <si>
    <t>00h09mn</t>
  </si>
  <si>
    <t>→ Cadence de tirage (TIRE MAXI)</t>
  </si>
  <si>
    <t>7 692 tours/heure</t>
  </si>
  <si>
    <t>Feuilles de passes intérieur</t>
  </si>
  <si>
    <t>Feuilles de passes couverture</t>
  </si>
  <si>
    <t>32 Pages</t>
  </si>
  <si>
    <t>16 Pages</t>
  </si>
  <si>
    <t>12 Pages</t>
  </si>
  <si>
    <t>8 Pages</t>
  </si>
  <si>
    <t>4 Pages</t>
  </si>
  <si>
    <t xml:space="preserve">Prix papier intérieur </t>
  </si>
  <si>
    <t>Calages</t>
  </si>
  <si>
    <t>Opérations des machines</t>
  </si>
  <si>
    <t>Plaques pour l'intérieur</t>
  </si>
  <si>
    <t>Plaques pour couverture</t>
  </si>
  <si>
    <t>Désignation</t>
  </si>
  <si>
    <t>Nombre</t>
  </si>
  <si>
    <t>Milliers de passages machines</t>
  </si>
  <si>
    <t>Total</t>
  </si>
  <si>
    <t>Prix coutant d'une plaque</t>
  </si>
  <si>
    <t>Nombre de cahiers</t>
  </si>
  <si>
    <t>Papier intérieur</t>
  </si>
  <si>
    <t>Papier couverture</t>
  </si>
  <si>
    <t>Plaques intérieur</t>
  </si>
  <si>
    <t>Plaques couverture</t>
  </si>
  <si>
    <t>Encre</t>
  </si>
  <si>
    <t>Livraison</t>
  </si>
  <si>
    <t>Colle</t>
  </si>
  <si>
    <t>Emballage</t>
  </si>
  <si>
    <t>Margé</t>
  </si>
  <si>
    <t xml:space="preserve">Prix papier couverture </t>
  </si>
  <si>
    <t>Total coûtant</t>
  </si>
  <si>
    <t>Prix coûtants (matière)</t>
  </si>
  <si>
    <t>Prix papier margé</t>
  </si>
  <si>
    <t>Pelliculage</t>
  </si>
  <si>
    <t>Format fini (fermé) en cm</t>
  </si>
  <si>
    <t xml:space="preserve">Quantité </t>
  </si>
  <si>
    <t xml:space="preserve"> Pages intérieur (sans couverture)</t>
  </si>
  <si>
    <t>Page couverture</t>
  </si>
  <si>
    <t>Grammage intérieur et type</t>
  </si>
  <si>
    <t>Grammage couverture et type</t>
  </si>
  <si>
    <t xml:space="preserve"> Type d'impression Couverture</t>
  </si>
  <si>
    <t>Type d'impression intérieur</t>
  </si>
  <si>
    <t xml:space="preserve">Rabats </t>
  </si>
  <si>
    <t>56x76</t>
  </si>
  <si>
    <t>Rainage</t>
  </si>
  <si>
    <t>Encart jeté non aléatoire</t>
  </si>
  <si>
    <t>Taille (cm)</t>
  </si>
  <si>
    <t>Format ouvert</t>
  </si>
  <si>
    <t>BROCHURES OFFSET</t>
  </si>
  <si>
    <t>Nombre de pose couverture</t>
  </si>
  <si>
    <t>Type de pelliculage</t>
  </si>
  <si>
    <t>nombre de m²</t>
  </si>
  <si>
    <t xml:space="preserve">Forfait calage </t>
  </si>
  <si>
    <t>Mise sous film</t>
  </si>
  <si>
    <t>Nombre de carton / palette</t>
  </si>
  <si>
    <t>Palettes</t>
  </si>
  <si>
    <t>Cartons</t>
  </si>
  <si>
    <t xml:space="preserve">Mise sous film </t>
  </si>
  <si>
    <t>Boite Cristal</t>
  </si>
  <si>
    <t>Prix de l'heure</t>
  </si>
  <si>
    <t>Tarification Minimum</t>
  </si>
  <si>
    <t>Tarif</t>
  </si>
  <si>
    <t>Coût matière au 100</t>
  </si>
  <si>
    <t>Marge sur la matière</t>
  </si>
  <si>
    <t>Poids moyen  par paquet en kg</t>
  </si>
  <si>
    <t>Mise sous film graphisoft</t>
  </si>
  <si>
    <t>Points de livraisons</t>
  </si>
  <si>
    <t>Département de livraison</t>
  </si>
  <si>
    <t>Camion avec hayon</t>
  </si>
  <si>
    <t>Point 1</t>
  </si>
  <si>
    <t>Point 2</t>
  </si>
  <si>
    <t>Point 3</t>
  </si>
  <si>
    <t>Point 4</t>
  </si>
  <si>
    <t>Point 5</t>
  </si>
  <si>
    <t>01 - Ain</t>
  </si>
  <si>
    <t>02 - Aisne</t>
  </si>
  <si>
    <t>03 - Allier</t>
  </si>
  <si>
    <t>04 - Alpes-de-Haute-Provence</t>
  </si>
  <si>
    <t>04 - Haute montagne</t>
  </si>
  <si>
    <t>05 - Hautes-Alpes</t>
  </si>
  <si>
    <t>05 - Haute montagne</t>
  </si>
  <si>
    <t>06 - Alpes-Maritimes</t>
  </si>
  <si>
    <t>06 - Haute montagne</t>
  </si>
  <si>
    <t>07 - Ardèche</t>
  </si>
  <si>
    <t>08 - Ardennes</t>
  </si>
  <si>
    <t>09 - Ariège</t>
  </si>
  <si>
    <t>09 - Haute montagne</t>
  </si>
  <si>
    <t>10 - Aube</t>
  </si>
  <si>
    <t>11 - Aude</t>
  </si>
  <si>
    <t>11 - Haute montagne</t>
  </si>
  <si>
    <t>12 - Aveyron</t>
  </si>
  <si>
    <t>13 - Bouches-du-Rhône</t>
  </si>
  <si>
    <t>14 - Calvados</t>
  </si>
  <si>
    <t>15 - Cantal</t>
  </si>
  <si>
    <t>16 - Charente</t>
  </si>
  <si>
    <t>17 - Charente-Maritime</t>
  </si>
  <si>
    <t>17 - Ile</t>
  </si>
  <si>
    <t>18 - Cher</t>
  </si>
  <si>
    <t>19 - Corrèze</t>
  </si>
  <si>
    <t>20 - Corse</t>
  </si>
  <si>
    <t>21 - Côte-d'Or</t>
  </si>
  <si>
    <t>22 - Côtes-d'Armor</t>
  </si>
  <si>
    <t>22 - Ile</t>
  </si>
  <si>
    <t>23 - Creuse</t>
  </si>
  <si>
    <t>24 - Dordogne</t>
  </si>
  <si>
    <t>25 - Doubs</t>
  </si>
  <si>
    <t>26 - Drôme</t>
  </si>
  <si>
    <t>27 - Eure</t>
  </si>
  <si>
    <t>28 - Eure-et-Loir</t>
  </si>
  <si>
    <t>29 - Finistère</t>
  </si>
  <si>
    <t>29 - Ile</t>
  </si>
  <si>
    <t>30 - Gard</t>
  </si>
  <si>
    <t>30 - Haute montagne</t>
  </si>
  <si>
    <t>31 - Haute-Garonne</t>
  </si>
  <si>
    <t>31 - Haute montagne</t>
  </si>
  <si>
    <t>32 - Gers</t>
  </si>
  <si>
    <t>33 - Gironde</t>
  </si>
  <si>
    <t>34 - Hérault</t>
  </si>
  <si>
    <t>35 - Ille-et-Vilaine</t>
  </si>
  <si>
    <t>36 - Indre</t>
  </si>
  <si>
    <t>37 - Indre-et-Loire</t>
  </si>
  <si>
    <t>38 - Isère</t>
  </si>
  <si>
    <t>38 - Haute montagne</t>
  </si>
  <si>
    <t>39 - Jura</t>
  </si>
  <si>
    <t>40 - Landes</t>
  </si>
  <si>
    <t>41 - Loir-et-Cher</t>
  </si>
  <si>
    <t>42 - Loire</t>
  </si>
  <si>
    <t>43 - Haute-Loire</t>
  </si>
  <si>
    <t>44 - Loire-Atlantique</t>
  </si>
  <si>
    <t>45 - Loiret</t>
  </si>
  <si>
    <t>46 - Lot</t>
  </si>
  <si>
    <t>47 - Lot-et-Garonne</t>
  </si>
  <si>
    <t>48 - Lozère</t>
  </si>
  <si>
    <t>49 - Maine-et-Loire</t>
  </si>
  <si>
    <t>50 - Manche</t>
  </si>
  <si>
    <t>51 - Marne</t>
  </si>
  <si>
    <t>52 - Haute-Marne</t>
  </si>
  <si>
    <t>53 - Mayenne</t>
  </si>
  <si>
    <t>54 - Meurthe-et-Moselle</t>
  </si>
  <si>
    <t>55 - Meuse</t>
  </si>
  <si>
    <t>56 - Morbihan</t>
  </si>
  <si>
    <t>56 - Ile</t>
  </si>
  <si>
    <t>57 - Moselle</t>
  </si>
  <si>
    <t>58 - Nièvre</t>
  </si>
  <si>
    <t>59 - Nord</t>
  </si>
  <si>
    <t>60 - Oise</t>
  </si>
  <si>
    <t>61 - Orne</t>
  </si>
  <si>
    <t>62 - Pas-de-Calais</t>
  </si>
  <si>
    <t>63 - Puy-de-Dôme</t>
  </si>
  <si>
    <t>64 - Pyrénées-Atlantiques</t>
  </si>
  <si>
    <t>64 - Haute montagne</t>
  </si>
  <si>
    <t>65 - Hautes-Pyrénées</t>
  </si>
  <si>
    <t>65 - Haute montagne</t>
  </si>
  <si>
    <t>66 - Pyrénées-Orientales</t>
  </si>
  <si>
    <t>66 - Haute montagne</t>
  </si>
  <si>
    <t>67 - Bas-Rhin</t>
  </si>
  <si>
    <t>68 - Haut-Rhin</t>
  </si>
  <si>
    <t>69 - Rhône</t>
  </si>
  <si>
    <t>70 - Haute-Saône</t>
  </si>
  <si>
    <t>71 - Saône-et-Loire</t>
  </si>
  <si>
    <t>72 - Sarthe</t>
  </si>
  <si>
    <t>73 - Savoie</t>
  </si>
  <si>
    <t>73 - Haute montagne</t>
  </si>
  <si>
    <t>74 - Haute-Savoie</t>
  </si>
  <si>
    <t>74 - Haute montagne</t>
  </si>
  <si>
    <t>75 - Paris</t>
  </si>
  <si>
    <t>76 - Seine-Maritime</t>
  </si>
  <si>
    <t>77 - Seine-et-Marne</t>
  </si>
  <si>
    <t>78 - Yvelines</t>
  </si>
  <si>
    <t>79 - Deux-Sèvres</t>
  </si>
  <si>
    <t>80 - Somme</t>
  </si>
  <si>
    <t>81 - Tarn</t>
  </si>
  <si>
    <t>82 - Tarn-et-Garonne</t>
  </si>
  <si>
    <t>83 - Var</t>
  </si>
  <si>
    <t>83 - Haute montagne</t>
  </si>
  <si>
    <t>84 - Vaucluse</t>
  </si>
  <si>
    <t>85 - Vendée</t>
  </si>
  <si>
    <t>85 - Ile</t>
  </si>
  <si>
    <t>86 - Vienne</t>
  </si>
  <si>
    <t>87 - Haute-Vienne</t>
  </si>
  <si>
    <t>88 - Vosges</t>
  </si>
  <si>
    <t>89 - Yonne</t>
  </si>
  <si>
    <t>90 - Territoire de Belfort</t>
  </si>
  <si>
    <t>91 - Essonne</t>
  </si>
  <si>
    <t>92 - Hauts-de-Seine</t>
  </si>
  <si>
    <t>93 - Seine-Saint-Denis</t>
  </si>
  <si>
    <t>94 - Val-de-Marne</t>
  </si>
  <si>
    <t>95 - Val-d'Oise</t>
  </si>
  <si>
    <t>Prix du point de livraison</t>
  </si>
  <si>
    <t>Nombre d'exemplaires au point</t>
  </si>
  <si>
    <t>Gandon</t>
  </si>
  <si>
    <t>Tarif en 24 à 72h si urgent, nous consulter</t>
  </si>
  <si>
    <t>Département</t>
  </si>
  <si>
    <t>Transporteur</t>
  </si>
  <si>
    <t>Kuehne Nagel</t>
  </si>
  <si>
    <t>Ziegler</t>
  </si>
  <si>
    <t>Poids par point (kg)</t>
  </si>
  <si>
    <t xml:space="preserve">75 - Paris  </t>
  </si>
  <si>
    <t xml:space="preserve">77 - Seine-et-Marne  </t>
  </si>
  <si>
    <t xml:space="preserve">78 - Yvelines  </t>
  </si>
  <si>
    <t xml:space="preserve">91 - Essonne  </t>
  </si>
  <si>
    <t xml:space="preserve">92 - Hauts-de-Seine  </t>
  </si>
  <si>
    <t xml:space="preserve">93 - Seine-Saint-Denis  </t>
  </si>
  <si>
    <t xml:space="preserve">94 - Val-de-Marne  </t>
  </si>
  <si>
    <t>Total livraisons</t>
  </si>
  <si>
    <r>
      <t xml:space="preserve">TARIF en € H.T.
</t>
    </r>
    <r>
      <rPr>
        <i/>
        <sz val="10"/>
        <color rgb="FFFF0000"/>
        <rFont val="Calibri"/>
        <family val="2"/>
        <scheme val="minor"/>
      </rPr>
      <t>Attention qu'aucune cellule ne soit rouge vif</t>
    </r>
  </si>
  <si>
    <t>Autre couverture</t>
  </si>
  <si>
    <t>Autre intérieur</t>
  </si>
  <si>
    <t>Pelliculage Recto</t>
  </si>
  <si>
    <t>Pelliculage RectoVerso</t>
  </si>
  <si>
    <t>Livraisons</t>
  </si>
  <si>
    <t>PelliculageSimple</t>
  </si>
  <si>
    <t xml:space="preserve">Pelliculage Recto  </t>
  </si>
  <si>
    <t>PelliculageComplet</t>
  </si>
  <si>
    <t>Nb de paquets</t>
  </si>
  <si>
    <t>Coût matière</t>
  </si>
  <si>
    <t>Epaisseur du dos en cm</t>
  </si>
  <si>
    <t>Recyclé</t>
  </si>
  <si>
    <t>Cyclus print</t>
  </si>
  <si>
    <t>RecycleOffset</t>
  </si>
  <si>
    <t>Recycle Couv</t>
  </si>
  <si>
    <t>BrillantCouv</t>
  </si>
  <si>
    <r>
      <t xml:space="preserve">Prix papier couverture au kg
</t>
    </r>
    <r>
      <rPr>
        <b/>
        <sz val="12"/>
        <color rgb="FFFF0000"/>
        <rFont val="Calibri"/>
        <family val="2"/>
        <scheme val="minor"/>
      </rPr>
      <t>Hors fichier IMB (choisir "Autre")</t>
    </r>
  </si>
  <si>
    <r>
      <t xml:space="preserve">Prix papier intérieur au kg
</t>
    </r>
    <r>
      <rPr>
        <b/>
        <sz val="12"/>
        <color rgb="FFFF0000"/>
        <rFont val="Calibri"/>
        <family val="2"/>
        <scheme val="minor"/>
      </rPr>
      <t>Hors fichier IMB (choisir "Autre")</t>
    </r>
  </si>
  <si>
    <t>Epaisseur dos</t>
  </si>
  <si>
    <t>100 feuilles</t>
  </si>
  <si>
    <t>Mat/satin</t>
  </si>
  <si>
    <t>Cyclus</t>
  </si>
  <si>
    <t>14,8x21</t>
  </si>
  <si>
    <t>Soft Touch</t>
  </si>
  <si>
    <t>Bascule</t>
  </si>
  <si>
    <t>65x92</t>
  </si>
  <si>
    <t>70x102</t>
  </si>
  <si>
    <t>Nom</t>
  </si>
  <si>
    <t>Formule à mettre (dans cellules cachées ou nommées)</t>
  </si>
  <si>
    <t>LargeurFini</t>
  </si>
  <si>
    <t>HauteurFini</t>
  </si>
  <si>
    <t>Formule</t>
  </si>
  <si>
    <t>LargeurFeuille</t>
  </si>
  <si>
    <t>HauteurFeuille</t>
  </si>
  <si>
    <t>Poses</t>
  </si>
  <si>
    <t>Pages imposables par feuille</t>
  </si>
  <si>
    <t>16x24</t>
  </si>
  <si>
    <t>10,5x15</t>
  </si>
  <si>
    <t>Nombre de feuille intérieur</t>
  </si>
  <si>
    <t>10x21</t>
  </si>
  <si>
    <t>17x24</t>
  </si>
  <si>
    <t>29,7x42</t>
  </si>
  <si>
    <t>Traitement fichier</t>
  </si>
  <si>
    <t>Détails techniques en dessous liés aux formules excel</t>
  </si>
  <si>
    <t>CoucheCouv_DC</t>
  </si>
  <si>
    <t>Brillantcouv_DC</t>
  </si>
  <si>
    <t>Carte1Face_DC</t>
  </si>
  <si>
    <t>CoucheMatInterieur</t>
  </si>
  <si>
    <t>CoucheSatinInterieur</t>
  </si>
  <si>
    <t>CoucheMatCouv</t>
  </si>
  <si>
    <t>CoucheSatinCouv</t>
  </si>
  <si>
    <t>CoucheMatCouv_DC</t>
  </si>
  <si>
    <t>CoucheSatinCouv_DC</t>
  </si>
  <si>
    <t>COUCHE MAT</t>
  </si>
  <si>
    <t>COUCHE SATIN</t>
  </si>
  <si>
    <t>BouffantMunkenBlanc</t>
  </si>
  <si>
    <t>BouffantMunkenCreme</t>
  </si>
  <si>
    <t>Détails</t>
  </si>
  <si>
    <t>Couché Satin</t>
  </si>
  <si>
    <t xml:space="preserve">Mise en cartons </t>
  </si>
  <si>
    <t>Mise sous élastiques par paquet</t>
  </si>
  <si>
    <t>Mise sous élastiques</t>
  </si>
  <si>
    <t>Au 1000</t>
  </si>
  <si>
    <t>supplément si couverture</t>
  </si>
  <si>
    <t>&gt; 6000</t>
  </si>
  <si>
    <t>&gt; 20000</t>
  </si>
  <si>
    <t>&gt; 40000</t>
  </si>
  <si>
    <t>Piqûre Graphisoft</t>
  </si>
  <si>
    <t>0 à 5 kg</t>
  </si>
  <si>
    <t>6 à 10 kg</t>
  </si>
  <si>
    <t>11 à 20 kg</t>
  </si>
  <si>
    <t>21 à 30 kg</t>
  </si>
  <si>
    <t>31 à 40 kg</t>
  </si>
  <si>
    <t>41 à 50 kg</t>
  </si>
  <si>
    <t>51 à 60 kg</t>
  </si>
  <si>
    <t>61 à 70 kg</t>
  </si>
  <si>
    <t>71 à 80 kg</t>
  </si>
  <si>
    <t>81 à 90 kg</t>
  </si>
  <si>
    <t>91 à 100 kg</t>
  </si>
  <si>
    <t>101 à 1000 kg</t>
  </si>
  <si>
    <t>Au 100 kg</t>
  </si>
  <si>
    <t/>
  </si>
  <si>
    <t>Couché (numérique)</t>
  </si>
  <si>
    <t>Largeur format</t>
  </si>
  <si>
    <t>Hauteur format</t>
  </si>
  <si>
    <t>Nombre de pose</t>
  </si>
  <si>
    <t>Nombre de pose intérieur</t>
  </si>
  <si>
    <t>Nombre de feuilles intérieur 33x48,7</t>
  </si>
  <si>
    <t>Nombre de feuilles couverture 33x48,7</t>
  </si>
  <si>
    <t xml:space="preserve">Format fini </t>
  </si>
  <si>
    <t>Grammage et type de papier</t>
  </si>
  <si>
    <t>Nombre de plis</t>
  </si>
  <si>
    <t>Pages couverture</t>
  </si>
  <si>
    <t>Pages intérieur</t>
  </si>
  <si>
    <t>Grammage et type de papier intérieur</t>
  </si>
  <si>
    <t>Grammage et type de papier couverture</t>
  </si>
  <si>
    <t>Couleurs couverture</t>
  </si>
  <si>
    <t>Couleurs intérieur</t>
  </si>
  <si>
    <t>Table des Poids pour 1000 feuilles 33x48,7</t>
  </si>
  <si>
    <t>A ajouter</t>
  </si>
  <si>
    <t>Méthode</t>
  </si>
  <si>
    <t>Gestion livraison vers fromentières</t>
  </si>
  <si>
    <t>Livraison à fromtières si couture, ensuite comparer le plus avantageux entre départ fromentière ou départ de chez nous (sans oublier le retour fromentière du coup)</t>
  </si>
  <si>
    <t>Ajouter comparaison automatique entre offset de numérique</t>
  </si>
  <si>
    <t>Avoir un double de chaque tableau qui retranscrit les éléments de l'offset et inversement</t>
  </si>
  <si>
    <t>Difficulté</t>
  </si>
  <si>
    <t>France express avec 25%</t>
  </si>
  <si>
    <t>Piqûre Normandie Façonnage</t>
  </si>
  <si>
    <t xml:space="preserve">Dont supplément </t>
  </si>
  <si>
    <t>(*): F: Prix forfaitaire - A (Arrondi) - D (Prix au detail ramene au diviseur)</t>
  </si>
  <si>
    <t>Pays</t>
  </si>
  <si>
    <t>F</t>
  </si>
  <si>
    <t>A/10 - D/100</t>
  </si>
  <si>
    <t>Kuehne NAGEL</t>
  </si>
  <si>
    <t>98 - Monaco</t>
  </si>
  <si>
    <t>101 - 299</t>
  </si>
  <si>
    <t>300 - 499</t>
  </si>
  <si>
    <t>500 - 699</t>
  </si>
  <si>
    <t>700 - 999</t>
  </si>
  <si>
    <t>1000 - 1500</t>
  </si>
  <si>
    <t>Vide</t>
  </si>
  <si>
    <t>Sauvegarde VBA DEDANS</t>
  </si>
  <si>
    <t>Macro pour des devis type (dans développeur)</t>
  </si>
  <si>
    <t>Faire des brochure A4 directement avec un seul bouton</t>
  </si>
  <si>
    <t>Tirage vernis</t>
  </si>
  <si>
    <t>MPL</t>
  </si>
  <si>
    <t>Equivalent palette</t>
  </si>
  <si>
    <t>31 Nord</t>
  </si>
  <si>
    <t>31 sud</t>
  </si>
  <si>
    <t>Gandon départ FROMENTIERES</t>
  </si>
  <si>
    <t>Au départ de BAYEUX (14) vers divers départements</t>
  </si>
  <si>
    <t>1 palette &lt; 100 kgs</t>
  </si>
  <si>
    <t>100 kgs &lt;     1 palette      &lt; 600 kgs</t>
  </si>
  <si>
    <t xml:space="preserve">1 MPL </t>
  </si>
  <si>
    <t>COMPLET</t>
  </si>
  <si>
    <t>Calvados (14)</t>
  </si>
  <si>
    <t>Côtes D'Armor (22)</t>
  </si>
  <si>
    <t>Eure (27)</t>
  </si>
  <si>
    <t>Eure et Loire  (28)</t>
  </si>
  <si>
    <t>Finistère (29)</t>
  </si>
  <si>
    <t>Haute-Garonne (31)</t>
  </si>
  <si>
    <t xml:space="preserve"> Ille et Vilaine (35)</t>
  </si>
  <si>
    <t>Indre et Loire (37)</t>
  </si>
  <si>
    <t>Loir et Cher (41)</t>
  </si>
  <si>
    <t>Loire Atlantique (44)</t>
  </si>
  <si>
    <t>Loiret (45)</t>
  </si>
  <si>
    <t>Maine et Loire (49)</t>
  </si>
  <si>
    <t>Manche (50)</t>
  </si>
  <si>
    <t>Saint Samson de Bonfosse (50)</t>
  </si>
  <si>
    <t>Marne (51)</t>
  </si>
  <si>
    <t>Mayenne (53)</t>
  </si>
  <si>
    <t>Morbihan (56)</t>
  </si>
  <si>
    <t>Nord (59)</t>
  </si>
  <si>
    <t>Oise ( 60)</t>
  </si>
  <si>
    <t>Orne (61)</t>
  </si>
  <si>
    <t>Pas de Calais (62)</t>
  </si>
  <si>
    <t>Rhône (69)</t>
  </si>
  <si>
    <t>Sarthe (72)</t>
  </si>
  <si>
    <t>Seine Maritime (76)</t>
  </si>
  <si>
    <t>Somme (80)</t>
  </si>
  <si>
    <t>Yonne (89)</t>
  </si>
  <si>
    <r>
      <t xml:space="preserve">Délai de livraison : 24 heures </t>
    </r>
    <r>
      <rPr>
        <sz val="12"/>
        <rFont val="Comic Sans MS"/>
        <family val="4"/>
      </rPr>
      <t xml:space="preserve">                                 </t>
    </r>
  </si>
  <si>
    <t>Délai de livraison : 48 heures</t>
  </si>
  <si>
    <t>GANDON</t>
  </si>
  <si>
    <t>PARTIE DEPLIANT ETC…</t>
  </si>
  <si>
    <t>Format d'entrée</t>
  </si>
  <si>
    <t xml:space="preserve">Minimum </t>
  </si>
  <si>
    <t>Format de sortie mini</t>
  </si>
  <si>
    <t>21x10</t>
  </si>
  <si>
    <t>Max</t>
  </si>
  <si>
    <t>72x102</t>
  </si>
  <si>
    <t>Grammages maximum</t>
  </si>
  <si>
    <t>Croisés</t>
  </si>
  <si>
    <t>Roulés</t>
  </si>
  <si>
    <t>Economiques</t>
  </si>
  <si>
    <t>Accordéons</t>
  </si>
  <si>
    <t>Portefeuilles</t>
  </si>
  <si>
    <t>Main</t>
  </si>
  <si>
    <t>Plis max</t>
  </si>
  <si>
    <t>MBO K800 DEPLIANT</t>
  </si>
  <si>
    <t>Quelles machines prendre en plis sur graphisoft</t>
  </si>
  <si>
    <t>T530 DEPLIANT</t>
  </si>
  <si>
    <t>T800 6-4-2</t>
  </si>
  <si>
    <t xml:space="preserve">6 plis </t>
  </si>
  <si>
    <t>5 plis</t>
  </si>
  <si>
    <t>150g max</t>
  </si>
  <si>
    <t>Croisés (recassage)</t>
  </si>
  <si>
    <t>2 plis max</t>
  </si>
  <si>
    <t>6 plis</t>
  </si>
  <si>
    <t>Economique</t>
  </si>
  <si>
    <t>Format fini minimum</t>
  </si>
  <si>
    <t>A revoir pour le pli croisé</t>
  </si>
  <si>
    <t>Format fini maximum</t>
  </si>
  <si>
    <t>Coupe</t>
  </si>
  <si>
    <t>1 plis</t>
  </si>
  <si>
    <t>1 croisé</t>
  </si>
  <si>
    <t>Type de produit</t>
  </si>
  <si>
    <t>Type de pli principal</t>
  </si>
  <si>
    <t>Type de pli secondaire</t>
  </si>
  <si>
    <t>Nombre de volets</t>
  </si>
  <si>
    <t>Recto Verso ?</t>
  </si>
  <si>
    <t>Format fini</t>
  </si>
  <si>
    <t>Pli Accordéon</t>
  </si>
  <si>
    <t>Pli roulé</t>
  </si>
  <si>
    <t>Pli croisé</t>
  </si>
  <si>
    <t>Nombre total de plis</t>
  </si>
  <si>
    <t>Format ouvert (cm)</t>
  </si>
  <si>
    <t>10.5 x 15</t>
  </si>
  <si>
    <t>21.2 x 30.0</t>
  </si>
  <si>
    <t>21.2 x 15.0</t>
  </si>
  <si>
    <t>31.9 x 30.0</t>
  </si>
  <si>
    <t>31.9 x 15.0</t>
  </si>
  <si>
    <t>42.6 x 30.0</t>
  </si>
  <si>
    <t>42.6 x 15.0</t>
  </si>
  <si>
    <t>53.3 x 30.0</t>
  </si>
  <si>
    <t>53.3 x 15.0</t>
  </si>
  <si>
    <t>64.0 x 30.0</t>
  </si>
  <si>
    <t>64.0 x 15.0</t>
  </si>
  <si>
    <t>74.7 x 30.0</t>
  </si>
  <si>
    <t>74.7 x 15.0</t>
  </si>
  <si>
    <t>85.4 x 30.0</t>
  </si>
  <si>
    <t>85.4 x 15.0</t>
  </si>
  <si>
    <t>10 x 21</t>
  </si>
  <si>
    <t>20.2 x 42.0</t>
  </si>
  <si>
    <t>20.2 x 21.0</t>
  </si>
  <si>
    <t>30.4 x 42.0</t>
  </si>
  <si>
    <t>30.4 x 21.0</t>
  </si>
  <si>
    <t>40.6 x 42.0</t>
  </si>
  <si>
    <t>40.6 x 21.0</t>
  </si>
  <si>
    <t>50.8 x 42.0</t>
  </si>
  <si>
    <t>50.8 x 21.0</t>
  </si>
  <si>
    <t>61.0 x 42.0</t>
  </si>
  <si>
    <t>61.0 x 21.0</t>
  </si>
  <si>
    <t>71.2 x 42.0</t>
  </si>
  <si>
    <t>71.2 x 21.0</t>
  </si>
  <si>
    <t>81.4 x 42.0</t>
  </si>
  <si>
    <t>81.4 x 21.0</t>
  </si>
  <si>
    <t>91.6 x 42.0</t>
  </si>
  <si>
    <t>91.6 x 21.0</t>
  </si>
  <si>
    <t>14.8 x 21</t>
  </si>
  <si>
    <t>29.8 x 42.0</t>
  </si>
  <si>
    <t>29.8 x 21.0</t>
  </si>
  <si>
    <t>44.8 x 42.0</t>
  </si>
  <si>
    <t>44.8 x 21.0</t>
  </si>
  <si>
    <t>59.8 x 42.0</t>
  </si>
  <si>
    <t>59.8 x 21.0</t>
  </si>
  <si>
    <t>74.8 x 42.0</t>
  </si>
  <si>
    <t>74.8 x 21.0</t>
  </si>
  <si>
    <t>89.8 x 42.0</t>
  </si>
  <si>
    <t>89.8 x 21.0</t>
  </si>
  <si>
    <t>16 x 24</t>
  </si>
  <si>
    <t>32.2 x 48.0</t>
  </si>
  <si>
    <t>32.2 x 24.0</t>
  </si>
  <si>
    <t>48.4 x 48.0</t>
  </si>
  <si>
    <t>48.4 x 24.0</t>
  </si>
  <si>
    <t>64.6 x 48.0</t>
  </si>
  <si>
    <t>64.6 x 24.0</t>
  </si>
  <si>
    <t>80.8 x 48.0</t>
  </si>
  <si>
    <t>80.8 x 24.0</t>
  </si>
  <si>
    <t>21 x 29.7</t>
  </si>
  <si>
    <t>42.2 x 59.4</t>
  </si>
  <si>
    <t>42.2 x 29.7</t>
  </si>
  <si>
    <t>63.4 x 59.4</t>
  </si>
  <si>
    <t>63.4 x 29.7</t>
  </si>
  <si>
    <t>84.6 x 59.4</t>
  </si>
  <si>
    <t>84.6 x 29.7</t>
  </si>
  <si>
    <t>29.7 x 42</t>
  </si>
  <si>
    <t>59.6 x 42.0</t>
  </si>
  <si>
    <t>89.5 x 42.0</t>
  </si>
  <si>
    <t>Sur feuille 65x92</t>
  </si>
  <si>
    <t>LargeurOuvert</t>
  </si>
  <si>
    <t>HauteurOuvert</t>
  </si>
  <si>
    <t>Type d'impression</t>
  </si>
  <si>
    <t>TARIF avec livraison en € H.T.</t>
  </si>
  <si>
    <r>
      <rPr>
        <b/>
        <i/>
        <u/>
        <sz val="16"/>
        <color rgb="FFFF0000"/>
        <rFont val="Calibri"/>
        <family val="2"/>
        <scheme val="minor"/>
      </rPr>
      <t>IMPRESSION NUMERIQUE</t>
    </r>
    <r>
      <rPr>
        <b/>
        <i/>
        <u/>
        <sz val="12"/>
        <color theme="1"/>
        <rFont val="Calibri"/>
        <family val="2"/>
        <scheme val="minor"/>
      </rPr>
      <t xml:space="preserve">
Caractéristiques techniques
POUR </t>
    </r>
    <r>
      <rPr>
        <b/>
        <i/>
        <u/>
        <sz val="12"/>
        <color rgb="FFFF0000"/>
        <rFont val="Calibri"/>
        <family val="2"/>
        <scheme val="minor"/>
      </rPr>
      <t>LES LIVRES ET BROCHURES DOS CARRE ET DEUX POINTS METAL</t>
    </r>
  </si>
  <si>
    <r>
      <rPr>
        <b/>
        <i/>
        <u/>
        <sz val="18"/>
        <color rgb="FFFF0000"/>
        <rFont val="Calibri"/>
        <family val="2"/>
        <scheme val="minor"/>
      </rPr>
      <t>IMPRESSION NUMERIQUE</t>
    </r>
    <r>
      <rPr>
        <b/>
        <i/>
        <u/>
        <sz val="14"/>
        <color theme="1"/>
        <rFont val="Calibri"/>
        <family val="2"/>
        <scheme val="minor"/>
      </rPr>
      <t xml:space="preserve">
Caractéristiques techniques
POUR </t>
    </r>
    <r>
      <rPr>
        <b/>
        <i/>
        <u/>
        <sz val="14"/>
        <color rgb="FFFF0000"/>
        <rFont val="Calibri"/>
        <family val="2"/>
        <scheme val="minor"/>
      </rPr>
      <t>LES CARTES, DEPLIANTS ET AFFICHES</t>
    </r>
  </si>
  <si>
    <t>Dépliants / Flyers / Carte de visites / Posters OFFSET</t>
  </si>
  <si>
    <t>Pliage</t>
  </si>
  <si>
    <t>Toutcouche</t>
  </si>
  <si>
    <t>Toutoffset</t>
  </si>
  <si>
    <t>Toutcarte1face</t>
  </si>
  <si>
    <t>Toutautre</t>
  </si>
  <si>
    <t>Toutrecycle</t>
  </si>
  <si>
    <t>grammage max</t>
  </si>
  <si>
    <t>Pour activer les boutons, il faut que les "macros" soient autorisées. Certaines options peuvent manquer sans les macros.</t>
  </si>
  <si>
    <t>Prix pliages</t>
  </si>
  <si>
    <t>1  plis</t>
  </si>
  <si>
    <t>7 plis</t>
  </si>
  <si>
    <t>8 plis</t>
  </si>
  <si>
    <t>Prix au 1000 m linéaire</t>
  </si>
  <si>
    <t>OffsetCouv</t>
  </si>
  <si>
    <t>Remise sur le devis</t>
  </si>
  <si>
    <t>Prix Logiciel</t>
  </si>
  <si>
    <t>Remise à appliquer en %</t>
  </si>
  <si>
    <t>Nouveau prix</t>
  </si>
  <si>
    <t>Traitement fichiers</t>
  </si>
  <si>
    <t>Prix coutant intérieur</t>
  </si>
  <si>
    <t>Prix coûtant couv</t>
  </si>
  <si>
    <t>Prix intérieur margé</t>
  </si>
  <si>
    <t>Prix couverture margé</t>
  </si>
  <si>
    <t>Marge papier</t>
  </si>
  <si>
    <t>Nouveau prix par poste</t>
  </si>
  <si>
    <t>Nouveau prix pour le groupe</t>
  </si>
  <si>
    <t>Remise consentie</t>
  </si>
  <si>
    <t>Remise par poste</t>
  </si>
  <si>
    <t xml:space="preserve">Réduction globale </t>
  </si>
  <si>
    <t xml:space="preserve">Prix coutant </t>
  </si>
  <si>
    <t>Poids papier  en KG</t>
  </si>
  <si>
    <t>Prix margé</t>
  </si>
  <si>
    <r>
      <t xml:space="preserve">TARIF en € H.T avec livraison.
</t>
    </r>
    <r>
      <rPr>
        <i/>
        <sz val="10"/>
        <color rgb="FFFF0000"/>
        <rFont val="Calibri"/>
        <family val="2"/>
        <scheme val="minor"/>
      </rPr>
      <t>Attention qu'aucune cellule ne soit rouge vif</t>
    </r>
  </si>
  <si>
    <t>Calage + 200€ livraisons</t>
  </si>
  <si>
    <t>Nombre de modèles (quantité / nombre de modèles)</t>
  </si>
  <si>
    <t>Liste_Piqûre</t>
  </si>
  <si>
    <t>Liste_DosCarre</t>
  </si>
  <si>
    <t>Liste_ParDéfaut</t>
  </si>
  <si>
    <t>BOUFFANT AMBER VOLUME</t>
  </si>
  <si>
    <t>Bouffantblanc</t>
  </si>
  <si>
    <t>24 Pages</t>
  </si>
  <si>
    <t>Prix de vente d'une plaque</t>
  </si>
  <si>
    <t>Marge sur Mat.première</t>
  </si>
  <si>
    <t>Prix impression (roule / calage)</t>
  </si>
  <si>
    <t>Rappel Total</t>
  </si>
  <si>
    <t>64x90</t>
  </si>
  <si>
    <t>Format papier choisi intérieur</t>
  </si>
  <si>
    <t>Format papier choisi couverture</t>
  </si>
  <si>
    <t>OPTIMISATION PAPIER INTERIEUR</t>
  </si>
  <si>
    <t>OPTIMISATION PAPIER COUVERTURE</t>
  </si>
  <si>
    <t>NB FEUILLES</t>
  </si>
  <si>
    <t>POSES / FEUILLES</t>
  </si>
  <si>
    <t>PRIX ET FORMAT PAPIERS</t>
  </si>
  <si>
    <t>Taux de marque</t>
  </si>
  <si>
    <t>Taux de marge</t>
  </si>
  <si>
    <t>Marge ajouté manuellement</t>
  </si>
  <si>
    <t>Marge ajouté manuellement en €</t>
  </si>
  <si>
    <t>Z:\0 - Achats IMB\Tarif palette Cube JANVIER 2026.pdf</t>
  </si>
  <si>
    <t>Prix PROCOP</t>
  </si>
  <si>
    <t>Prix numérique</t>
  </si>
  <si>
    <t>Prix offset</t>
  </si>
  <si>
    <t>Ecart avec numérique</t>
  </si>
  <si>
    <t>Outil de comparaison avec le prix en impression numérique</t>
  </si>
  <si>
    <r>
      <t xml:space="preserve">Prix papier intérieur au kg
</t>
    </r>
    <r>
      <rPr>
        <b/>
        <sz val="12"/>
        <color rgb="FFFF0000"/>
        <rFont val="Calibri"/>
        <family val="2"/>
        <scheme val="minor"/>
      </rPr>
      <t>Hors fichier IMB (choisir "Autre" en A7)</t>
    </r>
  </si>
  <si>
    <r>
      <t xml:space="preserve">Prix papier couverture au kg
</t>
    </r>
    <r>
      <rPr>
        <b/>
        <sz val="12"/>
        <color rgb="FFFF0000"/>
        <rFont val="Calibri"/>
        <family val="2"/>
        <scheme val="minor"/>
      </rPr>
      <t>Hors fichier IMB (choisir "Autre" en B7)</t>
    </r>
  </si>
  <si>
    <t>Prix de vente final</t>
  </si>
  <si>
    <t>Prix Hors TAXE hors livraisons</t>
  </si>
  <si>
    <t>Prix Papier et Clic x 1,50 / Marge net en E20</t>
  </si>
  <si>
    <t>Type pelliculage</t>
  </si>
  <si>
    <t>Mise en cartons</t>
  </si>
  <si>
    <t>Prix OFFSET</t>
  </si>
  <si>
    <t>Prix NUMERIQUE</t>
  </si>
  <si>
    <t>Format</t>
  </si>
  <si>
    <t>Dossier technique en OFFSET</t>
  </si>
  <si>
    <t>Format papier int</t>
  </si>
  <si>
    <t>Format papier couv</t>
  </si>
  <si>
    <t>Prix plaques int</t>
  </si>
  <si>
    <t>Prix plaques couv</t>
  </si>
  <si>
    <t>Nb plaques couv</t>
  </si>
  <si>
    <t>Nb plaques int</t>
  </si>
  <si>
    <t>Prix calages</t>
  </si>
  <si>
    <t>Nb calages</t>
  </si>
  <si>
    <t>Prix roule</t>
  </si>
  <si>
    <t>Nb 1000 de roule</t>
  </si>
  <si>
    <t>Nb de cahiers</t>
  </si>
  <si>
    <t>Détails cahiers</t>
  </si>
  <si>
    <t>Prix façonnage</t>
  </si>
  <si>
    <t>Prix pelliculage</t>
  </si>
  <si>
    <t>Prix cartons</t>
  </si>
  <si>
    <t>Prix mise sous film</t>
  </si>
  <si>
    <t>Vérifier ligne (écrire numéro de ligne en dessous)</t>
  </si>
  <si>
    <t>Projet dépliant numérique</t>
  </si>
  <si>
    <t>X_LARGEUR</t>
  </si>
  <si>
    <t>X_HAUTEUR</t>
  </si>
  <si>
    <t>Nb de f passe couv</t>
  </si>
  <si>
    <t xml:space="preserve">Nb de f couv </t>
  </si>
  <si>
    <t>Nb de f passe int.</t>
  </si>
  <si>
    <t>Prix papier intérieur hors marge</t>
  </si>
  <si>
    <t>Marge sur papier couv</t>
  </si>
  <si>
    <t>Marge sur papier int</t>
  </si>
  <si>
    <t>Nb de f interieur</t>
  </si>
  <si>
    <t xml:space="preserve">Prix papier couv </t>
  </si>
  <si>
    <t>Nom de l'ouvrage</t>
  </si>
  <si>
    <t>Impression int</t>
  </si>
  <si>
    <t>Impression couv</t>
  </si>
  <si>
    <t>Pages int</t>
  </si>
  <si>
    <t>Pages couv</t>
  </si>
  <si>
    <t>Papier int</t>
  </si>
  <si>
    <t>Grammage int</t>
  </si>
  <si>
    <t>Papier couv</t>
  </si>
  <si>
    <t>Grammage couv</t>
  </si>
  <si>
    <t>2×32 + 1×12</t>
  </si>
  <si>
    <t>15x21</t>
  </si>
  <si>
    <t>Marge % OFFSET</t>
  </si>
  <si>
    <t>Marge % NUM</t>
  </si>
  <si>
    <r>
      <t xml:space="preserve">Caractéristiques et prix </t>
    </r>
    <r>
      <rPr>
        <b/>
        <u/>
        <sz val="16"/>
        <color rgb="FFFF0000"/>
        <rFont val="Calibri"/>
        <family val="2"/>
        <scheme val="minor"/>
      </rPr>
      <t>(ATTENTION DE BIEN RESPECTER LES REGLES DE L'ONGLET "Tableau OFFSET")</t>
    </r>
  </si>
  <si>
    <t>Flyer/Poster</t>
  </si>
  <si>
    <t>Calage plieuse</t>
  </si>
  <si>
    <t>Format 2</t>
  </si>
  <si>
    <t>Format 3</t>
  </si>
  <si>
    <t>Grammage papier</t>
  </si>
  <si>
    <t>Type papier</t>
  </si>
  <si>
    <t>Ref. produit</t>
  </si>
  <si>
    <t>Format ouvert
Ne pas remplir</t>
  </si>
  <si>
    <t>Nombre de plis 1</t>
  </si>
  <si>
    <t>Nombre de plis 2</t>
  </si>
  <si>
    <t>Format fini (max 32x48)</t>
  </si>
  <si>
    <t>Poses possibles</t>
  </si>
  <si>
    <t>Nombre de modèles</t>
  </si>
  <si>
    <t xml:space="preserve">Format papier choisi </t>
  </si>
  <si>
    <t>Nombre de formes nécessaires</t>
  </si>
  <si>
    <t>Papier poids et prix</t>
  </si>
  <si>
    <t>Dossier technique en OFFSET pour les dépliants et flyers</t>
  </si>
  <si>
    <t>Prix papier hors marge</t>
  </si>
  <si>
    <t>Marge sur papier</t>
  </si>
  <si>
    <t>Feuilles hors passe</t>
  </si>
  <si>
    <t>Passe feuilles</t>
  </si>
  <si>
    <t>Format papier offset</t>
  </si>
  <si>
    <t>Prix plaques</t>
  </si>
  <si>
    <t>Nombre plaques</t>
  </si>
  <si>
    <t>Nombre calages</t>
  </si>
  <si>
    <t>Quantité par modèle</t>
  </si>
  <si>
    <t>Formes</t>
  </si>
  <si>
    <t>Gâche %</t>
  </si>
  <si>
    <t>Gâche papier  lié à l'imposition</t>
  </si>
  <si>
    <t>Grammage couverture</t>
  </si>
  <si>
    <t>Coût livraison (manuel)</t>
  </si>
  <si>
    <t>1 035 €</t>
  </si>
  <si>
    <t>1 365 €</t>
  </si>
  <si>
    <t>Nombre de boîte cristal</t>
  </si>
  <si>
    <t>Modèles (Quantité / Modèles)</t>
  </si>
  <si>
    <t>Cout fixe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</si>
</sst>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 &quot;€&quot;;[Red]\-#,##0\ &quot;€&quot;"/>
    <numFmt numFmtId="165" formatCode="#,##0.00\ &quot;€&quot;;\-#,##0.00\ &quot;€&quot;"/>
    <numFmt numFmtId="166" formatCode="#,##0.00\ &quot;€&quot;;[Red]\-#,##0.00\ &quot;€&quot;"/>
    <numFmt numFmtId="167" formatCode="_-* #,##0.00\ &quot;€&quot;_-;\-* #,##0.00\ &quot;€&quot;_-;_-* &quot;-&quot;??\ &quot;€&quot;_-;_-@_-"/>
    <numFmt numFmtId="168" formatCode="&quot;€&quot;#,##0_);[Red]\(&quot;€&quot;#,##0\)"/>
    <numFmt numFmtId="169" formatCode="&quot;€&quot;#,##0.00_);[Red]\(&quot;€&quot;#,##0.00\)"/>
    <numFmt numFmtId="170" formatCode="#,##0.00\ &quot;€&quot;"/>
    <numFmt numFmtId="171" formatCode="#,##0.0000\ &quot;€&quot;"/>
    <numFmt numFmtId="172" formatCode="#,##0.000\ &quot;€&quot;"/>
    <numFmt numFmtId="173" formatCode="#,##0.00\ \€"/>
    <numFmt numFmtId="174" formatCode="#,000\ \€"/>
  </numFmts>
  <fonts count="85">
    <font>
      <sz val="11"/>
      <color theme="1"/>
      <name val="Calibri"/>
      <family val="2"/>
      <scheme val="minor"/>
    </font>
    <font>
      <b/>
      <sz val="11"/>
      <color theme="1"/>
      <name val="Calibri"/>
      <family val="2"/>
      <scheme val="minor"/>
    </font>
    <font>
      <b/>
      <u/>
      <sz val="11"/>
      <color theme="1"/>
      <name val="Calibri"/>
      <family val="2"/>
      <scheme val="minor"/>
    </font>
    <font>
      <b/>
      <sz val="10"/>
      <color theme="1"/>
      <name val="Calibri"/>
      <family val="2"/>
      <scheme val="minor"/>
    </font>
    <font>
      <u/>
      <sz val="11"/>
      <color theme="1"/>
      <name val="Calibri"/>
      <family val="2"/>
      <scheme val="minor"/>
    </font>
    <font>
      <sz val="11"/>
      <name val="Calibri"/>
      <family val="2"/>
      <scheme val="minor"/>
    </font>
    <font>
      <b/>
      <u/>
      <sz val="11"/>
      <color rgb="FFFF0000"/>
      <name val="Calibri"/>
      <family val="2"/>
      <scheme val="minor"/>
    </font>
    <font>
      <b/>
      <i/>
      <sz val="11"/>
      <color theme="1"/>
      <name val="Calibri"/>
      <family val="2"/>
      <scheme val="minor"/>
    </font>
    <font>
      <b/>
      <sz val="11"/>
      <color rgb="FF002060"/>
      <name val="Calibri"/>
      <family val="2"/>
      <scheme val="minor"/>
    </font>
    <font>
      <b/>
      <sz val="11"/>
      <color rgb="FFFF0000"/>
      <name val="Calibri"/>
      <family val="2"/>
      <scheme val="minor"/>
    </font>
    <font>
      <b/>
      <sz val="12"/>
      <color theme="1"/>
      <name val="Calibri"/>
      <family val="2"/>
      <scheme val="minor"/>
    </font>
    <font>
      <b/>
      <u/>
      <sz val="16"/>
      <color theme="1"/>
      <name val="Calibri"/>
      <family val="2"/>
      <scheme val="minor"/>
    </font>
    <font>
      <b/>
      <u/>
      <sz val="14"/>
      <color rgb="FFFF0000"/>
      <name val="Calibri"/>
      <family val="2"/>
      <scheme val="minor"/>
    </font>
    <font>
      <i/>
      <sz val="11"/>
      <color theme="1"/>
      <name val="Calibri"/>
      <family val="2"/>
      <scheme val="minor"/>
    </font>
    <font>
      <sz val="11"/>
      <color rgb="FFFF0000"/>
      <name val="Calibri"/>
      <family val="2"/>
      <scheme val="minor"/>
    </font>
    <font>
      <i/>
      <sz val="12"/>
      <color theme="1"/>
      <name val="Calibri"/>
      <family val="2"/>
      <scheme val="minor"/>
    </font>
    <font>
      <b/>
      <u/>
      <sz val="11"/>
      <color rgb="FFFFFF00"/>
      <name val="Calibri"/>
      <family val="2"/>
      <scheme val="minor"/>
    </font>
    <font>
      <b/>
      <u/>
      <sz val="14"/>
      <color theme="1"/>
      <name val="Calibri"/>
      <family val="2"/>
      <scheme val="minor"/>
    </font>
    <font>
      <b/>
      <i/>
      <u/>
      <sz val="12"/>
      <color theme="1"/>
      <name val="Calibri"/>
      <family val="2"/>
      <scheme val="minor"/>
    </font>
    <font>
      <i/>
      <sz val="11"/>
      <name val="Calibri"/>
      <family val="2"/>
      <scheme val="minor"/>
    </font>
    <font>
      <b/>
      <sz val="9"/>
      <color theme="1"/>
      <name val="Calibri"/>
      <family val="2"/>
      <scheme val="minor"/>
    </font>
    <font>
      <b/>
      <i/>
      <sz val="11"/>
      <color rgb="FFFF0000"/>
      <name val="Calibri"/>
      <family val="2"/>
      <scheme val="minor"/>
    </font>
    <font>
      <b/>
      <sz val="9"/>
      <color rgb="FFFF0000"/>
      <name val="Calibri"/>
      <family val="2"/>
      <scheme val="minor"/>
    </font>
    <font>
      <b/>
      <sz val="11"/>
      <name val="Calibri"/>
      <family val="2"/>
      <scheme val="minor"/>
    </font>
    <font>
      <b/>
      <u/>
      <sz val="12"/>
      <color rgb="FFFF0000"/>
      <name val="Calibri"/>
      <family val="2"/>
      <scheme val="minor"/>
    </font>
    <font>
      <sz val="12"/>
      <color theme="1"/>
      <name val="Calibri"/>
      <family val="2"/>
      <scheme val="minor"/>
    </font>
    <font>
      <b/>
      <sz val="11"/>
      <color theme="0"/>
      <name val="Calibri"/>
      <family val="2"/>
      <scheme val="minor"/>
    </font>
    <font>
      <b/>
      <i/>
      <u/>
      <sz val="11"/>
      <color theme="0"/>
      <name val="Calibri"/>
      <family val="2"/>
      <scheme val="minor"/>
    </font>
    <font>
      <b/>
      <u/>
      <sz val="11"/>
      <color theme="0"/>
      <name val="Calibri"/>
      <family val="2"/>
      <scheme val="minor"/>
    </font>
    <font>
      <b/>
      <i/>
      <sz val="11"/>
      <color theme="0"/>
      <name val="Calibri"/>
      <family val="2"/>
      <scheme val="minor"/>
    </font>
    <font>
      <b/>
      <i/>
      <u/>
      <sz val="12"/>
      <color rgb="FFFF0000"/>
      <name val="Calibri"/>
      <family val="2"/>
      <scheme val="minor"/>
    </font>
    <font>
      <b/>
      <u/>
      <sz val="18"/>
      <color theme="1"/>
      <name val="Calibri"/>
      <family val="2"/>
      <scheme val="minor"/>
    </font>
    <font>
      <sz val="11"/>
      <color theme="0"/>
      <name val="Calibri"/>
      <family val="2"/>
      <scheme val="minor"/>
    </font>
    <font>
      <sz val="12"/>
      <color rgb="FF000000"/>
      <name val="Calibri"/>
      <family val="2"/>
      <scheme val="minor"/>
    </font>
    <font>
      <b/>
      <sz val="14"/>
      <color theme="1"/>
      <name val="Calibri"/>
      <family val="2"/>
      <scheme val="minor"/>
    </font>
    <font>
      <sz val="10"/>
      <name val="Arial"/>
      <family val="2"/>
    </font>
    <font>
      <sz val="10"/>
      <name val="Comic Sans MS"/>
      <family val="4"/>
    </font>
    <font>
      <i/>
      <sz val="10"/>
      <name val="Comic Sans MS"/>
      <family val="4"/>
    </font>
    <font>
      <b/>
      <sz val="11"/>
      <name val="Calibri"/>
      <family val="2"/>
    </font>
    <font>
      <b/>
      <i/>
      <u/>
      <sz val="11"/>
      <color theme="1"/>
      <name val="Calibri"/>
      <family val="2"/>
      <scheme val="minor"/>
    </font>
    <font>
      <b/>
      <u/>
      <sz val="16"/>
      <color rgb="FFC00000"/>
      <name val="Calibri"/>
      <family val="2"/>
      <scheme val="minor"/>
    </font>
    <font>
      <b/>
      <sz val="12"/>
      <color rgb="FFC00000"/>
      <name val="Calibri"/>
      <family val="2"/>
      <scheme val="minor"/>
    </font>
    <font>
      <b/>
      <u/>
      <sz val="12"/>
      <color rgb="FFC00000"/>
      <name val="Calibri"/>
      <family val="2"/>
      <scheme val="minor"/>
    </font>
    <font>
      <b/>
      <sz val="11"/>
      <color rgb="FFC00000"/>
      <name val="Calibri"/>
      <family val="2"/>
      <scheme val="minor"/>
    </font>
    <font>
      <b/>
      <i/>
      <u/>
      <sz val="22"/>
      <color rgb="FFFF0000"/>
      <name val="Calibri"/>
      <family val="2"/>
      <scheme val="minor"/>
    </font>
    <font>
      <b/>
      <sz val="16"/>
      <color rgb="FFFF0000"/>
      <name val="Calibri"/>
      <family val="2"/>
      <scheme val="minor"/>
    </font>
    <font>
      <sz val="14"/>
      <color theme="1"/>
      <name val="Calibri"/>
      <family val="2"/>
      <scheme val="minor"/>
    </font>
    <font>
      <sz val="11"/>
      <color rgb="FF9C0006"/>
      <name val="Calibri"/>
      <family val="2"/>
      <scheme val="minor"/>
    </font>
    <font>
      <i/>
      <sz val="10"/>
      <color rgb="FFFF0000"/>
      <name val="Calibri"/>
      <family val="2"/>
      <scheme val="minor"/>
    </font>
    <font>
      <b/>
      <sz val="12"/>
      <color rgb="FFFF0000"/>
      <name val="Calibri"/>
      <family val="2"/>
      <scheme val="minor"/>
    </font>
    <font>
      <i/>
      <sz val="10"/>
      <color theme="1"/>
      <name val="Calibri"/>
      <family val="2"/>
      <scheme val="minor"/>
    </font>
    <font>
      <sz val="10"/>
      <color theme="1"/>
      <name val="Arial Unicode MS"/>
    </font>
    <font>
      <sz val="20"/>
      <color rgb="FFFF0000"/>
      <name val="Calibri"/>
      <family val="2"/>
      <scheme val="minor"/>
    </font>
    <font>
      <i/>
      <u/>
      <sz val="11"/>
      <color theme="1"/>
      <name val="Calibri"/>
      <family val="2"/>
      <scheme val="minor"/>
    </font>
    <font>
      <sz val="11"/>
      <color rgb="FFFFFFFF"/>
      <name val="Trebuchet MS"/>
      <family val="2"/>
    </font>
    <font>
      <sz val="12"/>
      <name val="Trebuchet MS"/>
      <family val="2"/>
    </font>
    <font>
      <b/>
      <i/>
      <u/>
      <sz val="14"/>
      <color theme="1"/>
      <name val="Calibri"/>
      <family val="2"/>
      <scheme val="minor"/>
    </font>
    <font>
      <b/>
      <i/>
      <u/>
      <sz val="14"/>
      <color rgb="FFFF0000"/>
      <name val="Calibri"/>
      <family val="2"/>
      <scheme val="minor"/>
    </font>
    <font>
      <b/>
      <u/>
      <sz val="22"/>
      <color rgb="FFFF0000"/>
      <name val="Calibri"/>
      <family val="2"/>
      <scheme val="minor"/>
    </font>
    <font>
      <b/>
      <u/>
      <sz val="11"/>
      <color rgb="FFC00000"/>
      <name val="Calibri"/>
      <family val="2"/>
      <scheme val="minor"/>
    </font>
    <font>
      <sz val="8"/>
      <name val="Calibri"/>
      <family val="2"/>
      <scheme val="minor"/>
    </font>
    <font>
      <b/>
      <sz val="14"/>
      <color rgb="FFFF0000"/>
      <name val="Calibri"/>
      <family val="2"/>
      <scheme val="minor"/>
    </font>
    <font>
      <sz val="11"/>
      <color rgb="FF000000"/>
      <name val="Calibri"/>
      <family val="2"/>
    </font>
    <font>
      <b/>
      <sz val="10"/>
      <name val="Arial"/>
      <family val="2"/>
    </font>
    <font>
      <sz val="10"/>
      <name val="Arial"/>
      <family val="2"/>
    </font>
    <font>
      <sz val="12"/>
      <name val="Comic Sans MS"/>
      <family val="4"/>
    </font>
    <font>
      <sz val="10"/>
      <color indexed="56"/>
      <name val="Comic Sans MS"/>
      <family val="4"/>
    </font>
    <font>
      <sz val="12"/>
      <color indexed="56"/>
      <name val="Comic Sans MS"/>
      <family val="4"/>
    </font>
    <font>
      <sz val="12"/>
      <color indexed="56"/>
      <name val="Arial"/>
      <family val="2"/>
    </font>
    <font>
      <sz val="10"/>
      <color indexed="12"/>
      <name val="Comic Sans MS"/>
      <family val="4"/>
    </font>
    <font>
      <sz val="10"/>
      <color indexed="12"/>
      <name val="Arial"/>
      <family val="2"/>
    </font>
    <font>
      <b/>
      <sz val="18"/>
      <color rgb="FFFF0000"/>
      <name val="Calibri"/>
      <family val="2"/>
      <scheme val="minor"/>
    </font>
    <font>
      <b/>
      <i/>
      <u/>
      <sz val="16"/>
      <color rgb="FFFF0000"/>
      <name val="Calibri"/>
      <family val="2"/>
      <scheme val="minor"/>
    </font>
    <font>
      <b/>
      <i/>
      <u/>
      <sz val="18"/>
      <color rgb="FFFF0000"/>
      <name val="Calibri"/>
      <family val="2"/>
      <scheme val="minor"/>
    </font>
    <font>
      <sz val="12"/>
      <color rgb="FFFF0000"/>
      <name val="Calibri"/>
      <family val="2"/>
      <scheme val="minor"/>
    </font>
    <font>
      <b/>
      <sz val="16"/>
      <color rgb="FFC00000"/>
      <name val="Calibri"/>
      <family val="2"/>
      <scheme val="minor"/>
    </font>
    <font>
      <b/>
      <sz val="14"/>
      <color rgb="FF000000"/>
      <name val="Calibri"/>
      <family val="2"/>
    </font>
    <font>
      <u/>
      <sz val="11"/>
      <color theme="10"/>
      <name val="Calibri"/>
      <family val="2"/>
      <scheme val="minor"/>
    </font>
    <font>
      <u/>
      <sz val="11"/>
      <color rgb="FFFF0000"/>
      <name val="Calibri"/>
      <family val="2"/>
      <scheme val="minor"/>
    </font>
    <font>
      <sz val="11"/>
      <color rgb="FFFFFF00"/>
      <name val="Calibri"/>
      <family val="2"/>
      <scheme val="minor"/>
    </font>
    <font>
      <b/>
      <sz val="12"/>
      <color rgb="FFFFFF00"/>
      <name val="Calibri"/>
      <family val="2"/>
      <scheme val="minor"/>
    </font>
    <font>
      <b/>
      <sz val="11"/>
      <color rgb="FFFFFF00"/>
      <name val="Calibri"/>
      <family val="2"/>
      <scheme val="minor"/>
    </font>
    <font>
      <b/>
      <sz val="11"/>
      <color rgb="FF000000"/>
      <name val="Calibri"/>
      <family val="2"/>
      <scheme val="minor"/>
    </font>
    <font>
      <b/>
      <u/>
      <sz val="16"/>
      <color rgb="FFFF0000"/>
      <name val="Calibri"/>
      <family val="2"/>
      <scheme val="minor"/>
    </font>
    <font>
      <b/>
      <u/>
      <sz val="11"/>
      <name val="Calibri"/>
      <family val="2"/>
      <scheme val="minor"/>
    </font>
  </fonts>
  <fills count="43">
    <fill>
      <patternFill patternType="none"/>
    </fill>
    <fill>
      <patternFill patternType="gray125"/>
    </fill>
    <fill>
      <patternFill patternType="solid">
        <fgColor theme="0" tint="-0.249977111117893"/>
        <bgColor indexed="64"/>
      </patternFill>
    </fill>
    <fill>
      <patternFill patternType="solid">
        <fgColor rgb="FF00B05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1"/>
        <bgColor indexed="64"/>
      </patternFill>
    </fill>
    <fill>
      <patternFill patternType="solid">
        <fgColor theme="0"/>
        <bgColor indexed="64"/>
      </patternFill>
    </fill>
    <fill>
      <patternFill patternType="solid">
        <fgColor theme="5" tint="0.59999389629810485"/>
        <bgColor indexed="64"/>
      </patternFill>
    </fill>
    <fill>
      <patternFill patternType="solid">
        <fgColor rgb="FF0070C0"/>
        <bgColor indexed="64"/>
      </patternFill>
    </fill>
    <fill>
      <patternFill patternType="solid">
        <fgColor rgb="FFFF0000"/>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8"/>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C7CE"/>
      </patternFill>
    </fill>
    <fill>
      <patternFill patternType="solid">
        <fgColor rgb="FF006B77"/>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rgb="FF00B0F0"/>
        <bgColor indexed="64"/>
      </patternFill>
    </fill>
    <fill>
      <patternFill patternType="solid">
        <fgColor theme="5"/>
        <bgColor indexed="64"/>
      </patternFill>
    </fill>
    <fill>
      <patternFill patternType="solid">
        <fgColor rgb="FFE7919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right/>
      <top/>
      <bottom style="thin">
        <color indexed="64"/>
      </bottom>
      <diagonal/>
    </border>
    <border>
      <left/>
      <right style="dashed">
        <color theme="0" tint="-0.24994659260841701"/>
      </right>
      <top style="dashed">
        <color theme="0" tint="-0.24994659260841701"/>
      </top>
      <bottom/>
      <diagonal/>
    </border>
    <border>
      <left style="dashed">
        <color rgb="FFBFBFBF"/>
      </left>
      <right/>
      <top style="dashed">
        <color rgb="FFBFBFBF"/>
      </top>
      <bottom style="dashed">
        <color rgb="FFBFBFBF"/>
      </bottom>
      <diagonal/>
    </border>
    <border>
      <left style="medium">
        <color rgb="FFFFFFFF"/>
      </left>
      <right style="dashed">
        <color rgb="FFBFBFBF"/>
      </right>
      <top style="dashed">
        <color rgb="FFBFBFBF"/>
      </top>
      <bottom style="dashed">
        <color rgb="FFBFBFBF"/>
      </bottom>
      <diagonal/>
    </border>
    <border>
      <left/>
      <right/>
      <top style="dashed">
        <color rgb="FFBFBFBF"/>
      </top>
      <bottom/>
      <diagonal/>
    </border>
    <border>
      <left style="dashed">
        <color theme="0" tint="-0.24994659260841701"/>
      </left>
      <right style="dashed">
        <color theme="0" tint="-0.24994659260841701"/>
      </right>
      <top style="dashed">
        <color theme="0" tint="-0.24994659260841701"/>
      </top>
      <bottom/>
      <diagonal/>
    </border>
    <border>
      <left style="dashed">
        <color theme="0" tint="-0.24994659260841701"/>
      </left>
      <right/>
      <top style="dashed">
        <color theme="0" tint="-0.24994659260841701"/>
      </top>
      <bottom/>
      <diagonal/>
    </border>
    <border>
      <left style="dashed">
        <color theme="0" tint="-0.24994659260841701"/>
      </left>
      <right style="medium">
        <color rgb="FFFFFFFF"/>
      </right>
      <top style="dashed">
        <color theme="0" tint="-0.24994659260841701"/>
      </top>
      <bottom/>
      <diagonal/>
    </border>
    <border>
      <left style="dashed">
        <color theme="0" tint="-0.24994659260841701"/>
      </left>
      <right style="dashed">
        <color theme="0" tint="-0.24994659260841701"/>
      </right>
      <top/>
      <bottom/>
      <diagonal/>
    </border>
    <border>
      <left style="dashed">
        <color theme="0" tint="-0.24994659260841701"/>
      </left>
      <right/>
      <top/>
      <bottom/>
      <diagonal/>
    </border>
    <border>
      <left style="dashed">
        <color theme="0" tint="-0.24994659260841701"/>
      </left>
      <right style="medium">
        <color rgb="FFFFFFFF"/>
      </right>
      <top/>
      <bottom/>
      <diagonal/>
    </border>
    <border>
      <left/>
      <right style="dashed">
        <color theme="0" tint="-0.24994659260841701"/>
      </right>
      <top/>
      <bottom/>
      <diagonal/>
    </border>
    <border>
      <left style="dashed">
        <color theme="0" tint="-0.24994659260841701"/>
      </left>
      <right/>
      <top/>
      <bottom style="dashed">
        <color rgb="FFBFBFBF"/>
      </bottom>
      <diagonal/>
    </border>
    <border>
      <left style="medium">
        <color rgb="FFFFFFFF"/>
      </left>
      <right style="dashed">
        <color theme="0" tint="-0.24994659260841701"/>
      </right>
      <top/>
      <bottom style="dashed">
        <color rgb="FFBFBFBF"/>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bottom/>
      <diagonal/>
    </border>
    <border>
      <left/>
      <right style="medium">
        <color indexed="64"/>
      </right>
      <top/>
      <bottom style="thin">
        <color indexed="64"/>
      </bottom>
      <diagonal/>
    </border>
  </borders>
  <cellStyleXfs count="5">
    <xf numFmtId="0" fontId="0" fillId="0" borderId="0"/>
    <xf numFmtId="0" fontId="35" fillId="0" borderId="0"/>
    <xf numFmtId="0" fontId="47" fillId="32" borderId="0" applyNumberFormat="0" applyBorder="0" applyAlignment="0" applyProtection="0"/>
    <xf numFmtId="0" fontId="64" fillId="0" borderId="0"/>
    <xf numFmtId="0" fontId="77" fillId="0" borderId="0" applyNumberFormat="0" applyFill="0" applyBorder="0" applyAlignment="0" applyProtection="0"/>
  </cellStyleXfs>
  <cellXfs count="843">
    <xf numFmtId="0" fontId="0" fillId="0" borderId="0" xfId="0"/>
    <xf numFmtId="0" fontId="0" fillId="0" borderId="1" xfId="0" applyBorder="1"/>
    <xf numFmtId="0" fontId="1" fillId="0" borderId="1" xfId="0" applyFont="1" applyBorder="1"/>
    <xf numFmtId="0" fontId="1" fillId="0" borderId="0" xfId="0" applyFont="1" applyAlignment="1">
      <alignment horizontal="center"/>
    </xf>
    <xf numFmtId="171" fontId="0" fillId="0" borderId="0" xfId="0" applyNumberFormat="1"/>
    <xf numFmtId="170" fontId="0" fillId="0" borderId="0" xfId="0" applyNumberFormat="1"/>
    <xf numFmtId="0" fontId="0" fillId="4" borderId="1" xfId="0" applyFill="1" applyBorder="1"/>
    <xf numFmtId="0" fontId="2" fillId="9" borderId="1" xfId="0" applyFont="1" applyFill="1" applyBorder="1" applyAlignment="1">
      <alignment horizontal="center" vertical="center" wrapText="1"/>
    </xf>
    <xf numFmtId="170" fontId="10" fillId="0" borderId="1" xfId="0" applyNumberFormat="1" applyFont="1" applyBorder="1" applyAlignment="1">
      <alignment horizontal="center"/>
    </xf>
    <xf numFmtId="0" fontId="8" fillId="0" borderId="0" xfId="0" applyFont="1"/>
    <xf numFmtId="170" fontId="10" fillId="0" borderId="2" xfId="0" applyNumberFormat="1" applyFont="1" applyBorder="1" applyAlignment="1">
      <alignment horizontal="center"/>
    </xf>
    <xf numFmtId="0" fontId="2" fillId="0" borderId="1" xfId="0" applyFont="1" applyBorder="1"/>
    <xf numFmtId="0" fontId="2" fillId="10" borderId="1" xfId="0" applyFont="1" applyFill="1" applyBorder="1"/>
    <xf numFmtId="170" fontId="11" fillId="0" borderId="1" xfId="0" applyNumberFormat="1" applyFont="1" applyBorder="1" applyAlignment="1">
      <alignment horizontal="center"/>
    </xf>
    <xf numFmtId="0" fontId="12" fillId="0" borderId="4" xfId="0" applyFont="1" applyBorder="1"/>
    <xf numFmtId="169" fontId="0" fillId="0" borderId="1" xfId="0" applyNumberFormat="1" applyBorder="1"/>
    <xf numFmtId="0" fontId="6" fillId="0" borderId="1" xfId="0" applyFont="1" applyBorder="1"/>
    <xf numFmtId="0" fontId="2" fillId="9" borderId="2" xfId="0" applyFont="1" applyFill="1" applyBorder="1" applyAlignment="1">
      <alignment horizontal="center" vertical="center" wrapText="1"/>
    </xf>
    <xf numFmtId="170" fontId="11" fillId="0" borderId="2" xfId="0" applyNumberFormat="1" applyFont="1" applyBorder="1" applyAlignment="1">
      <alignment horizontal="center"/>
    </xf>
    <xf numFmtId="0" fontId="1" fillId="5" borderId="1" xfId="0" applyFont="1" applyFill="1" applyBorder="1" applyAlignment="1">
      <alignment horizontal="left" vertical="center"/>
    </xf>
    <xf numFmtId="0" fontId="2" fillId="2" borderId="1" xfId="0" applyFont="1" applyFill="1" applyBorder="1" applyAlignment="1">
      <alignment horizontal="center" wrapText="1"/>
    </xf>
    <xf numFmtId="0" fontId="2" fillId="2" borderId="1" xfId="0" applyFont="1" applyFill="1" applyBorder="1" applyAlignment="1">
      <alignment horizontal="center" vertical="top"/>
    </xf>
    <xf numFmtId="171" fontId="0" fillId="0" borderId="1" xfId="0" applyNumberFormat="1" applyBorder="1"/>
    <xf numFmtId="0" fontId="4" fillId="2" borderId="1" xfId="0" applyFont="1" applyFill="1" applyBorder="1"/>
    <xf numFmtId="0" fontId="3" fillId="0" borderId="0" xfId="0" applyFont="1"/>
    <xf numFmtId="0" fontId="0" fillId="0" borderId="0" xfId="0" applyAlignment="1">
      <alignment horizontal="right"/>
    </xf>
    <xf numFmtId="0" fontId="6" fillId="0" borderId="0" xfId="0" applyFont="1" applyAlignment="1">
      <alignment horizontal="center"/>
    </xf>
    <xf numFmtId="10" fontId="9" fillId="0" borderId="0" xfId="0" applyNumberFormat="1" applyFont="1" applyAlignment="1">
      <alignment horizontal="center"/>
    </xf>
    <xf numFmtId="170" fontId="19" fillId="8" borderId="14" xfId="0" applyNumberFormat="1" applyFont="1" applyFill="1" applyBorder="1" applyAlignment="1">
      <alignment horizontal="center"/>
    </xf>
    <xf numFmtId="170" fontId="19" fillId="8" borderId="3" xfId="0" applyNumberFormat="1" applyFont="1" applyFill="1" applyBorder="1" applyAlignment="1">
      <alignment horizontal="center"/>
    </xf>
    <xf numFmtId="170" fontId="19" fillId="8" borderId="17" xfId="0" applyNumberFormat="1" applyFont="1" applyFill="1" applyBorder="1" applyAlignment="1">
      <alignment horizontal="center"/>
    </xf>
    <xf numFmtId="170" fontId="5" fillId="11" borderId="20" xfId="0" applyNumberFormat="1" applyFont="1" applyFill="1" applyBorder="1" applyAlignment="1">
      <alignment horizontal="center"/>
    </xf>
    <xf numFmtId="170" fontId="5" fillId="5" borderId="20" xfId="0" applyNumberFormat="1" applyFont="1" applyFill="1" applyBorder="1" applyAlignment="1">
      <alignment horizontal="center"/>
    </xf>
    <xf numFmtId="170" fontId="5" fillId="14" borderId="20" xfId="0" applyNumberFormat="1" applyFont="1" applyFill="1" applyBorder="1" applyAlignment="1">
      <alignment horizontal="center"/>
    </xf>
    <xf numFmtId="0" fontId="0" fillId="0" borderId="12" xfId="0" applyBorder="1"/>
    <xf numFmtId="0" fontId="16" fillId="0" borderId="0" xfId="0" applyFont="1" applyAlignment="1">
      <alignment horizontal="center"/>
    </xf>
    <xf numFmtId="0" fontId="0" fillId="0" borderId="32" xfId="0" applyBorder="1"/>
    <xf numFmtId="0" fontId="2" fillId="7" borderId="27" xfId="0" applyFont="1" applyFill="1" applyBorder="1" applyAlignment="1">
      <alignment horizontal="center"/>
    </xf>
    <xf numFmtId="0" fontId="2" fillId="7" borderId="15" xfId="0" applyFont="1" applyFill="1" applyBorder="1" applyAlignment="1">
      <alignment horizontal="center"/>
    </xf>
    <xf numFmtId="0" fontId="0" fillId="0" borderId="33" xfId="0" applyBorder="1"/>
    <xf numFmtId="0" fontId="8" fillId="0" borderId="33" xfId="0" applyFont="1" applyBorder="1"/>
    <xf numFmtId="0" fontId="0" fillId="16" borderId="44" xfId="0" applyFill="1" applyBorder="1"/>
    <xf numFmtId="0" fontId="0" fillId="16" borderId="33" xfId="0" applyFill="1" applyBorder="1"/>
    <xf numFmtId="0" fontId="0" fillId="16" borderId="36" xfId="0" applyFill="1" applyBorder="1"/>
    <xf numFmtId="0" fontId="2" fillId="7" borderId="27" xfId="0" applyFont="1" applyFill="1" applyBorder="1" applyAlignment="1">
      <alignment horizontal="center" vertical="center"/>
    </xf>
    <xf numFmtId="0" fontId="2" fillId="7" borderId="18" xfId="0" applyFont="1" applyFill="1" applyBorder="1" applyAlignment="1">
      <alignment horizontal="center" vertical="center"/>
    </xf>
    <xf numFmtId="170" fontId="19" fillId="8" borderId="43" xfId="0" applyNumberFormat="1" applyFont="1" applyFill="1" applyBorder="1" applyAlignment="1">
      <alignment horizontal="center"/>
    </xf>
    <xf numFmtId="4" fontId="5" fillId="11" borderId="19" xfId="0" applyNumberFormat="1" applyFont="1" applyFill="1" applyBorder="1" applyAlignment="1">
      <alignment horizontal="center"/>
    </xf>
    <xf numFmtId="170" fontId="0" fillId="0" borderId="1" xfId="0" applyNumberFormat="1" applyBorder="1"/>
    <xf numFmtId="0" fontId="1" fillId="4" borderId="1" xfId="0" applyFont="1" applyFill="1" applyBorder="1" applyAlignment="1">
      <alignment horizontal="center"/>
    </xf>
    <xf numFmtId="0" fontId="0" fillId="4" borderId="1" xfId="0" applyFill="1" applyBorder="1" applyAlignment="1">
      <alignment horizontal="center"/>
    </xf>
    <xf numFmtId="0" fontId="0" fillId="4" borderId="38" xfId="0" applyFill="1" applyBorder="1"/>
    <xf numFmtId="0" fontId="0" fillId="4" borderId="38" xfId="0" applyFill="1" applyBorder="1" applyAlignment="1">
      <alignment horizontal="right"/>
    </xf>
    <xf numFmtId="0" fontId="0" fillId="4" borderId="19" xfId="0" applyFill="1" applyBorder="1"/>
    <xf numFmtId="170" fontId="0" fillId="0" borderId="39" xfId="0" applyNumberFormat="1" applyBorder="1"/>
    <xf numFmtId="170" fontId="0" fillId="0" borderId="21" xfId="0" applyNumberFormat="1" applyBorder="1"/>
    <xf numFmtId="0" fontId="2" fillId="4" borderId="40" xfId="0" applyFont="1" applyFill="1" applyBorder="1" applyAlignment="1">
      <alignment horizontal="right"/>
    </xf>
    <xf numFmtId="0" fontId="20" fillId="4" borderId="42" xfId="0" applyFont="1" applyFill="1" applyBorder="1" applyAlignment="1">
      <alignment horizontal="right"/>
    </xf>
    <xf numFmtId="171" fontId="0" fillId="0" borderId="39" xfId="0" applyNumberFormat="1" applyBorder="1"/>
    <xf numFmtId="0" fontId="2" fillId="4" borderId="40" xfId="0" applyFont="1" applyFill="1" applyBorder="1" applyAlignment="1">
      <alignment horizontal="right" wrapText="1"/>
    </xf>
    <xf numFmtId="171" fontId="0" fillId="0" borderId="39" xfId="0" applyNumberFormat="1" applyBorder="1" applyAlignment="1">
      <alignment horizontal="right" vertical="center"/>
    </xf>
    <xf numFmtId="170" fontId="0" fillId="0" borderId="21" xfId="0" applyNumberFormat="1" applyBorder="1" applyAlignment="1">
      <alignment horizontal="right" vertical="center"/>
    </xf>
    <xf numFmtId="0" fontId="13" fillId="14" borderId="5" xfId="0" applyFont="1" applyFill="1" applyBorder="1" applyAlignment="1">
      <alignment horizontal="right" vertical="center" wrapText="1"/>
    </xf>
    <xf numFmtId="0" fontId="2" fillId="14" borderId="11" xfId="0" applyFont="1" applyFill="1" applyBorder="1" applyAlignment="1">
      <alignment horizontal="center" vertical="center" wrapText="1"/>
    </xf>
    <xf numFmtId="0" fontId="6" fillId="4" borderId="42" xfId="0" applyFont="1" applyFill="1" applyBorder="1" applyAlignment="1">
      <alignment horizontal="right"/>
    </xf>
    <xf numFmtId="0" fontId="21" fillId="4" borderId="42" xfId="0" applyFont="1" applyFill="1" applyBorder="1"/>
    <xf numFmtId="0" fontId="1" fillId="4" borderId="25" xfId="0" applyFont="1" applyFill="1" applyBorder="1" applyAlignment="1">
      <alignment horizontal="center"/>
    </xf>
    <xf numFmtId="170" fontId="0" fillId="0" borderId="20" xfId="0" applyNumberFormat="1" applyBorder="1"/>
    <xf numFmtId="0" fontId="1" fillId="4" borderId="40" xfId="0" applyFont="1" applyFill="1" applyBorder="1" applyAlignment="1">
      <alignment horizontal="center"/>
    </xf>
    <xf numFmtId="168" fontId="1" fillId="7" borderId="50" xfId="0" applyNumberFormat="1" applyFont="1" applyFill="1" applyBorder="1" applyAlignment="1">
      <alignment horizontal="center"/>
    </xf>
    <xf numFmtId="170" fontId="5" fillId="14" borderId="47" xfId="0" applyNumberFormat="1" applyFont="1" applyFill="1" applyBorder="1" applyAlignment="1">
      <alignment horizontal="center"/>
    </xf>
    <xf numFmtId="0" fontId="0" fillId="14" borderId="51" xfId="0" applyFill="1" applyBorder="1" applyAlignment="1">
      <alignment horizontal="left" vertical="center"/>
    </xf>
    <xf numFmtId="0" fontId="5" fillId="14" borderId="47" xfId="0" applyFont="1" applyFill="1" applyBorder="1" applyAlignment="1">
      <alignment horizontal="center"/>
    </xf>
    <xf numFmtId="170" fontId="0" fillId="8" borderId="38" xfId="0" applyNumberFormat="1" applyFill="1" applyBorder="1" applyAlignment="1">
      <alignment horizontal="center"/>
    </xf>
    <xf numFmtId="170" fontId="0" fillId="8" borderId="39" xfId="0" applyNumberFormat="1" applyFill="1" applyBorder="1" applyAlignment="1">
      <alignment horizontal="center"/>
    </xf>
    <xf numFmtId="0" fontId="2" fillId="2" borderId="1" xfId="0" applyFont="1" applyFill="1" applyBorder="1" applyAlignment="1">
      <alignment horizontal="center"/>
    </xf>
    <xf numFmtId="170" fontId="11" fillId="0" borderId="54" xfId="0" applyNumberFormat="1" applyFont="1" applyBorder="1" applyAlignment="1">
      <alignment horizontal="center"/>
    </xf>
    <xf numFmtId="0" fontId="5" fillId="0" borderId="1" xfId="0" applyFont="1" applyBorder="1" applyAlignment="1">
      <alignment horizontal="right"/>
    </xf>
    <xf numFmtId="0" fontId="1" fillId="5" borderId="1" xfId="0" applyFont="1" applyFill="1" applyBorder="1" applyAlignment="1">
      <alignment horizontal="left" vertical="center" wrapText="1"/>
    </xf>
    <xf numFmtId="0" fontId="0" fillId="12" borderId="3" xfId="0" applyFill="1" applyBorder="1" applyAlignment="1">
      <alignment horizontal="center"/>
    </xf>
    <xf numFmtId="0" fontId="0" fillId="12" borderId="1" xfId="0" applyFill="1" applyBorder="1"/>
    <xf numFmtId="0" fontId="0" fillId="12" borderId="3" xfId="0" applyFill="1" applyBorder="1"/>
    <xf numFmtId="0" fontId="1" fillId="12" borderId="3" xfId="0" applyFont="1" applyFill="1" applyBorder="1" applyAlignment="1">
      <alignment horizontal="center" vertical="center" wrapText="1"/>
    </xf>
    <xf numFmtId="0" fontId="1" fillId="12" borderId="1" xfId="0" applyFont="1" applyFill="1" applyBorder="1" applyAlignment="1">
      <alignment horizontal="left" vertical="center"/>
    </xf>
    <xf numFmtId="170" fontId="23" fillId="12" borderId="2" xfId="0" applyNumberFormat="1" applyFont="1" applyFill="1" applyBorder="1" applyAlignment="1">
      <alignment horizontal="center"/>
    </xf>
    <xf numFmtId="170" fontId="5" fillId="12" borderId="2" xfId="0" applyNumberFormat="1" applyFont="1" applyFill="1" applyBorder="1" applyAlignment="1">
      <alignment horizontal="center"/>
    </xf>
    <xf numFmtId="0" fontId="8" fillId="12" borderId="1" xfId="0" applyFont="1" applyFill="1" applyBorder="1" applyAlignment="1">
      <alignment horizontal="right"/>
    </xf>
    <xf numFmtId="0" fontId="8" fillId="12" borderId="1" xfId="0" applyFont="1" applyFill="1" applyBorder="1"/>
    <xf numFmtId="170" fontId="5" fillId="12" borderId="59" xfId="0" applyNumberFormat="1" applyFont="1" applyFill="1" applyBorder="1" applyAlignment="1">
      <alignment horizontal="center"/>
    </xf>
    <xf numFmtId="170" fontId="5" fillId="12" borderId="60" xfId="0" applyNumberFormat="1" applyFont="1" applyFill="1" applyBorder="1" applyAlignment="1">
      <alignment horizontal="center"/>
    </xf>
    <xf numFmtId="0" fontId="2" fillId="7" borderId="57" xfId="0" applyFont="1" applyFill="1" applyBorder="1" applyAlignment="1">
      <alignment horizontal="center"/>
    </xf>
    <xf numFmtId="170" fontId="14" fillId="13" borderId="18" xfId="0" applyNumberFormat="1" applyFont="1" applyFill="1" applyBorder="1" applyAlignment="1">
      <alignment horizontal="center"/>
    </xf>
    <xf numFmtId="0" fontId="0" fillId="16" borderId="0" xfId="0" applyFill="1"/>
    <xf numFmtId="170" fontId="0" fillId="16" borderId="0" xfId="0" applyNumberFormat="1" applyFill="1"/>
    <xf numFmtId="0" fontId="10" fillId="16" borderId="0" xfId="0" applyFont="1" applyFill="1" applyAlignment="1">
      <alignment horizontal="center"/>
    </xf>
    <xf numFmtId="0" fontId="25" fillId="0" borderId="0" xfId="0" applyFont="1"/>
    <xf numFmtId="0" fontId="25" fillId="16" borderId="0" xfId="0" applyFont="1" applyFill="1"/>
    <xf numFmtId="0" fontId="10" fillId="16" borderId="0" xfId="0" applyFont="1" applyFill="1"/>
    <xf numFmtId="170" fontId="25" fillId="16" borderId="0" xfId="0" applyNumberFormat="1" applyFont="1" applyFill="1"/>
    <xf numFmtId="0" fontId="18" fillId="0" borderId="0" xfId="0" applyFont="1" applyAlignment="1">
      <alignment horizontal="center" wrapText="1"/>
    </xf>
    <xf numFmtId="0" fontId="27" fillId="19" borderId="1" xfId="0" applyFont="1" applyFill="1" applyBorder="1"/>
    <xf numFmtId="0" fontId="26" fillId="19" borderId="1" xfId="0" applyFont="1" applyFill="1" applyBorder="1" applyAlignment="1">
      <alignment horizontal="center"/>
    </xf>
    <xf numFmtId="0" fontId="28" fillId="20" borderId="1" xfId="0" applyFont="1" applyFill="1" applyBorder="1" applyAlignment="1">
      <alignment horizontal="center"/>
    </xf>
    <xf numFmtId="170" fontId="28" fillId="20" borderId="1" xfId="0" applyNumberFormat="1" applyFont="1" applyFill="1" applyBorder="1" applyAlignment="1">
      <alignment horizontal="center"/>
    </xf>
    <xf numFmtId="166" fontId="0" fillId="0" borderId="1" xfId="0" applyNumberFormat="1" applyBorder="1"/>
    <xf numFmtId="0" fontId="0" fillId="21" borderId="1" xfId="0" applyFill="1" applyBorder="1" applyAlignment="1">
      <alignment horizontal="center"/>
    </xf>
    <xf numFmtId="0" fontId="29" fillId="22" borderId="0" xfId="0" applyFont="1" applyFill="1" applyAlignment="1">
      <alignment horizontal="center" vertical="center"/>
    </xf>
    <xf numFmtId="0" fontId="10"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7" xfId="0" applyFont="1" applyFill="1" applyBorder="1" applyAlignment="1">
      <alignment horizontal="center" vertical="center" wrapText="1"/>
    </xf>
    <xf numFmtId="0" fontId="25" fillId="0" borderId="1" xfId="0" applyFont="1" applyBorder="1" applyAlignment="1">
      <alignment horizontal="center" vertical="center"/>
    </xf>
    <xf numFmtId="170" fontId="25" fillId="0" borderId="8" xfId="0" applyNumberFormat="1" applyFont="1" applyBorder="1" applyAlignment="1" applyProtection="1">
      <alignment horizontal="center" vertical="center"/>
      <protection locked="0"/>
    </xf>
    <xf numFmtId="0" fontId="10" fillId="2" borderId="6" xfId="0" applyFont="1" applyFill="1" applyBorder="1" applyAlignment="1" applyProtection="1">
      <alignment horizontal="center" vertical="center" wrapText="1"/>
      <protection hidden="1"/>
    </xf>
    <xf numFmtId="0" fontId="10" fillId="2" borderId="7" xfId="0" applyFont="1" applyFill="1" applyBorder="1" applyAlignment="1" applyProtection="1">
      <alignment horizontal="center" vertical="center"/>
      <protection hidden="1"/>
    </xf>
    <xf numFmtId="0" fontId="25" fillId="0" borderId="7" xfId="0" applyFont="1" applyBorder="1" applyAlignment="1" applyProtection="1">
      <alignment horizontal="center" vertical="center"/>
      <protection hidden="1"/>
    </xf>
    <xf numFmtId="0" fontId="10" fillId="2" borderId="7" xfId="0" applyFont="1" applyFill="1" applyBorder="1" applyAlignment="1" applyProtection="1">
      <alignment horizontal="center" vertical="center" wrapText="1"/>
      <protection hidden="1"/>
    </xf>
    <xf numFmtId="0" fontId="25" fillId="0" borderId="56" xfId="0" applyFont="1" applyBorder="1" applyAlignment="1" applyProtection="1">
      <alignment horizontal="center" vertical="center"/>
      <protection hidden="1"/>
    </xf>
    <xf numFmtId="0" fontId="25" fillId="0" borderId="8" xfId="0" applyFont="1" applyBorder="1" applyAlignment="1" applyProtection="1">
      <alignment horizontal="center" vertical="center"/>
      <protection hidden="1"/>
    </xf>
    <xf numFmtId="0" fontId="25" fillId="0" borderId="7" xfId="0" applyFont="1" applyBorder="1" applyAlignment="1" applyProtection="1">
      <alignment horizontal="center" vertical="center"/>
      <protection locked="0"/>
    </xf>
    <xf numFmtId="0" fontId="10" fillId="2" borderId="7" xfId="0" applyFont="1" applyFill="1" applyBorder="1" applyAlignment="1">
      <alignment horizontal="center"/>
    </xf>
    <xf numFmtId="0" fontId="25" fillId="0" borderId="9"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170" fontId="0" fillId="0" borderId="0" xfId="0" applyNumberFormat="1" applyAlignment="1">
      <alignment horizontal="center" vertical="center"/>
    </xf>
    <xf numFmtId="0" fontId="10" fillId="3" borderId="1" xfId="0" applyFont="1" applyFill="1" applyBorder="1" applyAlignment="1">
      <alignment horizontal="center" vertical="center"/>
    </xf>
    <xf numFmtId="0" fontId="25" fillId="0" borderId="46" xfId="0" applyFont="1" applyBorder="1" applyAlignment="1">
      <alignment horizontal="center" vertical="center"/>
    </xf>
    <xf numFmtId="0" fontId="10" fillId="2" borderId="1" xfId="0" applyFont="1" applyFill="1" applyBorder="1" applyAlignment="1">
      <alignment horizontal="center" vertical="center"/>
    </xf>
    <xf numFmtId="170" fontId="25" fillId="0" borderId="1" xfId="0" applyNumberFormat="1" applyFont="1" applyBorder="1" applyAlignment="1">
      <alignment horizontal="center" vertical="center"/>
    </xf>
    <xf numFmtId="0" fontId="25" fillId="15" borderId="9" xfId="0" applyFont="1" applyFill="1" applyBorder="1" applyAlignment="1">
      <alignment horizontal="center" vertical="center"/>
    </xf>
    <xf numFmtId="0" fontId="25" fillId="15" borderId="1" xfId="0" applyFont="1" applyFill="1" applyBorder="1" applyAlignment="1">
      <alignment horizontal="center" vertical="center"/>
    </xf>
    <xf numFmtId="0" fontId="25" fillId="0" borderId="1" xfId="0" applyFont="1" applyBorder="1" applyAlignment="1">
      <alignment horizontal="center" vertical="center" wrapText="1"/>
    </xf>
    <xf numFmtId="0" fontId="10" fillId="3" borderId="1" xfId="0" applyFont="1" applyFill="1" applyBorder="1" applyAlignment="1">
      <alignment horizontal="center" vertical="center" wrapText="1"/>
    </xf>
    <xf numFmtId="0" fontId="10" fillId="3" borderId="9" xfId="0" applyFont="1" applyFill="1" applyBorder="1" applyAlignment="1">
      <alignment horizontal="center" vertical="center"/>
    </xf>
    <xf numFmtId="0" fontId="10" fillId="7" borderId="1" xfId="0" applyFont="1" applyFill="1" applyBorder="1" applyAlignment="1">
      <alignment horizontal="center" vertical="center"/>
    </xf>
    <xf numFmtId="14" fontId="0" fillId="0" borderId="0" xfId="0" applyNumberFormat="1" applyAlignment="1">
      <alignment horizontal="center" vertical="center"/>
    </xf>
    <xf numFmtId="0" fontId="1" fillId="3" borderId="18" xfId="0" applyFont="1" applyFill="1" applyBorder="1" applyAlignment="1">
      <alignment horizontal="center" vertical="center"/>
    </xf>
    <xf numFmtId="0" fontId="0" fillId="0" borderId="62" xfId="0" applyBorder="1" applyAlignment="1">
      <alignment horizontal="center" vertical="center"/>
    </xf>
    <xf numFmtId="0" fontId="1" fillId="3" borderId="49"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vertical="center"/>
    </xf>
    <xf numFmtId="0" fontId="9" fillId="0" borderId="1" xfId="0" applyFont="1" applyBorder="1" applyAlignment="1">
      <alignment vertical="center"/>
    </xf>
    <xf numFmtId="0" fontId="9" fillId="0" borderId="1" xfId="0" applyFont="1" applyBorder="1" applyAlignment="1">
      <alignment horizontal="center" vertical="center"/>
    </xf>
    <xf numFmtId="167" fontId="0" fillId="0" borderId="1" xfId="0" applyNumberFormat="1" applyBorder="1"/>
    <xf numFmtId="0" fontId="10" fillId="7" borderId="4" xfId="0" applyFont="1" applyFill="1" applyBorder="1" applyAlignment="1">
      <alignment horizontal="left" wrapText="1"/>
    </xf>
    <xf numFmtId="0" fontId="25" fillId="0" borderId="1" xfId="0" applyFont="1" applyBorder="1" applyAlignment="1">
      <alignment horizontal="center"/>
    </xf>
    <xf numFmtId="0" fontId="10" fillId="7" borderId="0" xfId="0" applyFont="1" applyFill="1" applyAlignment="1">
      <alignment vertical="center"/>
    </xf>
    <xf numFmtId="170" fontId="32" fillId="20" borderId="1" xfId="0" applyNumberFormat="1" applyFont="1" applyFill="1" applyBorder="1" applyAlignment="1">
      <alignment horizontal="center"/>
    </xf>
    <xf numFmtId="0" fontId="0" fillId="12" borderId="51" xfId="0" applyFill="1" applyBorder="1" applyAlignment="1">
      <alignment horizontal="center"/>
    </xf>
    <xf numFmtId="170" fontId="5" fillId="12" borderId="63" xfId="0" applyNumberFormat="1" applyFont="1" applyFill="1" applyBorder="1" applyAlignment="1">
      <alignment horizontal="center"/>
    </xf>
    <xf numFmtId="0" fontId="0" fillId="12" borderId="51" xfId="0" applyFill="1" applyBorder="1"/>
    <xf numFmtId="0" fontId="8" fillId="12" borderId="4" xfId="0" applyFont="1" applyFill="1" applyBorder="1"/>
    <xf numFmtId="172" fontId="19" fillId="8" borderId="41" xfId="0" applyNumberFormat="1" applyFont="1" applyFill="1" applyBorder="1" applyAlignment="1">
      <alignment horizontal="center"/>
    </xf>
    <xf numFmtId="0" fontId="2" fillId="23" borderId="1" xfId="0" applyFont="1" applyFill="1" applyBorder="1" applyAlignment="1">
      <alignment horizontal="center" vertical="center"/>
    </xf>
    <xf numFmtId="0" fontId="0" fillId="23" borderId="1" xfId="0" applyFill="1" applyBorder="1"/>
    <xf numFmtId="0" fontId="0" fillId="23" borderId="1" xfId="0" applyFill="1" applyBorder="1" applyAlignment="1">
      <alignment horizontal="center"/>
    </xf>
    <xf numFmtId="170" fontId="5" fillId="23" borderId="1" xfId="0" applyNumberFormat="1" applyFont="1" applyFill="1" applyBorder="1" applyAlignment="1">
      <alignment horizontal="center"/>
    </xf>
    <xf numFmtId="0" fontId="8" fillId="23" borderId="1" xfId="0" applyFont="1" applyFill="1" applyBorder="1"/>
    <xf numFmtId="170" fontId="33" fillId="0" borderId="0" xfId="0" applyNumberFormat="1" applyFont="1" applyAlignment="1">
      <alignment horizontal="center" vertical="center"/>
    </xf>
    <xf numFmtId="0" fontId="0" fillId="0" borderId="1" xfId="0" applyBorder="1" applyAlignment="1">
      <alignment horizontal="right"/>
    </xf>
    <xf numFmtId="0" fontId="0" fillId="0" borderId="1" xfId="0" applyBorder="1" applyAlignment="1">
      <alignment horizontal="center"/>
    </xf>
    <xf numFmtId="0" fontId="0" fillId="24" borderId="1" xfId="0"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11" borderId="1" xfId="0" applyFill="1" applyBorder="1" applyAlignment="1">
      <alignment horizontal="center"/>
    </xf>
    <xf numFmtId="170" fontId="0" fillId="11" borderId="1" xfId="0" applyNumberFormat="1" applyFill="1" applyBorder="1" applyAlignment="1">
      <alignment horizontal="center"/>
    </xf>
    <xf numFmtId="9" fontId="0" fillId="11" borderId="1" xfId="0" applyNumberFormat="1" applyFill="1" applyBorder="1"/>
    <xf numFmtId="170" fontId="0" fillId="25" borderId="1" xfId="0" applyNumberFormat="1" applyFill="1" applyBorder="1" applyAlignment="1">
      <alignment horizontal="center"/>
    </xf>
    <xf numFmtId="9" fontId="0" fillId="25" borderId="1" xfId="0" applyNumberFormat="1" applyFill="1" applyBorder="1"/>
    <xf numFmtId="9" fontId="0" fillId="25" borderId="1" xfId="0" applyNumberFormat="1" applyFill="1" applyBorder="1" applyAlignment="1">
      <alignment vertical="center"/>
    </xf>
    <xf numFmtId="0" fontId="0" fillId="6" borderId="1" xfId="0" applyFill="1" applyBorder="1" applyAlignment="1">
      <alignment horizontal="center"/>
    </xf>
    <xf numFmtId="170" fontId="0" fillId="6" borderId="1" xfId="0" applyNumberFormat="1" applyFill="1" applyBorder="1" applyAlignment="1">
      <alignment horizontal="center"/>
    </xf>
    <xf numFmtId="9" fontId="0" fillId="6" borderId="1" xfId="0" applyNumberFormat="1" applyFill="1" applyBorder="1"/>
    <xf numFmtId="170" fontId="0" fillId="26" borderId="1" xfId="0" applyNumberFormat="1" applyFill="1" applyBorder="1"/>
    <xf numFmtId="0" fontId="1" fillId="0" borderId="0" xfId="0" applyFont="1"/>
    <xf numFmtId="0" fontId="0" fillId="27" borderId="1" xfId="0" applyFill="1" applyBorder="1" applyAlignment="1">
      <alignment horizontal="center"/>
    </xf>
    <xf numFmtId="170" fontId="0" fillId="27" borderId="1" xfId="0" applyNumberFormat="1" applyFill="1" applyBorder="1"/>
    <xf numFmtId="0" fontId="1" fillId="27" borderId="1" xfId="0" applyFont="1" applyFill="1" applyBorder="1" applyAlignment="1">
      <alignment horizontal="center"/>
    </xf>
    <xf numFmtId="164" fontId="0" fillId="27" borderId="1" xfId="0" applyNumberFormat="1" applyFill="1" applyBorder="1"/>
    <xf numFmtId="0" fontId="0" fillId="27" borderId="1" xfId="0" applyFill="1" applyBorder="1" applyAlignment="1">
      <alignment horizontal="right"/>
    </xf>
    <xf numFmtId="164" fontId="0" fillId="28" borderId="1" xfId="0" applyNumberFormat="1" applyFill="1" applyBorder="1"/>
    <xf numFmtId="0" fontId="0" fillId="28" borderId="1" xfId="0" applyFill="1" applyBorder="1" applyAlignment="1">
      <alignment horizontal="center"/>
    </xf>
    <xf numFmtId="170" fontId="0" fillId="28" borderId="1" xfId="0" applyNumberFormat="1" applyFill="1" applyBorder="1"/>
    <xf numFmtId="0" fontId="0" fillId="28" borderId="1" xfId="0" applyFill="1" applyBorder="1" applyAlignment="1">
      <alignment horizontal="center" vertical="center"/>
    </xf>
    <xf numFmtId="0" fontId="1" fillId="28" borderId="1" xfId="0" applyFont="1" applyFill="1" applyBorder="1"/>
    <xf numFmtId="0" fontId="0" fillId="13" borderId="1" xfId="0" applyFill="1" applyBorder="1" applyAlignment="1">
      <alignment horizontal="center"/>
    </xf>
    <xf numFmtId="170" fontId="0" fillId="13" borderId="1" xfId="0" applyNumberFormat="1" applyFill="1" applyBorder="1"/>
    <xf numFmtId="0" fontId="0" fillId="13" borderId="1" xfId="0" applyFill="1" applyBorder="1"/>
    <xf numFmtId="2" fontId="36" fillId="0" borderId="1" xfId="1" applyNumberFormat="1" applyFont="1" applyBorder="1" applyAlignment="1">
      <alignment horizontal="center" vertical="center"/>
    </xf>
    <xf numFmtId="0" fontId="0" fillId="0" borderId="0" xfId="0" applyAlignment="1">
      <alignment wrapText="1"/>
    </xf>
    <xf numFmtId="0" fontId="38" fillId="0" borderId="0" xfId="0" applyFont="1"/>
    <xf numFmtId="0" fontId="0" fillId="0" borderId="1" xfId="0" applyBorder="1" applyAlignment="1">
      <alignment wrapText="1"/>
    </xf>
    <xf numFmtId="0" fontId="0" fillId="0" borderId="1" xfId="0" applyBorder="1" applyAlignment="1">
      <alignment vertical="center"/>
    </xf>
    <xf numFmtId="0" fontId="0" fillId="29" borderId="42" xfId="0" applyFill="1" applyBorder="1"/>
    <xf numFmtId="0" fontId="0" fillId="29" borderId="38" xfId="0" applyFill="1" applyBorder="1"/>
    <xf numFmtId="0" fontId="0" fillId="29" borderId="19" xfId="0" applyFill="1" applyBorder="1"/>
    <xf numFmtId="0" fontId="0" fillId="29" borderId="40" xfId="0" applyFill="1" applyBorder="1"/>
    <xf numFmtId="0" fontId="0" fillId="29" borderId="39" xfId="0" applyFill="1" applyBorder="1"/>
    <xf numFmtId="0" fontId="0" fillId="29" borderId="21" xfId="0" applyFill="1" applyBorder="1"/>
    <xf numFmtId="0" fontId="38" fillId="28" borderId="42" xfId="0" applyFont="1" applyFill="1" applyBorder="1" applyAlignment="1">
      <alignment wrapText="1"/>
    </xf>
    <xf numFmtId="0" fontId="38" fillId="28" borderId="38" xfId="0" applyFont="1" applyFill="1" applyBorder="1" applyAlignment="1">
      <alignment wrapText="1"/>
    </xf>
    <xf numFmtId="0" fontId="38" fillId="28" borderId="19" xfId="0" applyFont="1" applyFill="1" applyBorder="1" applyAlignment="1">
      <alignment wrapText="1"/>
    </xf>
    <xf numFmtId="0" fontId="0" fillId="28" borderId="40" xfId="0" applyFill="1" applyBorder="1" applyAlignment="1">
      <alignment wrapText="1"/>
    </xf>
    <xf numFmtId="0" fontId="0" fillId="28" borderId="39" xfId="0" applyFill="1" applyBorder="1" applyAlignment="1">
      <alignment wrapText="1"/>
    </xf>
    <xf numFmtId="0" fontId="0" fillId="28" borderId="21" xfId="0" applyFill="1" applyBorder="1" applyAlignment="1">
      <alignment wrapText="1"/>
    </xf>
    <xf numFmtId="0" fontId="10" fillId="2" borderId="1" xfId="0" applyFont="1" applyFill="1" applyBorder="1" applyAlignment="1" applyProtection="1">
      <alignment horizontal="center" vertical="center" wrapText="1"/>
      <protection hidden="1"/>
    </xf>
    <xf numFmtId="0" fontId="25" fillId="0" borderId="1" xfId="0" applyFont="1" applyBorder="1" applyAlignment="1" applyProtection="1">
      <alignment horizontal="center" vertical="center"/>
      <protection hidden="1"/>
    </xf>
    <xf numFmtId="0" fontId="10" fillId="2" borderId="1" xfId="0" applyFont="1" applyFill="1" applyBorder="1" applyAlignment="1" applyProtection="1">
      <alignment horizontal="center" vertical="center"/>
      <protection hidden="1"/>
    </xf>
    <xf numFmtId="0" fontId="10" fillId="2" borderId="10" xfId="0" applyFont="1" applyFill="1" applyBorder="1" applyAlignment="1" applyProtection="1">
      <alignment horizontal="center" vertical="center" wrapText="1"/>
      <protection hidden="1"/>
    </xf>
    <xf numFmtId="0" fontId="25" fillId="0" borderId="10" xfId="0" applyFont="1" applyBorder="1" applyAlignment="1" applyProtection="1">
      <alignment horizontal="center" vertical="center"/>
      <protection hidden="1"/>
    </xf>
    <xf numFmtId="0" fontId="10" fillId="4" borderId="1" xfId="0" applyFont="1" applyFill="1" applyBorder="1" applyAlignment="1">
      <alignment vertical="center" wrapText="1"/>
    </xf>
    <xf numFmtId="0" fontId="0" fillId="0" borderId="1" xfId="0" applyBorder="1" applyAlignment="1">
      <alignment horizontal="center" vertical="center"/>
    </xf>
    <xf numFmtId="0" fontId="0" fillId="0" borderId="2" xfId="0" applyBorder="1"/>
    <xf numFmtId="0" fontId="0" fillId="0" borderId="3" xfId="0" applyBorder="1"/>
    <xf numFmtId="0" fontId="1" fillId="3" borderId="1" xfId="0" applyFont="1" applyFill="1" applyBorder="1" applyAlignment="1">
      <alignment horizontal="center" vertical="center"/>
    </xf>
    <xf numFmtId="0" fontId="10" fillId="4" borderId="2" xfId="0" applyFont="1" applyFill="1" applyBorder="1" applyAlignment="1">
      <alignment vertical="center" wrapText="1"/>
    </xf>
    <xf numFmtId="170" fontId="0" fillId="0" borderId="1" xfId="0" applyNumberFormat="1" applyBorder="1" applyAlignment="1">
      <alignment horizontal="center"/>
    </xf>
    <xf numFmtId="2" fontId="25" fillId="0" borderId="1" xfId="0" applyNumberFormat="1" applyFont="1" applyBorder="1" applyAlignment="1">
      <alignment horizontal="center" vertical="center"/>
    </xf>
    <xf numFmtId="2" fontId="25" fillId="0" borderId="1" xfId="0" applyNumberFormat="1" applyFont="1" applyBorder="1" applyAlignment="1">
      <alignment horizontal="center"/>
    </xf>
    <xf numFmtId="0" fontId="39" fillId="4" borderId="1" xfId="0" applyFont="1" applyFill="1" applyBorder="1" applyAlignment="1">
      <alignment horizontal="center"/>
    </xf>
    <xf numFmtId="0" fontId="9" fillId="29" borderId="1" xfId="0" applyFont="1" applyFill="1" applyBorder="1"/>
    <xf numFmtId="170" fontId="13" fillId="0" borderId="0" xfId="0" applyNumberFormat="1" applyFont="1"/>
    <xf numFmtId="0" fontId="39" fillId="0" borderId="0" xfId="0" applyFont="1" applyAlignment="1">
      <alignment horizontal="center"/>
    </xf>
    <xf numFmtId="0" fontId="0" fillId="8" borderId="1" xfId="0" applyFill="1" applyBorder="1"/>
    <xf numFmtId="170" fontId="0" fillId="8" borderId="1" xfId="0" applyNumberFormat="1" applyFill="1" applyBorder="1"/>
    <xf numFmtId="0" fontId="39" fillId="8" borderId="1" xfId="0" applyFont="1" applyFill="1" applyBorder="1"/>
    <xf numFmtId="0" fontId="1" fillId="8" borderId="1" xfId="0" applyFont="1" applyFill="1" applyBorder="1" applyAlignment="1">
      <alignment horizontal="right"/>
    </xf>
    <xf numFmtId="170" fontId="0" fillId="12" borderId="1" xfId="0" applyNumberFormat="1" applyFill="1" applyBorder="1" applyAlignment="1">
      <alignment horizontal="right" wrapText="1"/>
    </xf>
    <xf numFmtId="0" fontId="1" fillId="12" borderId="4" xfId="0" applyFont="1" applyFill="1" applyBorder="1" applyAlignment="1">
      <alignment horizontal="right"/>
    </xf>
    <xf numFmtId="9" fontId="0" fillId="12" borderId="1" xfId="0" applyNumberFormat="1" applyFill="1" applyBorder="1"/>
    <xf numFmtId="0" fontId="10" fillId="7" borderId="1" xfId="0" applyFont="1" applyFill="1" applyBorder="1" applyAlignment="1">
      <alignment horizontal="center"/>
    </xf>
    <xf numFmtId="170" fontId="43" fillId="8" borderId="1" xfId="0" applyNumberFormat="1" applyFont="1" applyFill="1" applyBorder="1"/>
    <xf numFmtId="0" fontId="10" fillId="7" borderId="1" xfId="0" applyFont="1" applyFill="1" applyBorder="1" applyAlignment="1" applyProtection="1">
      <alignment horizontal="center" vertical="center"/>
      <protection hidden="1"/>
    </xf>
    <xf numFmtId="170" fontId="41" fillId="7" borderId="1" xfId="0" applyNumberFormat="1" applyFont="1" applyFill="1" applyBorder="1" applyAlignment="1">
      <alignment horizontal="center"/>
    </xf>
    <xf numFmtId="164" fontId="0" fillId="0" borderId="0" xfId="0" applyNumberFormat="1"/>
    <xf numFmtId="0" fontId="0" fillId="30" borderId="1" xfId="0" applyFill="1" applyBorder="1" applyAlignment="1">
      <alignment wrapText="1"/>
    </xf>
    <xf numFmtId="0" fontId="0" fillId="30" borderId="1" xfId="0" applyFill="1" applyBorder="1" applyAlignment="1">
      <alignment horizontal="center" vertical="center" wrapText="1"/>
    </xf>
    <xf numFmtId="0" fontId="7" fillId="8" borderId="1" xfId="0" applyFont="1" applyFill="1" applyBorder="1" applyAlignment="1">
      <alignment horizontal="center" vertical="center"/>
    </xf>
    <xf numFmtId="0" fontId="1" fillId="13" borderId="1" xfId="0" applyFont="1" applyFill="1" applyBorder="1"/>
    <xf numFmtId="9" fontId="0" fillId="13" borderId="1" xfId="0" applyNumberFormat="1" applyFill="1" applyBorder="1"/>
    <xf numFmtId="0" fontId="0" fillId="14" borderId="1" xfId="0" applyFill="1" applyBorder="1"/>
    <xf numFmtId="0" fontId="1" fillId="14" borderId="1" xfId="0" applyFont="1" applyFill="1" applyBorder="1"/>
    <xf numFmtId="164" fontId="0" fillId="14" borderId="1" xfId="0" applyNumberFormat="1" applyFill="1" applyBorder="1"/>
    <xf numFmtId="9" fontId="0" fillId="14" borderId="1" xfId="0" applyNumberFormat="1" applyFill="1" applyBorder="1"/>
    <xf numFmtId="166" fontId="0" fillId="14" borderId="1" xfId="0" applyNumberFormat="1" applyFill="1" applyBorder="1"/>
    <xf numFmtId="0" fontId="0" fillId="21" borderId="1" xfId="0" applyFill="1" applyBorder="1"/>
    <xf numFmtId="164" fontId="0" fillId="21" borderId="1" xfId="0" applyNumberFormat="1" applyFill="1" applyBorder="1"/>
    <xf numFmtId="9" fontId="0" fillId="21" borderId="1" xfId="0" applyNumberFormat="1" applyFill="1" applyBorder="1"/>
    <xf numFmtId="166" fontId="0" fillId="21" borderId="1" xfId="0" applyNumberFormat="1" applyFill="1" applyBorder="1"/>
    <xf numFmtId="0" fontId="1" fillId="21" borderId="1" xfId="0" applyFont="1" applyFill="1" applyBorder="1"/>
    <xf numFmtId="0" fontId="0" fillId="31" borderId="1" xfId="0" applyFill="1" applyBorder="1"/>
    <xf numFmtId="0" fontId="1" fillId="31" borderId="1" xfId="0" applyFont="1" applyFill="1" applyBorder="1"/>
    <xf numFmtId="164" fontId="0" fillId="31" borderId="1" xfId="0" applyNumberFormat="1" applyFill="1" applyBorder="1"/>
    <xf numFmtId="9" fontId="0" fillId="31" borderId="1" xfId="0" applyNumberFormat="1" applyFill="1" applyBorder="1"/>
    <xf numFmtId="0" fontId="7" fillId="8" borderId="62" xfId="0" applyFont="1" applyFill="1" applyBorder="1" applyAlignment="1">
      <alignment horizontal="center" vertical="center"/>
    </xf>
    <xf numFmtId="0" fontId="10" fillId="7" borderId="54" xfId="0" applyFont="1" applyFill="1" applyBorder="1" applyAlignment="1">
      <alignment horizontal="left" wrapText="1"/>
    </xf>
    <xf numFmtId="0" fontId="10" fillId="7" borderId="62" xfId="0" applyFont="1" applyFill="1" applyBorder="1" applyAlignment="1">
      <alignment vertical="center"/>
    </xf>
    <xf numFmtId="0" fontId="1" fillId="0" borderId="1" xfId="0" applyFont="1" applyBorder="1" applyAlignment="1">
      <alignment horizontal="center" vertical="top"/>
    </xf>
    <xf numFmtId="0" fontId="1" fillId="0" borderId="3" xfId="0" applyFont="1" applyBorder="1" applyAlignment="1">
      <alignment horizontal="center" vertical="top"/>
    </xf>
    <xf numFmtId="0" fontId="1" fillId="0" borderId="2" xfId="0" applyFont="1" applyBorder="1" applyAlignment="1">
      <alignment horizontal="center" vertical="top"/>
    </xf>
    <xf numFmtId="0" fontId="0" fillId="0" borderId="62" xfId="0" applyBorder="1"/>
    <xf numFmtId="2" fontId="0" fillId="0" borderId="1" xfId="0" applyNumberFormat="1" applyBorder="1"/>
    <xf numFmtId="2" fontId="1" fillId="0" borderId="1" xfId="0" applyNumberFormat="1" applyFont="1" applyBorder="1" applyAlignment="1">
      <alignment horizontal="center" vertical="top"/>
    </xf>
    <xf numFmtId="2" fontId="0" fillId="0" borderId="0" xfId="0" applyNumberFormat="1"/>
    <xf numFmtId="0" fontId="0" fillId="0" borderId="4" xfId="0" applyBorder="1"/>
    <xf numFmtId="0" fontId="0" fillId="0" borderId="42" xfId="0" applyBorder="1"/>
    <xf numFmtId="0" fontId="0" fillId="0" borderId="38" xfId="0" applyBorder="1"/>
    <xf numFmtId="0" fontId="0" fillId="0" borderId="25" xfId="0" applyBorder="1"/>
    <xf numFmtId="0" fontId="0" fillId="0" borderId="40" xfId="0" applyBorder="1"/>
    <xf numFmtId="0" fontId="0" fillId="0" borderId="39" xfId="0" applyBorder="1"/>
    <xf numFmtId="0" fontId="0" fillId="0" borderId="54" xfId="0" applyBorder="1"/>
    <xf numFmtId="0" fontId="36" fillId="0" borderId="42" xfId="1" applyFont="1" applyBorder="1" applyAlignment="1">
      <alignment horizontal="center" vertical="center"/>
    </xf>
    <xf numFmtId="0" fontId="36" fillId="0" borderId="38" xfId="1" applyFont="1" applyBorder="1" applyAlignment="1">
      <alignment horizontal="center" vertical="center"/>
    </xf>
    <xf numFmtId="0" fontId="35" fillId="0" borderId="44" xfId="1" applyBorder="1"/>
    <xf numFmtId="0" fontId="36" fillId="0" borderId="25" xfId="1" applyFont="1" applyBorder="1" applyAlignment="1">
      <alignment horizontal="center" vertical="center"/>
    </xf>
    <xf numFmtId="0" fontId="36" fillId="0" borderId="47" xfId="1" applyFont="1" applyBorder="1"/>
    <xf numFmtId="0" fontId="36" fillId="0" borderId="66" xfId="1" applyFont="1" applyBorder="1"/>
    <xf numFmtId="0" fontId="37" fillId="0" borderId="66" xfId="1" applyFont="1" applyBorder="1" applyAlignment="1">
      <alignment horizontal="center"/>
    </xf>
    <xf numFmtId="0" fontId="37" fillId="0" borderId="55" xfId="1" applyFont="1" applyBorder="1" applyAlignment="1">
      <alignment horizontal="center"/>
    </xf>
    <xf numFmtId="0" fontId="37" fillId="0" borderId="47" xfId="1" applyFont="1" applyBorder="1" applyAlignment="1">
      <alignment horizontal="center"/>
    </xf>
    <xf numFmtId="0" fontId="36" fillId="0" borderId="55" xfId="1" applyFont="1" applyBorder="1"/>
    <xf numFmtId="0" fontId="36" fillId="0" borderId="40" xfId="1" applyFont="1" applyBorder="1" applyAlignment="1">
      <alignment horizontal="center" vertical="center"/>
    </xf>
    <xf numFmtId="2" fontId="36" fillId="0" borderId="39" xfId="1" applyNumberFormat="1" applyFont="1" applyBorder="1" applyAlignment="1">
      <alignment horizontal="center" vertical="center"/>
    </xf>
    <xf numFmtId="0" fontId="37" fillId="0" borderId="21" xfId="1" applyFont="1" applyBorder="1" applyAlignment="1">
      <alignment horizontal="center"/>
    </xf>
    <xf numFmtId="2" fontId="0" fillId="0" borderId="1" xfId="0" applyNumberFormat="1" applyBorder="1" applyAlignment="1">
      <alignment horizontal="center"/>
    </xf>
    <xf numFmtId="0" fontId="0" fillId="0" borderId="3" xfId="0" applyBorder="1" applyAlignment="1">
      <alignment horizontal="center"/>
    </xf>
    <xf numFmtId="2" fontId="0" fillId="0" borderId="0" xfId="0" applyNumberFormat="1" applyAlignment="1">
      <alignment horizontal="center"/>
    </xf>
    <xf numFmtId="0" fontId="46" fillId="0" borderId="0" xfId="0" applyFont="1" applyAlignment="1">
      <alignment horizontal="center" vertical="center" wrapText="1"/>
    </xf>
    <xf numFmtId="0" fontId="1" fillId="11" borderId="1" xfId="0" applyFont="1" applyFill="1" applyBorder="1"/>
    <xf numFmtId="0" fontId="1" fillId="7" borderId="2" xfId="0" applyFont="1" applyFill="1" applyBorder="1" applyAlignment="1">
      <alignment vertical="center"/>
    </xf>
    <xf numFmtId="0" fontId="1" fillId="0" borderId="1" xfId="0" applyFont="1" applyBorder="1" applyAlignment="1">
      <alignment horizontal="center" vertical="top" wrapText="1"/>
    </xf>
    <xf numFmtId="0" fontId="1" fillId="0" borderId="30" xfId="0" applyFont="1" applyBorder="1" applyAlignment="1">
      <alignment horizontal="center" vertical="top"/>
    </xf>
    <xf numFmtId="170" fontId="0" fillId="0" borderId="1" xfId="0" applyNumberFormat="1" applyBorder="1" applyAlignment="1">
      <alignment horizontal="center" vertical="center"/>
    </xf>
    <xf numFmtId="170" fontId="0" fillId="0" borderId="4" xfId="0" applyNumberFormat="1" applyBorder="1" applyAlignment="1">
      <alignment horizontal="center" vertical="center"/>
    </xf>
    <xf numFmtId="170" fontId="5" fillId="32" borderId="18" xfId="2" applyNumberFormat="1" applyFont="1" applyBorder="1" applyAlignment="1">
      <alignment horizontal="center" vertical="center"/>
    </xf>
    <xf numFmtId="0" fontId="10" fillId="7" borderId="1" xfId="0" applyFont="1" applyFill="1" applyBorder="1" applyAlignment="1">
      <alignment horizontal="center" vertical="center" wrapText="1"/>
    </xf>
    <xf numFmtId="170" fontId="0" fillId="0" borderId="1" xfId="0" applyNumberFormat="1" applyBorder="1" applyAlignment="1">
      <alignment horizontal="left" vertical="center"/>
    </xf>
    <xf numFmtId="0" fontId="0" fillId="0" borderId="1" xfId="0" applyBorder="1" applyAlignment="1">
      <alignment horizontal="left"/>
    </xf>
    <xf numFmtId="167" fontId="0" fillId="0" borderId="1" xfId="0" applyNumberFormat="1" applyBorder="1" applyAlignment="1">
      <alignment horizontal="right" vertical="center"/>
    </xf>
    <xf numFmtId="0" fontId="0" fillId="24" borderId="54" xfId="0" applyFill="1" applyBorder="1" applyAlignment="1">
      <alignment horizontal="center"/>
    </xf>
    <xf numFmtId="0" fontId="13" fillId="4" borderId="1" xfId="0" applyFont="1" applyFill="1" applyBorder="1" applyAlignment="1">
      <alignment horizontal="center"/>
    </xf>
    <xf numFmtId="0" fontId="1" fillId="0" borderId="1" xfId="0" applyFont="1" applyBorder="1" applyAlignment="1">
      <alignment horizontal="center" vertical="center" wrapText="1"/>
    </xf>
    <xf numFmtId="0" fontId="51" fillId="0" borderId="1" xfId="0" applyFont="1" applyBorder="1" applyAlignment="1">
      <alignment vertical="center" wrapText="1"/>
    </xf>
    <xf numFmtId="0" fontId="0" fillId="0" borderId="2" xfId="0" applyBorder="1" applyAlignment="1">
      <alignment horizontal="center"/>
    </xf>
    <xf numFmtId="0" fontId="10" fillId="2" borderId="10" xfId="0" applyFont="1" applyFill="1" applyBorder="1" applyAlignment="1" applyProtection="1">
      <alignment horizontal="center" vertical="center"/>
      <protection hidden="1"/>
    </xf>
    <xf numFmtId="0" fontId="25" fillId="0" borderId="2" xfId="0" applyFont="1" applyBorder="1" applyAlignment="1" applyProtection="1">
      <alignment horizontal="center" vertical="center"/>
      <protection hidden="1"/>
    </xf>
    <xf numFmtId="0" fontId="10" fillId="2" borderId="67" xfId="0" applyFont="1" applyFill="1" applyBorder="1" applyAlignment="1" applyProtection="1">
      <alignment horizontal="center" vertical="center"/>
      <protection hidden="1"/>
    </xf>
    <xf numFmtId="0" fontId="1" fillId="29" borderId="42" xfId="0" applyFont="1" applyFill="1" applyBorder="1" applyAlignment="1">
      <alignment horizontal="center" vertical="center"/>
    </xf>
    <xf numFmtId="0" fontId="0" fillId="29" borderId="25" xfId="0" applyFill="1" applyBorder="1"/>
    <xf numFmtId="0" fontId="0" fillId="0" borderId="34" xfId="0" applyBorder="1"/>
    <xf numFmtId="0" fontId="1" fillId="29" borderId="59" xfId="0" applyFont="1" applyFill="1" applyBorder="1" applyAlignment="1">
      <alignment horizontal="center" vertical="center"/>
    </xf>
    <xf numFmtId="0" fontId="0" fillId="29" borderId="55" xfId="0" applyFill="1" applyBorder="1" applyAlignment="1">
      <alignment horizontal="center"/>
    </xf>
    <xf numFmtId="0" fontId="1" fillId="21" borderId="6" xfId="0" applyFont="1" applyFill="1" applyBorder="1" applyAlignment="1">
      <alignment horizontal="center" vertical="center"/>
    </xf>
    <xf numFmtId="0" fontId="0" fillId="21" borderId="7" xfId="0" applyFill="1" applyBorder="1"/>
    <xf numFmtId="0" fontId="0" fillId="21" borderId="7" xfId="0" applyFill="1" applyBorder="1" applyAlignment="1">
      <alignment horizontal="center"/>
    </xf>
    <xf numFmtId="0" fontId="32" fillId="0" borderId="0" xfId="0" applyFont="1"/>
    <xf numFmtId="0" fontId="0" fillId="0" borderId="0" xfId="0" applyAlignment="1">
      <alignment horizontal="center" wrapText="1"/>
    </xf>
    <xf numFmtId="170" fontId="5" fillId="0" borderId="1" xfId="0" applyNumberFormat="1" applyFont="1" applyBorder="1"/>
    <xf numFmtId="0" fontId="0" fillId="21" borderId="8" xfId="0" applyFill="1" applyBorder="1" applyAlignment="1">
      <alignment horizontal="center"/>
    </xf>
    <xf numFmtId="0" fontId="53" fillId="4" borderId="1" xfId="0" applyFont="1" applyFill="1" applyBorder="1" applyAlignment="1">
      <alignment horizontal="center"/>
    </xf>
    <xf numFmtId="0" fontId="0" fillId="0" borderId="1" xfId="0" applyBorder="1" applyAlignment="1">
      <alignment horizontal="right" vertical="center"/>
    </xf>
    <xf numFmtId="170" fontId="50" fillId="0" borderId="1" xfId="0" applyNumberFormat="1" applyFont="1" applyBorder="1" applyAlignment="1">
      <alignment horizontal="right" vertical="center"/>
    </xf>
    <xf numFmtId="0" fontId="0" fillId="27" borderId="1" xfId="0" applyFill="1" applyBorder="1"/>
    <xf numFmtId="9" fontId="0" fillId="27" borderId="1" xfId="0" applyNumberFormat="1" applyFill="1" applyBorder="1"/>
    <xf numFmtId="0" fontId="1" fillId="27" borderId="1" xfId="0" applyFont="1" applyFill="1" applyBorder="1"/>
    <xf numFmtId="0" fontId="25" fillId="0" borderId="1" xfId="0" applyFont="1" applyBorder="1" applyAlignment="1" applyProtection="1">
      <alignment horizontal="center" vertical="center"/>
      <protection locked="0"/>
    </xf>
    <xf numFmtId="0" fontId="10" fillId="3" borderId="3" xfId="0" applyFont="1" applyFill="1" applyBorder="1" applyAlignment="1">
      <alignment horizontal="center" vertical="center"/>
    </xf>
    <xf numFmtId="0" fontId="10" fillId="3" borderId="10" xfId="0" applyFont="1" applyFill="1" applyBorder="1" applyAlignment="1">
      <alignment horizontal="center" vertical="center"/>
    </xf>
    <xf numFmtId="0" fontId="10" fillId="7" borderId="3" xfId="0" applyFont="1" applyFill="1" applyBorder="1" applyAlignment="1">
      <alignment horizontal="center" vertical="center" wrapText="1"/>
    </xf>
    <xf numFmtId="0" fontId="10" fillId="3" borderId="23" xfId="0" applyFont="1" applyFill="1" applyBorder="1" applyAlignment="1">
      <alignment horizontal="center" vertical="center"/>
    </xf>
    <xf numFmtId="0" fontId="0" fillId="0" borderId="1" xfId="0" applyBorder="1" applyProtection="1">
      <protection locked="0"/>
    </xf>
    <xf numFmtId="0" fontId="0" fillId="0" borderId="4" xfId="0" applyBorder="1" applyProtection="1">
      <protection locked="0"/>
    </xf>
    <xf numFmtId="0" fontId="0" fillId="0" borderId="0" xfId="0" applyAlignment="1" applyProtection="1">
      <alignment horizontal="center"/>
      <protection locked="0"/>
    </xf>
    <xf numFmtId="0" fontId="0" fillId="0" borderId="3" xfId="0" applyBorder="1" applyAlignment="1" applyProtection="1">
      <alignment horizontal="center"/>
      <protection locked="0"/>
    </xf>
    <xf numFmtId="0" fontId="0" fillId="0" borderId="1" xfId="0" applyBorder="1" applyAlignment="1" applyProtection="1">
      <alignment horizontal="center"/>
      <protection locked="0"/>
    </xf>
    <xf numFmtId="0" fontId="0" fillId="0" borderId="4" xfId="0" applyBorder="1" applyAlignment="1" applyProtection="1">
      <alignment horizontal="center"/>
      <protection locked="0"/>
    </xf>
    <xf numFmtId="0" fontId="10" fillId="17" borderId="1" xfId="0" applyFont="1" applyFill="1" applyBorder="1" applyAlignment="1" applyProtection="1">
      <alignment horizontal="center" vertical="center"/>
      <protection locked="0"/>
    </xf>
    <xf numFmtId="170" fontId="0" fillId="0" borderId="3" xfId="0" applyNumberFormat="1" applyBorder="1" applyAlignment="1" applyProtection="1">
      <alignment horizontal="center"/>
      <protection locked="0"/>
    </xf>
    <xf numFmtId="170" fontId="0" fillId="0" borderId="1" xfId="0" applyNumberFormat="1" applyBorder="1" applyAlignment="1" applyProtection="1">
      <alignment horizontal="center"/>
      <protection locked="0"/>
    </xf>
    <xf numFmtId="10" fontId="0" fillId="0" borderId="1" xfId="0" applyNumberFormat="1" applyBorder="1"/>
    <xf numFmtId="9" fontId="0" fillId="0" borderId="1" xfId="0" applyNumberFormat="1" applyBorder="1"/>
    <xf numFmtId="0" fontId="54" fillId="33" borderId="69" xfId="1" applyFont="1" applyFill="1" applyBorder="1" applyAlignment="1">
      <alignment horizontal="center" vertical="center" wrapText="1"/>
    </xf>
    <xf numFmtId="0" fontId="54" fillId="33" borderId="70" xfId="1" applyFont="1" applyFill="1" applyBorder="1" applyAlignment="1">
      <alignment horizontal="center" vertical="center" wrapText="1"/>
    </xf>
    <xf numFmtId="166" fontId="55" fillId="4" borderId="72" xfId="0" applyNumberFormat="1" applyFont="1" applyFill="1" applyBorder="1" applyAlignment="1">
      <alignment horizontal="center" vertical="center" wrapText="1"/>
    </xf>
    <xf numFmtId="166" fontId="55" fillId="4" borderId="73" xfId="0" applyNumberFormat="1" applyFont="1" applyFill="1" applyBorder="1" applyAlignment="1">
      <alignment horizontal="center" vertical="center" wrapText="1"/>
    </xf>
    <xf numFmtId="166" fontId="55" fillId="4" borderId="74" xfId="0" applyNumberFormat="1" applyFont="1" applyFill="1" applyBorder="1" applyAlignment="1">
      <alignment horizontal="center" vertical="center" wrapText="1"/>
    </xf>
    <xf numFmtId="166" fontId="55" fillId="4" borderId="68" xfId="0" applyNumberFormat="1" applyFont="1" applyFill="1" applyBorder="1" applyAlignment="1">
      <alignment horizontal="center" vertical="center" wrapText="1"/>
    </xf>
    <xf numFmtId="166" fontId="55" fillId="0" borderId="75" xfId="0" applyNumberFormat="1" applyFont="1" applyBorder="1" applyAlignment="1">
      <alignment horizontal="center" vertical="center" wrapText="1"/>
    </xf>
    <xf numFmtId="166" fontId="55" fillId="0" borderId="76" xfId="0" applyNumberFormat="1" applyFont="1" applyBorder="1" applyAlignment="1">
      <alignment horizontal="center" vertical="center" wrapText="1"/>
    </xf>
    <xf numFmtId="166" fontId="55" fillId="0" borderId="77" xfId="0" applyNumberFormat="1" applyFont="1" applyBorder="1" applyAlignment="1">
      <alignment horizontal="center" vertical="center" wrapText="1"/>
    </xf>
    <xf numFmtId="166" fontId="55" fillId="0" borderId="78" xfId="0" applyNumberFormat="1" applyFont="1" applyBorder="1" applyAlignment="1">
      <alignment horizontal="center" vertical="center" wrapText="1"/>
    </xf>
    <xf numFmtId="166" fontId="55" fillId="0" borderId="79" xfId="0" applyNumberFormat="1" applyFont="1" applyBorder="1" applyAlignment="1">
      <alignment horizontal="center" vertical="center" wrapText="1"/>
    </xf>
    <xf numFmtId="166" fontId="55" fillId="0" borderId="80" xfId="0" applyNumberFormat="1" applyFont="1" applyBorder="1" applyAlignment="1">
      <alignment horizontal="center" vertical="center" wrapText="1"/>
    </xf>
    <xf numFmtId="166" fontId="55" fillId="4" borderId="75" xfId="0" applyNumberFormat="1" applyFont="1" applyFill="1" applyBorder="1" applyAlignment="1">
      <alignment horizontal="center" vertical="center" wrapText="1"/>
    </xf>
    <xf numFmtId="166" fontId="55" fillId="4" borderId="76" xfId="0" applyNumberFormat="1" applyFont="1" applyFill="1" applyBorder="1" applyAlignment="1">
      <alignment horizontal="center" vertical="center" wrapText="1"/>
    </xf>
    <xf numFmtId="166" fontId="55" fillId="4" borderId="77" xfId="0" applyNumberFormat="1" applyFont="1" applyFill="1" applyBorder="1" applyAlignment="1">
      <alignment horizontal="center" vertical="center" wrapText="1"/>
    </xf>
    <xf numFmtId="166" fontId="55" fillId="4" borderId="78" xfId="0" applyNumberFormat="1" applyFont="1" applyFill="1" applyBorder="1" applyAlignment="1">
      <alignment horizontal="center" vertical="center" wrapText="1"/>
    </xf>
    <xf numFmtId="0" fontId="0" fillId="0" borderId="71" xfId="0" applyBorder="1" applyAlignment="1">
      <alignment horizontal="center" vertical="center"/>
    </xf>
    <xf numFmtId="166" fontId="0" fillId="0" borderId="0" xfId="0" applyNumberFormat="1"/>
    <xf numFmtId="170" fontId="0" fillId="0" borderId="2" xfId="0" applyNumberFormat="1" applyBorder="1"/>
    <xf numFmtId="0" fontId="10" fillId="2" borderId="1" xfId="0" applyFont="1" applyFill="1" applyBorder="1" applyAlignment="1" applyProtection="1">
      <alignment horizontal="center"/>
      <protection hidden="1"/>
    </xf>
    <xf numFmtId="170" fontId="33" fillId="0" borderId="1" xfId="0" applyNumberFormat="1" applyFont="1" applyBorder="1" applyAlignment="1" applyProtection="1">
      <alignment horizontal="center" vertical="center"/>
      <protection hidden="1"/>
    </xf>
    <xf numFmtId="170" fontId="25" fillId="0" borderId="1" xfId="0" applyNumberFormat="1" applyFont="1" applyBorder="1" applyAlignment="1" applyProtection="1">
      <alignment horizontal="center" vertical="center"/>
      <protection hidden="1"/>
    </xf>
    <xf numFmtId="0" fontId="0" fillId="16" borderId="35" xfId="0" applyFill="1" applyBorder="1"/>
    <xf numFmtId="0" fontId="2" fillId="16" borderId="0" xfId="0" applyFont="1" applyFill="1"/>
    <xf numFmtId="170" fontId="7" fillId="16" borderId="0" xfId="0" applyNumberFormat="1" applyFont="1" applyFill="1"/>
    <xf numFmtId="170" fontId="8" fillId="16" borderId="0" xfId="0" applyNumberFormat="1" applyFont="1" applyFill="1"/>
    <xf numFmtId="0" fontId="0" fillId="0" borderId="1" xfId="0" applyBorder="1" applyAlignment="1">
      <alignment horizontal="center" vertical="center" wrapText="1"/>
    </xf>
    <xf numFmtId="0" fontId="0" fillId="0" borderId="0" xfId="0" applyAlignment="1">
      <alignment horizontal="center" vertical="center" wrapText="1"/>
    </xf>
    <xf numFmtId="0" fontId="1" fillId="4" borderId="1" xfId="0" applyFont="1" applyFill="1" applyBorder="1" applyAlignment="1">
      <alignment horizontal="center" vertical="center" wrapText="1"/>
    </xf>
    <xf numFmtId="0" fontId="1" fillId="4" borderId="1" xfId="0" applyFont="1" applyFill="1" applyBorder="1" applyAlignment="1">
      <alignment wrapText="1"/>
    </xf>
    <xf numFmtId="0" fontId="0" fillId="34" borderId="1" xfId="0" applyFill="1" applyBorder="1"/>
    <xf numFmtId="0" fontId="0" fillId="20" borderId="1" xfId="0" applyFill="1" applyBorder="1"/>
    <xf numFmtId="0" fontId="0" fillId="0" borderId="0" xfId="0" applyProtection="1">
      <protection locked="0"/>
    </xf>
    <xf numFmtId="0" fontId="0" fillId="0" borderId="0" xfId="0" applyAlignment="1" applyProtection="1">
      <alignment horizontal="center" wrapText="1"/>
      <protection locked="0"/>
    </xf>
    <xf numFmtId="2" fontId="0" fillId="0" borderId="0" xfId="0" applyNumberFormat="1" applyAlignment="1" applyProtection="1">
      <alignment horizontal="center"/>
      <protection locked="0"/>
    </xf>
    <xf numFmtId="0" fontId="46" fillId="0" borderId="0" xfId="0" applyFont="1" applyAlignment="1" applyProtection="1">
      <alignment horizontal="center" vertical="center" wrapText="1"/>
      <protection locked="0"/>
    </xf>
    <xf numFmtId="170" fontId="5" fillId="32" borderId="18" xfId="2" applyNumberFormat="1" applyFont="1" applyBorder="1" applyAlignment="1" applyProtection="1">
      <alignment horizontal="center" vertical="center"/>
    </xf>
    <xf numFmtId="2" fontId="25" fillId="35" borderId="1" xfId="0" applyNumberFormat="1" applyFont="1" applyFill="1" applyBorder="1" applyAlignment="1">
      <alignment horizontal="center" vertical="center"/>
    </xf>
    <xf numFmtId="2" fontId="25" fillId="35" borderId="1" xfId="0" applyNumberFormat="1" applyFont="1" applyFill="1" applyBorder="1" applyAlignment="1">
      <alignment horizontal="center"/>
    </xf>
    <xf numFmtId="170" fontId="0" fillId="0" borderId="3" xfId="0" applyNumberFormat="1" applyBorder="1" applyAlignment="1">
      <alignment horizontal="center"/>
    </xf>
    <xf numFmtId="0" fontId="0" fillId="16" borderId="0" xfId="0" applyFill="1" applyProtection="1">
      <protection locked="0"/>
    </xf>
    <xf numFmtId="0" fontId="0" fillId="0" borderId="33" xfId="0" applyBorder="1" applyProtection="1">
      <protection locked="0"/>
    </xf>
    <xf numFmtId="0" fontId="1" fillId="16" borderId="0" xfId="0" applyFont="1" applyFill="1" applyAlignment="1" applyProtection="1">
      <alignment horizontal="center" vertical="center" wrapText="1"/>
      <protection locked="0"/>
    </xf>
    <xf numFmtId="0" fontId="0" fillId="16" borderId="0" xfId="0" applyFill="1" applyAlignment="1" applyProtection="1">
      <alignment vertical="center" wrapText="1"/>
      <protection locked="0"/>
    </xf>
    <xf numFmtId="0" fontId="51" fillId="16" borderId="0" xfId="0" applyFont="1" applyFill="1" applyAlignment="1" applyProtection="1">
      <alignment vertical="center" wrapText="1"/>
      <protection locked="0"/>
    </xf>
    <xf numFmtId="0" fontId="10" fillId="17" borderId="7" xfId="0" applyFont="1" applyFill="1" applyBorder="1" applyAlignment="1" applyProtection="1">
      <alignment horizontal="center" vertical="center"/>
      <protection locked="0"/>
    </xf>
    <xf numFmtId="0" fontId="46" fillId="0" borderId="33" xfId="0" applyFont="1" applyBorder="1" applyAlignment="1" applyProtection="1">
      <alignment horizontal="center" vertical="center" wrapText="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0" fontId="0" fillId="0" borderId="3" xfId="0"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171" fontId="0" fillId="0" borderId="0" xfId="0" applyNumberFormat="1" applyProtection="1">
      <protection locked="0"/>
    </xf>
    <xf numFmtId="170"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1" fillId="0" borderId="0" xfId="0" applyFont="1" applyAlignment="1" applyProtection="1">
      <alignment horizontal="center"/>
      <protection locked="0"/>
    </xf>
    <xf numFmtId="0" fontId="1" fillId="11" borderId="1" xfId="0" applyFont="1" applyFill="1" applyBorder="1" applyProtection="1">
      <protection locked="0"/>
    </xf>
    <xf numFmtId="0" fontId="7" fillId="8" borderId="25" xfId="0" applyFont="1" applyFill="1" applyBorder="1" applyAlignment="1">
      <alignment horizontal="center" vertical="center"/>
    </xf>
    <xf numFmtId="0" fontId="1" fillId="0" borderId="25" xfId="0" applyFont="1" applyBorder="1" applyAlignment="1">
      <alignment horizontal="center" vertical="top" wrapText="1"/>
    </xf>
    <xf numFmtId="0" fontId="10" fillId="7" borderId="52" xfId="0" applyFont="1" applyFill="1" applyBorder="1" applyAlignment="1">
      <alignment horizontal="left" wrapText="1"/>
    </xf>
    <xf numFmtId="0" fontId="10" fillId="7" borderId="1" xfId="0" applyFont="1" applyFill="1" applyBorder="1" applyAlignment="1">
      <alignment vertical="center"/>
    </xf>
    <xf numFmtId="0" fontId="25" fillId="0" borderId="25" xfId="0" applyFont="1" applyBorder="1" applyAlignment="1">
      <alignment horizontal="center" vertical="center"/>
    </xf>
    <xf numFmtId="0" fontId="10" fillId="3" borderId="81" xfId="0" applyFont="1" applyFill="1" applyBorder="1" applyAlignment="1">
      <alignment horizontal="center" vertical="center"/>
    </xf>
    <xf numFmtId="0" fontId="10" fillId="0" borderId="0" xfId="0" applyFont="1" applyAlignment="1">
      <alignment horizontal="center"/>
    </xf>
    <xf numFmtId="0" fontId="10" fillId="0" borderId="0" xfId="0" applyFont="1"/>
    <xf numFmtId="170" fontId="25" fillId="0" borderId="0" xfId="0" applyNumberFormat="1" applyFont="1"/>
    <xf numFmtId="0" fontId="1" fillId="11" borderId="25" xfId="0" applyFont="1" applyFill="1" applyBorder="1"/>
    <xf numFmtId="0" fontId="10" fillId="3" borderId="62" xfId="0" applyFont="1" applyFill="1" applyBorder="1" applyAlignment="1">
      <alignment horizontal="center" vertical="center"/>
    </xf>
    <xf numFmtId="0" fontId="10" fillId="3" borderId="6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30" xfId="0" applyFont="1" applyBorder="1" applyAlignment="1">
      <alignment horizontal="center" vertical="center" wrapText="1"/>
    </xf>
    <xf numFmtId="0" fontId="5" fillId="16" borderId="0" xfId="0" applyFont="1" applyFill="1"/>
    <xf numFmtId="0" fontId="0" fillId="16" borderId="0" xfId="0" applyFill="1" applyAlignment="1">
      <alignment vertical="center" wrapText="1"/>
    </xf>
    <xf numFmtId="0" fontId="0" fillId="35" borderId="1" xfId="0" applyFill="1" applyBorder="1" applyAlignment="1">
      <alignment horizontal="right" vertical="center"/>
    </xf>
    <xf numFmtId="170" fontId="0" fillId="35" borderId="1" xfId="0" applyNumberFormat="1" applyFill="1" applyBorder="1" applyAlignment="1">
      <alignment horizontal="right" vertical="center"/>
    </xf>
    <xf numFmtId="170" fontId="50" fillId="35" borderId="1" xfId="0" applyNumberFormat="1" applyFont="1" applyFill="1" applyBorder="1" applyAlignment="1">
      <alignment horizontal="right" vertical="center"/>
    </xf>
    <xf numFmtId="0" fontId="0" fillId="35" borderId="1" xfId="0" applyFill="1" applyBorder="1" applyAlignment="1">
      <alignment horizontal="center" vertical="center" wrapText="1"/>
    </xf>
    <xf numFmtId="170" fontId="50" fillId="35" borderId="1" xfId="0" applyNumberFormat="1" applyFont="1" applyFill="1" applyBorder="1"/>
    <xf numFmtId="0" fontId="0" fillId="35" borderId="1" xfId="0" applyFill="1" applyBorder="1" applyAlignment="1">
      <alignment horizontal="center" vertical="center"/>
    </xf>
    <xf numFmtId="170" fontId="42" fillId="7" borderId="1" xfId="0" applyNumberFormat="1" applyFont="1" applyFill="1" applyBorder="1" applyAlignment="1">
      <alignment horizontal="right" vertical="center"/>
    </xf>
    <xf numFmtId="170" fontId="43" fillId="7" borderId="1" xfId="0" applyNumberFormat="1" applyFont="1" applyFill="1" applyBorder="1"/>
    <xf numFmtId="170" fontId="59" fillId="7" borderId="1" xfId="0" applyNumberFormat="1" applyFont="1" applyFill="1" applyBorder="1"/>
    <xf numFmtId="0" fontId="0" fillId="30" borderId="1" xfId="0" applyFill="1" applyBorder="1"/>
    <xf numFmtId="170" fontId="0" fillId="30" borderId="1" xfId="0" applyNumberFormat="1" applyFill="1" applyBorder="1"/>
    <xf numFmtId="0" fontId="0" fillId="30" borderId="0" xfId="0" applyFill="1"/>
    <xf numFmtId="0" fontId="0" fillId="6" borderId="1" xfId="0" applyFill="1" applyBorder="1"/>
    <xf numFmtId="170" fontId="0" fillId="6" borderId="1" xfId="0" applyNumberFormat="1" applyFill="1" applyBorder="1"/>
    <xf numFmtId="0" fontId="0" fillId="6" borderId="0" xfId="0" applyFill="1"/>
    <xf numFmtId="0" fontId="0" fillId="11" borderId="1" xfId="0" applyFill="1" applyBorder="1"/>
    <xf numFmtId="170" fontId="0" fillId="11" borderId="1" xfId="0" applyNumberFormat="1" applyFill="1" applyBorder="1"/>
    <xf numFmtId="0" fontId="0" fillId="11" borderId="0" xfId="0" applyFill="1"/>
    <xf numFmtId="170" fontId="0" fillId="14" borderId="1" xfId="0" applyNumberFormat="1" applyFill="1" applyBorder="1"/>
    <xf numFmtId="0" fontId="0" fillId="14" borderId="0" xfId="0" applyFill="1"/>
    <xf numFmtId="0" fontId="0" fillId="36" borderId="1" xfId="0" applyFill="1" applyBorder="1"/>
    <xf numFmtId="170" fontId="0" fillId="36" borderId="1" xfId="0" applyNumberFormat="1" applyFill="1" applyBorder="1"/>
    <xf numFmtId="0" fontId="0" fillId="36" borderId="0" xfId="0" applyFill="1"/>
    <xf numFmtId="170" fontId="0" fillId="30" borderId="0" xfId="0" applyNumberFormat="1" applyFill="1"/>
    <xf numFmtId="0" fontId="0" fillId="14" borderId="1" xfId="0" applyFill="1" applyBorder="1" applyAlignment="1">
      <alignment horizontal="center"/>
    </xf>
    <xf numFmtId="0" fontId="5" fillId="0" borderId="0" xfId="0" applyFont="1" applyProtection="1">
      <protection locked="0"/>
    </xf>
    <xf numFmtId="0" fontId="5" fillId="0" borderId="0" xfId="0" applyFont="1"/>
    <xf numFmtId="2" fontId="0" fillId="36" borderId="0" xfId="0" applyNumberFormat="1" applyFill="1"/>
    <xf numFmtId="0" fontId="5" fillId="0" borderId="0" xfId="0" applyFont="1" applyAlignment="1">
      <alignment wrapText="1"/>
    </xf>
    <xf numFmtId="0" fontId="5" fillId="0" borderId="0" xfId="0" applyFont="1" applyAlignment="1" applyProtection="1">
      <alignment horizontal="center"/>
      <protection locked="0"/>
    </xf>
    <xf numFmtId="0" fontId="61" fillId="0" borderId="0" xfId="0" applyFont="1" applyAlignment="1">
      <alignment horizontal="center" vertical="center"/>
    </xf>
    <xf numFmtId="0" fontId="23" fillId="0" borderId="1" xfId="0" applyFont="1" applyBorder="1" applyAlignment="1">
      <alignment horizontal="center" vertical="top" wrapText="1"/>
    </xf>
    <xf numFmtId="0" fontId="0" fillId="12" borderId="1" xfId="0" applyFill="1" applyBorder="1" applyAlignment="1">
      <alignment horizontal="right" wrapText="1"/>
    </xf>
    <xf numFmtId="0" fontId="9" fillId="7" borderId="1" xfId="0" applyFont="1" applyFill="1" applyBorder="1" applyAlignment="1" applyProtection="1">
      <alignment horizontal="center" vertical="center" wrapText="1"/>
      <protection locked="0"/>
    </xf>
    <xf numFmtId="4" fontId="0" fillId="0" borderId="1" xfId="0" applyNumberFormat="1" applyBorder="1"/>
    <xf numFmtId="0" fontId="0" fillId="18" borderId="1" xfId="0" applyFill="1" applyBorder="1"/>
    <xf numFmtId="4" fontId="0" fillId="18" borderId="1" xfId="0" applyNumberFormat="1" applyFill="1" applyBorder="1"/>
    <xf numFmtId="1" fontId="63" fillId="18" borderId="1" xfId="0" applyNumberFormat="1" applyFont="1" applyFill="1" applyBorder="1" applyAlignment="1">
      <alignment horizontal="center"/>
    </xf>
    <xf numFmtId="0" fontId="63" fillId="18" borderId="1" xfId="0" applyFont="1" applyFill="1" applyBorder="1" applyAlignment="1">
      <alignment horizontal="center"/>
    </xf>
    <xf numFmtId="0" fontId="63" fillId="18" borderId="1" xfId="0" applyFont="1" applyFill="1" applyBorder="1" applyAlignment="1">
      <alignment horizontal="center" wrapText="1"/>
    </xf>
    <xf numFmtId="170" fontId="0" fillId="0" borderId="82" xfId="0" applyNumberFormat="1" applyBorder="1"/>
    <xf numFmtId="0" fontId="64" fillId="0" borderId="0" xfId="3"/>
    <xf numFmtId="0" fontId="36" fillId="0" borderId="0" xfId="3" applyFont="1"/>
    <xf numFmtId="0" fontId="36" fillId="0" borderId="0" xfId="3" applyFont="1" applyAlignment="1">
      <alignment horizontal="centerContinuous"/>
    </xf>
    <xf numFmtId="0" fontId="65" fillId="0" borderId="0" xfId="3" applyFont="1"/>
    <xf numFmtId="1" fontId="69" fillId="0" borderId="1" xfId="3" applyNumberFormat="1" applyFont="1" applyBorder="1" applyAlignment="1">
      <alignment horizontal="center" vertical="center" wrapText="1"/>
    </xf>
    <xf numFmtId="1" fontId="69" fillId="0" borderId="1" xfId="3" applyNumberFormat="1" applyFont="1" applyBorder="1" applyAlignment="1">
      <alignment horizontal="center" vertical="center"/>
    </xf>
    <xf numFmtId="1" fontId="70" fillId="0" borderId="1" xfId="3" applyNumberFormat="1" applyFont="1" applyBorder="1" applyAlignment="1">
      <alignment horizontal="center" vertical="center" wrapText="1"/>
    </xf>
    <xf numFmtId="0" fontId="68" fillId="0" borderId="0" xfId="3" applyFont="1" applyAlignment="1">
      <alignment horizontal="center"/>
    </xf>
    <xf numFmtId="0" fontId="69" fillId="0" borderId="0" xfId="3" applyFont="1" applyAlignment="1">
      <alignment horizontal="center" vertical="center" wrapText="1"/>
    </xf>
    <xf numFmtId="0" fontId="36" fillId="0" borderId="0" xfId="3" applyFont="1" applyAlignment="1">
      <alignment horizontal="center" vertical="center" wrapText="1"/>
    </xf>
    <xf numFmtId="0" fontId="36" fillId="0" borderId="0" xfId="3" quotePrefix="1" applyFont="1" applyAlignment="1">
      <alignment horizontal="center" vertical="center" wrapText="1"/>
    </xf>
    <xf numFmtId="0" fontId="69" fillId="0" borderId="0" xfId="3" quotePrefix="1" applyFont="1" applyAlignment="1">
      <alignment horizontal="center" vertical="center" wrapText="1"/>
    </xf>
    <xf numFmtId="0" fontId="66" fillId="0" borderId="0" xfId="3" applyFont="1" applyAlignment="1">
      <alignment horizontal="center" vertical="center" wrapText="1"/>
    </xf>
    <xf numFmtId="0" fontId="36" fillId="0" borderId="18" xfId="3" applyFont="1" applyBorder="1" applyAlignment="1">
      <alignment horizontal="center" vertical="center" wrapText="1"/>
    </xf>
    <xf numFmtId="2" fontId="36" fillId="0" borderId="1" xfId="3" applyNumberFormat="1" applyFont="1" applyBorder="1" applyAlignment="1">
      <alignment horizontal="right" vertical="center"/>
    </xf>
    <xf numFmtId="0" fontId="69" fillId="0" borderId="13" xfId="3" applyFont="1" applyBorder="1" applyAlignment="1">
      <alignment horizontal="center" vertical="center" wrapText="1"/>
    </xf>
    <xf numFmtId="0" fontId="69" fillId="0" borderId="9" xfId="3" applyFont="1" applyBorder="1" applyAlignment="1">
      <alignment horizontal="center" vertical="center" wrapText="1"/>
    </xf>
    <xf numFmtId="0" fontId="36" fillId="0" borderId="9" xfId="3" quotePrefix="1" applyFont="1" applyBorder="1" applyAlignment="1">
      <alignment horizontal="center" vertical="center" wrapText="1"/>
    </xf>
    <xf numFmtId="0" fontId="69" fillId="0" borderId="9" xfId="3" quotePrefix="1" applyFont="1" applyBorder="1" applyAlignment="1">
      <alignment horizontal="center" vertical="center" wrapText="1"/>
    </xf>
    <xf numFmtId="0" fontId="66" fillId="0" borderId="9" xfId="3" applyFont="1" applyBorder="1" applyAlignment="1">
      <alignment horizontal="center" vertical="center" wrapText="1"/>
    </xf>
    <xf numFmtId="0" fontId="36" fillId="0" borderId="9" xfId="3" applyFont="1" applyBorder="1" applyAlignment="1">
      <alignment horizontal="center" vertical="center" wrapText="1"/>
    </xf>
    <xf numFmtId="0" fontId="66" fillId="0" borderId="9" xfId="3" quotePrefix="1" applyFont="1" applyBorder="1" applyAlignment="1">
      <alignment horizontal="center" vertical="center" wrapText="1"/>
    </xf>
    <xf numFmtId="0" fontId="66" fillId="0" borderId="16" xfId="3" applyFont="1" applyBorder="1" applyAlignment="1">
      <alignment horizontal="center" vertical="center" wrapText="1"/>
    </xf>
    <xf numFmtId="0" fontId="36" fillId="0" borderId="83" xfId="3" applyFont="1" applyBorder="1" applyAlignment="1">
      <alignment horizontal="center" vertical="center" wrapText="1"/>
    </xf>
    <xf numFmtId="0" fontId="36" fillId="0" borderId="84" xfId="3" applyFont="1" applyBorder="1" applyAlignment="1">
      <alignment horizontal="center" vertical="center" wrapText="1"/>
    </xf>
    <xf numFmtId="0" fontId="36" fillId="0" borderId="84" xfId="3" applyFont="1" applyBorder="1" applyAlignment="1">
      <alignment horizontal="center" vertical="center"/>
    </xf>
    <xf numFmtId="1" fontId="36" fillId="0" borderId="15" xfId="3" applyNumberFormat="1" applyFont="1" applyBorder="1" applyAlignment="1">
      <alignment horizontal="center" vertical="center"/>
    </xf>
    <xf numFmtId="4" fontId="64" fillId="0" borderId="1" xfId="3" applyNumberFormat="1" applyBorder="1"/>
    <xf numFmtId="4" fontId="0" fillId="0" borderId="0" xfId="0" applyNumberFormat="1"/>
    <xf numFmtId="170" fontId="5" fillId="32" borderId="50" xfId="2" applyNumberFormat="1" applyFont="1" applyBorder="1" applyAlignment="1" applyProtection="1">
      <alignment horizontal="center" vertical="center"/>
    </xf>
    <xf numFmtId="0" fontId="0" fillId="0" borderId="0" xfId="0" applyAlignment="1">
      <alignment vertical="center"/>
    </xf>
    <xf numFmtId="0" fontId="5" fillId="16" borderId="0" xfId="0" applyFont="1" applyFill="1" applyProtection="1">
      <protection locked="0"/>
    </xf>
    <xf numFmtId="0" fontId="32" fillId="16" borderId="0" xfId="0" applyFont="1" applyFill="1" applyProtection="1">
      <protection hidden="1"/>
    </xf>
    <xf numFmtId="0" fontId="32" fillId="16" borderId="0" xfId="0" applyFont="1" applyFill="1" applyProtection="1">
      <protection locked="0"/>
    </xf>
    <xf numFmtId="0" fontId="5" fillId="16" borderId="0" xfId="0" applyFont="1" applyFill="1" applyProtection="1">
      <protection hidden="1"/>
    </xf>
    <xf numFmtId="170" fontId="50" fillId="0" borderId="0" xfId="0" applyNumberFormat="1" applyFont="1" applyAlignment="1">
      <alignment horizontal="right" vertical="center"/>
    </xf>
    <xf numFmtId="0" fontId="10" fillId="37" borderId="1" xfId="0" applyFont="1" applyFill="1" applyBorder="1" applyAlignment="1">
      <alignment horizontal="center" vertical="center"/>
    </xf>
    <xf numFmtId="0" fontId="10" fillId="6" borderId="1" xfId="0" applyFont="1" applyFill="1" applyBorder="1" applyAlignment="1">
      <alignment horizontal="center" vertical="center"/>
    </xf>
    <xf numFmtId="170" fontId="5" fillId="14" borderId="20" xfId="0" applyNumberFormat="1" applyFont="1" applyFill="1" applyBorder="1" applyAlignment="1">
      <alignment horizontal="center" vertical="center"/>
    </xf>
    <xf numFmtId="0" fontId="0" fillId="38" borderId="1" xfId="0" applyFill="1" applyBorder="1" applyAlignment="1">
      <alignment horizontal="center"/>
    </xf>
    <xf numFmtId="0" fontId="0" fillId="38" borderId="1" xfId="0" applyFill="1" applyBorder="1"/>
    <xf numFmtId="0" fontId="74" fillId="0" borderId="0" xfId="0" applyFont="1" applyAlignment="1" applyProtection="1">
      <alignment vertical="center" wrapText="1"/>
      <protection locked="0"/>
    </xf>
    <xf numFmtId="170" fontId="43" fillId="7" borderId="0" xfId="0" applyNumberFormat="1" applyFont="1" applyFill="1"/>
    <xf numFmtId="0" fontId="10" fillId="4" borderId="1" xfId="0" applyFont="1" applyFill="1" applyBorder="1" applyAlignment="1" applyProtection="1">
      <alignment horizontal="center" vertical="center"/>
      <protection hidden="1"/>
    </xf>
    <xf numFmtId="170" fontId="0" fillId="0" borderId="4" xfId="0" applyNumberFormat="1" applyBorder="1"/>
    <xf numFmtId="10" fontId="0" fillId="0" borderId="4" xfId="0" applyNumberFormat="1" applyBorder="1"/>
    <xf numFmtId="0" fontId="10" fillId="4" borderId="4" xfId="0" applyFont="1" applyFill="1" applyBorder="1" applyAlignment="1" applyProtection="1">
      <alignment horizontal="center" vertical="center"/>
      <protection hidden="1"/>
    </xf>
    <xf numFmtId="170" fontId="0" fillId="4" borderId="4" xfId="0" applyNumberFormat="1" applyFill="1" applyBorder="1" applyAlignment="1">
      <alignment horizontal="center"/>
    </xf>
    <xf numFmtId="170" fontId="75" fillId="7" borderId="1" xfId="0" applyNumberFormat="1" applyFont="1" applyFill="1" applyBorder="1" applyAlignment="1">
      <alignment horizontal="center"/>
    </xf>
    <xf numFmtId="0" fontId="17" fillId="39" borderId="1" xfId="0" applyFont="1" applyFill="1" applyBorder="1" applyAlignment="1">
      <alignment horizontal="center"/>
    </xf>
    <xf numFmtId="0" fontId="13" fillId="0" borderId="0" xfId="0" applyFont="1"/>
    <xf numFmtId="0" fontId="0" fillId="0" borderId="63" xfId="0" applyBorder="1"/>
    <xf numFmtId="0" fontId="0" fillId="0" borderId="2" xfId="0" applyBorder="1" applyAlignment="1">
      <alignment horizontal="left"/>
    </xf>
    <xf numFmtId="0" fontId="53" fillId="0" borderId="0" xfId="0" applyFont="1" applyAlignment="1">
      <alignment horizontal="center"/>
    </xf>
    <xf numFmtId="0" fontId="0" fillId="21" borderId="7" xfId="0" applyFill="1" applyBorder="1" applyAlignment="1">
      <alignment horizontal="center" vertical="center"/>
    </xf>
    <xf numFmtId="0" fontId="0" fillId="18" borderId="1" xfId="0" applyFill="1" applyBorder="1" applyAlignment="1">
      <alignment horizontal="center"/>
    </xf>
    <xf numFmtId="0" fontId="1" fillId="4" borderId="0" xfId="0" applyFont="1" applyFill="1" applyAlignment="1">
      <alignment horizontal="center"/>
    </xf>
    <xf numFmtId="0" fontId="25" fillId="0" borderId="1" xfId="0" applyFont="1" applyBorder="1"/>
    <xf numFmtId="170" fontId="25" fillId="0" borderId="1" xfId="0" applyNumberFormat="1" applyFont="1" applyBorder="1" applyAlignment="1">
      <alignment wrapText="1"/>
    </xf>
    <xf numFmtId="0" fontId="25" fillId="0" borderId="1" xfId="0" applyFont="1" applyBorder="1" applyAlignment="1">
      <alignment wrapText="1"/>
    </xf>
    <xf numFmtId="170" fontId="25" fillId="0" borderId="1" xfId="0" applyNumberFormat="1" applyFont="1" applyBorder="1"/>
    <xf numFmtId="170" fontId="10" fillId="12" borderId="1" xfId="0" applyNumberFormat="1" applyFont="1" applyFill="1" applyBorder="1" applyAlignment="1">
      <alignment horizontal="right"/>
    </xf>
    <xf numFmtId="170" fontId="10" fillId="12" borderId="1" xfId="0" applyNumberFormat="1" applyFont="1" applyFill="1" applyBorder="1" applyAlignment="1">
      <alignment horizontal="right" vertical="center"/>
    </xf>
    <xf numFmtId="0" fontId="10" fillId="12" borderId="1" xfId="0" applyFont="1" applyFill="1" applyBorder="1" applyAlignment="1">
      <alignment horizontal="right"/>
    </xf>
    <xf numFmtId="0" fontId="5" fillId="0" borderId="1" xfId="0" applyFont="1" applyBorder="1" applyAlignment="1">
      <alignment horizontal="center" vertical="center"/>
    </xf>
    <xf numFmtId="0" fontId="1" fillId="21" borderId="42" xfId="0" applyFont="1" applyFill="1" applyBorder="1" applyAlignment="1">
      <alignment horizontal="center" vertical="center" wrapText="1"/>
    </xf>
    <xf numFmtId="0" fontId="1" fillId="21" borderId="38" xfId="0" applyFont="1" applyFill="1" applyBorder="1" applyAlignment="1">
      <alignment horizontal="center" vertical="center" wrapText="1"/>
    </xf>
    <xf numFmtId="0" fontId="51" fillId="21" borderId="25" xfId="0" applyFont="1" applyFill="1" applyBorder="1" applyAlignment="1">
      <alignment vertical="center" wrapText="1"/>
    </xf>
    <xf numFmtId="0" fontId="51" fillId="21" borderId="1" xfId="0" applyFont="1" applyFill="1" applyBorder="1" applyAlignment="1">
      <alignment vertical="center" wrapText="1"/>
    </xf>
    <xf numFmtId="0" fontId="0" fillId="21" borderId="34" xfId="0" applyFill="1" applyBorder="1"/>
    <xf numFmtId="0" fontId="0" fillId="21" borderId="0" xfId="0" applyFill="1"/>
    <xf numFmtId="0" fontId="0" fillId="21" borderId="33" xfId="0" applyFill="1" applyBorder="1"/>
    <xf numFmtId="0" fontId="1" fillId="21" borderId="25" xfId="0" applyFont="1" applyFill="1" applyBorder="1" applyAlignment="1">
      <alignment horizontal="center" vertical="center" wrapText="1"/>
    </xf>
    <xf numFmtId="0" fontId="1" fillId="21" borderId="1" xfId="0" applyFont="1" applyFill="1" applyBorder="1" applyAlignment="1">
      <alignment horizontal="center" vertical="center" wrapText="1"/>
    </xf>
    <xf numFmtId="0" fontId="7" fillId="21" borderId="1" xfId="0" applyFont="1" applyFill="1" applyBorder="1" applyAlignment="1">
      <alignment horizontal="center"/>
    </xf>
    <xf numFmtId="0" fontId="7" fillId="21" borderId="20" xfId="0" applyFont="1" applyFill="1" applyBorder="1" applyAlignment="1">
      <alignment horizontal="center"/>
    </xf>
    <xf numFmtId="0" fontId="0" fillId="21" borderId="9" xfId="0" applyFill="1" applyBorder="1"/>
    <xf numFmtId="0" fontId="0" fillId="21" borderId="20" xfId="0" applyFill="1" applyBorder="1"/>
    <xf numFmtId="0" fontId="0" fillId="21" borderId="25" xfId="0" applyFill="1" applyBorder="1"/>
    <xf numFmtId="0" fontId="0" fillId="21" borderId="1" xfId="0" applyFill="1" applyBorder="1" applyAlignment="1">
      <alignment vertical="center" wrapText="1"/>
    </xf>
    <xf numFmtId="0" fontId="0" fillId="21" borderId="40" xfId="0" applyFill="1" applyBorder="1"/>
    <xf numFmtId="0" fontId="0" fillId="21" borderId="39" xfId="0" applyFill="1" applyBorder="1"/>
    <xf numFmtId="0" fontId="0" fillId="21" borderId="21" xfId="0" applyFill="1" applyBorder="1"/>
    <xf numFmtId="0" fontId="0" fillId="27" borderId="26" xfId="0" applyFill="1" applyBorder="1"/>
    <xf numFmtId="0" fontId="0" fillId="27" borderId="34" xfId="0" applyFill="1" applyBorder="1"/>
    <xf numFmtId="0" fontId="0" fillId="27" borderId="0" xfId="0" applyFill="1"/>
    <xf numFmtId="0" fontId="0" fillId="27" borderId="33" xfId="0" applyFill="1" applyBorder="1"/>
    <xf numFmtId="0" fontId="0" fillId="27" borderId="64" xfId="0" applyFill="1" applyBorder="1"/>
    <xf numFmtId="0" fontId="0" fillId="27" borderId="35" xfId="0" applyFill="1" applyBorder="1"/>
    <xf numFmtId="0" fontId="0" fillId="27" borderId="36" xfId="0" applyFill="1" applyBorder="1"/>
    <xf numFmtId="0" fontId="0" fillId="27" borderId="1" xfId="0" applyFill="1" applyBorder="1" applyAlignment="1">
      <alignment wrapText="1"/>
    </xf>
    <xf numFmtId="0" fontId="0" fillId="27" borderId="2" xfId="0" applyFill="1" applyBorder="1"/>
    <xf numFmtId="0" fontId="10" fillId="2" borderId="42" xfId="0" applyFont="1" applyFill="1" applyBorder="1" applyAlignment="1">
      <alignment horizontal="center" vertical="center"/>
    </xf>
    <xf numFmtId="0" fontId="10" fillId="2" borderId="38" xfId="0" applyFont="1" applyFill="1" applyBorder="1" applyAlignment="1">
      <alignment horizontal="center" vertical="center"/>
    </xf>
    <xf numFmtId="0" fontId="10" fillId="2" borderId="19" xfId="0" applyFont="1" applyFill="1" applyBorder="1" applyAlignment="1">
      <alignment horizontal="center" vertical="center"/>
    </xf>
    <xf numFmtId="170" fontId="25" fillId="0" borderId="39" xfId="0" applyNumberFormat="1" applyFont="1" applyBorder="1" applyAlignment="1">
      <alignment horizontal="center" vertical="center"/>
    </xf>
    <xf numFmtId="170" fontId="10" fillId="0" borderId="39" xfId="0" applyNumberFormat="1" applyFont="1" applyBorder="1" applyAlignment="1">
      <alignment horizontal="center" vertical="center"/>
    </xf>
    <xf numFmtId="170" fontId="10" fillId="0" borderId="21" xfId="0" applyNumberFormat="1" applyFont="1" applyBorder="1" applyAlignment="1">
      <alignment horizontal="center" vertical="center"/>
    </xf>
    <xf numFmtId="170" fontId="0" fillId="0" borderId="2" xfId="0" applyNumberFormat="1" applyBorder="1" applyAlignment="1">
      <alignment horizontal="center"/>
    </xf>
    <xf numFmtId="0" fontId="0" fillId="29" borderId="52" xfId="0" applyFill="1" applyBorder="1" applyAlignment="1">
      <alignment wrapText="1"/>
    </xf>
    <xf numFmtId="0" fontId="0" fillId="0" borderId="4" xfId="0" applyBorder="1" applyAlignment="1">
      <alignment horizontal="right" vertical="center"/>
    </xf>
    <xf numFmtId="0" fontId="0" fillId="21" borderId="56" xfId="0" applyFill="1" applyBorder="1" applyAlignment="1">
      <alignment horizontal="center" vertical="center"/>
    </xf>
    <xf numFmtId="170" fontId="49" fillId="21" borderId="6" xfId="0" applyNumberFormat="1" applyFont="1" applyFill="1" applyBorder="1" applyAlignment="1">
      <alignment horizontal="center" vertical="center"/>
    </xf>
    <xf numFmtId="0" fontId="49" fillId="21" borderId="7" xfId="0" applyFont="1" applyFill="1" applyBorder="1" applyAlignment="1">
      <alignment horizontal="center" vertical="center"/>
    </xf>
    <xf numFmtId="10" fontId="14" fillId="7" borderId="8" xfId="0" applyNumberFormat="1" applyFont="1" applyFill="1" applyBorder="1" applyAlignment="1">
      <alignment horizontal="center" vertical="center"/>
    </xf>
    <xf numFmtId="10" fontId="14" fillId="7" borderId="7" xfId="0" applyNumberFormat="1" applyFont="1" applyFill="1" applyBorder="1" applyAlignment="1">
      <alignment horizontal="center" vertical="center"/>
    </xf>
    <xf numFmtId="170" fontId="14" fillId="7" borderId="8" xfId="0" applyNumberFormat="1" applyFont="1" applyFill="1" applyBorder="1" applyAlignment="1">
      <alignment horizontal="center" vertical="center"/>
    </xf>
    <xf numFmtId="170" fontId="33" fillId="0" borderId="52" xfId="0" applyNumberFormat="1" applyFont="1" applyBorder="1" applyAlignment="1">
      <alignment horizontal="center" vertical="center"/>
    </xf>
    <xf numFmtId="0" fontId="78" fillId="27" borderId="1" xfId="4" applyFont="1" applyFill="1" applyBorder="1" applyAlignment="1">
      <alignment horizontal="center" vertical="center" wrapText="1"/>
    </xf>
    <xf numFmtId="0" fontId="14" fillId="27" borderId="1" xfId="0" applyFont="1" applyFill="1" applyBorder="1" applyAlignment="1">
      <alignment horizontal="center" vertical="center" wrapText="1"/>
    </xf>
    <xf numFmtId="170" fontId="0" fillId="27" borderId="1" xfId="0" applyNumberFormat="1" applyFill="1" applyBorder="1" applyAlignment="1">
      <alignment horizontal="right"/>
    </xf>
    <xf numFmtId="0" fontId="1" fillId="27" borderId="25" xfId="0" applyFont="1" applyFill="1" applyBorder="1" applyAlignment="1" applyProtection="1">
      <alignment horizontal="right" vertical="center" wrapText="1"/>
      <protection locked="0"/>
    </xf>
    <xf numFmtId="173" fontId="0" fillId="0" borderId="20" xfId="0" applyNumberFormat="1" applyBorder="1" applyAlignment="1" applyProtection="1">
      <alignment vertical="center"/>
      <protection locked="0"/>
    </xf>
    <xf numFmtId="0" fontId="1" fillId="26" borderId="25" xfId="0" applyFont="1" applyFill="1" applyBorder="1" applyAlignment="1" applyProtection="1">
      <alignment horizontal="right" vertical="center" wrapText="1"/>
      <protection locked="0"/>
    </xf>
    <xf numFmtId="0" fontId="1" fillId="23" borderId="40" xfId="0" applyFont="1" applyFill="1" applyBorder="1" applyAlignment="1" applyProtection="1">
      <alignment horizontal="right" vertical="center" wrapText="1"/>
      <protection locked="0"/>
    </xf>
    <xf numFmtId="173" fontId="9" fillId="7" borderId="21" xfId="0" applyNumberFormat="1" applyFont="1" applyFill="1" applyBorder="1" applyAlignment="1" applyProtection="1">
      <alignment vertical="center"/>
      <protection locked="0"/>
    </xf>
    <xf numFmtId="0" fontId="18" fillId="6" borderId="10" xfId="0" applyFont="1" applyFill="1" applyBorder="1" applyAlignment="1">
      <alignment vertical="center" wrapText="1"/>
    </xf>
    <xf numFmtId="0" fontId="18" fillId="6" borderId="3" xfId="0" applyFont="1" applyFill="1" applyBorder="1" applyAlignment="1">
      <alignment vertical="center" wrapText="1"/>
    </xf>
    <xf numFmtId="0" fontId="9" fillId="7" borderId="21" xfId="0" applyFont="1" applyFill="1" applyBorder="1" applyAlignment="1" applyProtection="1">
      <alignment vertical="center"/>
      <protection locked="0"/>
    </xf>
    <xf numFmtId="172" fontId="14" fillId="13" borderId="43" xfId="0" applyNumberFormat="1" applyFont="1" applyFill="1" applyBorder="1" applyAlignment="1">
      <alignment horizontal="center"/>
    </xf>
    <xf numFmtId="172" fontId="9" fillId="13" borderId="43" xfId="0" applyNumberFormat="1" applyFont="1" applyFill="1" applyBorder="1" applyAlignment="1">
      <alignment horizontal="center"/>
    </xf>
    <xf numFmtId="0" fontId="8" fillId="23" borderId="4" xfId="0" applyFont="1" applyFill="1" applyBorder="1"/>
    <xf numFmtId="172" fontId="0" fillId="8" borderId="18" xfId="0" applyNumberFormat="1" applyFill="1" applyBorder="1" applyAlignment="1">
      <alignment horizontal="center"/>
    </xf>
    <xf numFmtId="0" fontId="32" fillId="16" borderId="0" xfId="0" applyFont="1" applyFill="1"/>
    <xf numFmtId="0" fontId="5" fillId="16" borderId="0" xfId="0" applyFont="1" applyFill="1" applyAlignment="1" applyProtection="1">
      <alignment wrapText="1"/>
      <protection hidden="1"/>
    </xf>
    <xf numFmtId="0" fontId="5" fillId="0" borderId="0" xfId="0" applyFont="1" applyAlignment="1" applyProtection="1">
      <alignment wrapText="1"/>
      <protection locked="0"/>
    </xf>
    <xf numFmtId="170" fontId="5" fillId="0" borderId="0" xfId="0" applyNumberFormat="1" applyFont="1" applyProtection="1">
      <protection locked="0"/>
    </xf>
    <xf numFmtId="170" fontId="0" fillId="0" borderId="0" xfId="0" applyNumberFormat="1" applyProtection="1">
      <protection locked="0"/>
    </xf>
    <xf numFmtId="170" fontId="0" fillId="14" borderId="47" xfId="0" applyNumberFormat="1" applyFill="1" applyBorder="1" applyAlignment="1">
      <alignment horizontal="center" vertical="center"/>
    </xf>
    <xf numFmtId="0" fontId="53" fillId="0" borderId="1" xfId="0" applyFont="1" applyBorder="1" applyAlignment="1">
      <alignment horizontal="center" vertical="center" wrapText="1"/>
    </xf>
    <xf numFmtId="0" fontId="0" fillId="29" borderId="1" xfId="0" applyFill="1" applyBorder="1" applyAlignment="1">
      <alignment horizontal="center"/>
    </xf>
    <xf numFmtId="0" fontId="1" fillId="13" borderId="62" xfId="0" applyFont="1" applyFill="1" applyBorder="1" applyAlignment="1" applyProtection="1">
      <alignment horizontal="center" vertical="center" wrapText="1"/>
      <protection locked="0"/>
    </xf>
    <xf numFmtId="170" fontId="81" fillId="20" borderId="1" xfId="0" applyNumberFormat="1" applyFont="1" applyFill="1" applyBorder="1" applyAlignment="1" applyProtection="1">
      <alignment horizontal="center" vertical="center" wrapText="1"/>
      <protection locked="0"/>
    </xf>
    <xf numFmtId="0" fontId="25" fillId="15" borderId="0" xfId="0" applyFont="1" applyFill="1" applyAlignment="1">
      <alignment horizontal="center"/>
    </xf>
    <xf numFmtId="170" fontId="0" fillId="14" borderId="41" xfId="0" applyNumberFormat="1" applyFill="1" applyBorder="1" applyAlignment="1">
      <alignment vertical="center"/>
    </xf>
    <xf numFmtId="0" fontId="1" fillId="13" borderId="1" xfId="0" applyFont="1" applyFill="1" applyBorder="1" applyAlignment="1" applyProtection="1">
      <alignment horizontal="center" vertical="center" wrapText="1"/>
      <protection locked="0"/>
    </xf>
    <xf numFmtId="0" fontId="1" fillId="20" borderId="1" xfId="0" applyFont="1" applyFill="1" applyBorder="1" applyAlignment="1" applyProtection="1">
      <alignment horizontal="center" vertical="center" wrapText="1"/>
      <protection locked="0"/>
    </xf>
    <xf numFmtId="0" fontId="23" fillId="13" borderId="62" xfId="0" applyFont="1" applyFill="1" applyBorder="1" applyAlignment="1">
      <alignment horizontal="center" vertical="center" wrapText="1"/>
    </xf>
    <xf numFmtId="0" fontId="23" fillId="13" borderId="62" xfId="0" applyFont="1" applyFill="1" applyBorder="1" applyAlignment="1" applyProtection="1">
      <alignment horizontal="center" vertical="center" wrapText="1"/>
      <protection locked="0"/>
    </xf>
    <xf numFmtId="0" fontId="80" fillId="20" borderId="1" xfId="0" applyFont="1" applyFill="1" applyBorder="1" applyAlignment="1">
      <alignment horizontal="center" vertical="center" wrapText="1"/>
    </xf>
    <xf numFmtId="0" fontId="25" fillId="0" borderId="1" xfId="0" applyFon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10" fillId="17" borderId="1" xfId="0" applyFont="1" applyFill="1" applyBorder="1" applyAlignment="1" applyProtection="1">
      <alignment horizontal="center" vertical="center" wrapText="1"/>
      <protection locked="0"/>
    </xf>
    <xf numFmtId="0" fontId="5" fillId="0" borderId="1" xfId="0" applyFont="1" applyBorder="1" applyAlignment="1">
      <alignment horizontal="center" vertical="center" wrapText="1"/>
    </xf>
    <xf numFmtId="0" fontId="5" fillId="0" borderId="1" xfId="0" applyFont="1" applyBorder="1" applyAlignment="1" applyProtection="1">
      <alignment horizontal="center" vertical="center" wrapText="1"/>
      <protection locked="0"/>
    </xf>
    <xf numFmtId="165" fontId="0" fillId="0" borderId="1" xfId="0" applyNumberFormat="1" applyBorder="1" applyAlignment="1">
      <alignment horizontal="center" vertical="center" wrapText="1"/>
    </xf>
    <xf numFmtId="165" fontId="0" fillId="29" borderId="1" xfId="0" applyNumberFormat="1" applyFill="1" applyBorder="1" applyAlignment="1">
      <alignment horizontal="center" wrapText="1"/>
    </xf>
    <xf numFmtId="0" fontId="0" fillId="29" borderId="1" xfId="0" applyFill="1" applyBorder="1" applyAlignment="1">
      <alignment horizontal="center" wrapText="1"/>
    </xf>
    <xf numFmtId="165" fontId="0" fillId="0" borderId="0" xfId="0" applyNumberFormat="1" applyAlignment="1">
      <alignment wrapText="1"/>
    </xf>
    <xf numFmtId="165" fontId="0" fillId="0" borderId="1" xfId="0" applyNumberFormat="1" applyBorder="1" applyAlignment="1">
      <alignment horizontal="center" wrapText="1"/>
    </xf>
    <xf numFmtId="165" fontId="0" fillId="0" borderId="0" xfId="0" applyNumberFormat="1"/>
    <xf numFmtId="0" fontId="0" fillId="29" borderId="1" xfId="0" applyFill="1" applyBorder="1" applyAlignment="1">
      <alignment horizontal="center" vertical="center" wrapText="1"/>
    </xf>
    <xf numFmtId="174" fontId="82" fillId="7" borderId="1" xfId="0" applyNumberFormat="1" applyFont="1" applyFill="1" applyBorder="1" applyAlignment="1" applyProtection="1">
      <alignment horizontal="center" vertical="center" wrapText="1"/>
      <protection locked="0"/>
    </xf>
    <xf numFmtId="174" fontId="82" fillId="40" borderId="1" xfId="0" applyNumberFormat="1" applyFont="1" applyFill="1" applyBorder="1" applyAlignment="1" applyProtection="1">
      <alignment horizontal="center" vertical="center" wrapText="1"/>
      <protection locked="0"/>
    </xf>
    <xf numFmtId="170" fontId="0" fillId="7" borderId="1" xfId="0" applyNumberFormat="1" applyFill="1" applyBorder="1" applyAlignment="1" applyProtection="1">
      <alignment horizontal="center" vertical="center" wrapText="1"/>
      <protection locked="0"/>
    </xf>
    <xf numFmtId="0" fontId="0" fillId="7" borderId="1" xfId="0" applyFill="1" applyBorder="1" applyAlignment="1">
      <alignment horizontal="center" vertical="center" wrapText="1"/>
    </xf>
    <xf numFmtId="0" fontId="0" fillId="7" borderId="1" xfId="0" applyFill="1" applyBorder="1" applyAlignment="1">
      <alignment wrapText="1"/>
    </xf>
    <xf numFmtId="0" fontId="5" fillId="40" borderId="1" xfId="0" applyFont="1" applyFill="1" applyBorder="1" applyAlignment="1" applyProtection="1">
      <alignment horizontal="center" vertical="center" wrapText="1"/>
      <protection locked="0"/>
    </xf>
    <xf numFmtId="0" fontId="0" fillId="40" borderId="1" xfId="0" applyFill="1" applyBorder="1" applyAlignment="1">
      <alignment horizontal="center" vertical="center" wrapText="1"/>
    </xf>
    <xf numFmtId="0" fontId="0" fillId="40" borderId="1" xfId="0" applyFill="1" applyBorder="1" applyAlignment="1">
      <alignment wrapText="1"/>
    </xf>
    <xf numFmtId="0" fontId="1" fillId="40" borderId="1" xfId="0" applyFont="1" applyFill="1" applyBorder="1" applyAlignment="1" applyProtection="1">
      <alignment horizontal="center" vertical="center" wrapText="1"/>
      <protection locked="0"/>
    </xf>
    <xf numFmtId="10" fontId="0" fillId="40" borderId="1" xfId="0" applyNumberFormat="1" applyFill="1" applyBorder="1"/>
    <xf numFmtId="10" fontId="0" fillId="0" borderId="0" xfId="0" applyNumberFormat="1"/>
    <xf numFmtId="10" fontId="79" fillId="20" borderId="1" xfId="0" applyNumberFormat="1" applyFont="1" applyFill="1" applyBorder="1" applyAlignment="1">
      <alignment horizontal="center" vertical="center" wrapText="1"/>
    </xf>
    <xf numFmtId="10" fontId="79" fillId="20" borderId="1" xfId="0" applyNumberFormat="1" applyFont="1" applyFill="1" applyBorder="1" applyAlignment="1">
      <alignment horizontal="center" vertical="center"/>
    </xf>
    <xf numFmtId="172" fontId="0" fillId="0" borderId="1" xfId="0" applyNumberFormat="1" applyBorder="1"/>
    <xf numFmtId="170" fontId="84" fillId="14" borderId="20" xfId="0" applyNumberFormat="1" applyFont="1" applyFill="1" applyBorder="1" applyAlignment="1">
      <alignment horizontal="center"/>
    </xf>
    <xf numFmtId="0" fontId="1" fillId="41" borderId="1" xfId="0" applyFont="1" applyFill="1" applyBorder="1" applyAlignment="1">
      <alignment horizontal="center" vertical="center" wrapText="1"/>
    </xf>
    <xf numFmtId="0" fontId="1" fillId="41" borderId="3" xfId="0" applyFont="1" applyFill="1" applyBorder="1" applyAlignment="1">
      <alignment horizontal="center" vertical="center" wrapText="1"/>
    </xf>
    <xf numFmtId="0" fontId="1" fillId="25" borderId="1" xfId="0" applyFont="1" applyFill="1" applyBorder="1" applyAlignment="1">
      <alignment horizontal="center" vertical="center" wrapText="1"/>
    </xf>
    <xf numFmtId="0" fontId="51" fillId="25" borderId="1" xfId="0" applyFont="1" applyFill="1" applyBorder="1" applyAlignment="1">
      <alignment vertical="center" wrapText="1"/>
    </xf>
    <xf numFmtId="0" fontId="10" fillId="11" borderId="1" xfId="0" applyFont="1" applyFill="1" applyBorder="1" applyAlignment="1">
      <alignment horizontal="center" vertical="center" wrapText="1"/>
    </xf>
    <xf numFmtId="0" fontId="10" fillId="11" borderId="62" xfId="0" applyFont="1" applyFill="1" applyBorder="1" applyAlignment="1">
      <alignment vertical="center" wrapText="1"/>
    </xf>
    <xf numFmtId="0" fontId="10" fillId="11" borderId="1" xfId="0" applyFont="1" applyFill="1" applyBorder="1" applyAlignment="1">
      <alignment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170" fontId="0" fillId="0" borderId="0" xfId="0" applyNumberFormat="1" applyAlignment="1">
      <alignment horizontal="center"/>
    </xf>
    <xf numFmtId="0" fontId="10" fillId="0" borderId="0" xfId="0" applyFont="1" applyAlignment="1">
      <alignment horizontal="left" wrapText="1"/>
    </xf>
    <xf numFmtId="0" fontId="10" fillId="0" borderId="0" xfId="0" applyFont="1" applyAlignment="1">
      <alignment vertical="center"/>
    </xf>
    <xf numFmtId="2" fontId="25" fillId="0" borderId="0" xfId="0" applyNumberFormat="1" applyFont="1" applyAlignment="1">
      <alignment horizontal="center" vertical="center"/>
    </xf>
    <xf numFmtId="2" fontId="25" fillId="0" borderId="0" xfId="0" applyNumberFormat="1" applyFont="1" applyAlignment="1">
      <alignment horizontal="center"/>
    </xf>
    <xf numFmtId="0" fontId="10" fillId="0" borderId="0" xfId="0" applyFont="1" applyAlignment="1">
      <alignment vertical="center" wrapText="1"/>
    </xf>
    <xf numFmtId="0" fontId="1" fillId="11" borderId="62" xfId="0" applyFont="1" applyFill="1" applyBorder="1" applyAlignment="1" applyProtection="1">
      <alignment horizontal="center" vertical="center" wrapText="1"/>
      <protection locked="0"/>
    </xf>
    <xf numFmtId="0" fontId="0" fillId="11" borderId="1" xfId="0" applyFill="1" applyBorder="1" applyAlignment="1">
      <alignment horizontal="center" vertical="center" wrapText="1"/>
    </xf>
    <xf numFmtId="0" fontId="0" fillId="11" borderId="1" xfId="0" applyFill="1" applyBorder="1" applyAlignment="1">
      <alignment wrapText="1"/>
    </xf>
    <xf numFmtId="0" fontId="0" fillId="21" borderId="1" xfId="0" applyFill="1" applyBorder="1" applyAlignment="1" applyProtection="1">
      <alignment horizontal="center"/>
      <protection locked="0"/>
    </xf>
    <xf numFmtId="0" fontId="0" fillId="21" borderId="1" xfId="0" applyFill="1" applyBorder="1" applyAlignment="1">
      <alignment wrapText="1"/>
    </xf>
    <xf numFmtId="0" fontId="9" fillId="23" borderId="1"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10" fillId="2" borderId="2" xfId="0" applyFont="1" applyFill="1" applyBorder="1" applyAlignment="1" applyProtection="1">
      <alignment horizontal="center" vertical="center" wrapText="1"/>
      <protection hidden="1"/>
    </xf>
    <xf numFmtId="1" fontId="25" fillId="0" borderId="2" xfId="0" applyNumberFormat="1" applyFont="1" applyBorder="1" applyAlignment="1">
      <alignment horizontal="center" vertical="center"/>
    </xf>
    <xf numFmtId="0" fontId="10" fillId="2" borderId="2" xfId="0" applyFont="1" applyFill="1" applyBorder="1" applyAlignment="1" applyProtection="1">
      <alignment horizontal="center" vertical="center"/>
      <protection hidden="1"/>
    </xf>
    <xf numFmtId="0" fontId="39" fillId="8" borderId="3" xfId="0" applyFont="1" applyFill="1" applyBorder="1"/>
    <xf numFmtId="0" fontId="1" fillId="8" borderId="3" xfId="0" applyFont="1" applyFill="1" applyBorder="1" applyAlignment="1">
      <alignment horizontal="right"/>
    </xf>
    <xf numFmtId="0" fontId="10" fillId="2" borderId="25" xfId="0" applyFont="1" applyFill="1" applyBorder="1" applyAlignment="1">
      <alignment horizontal="center" vertical="center"/>
    </xf>
    <xf numFmtId="0" fontId="10" fillId="2" borderId="20" xfId="0" applyFont="1" applyFill="1" applyBorder="1" applyAlignment="1">
      <alignment horizontal="center" vertical="center"/>
    </xf>
    <xf numFmtId="170" fontId="10" fillId="0" borderId="25" xfId="0" applyNumberFormat="1" applyFont="1" applyBorder="1" applyAlignment="1">
      <alignment horizontal="center" vertical="center" wrapText="1"/>
    </xf>
    <xf numFmtId="170" fontId="10" fillId="0" borderId="20" xfId="0" applyNumberFormat="1" applyFont="1" applyBorder="1" applyAlignment="1">
      <alignment horizontal="center" vertical="center"/>
    </xf>
    <xf numFmtId="0" fontId="10" fillId="0" borderId="25" xfId="0" applyFont="1" applyBorder="1" applyAlignment="1">
      <alignment horizontal="center" vertical="center"/>
    </xf>
    <xf numFmtId="0" fontId="10" fillId="0" borderId="20" xfId="0" applyFont="1" applyBorder="1" applyAlignment="1">
      <alignment horizontal="center" vertical="center"/>
    </xf>
    <xf numFmtId="0" fontId="10" fillId="42" borderId="6" xfId="0" applyFont="1" applyFill="1" applyBorder="1" applyAlignment="1">
      <alignment horizontal="center" vertical="center"/>
    </xf>
    <xf numFmtId="0" fontId="10" fillId="0" borderId="40" xfId="0" applyFont="1" applyBorder="1" applyAlignment="1">
      <alignment horizontal="center" vertical="center"/>
    </xf>
    <xf numFmtId="0" fontId="10" fillId="4" borderId="8" xfId="0" applyFont="1" applyFill="1" applyBorder="1" applyAlignment="1">
      <alignment horizontal="center" vertical="center"/>
    </xf>
    <xf numFmtId="10" fontId="10" fillId="4" borderId="8" xfId="0" applyNumberFormat="1" applyFont="1" applyFill="1" applyBorder="1" applyAlignment="1">
      <alignment horizontal="center" vertical="center" wrapText="1"/>
    </xf>
    <xf numFmtId="10" fontId="10" fillId="0" borderId="21" xfId="0" applyNumberFormat="1" applyFont="1" applyBorder="1" applyAlignment="1">
      <alignment horizontal="center" vertical="center" wrapText="1"/>
    </xf>
    <xf numFmtId="0" fontId="10" fillId="42" borderId="6" xfId="0" applyFont="1" applyFill="1" applyBorder="1" applyAlignment="1">
      <alignment horizontal="center" vertical="center" wrapText="1"/>
    </xf>
    <xf numFmtId="0" fontId="25" fillId="2" borderId="3" xfId="0" applyFont="1" applyFill="1" applyBorder="1" applyAlignment="1">
      <alignment horizontal="center"/>
    </xf>
    <xf numFmtId="0" fontId="0" fillId="2" borderId="1" xfId="0" applyFill="1" applyBorder="1" applyAlignment="1">
      <alignment horizontal="center" vertical="center"/>
    </xf>
    <xf numFmtId="2" fontId="0" fillId="2" borderId="1" xfId="0" applyNumberFormat="1" applyFill="1" applyBorder="1" applyAlignment="1">
      <alignment horizontal="center"/>
    </xf>
    <xf numFmtId="170" fontId="0" fillId="2" borderId="1" xfId="0" applyNumberFormat="1" applyFill="1" applyBorder="1" applyAlignment="1">
      <alignment horizontal="center" vertical="center"/>
    </xf>
    <xf numFmtId="0" fontId="0" fillId="2" borderId="1" xfId="0" applyFill="1" applyBorder="1" applyAlignment="1">
      <alignment horizontal="center"/>
    </xf>
    <xf numFmtId="0" fontId="0" fillId="2" borderId="3" xfId="0" applyFill="1" applyBorder="1" applyAlignment="1">
      <alignment horizontal="center"/>
    </xf>
    <xf numFmtId="2" fontId="25" fillId="2" borderId="1" xfId="0" applyNumberFormat="1" applyFont="1" applyFill="1" applyBorder="1" applyAlignment="1">
      <alignment horizontal="center"/>
    </xf>
    <xf numFmtId="2" fontId="25" fillId="2" borderId="1" xfId="0" applyNumberFormat="1" applyFont="1" applyFill="1" applyBorder="1" applyAlignment="1">
      <alignment horizontal="center" vertical="center"/>
    </xf>
    <xf numFmtId="0" fontId="7" fillId="8" borderId="1" xfId="0" applyFont="1" applyFill="1" applyBorder="1" applyAlignment="1">
      <alignment horizontal="center" vertical="center" wrapText="1"/>
    </xf>
    <xf numFmtId="170" fontId="0" fillId="2" borderId="4" xfId="0" applyNumberFormat="1" applyFill="1" applyBorder="1" applyAlignment="1">
      <alignment horizontal="center" vertical="center"/>
    </xf>
    <xf numFmtId="0" fontId="25" fillId="2" borderId="1" xfId="0" applyFont="1" applyFill="1" applyBorder="1" applyAlignment="1">
      <alignment horizontal="center" vertical="center"/>
    </xf>
    <xf numFmtId="0" fontId="25" fillId="2" borderId="3" xfId="0" applyFont="1" applyFill="1" applyBorder="1" applyAlignment="1">
      <alignment horizontal="center" vertical="center"/>
    </xf>
    <xf numFmtId="0" fontId="49" fillId="16" borderId="7" xfId="0" applyFont="1" applyFill="1" applyBorder="1" applyAlignment="1">
      <alignment horizontal="center" vertical="center"/>
    </xf>
    <xf numFmtId="10" fontId="14" fillId="16" borderId="8" xfId="0" applyNumberFormat="1" applyFont="1" applyFill="1" applyBorder="1" applyAlignment="1">
      <alignment horizontal="center" vertical="center"/>
    </xf>
    <xf numFmtId="0" fontId="10" fillId="3" borderId="9" xfId="0" applyFont="1" applyFill="1" applyBorder="1" applyAlignment="1">
      <alignment horizontal="center" vertical="center"/>
    </xf>
    <xf numFmtId="0" fontId="10" fillId="3" borderId="10" xfId="0" applyFont="1" applyFill="1" applyBorder="1" applyAlignment="1">
      <alignment horizontal="center" vertical="center"/>
    </xf>
    <xf numFmtId="0" fontId="10" fillId="3" borderId="23" xfId="0" applyFont="1" applyFill="1" applyBorder="1" applyAlignment="1">
      <alignment horizontal="center" vertical="center"/>
    </xf>
    <xf numFmtId="0" fontId="46" fillId="0" borderId="47" xfId="0" applyFont="1" applyBorder="1" applyAlignment="1">
      <alignment horizontal="center" vertical="center" wrapText="1"/>
    </xf>
    <xf numFmtId="0" fontId="46" fillId="0" borderId="66" xfId="0" applyFont="1" applyBorder="1" applyAlignment="1">
      <alignment horizontal="center" vertical="center" wrapText="1"/>
    </xf>
    <xf numFmtId="0" fontId="46" fillId="0" borderId="55" xfId="0" applyFont="1" applyBorder="1" applyAlignment="1">
      <alignment horizontal="center" vertical="center" wrapText="1"/>
    </xf>
    <xf numFmtId="0" fontId="18" fillId="6" borderId="2" xfId="0" applyFont="1" applyFill="1" applyBorder="1" applyAlignment="1">
      <alignment horizontal="center" vertical="center" wrapText="1"/>
    </xf>
    <xf numFmtId="0" fontId="18" fillId="6" borderId="10" xfId="0" applyFont="1" applyFill="1" applyBorder="1" applyAlignment="1">
      <alignment horizontal="center" vertical="center" wrapText="1"/>
    </xf>
    <xf numFmtId="0" fontId="6" fillId="27" borderId="13" xfId="0" applyFont="1" applyFill="1" applyBorder="1" applyAlignment="1" applyProtection="1">
      <alignment horizontal="center" vertical="center" wrapText="1"/>
      <protection locked="0"/>
    </xf>
    <xf numFmtId="0" fontId="6" fillId="27" borderId="22" xfId="0" applyFont="1" applyFill="1" applyBorder="1" applyAlignment="1" applyProtection="1">
      <alignment horizontal="center" vertical="center" wrapText="1"/>
      <protection locked="0"/>
    </xf>
    <xf numFmtId="170" fontId="58" fillId="18" borderId="29" xfId="0" applyNumberFormat="1" applyFont="1" applyFill="1" applyBorder="1" applyAlignment="1">
      <alignment horizontal="center" vertical="center"/>
    </xf>
    <xf numFmtId="170" fontId="58" fillId="18" borderId="30" xfId="0" applyNumberFormat="1" applyFont="1" applyFill="1" applyBorder="1" applyAlignment="1">
      <alignment horizontal="center" vertical="center"/>
    </xf>
    <xf numFmtId="0" fontId="46" fillId="0" borderId="4" xfId="0" applyFont="1" applyBorder="1" applyAlignment="1">
      <alignment horizontal="center" vertical="center" wrapText="1"/>
    </xf>
    <xf numFmtId="0" fontId="46" fillId="0" borderId="54" xfId="0" applyFont="1" applyBorder="1" applyAlignment="1">
      <alignment horizontal="center" vertical="center" wrapText="1"/>
    </xf>
    <xf numFmtId="0" fontId="46" fillId="0" borderId="62" xfId="0" applyFont="1" applyBorder="1" applyAlignment="1">
      <alignment horizontal="center" vertical="center" wrapText="1"/>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56" fillId="6" borderId="1" xfId="0" applyFont="1" applyFill="1" applyBorder="1" applyAlignment="1" applyProtection="1">
      <alignment horizontal="center" vertical="center" wrapText="1"/>
      <protection locked="0"/>
    </xf>
    <xf numFmtId="0" fontId="24" fillId="7" borderId="29" xfId="0" applyFont="1" applyFill="1" applyBorder="1" applyAlignment="1">
      <alignment horizontal="center" vertical="center"/>
    </xf>
    <xf numFmtId="0" fontId="24" fillId="7" borderId="30"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62" xfId="0" applyFont="1" applyFill="1" applyBorder="1" applyAlignment="1">
      <alignment horizontal="center" vertical="center"/>
    </xf>
    <xf numFmtId="0" fontId="31" fillId="21" borderId="0" xfId="0" applyFont="1" applyFill="1" applyAlignment="1">
      <alignment horizontal="center" vertical="center"/>
    </xf>
    <xf numFmtId="0" fontId="0" fillId="0" borderId="0" xfId="0" applyAlignment="1">
      <alignment horizontal="center" wrapText="1"/>
    </xf>
    <xf numFmtId="0" fontId="18" fillId="6" borderId="26" xfId="0" applyFont="1" applyFill="1" applyBorder="1" applyAlignment="1">
      <alignment horizontal="center" wrapText="1"/>
    </xf>
    <xf numFmtId="0" fontId="18" fillId="6" borderId="27" xfId="0" applyFont="1" applyFill="1" applyBorder="1" applyAlignment="1">
      <alignment horizontal="center" wrapText="1"/>
    </xf>
    <xf numFmtId="0" fontId="18" fillId="6" borderId="29" xfId="0" applyFont="1" applyFill="1" applyBorder="1" applyAlignment="1">
      <alignment horizontal="center" vertical="center" wrapText="1"/>
    </xf>
    <xf numFmtId="0" fontId="18" fillId="6" borderId="30" xfId="0" applyFont="1" applyFill="1" applyBorder="1" applyAlignment="1">
      <alignment horizontal="center" vertical="center" wrapText="1"/>
    </xf>
    <xf numFmtId="0" fontId="24" fillId="7" borderId="29" xfId="0" applyFont="1" applyFill="1" applyBorder="1" applyAlignment="1">
      <alignment horizontal="center"/>
    </xf>
    <xf numFmtId="0" fontId="24" fillId="7" borderId="30" xfId="0" applyFont="1" applyFill="1" applyBorder="1" applyAlignment="1">
      <alignment horizontal="center"/>
    </xf>
    <xf numFmtId="170" fontId="0" fillId="18" borderId="29" xfId="0" applyNumberFormat="1" applyFill="1" applyBorder="1" applyAlignment="1">
      <alignment horizontal="center"/>
    </xf>
    <xf numFmtId="170" fontId="0" fillId="18" borderId="30" xfId="0" applyNumberFormat="1" applyFill="1" applyBorder="1" applyAlignment="1">
      <alignment horizontal="center"/>
    </xf>
    <xf numFmtId="0" fontId="2" fillId="14" borderId="52" xfId="0" applyFont="1" applyFill="1" applyBorder="1" applyAlignment="1">
      <alignment horizontal="left" vertical="center" wrapText="1"/>
    </xf>
    <xf numFmtId="0" fontId="2" fillId="14" borderId="53" xfId="0" applyFont="1" applyFill="1" applyBorder="1" applyAlignment="1">
      <alignment horizontal="left" vertical="center" wrapText="1"/>
    </xf>
    <xf numFmtId="0" fontId="2" fillId="12" borderId="49" xfId="0" applyFont="1" applyFill="1" applyBorder="1" applyAlignment="1">
      <alignment horizontal="center" vertical="center"/>
    </xf>
    <xf numFmtId="0" fontId="2" fillId="12" borderId="57" xfId="0" applyFont="1" applyFill="1" applyBorder="1" applyAlignment="1">
      <alignment horizontal="center" vertical="center"/>
    </xf>
    <xf numFmtId="0" fontId="2" fillId="12" borderId="81" xfId="0" applyFont="1" applyFill="1" applyBorder="1" applyAlignment="1">
      <alignment horizontal="center" vertical="center"/>
    </xf>
    <xf numFmtId="0" fontId="0" fillId="13" borderId="29" xfId="0" applyFill="1" applyBorder="1" applyAlignment="1">
      <alignment horizontal="right"/>
    </xf>
    <xf numFmtId="0" fontId="0" fillId="13" borderId="61" xfId="0" applyFill="1" applyBorder="1" applyAlignment="1">
      <alignment horizontal="right"/>
    </xf>
    <xf numFmtId="0" fontId="0" fillId="14" borderId="4" xfId="0" applyFill="1" applyBorder="1" applyAlignment="1">
      <alignment horizontal="left" vertical="center"/>
    </xf>
    <xf numFmtId="0" fontId="0" fillId="14" borderId="48" xfId="0" applyFill="1" applyBorder="1" applyAlignment="1">
      <alignment horizontal="left" vertical="center"/>
    </xf>
    <xf numFmtId="0" fontId="0" fillId="14" borderId="9" xfId="0" applyFill="1" applyBorder="1" applyAlignment="1">
      <alignment horizontal="center" vertical="center" wrapText="1"/>
    </xf>
    <xf numFmtId="0" fontId="0" fillId="14" borderId="3" xfId="0" applyFill="1" applyBorder="1" applyAlignment="1">
      <alignment horizontal="center" vertical="center"/>
    </xf>
    <xf numFmtId="0" fontId="2" fillId="14" borderId="52" xfId="0" applyFont="1" applyFill="1" applyBorder="1" applyAlignment="1">
      <alignment horizontal="center" vertical="center"/>
    </xf>
    <xf numFmtId="0" fontId="2" fillId="14" borderId="58" xfId="0" applyFont="1" applyFill="1" applyBorder="1" applyAlignment="1">
      <alignment horizontal="center" vertical="center"/>
    </xf>
    <xf numFmtId="0" fontId="13" fillId="8" borderId="29" xfId="0" applyFont="1" applyFill="1" applyBorder="1" applyAlignment="1">
      <alignment horizontal="right"/>
    </xf>
    <xf numFmtId="0" fontId="13" fillId="8" borderId="31" xfId="0" applyFont="1" applyFill="1" applyBorder="1" applyAlignment="1">
      <alignment horizontal="right"/>
    </xf>
    <xf numFmtId="0" fontId="2" fillId="14" borderId="52" xfId="0" applyFont="1" applyFill="1" applyBorder="1" applyAlignment="1">
      <alignment horizontal="center" vertical="center" wrapText="1"/>
    </xf>
    <xf numFmtId="0" fontId="2" fillId="14" borderId="53" xfId="0" applyFont="1" applyFill="1" applyBorder="1" applyAlignment="1">
      <alignment horizontal="center" vertical="center" wrapText="1"/>
    </xf>
    <xf numFmtId="0" fontId="4" fillId="12" borderId="1" xfId="0" applyFont="1" applyFill="1" applyBorder="1" applyAlignment="1">
      <alignment horizontal="center" vertical="center"/>
    </xf>
    <xf numFmtId="0" fontId="17" fillId="0" borderId="45" xfId="0" applyFont="1" applyBorder="1" applyAlignment="1">
      <alignment horizontal="center" vertical="center"/>
    </xf>
    <xf numFmtId="0" fontId="17" fillId="0" borderId="43" xfId="0" applyFont="1" applyBorder="1" applyAlignment="1">
      <alignment horizontal="center" vertical="center"/>
    </xf>
    <xf numFmtId="0" fontId="15" fillId="8" borderId="13" xfId="0" applyFont="1" applyFill="1" applyBorder="1" applyAlignment="1">
      <alignment horizontal="right"/>
    </xf>
    <xf numFmtId="0" fontId="15" fillId="8" borderId="37" xfId="0" applyFont="1" applyFill="1" applyBorder="1" applyAlignment="1">
      <alignment horizontal="right"/>
    </xf>
    <xf numFmtId="0" fontId="15" fillId="8" borderId="16" xfId="0" applyFont="1" applyFill="1" applyBorder="1" applyAlignment="1">
      <alignment horizontal="right"/>
    </xf>
    <xf numFmtId="0" fontId="15" fillId="8" borderId="28" xfId="0" applyFont="1" applyFill="1" applyBorder="1" applyAlignment="1">
      <alignment horizontal="right"/>
    </xf>
    <xf numFmtId="0" fontId="13" fillId="11" borderId="26" xfId="0" applyFont="1" applyFill="1" applyBorder="1" applyAlignment="1">
      <alignment horizontal="right" vertical="center" wrapText="1"/>
    </xf>
    <xf numFmtId="0" fontId="13" fillId="11" borderId="27" xfId="0" applyFont="1" applyFill="1" applyBorder="1" applyAlignment="1">
      <alignment horizontal="right" vertical="center" wrapText="1"/>
    </xf>
    <xf numFmtId="0" fontId="13" fillId="11" borderId="11" xfId="0" applyFont="1" applyFill="1" applyBorder="1" applyAlignment="1">
      <alignment horizontal="right" vertical="center" wrapText="1"/>
    </xf>
    <xf numFmtId="0" fontId="13" fillId="11" borderId="5" xfId="0" applyFont="1" applyFill="1" applyBorder="1" applyAlignment="1">
      <alignment horizontal="right" vertical="center" wrapText="1"/>
    </xf>
    <xf numFmtId="170" fontId="0" fillId="8" borderId="15" xfId="0" applyNumberFormat="1" applyFill="1" applyBorder="1" applyAlignment="1">
      <alignment horizontal="center" vertical="center"/>
    </xf>
    <xf numFmtId="0" fontId="0" fillId="8" borderId="41" xfId="0" applyFill="1" applyBorder="1" applyAlignment="1">
      <alignment horizontal="center" vertical="center"/>
    </xf>
    <xf numFmtId="0" fontId="0" fillId="14" borderId="9" xfId="0" applyFill="1" applyBorder="1" applyAlignment="1">
      <alignment horizontal="left" vertical="center" wrapText="1"/>
    </xf>
    <xf numFmtId="0" fontId="0" fillId="14" borderId="3" xfId="0" applyFill="1" applyBorder="1" applyAlignment="1">
      <alignment horizontal="left" vertical="center"/>
    </xf>
    <xf numFmtId="0" fontId="13" fillId="8" borderId="64" xfId="0" applyFont="1" applyFill="1" applyBorder="1" applyAlignment="1">
      <alignment horizontal="right"/>
    </xf>
    <xf numFmtId="0" fontId="13" fillId="8" borderId="65" xfId="0" applyFont="1" applyFill="1" applyBorder="1" applyAlignment="1">
      <alignment horizontal="right"/>
    </xf>
    <xf numFmtId="0" fontId="0" fillId="13" borderId="31" xfId="0" applyFill="1" applyBorder="1" applyAlignment="1">
      <alignment horizontal="right"/>
    </xf>
    <xf numFmtId="0" fontId="17" fillId="0" borderId="29" xfId="0" applyFont="1" applyBorder="1" applyAlignment="1">
      <alignment horizontal="center"/>
    </xf>
    <xf numFmtId="0" fontId="17" fillId="0" borderId="30" xfId="0" applyFont="1" applyBorder="1" applyAlignment="1">
      <alignment horizontal="center"/>
    </xf>
    <xf numFmtId="170" fontId="2" fillId="8" borderId="19" xfId="0" applyNumberFormat="1" applyFont="1" applyFill="1" applyBorder="1" applyAlignment="1">
      <alignment horizontal="center" vertical="center"/>
    </xf>
    <xf numFmtId="0" fontId="2" fillId="8" borderId="20" xfId="0" applyFont="1" applyFill="1" applyBorder="1" applyAlignment="1">
      <alignment horizontal="center" vertical="center"/>
    </xf>
    <xf numFmtId="0" fontId="2" fillId="8" borderId="21" xfId="0" applyFont="1" applyFill="1" applyBorder="1" applyAlignment="1">
      <alignment horizontal="center" vertical="center"/>
    </xf>
    <xf numFmtId="0" fontId="2" fillId="5" borderId="25" xfId="0" applyFont="1" applyFill="1" applyBorder="1" applyAlignment="1">
      <alignment horizontal="left" vertical="center"/>
    </xf>
    <xf numFmtId="0" fontId="15" fillId="8" borderId="22" xfId="0" applyFont="1" applyFill="1" applyBorder="1" applyAlignment="1">
      <alignment horizontal="right"/>
    </xf>
    <xf numFmtId="0" fontId="13" fillId="11" borderId="34" xfId="0" applyFont="1" applyFill="1" applyBorder="1" applyAlignment="1">
      <alignment horizontal="right" vertical="center" wrapText="1"/>
    </xf>
    <xf numFmtId="0" fontId="13" fillId="11" borderId="12" xfId="0" applyFont="1" applyFill="1" applyBorder="1" applyAlignment="1">
      <alignment horizontal="right" vertical="center" wrapText="1"/>
    </xf>
    <xf numFmtId="0" fontId="15" fillId="8" borderId="9" xfId="0" applyFont="1" applyFill="1" applyBorder="1" applyAlignment="1">
      <alignment horizontal="right"/>
    </xf>
    <xf numFmtId="0" fontId="15" fillId="8" borderId="23" xfId="0" applyFont="1" applyFill="1" applyBorder="1" applyAlignment="1">
      <alignment horizontal="right"/>
    </xf>
    <xf numFmtId="0" fontId="15" fillId="8" borderId="24" xfId="0" applyFont="1" applyFill="1" applyBorder="1" applyAlignment="1">
      <alignment horizontal="right"/>
    </xf>
    <xf numFmtId="0" fontId="5" fillId="11" borderId="15" xfId="0" applyFont="1" applyFill="1" applyBorder="1" applyAlignment="1">
      <alignment horizontal="center" vertical="center"/>
    </xf>
    <xf numFmtId="0" fontId="5" fillId="11" borderId="55" xfId="0" applyFont="1" applyFill="1" applyBorder="1" applyAlignment="1">
      <alignment horizontal="center" vertical="center"/>
    </xf>
    <xf numFmtId="0" fontId="6" fillId="0" borderId="0" xfId="0" applyFont="1" applyAlignment="1">
      <alignment horizontal="center"/>
    </xf>
    <xf numFmtId="0" fontId="34" fillId="25" borderId="1" xfId="0" applyFont="1" applyFill="1" applyBorder="1" applyAlignment="1">
      <alignment horizontal="center"/>
    </xf>
    <xf numFmtId="0" fontId="34" fillId="6" borderId="0" xfId="0" applyFont="1" applyFill="1" applyAlignment="1">
      <alignment horizontal="center"/>
    </xf>
    <xf numFmtId="0" fontId="52" fillId="16" borderId="0" xfId="0" applyFont="1" applyFill="1" applyAlignment="1">
      <alignment horizontal="center" vertical="center"/>
    </xf>
    <xf numFmtId="0" fontId="0" fillId="0" borderId="0" xfId="0" applyAlignment="1">
      <alignment horizontal="left"/>
    </xf>
    <xf numFmtId="0" fontId="6" fillId="0" borderId="2" xfId="0" applyFont="1" applyBorder="1" applyAlignment="1">
      <alignment horizontal="center"/>
    </xf>
    <xf numFmtId="0" fontId="6" fillId="0" borderId="3" xfId="0" applyFont="1" applyBorder="1" applyAlignment="1">
      <alignment horizontal="center"/>
    </xf>
    <xf numFmtId="0" fontId="1" fillId="5" borderId="2" xfId="0" applyFont="1" applyFill="1" applyBorder="1" applyAlignment="1">
      <alignment horizontal="center"/>
    </xf>
    <xf numFmtId="0" fontId="1" fillId="5" borderId="10" xfId="0" applyFont="1" applyFill="1" applyBorder="1" applyAlignment="1">
      <alignment horizontal="center"/>
    </xf>
    <xf numFmtId="0" fontId="1" fillId="5" borderId="3" xfId="0" applyFont="1" applyFill="1" applyBorder="1" applyAlignment="1">
      <alignment horizontal="center"/>
    </xf>
    <xf numFmtId="0" fontId="9" fillId="0" borderId="2" xfId="0" applyFont="1" applyBorder="1" applyAlignment="1">
      <alignment horizontal="center"/>
    </xf>
    <xf numFmtId="0" fontId="9" fillId="0" borderId="10" xfId="0" applyFont="1" applyBorder="1" applyAlignment="1">
      <alignment horizontal="center"/>
    </xf>
    <xf numFmtId="0" fontId="9" fillId="0" borderId="3" xfId="0" applyFont="1" applyBorder="1" applyAlignment="1">
      <alignment horizontal="center"/>
    </xf>
    <xf numFmtId="0" fontId="6" fillId="0" borderId="10" xfId="0" applyFont="1" applyBorder="1" applyAlignment="1">
      <alignment horizontal="center"/>
    </xf>
    <xf numFmtId="0" fontId="44" fillId="6" borderId="26" xfId="0" applyFont="1" applyFill="1" applyBorder="1" applyAlignment="1" applyProtection="1">
      <alignment horizontal="center" vertical="center" wrapText="1"/>
      <protection locked="0"/>
    </xf>
    <xf numFmtId="0" fontId="44" fillId="6" borderId="27" xfId="0" applyFont="1" applyFill="1" applyBorder="1" applyAlignment="1" applyProtection="1">
      <alignment horizontal="center" vertical="center" wrapText="1"/>
      <protection locked="0"/>
    </xf>
    <xf numFmtId="0" fontId="0" fillId="16" borderId="32" xfId="0" applyFill="1" applyBorder="1" applyAlignment="1" applyProtection="1">
      <alignment horizontal="center"/>
      <protection locked="0"/>
    </xf>
    <xf numFmtId="0" fontId="46" fillId="0" borderId="1" xfId="0" applyFont="1" applyBorder="1" applyAlignment="1">
      <alignment horizontal="center" vertical="center" wrapText="1"/>
    </xf>
    <xf numFmtId="0" fontId="24" fillId="7" borderId="29" xfId="0" applyFont="1" applyFill="1" applyBorder="1" applyAlignment="1">
      <alignment horizontal="center" wrapText="1"/>
    </xf>
    <xf numFmtId="170" fontId="2" fillId="18" borderId="29" xfId="0" applyNumberFormat="1" applyFont="1" applyFill="1" applyBorder="1" applyAlignment="1">
      <alignment horizontal="center" vertical="center"/>
    </xf>
    <xf numFmtId="170" fontId="2" fillId="18" borderId="30" xfId="0" applyNumberFormat="1" applyFont="1" applyFill="1" applyBorder="1" applyAlignment="1">
      <alignment horizontal="center" vertical="center"/>
    </xf>
    <xf numFmtId="0" fontId="9" fillId="7" borderId="1" xfId="0" applyFont="1" applyFill="1" applyBorder="1" applyAlignment="1" applyProtection="1">
      <alignment horizontal="center" vertical="center" wrapText="1"/>
      <protection locked="0"/>
    </xf>
    <xf numFmtId="0" fontId="9" fillId="7" borderId="2" xfId="0" applyFont="1" applyFill="1" applyBorder="1" applyAlignment="1" applyProtection="1">
      <alignment horizontal="center" vertical="center" wrapText="1"/>
      <protection locked="0"/>
    </xf>
    <xf numFmtId="0" fontId="0" fillId="0" borderId="32" xfId="0" applyBorder="1" applyAlignment="1">
      <alignment horizontal="center"/>
    </xf>
    <xf numFmtId="0" fontId="44" fillId="6" borderId="26" xfId="0" applyFont="1" applyFill="1" applyBorder="1" applyAlignment="1">
      <alignment horizontal="center" vertical="center" wrapText="1"/>
    </xf>
    <xf numFmtId="0" fontId="44" fillId="6" borderId="27" xfId="0" applyFont="1" applyFill="1" applyBorder="1" applyAlignment="1">
      <alignment horizontal="center" vertical="center" wrapText="1"/>
    </xf>
    <xf numFmtId="0" fontId="10" fillId="3" borderId="1" xfId="0" applyFont="1" applyFill="1" applyBorder="1" applyAlignment="1" applyProtection="1">
      <alignment horizontal="center" vertical="center"/>
      <protection locked="0"/>
    </xf>
    <xf numFmtId="0" fontId="34" fillId="23" borderId="38" xfId="0" applyFont="1" applyFill="1" applyBorder="1" applyAlignment="1">
      <alignment horizontal="center" vertical="center" wrapText="1"/>
    </xf>
    <xf numFmtId="0" fontId="34" fillId="23" borderId="19" xfId="0" applyFont="1" applyFill="1" applyBorder="1" applyAlignment="1">
      <alignment horizontal="center" vertical="center" wrapText="1"/>
    </xf>
    <xf numFmtId="0" fontId="34" fillId="23" borderId="1" xfId="0" applyFont="1" applyFill="1" applyBorder="1" applyAlignment="1">
      <alignment horizontal="center" vertical="center" wrapText="1"/>
    </xf>
    <xf numFmtId="0" fontId="34" fillId="23" borderId="2" xfId="0" applyFont="1" applyFill="1" applyBorder="1" applyAlignment="1">
      <alignment horizontal="center" vertical="center" wrapText="1"/>
    </xf>
    <xf numFmtId="0" fontId="34" fillId="27" borderId="32" xfId="0" applyFont="1" applyFill="1" applyBorder="1" applyAlignment="1">
      <alignment horizontal="center" vertical="center" wrapText="1"/>
    </xf>
    <xf numFmtId="0" fontId="34" fillId="27" borderId="44" xfId="0" applyFont="1" applyFill="1" applyBorder="1" applyAlignment="1">
      <alignment horizontal="center" vertical="center" wrapText="1"/>
    </xf>
    <xf numFmtId="0" fontId="34" fillId="27" borderId="0" xfId="0" applyFont="1" applyFill="1" applyAlignment="1">
      <alignment horizontal="center" vertical="center" wrapText="1"/>
    </xf>
    <xf numFmtId="0" fontId="34" fillId="27" borderId="33" xfId="0" applyFont="1" applyFill="1" applyBorder="1" applyAlignment="1">
      <alignment horizontal="center" vertical="center" wrapText="1"/>
    </xf>
    <xf numFmtId="0" fontId="34" fillId="27" borderId="67" xfId="0" applyFont="1" applyFill="1" applyBorder="1" applyAlignment="1">
      <alignment horizontal="center" vertical="center" wrapText="1"/>
    </xf>
    <xf numFmtId="0" fontId="34" fillId="27" borderId="86" xfId="0" applyFont="1" applyFill="1" applyBorder="1" applyAlignment="1">
      <alignment horizontal="center" vertical="center" wrapText="1"/>
    </xf>
    <xf numFmtId="0" fontId="49" fillId="27" borderId="29" xfId="0" applyFont="1" applyFill="1" applyBorder="1" applyAlignment="1">
      <alignment horizontal="center"/>
    </xf>
    <xf numFmtId="0" fontId="49" fillId="27" borderId="61" xfId="0" applyFont="1" applyFill="1" applyBorder="1" applyAlignment="1">
      <alignment horizontal="center"/>
    </xf>
    <xf numFmtId="0" fontId="49" fillId="27" borderId="30" xfId="0" applyFont="1" applyFill="1" applyBorder="1" applyAlignment="1">
      <alignment horizontal="center"/>
    </xf>
    <xf numFmtId="0" fontId="34" fillId="2" borderId="2" xfId="0" applyFont="1" applyFill="1" applyBorder="1" applyAlignment="1">
      <alignment horizontal="center"/>
    </xf>
    <xf numFmtId="0" fontId="34" fillId="2" borderId="10" xfId="0" applyFont="1" applyFill="1" applyBorder="1" applyAlignment="1">
      <alignment horizontal="center"/>
    </xf>
    <xf numFmtId="0" fontId="34" fillId="2" borderId="3" xfId="0" applyFont="1" applyFill="1" applyBorder="1" applyAlignment="1">
      <alignment horizontal="center"/>
    </xf>
    <xf numFmtId="0" fontId="34" fillId="2" borderId="1"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4" fillId="2" borderId="1" xfId="0" applyFont="1" applyFill="1" applyBorder="1" applyAlignment="1">
      <alignment horizontal="center"/>
    </xf>
    <xf numFmtId="170" fontId="42" fillId="7" borderId="2" xfId="0" applyNumberFormat="1" applyFont="1" applyFill="1" applyBorder="1" applyAlignment="1">
      <alignment horizontal="center"/>
    </xf>
    <xf numFmtId="170" fontId="42" fillId="7" borderId="3" xfId="0" applyNumberFormat="1" applyFont="1" applyFill="1" applyBorder="1" applyAlignment="1">
      <alignment horizontal="center"/>
    </xf>
    <xf numFmtId="0" fontId="34" fillId="2" borderId="85" xfId="0" applyFont="1" applyFill="1" applyBorder="1" applyAlignment="1">
      <alignment horizontal="center"/>
    </xf>
    <xf numFmtId="0" fontId="34" fillId="2" borderId="0" xfId="0" applyFont="1" applyFill="1" applyAlignment="1">
      <alignment horizontal="center"/>
    </xf>
    <xf numFmtId="0" fontId="40" fillId="8" borderId="2" xfId="0" applyFont="1" applyFill="1" applyBorder="1" applyAlignment="1">
      <alignment horizontal="center"/>
    </xf>
    <xf numFmtId="0" fontId="40" fillId="8" borderId="3" xfId="0" applyFont="1" applyFill="1" applyBorder="1" applyAlignment="1">
      <alignment horizontal="center"/>
    </xf>
    <xf numFmtId="0" fontId="24" fillId="0" borderId="0" xfId="0" applyFont="1" applyAlignment="1">
      <alignment horizontal="center"/>
    </xf>
    <xf numFmtId="170" fontId="0" fillId="0" borderId="0" xfId="0" applyNumberFormat="1" applyAlignment="1">
      <alignment horizontal="center"/>
    </xf>
    <xf numFmtId="0" fontId="34" fillId="6" borderId="1" xfId="0" applyFont="1" applyFill="1" applyBorder="1" applyAlignment="1">
      <alignment horizontal="center"/>
    </xf>
    <xf numFmtId="170" fontId="0" fillId="0" borderId="1" xfId="0" applyNumberFormat="1" applyBorder="1" applyAlignment="1">
      <alignment horizontal="center" vertical="center"/>
    </xf>
    <xf numFmtId="0" fontId="0" fillId="0" borderId="1" xfId="0" applyBorder="1" applyAlignment="1">
      <alignment horizontal="center" vertical="center"/>
    </xf>
    <xf numFmtId="170" fontId="0" fillId="0" borderId="4" xfId="0" applyNumberFormat="1" applyBorder="1" applyAlignment="1">
      <alignment horizontal="center" vertical="center"/>
    </xf>
    <xf numFmtId="170" fontId="0" fillId="0" borderId="54" xfId="0" applyNumberFormat="1" applyBorder="1" applyAlignment="1">
      <alignment horizontal="center" vertical="center"/>
    </xf>
    <xf numFmtId="170" fontId="0" fillId="0" borderId="62" xfId="0" applyNumberFormat="1" applyBorder="1" applyAlignment="1">
      <alignment horizontal="center" vertical="center"/>
    </xf>
    <xf numFmtId="0" fontId="34" fillId="2" borderId="85" xfId="0" applyFont="1" applyFill="1" applyBorder="1" applyAlignment="1">
      <alignment horizontal="center" vertical="center" wrapText="1"/>
    </xf>
    <xf numFmtId="0" fontId="34" fillId="2" borderId="0" xfId="0" applyFont="1" applyFill="1" applyAlignment="1">
      <alignment horizontal="center" vertical="center" wrapText="1"/>
    </xf>
    <xf numFmtId="0" fontId="34" fillId="2" borderId="12" xfId="0" applyFont="1" applyFill="1" applyBorder="1" applyAlignment="1">
      <alignment horizontal="center" vertical="center" wrapText="1"/>
    </xf>
    <xf numFmtId="0" fontId="40" fillId="8" borderId="10" xfId="0" applyFont="1" applyFill="1" applyBorder="1" applyAlignment="1">
      <alignment horizontal="center"/>
    </xf>
    <xf numFmtId="0" fontId="49" fillId="27" borderId="42" xfId="0" applyFont="1" applyFill="1" applyBorder="1" applyAlignment="1">
      <alignment horizontal="center" vertical="center"/>
    </xf>
    <xf numFmtId="0" fontId="49" fillId="27" borderId="19" xfId="0" applyFont="1" applyFill="1" applyBorder="1" applyAlignment="1">
      <alignment horizontal="center" vertical="center"/>
    </xf>
    <xf numFmtId="0" fontId="11" fillId="6" borderId="0" xfId="0" applyFont="1" applyFill="1" applyAlignment="1">
      <alignment horizontal="center" vertical="center"/>
    </xf>
    <xf numFmtId="0" fontId="11" fillId="6" borderId="12" xfId="0" applyFont="1" applyFill="1" applyBorder="1" applyAlignment="1">
      <alignment horizontal="center" vertical="center"/>
    </xf>
    <xf numFmtId="10" fontId="31" fillId="6" borderId="85" xfId="0" applyNumberFormat="1" applyFont="1" applyFill="1" applyBorder="1" applyAlignment="1">
      <alignment horizontal="center" vertical="center"/>
    </xf>
    <xf numFmtId="10" fontId="31" fillId="6" borderId="0" xfId="0" applyNumberFormat="1" applyFont="1" applyFill="1" applyAlignment="1">
      <alignment horizontal="center" vertical="center"/>
    </xf>
    <xf numFmtId="0" fontId="71" fillId="7" borderId="1" xfId="0" applyFont="1" applyFill="1" applyBorder="1" applyAlignment="1">
      <alignment horizontal="center" vertical="center" wrapText="1"/>
    </xf>
    <xf numFmtId="0" fontId="0" fillId="26" borderId="1" xfId="0" applyFill="1" applyBorder="1" applyAlignment="1">
      <alignment horizontal="center"/>
    </xf>
    <xf numFmtId="0" fontId="0" fillId="25" borderId="1" xfId="0" applyFill="1" applyBorder="1" applyAlignment="1">
      <alignment horizontal="center"/>
    </xf>
    <xf numFmtId="0" fontId="0" fillId="25" borderId="1" xfId="0" applyFill="1" applyBorder="1" applyAlignment="1">
      <alignment horizontal="center" wrapText="1"/>
    </xf>
    <xf numFmtId="0" fontId="45" fillId="16" borderId="0" xfId="0" applyFont="1" applyFill="1" applyAlignment="1">
      <alignment horizontal="center"/>
    </xf>
    <xf numFmtId="0" fontId="0" fillId="11" borderId="1" xfId="0" applyFill="1" applyBorder="1" applyAlignment="1">
      <alignment horizontal="center"/>
    </xf>
    <xf numFmtId="0" fontId="1" fillId="6" borderId="1" xfId="0" applyFont="1" applyFill="1" applyBorder="1" applyAlignment="1">
      <alignment horizontal="center"/>
    </xf>
    <xf numFmtId="0" fontId="0" fillId="6" borderId="1" xfId="0" applyFill="1" applyBorder="1" applyAlignment="1">
      <alignment horizontal="center"/>
    </xf>
    <xf numFmtId="0" fontId="1" fillId="25" borderId="1" xfId="0" applyFont="1" applyFill="1" applyBorder="1" applyAlignment="1">
      <alignment horizontal="center"/>
    </xf>
    <xf numFmtId="0" fontId="1" fillId="27" borderId="1" xfId="0" applyFont="1" applyFill="1" applyBorder="1" applyAlignment="1">
      <alignment horizontal="center"/>
    </xf>
    <xf numFmtId="0" fontId="1" fillId="11" borderId="1" xfId="0" applyFont="1" applyFill="1" applyBorder="1" applyAlignment="1">
      <alignment horizontal="center"/>
    </xf>
    <xf numFmtId="0" fontId="1" fillId="28" borderId="1" xfId="0" applyFont="1" applyFill="1" applyBorder="1" applyAlignment="1">
      <alignment horizontal="center"/>
    </xf>
    <xf numFmtId="0" fontId="0" fillId="13" borderId="1" xfId="0" applyFill="1" applyBorder="1" applyAlignment="1">
      <alignment horizontal="center"/>
    </xf>
    <xf numFmtId="0" fontId="43" fillId="14" borderId="1" xfId="0" applyFont="1" applyFill="1" applyBorder="1" applyAlignment="1">
      <alignment horizontal="center"/>
    </xf>
    <xf numFmtId="0" fontId="67" fillId="0" borderId="0" xfId="3" applyFont="1" applyAlignment="1">
      <alignment horizontal="center"/>
    </xf>
    <xf numFmtId="0" fontId="65" fillId="0" borderId="0" xfId="3" applyFont="1" applyAlignment="1">
      <alignment horizontal="center"/>
    </xf>
  </cellXfs>
  <cellStyles count="5">
    <cellStyle name="Insatisfaisant" xfId="2" builtinId="27"/>
    <cellStyle name="Lien hypertexte" xfId="4" builtinId="8"/>
    <cellStyle name="Normal" xfId="0" builtinId="0"/>
    <cellStyle name="Normal 2" xfId="1" xr:uid="{00000000-0005-0000-0000-000002000000}"/>
    <cellStyle name="Normal 3" xfId="3" xr:uid="{00000000-0005-0000-0000-000003000000}"/>
  </cellStyles>
  <dxfs count="25">
    <dxf>
      <fill>
        <patternFill>
          <bgColor rgb="FFFF0000"/>
        </patternFill>
      </fill>
    </dxf>
    <dxf>
      <fill>
        <patternFill>
          <bgColor rgb="FFFF0000"/>
        </patternFill>
      </fill>
    </dxf>
    <dxf>
      <fill>
        <patternFill>
          <bgColor theme="9"/>
        </patternFill>
      </fill>
    </dxf>
    <dxf>
      <fill>
        <patternFill>
          <bgColor rgb="FF00B050"/>
        </patternFill>
      </fill>
    </dxf>
    <dxf>
      <fill>
        <patternFill>
          <bgColor rgb="FFFF0000"/>
        </patternFill>
      </fill>
    </dxf>
    <dxf>
      <fill>
        <patternFill>
          <bgColor rgb="FFFF0000"/>
        </patternFill>
      </fill>
    </dxf>
    <dxf>
      <fill>
        <patternFill>
          <bgColor rgb="FFEE0000"/>
        </patternFill>
      </fill>
    </dxf>
    <dxf>
      <fill>
        <patternFill>
          <bgColor rgb="FFFF0000"/>
        </patternFill>
      </fill>
    </dxf>
    <dxf>
      <fill>
        <patternFill>
          <bgColor theme="9"/>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theme="9"/>
        </patternFill>
      </fill>
    </dxf>
    <dxf>
      <fill>
        <patternFill>
          <bgColor rgb="FF00B050"/>
        </patternFill>
      </fill>
    </dxf>
    <dxf>
      <fill>
        <patternFill>
          <bgColor rgb="FFFF0000"/>
        </patternFill>
      </fill>
    </dxf>
    <dxf>
      <fill>
        <patternFill>
          <bgColor rgb="FFFF0000"/>
        </patternFill>
      </fill>
    </dxf>
    <dxf>
      <fill>
        <patternFill>
          <bgColor rgb="FFEE0000"/>
        </patternFill>
      </fill>
    </dxf>
    <dxf>
      <fill>
        <patternFill>
          <bgColor rgb="FFFF0000"/>
        </patternFill>
      </fill>
    </dxf>
    <dxf>
      <fill>
        <patternFill>
          <bgColor theme="9"/>
        </patternFill>
      </fill>
    </dxf>
    <dxf>
      <fill>
        <patternFill>
          <bgColor rgb="FF00B050"/>
        </patternFill>
      </fill>
    </dxf>
    <dxf>
      <fill>
        <patternFill>
          <bgColor rgb="FFFF0000"/>
        </patternFill>
      </fill>
    </dxf>
    <dxf>
      <fill>
        <patternFill>
          <bgColor theme="9"/>
        </patternFill>
      </fill>
    </dxf>
    <dxf>
      <fill>
        <patternFill>
          <bgColor rgb="FF00B050"/>
        </patternFill>
      </fill>
    </dxf>
    <dxf>
      <fill>
        <patternFill>
          <bgColor rgb="FFFF0000"/>
        </patternFill>
      </fill>
    </dxf>
  </dxfs>
  <tableStyles count="0" defaultTableStyle="TableStyleMedium2" defaultPivotStyle="PivotStyleLight16"/>
  <colors>
    <mruColors>
      <color rgb="FFE791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0</xdr:rowOff>
        </xdr:from>
        <xdr:to>
          <xdr:col>7</xdr:col>
          <xdr:colOff>1038225</xdr:colOff>
          <xdr:row>4</xdr:row>
          <xdr:rowOff>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000-00000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Comparatif avec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30</xdr:row>
          <xdr:rowOff>19050</xdr:rowOff>
        </xdr:from>
        <xdr:to>
          <xdr:col>7</xdr:col>
          <xdr:colOff>1304925</xdr:colOff>
          <xdr:row>32</xdr:row>
          <xdr:rowOff>381000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000-00000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Comparatif Numerique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1914525</xdr:colOff>
      <xdr:row>26</xdr:row>
      <xdr:rowOff>152400</xdr:rowOff>
    </xdr:from>
    <xdr:to>
      <xdr:col>0</xdr:col>
      <xdr:colOff>1933575</xdr:colOff>
      <xdr:row>35</xdr:row>
      <xdr:rowOff>133350</xdr:rowOff>
    </xdr:to>
    <xdr:cxnSp macro="">
      <xdr:nvCxnSpPr>
        <xdr:cNvPr id="2" name="Connecteur droit avec flèche 1">
          <a:extLst>
            <a:ext uri="{FF2B5EF4-FFF2-40B4-BE49-F238E27FC236}">
              <a16:creationId xmlns:a16="http://schemas.microsoft.com/office/drawing/2014/main" id="{00000000-0008-0000-0100-000002000000}"/>
            </a:ext>
          </a:extLst>
        </xdr:cNvPr>
        <xdr:cNvCxnSpPr/>
      </xdr:nvCxnSpPr>
      <xdr:spPr>
        <a:xfrm>
          <a:off x="1914525" y="7315200"/>
          <a:ext cx="19050" cy="21145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38100</xdr:rowOff>
        </xdr:from>
        <xdr:to>
          <xdr:col>2</xdr:col>
          <xdr:colOff>2552700</xdr:colOff>
          <xdr:row>0</xdr:row>
          <xdr:rowOff>428625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6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Réinitialisation du devis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76200</xdr:rowOff>
        </xdr:from>
        <xdr:to>
          <xdr:col>2</xdr:col>
          <xdr:colOff>2514600</xdr:colOff>
          <xdr:row>32</xdr:row>
          <xdr:rowOff>723900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6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Réinitialisation du devis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466725</xdr:rowOff>
        </xdr:from>
        <xdr:to>
          <xdr:col>7</xdr:col>
          <xdr:colOff>1304925</xdr:colOff>
          <xdr:row>4</xdr:row>
          <xdr:rowOff>38100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6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Comparatif Numerique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33</xdr:row>
          <xdr:rowOff>19050</xdr:rowOff>
        </xdr:from>
        <xdr:to>
          <xdr:col>7</xdr:col>
          <xdr:colOff>1304925</xdr:colOff>
          <xdr:row>35</xdr:row>
          <xdr:rowOff>381000</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600-00001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Comparatif Numerique / Offset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257175</xdr:colOff>
          <xdr:row>33</xdr:row>
          <xdr:rowOff>114300</xdr:rowOff>
        </xdr:from>
        <xdr:to>
          <xdr:col>6</xdr:col>
          <xdr:colOff>942975</xdr:colOff>
          <xdr:row>36</xdr:row>
          <xdr:rowOff>66675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400" b="1" i="0" u="none" strike="noStrike" baseline="0">
                  <a:solidFill>
                    <a:srgbClr val="000000"/>
                  </a:solidFill>
                  <a:latin typeface="Calibri"/>
                  <a:ea typeface="Calibri"/>
                  <a:cs typeface="Calibri"/>
                </a:rPr>
                <a:t>Retirer toute les reductions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28</xdr:row>
          <xdr:rowOff>0</xdr:rowOff>
        </xdr:from>
        <xdr:to>
          <xdr:col>6</xdr:col>
          <xdr:colOff>619125</xdr:colOff>
          <xdr:row>32</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Vider les remises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428625</xdr:colOff>
          <xdr:row>0</xdr:row>
          <xdr:rowOff>57150</xdr:rowOff>
        </xdr:from>
        <xdr:to>
          <xdr:col>1</xdr:col>
          <xdr:colOff>752475</xdr:colOff>
          <xdr:row>0</xdr:row>
          <xdr:rowOff>523875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A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Démarrage de la simulation complète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0</xdr:row>
          <xdr:rowOff>400050</xdr:rowOff>
        </xdr:from>
        <xdr:to>
          <xdr:col>18</xdr:col>
          <xdr:colOff>514350</xdr:colOff>
          <xdr:row>0</xdr:row>
          <xdr:rowOff>590550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A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0</xdr:row>
          <xdr:rowOff>57150</xdr:rowOff>
        </xdr:from>
        <xdr:to>
          <xdr:col>1</xdr:col>
          <xdr:colOff>752475</xdr:colOff>
          <xdr:row>0</xdr:row>
          <xdr:rowOff>523875</xdr:rowOff>
        </xdr:to>
        <xdr:sp macro="" textlink="">
          <xdr:nvSpPr>
            <xdr:cNvPr id="21521" name="Button 17" hidden="1">
              <a:extLst>
                <a:ext uri="{63B3BB69-23CF-44E3-9099-C40C66FF867C}">
                  <a14:compatExt spid="_x0000_s21521"/>
                </a:ext>
                <a:ext uri="{FF2B5EF4-FFF2-40B4-BE49-F238E27FC236}">
                  <a16:creationId xmlns:a16="http://schemas.microsoft.com/office/drawing/2014/main" id="{00000000-0008-0000-0A00-00001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Démarrage de la simulation complète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0</xdr:row>
          <xdr:rowOff>57150</xdr:rowOff>
        </xdr:from>
        <xdr:to>
          <xdr:col>3</xdr:col>
          <xdr:colOff>2076450</xdr:colOff>
          <xdr:row>0</xdr:row>
          <xdr:rowOff>523875</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0A00-00001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Commande groupée (non fonctionnel pour le moment)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0</xdr:row>
          <xdr:rowOff>447675</xdr:rowOff>
        </xdr:from>
        <xdr:to>
          <xdr:col>20</xdr:col>
          <xdr:colOff>485775</xdr:colOff>
          <xdr:row>0</xdr:row>
          <xdr:rowOff>657225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0</xdr:row>
          <xdr:rowOff>57150</xdr:rowOff>
        </xdr:from>
        <xdr:to>
          <xdr:col>1</xdr:col>
          <xdr:colOff>523875</xdr:colOff>
          <xdr:row>0</xdr:row>
          <xdr:rowOff>571500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B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Démarrage de la simulation complète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hyperlink" Target="file:///\\Win-k9f9gmoklc6\SERVEUR%20PRINCIPAL%20SSD\0%20-%20Achats%20IMB\Tarif%20palette%20Cube%20JANVIER%202026.pdf" TargetMode="Externa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00B050"/>
  </sheetPr>
  <dimension ref="A1:AR61"/>
  <sheetViews>
    <sheetView tabSelected="1" topLeftCell="A19" zoomScale="70" zoomScaleNormal="70" workbookViewId="0">
      <selection activeCell="F9" sqref="F9"/>
    </sheetView>
  </sheetViews>
  <sheetFormatPr baseColWidth="10" defaultColWidth="11.42578125" defaultRowHeight="15"/>
  <cols>
    <col min="1" max="1" width="38.85546875" style="372" customWidth="1"/>
    <col min="2" max="2" width="41.28515625" style="372" customWidth="1"/>
    <col min="3" max="3" width="38.140625" style="372" customWidth="1"/>
    <col min="4" max="4" width="32.42578125" style="372" customWidth="1"/>
    <col min="5" max="5" width="29.140625" style="372" customWidth="1"/>
    <col min="6" max="6" width="21" style="372" customWidth="1"/>
    <col min="7" max="7" width="19.7109375" style="372" customWidth="1"/>
    <col min="8" max="8" width="15.85546875" style="372" customWidth="1"/>
    <col min="9" max="9" width="13.42578125" style="92" customWidth="1"/>
    <col min="10" max="20" width="11.42578125" style="92"/>
    <col min="21" max="26" width="11.42578125" style="380"/>
    <col min="27" max="27" width="15.7109375" style="380" customWidth="1"/>
    <col min="28" max="42" width="11.42578125" style="380"/>
    <col min="43" max="16384" width="11.42578125" style="372"/>
  </cols>
  <sheetData>
    <row r="1" spans="1:44" ht="60" customHeight="1">
      <c r="A1" s="682" t="s">
        <v>916</v>
      </c>
      <c r="B1" s="683"/>
      <c r="C1" s="572"/>
      <c r="D1" s="572"/>
      <c r="E1" s="572"/>
      <c r="F1" s="684" t="s">
        <v>981</v>
      </c>
      <c r="G1" s="685"/>
      <c r="H1" s="573"/>
      <c r="K1" s="92" t="str">
        <f>IF(A7="Autre","Grammage_Autre_Interieur",
IF(A7="Recyclé","RecycleOffset",
IF(A7="Brillant","Brillantinterieur",
IF(A7="Couché Mat","CoucheMatInterieur",
IF(A7="Couché Satin","CoucheSatinInterieur",
IF(A7="Offset","OffsetInterieur",
IF(A7="Bouffant Munken Blanc","BouffantMunkenBlanc",
IF(A7="Bouffant Blanc","Bouffantblanc",
IF(A7="Bouffant Munken Crème","BouffantMunkenCreme",
"")))))))))</f>
        <v>CoucheSatinInterieur</v>
      </c>
      <c r="L1" s="413" t="e">
        <f>IF(B7="Autre","Grammage_Autre_Couverture",
    IF(OR(A12="Dos carré collé",A12="Dos carré collé PUR"),
        VLOOKUP(B7,{"Carte 1 face","Carte1Face_DC";"Couché","CoucheCouv_DC"},2,FALSE),
        VLOOKUP(B7,{"Carte 1 face","Carte1Face";"Couché","CoucheCouv"},2,FALSE)
    )
)</f>
        <v>#N/A</v>
      </c>
      <c r="M1" s="92" t="b">
        <f>AND(
  ISNUMBER(A5),
  MOD(A5,4)=0,
  OR(A12&lt;&gt;"Dos carré collé",A5&gt;=40),
  OR(A12&lt;&gt;"Dos carré collé PUR",A5&gt;=40),
  OR(A12&lt;&gt;"Dos carré collé avec couture",A5&gt;=40),
  OR(A12&lt;&gt;"Piqûre",A5&lt;=96)
)</f>
        <v>1</v>
      </c>
      <c r="N1" s="92" t="str">
        <f>IF(B7="Autre","Grammage_Autre_Couverture",
IF(OR(A12="Dos carré collé",A12="Dos carré collé PUR",A12="Dos carré collé avec couture"),
  VLOOKUP(B7,
    {"Brillant","Brillantcouv_DC";"Carte 1 face","Carte1Face_DC";"Couché Mat","CoucheMatCouv_DC";"Couché Satin","CoucheSatinCouv_DC"},
    2,FALSE),
  VLOOKUP(B7,
    {"Recyclé","RecycleCouv";"Brillant","Brillantcouv";"Carte 1 face","Carte1Face";"Couché Mat","CoucheMatCouv";"Couché Satin","CoucheSatinCouv";"Offset","OffsetCouv"},
    2,FALSE)))</f>
        <v>CoucheSatinCouv</v>
      </c>
    </row>
    <row r="2" spans="1:44" s="329" customFormat="1" ht="30" customHeight="1">
      <c r="A2" s="403" t="s">
        <v>471</v>
      </c>
      <c r="B2" s="403" t="s">
        <v>731</v>
      </c>
      <c r="C2" s="404"/>
      <c r="D2" s="95"/>
      <c r="E2" s="99"/>
      <c r="F2" s="567" t="s">
        <v>978</v>
      </c>
      <c r="G2" s="568">
        <f>A25</f>
        <v>1699.9981599999999</v>
      </c>
      <c r="H2" s="39"/>
      <c r="I2" s="92"/>
      <c r="J2" s="92"/>
      <c r="K2" s="92"/>
      <c r="L2" s="92"/>
      <c r="M2" s="92"/>
      <c r="N2" s="92"/>
      <c r="O2" s="92"/>
      <c r="P2" s="92"/>
      <c r="Q2" s="92"/>
      <c r="R2" s="92"/>
      <c r="S2" s="92"/>
      <c r="T2" s="92"/>
      <c r="U2" s="380"/>
      <c r="V2" s="380"/>
      <c r="W2" s="380"/>
      <c r="X2" s="380"/>
      <c r="Y2" s="380"/>
      <c r="Z2" s="380"/>
      <c r="AA2" s="380"/>
      <c r="AB2" s="380"/>
      <c r="AC2" s="380"/>
      <c r="AD2" s="380"/>
      <c r="AE2" s="380"/>
      <c r="AF2" s="380"/>
      <c r="AG2" s="380"/>
      <c r="AH2" s="380"/>
      <c r="AI2" s="380"/>
      <c r="AJ2" s="380"/>
      <c r="AK2" s="380"/>
      <c r="AL2" s="380"/>
      <c r="AM2" s="380"/>
      <c r="AN2" s="380"/>
      <c r="AO2" s="380"/>
      <c r="AP2" s="380"/>
      <c r="AQ2" s="372"/>
      <c r="AR2" s="372"/>
    </row>
    <row r="3" spans="1:44" s="329" customFormat="1" ht="15.75">
      <c r="A3" s="118">
        <v>800</v>
      </c>
      <c r="B3" s="118" t="s">
        <v>146</v>
      </c>
      <c r="C3" s="95"/>
      <c r="D3"/>
      <c r="E3"/>
      <c r="F3" s="569" t="s">
        <v>979</v>
      </c>
      <c r="G3" s="568">
        <v>1242.4506160000001</v>
      </c>
      <c r="H3" s="39"/>
      <c r="I3" s="92"/>
      <c r="J3" s="92"/>
      <c r="K3" s="92"/>
      <c r="L3" s="92"/>
      <c r="M3" s="92"/>
      <c r="N3" s="92"/>
      <c r="O3" s="92"/>
      <c r="P3" s="92"/>
      <c r="Q3" s="92"/>
      <c r="R3" s="92"/>
      <c r="S3" s="92"/>
      <c r="T3" s="92"/>
      <c r="U3" s="382"/>
      <c r="V3" s="380"/>
      <c r="W3" s="380"/>
      <c r="X3" s="380"/>
      <c r="Y3" s="380"/>
      <c r="Z3" s="380"/>
      <c r="AA3" s="380"/>
      <c r="AB3" s="380"/>
      <c r="AC3" s="380"/>
      <c r="AD3" s="380"/>
      <c r="AE3" s="380"/>
      <c r="AF3" s="380"/>
      <c r="AG3" s="380"/>
      <c r="AH3" s="380"/>
      <c r="AI3" s="380"/>
      <c r="AJ3" s="380"/>
      <c r="AK3" s="380"/>
      <c r="AL3" s="380"/>
      <c r="AM3" s="380"/>
      <c r="AN3" s="380"/>
      <c r="AO3" s="380"/>
      <c r="AP3" s="380"/>
      <c r="AQ3" s="372"/>
      <c r="AR3" s="372"/>
    </row>
    <row r="4" spans="1:44" ht="32.25" customHeight="1" thickBot="1">
      <c r="A4" s="109" t="s">
        <v>735</v>
      </c>
      <c r="B4" s="108" t="s">
        <v>734</v>
      </c>
      <c r="C4" s="95"/>
      <c r="D4"/>
      <c r="E4"/>
      <c r="F4" s="570" t="s">
        <v>980</v>
      </c>
      <c r="G4" s="574">
        <f>G3-G2</f>
        <v>-457.54754399999979</v>
      </c>
      <c r="H4" s="39"/>
      <c r="T4" s="414"/>
    </row>
    <row r="5" spans="1:44" ht="24.75" customHeight="1">
      <c r="A5" s="118">
        <v>36</v>
      </c>
      <c r="B5" s="118">
        <v>4</v>
      </c>
      <c r="C5" s="405"/>
      <c r="D5"/>
      <c r="E5"/>
      <c r="H5" s="39"/>
      <c r="T5" s="414"/>
      <c r="U5" s="384"/>
      <c r="V5" s="383"/>
    </row>
    <row r="6" spans="1:44" ht="30" customHeight="1">
      <c r="A6" s="109" t="s">
        <v>736</v>
      </c>
      <c r="B6" s="109" t="s">
        <v>737</v>
      </c>
      <c r="C6" s="406"/>
      <c r="D6"/>
      <c r="E6"/>
      <c r="F6"/>
      <c r="G6"/>
      <c r="H6" s="39"/>
    </row>
    <row r="7" spans="1:44" ht="15.75">
      <c r="A7" s="385" t="s">
        <v>700</v>
      </c>
      <c r="B7" s="385" t="s">
        <v>700</v>
      </c>
      <c r="C7" s="406"/>
      <c r="D7"/>
      <c r="E7"/>
      <c r="F7"/>
      <c r="G7"/>
      <c r="H7" s="39"/>
    </row>
    <row r="8" spans="1:44" ht="15.75">
      <c r="A8" s="118">
        <v>135</v>
      </c>
      <c r="B8" s="118">
        <v>300</v>
      </c>
      <c r="C8" s="95"/>
      <c r="D8"/>
      <c r="E8"/>
      <c r="F8"/>
      <c r="G8"/>
      <c r="H8" s="39"/>
    </row>
    <row r="9" spans="1:44" ht="29.25" customHeight="1">
      <c r="A9" s="108" t="s">
        <v>739</v>
      </c>
      <c r="B9" s="108" t="s">
        <v>738</v>
      </c>
      <c r="C9" s="95"/>
      <c r="D9"/>
      <c r="E9"/>
      <c r="F9"/>
      <c r="G9"/>
      <c r="H9" s="39"/>
    </row>
    <row r="10" spans="1:44" ht="22.5" customHeight="1">
      <c r="A10" s="118" t="s">
        <v>7</v>
      </c>
      <c r="B10" s="118" t="s">
        <v>7</v>
      </c>
      <c r="C10" s="95"/>
      <c r="D10"/>
      <c r="E10"/>
      <c r="F10"/>
      <c r="G10"/>
      <c r="H10" s="39"/>
    </row>
    <row r="11" spans="1:44" ht="15.75">
      <c r="A11" s="108" t="s">
        <v>117</v>
      </c>
      <c r="B11" s="124" t="s">
        <v>469</v>
      </c>
      <c r="C11" s="328" t="s">
        <v>486</v>
      </c>
      <c r="D11"/>
      <c r="E11"/>
      <c r="F11"/>
      <c r="G11"/>
      <c r="H11" s="39"/>
    </row>
    <row r="12" spans="1:44" ht="21" customHeight="1">
      <c r="A12" s="118" t="s">
        <v>139</v>
      </c>
      <c r="B12" s="118" t="s">
        <v>648</v>
      </c>
      <c r="C12" s="390" t="s">
        <v>665</v>
      </c>
      <c r="D12"/>
      <c r="E12"/>
      <c r="F12"/>
      <c r="G12"/>
      <c r="H12" s="39"/>
    </row>
    <row r="13" spans="1:44" ht="15.75">
      <c r="A13" s="676" t="s">
        <v>646</v>
      </c>
      <c r="B13" s="677"/>
      <c r="C13" s="677"/>
      <c r="D13" s="677"/>
      <c r="E13" s="677"/>
      <c r="F13" s="677"/>
      <c r="G13" s="677"/>
      <c r="H13" s="678"/>
    </row>
    <row r="14" spans="1:44">
      <c r="A14" s="398" t="s">
        <v>502</v>
      </c>
      <c r="B14" s="236" t="s">
        <v>625</v>
      </c>
      <c r="C14" s="236" t="s">
        <v>632</v>
      </c>
      <c r="D14" s="236" t="s">
        <v>503</v>
      </c>
      <c r="E14" s="236" t="s">
        <v>504</v>
      </c>
      <c r="F14" s="236" t="s">
        <v>624</v>
      </c>
      <c r="G14" s="236" t="s">
        <v>629</v>
      </c>
      <c r="H14" s="679" t="s">
        <v>627</v>
      </c>
    </row>
    <row r="15" spans="1:44">
      <c r="A15" s="407" t="s">
        <v>505</v>
      </c>
      <c r="B15" s="329">
        <v>100</v>
      </c>
      <c r="C15" s="664">
        <f>IF(AND($B15&lt;&gt;"", $A$22&lt;&gt;""), MAX(1, $B15 * $A$22 / 1000), "")</f>
        <v>19.344979015252328</v>
      </c>
      <c r="D15" s="333" t="s">
        <v>580</v>
      </c>
      <c r="E15" s="329" t="s">
        <v>304</v>
      </c>
      <c r="F15" s="665">
        <f t="array" ref="F15">IFERROR(
  MIN(IF(
    (Transports!$A$2:$A$571=D15)*
    (INDEX(Transports!$C$2:$CF$571,,MATCH(ROUNDUP(C15,1),Transports!$C$1:$CF$1,1))&gt;0),
    INDEX(Transports!$C$2:$CF$571,,MATCH(ROUNDUP(C15,1),Transports!$C$1:$CF$1,1))
  )),
  IFERROR(
    MIN(IF(
      (Transports!$A$2:$A$571=D15)*
      (ISNUMBER(Transports!#REF!))*
      (Transports!#REF!&gt;0),
      Transports!#REF!*C15/100
    )),
    ""
  )
)</f>
        <v>22</v>
      </c>
      <c r="G15" s="666" t="str" cm="1">
        <f t="array" ref="G15">IFERROR(
  INDEX(Transports!$B$2:$B$571,
    MATCH(
      F15 - IF(E15="Oui",60,0),
      IF(
        Transports!$A$2:$A$571=D15,
        CHOOSE(1,
          INDEX(Transports!$C$2:$CF$571,,MATCH(ROUNDUP(C15,1),Transports!$C$1:$CF$1,1)),
          Transports!#REF!
        )
      ),
    0)
  ),
"")</f>
        <v>TNT</v>
      </c>
      <c r="H15" s="680"/>
    </row>
    <row r="16" spans="1:44">
      <c r="A16" s="407" t="s">
        <v>506</v>
      </c>
      <c r="B16" s="329">
        <v>100</v>
      </c>
      <c r="C16" s="664">
        <f>IF(AND($B16&lt;&gt;"", $A$22&lt;&gt;""), MAX(1, $B16 * $A$22 / 1000), "")</f>
        <v>19.344979015252328</v>
      </c>
      <c r="D16" s="333" t="s">
        <v>583</v>
      </c>
      <c r="E16" s="329" t="s">
        <v>304</v>
      </c>
      <c r="F16" s="665">
        <f t="array" ref="F16">IFERROR(
  MIN(IF(
    (Transports!$A$2:$A$571=D16)*
    (INDEX(Transports!$C$2:$CF$571,,MATCH(ROUNDUP(C16,1),Transports!$C$1:$CF$1,1))&gt;0),
    INDEX(Transports!$C$2:$CF$571,,MATCH(ROUNDUP(C16,1),Transports!$C$1:$CF$1,1))
  )),
  IFERROR(
    MIN(IF(
      (Transports!$A$2:$A$571=D16)*
      (ISNUMBER(Transports!#REF!))*
      (Transports!#REF!&gt;0),
      Transports!#REF!*C16/100
    )),
    ""
  )
)</f>
        <v>22</v>
      </c>
      <c r="G16" s="666" t="str" cm="1">
        <f t="array" ref="G16">IFERROR(
  INDEX(Transports!$B$2:$B$571,
    MATCH(
      F16 - IF(E16="Oui",60,0),
      IF(
        Transports!$A$2:$A$571=D16,
        CHOOSE(1,
          INDEX(Transports!$C$2:$CF$571,,MATCH(ROUNDUP(C16,1),Transports!$C$1:$CF$1,1)),
          Transports!#REF!
        )
      ),
    0)
  ),
"")</f>
        <v>TNT</v>
      </c>
      <c r="H16" s="680"/>
    </row>
    <row r="17" spans="1:42" ht="20.25" customHeight="1">
      <c r="A17" s="407" t="s">
        <v>507</v>
      </c>
      <c r="B17" s="329"/>
      <c r="C17" s="664" t="str">
        <f>IF(AND($B17&lt;&gt;"", $A$22&lt;&gt;""), MAX(1, $B17 * $A$22 / 1000), "")</f>
        <v/>
      </c>
      <c r="D17" s="333"/>
      <c r="E17" s="329" t="s">
        <v>304</v>
      </c>
      <c r="F17" s="665" t="str">
        <f t="array" ref="F17">IFERROR(
  MIN(IF(
    (Transports!$A$2:$A$571=D17)*
    (INDEX(Transports!$C$2:$CF$571,,MATCH(ROUNDUP(C17,1),Transports!$C$1:$CF$1,1))&gt;0),
    INDEX(Transports!$C$2:$CF$571,,MATCH(ROUNDUP(C17,1),Transports!$C$1:$CF$1,1))
  )),
  IFERROR(
    MIN(IF(
      (Transports!$A$2:$A$571=D17)*
      (ISNUMBER(Transports!#REF!))*
      (Transports!#REF!&gt;0),
      Transports!#REF!*C17/100
    )),
    ""
  )
)</f>
        <v/>
      </c>
      <c r="G17" s="666" t="str" cm="1">
        <f t="array" ref="G17">IFERROR(
  INDEX(Transports!$B$2:$B$571,
    MATCH(
      F17 - IF(E17="Oui",60,0),
      IF(
        Transports!$A$2:$A$571=D17,
        CHOOSE(1,
          INDEX(Transports!$C$2:$CF$571,,MATCH(ROUNDUP(C17,1),Transports!$C$1:$CF$1,1)),
          Transports!#REF!
        )
      ),
    0)
  ),
"")</f>
        <v/>
      </c>
      <c r="H17" s="680"/>
    </row>
    <row r="18" spans="1:42">
      <c r="A18" s="407" t="s">
        <v>508</v>
      </c>
      <c r="B18" s="329"/>
      <c r="C18" s="664" t="str">
        <f>IF(AND($B18&lt;&gt;"", $A$22&lt;&gt;""), MAX(1, $B18 * $A$22 / 1000), "")</f>
        <v/>
      </c>
      <c r="D18" s="333"/>
      <c r="E18" s="329" t="s">
        <v>304</v>
      </c>
      <c r="F18" s="665" t="str">
        <f t="array" ref="F18">IFERROR(
  MIN(IF(
    (Transports!$A$2:$A$571=D18)*
    (INDEX(Transports!$C$2:$CF$571,,MATCH(ROUNDUP(C18,1),Transports!$C$1:$CF$1,1))&gt;0),
    INDEX(Transports!$C$2:$CF$571,,MATCH(ROUNDUP(C18,1),Transports!$C$1:$CF$1,1))
  )),
  IFERROR(
    MIN(IF(
      (Transports!$A$2:$A$571=D18)*
      (ISNUMBER(Transports!#REF!))*
      (Transports!#REF!&gt;0),
      Transports!#REF!*C18/100
    )),
    ""
  )
)</f>
        <v/>
      </c>
      <c r="G18" s="666" t="str" cm="1">
        <f t="array" ref="G18">IFERROR(
  INDEX(Transports!$B$2:$B$571,
    MATCH(
      F18 - IF(E18="Oui",60,0),
      IF(
        Transports!$A$2:$A$571=D18,
        CHOOSE(1,
          INDEX(Transports!$C$2:$CF$571,,MATCH(ROUNDUP(C18,1),Transports!$C$1:$CF$1,1)),
          Transports!#REF!
        )
      ),
    0)
  ),
"")</f>
        <v/>
      </c>
      <c r="H18" s="680"/>
    </row>
    <row r="19" spans="1:42" ht="21.75" customHeight="1" thickBot="1">
      <c r="A19" s="407" t="s">
        <v>509</v>
      </c>
      <c r="B19" s="330"/>
      <c r="C19" s="664" t="str">
        <f>IF(AND($B19&lt;&gt;"", $A$22&lt;&gt;""), MAX(1, $B19 * $A$22 / 1000), "")</f>
        <v/>
      </c>
      <c r="D19" s="333"/>
      <c r="E19" s="329" t="s">
        <v>304</v>
      </c>
      <c r="F19" s="671" t="str">
        <f t="array" ref="F19">IFERROR(
  MIN(IF(
    (Transports!$A$2:$A$571=D19)*
    (INDEX(Transports!$C$2:$CF$571,,MATCH(ROUNDUP(C19,1),Transports!$C$1:$CF$1,1))&gt;0),
    INDEX(Transports!$C$2:$CF$571,,MATCH(ROUNDUP(C19,1),Transports!$C$1:$CF$1,1))
  )),
  IFERROR(
    MIN(IF(
      (Transports!$A$2:$A$571=D19)*
      (ISNUMBER(Transports!#REF!))*
      (Transports!#REF!&gt;0),
      Transports!#REF!*C19/100
    )),
    ""
  )
)</f>
        <v/>
      </c>
      <c r="G19" s="666" t="str" cm="1">
        <f t="array" ref="G19">IFERROR(
  INDEX(Transports!$B$2:$B$571,
    MATCH(
      F19 - IF(E19="Oui",60,0),
      IF(
        Transports!$A$2:$A$571=D19,
        CHOOSE(1,
          INDEX(Transports!$C$2:$CF$571,,MATCH(ROUNDUP(C19,1),Transports!$C$1:$CF$1,1)),
          Transports!#REF!
        )
      ),
    0)
  ),
"")</f>
        <v/>
      </c>
      <c r="H19" s="681"/>
      <c r="I19" s="96"/>
      <c r="J19" s="96"/>
    </row>
    <row r="20" spans="1:42" ht="19.5" thickBot="1">
      <c r="A20" s="399" t="str">
        <f>IF(COUNTIF(B15:B19,"&gt;0")&lt;&gt;COUNTIF(F15:F19,"&gt;0"),
"⚠ Erreur : au moins un point a une quantité sans prix.",
"")</f>
        <v/>
      </c>
      <c r="B20" s="290" t="str">
        <f>IF(SUM(B15:B19)&gt;A3,
   "⚠ Trop réparti : " &amp; SUM(B15:B19) &amp; " / " &amp; A3,
   IF(SUM(B15:B19)&lt;A3,
      "⚠ Quantité incomplète : " &amp; SUM(B15:B19) &amp; " / " &amp; A3,
      "✅ Quantité répartie correctement (" &amp; A3 &amp; ")"
   )
)</f>
        <v>⚠ Quantité incomplète : 200 / 800</v>
      </c>
      <c r="C20" s="374"/>
      <c r="D20" s="331"/>
      <c r="E20" s="288" t="s">
        <v>640</v>
      </c>
      <c r="F20" s="376">
        <f>SUM(F15:F19)</f>
        <v>44</v>
      </c>
      <c r="G20" s="331"/>
      <c r="H20" s="386"/>
    </row>
    <row r="21" spans="1:42" ht="15.75">
      <c r="A21" s="400" t="s">
        <v>85</v>
      </c>
      <c r="B21" s="401" t="s">
        <v>136</v>
      </c>
      <c r="H21" s="381"/>
    </row>
    <row r="22" spans="1:42" ht="15.75">
      <c r="A22" s="402">
        <f t="array" ref="A22">IFERROR(
  (
    ('Tableau NUMERIQUE'!A5/2) *
      LEFT('Tableau NUMERIQUE'!B3,SEARCH("x",'Tableau NUMERIQUE'!B3)-1) *
      MID('Tableau NUMERIQUE'!B3,SEARCH("x",'Tableau NUMERIQUE'!B3)+1,10) *
      'Tableau NUMERIQUE'!A8 +
    IF('Tableau NUMERIQUE'!B5=0,0,
      (2 * LEFT('Tableau NUMERIQUE'!B3,SEARCH("x",'Tableau NUMERIQUE'!B3)-1) +
       'Donnees Num'!F12) *
      MID('Tableau NUMERIQUE'!B3,SEARCH("x",'Tableau NUMERIQUE'!B3)+1,10) *
      'Tableau NUMERIQUE'!B8
    )
  ) / 9769,
  ""
)</f>
        <v>193.44979015252329</v>
      </c>
      <c r="B22" s="217">
        <f>IF(OR(A3="",A3=0),
  0,
  (A22*A3)/1000
)</f>
        <v>154.75983212201862</v>
      </c>
      <c r="H22" s="381"/>
    </row>
    <row r="23" spans="1:42" ht="15.75" thickBot="1">
      <c r="A23" s="387"/>
      <c r="H23" s="381"/>
    </row>
    <row r="24" spans="1:42" ht="32.25" customHeight="1" thickBot="1">
      <c r="A24" s="694" t="s">
        <v>915</v>
      </c>
      <c r="B24" s="695"/>
      <c r="H24" s="381"/>
    </row>
    <row r="25" spans="1:42" ht="61.5" customHeight="1" thickBot="1">
      <c r="A25" s="686">
        <f>IF(OR(A3="",A3=0),
  0,
  ('Donnees Num'!D21+F20)+'Donnees Num'!E12
)*1.05</f>
        <v>1699.9981599999999</v>
      </c>
      <c r="B25" s="687"/>
      <c r="C25" s="388"/>
      <c r="D25" s="388"/>
      <c r="E25" s="388"/>
      <c r="F25" s="388"/>
      <c r="G25" s="388"/>
      <c r="H25" s="389"/>
    </row>
    <row r="26" spans="1:42" s="380" customFormat="1" ht="18" customHeight="1">
      <c r="I26" s="92"/>
      <c r="J26" s="92"/>
      <c r="K26" s="92"/>
      <c r="L26" s="92"/>
      <c r="M26" s="92"/>
      <c r="N26" s="92"/>
      <c r="O26" s="92"/>
      <c r="P26" s="92"/>
      <c r="Q26" s="92"/>
      <c r="R26" s="92"/>
      <c r="S26" s="92"/>
      <c r="T26" s="92"/>
    </row>
    <row r="27" spans="1:42" s="380" customFormat="1">
      <c r="I27" s="92"/>
      <c r="J27" s="92"/>
      <c r="K27" s="92"/>
      <c r="L27" s="92"/>
      <c r="M27" s="92"/>
      <c r="N27" s="92"/>
      <c r="O27" s="92"/>
      <c r="P27" s="92"/>
      <c r="Q27" s="92"/>
      <c r="R27" s="92"/>
      <c r="S27" s="92"/>
      <c r="T27" s="92"/>
    </row>
    <row r="28" spans="1:42" s="380" customFormat="1">
      <c r="I28" s="92"/>
      <c r="J28" s="92"/>
      <c r="K28" s="92"/>
      <c r="L28" s="92"/>
      <c r="M28" s="92"/>
      <c r="N28" s="92"/>
      <c r="O28" s="92"/>
      <c r="P28" s="92"/>
      <c r="Q28" s="92"/>
      <c r="R28" s="92"/>
      <c r="S28" s="92"/>
      <c r="T28" s="92"/>
    </row>
    <row r="29" spans="1:42" ht="69.75" customHeight="1" thickBot="1">
      <c r="A29" s="693" t="s">
        <v>917</v>
      </c>
      <c r="B29" s="693"/>
      <c r="C29" s="693"/>
      <c r="D29" s="693"/>
      <c r="E29" s="693"/>
      <c r="F29" s="693"/>
      <c r="G29" s="693"/>
      <c r="H29" s="693"/>
    </row>
    <row r="30" spans="1:42" ht="15.75">
      <c r="A30" s="408" t="s">
        <v>0</v>
      </c>
      <c r="B30" s="409" t="s">
        <v>1045</v>
      </c>
      <c r="C30" s="325" t="s">
        <v>483</v>
      </c>
      <c r="D30" s="492" t="s">
        <v>841</v>
      </c>
      <c r="F30" s="684" t="s">
        <v>981</v>
      </c>
      <c r="G30" s="685"/>
    </row>
    <row r="31" spans="1:42" ht="31.5" customHeight="1">
      <c r="A31" s="324"/>
      <c r="B31" s="324"/>
      <c r="C31" s="673">
        <f>IF('Tableau NUMERIQUE'!A38&lt;&gt;"Dépliant",
  'Tableau NUMERIQUE'!B31,
  IFERROR(
    TEXT(
      (LEFT('Tableau NUMERIQUE'!B31,SEARCH("x",'Tableau NUMERIQUE'!B31)-1)*1) * (IF('Tableau NUMERIQUE'!C38="",1,'Tableau NUMERIQUE'!C38+1)),
      "0,0"
    )
    &amp;"x"&amp;
    TEXT(
      (RIGHT('Tableau NUMERIQUE'!B31,LEN('Tableau NUMERIQUE'!B31)-SEARCH("x",'Tableau NUMERIQUE'!B31))*1) * IF(OR('Tableau NUMERIQUE'!D38&lt;&gt;"Croisé",'Tableau NUMERIQUE'!E38=""),1,'Tableau NUMERIQUE'!E38+1),
      "0,0"
    ),
    ""
  )
)</f>
        <v>0</v>
      </c>
      <c r="D31" s="663" t="str">
        <f>IF(A38&lt;&gt;"Dépliant",
  "",
  (C38+1) * (IF(OR(D38&lt;&gt;"Croisé",E38=""),1,E38+1))
)</f>
        <v/>
      </c>
      <c r="F31" s="567" t="s">
        <v>978</v>
      </c>
      <c r="G31" s="568">
        <v>0</v>
      </c>
      <c r="H31" s="440"/>
    </row>
    <row r="32" spans="1:42" ht="36.75" customHeight="1">
      <c r="A32" s="131" t="s">
        <v>732</v>
      </c>
      <c r="F32" s="569" t="s">
        <v>979</v>
      </c>
      <c r="G32" s="568">
        <v>0</v>
      </c>
      <c r="H32" s="440"/>
      <c r="T32" s="380"/>
      <c r="AP32" s="372"/>
    </row>
    <row r="33" spans="1:42" ht="38.25" customHeight="1" thickBot="1">
      <c r="A33" s="385"/>
      <c r="F33" s="570" t="s">
        <v>980</v>
      </c>
      <c r="G33" s="571">
        <v>0</v>
      </c>
      <c r="H33" s="440"/>
      <c r="T33" s="380"/>
      <c r="AP33" s="372"/>
    </row>
    <row r="34" spans="1:42" ht="15.75">
      <c r="A34" s="324"/>
      <c r="T34" s="380"/>
      <c r="AP34" s="372"/>
    </row>
    <row r="35" spans="1:42" ht="15.75">
      <c r="A35" s="131" t="s">
        <v>914</v>
      </c>
      <c r="B35" s="131" t="s">
        <v>842</v>
      </c>
      <c r="C35" s="493" t="s">
        <v>469</v>
      </c>
      <c r="D35" s="493" t="s">
        <v>486</v>
      </c>
      <c r="U35" s="92"/>
      <c r="V35" s="92"/>
      <c r="W35" s="92"/>
      <c r="X35" s="92"/>
      <c r="Y35" s="92"/>
      <c r="Z35" s="92"/>
      <c r="AA35" s="92"/>
      <c r="AB35" s="92"/>
      <c r="AC35" s="92"/>
      <c r="AD35" s="92"/>
      <c r="AE35" s="92"/>
      <c r="AF35" s="92"/>
      <c r="AG35" s="92"/>
      <c r="AH35" s="92"/>
      <c r="AI35" s="92"/>
      <c r="AJ35" s="92"/>
      <c r="AK35" s="92"/>
      <c r="AL35" s="92"/>
      <c r="AM35" s="92"/>
      <c r="AN35" s="92"/>
      <c r="AO35" s="92"/>
      <c r="AP35" s="92"/>
    </row>
    <row r="36" spans="1:42" ht="15.75">
      <c r="A36" s="324"/>
      <c r="B36" s="324"/>
      <c r="C36" s="324"/>
      <c r="D36" s="332"/>
    </row>
    <row r="37" spans="1:42" ht="15.75">
      <c r="A37" s="124" t="s">
        <v>838</v>
      </c>
      <c r="B37" s="492" t="s">
        <v>839</v>
      </c>
      <c r="C37" s="492" t="s">
        <v>733</v>
      </c>
      <c r="D37" s="492" t="s">
        <v>840</v>
      </c>
      <c r="E37" s="492" t="s">
        <v>733</v>
      </c>
    </row>
    <row r="38" spans="1:42" ht="15.75">
      <c r="A38" s="324"/>
      <c r="B38" s="333"/>
      <c r="C38" s="333"/>
      <c r="D38" s="333"/>
      <c r="E38" s="333"/>
    </row>
    <row r="39" spans="1:42">
      <c r="A39" s="623" t="s">
        <v>1068</v>
      </c>
      <c r="B39" s="624" t="s">
        <v>1069</v>
      </c>
      <c r="H39"/>
      <c r="T39" s="380"/>
      <c r="AP39" s="372"/>
    </row>
    <row r="40" spans="1:42">
      <c r="A40" s="392">
        <v>0</v>
      </c>
      <c r="B40" s="390"/>
      <c r="C40" s="396"/>
      <c r="H40"/>
      <c r="T40" s="380"/>
      <c r="AP40" s="372"/>
    </row>
    <row r="41" spans="1:42" ht="15.75">
      <c r="A41" s="696" t="s">
        <v>75</v>
      </c>
      <c r="B41" s="697"/>
      <c r="C41" s="396"/>
      <c r="H41"/>
      <c r="T41" s="380"/>
      <c r="AP41" s="372"/>
    </row>
    <row r="42" spans="1:42">
      <c r="A42" s="236" t="s">
        <v>701</v>
      </c>
      <c r="C42" s="396"/>
      <c r="H42"/>
      <c r="T42" s="380"/>
      <c r="AP42" s="372"/>
    </row>
    <row r="43" spans="1:42">
      <c r="A43" s="333"/>
      <c r="C43" s="396"/>
      <c r="H43"/>
      <c r="T43" s="380"/>
      <c r="AP43" s="372"/>
    </row>
    <row r="44" spans="1:42">
      <c r="A44" s="253" t="s">
        <v>493</v>
      </c>
      <c r="B44" s="236" t="s">
        <v>702</v>
      </c>
      <c r="C44" s="396"/>
      <c r="H44"/>
      <c r="T44" s="380"/>
      <c r="AP44" s="372"/>
    </row>
    <row r="45" spans="1:42">
      <c r="A45" s="334"/>
      <c r="B45" s="333"/>
      <c r="U45" s="92"/>
      <c r="V45" s="92"/>
      <c r="W45" s="92"/>
      <c r="X45" s="92"/>
      <c r="Y45" s="92"/>
      <c r="Z45" s="92"/>
      <c r="AA45" s="92"/>
      <c r="AB45" s="92"/>
      <c r="AC45" s="92"/>
      <c r="AD45" s="92"/>
      <c r="AE45" s="92"/>
      <c r="AF45" s="92"/>
      <c r="AG45" s="92"/>
      <c r="AH45" s="92"/>
      <c r="AI45" s="92"/>
      <c r="AJ45" s="92"/>
      <c r="AK45" s="92"/>
      <c r="AL45" s="92"/>
      <c r="AM45" s="92"/>
      <c r="AN45" s="92"/>
      <c r="AO45" s="92"/>
      <c r="AP45" s="372"/>
    </row>
    <row r="46" spans="1:42" ht="15.75">
      <c r="A46" s="691" t="s">
        <v>646</v>
      </c>
      <c r="B46" s="677"/>
      <c r="C46" s="677"/>
      <c r="D46" s="677"/>
      <c r="E46" s="677"/>
      <c r="F46" s="677"/>
      <c r="G46" s="677"/>
      <c r="H46" s="692"/>
    </row>
    <row r="47" spans="1:42" ht="45" customHeight="1">
      <c r="A47" s="236" t="s">
        <v>502</v>
      </c>
      <c r="B47" s="236" t="s">
        <v>625</v>
      </c>
      <c r="C47" s="236" t="s">
        <v>632</v>
      </c>
      <c r="D47" s="236" t="s">
        <v>503</v>
      </c>
      <c r="E47" s="236" t="s">
        <v>504</v>
      </c>
      <c r="F47" s="670" t="s">
        <v>624</v>
      </c>
      <c r="G47" s="236" t="s">
        <v>629</v>
      </c>
      <c r="H47" s="688" t="s">
        <v>627</v>
      </c>
    </row>
    <row r="48" spans="1:42" ht="18.75" customHeight="1">
      <c r="A48" s="397" t="s">
        <v>505</v>
      </c>
      <c r="B48" s="329"/>
      <c r="C48" s="664" t="str">
        <f>IF(AND($B48&lt;&gt;"", $A$55&lt;&gt;""), MAX(1, $B48 * $A$55 / 1000), "")</f>
        <v/>
      </c>
      <c r="D48" s="333" t="s">
        <v>570</v>
      </c>
      <c r="E48" s="329" t="s">
        <v>304</v>
      </c>
      <c r="F48" s="665" t="str">
        <f t="array" ref="F48">IFERROR(
  MIN(IF(
    (Transports!$A$2:$A$571=D48)*
    (INDEX(Transports!$C$2:$CF$571,,MATCH(ROUNDUP(C48,1),Transports!$C$1:$CF$1,1))&gt;0),
    INDEX(Transports!$C$2:$CF$571,,MATCH(ROUNDUP(C48,1),Transports!$C$1:$CF$1,1))
  )),
  IFERROR(
    MIN(IF(
      (Transports!$A$2:$A$571=D48)*
      (ISNUMBER(Transports!#REF!))*
      (Transports!#REF!&gt;0),
      Transports!#REF!*C48/100
    )),
    ""
  )
)</f>
        <v/>
      </c>
      <c r="G48" s="666" t="str" cm="1">
        <f t="array" ref="G48">IFERROR(
  INDEX(Transports!$B$2:$B$571,
    MATCH(
      F48 - IF(E48="Oui",60,0),
      IF(
        Transports!$A$2:$A$571=D48,
        CHOOSE(1,
          INDEX(Transports!$C$2:$CF$571,,MATCH(ROUNDUP(C48,1),Transports!$C$1:$CF$1,1)),
          Transports!#REF!
        )
      ),
    0)
  ),
"")</f>
        <v/>
      </c>
      <c r="H48" s="689"/>
    </row>
    <row r="49" spans="1:11" ht="18.75" customHeight="1">
      <c r="A49" s="397" t="s">
        <v>506</v>
      </c>
      <c r="B49" s="329"/>
      <c r="C49" s="664" t="str">
        <f>IF(AND($B49&lt;&gt;"", $A$55&lt;&gt;""), MAX(1, $B49 * $A$55 / 1000), "")</f>
        <v/>
      </c>
      <c r="D49" s="333" t="s">
        <v>583</v>
      </c>
      <c r="E49" s="329" t="s">
        <v>304</v>
      </c>
      <c r="F49" s="665" t="str">
        <f t="array" ref="F49">IFERROR(
  MIN(IF(
    (Transports!$A$2:$A$571=D49)*
    (INDEX(Transports!$C$2:$CF$571,,MATCH(ROUNDUP(C49,1),Transports!$C$1:$CF$1,1))&gt;0),
    INDEX(Transports!$C$2:$CF$571,,MATCH(ROUNDUP(C49,1),Transports!$C$1:$CF$1,1))
  )),
  IFERROR(
    MIN(IF(
      (Transports!$A$2:$A$571=D49)*
      (ISNUMBER(Transports!#REF!))*
      (Transports!#REF!&gt;0),
      Transports!#REF!*C49/100
    )),
    ""
  )
)</f>
        <v/>
      </c>
      <c r="G49" s="666" t="str">
        <f t="array" ref="G49">IFERROR(
  INDEX(Transports!$B$2:$B$571,
    MATCH(
      F49 - IF(E49="Oui",60,0),
      IF(
        Transports!$A$2:$A$571=D49,
        CHOOSE(1,
          INDEX(Transports!$C$2:$CF$571,,MATCH(ROUNDUP(C49,1),Transports!$C$1:$CF$1,1)),
          Transports!#REF!
        )
      ),
    0)
  ),
"")</f>
        <v/>
      </c>
      <c r="H49" s="689"/>
    </row>
    <row r="50" spans="1:11" ht="18.75" customHeight="1">
      <c r="A50" s="397" t="s">
        <v>507</v>
      </c>
      <c r="B50" s="329"/>
      <c r="C50" s="664" t="str">
        <f>IF(AND($B50&lt;&gt;"", $A$55&lt;&gt;""), MAX(1, $B50 * $A$55 / 1000), "")</f>
        <v/>
      </c>
      <c r="D50" s="333" t="s">
        <v>601</v>
      </c>
      <c r="E50" s="329" t="s">
        <v>304</v>
      </c>
      <c r="F50" s="665" t="str">
        <f t="array" ref="F50">IFERROR(
  MIN(IF(
    (Transports!$A$2:$A$571=D50)*
    (INDEX(Transports!$C$2:$CF$571,,MATCH(ROUNDUP(C50,1),Transports!$C$1:$CF$1,1))&gt;0),
    INDEX(Transports!$C$2:$CF$571,,MATCH(ROUNDUP(C50,1),Transports!$C$1:$CF$1,1))
  )),
  IFERROR(
    MIN(IF(
      (Transports!$A$2:$A$571=D50)*
      (ISNUMBER(Transports!#REF!))*
      (Transports!#REF!&gt;0),
      Transports!#REF!*C50/100
    )),
    ""
  )
)</f>
        <v/>
      </c>
      <c r="G50" s="666" t="str" cm="1">
        <f t="array" ref="G50">IFERROR(
  INDEX(Transports!$B$2:$B$571,
    MATCH(
      F50 - IF(E50="Oui",60,0),
      IF(
        Transports!$A$2:$A$571=D50,
        CHOOSE(1,
          INDEX(Transports!$C$2:$CF$571,,MATCH(ROUNDUP(C50,1),Transports!$C$1:$CF$1,1)),
          Transports!#REF!
        )
      ),
    0)
  ),
"")</f>
        <v/>
      </c>
      <c r="H50" s="689"/>
    </row>
    <row r="51" spans="1:11" ht="18.75" customHeight="1">
      <c r="A51" s="397" t="s">
        <v>508</v>
      </c>
      <c r="B51" s="329"/>
      <c r="C51" s="664" t="str">
        <f>IF(AND($B51&lt;&gt;"", $A$55&lt;&gt;""), MAX(1, $B51 * $A$55 / 1000), "")</f>
        <v/>
      </c>
      <c r="D51" s="333" t="s">
        <v>528</v>
      </c>
      <c r="E51" s="329" t="s">
        <v>304</v>
      </c>
      <c r="F51" s="665" t="str">
        <f t="array" ref="F51">IFERROR(
  MIN(IF(
    (Transports!$A$2:$A$571=D51)*
    (INDEX(Transports!$C$2:$CF$571,,MATCH(ROUNDUP(C51,1),Transports!$C$1:$CF$1,1))&gt;0),
    INDEX(Transports!$C$2:$CF$571,,MATCH(ROUNDUP(C51,1),Transports!$C$1:$CF$1,1))
  )),
  IFERROR(
    MIN(IF(
      (Transports!$A$2:$A$571=D51)*
      (ISNUMBER(Transports!#REF!))*
      (Transports!#REF!&gt;0),
      Transports!#REF!*C51/100
    )),
    ""
  )
)</f>
        <v/>
      </c>
      <c r="G51" s="666" t="str" cm="1">
        <f t="array" ref="G51">IFERROR(
  INDEX(Transports!$B$2:$B$571,
    MATCH(
      F51 - IF(E51="Oui",60,0),
      IF(
        Transports!$A$2:$A$571=D51,
        CHOOSE(1,
          INDEX(Transports!$C$2:$CF$571,,MATCH(ROUNDUP(C51,1),Transports!$C$1:$CF$1,1)),
          Transports!#REF!
        )
      ),
    0)
  ),
"")</f>
        <v/>
      </c>
      <c r="H51" s="689"/>
    </row>
    <row r="52" spans="1:11" ht="19.5" customHeight="1" thickBot="1">
      <c r="A52" s="397" t="s">
        <v>509</v>
      </c>
      <c r="B52" s="330"/>
      <c r="C52" s="664" t="str">
        <f t="shared" ref="C52" si="0">IF(AND($B52&lt;&gt;"", $A$55&lt;&gt;""), MAX(1, $B52 * $A$55 / 1000), "")</f>
        <v/>
      </c>
      <c r="D52" s="333" t="s">
        <v>528</v>
      </c>
      <c r="E52" s="329" t="s">
        <v>304</v>
      </c>
      <c r="F52" s="671" t="str">
        <f t="array" ref="F52">IFERROR(
  MIN(IF(
    (Transports!$A$2:$A$571=D52)*
    (INDEX(Transports!$C$2:$CF$571,,MATCH(ROUNDUP(C52,1),Transports!$C$1:$CF$1,1))&gt;0),
    INDEX(Transports!$C$2:$CF$571,,MATCH(ROUNDUP(C52,1),Transports!$C$1:$CF$1,1))
  )),
  IFERROR(
    MIN(IF(
      (Transports!$A$2:$A$571=D52)*
      (ISNUMBER(Transports!#REF!))*
      (Transports!#REF!&gt;0),
      Transports!#REF!*C52/100
    )),
    ""
  )
)</f>
        <v/>
      </c>
      <c r="G52" s="666" t="str" cm="1">
        <f t="array" ref="G52">IFERROR(
  INDEX(Transports!$B$2:$B$571,
    MATCH(
      F52 - IF(E52="Oui",60,0),
      IF(
        Transports!$A$2:$A$571=D52,
        CHOOSE(1,
          INDEX(Transports!$C$2:$CF$571,,MATCH(ROUNDUP(C52,1),Transports!$C$1:$CF$1,1)),
          Transports!#REF!
        )
      ),
    0)
  ),
"")</f>
        <v/>
      </c>
      <c r="H52" s="690"/>
    </row>
    <row r="53" spans="1:11" ht="45.75" customHeight="1" thickBot="1">
      <c r="A53" s="289" t="str">
        <f>IF(COUNTIF(B48:B52,"&gt;0")&lt;&gt;COUNTIF(F48:F52,"&gt;0"),
"⚠ Erreur : au moins un point a une quantité sans prix.",
"")</f>
        <v/>
      </c>
      <c r="B53" s="412" t="str">
        <f>IF(SUM(B48:B52)&gt;A31,
   "⚠ Trop réparti : " &amp; SUM(B48:B52) &amp; " / " &amp; A31,
   IF(SUM(B48:B52)&lt;A31,
      "⚠ Quantité incomplète : " &amp; SUM(B48:B52) &amp; " / " &amp; A31,
      "✅ Quantité répartie correctement (" &amp; A31 &amp; ")"
   )
)</f>
        <v>✅ Quantité répartie correctement ()</v>
      </c>
      <c r="C53" s="374"/>
      <c r="D53" s="331"/>
      <c r="E53" s="288" t="s">
        <v>640</v>
      </c>
      <c r="F53" s="376">
        <f>SUM(F48:F52)</f>
        <v>0</v>
      </c>
      <c r="G53" s="331"/>
      <c r="H53" s="375"/>
      <c r="K53" s="92" t="e">
        <f>'Donnees Num'!D48</f>
        <v>#VALUE!</v>
      </c>
    </row>
    <row r="54" spans="1:11" ht="15" customHeight="1">
      <c r="A54" s="133" t="s">
        <v>87</v>
      </c>
      <c r="B54" s="401" t="s">
        <v>136</v>
      </c>
    </row>
    <row r="55" spans="1:11" ht="15" customHeight="1" thickBot="1">
      <c r="A55" s="672" t="str">
        <f>IFERROR(
  (
    LEFT(C31,SEARCH("x",C31)-1) *
    MID(C31,SEARCH("x",C31)+1,10) *
    A34
  ) / 9769,
  ""
)</f>
        <v/>
      </c>
      <c r="B55" s="668">
        <f>IF(OR(A31="",A31=0),
  0,
  (A55*A31)/1000
)</f>
        <v>0</v>
      </c>
    </row>
    <row r="56" spans="1:11" ht="15" customHeight="1" thickBot="1">
      <c r="A56" s="694" t="s">
        <v>915</v>
      </c>
      <c r="B56" s="695"/>
    </row>
    <row r="57" spans="1:11" ht="36.75" customHeight="1" thickBot="1">
      <c r="A57" s="686">
        <f>IF(OR(A31="",A31=0),
  0,
  K53+F53+'Donnees Num'!D49
)*1.05</f>
        <v>0</v>
      </c>
      <c r="B57" s="687"/>
    </row>
    <row r="58" spans="1:11" ht="15" customHeight="1"/>
    <row r="59" spans="1:11" ht="15.75" customHeight="1"/>
    <row r="61" spans="1:11" ht="16.5" customHeight="1"/>
  </sheetData>
  <mergeCells count="13">
    <mergeCell ref="A13:H13"/>
    <mergeCell ref="H14:H19"/>
    <mergeCell ref="A1:B1"/>
    <mergeCell ref="F1:G1"/>
    <mergeCell ref="A57:B57"/>
    <mergeCell ref="H47:H52"/>
    <mergeCell ref="A46:H46"/>
    <mergeCell ref="A29:H29"/>
    <mergeCell ref="A24:B24"/>
    <mergeCell ref="A25:B25"/>
    <mergeCell ref="A56:B56"/>
    <mergeCell ref="F30:G30"/>
    <mergeCell ref="A41:B41"/>
  </mergeCells>
  <conditionalFormatting sqref="A20 A53">
    <cfRule type="expression" dxfId="24" priority="12">
      <formula>COUNTIF(B15:B19,"&gt;0")&lt;&gt;COUNTIF(F15:F19,"&gt;0")</formula>
    </cfRule>
  </conditionalFormatting>
  <conditionalFormatting sqref="B20">
    <cfRule type="expression" dxfId="23" priority="25">
      <formula>SUM(B15:B19)=A3</formula>
    </cfRule>
    <cfRule type="expression" dxfId="22" priority="26">
      <formula>SUM(B15:B19)&lt;A3</formula>
    </cfRule>
    <cfRule type="expression" dxfId="21" priority="27">
      <formula>SUM(B15:B19)&gt;A3</formula>
    </cfRule>
  </conditionalFormatting>
  <conditionalFormatting sqref="B53">
    <cfRule type="expression" dxfId="20" priority="2">
      <formula>SUM(B48:B52)=A29</formula>
    </cfRule>
    <cfRule type="expression" dxfId="19" priority="3">
      <formula>SUM(B48:B52)&lt;A29</formula>
    </cfRule>
    <cfRule type="expression" dxfId="18" priority="4">
      <formula>SUM(B48:B52)&gt;A29</formula>
    </cfRule>
  </conditionalFormatting>
  <conditionalFormatting sqref="C31">
    <cfRule type="expression" dxfId="17" priority="1">
      <formula>C31="Format impossible (&gt; 94 cm)"</formula>
    </cfRule>
  </conditionalFormatting>
  <dataValidations xWindow="423" yWindow="809" count="26">
    <dataValidation type="list" allowBlank="1" showErrorMessage="1" prompt="_x000a_" sqref="A12" xr:uid="{00000000-0002-0000-0000-000001000000}">
      <formula1>"Rien,Dos carré collé,Dos carré collé PUR, Piqûre"</formula1>
    </dataValidation>
    <dataValidation type="list" allowBlank="1" showInputMessage="1" showErrorMessage="1" sqref="A10 A36" xr:uid="{00000000-0002-0000-0000-000002000000}">
      <formula1>"Quadrichromie,Noir"</formula1>
    </dataValidation>
    <dataValidation allowBlank="1" showErrorMessage="1" sqref="B3" xr:uid="{00000000-0002-0000-0000-000003000000}"/>
    <dataValidation type="list" operator="equal" allowBlank="1" showInputMessage="1" showErrorMessage="1" promptTitle="Important" prompt="Indiquez 0 si pas de couverture_x000a_Indiquez 2 si couverture recto seul_x000a_Indiquez 4 si couverture recto verso_x000a_Indiquez forcément une couverture si Dos carré collé" sqref="B5" xr:uid="{00000000-0002-0000-0000-000004000000}">
      <formula1>INDIRECT(IF(A12="Piqûre","Liste_Piqûre",IF(OR(A12="Dos carré collé",A12="Dos carré collé PUR"),"Liste_DosCarre","Liste_ParDéfaut")))</formula1>
    </dataValidation>
    <dataValidation type="list" allowBlank="1" showInputMessage="1" showErrorMessage="1" sqref="A34" xr:uid="{00000000-0002-0000-0000-000005000000}">
      <formula1>"0,90,115,135,150,170,200,240,250,300,350,400"</formula1>
    </dataValidation>
    <dataValidation allowBlank="1" showErrorMessage="1" promptTitle="ATTENTION" prompt="16x24 ne fonctionne pas" sqref="B31" xr:uid="{00000000-0002-0000-0000-000006000000}"/>
    <dataValidation type="list" allowBlank="1" showInputMessage="1" showErrorMessage="1" sqref="B10" xr:uid="{00000000-0002-0000-0000-000008000000}">
      <formula1>"Noir, Quadrichromie"</formula1>
    </dataValidation>
    <dataValidation type="list" allowBlank="1" showInputMessage="1" showErrorMessage="1" sqref="B7" xr:uid="{00000000-0002-0000-0000-000009000000}">
      <formula1>"Autre,Couché Mat,Couché Satin,Brillant,Carte 1 face,Offset,Recyclé"</formula1>
    </dataValidation>
    <dataValidation type="list" allowBlank="1" showInputMessage="1" showErrorMessage="1" sqref="A7 A33" xr:uid="{00000000-0002-0000-0000-00000B000000}">
      <formula1>"Autre,Couché Mat,Couché Satin,Brillant,Offset,Recyclé,Bouffant Blanc,Bouffant Munken Blanc,Bouffant Munken Crème"</formula1>
    </dataValidation>
    <dataValidation type="list" allowBlank="1" showInputMessage="1" showErrorMessage="1" sqref="A8" xr:uid="{00000000-0002-0000-0000-00000D000000}">
      <formula1>INDIRECT(K1)</formula1>
    </dataValidation>
    <dataValidation type="list" allowBlank="1" showErrorMessage="1" promptTitle="Attention si dos carré collé :" prompt="Prendre un grammage d'au moins 200g" sqref="B8" xr:uid="{00000000-0002-0000-0000-00000E000000}">
      <formula1>INDIRECT(N1)</formula1>
    </dataValidation>
    <dataValidation type="list" allowBlank="1" showInputMessage="1" showErrorMessage="1" sqref="D48:D53 D15:D20" xr:uid="{00000000-0002-0000-0000-00000F000000}">
      <formula1>ListeDept</formula1>
    </dataValidation>
    <dataValidation type="list" allowBlank="1" showInputMessage="1" showErrorMessage="1" sqref="E15:E19 E48:E52 B36 B45 A43" xr:uid="{00000000-0002-0000-0000-000010000000}">
      <formula1>"Oui,Non"</formula1>
    </dataValidation>
    <dataValidation type="list" allowBlank="1" showInputMessage="1" showErrorMessage="1" sqref="B12" xr:uid="{00000000-0002-0000-0000-000011000000}">
      <formula1>IF(OR(A12="Dos carré collé", A12="Dos carré collé PUR"), PeliR, PeliRV)</formula1>
    </dataValidation>
    <dataValidation type="custom" allowBlank="1" showInputMessage="1" showErrorMessage="1" errorTitle="Erreur" error="-Multiple de 4 obligatoire_x000a_-Si dos carré collé, 40 pages minimum_x000a_-Si piqûre, diminuez le grammage ou la pagination car techniquement impossible" sqref="A5" xr:uid="{00000000-0002-0000-0000-000012000000}">
      <formula1>M1</formula1>
    </dataValidation>
    <dataValidation type="list" allowBlank="1" showInputMessage="1" showErrorMessage="1" sqref="C12" xr:uid="{86115E62-A3B1-42B0-B769-7C2EAD459362}">
      <formula1>IF(AND(A6&lt;&gt;0,B12&lt;&gt;"Rien"),ListePelliculage,INDIRECT("Z1000"))</formula1>
    </dataValidation>
    <dataValidation type="list" allowBlank="1" showInputMessage="1" showErrorMessage="1" sqref="B38" xr:uid="{51ED3ED6-185E-4B02-9313-25A293EF4BB9}">
      <formula1>"Roulé,Accordéon,Croisé,Rien"</formula1>
    </dataValidation>
    <dataValidation type="list" allowBlank="1" showInputMessage="1" showErrorMessage="1" sqref="D38" xr:uid="{4EBAEDF5-212E-4C5E-9EF6-9FD0483A58E5}">
      <formula1>"Croisé,Rien"</formula1>
    </dataValidation>
    <dataValidation type="list" allowBlank="1" showInputMessage="1" showErrorMessage="1" sqref="C38" xr:uid="{BCC773F6-FF44-40A4-96C4-C0EABC76EF73}">
      <formula1>"1,2,3,4,5,6"</formula1>
    </dataValidation>
    <dataValidation type="list" allowBlank="1" showErrorMessage="1" prompt="_x000a_" sqref="A38" xr:uid="{9601B63C-5C74-40AB-8E00-C735CAB24196}">
      <formula1>"Flyer/Poster,Carte de visite,Dépliant"</formula1>
    </dataValidation>
    <dataValidation type="list" allowBlank="1" showInputMessage="1" showErrorMessage="1" sqref="E38" xr:uid="{B093E31A-5DB9-46F2-87AA-06CCB6BFE6A4}">
      <formula1>"0,1,2"</formula1>
    </dataValidation>
    <dataValidation allowBlank="1" showErrorMessage="1" prompt="_x000d__x000a_" sqref="C31" xr:uid="{F440B2A9-D6B7-4E5A-90DB-F1D6450295FC}"/>
    <dataValidation type="list" allowBlank="1" showInputMessage="1" showErrorMessage="1" sqref="C36" xr:uid="{C33AD0AB-6138-41AB-92A2-B07230D074D2}">
      <formula1>"Recto,Recto Verso,Non"</formula1>
    </dataValidation>
    <dataValidation type="list" allowBlank="1" showInputMessage="1" showErrorMessage="1" sqref="D36" xr:uid="{BA0C7882-9549-4CE0-8349-0E5AA687B66E}">
      <formula1>"Mat,Brillant,Soft Touch"</formula1>
    </dataValidation>
    <dataValidation type="list" allowBlank="1" showInputMessage="1" showErrorMessage="1" sqref="A45" xr:uid="{56E1E142-D9CD-4F8F-9E31-980AB00E5C54}">
      <formula1>"Non,A l'unité,Par paquet,Par 2,Par 3,Par 4,Par 5-10"</formula1>
    </dataValidation>
    <dataValidation allowBlank="1" showInputMessage="1" showErrorMessage="1" promptTitle="Exemple" prompt="Si 8 modèles de 1000 fiches A4, saisir A31 = 8000 et B40 = 8_x000d__x000a_" sqref="B39 B40" xr:uid="{7FC6DA75-2DB3-4E1F-828F-AA63CFC142A8}"/>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5" r:id="rId4" name="Button 7">
              <controlPr defaultSize="0" print="0" autoFill="0" autoPict="0" macro="[0]!Comparatif_Depuis_NUMERIQUE">
                <anchor moveWithCells="1" sizeWithCells="1">
                  <from>
                    <xdr:col>7</xdr:col>
                    <xdr:colOff>0</xdr:colOff>
                    <xdr:row>0</xdr:row>
                    <xdr:rowOff>0</xdr:rowOff>
                  </from>
                  <to>
                    <xdr:col>7</xdr:col>
                    <xdr:colOff>1038225</xdr:colOff>
                    <xdr:row>4</xdr:row>
                    <xdr:rowOff>0</xdr:rowOff>
                  </to>
                </anchor>
              </controlPr>
            </control>
          </mc:Choice>
        </mc:AlternateContent>
        <mc:AlternateContent xmlns:mc="http://schemas.openxmlformats.org/markup-compatibility/2006">
          <mc:Choice Requires="x14">
            <control shapeId="17417" r:id="rId5" name="Button 9">
              <controlPr defaultSize="0" print="0" autoFill="0" autoPict="0" macro="[0]!Comparatif_Depliants_Num_To_Offset">
                <anchor moveWithCells="1" sizeWithCells="1">
                  <from>
                    <xdr:col>7</xdr:col>
                    <xdr:colOff>66675</xdr:colOff>
                    <xdr:row>30</xdr:row>
                    <xdr:rowOff>19050</xdr:rowOff>
                  </from>
                  <to>
                    <xdr:col>7</xdr:col>
                    <xdr:colOff>1304925</xdr:colOff>
                    <xdr:row>32</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3">
    <tabColor rgb="FF00B050"/>
  </sheetPr>
  <dimension ref="A1:AY42"/>
  <sheetViews>
    <sheetView zoomScaleNormal="100" workbookViewId="0">
      <selection activeCell="F15" sqref="F15"/>
    </sheetView>
  </sheetViews>
  <sheetFormatPr baseColWidth="10" defaultRowHeight="15"/>
  <cols>
    <col min="1" max="1" width="29.5703125" customWidth="1"/>
    <col min="2" max="2" width="33.28515625" customWidth="1"/>
    <col min="3" max="3" width="24.140625" customWidth="1"/>
    <col min="4" max="4" width="32.42578125" customWidth="1"/>
    <col min="5" max="5" width="29.140625" customWidth="1"/>
    <col min="6" max="6" width="21" customWidth="1"/>
    <col min="7" max="7" width="19.7109375" customWidth="1"/>
    <col min="8" max="8" width="10.140625" customWidth="1"/>
    <col min="9" max="9" width="13.42578125" customWidth="1"/>
  </cols>
  <sheetData>
    <row r="1" spans="1:51" ht="48" customHeight="1" thickBot="1">
      <c r="A1" s="700" t="s">
        <v>126</v>
      </c>
      <c r="B1" s="701"/>
      <c r="C1" s="92"/>
      <c r="D1" s="702" t="s">
        <v>108</v>
      </c>
      <c r="E1" s="703"/>
      <c r="F1" s="106" t="s">
        <v>141</v>
      </c>
      <c r="G1" s="134">
        <v>45762</v>
      </c>
    </row>
    <row r="2" spans="1:51" s="1" customFormat="1" ht="30" customHeight="1" thickBot="1">
      <c r="A2" s="107" t="s">
        <v>120</v>
      </c>
      <c r="B2" s="107" t="s">
        <v>119</v>
      </c>
      <c r="C2" s="94"/>
      <c r="D2" s="107" t="s">
        <v>120</v>
      </c>
      <c r="E2" s="107" t="s">
        <v>119</v>
      </c>
      <c r="F2" s="135" t="s">
        <v>127</v>
      </c>
      <c r="G2" s="137" t="s">
        <v>129</v>
      </c>
      <c r="H2"/>
      <c r="I2" s="95"/>
      <c r="J2" s="99"/>
      <c r="K2"/>
      <c r="L2"/>
      <c r="M2"/>
      <c r="N2"/>
      <c r="O2"/>
      <c r="P2"/>
      <c r="Q2"/>
      <c r="R2"/>
      <c r="S2"/>
      <c r="T2"/>
      <c r="U2"/>
      <c r="V2"/>
      <c r="W2"/>
      <c r="X2"/>
      <c r="Y2"/>
      <c r="Z2"/>
      <c r="AA2"/>
      <c r="AB2"/>
      <c r="AC2"/>
      <c r="AD2"/>
      <c r="AE2"/>
      <c r="AF2"/>
      <c r="AG2"/>
      <c r="AH2"/>
      <c r="AI2"/>
      <c r="AJ2"/>
      <c r="AK2"/>
      <c r="AL2"/>
      <c r="AM2"/>
      <c r="AN2"/>
      <c r="AO2"/>
      <c r="AP2"/>
      <c r="AQ2"/>
      <c r="AR2"/>
      <c r="AS2"/>
      <c r="AT2"/>
      <c r="AU2"/>
      <c r="AV2"/>
      <c r="AW2"/>
      <c r="AX2"/>
      <c r="AY2"/>
    </row>
    <row r="3" spans="1:51" s="1" customFormat="1" ht="15.75">
      <c r="A3" s="118">
        <v>20</v>
      </c>
      <c r="B3" s="118" t="s">
        <v>664</v>
      </c>
      <c r="C3" s="96"/>
      <c r="D3" s="110">
        <v>100</v>
      </c>
      <c r="E3" s="120" t="s">
        <v>145</v>
      </c>
      <c r="F3" s="136">
        <v>10</v>
      </c>
      <c r="G3" s="1">
        <v>0</v>
      </c>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row>
    <row r="4" spans="1:51" ht="28.5" customHeight="1">
      <c r="A4" s="109" t="s">
        <v>111</v>
      </c>
      <c r="B4" s="108" t="s">
        <v>112</v>
      </c>
      <c r="C4" s="96"/>
      <c r="D4" s="109" t="s">
        <v>123</v>
      </c>
      <c r="E4" s="108" t="s">
        <v>121</v>
      </c>
      <c r="F4" s="131" t="s">
        <v>122</v>
      </c>
      <c r="G4" s="4"/>
    </row>
    <row r="5" spans="1:51" ht="24.75" customHeight="1">
      <c r="A5" s="118">
        <v>64</v>
      </c>
      <c r="B5" s="118">
        <v>4</v>
      </c>
      <c r="C5" s="97"/>
      <c r="D5" s="335" t="s">
        <v>142</v>
      </c>
      <c r="E5" s="110" t="s">
        <v>7</v>
      </c>
      <c r="F5" s="110" t="s">
        <v>80</v>
      </c>
    </row>
    <row r="6" spans="1:51" ht="39" customHeight="1">
      <c r="A6" s="109" t="s">
        <v>113</v>
      </c>
      <c r="B6" s="109" t="s">
        <v>114</v>
      </c>
      <c r="C6" s="98"/>
      <c r="D6" s="110">
        <v>350</v>
      </c>
      <c r="E6" s="122"/>
      <c r="F6" s="123"/>
    </row>
    <row r="7" spans="1:51" ht="15.75">
      <c r="A7" s="335" t="s">
        <v>700</v>
      </c>
      <c r="B7" s="335" t="s">
        <v>700</v>
      </c>
      <c r="C7" s="98"/>
      <c r="D7" s="132" t="s">
        <v>124</v>
      </c>
      <c r="E7" s="124" t="s">
        <v>125</v>
      </c>
      <c r="F7" s="123"/>
    </row>
    <row r="8" spans="1:51" ht="15.75">
      <c r="A8" s="118">
        <v>135</v>
      </c>
      <c r="B8" s="118">
        <v>250</v>
      </c>
      <c r="C8" s="96"/>
      <c r="D8" s="125">
        <v>0</v>
      </c>
      <c r="E8" s="110" t="s">
        <v>78</v>
      </c>
      <c r="F8" s="122"/>
      <c r="G8" s="3"/>
    </row>
    <row r="9" spans="1:51" ht="29.25" customHeight="1">
      <c r="A9" s="109" t="s">
        <v>115</v>
      </c>
      <c r="B9" s="109" t="s">
        <v>116</v>
      </c>
      <c r="C9" s="96"/>
      <c r="D9" s="126" t="s">
        <v>59</v>
      </c>
      <c r="E9" s="122"/>
      <c r="F9" s="122"/>
      <c r="G9" s="5"/>
    </row>
    <row r="10" spans="1:51" ht="22.5" customHeight="1">
      <c r="A10" s="118" t="s">
        <v>7</v>
      </c>
      <c r="B10" s="118" t="s">
        <v>7</v>
      </c>
      <c r="C10" s="96"/>
      <c r="D10" s="127">
        <f>IFERROR(
  IF('Tableau OFFSET'!A7="Couché Mat",
    INDEX('Tableau papier'!$G$4:$G$21, MATCH('Tableau OFFSET'!A8,'Tableau papier'!$A$4:$A$21,0)),
  IF('Tableau OFFSET'!A7="Couché Satin",
    INDEX('Tableau papier'!$H$4:$H$21, MATCH('Tableau OFFSET'!A8,'Tableau papier'!$A$4:$A$21,0)),
  IF('Tableau OFFSET'!A7="Brillant",
    INDEX('Tableau papier'!$I$4:$I$21, MATCH('Tableau OFFSET'!A8,'Tableau papier'!$A$4:$A$21,0)),
  IF('Tableau OFFSET'!A7="Recyclé",
    INDEX('Tableau papier'!$J$4:$J$21, MATCH('Tableau OFFSET'!A8,'Tableau papier'!$A$4:$A$21,0)),
  IF('Tableau OFFSET'!A7="Offset",
    INDEX('Tableau papier'!$K$4:$K$21, MATCH('Tableau OFFSET'!A8,'Tableau papier'!$A$4:$A$21,0)),
  IF('Tableau OFFSET'!A7="Bouffant Munken Blanc",
    INDEX('Tableau papier'!$M$4:$M$21, MATCH('Tableau OFFSET'!A8,'Tableau papier'!$A$4:$A$21,0)),
  IF('Tableau OFFSET'!A7="Bouffant Munken Crème",
    INDEX('Tableau papier'!$N$4:$N$21, MATCH('Tableau OFFSET'!A8,'Tableau papier'!$A$4:$A$21,0)),
  "Type de papier non valide"))))))),
"Grammage non trouvé")</f>
        <v>1</v>
      </c>
      <c r="E10" s="122"/>
      <c r="F10" s="122"/>
      <c r="G10" s="5"/>
    </row>
    <row r="11" spans="1:51" ht="15.75">
      <c r="A11" s="108" t="s">
        <v>117</v>
      </c>
      <c r="B11" s="108" t="s">
        <v>118</v>
      </c>
      <c r="C11" s="96"/>
      <c r="D11" s="128" t="s">
        <v>53</v>
      </c>
      <c r="E11" s="128" t="s">
        <v>54</v>
      </c>
      <c r="F11" s="122"/>
      <c r="G11" s="5"/>
    </row>
    <row r="12" spans="1:51" ht="21" customHeight="1">
      <c r="A12" s="118" t="s">
        <v>139</v>
      </c>
      <c r="B12" s="118" t="s">
        <v>78</v>
      </c>
      <c r="C12" s="96"/>
      <c r="D12" s="120">
        <f xml:space="preserve">
IF(AND(E3="5,5x8,5",F5="Oui"),(D3)/12.5,
IF(AND(E3="10x21",F5="Oui"),(D3)/3,
IF(AND(E3="10x15",F5="Oui"),(D3)/4,
IF(AND(E3="14,8x21",F5="Oui"),(D3)/2,
IF(AND(E3="16x24",F5="Oui"),(D3)/1,
IF(AND(E3="21x29,7",F5="Oui"),(D3)/1,
IF(AND(E3="29,7x42",F5="Oui"),(D3)*2,
IF(AND(E3="5,5x8,5",F5="Non"),(D3)/25,
IF(AND(E3="10x21",F5="Non"),(D3)/6,
IF(AND(E3="14,8x21",F5="Non"),(D3)/4,
IF(AND(E3="10x15",F5="Non"),(D3)/8,
IF(AND(E3="16x24",F5="Non"),(D3)/2,
IF(AND(E3="21x29,7",F5="Non"),(D3)/2,
IF(AND(E3="29,7x42",F5="Non"),(D3),
))))))
))))))))</f>
        <v>8</v>
      </c>
      <c r="E12" s="110">
        <f>IF(E3="5,5x8,5",(D3/25),
IF(E3="10x15",(D3/8),
IF(E3="10x21",(D3/6),
IF(E3="14,8x21",(D3/4),
IF(E3="16x24",(D3/4),
IF(E3="21x29,7",(D3/2),
IF(E3="29,7x42",(D3))))))))</f>
        <v>4</v>
      </c>
      <c r="F12" s="122"/>
    </row>
    <row r="13" spans="1:51" ht="15.75">
      <c r="A13" s="119" t="s">
        <v>13</v>
      </c>
      <c r="B13" s="119" t="s">
        <v>14</v>
      </c>
      <c r="C13" s="96"/>
      <c r="D13" s="133" t="s">
        <v>87</v>
      </c>
      <c r="E13" s="129" t="s">
        <v>58</v>
      </c>
      <c r="F13" s="122"/>
    </row>
    <row r="14" spans="1:51" ht="16.5" thickBot="1">
      <c r="A14" s="157">
        <f>IFERROR(
  IF('Tableau OFFSET'!A7="Couché Mat",
    INDEX('Tableau papier'!$G$4:$G$21, MATCH('Tableau OFFSET'!A8,'Tableau papier'!$A$4:$A$21,0)),
  IF('Tableau OFFSET'!A7="Couché Satin",
    INDEX('Tableau papier'!$H$4:$H$21, MATCH('Tableau OFFSET'!A8,'Tableau papier'!$A$4:$A$21,0)),
  IF('Tableau OFFSET'!A7="Brillant",
    INDEX('Tableau papier'!$I$4:$I$21, MATCH('Tableau OFFSET'!A8,'Tableau papier'!$A$4:$A$21,0)),
  IF('Tableau OFFSET'!A7="Recyclé",
    INDEX('Tableau papier'!$J$4:$J$21, MATCH('Tableau OFFSET'!A8,'Tableau papier'!$A$4:$A$21,0)),
  IF('Tableau OFFSET'!A7="Offset",
    INDEX('Tableau papier'!$K$4:$K$21, MATCH('Tableau OFFSET'!A8,'Tableau papier'!$A$4:$A$21,0)),
  IF('Tableau OFFSET'!A7="Bouffant Munken Blanc",
    INDEX('Tableau papier'!$M$4:$M$21, MATCH('Tableau OFFSET'!A8,'Tableau papier'!$A$4:$A$21,0)),
  IF('Tableau OFFSET'!A7="Bouffant Munken Crème",
    INDEX('Tableau papier'!$N$4:$N$21, MATCH('Tableau OFFSET'!A8,'Tableau papier'!$A$4:$A$21,0)),
  "Type de papier non valide"))))))),
"Grammage non trouvé")</f>
        <v>1</v>
      </c>
      <c r="B14" s="111">
        <f>IFERROR(
  IF('Tableau OFFSET'!B7="Couché Mat",
    INDEX('Tableau papier'!$G$4:$G$21, MATCH('Tableau OFFSET'!B8,'Tableau papier'!$A$4:$A$21,0)),
  IF('Tableau OFFSET'!B7="Couché Satin",
    INDEX('Tableau papier'!$H$4:$H$21, MATCH('Tableau OFFSET'!B8,'Tableau papier'!$A$4:$A$21,0)),
  IF('Tableau OFFSET'!B7="Brillant",
    INDEX('Tableau papier'!$I$4:$I$21, MATCH('Tableau OFFSET'!B8,'Tableau papier'!$A$4:$A$21,0)),
  IF('Tableau OFFSET'!B7="Recyclé",
    INDEX('Tableau papier'!$J$4:$J$21, MATCH('Tableau OFFSET'!B8,'Tableau papier'!$A$4:$A$21,0)),
  IF('Tableau OFFSET'!B7="Offset",
    INDEX('Tableau papier'!$K$4:$K$21, MATCH('Tableau OFFSET'!B8,'Tableau papier'!$A$4:$A$21,0)),
  IF('Tableau OFFSET'!B7="Carte 1 face",
    INDEX('Tableau papier'!$L$4:$L$21, MATCH('Tableau OFFSET'!B8,'Tableau papier'!$A$4:$A$21,0)),
  "Type de papier non valide")))))),
"Grammage non trouvé")</f>
        <v>1</v>
      </c>
      <c r="C14" s="96"/>
      <c r="D14" s="110">
        <f>(E14/D3)*870</f>
        <v>1.9575000000000002</v>
      </c>
      <c r="E14" s="130">
        <f>IF(D6=90,(E12/1000)*'Tableau papier'!B6,
IF(D6=115,(E12/1000)*'Tableau papier'!B9,
IF(D6=135,(E12/1000)*'Tableau papier'!B12,
IF(D6=150,(E12/1000)*'Tableau papier'!B13,
IF(D6=170,(E12/1000)*'Tableau papier'!B14,
IF(D6=200,(E12/1000)*'Tableau papier'!B15,
IF(D6=250,(E12/1000)*'Tableau papier'!B18,
IF(D6=300,(E12/1000)*'Tableau papier'!B19,
IF(D6=350,(E12/1000)*'Tableau papier'!B20,
IF(D6=400,(E12/1000)*'Tableau papier'!B21))))))))))</f>
        <v>0.22500000000000001</v>
      </c>
      <c r="F14" s="121"/>
    </row>
    <row r="15" spans="1:51" ht="16.5" thickBot="1">
      <c r="A15" s="112" t="s">
        <v>16</v>
      </c>
      <c r="B15" s="113" t="s">
        <v>15</v>
      </c>
      <c r="C15" s="96"/>
      <c r="D15" s="704" t="s">
        <v>88</v>
      </c>
      <c r="E15" s="705"/>
      <c r="F15" s="3"/>
      <c r="J15" s="95"/>
    </row>
    <row r="16" spans="1:51" ht="16.5" thickBot="1">
      <c r="A16" s="114">
        <f>IF(B3="10,5x15",(A5*A3)/8,
IF(B3="10x21",(A5*A3)/6,
IF(B3="14,8x21",(A5*A3)/4,
IF(B3="16x24",(A5*A3)/2,
IF(B3="21x29,7",(A5*A3)/2,
IF(B3="29,7x42",(A5*A3)/1,
))))))</f>
        <v>320</v>
      </c>
      <c r="B16" s="114">
        <f>IF(AND(B3="10,5x15",B5=2),(A3/6),
IF(AND(B3="10x21",B5=2),(A3/4),
IF(AND(B3="14,8x21",B5=2),(A3/2),
IF(AND(B3="16x24",B5=2),(A3/1),
IF(AND(B3="21x29,7",B5=2),(A3/1),
IF(AND(B3="29,7x21",B5=2),(A3/1),
IF(AND(B3="10,5x15",B5=4),(A3/6)*2,
IF(AND(B3="10x21",B5=4),(A3/4)*2,
IF(AND(B3="14,8x21",B5=4),(A3/2)*2,
IF(AND(B3="16x24",B5=4),(A3/1)*2,
IF(AND(B3="21x29,7",B5=4),(A3/1)*2,
IF(AND(B3="29,7x42",B5=4),(A3/1)*2,"0"))))))))))))</f>
        <v>20</v>
      </c>
      <c r="C16" s="96"/>
      <c r="D16" s="706" t="e">
        <f>IF(D10=0,"Erreur : Prix du papier à 0",'Donnees Num'!D48)</f>
        <v>#VALUE!</v>
      </c>
      <c r="E16" s="707"/>
      <c r="F16" s="5"/>
    </row>
    <row r="17" spans="1:10" ht="28.5" customHeight="1">
      <c r="A17" s="115" t="s">
        <v>39</v>
      </c>
      <c r="B17" s="115" t="s">
        <v>40</v>
      </c>
      <c r="C17" s="96"/>
    </row>
    <row r="18" spans="1:10" ht="15.75">
      <c r="A18" s="114">
        <f>IF(B3="10,5x15",(A5/16)*A3,
IF(B3="10x21",(A5/12)*A3,
IF(B3="14,8x21",(A5/8)*A3,
IF(B3="16x24",(A5/4)*A3,
IF(B3="21x29,7",(A5/4)*A3,
IF(B3="29,7x42",(A5/2)*A3))))))</f>
        <v>160</v>
      </c>
      <c r="B18" s="114">
        <f>IF(AND(B3="10,5x15",B5&gt;0),(A3/6),
IF(AND(B3="10x21",B5&gt;0),(A3/4),
IF(AND(B3="14,8x21",B5&gt;0),(A3/2),
IF(AND(B3="16x24",B5&gt;0),(A3/1),
IF(AND(B3="21x29,7",B5&gt;0),(A3/1),
IF(AND(B3="29,7x42",B5&gt;0),(A3/1),"0"))))))</f>
        <v>10</v>
      </c>
      <c r="C18" s="96"/>
      <c r="I18" s="95"/>
      <c r="J18" s="95"/>
    </row>
    <row r="19" spans="1:10" ht="21.75" customHeight="1">
      <c r="A19" s="113" t="s">
        <v>109</v>
      </c>
      <c r="B19" s="113" t="s">
        <v>110</v>
      </c>
      <c r="C19" s="96"/>
      <c r="I19" s="95"/>
      <c r="J19" s="95"/>
    </row>
    <row r="20" spans="1:10" ht="16.5" thickBot="1">
      <c r="A20" s="116">
        <f>IF(A8=80,(A18/1000)*'Tableau papier'!B5,
IF(A8=90,(A18/1000)*'Tableau papier'!B6,
IF(A8=100,(A18/1000)*'Tableau papier'!B7,
IF(A8=115,(A18/1000)*'Tableau papier'!B9,
IF(A8=135,(A18/1000)*'Tableau papier'!B12,
IF(A8=150,(A18/1000)*'Tableau papier'!B13,
IF(A8=170,(A18/1000)*'Tableau papier'!B14,
IF(A8=200,(A18/1000)*'Tableau papier'!B15,"0"))))))))</f>
        <v>3.472</v>
      </c>
      <c r="B20" s="117">
        <f>IF(AND(B8=115,B5&gt;0),(B18/1000)*'Tableau papier'!B9,
IF(AND(B8=135,B5&gt;0),(B18/1000)*'Tableau papier'!B12,
IF(AND(B8=150,B5&gt;0),(B18/1000)*'Tableau papier'!B13,
IF(AND(B8=170,B5&gt;0),(B18/1000)*'Tableau papier'!B14,
IF(AND(B8=200,B5&gt;0),(B18/1000)*'Tableau papier'!B15,
IF(AND(B8=250,B5&gt;0),(B18/1000)*'Tableau papier'!B18,
IF(AND(B8=300,B5&gt;0),(B18/1000)*'Tableau papier'!B19,
IF(AND(B8=350,B5&gt;0),(B18/1000)*'Tableau papier'!B20,
IF(AND(B8=400,B5&gt;0),(B18/1000)*'Tableau papier'!B21,"0")))))))))</f>
        <v>0.40179999999999999</v>
      </c>
      <c r="C20" s="96"/>
      <c r="D20" s="95"/>
      <c r="E20" s="95"/>
    </row>
    <row r="21" spans="1:10" ht="31.5">
      <c r="A21" s="143" t="s">
        <v>85</v>
      </c>
      <c r="B21" s="145" t="s">
        <v>136</v>
      </c>
      <c r="C21" s="96"/>
      <c r="D21" s="95"/>
      <c r="E21" s="95"/>
    </row>
    <row r="22" spans="1:10" ht="15.75">
      <c r="A22" s="110">
        <f>((A20+B20)/A3)*870</f>
        <v>168.5103</v>
      </c>
      <c r="B22" s="144">
        <f>(A22*A3)/1000</f>
        <v>3.370206</v>
      </c>
      <c r="C22" s="96"/>
      <c r="D22" s="95"/>
      <c r="E22" s="95"/>
    </row>
    <row r="23" spans="1:10" ht="15.75" thickBot="1">
      <c r="C23" s="92"/>
    </row>
    <row r="24" spans="1:10" ht="16.5" thickBot="1">
      <c r="A24" s="704" t="s">
        <v>88</v>
      </c>
      <c r="B24" s="705"/>
      <c r="C24" s="92"/>
    </row>
    <row r="25" spans="1:10" ht="15.75" thickBot="1">
      <c r="A25" s="706">
        <f>IF(A14=0,IF(B14=0,"Erreur : A14 et B14 à 0","Erreur : A14 à 0"),IF(B14=0,"Erreur : B14 à 0",'Donnees Num'!D21))</f>
        <v>1575.0458666666664</v>
      </c>
      <c r="B25" s="707"/>
      <c r="C25" s="93"/>
    </row>
    <row r="26" spans="1:10">
      <c r="A26" s="698" t="s">
        <v>106</v>
      </c>
      <c r="B26" s="698"/>
      <c r="C26" s="698"/>
      <c r="D26" s="698"/>
      <c r="E26" s="698"/>
    </row>
    <row r="27" spans="1:10">
      <c r="A27" s="698"/>
      <c r="B27" s="698"/>
      <c r="C27" s="698"/>
      <c r="D27" s="698"/>
      <c r="E27" s="698"/>
    </row>
    <row r="29" spans="1:10" ht="48" customHeight="1">
      <c r="B29" s="699" t="s">
        <v>107</v>
      </c>
      <c r="C29" s="699"/>
      <c r="D29" s="699"/>
    </row>
    <row r="39" ht="18" customHeight="1"/>
    <row r="42" ht="14.25" customHeight="1"/>
  </sheetData>
  <mergeCells count="8">
    <mergeCell ref="A26:E27"/>
    <mergeCell ref="B29:D29"/>
    <mergeCell ref="A1:B1"/>
    <mergeCell ref="D1:E1"/>
    <mergeCell ref="D15:E15"/>
    <mergeCell ref="D16:E16"/>
    <mergeCell ref="A24:B24"/>
    <mergeCell ref="A25:B25"/>
  </mergeCells>
  <dataValidations count="13">
    <dataValidation type="list" allowBlank="1" showInputMessage="1" showErrorMessage="1" sqref="B7" xr:uid="{00000000-0002-0000-0100-000000000000}">
      <formula1>"Autre,Couché Mat,Couché Satin,Brillant,Carte 1 face,Offset,Recyclé"</formula1>
    </dataValidation>
    <dataValidation type="list" allowBlank="1" showInputMessage="1" showErrorMessage="1" sqref="A7 D5" xr:uid="{00000000-0002-0000-0100-000001000000}">
      <formula1>"Autre,Couché Mat,Couché Satin,Brillant,Offset,Recyclé,Bouffant Munken Blanc,Bouffant Munken Crème"</formula1>
    </dataValidation>
    <dataValidation type="list" allowBlank="1" showInputMessage="1" showErrorMessage="1" sqref="B10" xr:uid="{00000000-0002-0000-0100-000002000000}">
      <formula1>"Noir, Quadrichromie"</formula1>
    </dataValidation>
    <dataValidation type="list" allowBlank="1" showInputMessage="1" showErrorMessage="1" promptTitle="ATTENTION" prompt="Pas de pelliculage en dessous de 200gr" sqref="E8" xr:uid="{00000000-0002-0000-0100-000003000000}">
      <formula1>"Rien, Pelliculage Recto, Pelliculage RectoVerso"</formula1>
    </dataValidation>
    <dataValidation type="list" allowBlank="1" showInputMessage="1" showErrorMessage="1" sqref="F5" xr:uid="{00000000-0002-0000-0100-000004000000}">
      <formula1>"Oui, Non"</formula1>
    </dataValidation>
    <dataValidation type="list" allowBlank="1" showInputMessage="1" showErrorMessage="1" sqref="D8" xr:uid="{00000000-0002-0000-0100-000005000000}">
      <formula1>"0,1 pli,2 plis,3 plis,4 plis"</formula1>
    </dataValidation>
    <dataValidation type="list" allowBlank="1" showInputMessage="1" showErrorMessage="1" promptTitle="ATTENTION" prompt="16x24 ne fonctionne pas" sqref="E3" xr:uid="{00000000-0002-0000-0100-000006000000}">
      <mc:AlternateContent xmlns:x12ac="http://schemas.microsoft.com/office/spreadsheetml/2011/1/ac" xmlns:mc="http://schemas.openxmlformats.org/markup-compatibility/2006">
        <mc:Choice Requires="x12ac">
          <x12ac:list>"5,5x8,5",10x15,10x21,"14,8x21",16x24,"21x29,7","29,7x42"</x12ac:list>
        </mc:Choice>
        <mc:Fallback>
          <formula1>"5,5x8,5,10x15,10x21,14,8x21,16x24,21x29,7,29,7x42"</formula1>
        </mc:Fallback>
      </mc:AlternateContent>
    </dataValidation>
    <dataValidation type="list" allowBlank="1" showInputMessage="1" showErrorMessage="1" sqref="D6" xr:uid="{00000000-0002-0000-0100-000007000000}">
      <formula1>"0,90,115,135,150,170,200,240,250,300,350,400"</formula1>
    </dataValidation>
    <dataValidation type="list" operator="equal" allowBlank="1" showInputMessage="1" showErrorMessage="1" promptTitle="Important" prompt="Indiquez 0 si pas de couverture_x000a_Indiquez 2 si couverture recto seul_x000a_Indiquez 4 si couverture recto verso" sqref="B5" xr:uid="{00000000-0002-0000-0100-000008000000}">
      <formula1>"0,2,4"</formula1>
    </dataValidation>
    <dataValidation type="list" allowBlank="1" showErrorMessage="1" sqref="B3" xr:uid="{00000000-0002-0000-0100-000009000000}">
      <mc:AlternateContent xmlns:x12ac="http://schemas.microsoft.com/office/spreadsheetml/2011/1/ac" xmlns:mc="http://schemas.openxmlformats.org/markup-compatibility/2006">
        <mc:Choice Requires="x12ac">
          <x12ac:list>Autre,"10,5x15",10x21,"14,8x21",16x24,"21x29,7","29,7x42"</x12ac:list>
        </mc:Choice>
        <mc:Fallback>
          <formula1>"Autre,10,5x15,10x21,14,8x21,16x24,21x29,7,29,7x42"</formula1>
        </mc:Fallback>
      </mc:AlternateContent>
    </dataValidation>
    <dataValidation type="list" allowBlank="1" showInputMessage="1" showErrorMessage="1" sqref="A10 E5" xr:uid="{00000000-0002-0000-0100-00000A000000}">
      <formula1>"Quadrichromie,Noir"</formula1>
    </dataValidation>
    <dataValidation type="list" allowBlank="1" showInputMessage="1" showErrorMessage="1" promptTitle="NOTE Grammage pour dos carré" prompt="Pour les grammages supérieur à 115gr, sélectionner PUR_x000a_" sqref="A12" xr:uid="{00000000-0002-0000-0100-00000B000000}">
      <formula1>"Rien,Dos carré collé,Dos carré collé PUR, Piqûre"</formula1>
    </dataValidation>
    <dataValidation type="list" allowBlank="1" showInputMessage="1" showErrorMessage="1" sqref="B12" xr:uid="{00000000-0002-0000-0100-00000C000000}">
      <formula1>"Rien, Pelliculage Recto, Pelliculage RectoVerso"</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D000000}">
          <x14:formula1>
            <xm:f>IF(B7="Carte 1 face",Carte1Face,IF(B7="Couché",Couche,'Tableau papier'!$A$5:$A$21))</xm:f>
          </x14:formula1>
          <xm:sqref>B8</xm:sqref>
        </x14:dataValidation>
        <x14:dataValidation type="list" allowBlank="1" showInputMessage="1" showErrorMessage="1" xr:uid="{00000000-0002-0000-0100-00000E000000}">
          <x14:formula1>
            <xm:f>IF(A7="Couché",CoucheInterieur,IF(A7="Offset",OffsetInterieur,'Tableau papier'!$A$5:$A$21))</xm:f>
          </x14:formula1>
          <xm:sqref>A8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tabColor theme="6" tint="0.59999389629810485"/>
  </sheetPr>
  <dimension ref="A1:K49"/>
  <sheetViews>
    <sheetView topLeftCell="K1" workbookViewId="0">
      <selection activeCell="J1" sqref="A1:J1048576"/>
    </sheetView>
  </sheetViews>
  <sheetFormatPr baseColWidth="10" defaultColWidth="18.42578125" defaultRowHeight="15"/>
  <cols>
    <col min="1" max="4" width="30.7109375" hidden="1" customWidth="1"/>
    <col min="5" max="5" width="33.7109375" hidden="1" customWidth="1"/>
    <col min="6" max="6" width="30.7109375" hidden="1" customWidth="1"/>
    <col min="7" max="7" width="39.85546875" hidden="1" customWidth="1"/>
    <col min="8" max="9" width="36.28515625" hidden="1" customWidth="1"/>
    <col min="10" max="10" width="23.140625" hidden="1" customWidth="1"/>
  </cols>
  <sheetData>
    <row r="1" spans="1:10" ht="19.5" thickBot="1">
      <c r="A1" s="36"/>
      <c r="B1" s="743" t="s">
        <v>52</v>
      </c>
      <c r="C1" s="744"/>
      <c r="D1" s="37" t="s">
        <v>9</v>
      </c>
      <c r="E1" s="38" t="s">
        <v>10</v>
      </c>
      <c r="F1" s="92"/>
      <c r="H1" s="403" t="str">
        <f>'Tableau NUMERIQUE'!A2</f>
        <v xml:space="preserve">Quantité </v>
      </c>
      <c r="I1" s="403" t="str">
        <f>'Tableau NUMERIQUE'!B2</f>
        <v xml:space="preserve">Format fini </v>
      </c>
    </row>
    <row r="2" spans="1:10" ht="15.75">
      <c r="A2" s="35"/>
      <c r="B2" s="728" t="s">
        <v>18</v>
      </c>
      <c r="C2" s="749"/>
      <c r="D2" s="28">
        <f>IF('Tableau NUMERIQUE'!A10="Quadrichromie",('Donnees Num'!H15*(C26+D26)),('Donnees Num'!H15*(C27+D27)))</f>
        <v>432</v>
      </c>
      <c r="E2" s="745">
        <f>D2+D3+D5+D4</f>
        <v>674.80799999999999</v>
      </c>
      <c r="F2" s="363"/>
      <c r="H2" s="118">
        <f>'Tableau NUMERIQUE'!A3</f>
        <v>800</v>
      </c>
      <c r="I2" s="118" t="str">
        <f>'Tableau NUMERIQUE'!B3</f>
        <v>21x29,7</v>
      </c>
    </row>
    <row r="3" spans="1:10" ht="15.75">
      <c r="A3" s="9"/>
      <c r="B3" s="752" t="s">
        <v>17</v>
      </c>
      <c r="C3" s="753"/>
      <c r="D3" s="29">
        <f>IF(AND('Tableau NUMERIQUE'!B10="Quadrichromie",'Tableau NUMERIQUE'!B5&gt;0),('Donnees Num'!I15*(C26+D26)),
IF(AND('Tableau NUMERIQUE'!B10="Noir",'Tableau NUMERIQUE'!B5&gt;0),('Donnees Num'!I15*C27),"0"))</f>
        <v>48</v>
      </c>
      <c r="E3" s="746"/>
      <c r="F3" s="364"/>
      <c r="H3" s="109" t="str">
        <f>'Tableau NUMERIQUE'!A4</f>
        <v>Pages intérieur</v>
      </c>
      <c r="I3" s="108" t="str">
        <f>'Tableau NUMERIQUE'!B4</f>
        <v>Pages couverture</v>
      </c>
    </row>
    <row r="4" spans="1:10" ht="15.75">
      <c r="B4" s="752" t="s">
        <v>41</v>
      </c>
      <c r="C4" s="753"/>
      <c r="D4" s="29">
        <f>IF(OR('Tableau NUMERIQUE'!B5="",'Tableau NUMERIQUE'!B5=0),0,
   IF('Donnees Num'!I19="",0,'Donnees Num'!I19*'Donnees Num'!I13)
)</f>
        <v>38.567999999999998</v>
      </c>
      <c r="E4" s="746"/>
      <c r="F4" s="364"/>
      <c r="H4" s="118">
        <f>'Tableau NUMERIQUE'!A5</f>
        <v>36</v>
      </c>
      <c r="I4" s="118">
        <f>'Tableau NUMERIQUE'!B5</f>
        <v>4</v>
      </c>
    </row>
    <row r="5" spans="1:10" ht="32.25" thickBot="1">
      <c r="B5" s="730" t="s">
        <v>42</v>
      </c>
      <c r="C5" s="754"/>
      <c r="D5" s="30">
        <f>IF('Donnees Num'!H19="","",'Donnees Num'!H19*'Donnees Num'!H13)</f>
        <v>156.24</v>
      </c>
      <c r="E5" s="747"/>
      <c r="F5" s="364"/>
      <c r="H5" s="109" t="str">
        <f>'Tableau NUMERIQUE'!A6</f>
        <v>Grammage et type de papier intérieur</v>
      </c>
      <c r="I5" s="109" t="str">
        <f>'Tableau NUMERIQUE'!B6</f>
        <v>Grammage et type de papier couverture</v>
      </c>
    </row>
    <row r="6" spans="1:10" ht="15.75">
      <c r="B6" s="732" t="s">
        <v>51</v>
      </c>
      <c r="C6" s="733"/>
      <c r="D6" s="755">
        <f>('Donnees Num'!H15+'Donnees Num'!I15)/3000</f>
        <v>5.333333333333333</v>
      </c>
      <c r="E6" s="39"/>
      <c r="F6" s="364"/>
      <c r="H6" s="385" t="str">
        <f>'Tableau NUMERIQUE'!A7</f>
        <v>Couché Satin</v>
      </c>
      <c r="I6" s="385" t="str">
        <f>'Tableau NUMERIQUE'!B7</f>
        <v>Couché Satin</v>
      </c>
    </row>
    <row r="7" spans="1:10" ht="15.75">
      <c r="B7" s="750"/>
      <c r="C7" s="751"/>
      <c r="D7" s="756"/>
      <c r="E7" s="39"/>
      <c r="F7" s="364"/>
      <c r="H7" s="118">
        <f>'Tableau NUMERIQUE'!A8</f>
        <v>135</v>
      </c>
      <c r="I7" s="118">
        <f>'Tableau NUMERIQUE'!B8</f>
        <v>300</v>
      </c>
    </row>
    <row r="8" spans="1:10" ht="16.5" thickBot="1">
      <c r="B8" s="734"/>
      <c r="C8" s="735"/>
      <c r="D8" s="31">
        <f>D6*50</f>
        <v>266.66666666666663</v>
      </c>
      <c r="E8" s="39"/>
      <c r="F8" s="364"/>
      <c r="H8" s="108" t="str">
        <f>'Tableau NUMERIQUE'!A9</f>
        <v>Couleurs intérieur</v>
      </c>
      <c r="I8" s="108" t="str">
        <f>'Tableau NUMERIQUE'!B9</f>
        <v>Couleurs couverture</v>
      </c>
    </row>
    <row r="9" spans="1:10" ht="22.5" customHeight="1">
      <c r="B9" s="748" t="s">
        <v>1</v>
      </c>
      <c r="C9" s="78" t="s">
        <v>81</v>
      </c>
      <c r="D9" s="32">
        <f>IF(OR('Tableau NUMERIQUE'!A5=0,'Tableau NUMERIQUE'!A3=0),0,
IF(AND('Tableau NUMERIQUE'!A12="Piqûre",'Tableau NUMERIQUE'!A3&lt;=200,'Tableau NUMERIQUE'!B5&gt;0),
('Tableau NUMERIQUE'!A3*'Tableau Façonnage Num'!C24)+'Tableau Façonnage Num'!B24,
IF(AND('Tableau NUMERIQUE'!A3&gt;200,'Tableau NUMERIQUE'!A12="Piqûre",'Tableau NUMERIQUE'!B5&gt;0),
('Tableau NUMERIQUE'!A3*'Tableau Façonnage Num'!C25)+'Tableau Façonnage Num'!B25,
IF(AND('Tableau NUMERIQUE'!A3&gt;=200,'Tableau NUMERIQUE'!A12="Piqûre",'Tableau NUMERIQUE'!B5=0),
(('Tableau NUMERIQUE'!A3*0.23)+10),
IF(AND('Tableau NUMERIQUE'!A3&lt;200,'Tableau NUMERIQUE'!A12="Piqûre",'Tableau NUMERIQUE'!B5=0),
(('Tableau NUMERIQUE'!A3*0.25)+30),0)))))</f>
        <v>217</v>
      </c>
      <c r="E9" s="558" t="s">
        <v>973</v>
      </c>
      <c r="F9" s="364"/>
      <c r="H9" s="118" t="str">
        <f>'Tableau NUMERIQUE'!A10</f>
        <v>Quadrichromie</v>
      </c>
      <c r="I9" s="118" t="str">
        <f>'Tableau NUMERIQUE'!B10</f>
        <v>Quadrichromie</v>
      </c>
    </row>
    <row r="10" spans="1:10" ht="15.75">
      <c r="B10" s="748"/>
      <c r="C10" s="19" t="s">
        <v>22</v>
      </c>
      <c r="D10" s="32" t="str">
        <f>IF(AND('Tableau NUMERIQUE'!A12="Dos carré collé",'Tableau NUMERIQUE'!A5&lt;=72,'Tableau NUMERIQUE'!B5&gt;0,'Tableau NUMERIQUE'!A3&lt;=99),('Tableau NUMERIQUE'!A3*'Tableau Façonnage Num'!B3)+'Tableau Façonnage Num'!B6,
IF(AND('Tableau NUMERIQUE'!A12="Dos carré collé",'Tableau NUMERIQUE'!A5&gt;=76,'Tableau NUMERIQUE'!A5&lt;=152,'Tableau NUMERIQUE'!B5&gt;0,'Tableau NUMERIQUE'!A3&lt;=99),('Tableau NUMERIQUE'!A3*'Tableau Façonnage Num'!B4)+'Tableau Façonnage Num'!B6,
IF(AND('Tableau NUMERIQUE'!A12="Dos carré collé",'Tableau NUMERIQUE'!A5&gt;152,'Tableau NUMERIQUE'!B5&gt;0,'Tableau NUMERIQUE'!A3&lt;=99),('Tableau NUMERIQUE'!A3*'Tableau Façonnage Num'!B5)+'Tableau Façonnage Num'!B6,
IF(AND('Tableau NUMERIQUE'!A12="Dos carré collé",'Tableau NUMERIQUE'!A5&lt;=72,'Tableau NUMERIQUE'!B5&gt;0,'Tableau NUMERIQUE'!A3&lt;=200,'Tableau NUMERIQUE'!A3&gt;=100),('Tableau NUMERIQUE'!A3*'Tableau Façonnage Num'!C3)+'Tableau Façonnage Num'!C6,
IF(AND('Tableau NUMERIQUE'!A12="Dos carré collé",'Tableau NUMERIQUE'!A5&gt;=76,'Tableau NUMERIQUE'!B5&gt;0,'Tableau NUMERIQUE'!A3&lt;=200,'Tableau NUMERIQUE'!A3&gt;=100),('Tableau NUMERIQUE'!A3*'Tableau Façonnage Num'!C4)+'Tableau Façonnage Num'!C6,
IF(AND('Tableau NUMERIQUE'!A12="Dos carré collé",'Tableau NUMERIQUE'!A5&gt;152,'Tableau NUMERIQUE'!B5&gt;0,'Tableau NUMERIQUE'!A3&lt;=200,'Tableau NUMERIQUE'!A3&gt;=100),('Tableau NUMERIQUE'!A3*'Tableau Façonnage Num'!C5)+'Tableau Façonnage Num'!C6,
IF(AND('Tableau NUMERIQUE'!A12="Dos carré collé",'Tableau NUMERIQUE'!A5&lt;=72,'Tableau NUMERIQUE'!B5&gt;0,'Tableau NUMERIQUE'!A3&lt;=300,'Tableau NUMERIQUE'!A3&gt;200),('Tableau NUMERIQUE'!A3*'Tableau Façonnage Num'!D3)+'Tableau Façonnage Num'!D6,
IF(AND('Tableau NUMERIQUE'!A12="Dos carré collé",'Tableau NUMERIQUE'!A5&gt;=76,'Tableau NUMERIQUE'!B5&gt;0,'Tableau NUMERIQUE'!A3&lt;=300,'Tableau NUMERIQUE'!A3&gt;200),('Tableau NUMERIQUE'!A3*'Tableau Façonnage Num'!D4)+'Tableau Façonnage Num'!D6,
IF(AND('Tableau NUMERIQUE'!A12="Dos carré collé",'Tableau NUMERIQUE'!A5&gt;152,'Tableau NUMERIQUE'!B5&gt;0,'Tableau NUMERIQUE'!A3&lt;=300,'Tableau NUMERIQUE'!A3&gt;200),('Tableau NUMERIQUE'!A3*'Tableau Façonnage Num'!D5)+'Tableau Façonnage Num'!D6,
IF(AND('Tableau NUMERIQUE'!A12="Dos carré collé",'Tableau NUMERIQUE'!A5&lt;=72,'Tableau NUMERIQUE'!B5&gt;0,'Tableau NUMERIQUE'!A3&lt;=400,'Tableau NUMERIQUE'!A3&gt;300),('Tableau NUMERIQUE'!A3*'Tableau Façonnage Num'!E3)+'Tableau Façonnage Num'!E6,
IF(AND('Tableau NUMERIQUE'!A12="Dos carré collé",'Tableau NUMERIQUE'!A5&gt;=76,'Tableau NUMERIQUE'!B5&gt;0,'Tableau NUMERIQUE'!A3&lt;=400,'Tableau NUMERIQUE'!A3&gt;300),('Tableau NUMERIQUE'!A3*'Tableau Façonnage Num'!E4)+'Tableau Façonnage Num'!E6,
IF(AND('Tableau NUMERIQUE'!A12="Dos carré collé",'Tableau NUMERIQUE'!A5&gt;152,'Tableau NUMERIQUE'!B5&gt;0,'Tableau NUMERIQUE'!A3&lt;=400,'Tableau NUMERIQUE'!A3&gt;300),('Tableau NUMERIQUE'!A3*'Tableau Façonnage Num'!E5)+'Tableau Façonnage Num'!E6,
IF(AND('Tableau NUMERIQUE'!A12="Dos carré collé",'Tableau NUMERIQUE'!A5&lt;=72,'Tableau NUMERIQUE'!B5&gt;0,'Tableau NUMERIQUE'!A3&lt;=500,'Tableau NUMERIQUE'!A3&gt;400),('Tableau NUMERIQUE'!A3*'Tableau Façonnage Num'!F3)+'Tableau Façonnage Num'!F6,
IF(AND('Tableau NUMERIQUE'!A12="Dos carré collé",'Tableau NUMERIQUE'!A5&gt;=76,'Tableau NUMERIQUE'!B5&gt;0,'Tableau NUMERIQUE'!A3&lt;=500,'Tableau NUMERIQUE'!A3&gt;400),('Tableau NUMERIQUE'!A3*'Tableau Façonnage Num'!F4)+'Tableau Façonnage Num'!F6,
IF(AND('Tableau NUMERIQUE'!A12="Dos carré collé",'Tableau NUMERIQUE'!A5&gt;152,'Tableau NUMERIQUE'!B5&gt;0,'Tableau NUMERIQUE'!A3&lt;=500,'Tableau NUMERIQUE'!A3&gt;400),('Tableau NUMERIQUE'!A3*'Tableau Façonnage Num'!F5)+'Tableau Façonnage Num'!F6,
IF(AND('Tableau NUMERIQUE'!A12="Dos carré collé",'Tableau NUMERIQUE'!A5&lt;=72,'Tableau NUMERIQUE'!B5&gt;0,'Tableau NUMERIQUE'!A3&gt;500),('Tableau NUMERIQUE'!A3*'Tableau Façonnage Num'!G3)+'Tableau Façonnage Num'!G6,
IF(AND('Tableau NUMERIQUE'!A12="Dos carré collé",'Tableau NUMERIQUE'!A5&gt;=76,'Tableau NUMERIQUE'!B5&gt;0,'Tableau NUMERIQUE'!A3&gt;500),('Tableau NUMERIQUE'!A3*'Tableau Façonnage Num'!G4)+'Tableau Façonnage Num'!G6,
IF(AND('Tableau NUMERIQUE'!A12="Dos carré collé",'Tableau NUMERIQUE'!A5&gt;152,'Tableau NUMERIQUE'!B5&gt;0,'Tableau NUMERIQUE'!A3&gt;500),('Tableau NUMERIQUE'!A3*'Tableau Façonnage Num'!G5)+'Tableau Façonnage Num'!G6,"0"))))))))))))))))))</f>
        <v>0</v>
      </c>
      <c r="E10" s="561">
        <f>IFERROR( (D8+D9+D10+D11+D12+D13+D14+D19+E12+(D20-E2))/(E2), 0 )</f>
        <v>1.3340651958285417</v>
      </c>
      <c r="F10" s="93"/>
      <c r="H10" s="108" t="str">
        <f>'Tableau NUMERIQUE'!A11</f>
        <v>9 / Façonnage</v>
      </c>
      <c r="I10" s="124" t="str">
        <f>'Tableau NUMERIQUE'!B11</f>
        <v>Pelliculage</v>
      </c>
    </row>
    <row r="11" spans="1:10" ht="15.75">
      <c r="B11" s="748"/>
      <c r="C11" s="19" t="s">
        <v>23</v>
      </c>
      <c r="D11" s="32" t="str">
        <f>IF(AND('Tableau NUMERIQUE'!A12="Dos carré collé PUR",'Tableau NUMERIQUE'!A5&lt;=72,'Tableau NUMERIQUE'!B5&gt;0,'Tableau NUMERIQUE'!A3&lt;=99),('Tableau NUMERIQUE'!A3*'Tableau Façonnage Num'!B11)+'Tableau Façonnage Num'!B14,
IF(AND('Tableau NUMERIQUE'!A12="Dos carré collé PUR",'Tableau NUMERIQUE'!A5&gt;=76,'Tableau NUMERIQUE'!A5&lt;=152,'Tableau NUMERIQUE'!B5&gt;0,'Tableau NUMERIQUE'!A3&lt;=99),('Tableau NUMERIQUE'!A3*'Tableau Façonnage Num'!B12)+'Tableau Façonnage Num'!B14,
IF(AND('Tableau NUMERIQUE'!A12="Dos carré collé PUR",'Tableau NUMERIQUE'!A5&gt;152,'Tableau NUMERIQUE'!B5&gt;0,'Tableau NUMERIQUE'!A3&lt;=99),('Tableau NUMERIQUE'!A3*'Tableau Façonnage Num'!B13)+'Tableau Façonnage Num'!B14,
IF(AND('Tableau NUMERIQUE'!A12="Dos carré collé PUR",'Tableau NUMERIQUE'!A5&lt;=72,'Tableau NUMERIQUE'!B5&gt;0,'Tableau NUMERIQUE'!A3&lt;=200,'Tableau NUMERIQUE'!A3&gt;=100),('Tableau NUMERIQUE'!A3*'Tableau Façonnage Num'!C11)+'Tableau Façonnage Num'!C14,
IF(AND('Tableau NUMERIQUE'!A12="Dos carré collé PUR",'Tableau NUMERIQUE'!A5&gt;=76,'Tableau NUMERIQUE'!B5&gt;0,'Tableau NUMERIQUE'!A3&lt;=200,'Tableau NUMERIQUE'!A3&gt;=100),('Tableau NUMERIQUE'!A3*'Tableau Façonnage Num'!C12)+'Tableau Façonnage Num'!C14,
IF(AND('Tableau NUMERIQUE'!A12="Dos carré collé PUR",'Tableau NUMERIQUE'!A5&gt;152,'Tableau NUMERIQUE'!B5&gt;0,'Tableau NUMERIQUE'!A3&lt;=200,'Tableau NUMERIQUE'!A3&gt;=100),('Tableau NUMERIQUE'!A3*'Tableau Façonnage Num'!C13)+'Tableau Façonnage Num'!C14,
IF(AND('Tableau NUMERIQUE'!A12="Dos carré collé PUR",'Tableau NUMERIQUE'!A5&lt;=72,'Tableau NUMERIQUE'!B5&gt;0,'Tableau NUMERIQUE'!A3&lt;=300,'Tableau NUMERIQUE'!A3&gt;200),('Tableau NUMERIQUE'!A3*'Tableau Façonnage Num'!D11)+'Tableau Façonnage Num'!D14,
IF(AND('Tableau NUMERIQUE'!A12="Dos carré collé PUR",'Tableau NUMERIQUE'!A5&gt;=76,'Tableau NUMERIQUE'!B5&gt;0,'Tableau NUMERIQUE'!A3&lt;=300,'Tableau NUMERIQUE'!A3&gt;200),('Tableau NUMERIQUE'!A3*'Tableau Façonnage Num'!D12)+'Tableau Façonnage Num'!D14,
IF(AND('Tableau NUMERIQUE'!A12="Dos carré collé PUR",'Tableau NUMERIQUE'!A5&gt;152,'Tableau NUMERIQUE'!B5&gt;0,'Tableau NUMERIQUE'!A3&lt;=300,'Tableau NUMERIQUE'!A3&gt;200),('Tableau NUMERIQUE'!A3*'Tableau Façonnage Num'!D13)+'Tableau Façonnage Num'!D14,
IF(AND('Tableau NUMERIQUE'!A12="Dos carré collé PUR",'Tableau NUMERIQUE'!A5&lt;=72,'Tableau NUMERIQUE'!B5&gt;0,'Tableau NUMERIQUE'!A3&lt;=400,'Tableau NUMERIQUE'!A3&gt;300),('Tableau NUMERIQUE'!A3*'Tableau Façonnage Num'!E11)+'Tableau Façonnage Num'!E14,
IF(AND('Tableau NUMERIQUE'!A12="Dos carré collé PUR",'Tableau NUMERIQUE'!A5&gt;=76,'Tableau NUMERIQUE'!B5&gt;0,'Tableau NUMERIQUE'!A3&lt;=400,'Tableau NUMERIQUE'!A3&gt;300),('Tableau NUMERIQUE'!A3*'Tableau Façonnage Num'!E12)+'Tableau Façonnage Num'!E14,
IF(AND('Tableau NUMERIQUE'!A12="Dos carré collé PUR",'Tableau NUMERIQUE'!A5&gt;152,'Tableau NUMERIQUE'!B5&gt;0,'Tableau NUMERIQUE'!A3&lt;=400,'Tableau NUMERIQUE'!A3&gt;300),('Tableau NUMERIQUE'!A3*'Tableau Façonnage Num'!E13)+'Tableau Façonnage Num'!E14,
IF(AND('Tableau NUMERIQUE'!A12="Dos carré collé PUR",'Tableau NUMERIQUE'!A5&lt;=72,'Tableau NUMERIQUE'!B5&gt;0,'Tableau NUMERIQUE'!A3&lt;=500,'Tableau NUMERIQUE'!A3&gt;400),('Tableau NUMERIQUE'!A3*'Tableau Façonnage Num'!F11)+'Tableau Façonnage Num'!F14,
IF(AND('Tableau NUMERIQUE'!A12="Dos carré collé PUR",'Tableau NUMERIQUE'!A5&gt;=76,'Tableau NUMERIQUE'!B5&gt;0,'Tableau NUMERIQUE'!A3&lt;=500,'Tableau NUMERIQUE'!A3&gt;400),('Tableau NUMERIQUE'!A3*'Tableau Façonnage Num'!F12)+'Tableau Façonnage Num'!F14,
IF(AND('Tableau NUMERIQUE'!A12="Dos carré collé PUR",'Tableau NUMERIQUE'!A5&gt;152,'Tableau NUMERIQUE'!B5&gt;0,'Tableau NUMERIQUE'!A3&lt;=500,'Tableau NUMERIQUE'!A3&gt;400),('Tableau NUMERIQUE'!A3*'Tableau Façonnage Num'!F13)+'Tableau Façonnage Num'!F14,
IF(AND('Tableau NUMERIQUE'!A12="Dos carré collé PUR",'Tableau NUMERIQUE'!A5&lt;=72,'Tableau NUMERIQUE'!B5&gt;0,'Tableau NUMERIQUE'!A3&gt;500),('Tableau NUMERIQUE'!A3*'Tableau Façonnage Num'!G11)+'Tableau Façonnage Num'!G14,
IF(AND('Tableau NUMERIQUE'!A12="Dos carré collé PUR",'Tableau NUMERIQUE'!A5&gt;=76,'Tableau NUMERIQUE'!B5&gt;0,'Tableau NUMERIQUE'!A3&gt;500),('Tableau NUMERIQUE'!A3*'Tableau Façonnage Num'!G12)+'Tableau Façonnage Num'!G14,
IF(AND('Tableau NUMERIQUE'!A12="Dos carré collé PUR",'Tableau NUMERIQUE'!A5&gt;152,'Tableau NUMERIQUE'!B5&gt;0,'Tableau NUMERIQUE'!A3&gt;500),('Tableau NUMERIQUE'!A3*'Tableau Façonnage Num'!G13)+'Tableau Façonnage Num'!G14,"0"))))))))))))))))))</f>
        <v>0</v>
      </c>
      <c r="E11" s="559" t="s">
        <v>975</v>
      </c>
      <c r="F11" s="365"/>
      <c r="H11" s="118" t="str">
        <f>'Tableau NUMERIQUE'!A12</f>
        <v>Piqûre</v>
      </c>
      <c r="I11" s="118" t="str">
        <f>'Tableau NUMERIQUE'!B12</f>
        <v xml:space="preserve">Pelliculage Recto  </v>
      </c>
    </row>
    <row r="12" spans="1:10" ht="16.5" thickBot="1">
      <c r="B12" s="708" t="s">
        <v>89</v>
      </c>
      <c r="C12" s="71" t="s">
        <v>77</v>
      </c>
      <c r="D12" s="72">
        <v>0</v>
      </c>
      <c r="E12" s="562"/>
      <c r="F12" s="42"/>
      <c r="H12" s="359" t="s">
        <v>13</v>
      </c>
      <c r="I12" s="359" t="s">
        <v>14</v>
      </c>
    </row>
    <row r="13" spans="1:10" ht="15.75">
      <c r="B13" s="709"/>
      <c r="C13" s="71" t="s">
        <v>76</v>
      </c>
      <c r="D13" s="70">
        <f>IF('Tableau NUMERIQUE'!A3=0,0,
IFERROR(
'Tableau NUMERIQUE'!A3*
CHOOSE(
MATCH('Tableau NUMERIQUE'!A3,{0;101;201;301;401;501},1),
'Tableau Façonnage Num'!B28,
'Tableau Façonnage Num'!C28,
'Tableau Façonnage Num'!D28,
'Tableau Façonnage Num'!E28,
'Tableau Façonnage Num'!F28
)
+
'Tableau Façonnage Num'!G28,
0
))</f>
        <v>0</v>
      </c>
      <c r="F13" s="42"/>
      <c r="H13" s="360">
        <f>IFERROR(
  IF('Tableau NUMERIQUE'!A7="Couché Mat",
    INDEX('Tableau papier'!$G$4:$G$21, MATCH('Tableau NUMERIQUE'!A8, 'Tableau papier'!$A$4:$A$21, 0)),
  IF('Tableau NUMERIQUE'!A7="Couché Satin",
    INDEX('Tableau papier'!$H$4:$H$21, MATCH('Tableau NUMERIQUE'!A8, 'Tableau papier'!$A$4:$A$21, 0)),
  IF('Tableau NUMERIQUE'!A7="Brillant",
    INDEX('Tableau papier'!$I$4:$I$21, MATCH('Tableau NUMERIQUE'!A8, 'Tableau papier'!$A$4:$A$21, 0)),
  IF('Tableau NUMERIQUE'!A7="Recyclé",
    INDEX('Tableau papier'!$J$4:$J$21, MATCH('Tableau NUMERIQUE'!A8, 'Tableau papier'!$A$4:$A$21, 0)),
  IF('Tableau NUMERIQUE'!A7="Offset",
    INDEX('Tableau papier'!$K$4:$K$21, MATCH('Tableau NUMERIQUE'!A8, 'Tableau papier'!$A$4:$A$21, 0)),
  IF('Tableau NUMERIQUE'!A7="Bouffant Munken Blanc",
    INDEX('Tableau papier'!$M$4:$M$21, MATCH('Tableau NUMERIQUE'!A8, 'Tableau papier'!$A$4:$A$21, 0)),
  IF('Tableau NUMERIQUE'!A7="Bouffant Munken Crème",
    INDEX('Tableau papier'!$N$4:$N$21, MATCH('Tableau NUMERIQUE'!A8, 'Tableau papier'!$A$4:$A$21, 0)),
  IF('Tableau NUMERIQUE'!A7="Bouffant Blanc",
    INDEX('Tableau papier'!$O$4:$O$21, MATCH('Tableau NUMERIQUE'!A8, 'Tableau papier'!$A$4:$A$21, 0)),
  "Type de papier non valide")))))))),
"Grammage non trouvé")</f>
        <v>1</v>
      </c>
      <c r="I13" s="361">
        <f>IFERROR(
  IF('Tableau NUMERIQUE'!B7="Couché Mat",
    INDEX('Tableau papier'!$G$4:$G$21, MATCH('Tableau NUMERIQUE'!B8,'Tableau papier'!$A$4:$A$21,0)),
  IF('Tableau NUMERIQUE'!B7="Couché Satin",
    INDEX('Tableau papier'!$H$4:$H$21, MATCH('Tableau NUMERIQUE'!B8,'Tableau papier'!$A$4:$A$21,0)),
  IF('Tableau NUMERIQUE'!B7="Brillant",
    INDEX('Tableau papier'!$I$4:$I$21, MATCH('Tableau NUMERIQUE'!B8,'Tableau papier'!$A$4:$A$21,0)),
  IF('Tableau NUMERIQUE'!B7="Recyclé",
    INDEX('Tableau papier'!$J$4:$J$21, MATCH('Tableau NUMERIQUE'!B8,'Tableau papier'!$A$4:$A$21,0)),
  IF('Tableau NUMERIQUE'!B7="Offset",
    INDEX('Tableau papier'!$K$4:$K$21, MATCH('Tableau NUMERIQUE'!B8,'Tableau papier'!$A$4:$A$21,0)),
  IF('Tableau NUMERIQUE'!B7="Carte 1 face",
    INDEX('Tableau papier'!$L$4:$L$21, MATCH('Tableau NUMERIQUE'!B8,'Tableau papier'!$A$4:$A$21,0)),
  "Type de papier non valide")))))),
"Grammage non trouvé")</f>
        <v>1</v>
      </c>
    </row>
    <row r="14" spans="1:10" ht="16.5" thickBot="1">
      <c r="B14" s="738" t="s">
        <v>50</v>
      </c>
      <c r="C14" s="739"/>
      <c r="D14" s="33">
        <f>IFERROR(
  IF(OR('Tableau NUMERIQUE'!B12="",'Tableau NUMERIQUE'!B12="Rien"),0,
    (
      IF(I17&lt;=100,I17*'Tableau Façonnage Num'!B19+'Tableau Façonnage Num'!B20,
      IF(I17&lt;=300,I17*'Tableau Façonnage Num'!C19+'Tableau Façonnage Num'!C20,
      IF(I17&lt;=500,I17*'Tableau Façonnage Num'!D19+'Tableau Façonnage Num'!D20,
      IF(I17&lt;=1000,I17*'Tableau Façonnage Num'!E19+'Tableau Façonnage Num'!E20,
      IF(I17&lt;=2500,I17*'Tableau Façonnage Num'!F19+'Tableau Façonnage Num'!F20,
                I17*'Tableau Façonnage Num'!G19+'Tableau Façonnage Num'!G20)))))
      *IF('Tableau NUMERIQUE'!B12="Pelliculage RectoVerso",2,1)
      *IF(OR('Tableau NUMERIQUE'!C12="",'Tableau NUMERIQUE'!C12="Rien",'Tableau NUMERIQUE'!C12="Mat"),1,
         IF('Tableau NUMERIQUE'!C12="Brillant",0.975,
            IF('Tableau NUMERIQUE'!C12="Soft Touch",1.15,1)
         )
       )
    )
  ),
0)</f>
        <v>102.35</v>
      </c>
      <c r="E14" s="40"/>
      <c r="F14" s="92"/>
      <c r="G14" s="204" t="s">
        <v>728</v>
      </c>
      <c r="H14" s="204" t="s">
        <v>16</v>
      </c>
      <c r="I14" s="206" t="s">
        <v>15</v>
      </c>
    </row>
    <row r="15" spans="1:10" ht="15.75">
      <c r="A15" s="710" t="s">
        <v>49</v>
      </c>
      <c r="B15" s="82" t="s">
        <v>83</v>
      </c>
      <c r="C15" s="83" t="s">
        <v>84</v>
      </c>
      <c r="D15" s="84" t="s">
        <v>82</v>
      </c>
      <c r="E15" s="86" t="s">
        <v>86</v>
      </c>
      <c r="F15" s="92"/>
      <c r="G15" s="366">
        <f>MAX(
  INT((48.3 + 0.2)/(--LEFT('Tableau NUMERIQUE'!B3,FIND("x",'Tableau NUMERIQUE'!B3)-1)+0.2)) * INT((32.6 + 0.2)/(--RIGHT('Tableau NUMERIQUE'!B3,LEN('Tableau NUMERIQUE'!B3)-FIND("x",'Tableau NUMERIQUE'!B3))+0.2)),
  INT((48.3 + 0.2)/(--RIGHT('Tableau NUMERIQUE'!B3,LEN('Tableau NUMERIQUE'!B3)-FIND("x",'Tableau NUMERIQUE'!B3))+0.2)) * INT((32.6 + 0.2)/(--LEFT('Tableau NUMERIQUE'!B3,FIND("x",'Tableau NUMERIQUE'!B3)-1)+0.2))
)</f>
        <v>2</v>
      </c>
      <c r="H15" s="205">
        <f>H17*2</f>
        <v>14400</v>
      </c>
      <c r="I15" s="205">
        <f>IF('Tableau NUMERIQUE'!B5=4, I17*2, IF('Tableau NUMERIQUE'!B5=2, I17, "0"))</f>
        <v>1600</v>
      </c>
    </row>
    <row r="16" spans="1:10" ht="31.5">
      <c r="A16" s="711"/>
      <c r="B16" s="81"/>
      <c r="C16" s="79">
        <v>0</v>
      </c>
      <c r="D16" s="85"/>
      <c r="E16" s="87">
        <f>(B16*'Tableau NUMERIQUE'!A22)/1000</f>
        <v>0</v>
      </c>
      <c r="F16" s="92"/>
      <c r="H16" s="204" t="s">
        <v>729</v>
      </c>
      <c r="I16" s="204" t="s">
        <v>730</v>
      </c>
      <c r="J16" s="204" t="s">
        <v>485</v>
      </c>
    </row>
    <row r="17" spans="1:10" ht="15.75">
      <c r="A17" s="711"/>
      <c r="B17" s="81"/>
      <c r="C17" s="79">
        <v>0</v>
      </c>
      <c r="D17" s="85"/>
      <c r="E17" s="87">
        <f>(B17*'Tableau NUMERIQUE'!A22)/1000</f>
        <v>0</v>
      </c>
      <c r="F17" s="92"/>
      <c r="H17" s="205">
        <f>ROUNDUP(('Tableau NUMERIQUE'!A3 * 'Tableau NUMERIQUE'!A5 / 2) / G15, 0)</f>
        <v>7200</v>
      </c>
      <c r="I17" s="205">
        <f>IF(OR('Tableau NUMERIQUE'!B5=2,'Tableau NUMERIQUE'!B5=4),
  ROUNDUP('Tableau NUMERIQUE'!A3/J17,0),
  "")</f>
        <v>800</v>
      </c>
      <c r="J17" s="366">
        <f>IF(OR('Tableau NUMERIQUE'!B5=2,'Tableau NUMERIQUE'!B5=4),
  MAX(
    INT((33-0.4)/((2*--LEFT('Tableau NUMERIQUE'!B3,FIND("x",'Tableau NUMERIQUE'!B3)-1))+0.2)) *
    INT((48.7-0.4)/(--RIGHT('Tableau NUMERIQUE'!B3,LEN('Tableau NUMERIQUE'!B3)-FIND("x",'Tableau NUMERIQUE'!B3))+0.2)),
    INT((48.7-0.4)/((2*--LEFT('Tableau NUMERIQUE'!B3,FIND("x",'Tableau NUMERIQUE'!B3)-1))+0.2)) *
    INT((33-0.4)/(--RIGHT('Tableau NUMERIQUE'!B3,LEN('Tableau NUMERIQUE'!B3)-FIND("x",'Tableau NUMERIQUE'!B3))+0.2))
  ),
  "")</f>
        <v>1</v>
      </c>
    </row>
    <row r="18" spans="1:10" ht="15.75">
      <c r="A18" s="712"/>
      <c r="B18" s="149"/>
      <c r="C18" s="147">
        <v>0</v>
      </c>
      <c r="D18" s="148"/>
      <c r="E18" s="150">
        <f>(B18*'Tableau NUMERIQUE'!A22)/1000</f>
        <v>0</v>
      </c>
      <c r="F18" s="92"/>
      <c r="H18" s="206" t="s">
        <v>109</v>
      </c>
      <c r="I18" s="206" t="s">
        <v>110</v>
      </c>
    </row>
    <row r="19" spans="1:10" ht="16.5" thickBot="1">
      <c r="A19" s="152" t="s">
        <v>140</v>
      </c>
      <c r="B19" s="153"/>
      <c r="C19" s="154"/>
      <c r="D19" s="155">
        <f>IF('Tableau NUMERIQUE'!A3=0,0,45)</f>
        <v>45</v>
      </c>
      <c r="E19" s="577"/>
      <c r="F19" s="92"/>
      <c r="H19" s="205">
        <f>IFERROR(H17 * VLOOKUP('Tableau NUMERIQUE'!A8,'Tableau papier'!A4:B21,2,FALSE) / 1000, "")</f>
        <v>156.24</v>
      </c>
      <c r="I19" s="205">
        <f>IFERROR(I17 * VLOOKUP('Tableau NUMERIQUE'!B8, 'Tableau papier'!A4:B21, 2, FALSE) / 1000, 0)</f>
        <v>38.567999999999998</v>
      </c>
    </row>
    <row r="20" spans="1:10" ht="15.75" thickBot="1">
      <c r="B20" s="740" t="s">
        <v>986</v>
      </c>
      <c r="C20" s="741"/>
      <c r="D20" s="151">
        <f>(D3+D2)*1.5+(D4+D5)*1.15</f>
        <v>944.02919999999995</v>
      </c>
      <c r="E20" s="578">
        <f>D20-E2</f>
        <v>269.22119999999995</v>
      </c>
      <c r="F20" s="92"/>
    </row>
    <row r="21" spans="1:10" ht="15.75" thickBot="1">
      <c r="A21" s="24"/>
      <c r="B21" s="713" t="s">
        <v>985</v>
      </c>
      <c r="C21" s="742"/>
      <c r="D21" s="575">
        <f>SUM(D20,D14,D11,D10,D9,D8,D18,D13,D16,D17)*1+D19</f>
        <v>1575.0458666666664</v>
      </c>
      <c r="E21" s="39"/>
      <c r="F21" s="92"/>
    </row>
    <row r="22" spans="1:10" ht="15.75" thickBot="1">
      <c r="A22" s="25"/>
      <c r="B22" s="713" t="s">
        <v>984</v>
      </c>
      <c r="C22" s="742"/>
      <c r="D22" s="576">
        <f>'Tableau NUMERIQUE'!A25</f>
        <v>1699.9981599999999</v>
      </c>
      <c r="E22" s="39"/>
      <c r="F22" s="92"/>
    </row>
    <row r="23" spans="1:10">
      <c r="A23" s="26"/>
      <c r="E23" s="39"/>
      <c r="F23" s="92"/>
      <c r="H23" t="s">
        <v>221</v>
      </c>
    </row>
    <row r="24" spans="1:10">
      <c r="A24" s="27"/>
      <c r="C24" s="9"/>
      <c r="E24" s="39"/>
      <c r="F24" s="92"/>
    </row>
    <row r="25" spans="1:10">
      <c r="A25" s="34"/>
      <c r="C25" s="20" t="s">
        <v>47</v>
      </c>
      <c r="D25" s="21" t="s">
        <v>46</v>
      </c>
      <c r="E25" s="75" t="s">
        <v>79</v>
      </c>
      <c r="F25" s="92"/>
      <c r="H25" s="21" t="s">
        <v>46</v>
      </c>
      <c r="I25" s="159" t="s">
        <v>725</v>
      </c>
      <c r="J25" s="159" t="s">
        <v>726</v>
      </c>
    </row>
    <row r="26" spans="1:10">
      <c r="B26" s="23" t="s">
        <v>3</v>
      </c>
      <c r="C26" s="22">
        <v>0.03</v>
      </c>
      <c r="D26" s="22"/>
      <c r="E26" s="22">
        <f>SUM(C26:D26)</f>
        <v>0.03</v>
      </c>
      <c r="F26" s="92"/>
      <c r="G26" s="92"/>
      <c r="H26" s="22">
        <v>1.0999999999999999E-2</v>
      </c>
      <c r="I26" s="300">
        <f>--LEFT('Tableau NUMERIQUE'!B3,FIND("x",'Tableau NUMERIQUE'!B3)-1)</f>
        <v>21</v>
      </c>
      <c r="J26" s="300">
        <f>--RIGHT('Tableau NUMERIQUE'!B3,LEN('Tableau NUMERIQUE'!B3)-FIND("x",'Tableau NUMERIQUE'!B3))</f>
        <v>29.7</v>
      </c>
    </row>
    <row r="27" spans="1:10">
      <c r="B27" s="23" t="s">
        <v>19</v>
      </c>
      <c r="C27" s="22">
        <v>6.4999999999999997E-3</v>
      </c>
      <c r="D27" s="22"/>
      <c r="E27" s="22">
        <f>SUM(C27:D27)</f>
        <v>6.4999999999999997E-3</v>
      </c>
      <c r="F27" s="92"/>
      <c r="G27" s="92"/>
      <c r="H27" s="22">
        <v>1.8E-3</v>
      </c>
    </row>
    <row r="28" spans="1:10" ht="15.75" thickBot="1">
      <c r="A28" s="362"/>
      <c r="B28" s="92"/>
      <c r="C28" s="92"/>
      <c r="D28" s="92"/>
      <c r="E28" s="42"/>
      <c r="F28" s="92"/>
      <c r="G28" s="92"/>
      <c r="H28" s="92"/>
      <c r="I28" s="92"/>
      <c r="J28" s="92"/>
    </row>
    <row r="29" spans="1:10">
      <c r="A29" s="92"/>
      <c r="B29" s="92"/>
      <c r="C29" s="92"/>
      <c r="D29" s="92"/>
      <c r="E29" s="42"/>
      <c r="F29" s="92"/>
      <c r="H29" s="92"/>
      <c r="I29" s="92"/>
      <c r="J29" s="92"/>
    </row>
    <row r="30" spans="1:10" ht="15.75" thickBot="1">
      <c r="A30" s="92"/>
      <c r="B30" s="362"/>
      <c r="C30" s="362"/>
      <c r="D30" s="362"/>
      <c r="E30" s="43"/>
      <c r="F30" s="92"/>
      <c r="H30" s="92"/>
      <c r="I30" s="92"/>
      <c r="J30" s="92"/>
    </row>
    <row r="31" spans="1:10" ht="15.75" thickBot="1">
      <c r="A31" s="36"/>
      <c r="F31" s="92"/>
    </row>
    <row r="32" spans="1:10" ht="19.5" thickBot="1">
      <c r="B32" s="726" t="s">
        <v>52</v>
      </c>
      <c r="C32" s="727"/>
      <c r="D32" s="45" t="s">
        <v>9</v>
      </c>
      <c r="E32" s="44" t="s">
        <v>10</v>
      </c>
      <c r="F32" s="41"/>
      <c r="H32" s="126" t="s">
        <v>59</v>
      </c>
      <c r="I32" s="122"/>
    </row>
    <row r="33" spans="1:11" ht="15.75">
      <c r="B33" s="728" t="s">
        <v>55</v>
      </c>
      <c r="C33" s="729"/>
      <c r="D33" s="73">
        <f>IFERROR(
  H35 * IF('Tableau NUMERIQUE'!A36="Noir", C26, C27),
  0
)</f>
        <v>0</v>
      </c>
      <c r="E33" s="736" t="e">
        <f>SUM(D33:D34)</f>
        <v>#VALUE!</v>
      </c>
      <c r="F33" s="42"/>
      <c r="H33" s="127" t="str">
        <f>IFERROR(
  IF('Tableau NUMERIQUE'!A33="Couché Mat",
    INDEX('Tableau papier'!$G$4:$G$21, MATCH('Tableau NUMERIQUE'!A34, 'Tableau papier'!$A$4:$A$21, 0)),
  IF('Tableau NUMERIQUE'!A33="Couché Satin",
    INDEX('Tableau papier'!$H$4:$H$21, MATCH('Tableau NUMERIQUE'!A34, 'Tableau papier'!$A$4:$A$21, 0)),
  IF('Tableau NUMERIQUE'!A33="Brillant",
    INDEX('Tableau papier'!$I$4:$I$21, MATCH('Tableau NUMERIQUE'!A34, 'Tableau papier'!$A$4:$A$21, 0)),
  IF('Tableau NUMERIQUE'!A33="Recyclé",
    INDEX('Tableau papier'!$J$4:$J$21, MATCH('Tableau NUMERIQUE'!A34, 'Tableau papier'!$A$4:$A$21, 0)),
  IF('Tableau NUMERIQUE'!A33="Offset",
    INDEX('Tableau papier'!$K$4:$K$21, MATCH('Tableau NUMERIQUE'!A34, 'Tableau papier'!$A$4:$A$21, 0)),
  IF('Tableau NUMERIQUE'!A33="Bouffant Munken Blanc",
    INDEX('Tableau papier'!$M$4:$M$21, MATCH('Tableau NUMERIQUE'!A34, 'Tableau papier'!$A$4:$A$21, 0)),
  IF('Tableau NUMERIQUE'!A33="Bouffant Munken Crème",
    INDEX('Tableau papier'!$N$4:$N$21, MATCH('Tableau NUMERIQUE'!A34, 'Tableau papier'!$A$4:$A$21, 0)),
  IF('Tableau NUMERIQUE'!A33="Bouffant Blanc",
    INDEX('Tableau papier'!$O$4:$O$21, MATCH('Tableau NUMERIQUE'!A34, 'Tableau papier'!$A$4:$A$21, 0)),
  "Type de papier non valide")))))))),
"Grammage non trouvé")</f>
        <v>Type de papier non valide</v>
      </c>
      <c r="I33" s="122"/>
    </row>
    <row r="34" spans="1:11" ht="16.5" thickBot="1">
      <c r="B34" s="730" t="s">
        <v>42</v>
      </c>
      <c r="C34" s="731"/>
      <c r="D34" s="74" t="e">
        <f>'Donnees Num'!H33*'Donnees Num'!H37</f>
        <v>#VALUE!</v>
      </c>
      <c r="E34" s="737"/>
      <c r="F34" s="42"/>
      <c r="H34" s="129" t="s">
        <v>53</v>
      </c>
      <c r="I34" s="129" t="s">
        <v>54</v>
      </c>
      <c r="J34" s="129"/>
      <c r="K34" s="589"/>
    </row>
    <row r="35" spans="1:11" ht="15.75">
      <c r="B35" s="732" t="s">
        <v>51</v>
      </c>
      <c r="C35" s="733"/>
      <c r="D35" s="47" t="e">
        <f>H35/3000</f>
        <v>#VALUE!</v>
      </c>
      <c r="E35" s="622" t="s">
        <v>1036</v>
      </c>
      <c r="F35" s="42"/>
      <c r="H35" s="110" t="e">
        <f>I35 * IF('Tableau NUMERIQUE'!B36="Oui", 2, 1)</f>
        <v>#VALUE!</v>
      </c>
      <c r="I35" s="110" t="e">
        <f>ROUNDUP('Tableau NUMERIQUE'!A31/I37,0)</f>
        <v>#VALUE!</v>
      </c>
      <c r="J35" s="122"/>
      <c r="K35" s="161"/>
    </row>
    <row r="36" spans="1:11" ht="16.5" thickBot="1">
      <c r="B36" s="734"/>
      <c r="C36" s="735"/>
      <c r="D36" s="31" t="e">
        <f>D35*60</f>
        <v>#VALUE!</v>
      </c>
      <c r="E36" s="33">
        <v>20</v>
      </c>
      <c r="F36" s="42"/>
      <c r="H36" s="129" t="s">
        <v>58</v>
      </c>
      <c r="I36" s="129" t="s">
        <v>727</v>
      </c>
    </row>
    <row r="37" spans="1:11" ht="15.75">
      <c r="B37" s="63" t="s">
        <v>67</v>
      </c>
      <c r="C37" s="62"/>
      <c r="D37" s="33">
        <f>IF('Tableau NUMERIQUE'!A38&lt;&gt;"Dépliant",0,
  (
    INDEX('Tableau Façonnage OFFSET'!AB8:AB15, 'Tableau NUMERIQUE'!C38 + 'Tableau NUMERIQUE'!E38)
    +
    INDEX('Tableau Façonnage OFFSET'!AB18:AB25, 'Tableau NUMERIQUE'!C38 + 'Tableau NUMERIQUE'!E38)
    *
    MAX(
      IFERROR(MID('Tableau NUMERIQUE'!C31,1,SEARCH("x",'Tableau NUMERIQUE'!C31)-1)+0,0),
      IFERROR(MID('Tableau NUMERIQUE'!C31,SEARCH("x",'Tableau NUMERIQUE'!C31)+1,10)+0,0)
    )
    *
    'Tableau NUMERIQUE'!A31 / 100000
  )+E36
)</f>
        <v>0</v>
      </c>
      <c r="E37" s="558" t="s">
        <v>973</v>
      </c>
      <c r="F37" s="42"/>
      <c r="H37" s="130">
        <f>IFERROR(I35 * VLOOKUP('Tableau NUMERIQUE'!A34,'Tableau papier'!A4:B21,2,FALSE) / 1000, 0)</f>
        <v>0</v>
      </c>
      <c r="I37" s="159" t="str">
        <f>IFERROR(
  MAX(
    INT((33-0.4)/(--LEFT('Tableau NUMERIQUE'!C31,FIND("x",'Tableau NUMERIQUE'!C31)-1)+0.2)) *
    INT((48.7-0.4)/(--RIGHT('Tableau NUMERIQUE'!C31,LEN('Tableau NUMERIQUE'!C31)-FIND("x",'Tableau NUMERIQUE'!C31))+0.2)),
    INT((48.7-0.4)/(--LEFT('Tableau NUMERIQUE'!C31,FIND("x",'Tableau NUMERIQUE'!C31)-1)+0.2)) *
    INT((33-0.4)/(--RIGHT('Tableau NUMERIQUE'!C31,LEN('Tableau NUMERIQUE'!C31)-FIND("x",'Tableau NUMERIQUE'!C31))+0.2))
  ),
  ""
)</f>
        <v/>
      </c>
    </row>
    <row r="38" spans="1:11" ht="30">
      <c r="A38" t="s">
        <v>128</v>
      </c>
      <c r="B38" s="717" t="s">
        <v>57</v>
      </c>
      <c r="C38" s="718"/>
      <c r="D38" s="494">
        <f>IF('Tableau NUMERIQUE'!C36="Rien",0,
(IF('Tableau NUMERIQUE'!C36="Recto",
IF(I35&lt;=100,I35*'Tableau Façonnage Num'!B19+'Tableau Façonnage Num'!B20,
IF(I35&lt;=300,I35*'Tableau Façonnage Num'!C19+'Tableau Façonnage Num'!C20,
IF(I35&lt;=500,I35*'Tableau Façonnage Num'!D19+'Tableau Façonnage Num'!D20,
IF(I35&lt;=1000,I35*'Tableau Façonnage Num'!E19+'Tableau Façonnage Num'!E20,
IF(I35&lt;=2500,I35*'Tableau Façonnage Num'!F19+'Tableau Façonnage Num'!F20,
IF(I35&lt;=5000,I35*'Tableau Façonnage Num'!G19+'Tableau Façonnage Num'!G20,
I35*'Tableau Façonnage Num'!H19+'Tableau Façonnage Num'!H20)))))),
IF('Tableau NUMERIQUE'!C36="Recto Verso",
IF(I35&lt;=100,I35*2*'Tableau Façonnage Num'!B19+'Tableau Façonnage Num'!B20,
IF(I35&lt;=300,I35*2*'Tableau Façonnage Num'!C19+'Tableau Façonnage Num'!C20,
IF(I35&lt;=500,I35*2*'Tableau Façonnage Num'!D19+'Tableau Façonnage Num'!D20,
IF(I35&lt;=1000,I35*2*'Tableau Façonnage Num'!E19+'Tableau Façonnage Num'!E20,
IF(I35&lt;=2500,I35*2*'Tableau Façonnage Num'!F19+'Tableau Façonnage Num'!F20,
IF(I35&lt;=5000,I35*2*'Tableau Façonnage Num'!G19+'Tableau Façonnage Num'!G20,
I35*2*'Tableau Façonnage Num'!H19+'Tableau Façonnage Num'!H20)))))),
0))
*
IF('Tableau NUMERIQUE'!D36="Soft Touch",1.25,
IF('Tableau NUMERIQUE'!D36="Brillant",1.05,
IF('Tableau NUMERIQUE'!D36="Mat",1.1,
1)))))</f>
        <v>0</v>
      </c>
      <c r="E38" s="561" t="e">
        <f>(D36+D37+D38+D40+D42+D41+D49+E40+(D47-E33))/(E33)</f>
        <v>#VALUE!</v>
      </c>
      <c r="F38" s="42"/>
      <c r="H38" s="408" t="str">
        <f>'Tableau NUMERIQUE'!A30</f>
        <v>Quantité</v>
      </c>
      <c r="I38" s="409" t="str">
        <f>'Tableau NUMERIQUE'!B30</f>
        <v>Format fini (max 32x48)</v>
      </c>
      <c r="J38" s="410" t="str">
        <f>'Tableau NUMERIQUE'!B39</f>
        <v>Modèles (Quantité / Modèles)</v>
      </c>
      <c r="K38" s="372"/>
    </row>
    <row r="39" spans="1:11" ht="15.75">
      <c r="A39">
        <f>'Tableau NUMERIQUE'!B40</f>
        <v>0</v>
      </c>
      <c r="B39" s="723" t="s">
        <v>75</v>
      </c>
      <c r="C39" s="71" t="s">
        <v>77</v>
      </c>
      <c r="D39" s="72">
        <v>0</v>
      </c>
      <c r="E39" s="559" t="s">
        <v>975</v>
      </c>
      <c r="F39" s="42"/>
      <c r="H39" s="324">
        <f>'Tableau NUMERIQUE'!A31</f>
        <v>0</v>
      </c>
      <c r="I39" s="324">
        <f>'Tableau NUMERIQUE'!B31</f>
        <v>0</v>
      </c>
      <c r="J39" s="390">
        <f>'Tableau NUMERIQUE'!B40</f>
        <v>0</v>
      </c>
      <c r="K39" s="372"/>
    </row>
    <row r="40" spans="1:11" ht="16.5" thickBot="1">
      <c r="A40" t="s">
        <v>130</v>
      </c>
      <c r="B40" s="724"/>
      <c r="C40" s="71" t="s">
        <v>76</v>
      </c>
      <c r="D40" s="70">
        <f>(0.25*D39)+10</f>
        <v>10</v>
      </c>
      <c r="E40" s="562"/>
      <c r="F40" s="42"/>
      <c r="H40" s="131" t="str">
        <f>'Tableau NUMERIQUE'!A32</f>
        <v>Grammage et type de papier</v>
      </c>
      <c r="I40" s="372"/>
      <c r="J40" s="372"/>
    </row>
    <row r="41" spans="1:11" ht="15.75">
      <c r="A41">
        <f>'Tableau NUMERIQUE'!A40</f>
        <v>0</v>
      </c>
      <c r="B41" s="719" t="s">
        <v>56</v>
      </c>
      <c r="C41" s="715" t="s">
        <v>65</v>
      </c>
      <c r="D41" s="584">
        <f>IFERROR(
  'Tableau NUMERIQUE'!A31 *
    CHOOSE(
      MATCH('Tableau NUMERIQUE'!A31, {0;501;1001;2501;4001;6001}, 1),
      IF('Tableau NUMERIQUE'!B31="5,5x8,5", 'Tableau Façonnage Num'!B32,
         'Tableau Façonnage Num'!B30),
      IF('Tableau NUMERIQUE'!B31="5,5x8,5", 'Tableau Façonnage Num'!C32,
         'Tableau Façonnage Num'!C30),
      IF('Tableau NUMERIQUE'!B31="5,5x8,5", 'Tableau Façonnage Num'!D32,
         'Tableau Façonnage Num'!D30),
      IF('Tableau NUMERIQUE'!B31="5,5x8,5", 'Tableau Façonnage Num'!E32,
         'Tableau Façonnage Num'!E30),
      IF('Tableau NUMERIQUE'!B31="5,5x8,5", 'Tableau Façonnage Num'!F32,
         'Tableau Façonnage Num'!F30)
    )
  +
  IF('Tableau NUMERIQUE'!B31="5,5x8,5", 'Tableau Façonnage Num'!G32,
     'Tableau Façonnage Num'!G30),
  0
)</f>
        <v>10</v>
      </c>
      <c r="F41" s="42"/>
      <c r="H41" s="391">
        <f>'Tableau NUMERIQUE'!A33</f>
        <v>0</v>
      </c>
      <c r="I41" s="372"/>
      <c r="J41" s="372"/>
    </row>
    <row r="42" spans="1:11" ht="16.5" thickBot="1">
      <c r="B42" s="720"/>
      <c r="C42" s="716"/>
      <c r="D42" s="590"/>
      <c r="F42" s="42"/>
      <c r="H42" s="324">
        <f>'Tableau NUMERIQUE'!A34</f>
        <v>0</v>
      </c>
      <c r="I42" s="393"/>
      <c r="J42" s="372"/>
    </row>
    <row r="43" spans="1:11" ht="16.5" thickBot="1">
      <c r="A43" s="725" t="s">
        <v>49</v>
      </c>
      <c r="B43" s="82" t="s">
        <v>83</v>
      </c>
      <c r="C43" s="83" t="s">
        <v>84</v>
      </c>
      <c r="D43" s="84" t="s">
        <v>82</v>
      </c>
      <c r="E43" s="86" t="s">
        <v>86</v>
      </c>
      <c r="F43" s="42"/>
      <c r="H43" s="124" t="str">
        <f>'Tableau NUMERIQUE'!A37</f>
        <v>Type de produit</v>
      </c>
      <c r="I43" s="124" t="str">
        <f>'Tableau NUMERIQUE'!B37</f>
        <v>Type de pli principal</v>
      </c>
      <c r="J43" s="372"/>
      <c r="K43" s="372"/>
    </row>
    <row r="44" spans="1:11" ht="15.75">
      <c r="A44" s="725"/>
      <c r="B44" s="81">
        <v>0</v>
      </c>
      <c r="C44" s="79"/>
      <c r="D44" s="88">
        <v>0</v>
      </c>
      <c r="E44" s="80" t="e">
        <f>(B44*'Tableau NUMERIQUE'!A55)/1000</f>
        <v>#VALUE!</v>
      </c>
      <c r="F44" s="42"/>
      <c r="H44" s="324">
        <f>'Tableau NUMERIQUE'!A38</f>
        <v>0</v>
      </c>
      <c r="I44" s="329">
        <f>'Tableau NUMERIQUE'!B38</f>
        <v>0</v>
      </c>
      <c r="J44" s="394"/>
      <c r="K44" s="372"/>
    </row>
    <row r="45" spans="1:11" ht="15.75">
      <c r="A45" s="725"/>
      <c r="B45" s="81">
        <v>0</v>
      </c>
      <c r="C45" s="79"/>
      <c r="D45" s="85">
        <v>0</v>
      </c>
      <c r="E45" s="80" t="e">
        <f>(B45*'Tableau NUMERIQUE'!A55)/1000</f>
        <v>#VALUE!</v>
      </c>
      <c r="F45" s="42"/>
      <c r="H45" s="124" t="e">
        <f>'Tableau NUMERIQUE'!#REF!</f>
        <v>#REF!</v>
      </c>
      <c r="I45" s="411" t="str">
        <f>'Tableau NUMERIQUE'!A39</f>
        <v>Nombre de boîte cristal</v>
      </c>
      <c r="J45" s="394"/>
      <c r="K45" s="372"/>
    </row>
    <row r="46" spans="1:11" ht="16.5" thickBot="1">
      <c r="A46" s="725"/>
      <c r="B46" s="81">
        <v>0</v>
      </c>
      <c r="C46" s="79"/>
      <c r="D46" s="89">
        <v>0</v>
      </c>
      <c r="E46" s="80" t="e">
        <f>(B46*'Tableau NUMERIQUE'!A55)/1000</f>
        <v>#VALUE!</v>
      </c>
      <c r="F46" s="42"/>
      <c r="H46" s="324" t="e">
        <f>'Tableau NUMERIQUE'!#REF!</f>
        <v>#REF!</v>
      </c>
      <c r="I46" s="329">
        <f>'Tableau NUMERIQUE'!A40</f>
        <v>0</v>
      </c>
      <c r="J46" s="395"/>
      <c r="K46" s="396"/>
    </row>
    <row r="47" spans="1:11" ht="15.75" thickBot="1">
      <c r="B47" s="721" t="s">
        <v>44</v>
      </c>
      <c r="C47" s="722"/>
      <c r="D47" s="46" t="e">
        <f>(D33)*1.5+(D34*1.15)</f>
        <v>#VALUE!</v>
      </c>
      <c r="E47" s="90" t="s">
        <v>74</v>
      </c>
      <c r="F47" s="43"/>
    </row>
    <row r="48" spans="1:11" ht="15.75" thickBot="1">
      <c r="B48" s="713" t="s">
        <v>48</v>
      </c>
      <c r="C48" s="714"/>
      <c r="D48" s="91" t="e">
        <f>IF((D47+D46+D45+D44+D41+D38+D37+D36+D40)&lt;E48,25,(D47+D46+D45+D44+D41+D38+D37+D36+D40))*1.15+5+(A39*2.5)+(A41*0.45)</f>
        <v>#VALUE!</v>
      </c>
      <c r="E48" s="69">
        <v>25</v>
      </c>
    </row>
    <row r="49" spans="1:5">
      <c r="A49" s="152" t="s">
        <v>140</v>
      </c>
      <c r="B49" s="153"/>
      <c r="C49" s="154"/>
      <c r="D49" s="155">
        <v>10</v>
      </c>
      <c r="E49" s="156"/>
    </row>
  </sheetData>
  <sheetProtection algorithmName="SHA-512" hashValue="2kEVCztCnBqa5eco7URwgdRf9M9QqYF2dQwpZuoPkq7pMbmYD7V5qxfVfC3wG4v3j1TnuXUwrP5h5MZEynGKTw==" saltValue="mah7UH1Rov0slSUCmbTHBg==" spinCount="100000" sheet="1" selectLockedCells="1" selectUnlockedCells="1"/>
  <mergeCells count="27">
    <mergeCell ref="B1:C1"/>
    <mergeCell ref="E2:E5"/>
    <mergeCell ref="B9:B11"/>
    <mergeCell ref="B2:C2"/>
    <mergeCell ref="B6:C8"/>
    <mergeCell ref="B3:C3"/>
    <mergeCell ref="B4:C4"/>
    <mergeCell ref="B5:C5"/>
    <mergeCell ref="D6:D7"/>
    <mergeCell ref="E33:E34"/>
    <mergeCell ref="B14:C14"/>
    <mergeCell ref="B20:C20"/>
    <mergeCell ref="B21:C21"/>
    <mergeCell ref="B22:C22"/>
    <mergeCell ref="B12:B13"/>
    <mergeCell ref="A15:A18"/>
    <mergeCell ref="B48:C48"/>
    <mergeCell ref="C41:C42"/>
    <mergeCell ref="B38:C38"/>
    <mergeCell ref="B41:B42"/>
    <mergeCell ref="B47:C47"/>
    <mergeCell ref="B39:B40"/>
    <mergeCell ref="A43:A46"/>
    <mergeCell ref="B32:C32"/>
    <mergeCell ref="B33:C33"/>
    <mergeCell ref="B34:C34"/>
    <mergeCell ref="B35:C36"/>
  </mergeCells>
  <dataValidations count="11">
    <dataValidation allowBlank="1" showInputMessage="1" showErrorMessage="1" promptTitle="Numéro du département" prompt="Saisir le numéro du département pour la lettre de devis dans chaque case (si plusieurs points)_x000a_" sqref="C16:C19 C44:C46 C49" xr:uid="{00000000-0002-0000-0200-000000000000}"/>
    <dataValidation allowBlank="1" showInputMessage="1" showErrorMessage="1" promptTitle="INFO" prompt="Le temps machine est le suivant : 10 000 feuilles par heure_x000a_" sqref="B37" xr:uid="{00000000-0002-0000-0200-000001000000}"/>
    <dataValidation allowBlank="1" showErrorMessage="1" prompt="_x000a_" sqref="C37" xr:uid="{00000000-0002-0000-0200-000002000000}"/>
    <dataValidation allowBlank="1" showInputMessage="1" showErrorMessage="1" promptTitle="INFO" prompt="Nb de paquets signifie le type de conditionnement, si il y a 50 paquets, le calcul est : 0,25 / paquet + 10 € coût fixe" sqref="C39 C12" xr:uid="{00000000-0002-0000-0200-000003000000}"/>
    <dataValidation allowBlank="1" showInputMessage="1" showErrorMessage="1" promptTitle="INFO" prompt="Tarif final avec le coefficient en % appliqué en + ou en -_x000a_" sqref="D22" xr:uid="{00000000-0002-0000-0200-000004000000}"/>
    <dataValidation allowBlank="1" showInputMessage="1" showErrorMessage="1" promptTitle="INFO" prompt="Le temps machine est le suivant : 4000 clic / heure_x000a_" sqref="B6:C8 B35:C36" xr:uid="{00000000-0002-0000-0200-000005000000}"/>
    <dataValidation allowBlank="1" showInputMessage="1" showErrorMessage="1" promptTitle="INFO" prompt="Le calcul de cette cellule prends en compte le Prix coûtant et le multiplie par 1,50_x000a_" sqref="B20:C20 B47:C47" xr:uid="{00000000-0002-0000-0200-000006000000}"/>
    <dataValidation allowBlank="1" showInputMessage="1" showErrorMessage="1" promptTitle="Info" prompt="Il faut calculer manuellement par rapport à la répartition de chaque point et généralement marger à 25% sur le prix transporteur." sqref="A15 A43" xr:uid="{00000000-0002-0000-0200-000007000000}"/>
    <dataValidation allowBlank="1" showInputMessage="1" showErrorMessage="1" prompt="Le tx de marque équivaut à Marge/CA" sqref="E10 E38" xr:uid="{C4E03467-EAA0-42AA-9FC9-C78644921F93}"/>
    <dataValidation allowBlank="1" showInputMessage="1" showErrorMessage="1" promptTitle="Taux de Marque" prompt="Le tx de marque équivaut à Marge/CA" sqref="E9 E37" xr:uid="{0E5BBCF1-7B58-488C-B734-A2A63C06EE43}"/>
    <dataValidation allowBlank="1" showInputMessage="1" showErrorMessage="1" promptTitle="Marge sur clic + papier" sqref="E20" xr:uid="{10043C19-E43C-49A7-B631-99D180711CB6}"/>
  </dataValidations>
  <pageMargins left="0.7" right="0.7" top="0.75" bottom="0.75" header="0.3" footer="0.3"/>
  <pageSetup paperSize="0" orientation="portrait" horizontalDpi="0" verticalDpi="0" copies="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6" tint="0.59999389629810485"/>
  </sheetPr>
  <dimension ref="A1:R80"/>
  <sheetViews>
    <sheetView workbookViewId="0">
      <selection activeCell="J11" sqref="J11"/>
    </sheetView>
  </sheetViews>
  <sheetFormatPr baseColWidth="10" defaultRowHeight="15"/>
  <cols>
    <col min="1" max="1" width="18" customWidth="1"/>
    <col min="4" max="4" width="17.42578125" customWidth="1"/>
    <col min="5" max="7" width="18.7109375" customWidth="1"/>
    <col min="8" max="8" width="25.5703125" customWidth="1"/>
    <col min="9" max="9" width="24" customWidth="1"/>
    <col min="10" max="10" width="26.85546875" customWidth="1"/>
    <col min="13" max="13" width="15.42578125" customWidth="1"/>
    <col min="14" max="14" width="14.28515625" customWidth="1"/>
  </cols>
  <sheetData>
    <row r="1" spans="1:15">
      <c r="A1" s="757" t="s">
        <v>740</v>
      </c>
      <c r="B1" s="757"/>
      <c r="C1" s="757"/>
      <c r="D1" s="757"/>
      <c r="E1" s="26"/>
      <c r="F1" s="26"/>
      <c r="G1" s="26"/>
    </row>
    <row r="2" spans="1:15">
      <c r="G2" s="1" t="s">
        <v>724</v>
      </c>
      <c r="H2" s="1" t="s">
        <v>654</v>
      </c>
    </row>
    <row r="3" spans="1:15" ht="42.95" customHeight="1">
      <c r="A3" s="140" t="s">
        <v>11</v>
      </c>
      <c r="B3" s="141" t="s">
        <v>12</v>
      </c>
      <c r="C3" s="520" t="s">
        <v>964</v>
      </c>
      <c r="D3" s="210" t="s">
        <v>667</v>
      </c>
      <c r="E3" s="210" t="s">
        <v>668</v>
      </c>
      <c r="F3" s="210" t="s">
        <v>812</v>
      </c>
      <c r="G3" s="139" t="s">
        <v>695</v>
      </c>
      <c r="H3" s="139" t="s">
        <v>696</v>
      </c>
      <c r="I3" s="139" t="s">
        <v>183</v>
      </c>
      <c r="J3" s="139" t="s">
        <v>653</v>
      </c>
      <c r="K3" s="139" t="s">
        <v>131</v>
      </c>
      <c r="L3" s="139" t="s">
        <v>135</v>
      </c>
      <c r="M3" s="138" t="s">
        <v>133</v>
      </c>
      <c r="N3" s="138" t="s">
        <v>134</v>
      </c>
      <c r="O3" s="366" t="s">
        <v>957</v>
      </c>
    </row>
    <row r="4" spans="1:15" ht="17.45" customHeight="1">
      <c r="A4" s="77">
        <v>70</v>
      </c>
      <c r="B4" s="1">
        <v>11.25</v>
      </c>
      <c r="C4" s="1">
        <v>40.32</v>
      </c>
      <c r="D4" s="158">
        <v>41.86</v>
      </c>
      <c r="E4" s="158">
        <v>49.98</v>
      </c>
      <c r="F4" s="158">
        <v>51.41</v>
      </c>
      <c r="G4" s="295"/>
      <c r="H4" s="295"/>
      <c r="I4" s="295"/>
      <c r="J4" s="297">
        <v>1.4</v>
      </c>
      <c r="K4" s="142">
        <v>1.1599999999999999</v>
      </c>
      <c r="L4" s="139"/>
      <c r="M4" s="138"/>
      <c r="N4" s="138"/>
      <c r="O4" s="1"/>
    </row>
    <row r="5" spans="1:15">
      <c r="A5" s="77">
        <v>80</v>
      </c>
      <c r="B5" s="1">
        <v>12.86</v>
      </c>
      <c r="C5" s="1">
        <v>46.08</v>
      </c>
      <c r="D5" s="1">
        <v>47.8</v>
      </c>
      <c r="E5" s="1">
        <v>57.1</v>
      </c>
      <c r="F5" s="1">
        <v>58.75</v>
      </c>
      <c r="G5" s="142">
        <v>1.1499999999999999</v>
      </c>
      <c r="H5" s="142">
        <v>1.1499999999999999</v>
      </c>
      <c r="I5" s="142">
        <v>1.1499999999999999</v>
      </c>
      <c r="J5" s="142">
        <v>1.4</v>
      </c>
      <c r="K5" s="142">
        <v>1.1499999999999999</v>
      </c>
      <c r="L5" s="142"/>
      <c r="M5" s="142">
        <v>2.4</v>
      </c>
      <c r="N5" s="142">
        <v>2.4</v>
      </c>
      <c r="O5" s="48">
        <v>1.6</v>
      </c>
    </row>
    <row r="6" spans="1:15">
      <c r="A6" s="1">
        <v>90</v>
      </c>
      <c r="B6" s="1">
        <v>14.46</v>
      </c>
      <c r="C6" s="1">
        <v>51.84</v>
      </c>
      <c r="D6" s="1">
        <v>53.8</v>
      </c>
      <c r="E6" s="1">
        <v>64.3</v>
      </c>
      <c r="F6" s="1">
        <v>66.099999999999994</v>
      </c>
      <c r="G6" s="142">
        <v>1</v>
      </c>
      <c r="H6" s="142">
        <v>1</v>
      </c>
      <c r="I6" s="142">
        <v>1</v>
      </c>
      <c r="J6" s="142">
        <v>1.4</v>
      </c>
      <c r="K6" s="142">
        <v>1.1499999999999999</v>
      </c>
      <c r="L6" s="142"/>
      <c r="M6" s="142">
        <v>2.4</v>
      </c>
      <c r="N6" s="142">
        <v>2.4</v>
      </c>
      <c r="O6" s="48">
        <v>1.6</v>
      </c>
    </row>
    <row r="7" spans="1:15">
      <c r="A7" s="1">
        <v>100</v>
      </c>
      <c r="B7" s="1">
        <v>16.07</v>
      </c>
      <c r="C7" s="1">
        <v>57.6</v>
      </c>
      <c r="D7" s="1">
        <v>59.8</v>
      </c>
      <c r="E7" s="1">
        <v>71.400000000000006</v>
      </c>
      <c r="F7" s="1">
        <v>73.44</v>
      </c>
      <c r="G7" s="142">
        <v>1</v>
      </c>
      <c r="H7" s="142">
        <v>1</v>
      </c>
      <c r="I7" s="142">
        <v>1</v>
      </c>
      <c r="J7" s="142">
        <v>1.5</v>
      </c>
      <c r="K7" s="142">
        <v>1.25</v>
      </c>
      <c r="L7" s="142"/>
      <c r="M7" s="142"/>
      <c r="N7" s="142"/>
      <c r="O7" s="1"/>
    </row>
    <row r="8" spans="1:15">
      <c r="A8" s="1">
        <v>110</v>
      </c>
      <c r="B8" s="1">
        <v>17.68</v>
      </c>
      <c r="C8" s="1">
        <v>63.36</v>
      </c>
      <c r="D8" s="1">
        <v>65.78</v>
      </c>
      <c r="E8" s="1">
        <v>78.540000000000006</v>
      </c>
      <c r="F8" s="1">
        <v>80.78</v>
      </c>
      <c r="G8" s="142"/>
      <c r="H8" s="142"/>
      <c r="I8" s="142"/>
      <c r="J8" s="142">
        <v>1.5</v>
      </c>
      <c r="K8" s="142">
        <v>1.25</v>
      </c>
      <c r="L8" s="142"/>
      <c r="M8" s="142"/>
      <c r="N8" s="142"/>
      <c r="O8" s="1"/>
    </row>
    <row r="9" spans="1:15">
      <c r="A9" s="1">
        <v>115</v>
      </c>
      <c r="B9" s="1">
        <v>18.48</v>
      </c>
      <c r="C9" s="1">
        <v>66.239999999999995</v>
      </c>
      <c r="D9" s="1">
        <v>68.8</v>
      </c>
      <c r="E9" s="1">
        <v>82.1</v>
      </c>
      <c r="F9" s="1">
        <v>84.45</v>
      </c>
      <c r="G9" s="142">
        <v>1</v>
      </c>
      <c r="H9" s="142">
        <v>1</v>
      </c>
      <c r="I9" s="142">
        <v>1</v>
      </c>
      <c r="J9" s="142">
        <v>1.5</v>
      </c>
      <c r="K9" s="142">
        <v>1.25</v>
      </c>
      <c r="L9" s="142"/>
      <c r="M9" s="142"/>
      <c r="N9" s="142"/>
      <c r="O9" s="1"/>
    </row>
    <row r="10" spans="1:15">
      <c r="A10" s="1">
        <v>120</v>
      </c>
      <c r="B10" s="1">
        <v>19.29</v>
      </c>
      <c r="C10" s="1">
        <v>69.12</v>
      </c>
      <c r="D10" s="1">
        <v>71.760000000000005</v>
      </c>
      <c r="E10" s="1">
        <v>85.68</v>
      </c>
      <c r="F10" s="1">
        <v>88.13</v>
      </c>
      <c r="G10" s="142"/>
      <c r="H10" s="142"/>
      <c r="I10" s="142"/>
      <c r="J10" s="142">
        <v>1.5</v>
      </c>
      <c r="K10" s="142">
        <v>1.25</v>
      </c>
      <c r="L10" s="142"/>
      <c r="M10" s="142"/>
      <c r="N10" s="142"/>
      <c r="O10" s="1"/>
    </row>
    <row r="11" spans="1:15">
      <c r="A11" s="1">
        <v>130</v>
      </c>
      <c r="B11" s="1">
        <v>20.89</v>
      </c>
      <c r="C11" s="1">
        <v>74.88</v>
      </c>
      <c r="D11" s="1">
        <v>77.739999999999995</v>
      </c>
      <c r="E11" s="1">
        <v>92.82</v>
      </c>
      <c r="F11" s="1">
        <v>95.47</v>
      </c>
      <c r="G11" s="142">
        <v>1</v>
      </c>
      <c r="H11" s="142">
        <v>1</v>
      </c>
      <c r="I11" s="142">
        <v>1</v>
      </c>
      <c r="J11" s="142">
        <v>1.405</v>
      </c>
      <c r="K11" s="142"/>
      <c r="L11" s="142"/>
      <c r="M11" s="142"/>
      <c r="N11" s="142"/>
      <c r="O11" s="1"/>
    </row>
    <row r="12" spans="1:15">
      <c r="A12" s="1">
        <v>135</v>
      </c>
      <c r="B12" s="1">
        <v>21.7</v>
      </c>
      <c r="C12" s="1">
        <v>77.760000000000005</v>
      </c>
      <c r="D12" s="1">
        <v>80.7</v>
      </c>
      <c r="E12" s="1">
        <v>96.4</v>
      </c>
      <c r="F12" s="1">
        <v>99.14</v>
      </c>
      <c r="G12" s="142">
        <v>1</v>
      </c>
      <c r="H12" s="142">
        <v>1</v>
      </c>
      <c r="I12" s="142">
        <v>1</v>
      </c>
      <c r="J12" s="142">
        <v>1.5</v>
      </c>
      <c r="K12" s="142"/>
      <c r="L12" s="142"/>
      <c r="M12" s="142"/>
      <c r="N12" s="142"/>
      <c r="O12" s="1"/>
    </row>
    <row r="13" spans="1:15">
      <c r="A13" s="1">
        <v>150</v>
      </c>
      <c r="B13" s="1">
        <v>24.11</v>
      </c>
      <c r="C13" s="1">
        <v>86.4</v>
      </c>
      <c r="D13" s="1">
        <v>89.7</v>
      </c>
      <c r="E13" s="1">
        <v>107.1</v>
      </c>
      <c r="F13" s="1">
        <v>110.16</v>
      </c>
      <c r="G13" s="142">
        <v>1</v>
      </c>
      <c r="H13" s="142">
        <v>1</v>
      </c>
      <c r="I13" s="142">
        <v>1</v>
      </c>
      <c r="J13" s="142"/>
      <c r="K13" s="142"/>
      <c r="L13" s="142"/>
      <c r="M13" s="142"/>
      <c r="N13" s="142"/>
      <c r="O13" s="1"/>
    </row>
    <row r="14" spans="1:15">
      <c r="A14" s="1">
        <v>170</v>
      </c>
      <c r="B14" s="1">
        <v>27.32</v>
      </c>
      <c r="C14" s="1">
        <v>97.92</v>
      </c>
      <c r="D14" s="1">
        <v>101.7</v>
      </c>
      <c r="E14" s="1">
        <v>121.4</v>
      </c>
      <c r="F14" s="1">
        <v>124.85</v>
      </c>
      <c r="G14" s="142">
        <v>1</v>
      </c>
      <c r="H14" s="142">
        <v>1</v>
      </c>
      <c r="I14" s="142">
        <v>1</v>
      </c>
      <c r="J14" s="142"/>
      <c r="K14" s="142"/>
      <c r="L14" s="142"/>
      <c r="M14" s="142"/>
      <c r="N14" s="142"/>
      <c r="O14" s="1"/>
    </row>
    <row r="15" spans="1:15">
      <c r="A15" s="1">
        <v>200</v>
      </c>
      <c r="B15" s="1">
        <v>32.14</v>
      </c>
      <c r="C15" s="1">
        <v>115.2</v>
      </c>
      <c r="D15" s="1">
        <v>119.6</v>
      </c>
      <c r="E15" s="1">
        <v>142.80000000000001</v>
      </c>
      <c r="F15" s="1">
        <v>146.88</v>
      </c>
      <c r="G15" s="142">
        <v>1</v>
      </c>
      <c r="H15" s="142">
        <v>1</v>
      </c>
      <c r="I15" s="142">
        <v>1</v>
      </c>
      <c r="J15" s="142"/>
      <c r="K15" s="142"/>
      <c r="L15" s="142"/>
      <c r="M15" s="142"/>
      <c r="N15" s="142"/>
      <c r="O15" s="1"/>
    </row>
    <row r="16" spans="1:15">
      <c r="A16" s="1">
        <v>220</v>
      </c>
      <c r="B16" s="1">
        <v>35.36</v>
      </c>
      <c r="C16" s="1">
        <v>126.72</v>
      </c>
      <c r="D16" s="1">
        <v>131.56</v>
      </c>
      <c r="E16" s="1">
        <v>157.08000000000001</v>
      </c>
      <c r="F16" s="1">
        <v>161.57</v>
      </c>
      <c r="G16" s="142"/>
      <c r="H16" s="142"/>
      <c r="I16" s="142"/>
      <c r="J16" s="142"/>
      <c r="K16" s="142"/>
      <c r="L16" s="142"/>
      <c r="M16" s="142"/>
      <c r="N16" s="142"/>
      <c r="O16" s="1"/>
    </row>
    <row r="17" spans="1:18">
      <c r="A17" s="1">
        <v>240</v>
      </c>
      <c r="B17" s="1">
        <v>38.57</v>
      </c>
      <c r="C17" s="1">
        <v>138.24</v>
      </c>
      <c r="D17" s="1">
        <v>143.5</v>
      </c>
      <c r="E17" s="1">
        <v>171.4</v>
      </c>
      <c r="F17" s="1">
        <v>176.26</v>
      </c>
      <c r="G17" s="142"/>
      <c r="H17" s="142"/>
      <c r="I17" s="142"/>
      <c r="J17" s="142"/>
      <c r="K17" s="142"/>
      <c r="L17" s="142">
        <v>1.29</v>
      </c>
      <c r="M17" s="142"/>
      <c r="N17" s="142"/>
      <c r="O17" s="1"/>
    </row>
    <row r="18" spans="1:18">
      <c r="A18" s="1">
        <v>250</v>
      </c>
      <c r="B18" s="1">
        <v>40.18</v>
      </c>
      <c r="C18" s="1">
        <v>144</v>
      </c>
      <c r="D18" s="1">
        <v>149.5</v>
      </c>
      <c r="E18" s="1">
        <v>178.5</v>
      </c>
      <c r="F18" s="1">
        <v>183.6</v>
      </c>
      <c r="G18" s="142">
        <v>1</v>
      </c>
      <c r="H18" s="142">
        <v>1</v>
      </c>
      <c r="I18" s="142">
        <v>1</v>
      </c>
      <c r="J18" s="142"/>
      <c r="K18" s="142">
        <v>1.5</v>
      </c>
      <c r="L18" s="142"/>
      <c r="M18" s="142"/>
      <c r="N18" s="142"/>
      <c r="O18" s="1"/>
    </row>
    <row r="19" spans="1:18">
      <c r="A19" s="1">
        <v>300</v>
      </c>
      <c r="B19" s="1">
        <v>48.21</v>
      </c>
      <c r="C19" s="1">
        <v>172.8</v>
      </c>
      <c r="D19" s="1">
        <v>179.4</v>
      </c>
      <c r="E19" s="1">
        <v>214.2</v>
      </c>
      <c r="F19" s="1">
        <v>220.32</v>
      </c>
      <c r="G19" s="142">
        <v>1</v>
      </c>
      <c r="H19" s="142">
        <v>1</v>
      </c>
      <c r="I19" s="142">
        <v>1</v>
      </c>
      <c r="J19" s="142"/>
      <c r="K19" s="142"/>
      <c r="L19" s="142">
        <v>1.29</v>
      </c>
      <c r="M19" s="142"/>
      <c r="N19" s="142"/>
      <c r="O19" s="1"/>
    </row>
    <row r="20" spans="1:18">
      <c r="A20" s="1">
        <v>350</v>
      </c>
      <c r="B20" s="1">
        <v>56.25</v>
      </c>
      <c r="C20" s="1">
        <v>201.6</v>
      </c>
      <c r="D20" s="1">
        <v>209.3</v>
      </c>
      <c r="E20" s="1">
        <v>249.9</v>
      </c>
      <c r="F20" s="1">
        <v>257.04000000000002</v>
      </c>
      <c r="G20" s="142">
        <v>1</v>
      </c>
      <c r="H20" s="142">
        <v>1</v>
      </c>
      <c r="I20" s="142">
        <v>1</v>
      </c>
      <c r="J20" s="142"/>
      <c r="K20" s="142"/>
      <c r="L20" s="142">
        <v>1.29</v>
      </c>
      <c r="M20" s="142"/>
      <c r="N20" s="142"/>
      <c r="O20" s="1"/>
    </row>
    <row r="21" spans="1:18">
      <c r="A21" s="1">
        <v>400</v>
      </c>
      <c r="B21" s="1">
        <v>64.28</v>
      </c>
      <c r="C21" s="1">
        <v>230.4</v>
      </c>
      <c r="D21" s="1">
        <v>239.2</v>
      </c>
      <c r="E21" s="1">
        <v>285.60000000000002</v>
      </c>
      <c r="F21" s="1">
        <v>293.76</v>
      </c>
      <c r="G21" s="142">
        <v>1.63</v>
      </c>
      <c r="H21" s="142">
        <v>1.63</v>
      </c>
      <c r="I21" s="142">
        <v>1.63</v>
      </c>
      <c r="J21" s="142"/>
      <c r="K21" s="142"/>
      <c r="L21" s="142"/>
      <c r="M21" s="142"/>
      <c r="N21" s="142"/>
      <c r="O21" s="1"/>
    </row>
    <row r="22" spans="1:18">
      <c r="A22" s="760" t="s">
        <v>685</v>
      </c>
      <c r="B22" s="760"/>
      <c r="C22" s="760"/>
      <c r="D22" s="760"/>
      <c r="E22" s="760"/>
      <c r="F22" s="760"/>
      <c r="G22" s="760"/>
      <c r="H22" s="760"/>
      <c r="I22" s="760"/>
      <c r="J22" s="760"/>
      <c r="K22" s="760"/>
      <c r="L22" s="760"/>
      <c r="M22" s="760"/>
      <c r="N22" s="760"/>
      <c r="O22" s="760"/>
      <c r="P22" s="760"/>
      <c r="Q22" s="760"/>
      <c r="R22" s="760"/>
    </row>
    <row r="23" spans="1:18">
      <c r="A23" s="760"/>
      <c r="B23" s="760"/>
      <c r="C23" s="760"/>
      <c r="D23" s="760"/>
      <c r="E23" s="760"/>
      <c r="F23" s="760"/>
      <c r="G23" s="760"/>
      <c r="H23" s="760"/>
      <c r="I23" s="760"/>
      <c r="J23" s="760"/>
      <c r="K23" s="760"/>
      <c r="L23" s="760"/>
      <c r="M23" s="760"/>
      <c r="N23" s="760"/>
      <c r="O23" s="760"/>
      <c r="P23" s="760"/>
      <c r="Q23" s="760"/>
      <c r="R23" s="760"/>
    </row>
    <row r="24" spans="1:18" ht="18.75">
      <c r="A24" s="758" t="s">
        <v>143</v>
      </c>
      <c r="B24" s="758"/>
      <c r="C24" s="758"/>
    </row>
    <row r="25" spans="1:18">
      <c r="A25" s="1"/>
      <c r="B25" s="1"/>
      <c r="C25" s="1"/>
    </row>
    <row r="26" spans="1:18">
      <c r="A26" s="160" t="s">
        <v>135</v>
      </c>
      <c r="B26" s="160" t="s">
        <v>132</v>
      </c>
      <c r="C26" s="160" t="s">
        <v>932</v>
      </c>
      <c r="D26" s="160" t="s">
        <v>642</v>
      </c>
      <c r="E26" s="298" t="s">
        <v>656</v>
      </c>
      <c r="F26" s="160" t="s">
        <v>657</v>
      </c>
      <c r="G26" s="160" t="s">
        <v>691</v>
      </c>
      <c r="H26" s="160" t="s">
        <v>692</v>
      </c>
    </row>
    <row r="27" spans="1:18">
      <c r="A27" s="159"/>
      <c r="B27" s="159">
        <v>115</v>
      </c>
      <c r="C27" s="1"/>
      <c r="D27" s="1">
        <v>115</v>
      </c>
      <c r="E27" s="1">
        <v>100</v>
      </c>
      <c r="F27" s="159">
        <v>115</v>
      </c>
      <c r="G27" s="159">
        <v>115</v>
      </c>
      <c r="H27" s="159">
        <v>115</v>
      </c>
      <c r="L27" s="495" t="s">
        <v>920</v>
      </c>
      <c r="M27" s="496" t="s">
        <v>921</v>
      </c>
      <c r="N27" s="496" t="s">
        <v>922</v>
      </c>
      <c r="O27" s="496" t="s">
        <v>923</v>
      </c>
      <c r="P27" s="496" t="s">
        <v>924</v>
      </c>
    </row>
    <row r="28" spans="1:18">
      <c r="A28" s="159"/>
      <c r="B28" s="159">
        <v>135</v>
      </c>
      <c r="C28" s="1"/>
      <c r="D28" s="1">
        <v>120</v>
      </c>
      <c r="E28" s="1">
        <v>110</v>
      </c>
      <c r="F28" s="159">
        <v>135</v>
      </c>
      <c r="G28" s="159">
        <v>135</v>
      </c>
      <c r="H28" s="159">
        <v>135</v>
      </c>
      <c r="L28" s="159">
        <v>80</v>
      </c>
      <c r="M28" s="159">
        <v>80</v>
      </c>
      <c r="N28" s="159">
        <v>240</v>
      </c>
      <c r="O28" s="158">
        <v>70</v>
      </c>
      <c r="P28" s="77">
        <v>70</v>
      </c>
    </row>
    <row r="29" spans="1:18">
      <c r="A29" s="159"/>
      <c r="B29" s="159">
        <v>150</v>
      </c>
      <c r="C29" s="1"/>
      <c r="D29" s="1">
        <v>130</v>
      </c>
      <c r="E29" s="1">
        <v>115</v>
      </c>
      <c r="F29" s="159">
        <v>150</v>
      </c>
      <c r="G29" s="159">
        <v>150</v>
      </c>
      <c r="H29" s="159">
        <v>150</v>
      </c>
      <c r="L29" s="159">
        <v>90</v>
      </c>
      <c r="M29" s="159">
        <v>90</v>
      </c>
      <c r="N29" s="159">
        <v>300</v>
      </c>
      <c r="O29" s="77">
        <v>80</v>
      </c>
      <c r="P29" s="77">
        <v>80</v>
      </c>
    </row>
    <row r="30" spans="1:18">
      <c r="A30" s="159"/>
      <c r="B30" s="159">
        <v>170</v>
      </c>
      <c r="C30" s="1"/>
      <c r="D30" s="1">
        <v>135</v>
      </c>
      <c r="E30" s="1">
        <v>120</v>
      </c>
      <c r="F30" s="159">
        <v>170</v>
      </c>
      <c r="G30" s="159">
        <v>170</v>
      </c>
      <c r="H30" s="159">
        <v>170</v>
      </c>
      <c r="L30" s="159">
        <v>100</v>
      </c>
      <c r="M30" s="159">
        <v>100</v>
      </c>
      <c r="N30" s="159">
        <v>350</v>
      </c>
      <c r="O30" s="1">
        <v>90</v>
      </c>
      <c r="P30" s="1">
        <v>90</v>
      </c>
    </row>
    <row r="31" spans="1:18">
      <c r="A31" s="159">
        <v>240</v>
      </c>
      <c r="B31" s="159">
        <v>200</v>
      </c>
      <c r="C31" s="1"/>
      <c r="D31" s="1">
        <v>150</v>
      </c>
      <c r="F31" s="159">
        <v>200</v>
      </c>
      <c r="G31" s="159">
        <v>200</v>
      </c>
      <c r="H31" s="159">
        <v>200</v>
      </c>
      <c r="L31" s="159">
        <v>115</v>
      </c>
      <c r="M31" s="159">
        <v>115</v>
      </c>
      <c r="O31" s="1">
        <v>100</v>
      </c>
      <c r="P31" s="1">
        <v>100</v>
      </c>
    </row>
    <row r="32" spans="1:18">
      <c r="A32" s="159">
        <v>300</v>
      </c>
      <c r="B32" s="159">
        <v>250</v>
      </c>
      <c r="C32" s="159">
        <v>250</v>
      </c>
      <c r="D32" s="1">
        <v>170</v>
      </c>
      <c r="F32" s="159">
        <v>250</v>
      </c>
      <c r="G32" s="159">
        <v>250</v>
      </c>
      <c r="H32" s="159">
        <v>250</v>
      </c>
      <c r="L32" s="159">
        <v>135</v>
      </c>
      <c r="M32" s="159">
        <v>250</v>
      </c>
      <c r="O32" s="1">
        <v>110</v>
      </c>
      <c r="P32" s="1">
        <v>110</v>
      </c>
    </row>
    <row r="33" spans="1:16">
      <c r="A33" s="159">
        <v>350</v>
      </c>
      <c r="B33" s="159">
        <v>300</v>
      </c>
      <c r="C33" s="1"/>
      <c r="D33" s="1">
        <v>200</v>
      </c>
      <c r="F33" s="159">
        <v>300</v>
      </c>
      <c r="G33" s="159">
        <v>300</v>
      </c>
      <c r="H33" s="159">
        <v>300</v>
      </c>
      <c r="L33" s="159">
        <v>150</v>
      </c>
      <c r="O33" s="1">
        <v>115</v>
      </c>
      <c r="P33" s="1">
        <v>115</v>
      </c>
    </row>
    <row r="34" spans="1:16">
      <c r="A34" s="159"/>
      <c r="B34" s="159">
        <v>350</v>
      </c>
      <c r="C34" s="1"/>
      <c r="D34" s="1">
        <v>220</v>
      </c>
      <c r="F34" s="159">
        <v>350</v>
      </c>
      <c r="G34" s="159">
        <v>350</v>
      </c>
      <c r="H34" s="159">
        <v>350</v>
      </c>
      <c r="L34" s="159">
        <v>170</v>
      </c>
      <c r="O34" s="1">
        <v>120</v>
      </c>
      <c r="P34" s="1">
        <v>120</v>
      </c>
    </row>
    <row r="35" spans="1:16">
      <c r="A35" s="159"/>
      <c r="B35" s="159">
        <v>400</v>
      </c>
      <c r="C35" s="1"/>
      <c r="D35" s="1">
        <v>240</v>
      </c>
      <c r="F35" s="159">
        <v>400</v>
      </c>
      <c r="G35" s="159">
        <v>400</v>
      </c>
      <c r="H35" s="159">
        <v>400</v>
      </c>
      <c r="L35" s="159">
        <v>200</v>
      </c>
      <c r="O35" s="1">
        <v>130</v>
      </c>
    </row>
    <row r="36" spans="1:16">
      <c r="D36" s="1">
        <v>250</v>
      </c>
      <c r="L36" s="159">
        <v>250</v>
      </c>
      <c r="O36" s="1">
        <v>135</v>
      </c>
    </row>
    <row r="37" spans="1:16">
      <c r="D37" s="1">
        <v>300</v>
      </c>
      <c r="L37" s="159">
        <v>300</v>
      </c>
      <c r="O37" s="1">
        <v>150</v>
      </c>
    </row>
    <row r="38" spans="1:16">
      <c r="D38" s="1">
        <v>350</v>
      </c>
      <c r="L38" s="159">
        <v>350</v>
      </c>
      <c r="O38" s="1">
        <v>170</v>
      </c>
    </row>
    <row r="39" spans="1:16">
      <c r="D39" s="1">
        <v>400</v>
      </c>
      <c r="L39" s="159">
        <v>400</v>
      </c>
      <c r="O39" s="1">
        <v>200</v>
      </c>
    </row>
    <row r="40" spans="1:16">
      <c r="O40" s="1">
        <v>220</v>
      </c>
    </row>
    <row r="41" spans="1:16" ht="18.75">
      <c r="A41" s="759" t="s">
        <v>144</v>
      </c>
      <c r="B41" s="759"/>
      <c r="C41" s="759"/>
      <c r="O41" s="1">
        <v>240</v>
      </c>
    </row>
    <row r="42" spans="1:16">
      <c r="O42" s="1">
        <v>250</v>
      </c>
    </row>
    <row r="43" spans="1:16">
      <c r="A43" s="154" t="s">
        <v>132</v>
      </c>
      <c r="B43" s="154" t="s">
        <v>142</v>
      </c>
      <c r="C43" s="154" t="s">
        <v>655</v>
      </c>
      <c r="D43" s="1" t="s">
        <v>697</v>
      </c>
      <c r="E43" s="1" t="s">
        <v>698</v>
      </c>
      <c r="F43" s="154" t="s">
        <v>643</v>
      </c>
      <c r="G43" s="154" t="s">
        <v>183</v>
      </c>
      <c r="H43" s="154" t="s">
        <v>689</v>
      </c>
      <c r="I43" s="154" t="s">
        <v>690</v>
      </c>
      <c r="J43" s="154" t="s">
        <v>958</v>
      </c>
      <c r="O43" s="1">
        <v>300</v>
      </c>
    </row>
    <row r="44" spans="1:16">
      <c r="A44" s="159">
        <v>80</v>
      </c>
      <c r="B44" s="159">
        <v>80</v>
      </c>
      <c r="C44" s="77">
        <v>70</v>
      </c>
      <c r="D44" s="77">
        <v>80</v>
      </c>
      <c r="E44" s="77">
        <v>80</v>
      </c>
      <c r="F44" s="158">
        <v>70</v>
      </c>
      <c r="G44" s="159">
        <v>80</v>
      </c>
      <c r="H44" s="159">
        <v>80</v>
      </c>
      <c r="I44" s="159">
        <v>80</v>
      </c>
      <c r="J44" s="159">
        <v>80</v>
      </c>
      <c r="O44" s="1">
        <v>350</v>
      </c>
    </row>
    <row r="45" spans="1:16">
      <c r="A45" s="159">
        <v>90</v>
      </c>
      <c r="B45" s="159">
        <v>90</v>
      </c>
      <c r="C45" s="77">
        <v>80</v>
      </c>
      <c r="D45" s="1">
        <v>90</v>
      </c>
      <c r="E45" s="1">
        <v>90</v>
      </c>
      <c r="F45" s="77">
        <v>80</v>
      </c>
      <c r="G45" s="159">
        <v>90</v>
      </c>
      <c r="H45" s="159">
        <v>90</v>
      </c>
      <c r="I45" s="159">
        <v>90</v>
      </c>
      <c r="J45" s="159">
        <v>90</v>
      </c>
      <c r="O45" s="1">
        <v>400</v>
      </c>
    </row>
    <row r="46" spans="1:16">
      <c r="A46" s="159">
        <v>100</v>
      </c>
      <c r="B46" s="159">
        <v>100</v>
      </c>
      <c r="C46" s="1">
        <v>90</v>
      </c>
      <c r="F46" s="1">
        <v>90</v>
      </c>
      <c r="G46" s="159">
        <v>100</v>
      </c>
      <c r="H46" s="159">
        <v>100</v>
      </c>
      <c r="I46" s="159">
        <v>100</v>
      </c>
    </row>
    <row r="47" spans="1:16">
      <c r="A47" s="159">
        <v>115</v>
      </c>
      <c r="B47" s="159">
        <v>110</v>
      </c>
      <c r="C47" s="1">
        <v>100</v>
      </c>
      <c r="F47" s="1">
        <v>100</v>
      </c>
      <c r="G47" s="159">
        <v>115</v>
      </c>
      <c r="H47" s="159">
        <v>115</v>
      </c>
      <c r="I47" s="159">
        <v>115</v>
      </c>
    </row>
    <row r="48" spans="1:16">
      <c r="A48" s="159">
        <v>135</v>
      </c>
      <c r="B48" s="159"/>
      <c r="C48" s="1">
        <v>110</v>
      </c>
      <c r="F48" s="1">
        <v>110</v>
      </c>
      <c r="G48" s="159">
        <v>135</v>
      </c>
      <c r="H48" s="159">
        <v>135</v>
      </c>
      <c r="I48" s="159">
        <v>135</v>
      </c>
    </row>
    <row r="49" spans="1:12">
      <c r="A49" s="159">
        <v>150</v>
      </c>
      <c r="B49" s="159"/>
      <c r="C49" s="1">
        <v>115</v>
      </c>
      <c r="F49" s="1">
        <v>115</v>
      </c>
      <c r="G49" s="159">
        <v>150</v>
      </c>
      <c r="H49" s="159">
        <v>150</v>
      </c>
      <c r="I49" s="159">
        <v>150</v>
      </c>
    </row>
    <row r="50" spans="1:12">
      <c r="A50" s="159">
        <v>170</v>
      </c>
      <c r="B50" s="159"/>
      <c r="C50" s="1">
        <v>120</v>
      </c>
      <c r="F50" s="1">
        <v>120</v>
      </c>
      <c r="G50" s="159">
        <v>170</v>
      </c>
      <c r="H50" s="159">
        <v>170</v>
      </c>
      <c r="I50" s="159">
        <v>170</v>
      </c>
    </row>
    <row r="51" spans="1:12">
      <c r="C51" s="269">
        <v>130</v>
      </c>
      <c r="F51" s="1">
        <v>130</v>
      </c>
    </row>
    <row r="52" spans="1:12">
      <c r="C52" s="269">
        <v>135</v>
      </c>
      <c r="F52" s="1">
        <v>135</v>
      </c>
    </row>
    <row r="53" spans="1:12">
      <c r="F53" s="1">
        <v>150</v>
      </c>
    </row>
    <row r="54" spans="1:12">
      <c r="F54" s="1">
        <v>170</v>
      </c>
    </row>
    <row r="57" spans="1:12">
      <c r="A57" t="s">
        <v>660</v>
      </c>
      <c r="I57" t="s">
        <v>663</v>
      </c>
    </row>
    <row r="58" spans="1:12">
      <c r="B58" t="s">
        <v>183</v>
      </c>
      <c r="C58" t="s">
        <v>662</v>
      </c>
      <c r="F58" t="s">
        <v>142</v>
      </c>
      <c r="I58" t="s">
        <v>653</v>
      </c>
      <c r="L58" t="s">
        <v>135</v>
      </c>
    </row>
    <row r="59" spans="1:12">
      <c r="A59" t="s">
        <v>11</v>
      </c>
      <c r="B59" t="s">
        <v>661</v>
      </c>
      <c r="C59" t="s">
        <v>661</v>
      </c>
      <c r="E59" t="s">
        <v>11</v>
      </c>
      <c r="F59" t="s">
        <v>661</v>
      </c>
      <c r="H59" t="s">
        <v>11</v>
      </c>
      <c r="I59" t="s">
        <v>661</v>
      </c>
      <c r="K59" t="s">
        <v>11</v>
      </c>
      <c r="L59" t="s">
        <v>661</v>
      </c>
    </row>
    <row r="60" spans="1:12">
      <c r="A60">
        <v>80</v>
      </c>
      <c r="B60">
        <v>0.6</v>
      </c>
      <c r="C60">
        <v>0.65</v>
      </c>
      <c r="E60">
        <v>80</v>
      </c>
      <c r="F60">
        <v>1</v>
      </c>
      <c r="H60">
        <v>80</v>
      </c>
      <c r="I60">
        <v>0.8</v>
      </c>
      <c r="K60">
        <v>240</v>
      </c>
      <c r="L60">
        <v>3.3</v>
      </c>
    </row>
    <row r="61" spans="1:12">
      <c r="A61">
        <v>90</v>
      </c>
      <c r="B61">
        <v>0.65</v>
      </c>
      <c r="C61">
        <v>0.72</v>
      </c>
      <c r="E61">
        <v>90</v>
      </c>
      <c r="F61">
        <v>1.1000000000000001</v>
      </c>
      <c r="H61">
        <v>90</v>
      </c>
      <c r="I61">
        <v>1</v>
      </c>
      <c r="K61">
        <v>300</v>
      </c>
      <c r="L61">
        <v>4.9000000000000004</v>
      </c>
    </row>
    <row r="62" spans="1:12">
      <c r="A62">
        <v>100</v>
      </c>
      <c r="B62">
        <v>0.8</v>
      </c>
      <c r="C62">
        <v>0.85</v>
      </c>
      <c r="E62">
        <v>100</v>
      </c>
      <c r="F62">
        <v>1.2</v>
      </c>
      <c r="H62">
        <v>115</v>
      </c>
      <c r="I62">
        <v>1.2</v>
      </c>
      <c r="K62">
        <v>350</v>
      </c>
      <c r="L62">
        <v>4.3</v>
      </c>
    </row>
    <row r="63" spans="1:12">
      <c r="A63">
        <v>115</v>
      </c>
      <c r="B63">
        <v>0.9</v>
      </c>
      <c r="C63">
        <v>0.95</v>
      </c>
      <c r="E63">
        <v>110</v>
      </c>
      <c r="F63">
        <v>1.3</v>
      </c>
      <c r="H63">
        <v>130</v>
      </c>
      <c r="I63">
        <v>1.3</v>
      </c>
    </row>
    <row r="64" spans="1:12">
      <c r="A64">
        <v>135</v>
      </c>
      <c r="B64">
        <v>1</v>
      </c>
      <c r="C64">
        <v>1.1000000000000001</v>
      </c>
      <c r="E64">
        <v>120</v>
      </c>
      <c r="F64">
        <v>1.4</v>
      </c>
      <c r="H64">
        <v>170</v>
      </c>
      <c r="I64">
        <v>1.7</v>
      </c>
    </row>
    <row r="65" spans="1:9">
      <c r="A65">
        <v>150</v>
      </c>
      <c r="B65">
        <v>1.2</v>
      </c>
      <c r="C65">
        <v>1.3</v>
      </c>
      <c r="E65">
        <v>130</v>
      </c>
      <c r="F65">
        <v>1.5</v>
      </c>
      <c r="H65">
        <v>200</v>
      </c>
      <c r="I65">
        <v>2</v>
      </c>
    </row>
    <row r="66" spans="1:9">
      <c r="A66">
        <v>170</v>
      </c>
      <c r="B66">
        <v>1.4</v>
      </c>
      <c r="C66">
        <v>1.6</v>
      </c>
      <c r="E66">
        <v>140</v>
      </c>
      <c r="F66">
        <v>1.6</v>
      </c>
    </row>
    <row r="67" spans="1:9">
      <c r="A67">
        <v>200</v>
      </c>
      <c r="B67">
        <v>1.6</v>
      </c>
      <c r="C67">
        <v>1.8</v>
      </c>
      <c r="E67">
        <v>150</v>
      </c>
      <c r="F67">
        <v>1.7</v>
      </c>
    </row>
    <row r="68" spans="1:9">
      <c r="A68">
        <v>250</v>
      </c>
      <c r="B68">
        <v>2</v>
      </c>
      <c r="C68">
        <v>2.5</v>
      </c>
      <c r="E68">
        <v>160</v>
      </c>
      <c r="F68">
        <v>1.8</v>
      </c>
    </row>
    <row r="69" spans="1:9">
      <c r="A69">
        <v>300</v>
      </c>
      <c r="B69">
        <v>2.2999999999999998</v>
      </c>
      <c r="C69">
        <v>2.9</v>
      </c>
      <c r="E69">
        <v>170</v>
      </c>
      <c r="F69">
        <v>1.9</v>
      </c>
    </row>
    <row r="70" spans="1:9">
      <c r="A70">
        <v>350</v>
      </c>
      <c r="B70">
        <v>2.8</v>
      </c>
      <c r="C70">
        <v>3.35</v>
      </c>
      <c r="E70">
        <v>190</v>
      </c>
      <c r="F70">
        <v>2.1</v>
      </c>
    </row>
    <row r="71" spans="1:9">
      <c r="A71">
        <v>400</v>
      </c>
      <c r="B71">
        <v>3.3</v>
      </c>
    </row>
    <row r="73" spans="1:9">
      <c r="A73" t="s">
        <v>686</v>
      </c>
      <c r="B73" t="s">
        <v>687</v>
      </c>
      <c r="D73" t="s">
        <v>693</v>
      </c>
      <c r="E73" t="s">
        <v>694</v>
      </c>
    </row>
    <row r="74" spans="1:9">
      <c r="A74">
        <v>150</v>
      </c>
      <c r="B74">
        <v>150</v>
      </c>
      <c r="C74" t="s">
        <v>688</v>
      </c>
      <c r="D74">
        <v>150</v>
      </c>
      <c r="E74">
        <v>150</v>
      </c>
    </row>
    <row r="75" spans="1:9">
      <c r="A75">
        <v>170</v>
      </c>
      <c r="B75">
        <v>170</v>
      </c>
      <c r="C75">
        <v>240</v>
      </c>
      <c r="D75">
        <v>170</v>
      </c>
      <c r="E75">
        <v>170</v>
      </c>
    </row>
    <row r="76" spans="1:9">
      <c r="A76">
        <v>200</v>
      </c>
      <c r="B76">
        <v>200</v>
      </c>
      <c r="C76">
        <v>300</v>
      </c>
      <c r="D76">
        <v>200</v>
      </c>
      <c r="E76">
        <v>200</v>
      </c>
    </row>
    <row r="77" spans="1:9">
      <c r="A77">
        <v>250</v>
      </c>
      <c r="B77">
        <v>250</v>
      </c>
      <c r="C77">
        <v>350</v>
      </c>
      <c r="D77">
        <v>250</v>
      </c>
      <c r="E77">
        <v>250</v>
      </c>
    </row>
    <row r="78" spans="1:9">
      <c r="A78">
        <v>300</v>
      </c>
      <c r="B78">
        <v>300</v>
      </c>
      <c r="D78">
        <v>300</v>
      </c>
      <c r="E78">
        <v>300</v>
      </c>
    </row>
    <row r="79" spans="1:9">
      <c r="A79">
        <v>350</v>
      </c>
      <c r="B79">
        <v>350</v>
      </c>
      <c r="D79">
        <v>350</v>
      </c>
      <c r="E79">
        <v>350</v>
      </c>
    </row>
    <row r="80" spans="1:9">
      <c r="A80">
        <v>400</v>
      </c>
      <c r="B80">
        <v>400</v>
      </c>
      <c r="D80">
        <v>400</v>
      </c>
      <c r="E80">
        <v>400</v>
      </c>
    </row>
  </sheetData>
  <mergeCells count="4">
    <mergeCell ref="A1:D1"/>
    <mergeCell ref="A24:C24"/>
    <mergeCell ref="A41:C41"/>
    <mergeCell ref="A22:R2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tabColor theme="6" tint="0.59999389629810485"/>
  </sheetPr>
  <dimension ref="A1:M49"/>
  <sheetViews>
    <sheetView workbookViewId="0">
      <selection activeCell="A17" sqref="A17:C49"/>
    </sheetView>
  </sheetViews>
  <sheetFormatPr baseColWidth="10" defaultRowHeight="15"/>
  <cols>
    <col min="1" max="1" width="16.7109375" customWidth="1"/>
    <col min="2" max="2" width="14.28515625" customWidth="1"/>
    <col min="3" max="3" width="16.85546875" customWidth="1"/>
    <col min="4" max="4" width="17.28515625" customWidth="1"/>
    <col min="5" max="5" width="18.85546875" customWidth="1"/>
    <col min="6" max="6" width="15.140625" customWidth="1"/>
    <col min="7" max="7" width="20.28515625" customWidth="1"/>
    <col min="8" max="8" width="16.42578125" customWidth="1"/>
    <col min="9" max="9" width="15" customWidth="1"/>
    <col min="10" max="10" width="15.28515625" customWidth="1"/>
    <col min="11" max="11" width="16.28515625" customWidth="1"/>
    <col min="12" max="12" width="14.85546875" customWidth="1"/>
    <col min="13" max="13" width="19.5703125" customWidth="1"/>
  </cols>
  <sheetData>
    <row r="1" spans="1:13">
      <c r="A1" t="s">
        <v>90</v>
      </c>
    </row>
    <row r="3" spans="1:13">
      <c r="A3" s="100" t="s">
        <v>91</v>
      </c>
      <c r="B3" s="101">
        <v>5</v>
      </c>
      <c r="C3" s="101">
        <v>10</v>
      </c>
      <c r="D3" s="101">
        <v>20</v>
      </c>
      <c r="E3" s="101">
        <v>30</v>
      </c>
      <c r="F3" s="101">
        <v>40</v>
      </c>
      <c r="G3" s="101">
        <v>50</v>
      </c>
      <c r="H3" s="101">
        <v>60</v>
      </c>
      <c r="I3" s="101">
        <v>70</v>
      </c>
      <c r="J3" s="101">
        <v>80</v>
      </c>
      <c r="K3" s="101">
        <v>90</v>
      </c>
      <c r="L3" s="101">
        <v>100</v>
      </c>
      <c r="M3" s="101" t="s">
        <v>92</v>
      </c>
    </row>
    <row r="4" spans="1:13">
      <c r="M4" t="s">
        <v>93</v>
      </c>
    </row>
    <row r="5" spans="1:13">
      <c r="A5" s="101" t="s">
        <v>94</v>
      </c>
      <c r="B5" s="48">
        <v>13.137499999999999</v>
      </c>
      <c r="C5" s="48">
        <v>20.625</v>
      </c>
      <c r="D5" s="48">
        <v>20.625</v>
      </c>
      <c r="E5" s="48">
        <v>20.625</v>
      </c>
      <c r="F5" s="48">
        <v>20.625</v>
      </c>
      <c r="G5" s="48">
        <v>20.625</v>
      </c>
      <c r="H5" s="48">
        <v>20.625</v>
      </c>
      <c r="I5" s="48">
        <v>20.625</v>
      </c>
      <c r="J5" s="48">
        <v>20.625</v>
      </c>
      <c r="K5" s="48">
        <v>20.625</v>
      </c>
      <c r="L5" s="48">
        <v>20.625</v>
      </c>
      <c r="M5" s="48">
        <v>28.112500000000001</v>
      </c>
    </row>
    <row r="6" spans="1:13">
      <c r="A6" s="101" t="s">
        <v>95</v>
      </c>
      <c r="B6" s="48">
        <v>21.737500000000001</v>
      </c>
      <c r="C6" s="48">
        <v>23</v>
      </c>
      <c r="D6" s="48">
        <v>23</v>
      </c>
      <c r="E6" s="48">
        <v>23</v>
      </c>
      <c r="F6" s="48">
        <v>23</v>
      </c>
      <c r="G6" s="48">
        <v>23</v>
      </c>
      <c r="H6" s="48">
        <v>41.224999999999994</v>
      </c>
      <c r="I6" s="48">
        <v>41.224999999999994</v>
      </c>
      <c r="J6" s="48">
        <v>41.224999999999994</v>
      </c>
      <c r="K6" s="48">
        <v>41.224999999999994</v>
      </c>
      <c r="L6" s="48">
        <v>41.224999999999994</v>
      </c>
      <c r="M6" s="48">
        <v>54.1875</v>
      </c>
    </row>
    <row r="7" spans="1:13">
      <c r="A7" s="101" t="s">
        <v>96</v>
      </c>
      <c r="B7" s="48">
        <v>27.162500000000001</v>
      </c>
      <c r="C7" s="48">
        <v>28.962500000000002</v>
      </c>
      <c r="D7" s="48">
        <v>32.174999999999997</v>
      </c>
      <c r="E7" s="48">
        <v>35.15</v>
      </c>
      <c r="F7" s="48">
        <v>38.575000000000003</v>
      </c>
      <c r="G7" s="48">
        <v>41.9375</v>
      </c>
      <c r="H7" s="48">
        <v>45.412499999999994</v>
      </c>
      <c r="I7" s="48">
        <v>48.825000000000003</v>
      </c>
      <c r="J7" s="48">
        <v>54.3</v>
      </c>
      <c r="K7" s="48">
        <v>59.512500000000003</v>
      </c>
      <c r="L7" s="48">
        <v>62.962499999999999</v>
      </c>
      <c r="M7" s="48">
        <v>62.962499999999999</v>
      </c>
    </row>
    <row r="8" spans="1:13">
      <c r="A8" s="101" t="s">
        <v>97</v>
      </c>
      <c r="B8" s="48">
        <v>31.9</v>
      </c>
      <c r="C8" s="48">
        <v>37.674999999999997</v>
      </c>
      <c r="D8" s="48">
        <v>50.162500000000001</v>
      </c>
      <c r="E8" s="48">
        <v>60.212500000000006</v>
      </c>
      <c r="F8" s="48">
        <v>72.775000000000006</v>
      </c>
      <c r="G8" s="48">
        <v>85.3125</v>
      </c>
      <c r="H8" s="48">
        <v>98.05</v>
      </c>
      <c r="I8" s="48">
        <v>111.28749999999999</v>
      </c>
      <c r="J8" s="48">
        <v>124.71249999999999</v>
      </c>
      <c r="K8" s="48">
        <v>138.17500000000001</v>
      </c>
      <c r="L8" s="48">
        <v>156.17500000000001</v>
      </c>
      <c r="M8" s="48">
        <v>156.17500000000001</v>
      </c>
    </row>
    <row r="9" spans="1:13">
      <c r="A9" s="101" t="s">
        <v>98</v>
      </c>
      <c r="B9" s="48">
        <v>32.875</v>
      </c>
      <c r="C9" s="48">
        <v>38.787500000000001</v>
      </c>
      <c r="D9" s="48">
        <v>51.6875</v>
      </c>
      <c r="E9" s="48">
        <v>62.024999999999999</v>
      </c>
      <c r="F9" s="48">
        <v>74.9375</v>
      </c>
      <c r="G9" s="48">
        <v>87.887500000000003</v>
      </c>
      <c r="H9" s="48">
        <v>101.02499999999999</v>
      </c>
      <c r="I9" s="48">
        <v>114.6125</v>
      </c>
      <c r="J9" s="48">
        <v>128.46250000000001</v>
      </c>
      <c r="K9" s="48">
        <v>142.28749999999999</v>
      </c>
      <c r="L9" s="48">
        <v>160.875</v>
      </c>
      <c r="M9" s="48">
        <v>160.875</v>
      </c>
    </row>
    <row r="11" spans="1:13">
      <c r="A11" s="101" t="s">
        <v>94</v>
      </c>
      <c r="B11" s="761">
        <v>14</v>
      </c>
      <c r="C11" s="761"/>
      <c r="D11" s="761"/>
      <c r="E11" s="761"/>
      <c r="F11" s="761"/>
      <c r="G11" s="761"/>
      <c r="H11" s="761"/>
      <c r="I11" s="761"/>
      <c r="J11" s="761"/>
    </row>
    <row r="12" spans="1:13">
      <c r="A12" s="101" t="s">
        <v>95</v>
      </c>
      <c r="B12" s="761" t="s">
        <v>99</v>
      </c>
      <c r="C12" s="761"/>
      <c r="D12" s="761"/>
      <c r="E12" s="761"/>
      <c r="F12" s="761"/>
      <c r="G12" s="761"/>
      <c r="H12" s="761"/>
      <c r="I12" s="761"/>
      <c r="J12" s="761"/>
    </row>
    <row r="13" spans="1:13">
      <c r="A13" s="101" t="s">
        <v>96</v>
      </c>
      <c r="B13" s="761" t="s">
        <v>100</v>
      </c>
      <c r="C13" s="761"/>
      <c r="D13" s="761"/>
      <c r="E13" s="761"/>
      <c r="F13" s="761"/>
      <c r="G13" s="761"/>
      <c r="H13" s="761"/>
      <c r="I13" s="761"/>
      <c r="J13" s="761"/>
    </row>
    <row r="14" spans="1:13">
      <c r="A14" s="101" t="s">
        <v>97</v>
      </c>
      <c r="B14" s="761" t="s">
        <v>101</v>
      </c>
      <c r="C14" s="761"/>
      <c r="D14" s="761"/>
      <c r="E14" s="761"/>
      <c r="F14" s="761"/>
      <c r="G14" s="761"/>
      <c r="H14" s="761"/>
      <c r="I14" s="761"/>
      <c r="J14" s="761"/>
    </row>
    <row r="15" spans="1:13">
      <c r="A15" s="101" t="s">
        <v>98</v>
      </c>
      <c r="B15" s="761" t="s">
        <v>102</v>
      </c>
      <c r="C15" s="761"/>
      <c r="D15" s="761"/>
      <c r="E15" s="761"/>
      <c r="F15" s="761"/>
      <c r="G15" s="761"/>
      <c r="H15" s="761"/>
      <c r="I15" s="761"/>
      <c r="J15" s="761"/>
    </row>
    <row r="17" spans="1:13">
      <c r="A17" s="102" t="s">
        <v>103</v>
      </c>
      <c r="B17" s="5"/>
      <c r="C17" s="5"/>
      <c r="D17" s="5"/>
      <c r="E17" s="5"/>
      <c r="F17" s="5"/>
      <c r="G17" s="5"/>
      <c r="H17" s="5"/>
      <c r="I17" s="5"/>
      <c r="J17" s="5"/>
      <c r="K17" s="5"/>
      <c r="L17" s="5"/>
      <c r="M17" s="5"/>
    </row>
    <row r="18" spans="1:13">
      <c r="A18" s="102" t="s">
        <v>104</v>
      </c>
      <c r="B18" s="103" t="s">
        <v>105</v>
      </c>
      <c r="C18" s="146" t="s">
        <v>138</v>
      </c>
      <c r="D18" s="5"/>
      <c r="E18" s="5"/>
      <c r="F18" s="5"/>
      <c r="G18" s="5"/>
      <c r="H18" s="5"/>
      <c r="I18" s="5"/>
      <c r="J18" s="5"/>
      <c r="K18" s="5"/>
      <c r="L18" s="5"/>
      <c r="M18" s="5"/>
    </row>
    <row r="19" spans="1:13">
      <c r="A19" s="105">
        <v>1</v>
      </c>
      <c r="B19" s="48">
        <v>10</v>
      </c>
      <c r="C19" s="5"/>
      <c r="D19" s="5"/>
      <c r="E19" s="5"/>
      <c r="F19" s="5"/>
      <c r="G19" s="5"/>
      <c r="H19" s="5"/>
      <c r="I19" s="5"/>
      <c r="J19" s="5"/>
      <c r="K19" s="5"/>
      <c r="L19" s="5"/>
      <c r="M19" s="5"/>
    </row>
    <row r="20" spans="1:13">
      <c r="A20" s="105">
        <v>2</v>
      </c>
      <c r="B20" s="48">
        <v>10.33</v>
      </c>
      <c r="C20" s="5"/>
      <c r="D20" s="5"/>
      <c r="E20" s="5"/>
      <c r="F20" s="5"/>
      <c r="G20" s="5"/>
      <c r="H20" s="5"/>
      <c r="I20" s="5"/>
      <c r="J20" s="5"/>
      <c r="K20" s="5"/>
      <c r="L20" s="5"/>
      <c r="M20" s="5"/>
    </row>
    <row r="21" spans="1:13">
      <c r="A21" s="105">
        <v>3</v>
      </c>
      <c r="B21" s="48">
        <v>10.72</v>
      </c>
      <c r="C21" s="5"/>
      <c r="D21" s="5"/>
      <c r="E21" s="5"/>
      <c r="F21" s="5"/>
      <c r="G21" s="5"/>
      <c r="H21" s="5"/>
      <c r="I21" s="5"/>
      <c r="J21" s="5"/>
      <c r="K21" s="5"/>
      <c r="L21" s="5"/>
      <c r="M21" s="5"/>
    </row>
    <row r="22" spans="1:13">
      <c r="A22" s="105">
        <v>4</v>
      </c>
      <c r="B22" s="104">
        <v>11.11</v>
      </c>
    </row>
    <row r="23" spans="1:13">
      <c r="A23" s="105">
        <v>5</v>
      </c>
      <c r="B23" s="104">
        <v>11.5</v>
      </c>
    </row>
    <row r="24" spans="1:13">
      <c r="A24" s="105">
        <v>6</v>
      </c>
      <c r="B24" s="104">
        <v>11.89</v>
      </c>
    </row>
    <row r="25" spans="1:13">
      <c r="A25" s="105">
        <v>7</v>
      </c>
      <c r="B25" s="104">
        <v>12.28</v>
      </c>
    </row>
    <row r="26" spans="1:13">
      <c r="A26" s="105">
        <v>8</v>
      </c>
      <c r="B26" s="104">
        <v>12.67</v>
      </c>
    </row>
    <row r="27" spans="1:13">
      <c r="A27" s="105">
        <v>9</v>
      </c>
      <c r="B27" s="104">
        <v>13.06</v>
      </c>
    </row>
    <row r="28" spans="1:13">
      <c r="A28" s="105">
        <v>10</v>
      </c>
      <c r="B28" s="104">
        <v>13.45</v>
      </c>
    </row>
    <row r="29" spans="1:13">
      <c r="A29" s="105">
        <v>11</v>
      </c>
      <c r="B29" s="104">
        <v>13.84</v>
      </c>
    </row>
    <row r="30" spans="1:13">
      <c r="A30" s="105">
        <v>12</v>
      </c>
      <c r="B30" s="104">
        <v>14.23</v>
      </c>
    </row>
    <row r="31" spans="1:13">
      <c r="A31" s="105">
        <v>13</v>
      </c>
      <c r="B31" s="104">
        <v>14.62</v>
      </c>
    </row>
    <row r="32" spans="1:13">
      <c r="A32" s="105">
        <v>14</v>
      </c>
      <c r="B32" s="104">
        <v>15.01</v>
      </c>
    </row>
    <row r="33" spans="1:2">
      <c r="A33" s="105">
        <v>15</v>
      </c>
      <c r="B33" s="104">
        <v>15.4</v>
      </c>
    </row>
    <row r="34" spans="1:2">
      <c r="A34" s="105">
        <v>16</v>
      </c>
      <c r="B34" s="104">
        <v>15.79</v>
      </c>
    </row>
    <row r="35" spans="1:2">
      <c r="A35" s="105">
        <v>17</v>
      </c>
      <c r="B35" s="104">
        <v>16.18</v>
      </c>
    </row>
    <row r="36" spans="1:2">
      <c r="A36" s="105">
        <v>18</v>
      </c>
      <c r="B36" s="104">
        <v>16.57</v>
      </c>
    </row>
    <row r="37" spans="1:2">
      <c r="A37" s="105">
        <v>19</v>
      </c>
      <c r="B37" s="104">
        <v>16.96</v>
      </c>
    </row>
    <row r="38" spans="1:2">
      <c r="A38" s="105">
        <v>20</v>
      </c>
      <c r="B38" s="104">
        <v>17.350000000000001</v>
      </c>
    </row>
    <row r="39" spans="1:2">
      <c r="A39" s="105">
        <v>21</v>
      </c>
      <c r="B39" s="104">
        <v>17.739999999999998</v>
      </c>
    </row>
    <row r="40" spans="1:2">
      <c r="A40" s="105">
        <v>22</v>
      </c>
      <c r="B40" s="104">
        <v>18.13</v>
      </c>
    </row>
    <row r="41" spans="1:2">
      <c r="A41" s="105">
        <v>23</v>
      </c>
      <c r="B41" s="104">
        <v>18.52</v>
      </c>
    </row>
    <row r="42" spans="1:2">
      <c r="A42" s="105">
        <v>24</v>
      </c>
      <c r="B42" s="104">
        <v>18.91</v>
      </c>
    </row>
    <row r="43" spans="1:2">
      <c r="A43" s="105">
        <v>25</v>
      </c>
      <c r="B43" s="104">
        <v>19.3</v>
      </c>
    </row>
    <row r="44" spans="1:2">
      <c r="A44" s="105">
        <v>26</v>
      </c>
      <c r="B44" s="104">
        <v>19.690000000000001</v>
      </c>
    </row>
    <row r="45" spans="1:2">
      <c r="A45" s="105">
        <v>27</v>
      </c>
      <c r="B45" s="104">
        <v>20.079999999999998</v>
      </c>
    </row>
    <row r="46" spans="1:2">
      <c r="A46" s="105">
        <v>28</v>
      </c>
      <c r="B46" s="104">
        <v>20.47</v>
      </c>
    </row>
    <row r="47" spans="1:2">
      <c r="A47" s="105">
        <v>29</v>
      </c>
      <c r="B47" s="104">
        <v>20.86</v>
      </c>
    </row>
    <row r="48" spans="1:2">
      <c r="A48" s="105">
        <v>30</v>
      </c>
      <c r="B48" s="104">
        <v>21.25</v>
      </c>
    </row>
    <row r="49" spans="1:2">
      <c r="A49" s="1" t="s">
        <v>137</v>
      </c>
      <c r="B49" s="104">
        <v>0.5</v>
      </c>
    </row>
  </sheetData>
  <mergeCells count="5">
    <mergeCell ref="B11:J11"/>
    <mergeCell ref="B12:J12"/>
    <mergeCell ref="B13:J13"/>
    <mergeCell ref="B14:J14"/>
    <mergeCell ref="B15:J15"/>
  </mergeCells>
  <pageMargins left="0.7" right="0.7" top="0.75" bottom="0.75" header="0.3" footer="0.3"/>
  <pageSetup paperSize="0" orientation="portrait" horizontalDpi="0" verticalDpi="0" copies="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tabColor theme="6" tint="0.59999389629810485"/>
  </sheetPr>
  <dimension ref="A1:I49"/>
  <sheetViews>
    <sheetView topLeftCell="J1" workbookViewId="0">
      <selection activeCell="A16" sqref="A1:I1048576"/>
    </sheetView>
  </sheetViews>
  <sheetFormatPr baseColWidth="10" defaultRowHeight="15"/>
  <cols>
    <col min="1" max="9" width="42.7109375" hidden="1" customWidth="1"/>
    <col min="10" max="12" width="42.7109375" customWidth="1"/>
  </cols>
  <sheetData>
    <row r="1" spans="1:8" ht="18.75">
      <c r="A1" s="14" t="s">
        <v>2</v>
      </c>
      <c r="B1" s="764" t="s">
        <v>4</v>
      </c>
      <c r="C1" s="765"/>
      <c r="D1" s="765"/>
      <c r="E1" s="765"/>
      <c r="F1" s="765"/>
      <c r="G1" s="766"/>
    </row>
    <row r="2" spans="1:8">
      <c r="A2" s="2" t="s">
        <v>35</v>
      </c>
      <c r="B2" s="17" t="s">
        <v>30</v>
      </c>
      <c r="C2" s="17" t="s">
        <v>32</v>
      </c>
      <c r="D2" s="17" t="s">
        <v>31</v>
      </c>
      <c r="E2" s="17" t="s">
        <v>33</v>
      </c>
      <c r="F2" s="17" t="s">
        <v>34</v>
      </c>
      <c r="G2" s="7" t="s">
        <v>6</v>
      </c>
    </row>
    <row r="3" spans="1:8" ht="15.75">
      <c r="A3" s="6" t="s">
        <v>36</v>
      </c>
      <c r="B3" s="10">
        <v>0.47</v>
      </c>
      <c r="C3" s="10">
        <v>0.47</v>
      </c>
      <c r="D3" s="10">
        <v>0.45</v>
      </c>
      <c r="E3" s="10">
        <v>0.4</v>
      </c>
      <c r="F3" s="10">
        <v>0.38</v>
      </c>
      <c r="G3" s="8">
        <v>0.35</v>
      </c>
    </row>
    <row r="4" spans="1:8" ht="15.75">
      <c r="A4" s="6" t="s">
        <v>37</v>
      </c>
      <c r="B4" s="10">
        <v>0.52</v>
      </c>
      <c r="C4" s="10">
        <v>0.52</v>
      </c>
      <c r="D4" s="10">
        <v>0.51</v>
      </c>
      <c r="E4" s="10">
        <v>0.45</v>
      </c>
      <c r="F4" s="10">
        <v>0.43</v>
      </c>
      <c r="G4" s="8">
        <v>0.4</v>
      </c>
    </row>
    <row r="5" spans="1:8" ht="15.75">
      <c r="A5" s="6" t="s">
        <v>38</v>
      </c>
      <c r="B5" s="10">
        <v>0.6</v>
      </c>
      <c r="C5" s="10">
        <v>0.6</v>
      </c>
      <c r="D5" s="10">
        <v>0.65</v>
      </c>
      <c r="E5" s="10">
        <v>0.65</v>
      </c>
      <c r="F5" s="10">
        <v>0.5</v>
      </c>
      <c r="G5" s="8">
        <v>0.47</v>
      </c>
    </row>
    <row r="6" spans="1:8" ht="21">
      <c r="A6" s="12" t="s">
        <v>8</v>
      </c>
      <c r="B6" s="18">
        <v>70</v>
      </c>
      <c r="C6" s="18">
        <v>70</v>
      </c>
      <c r="D6" s="18">
        <v>70</v>
      </c>
      <c r="E6" s="18">
        <v>70</v>
      </c>
      <c r="F6" s="18">
        <v>70</v>
      </c>
      <c r="G6" s="13">
        <v>70</v>
      </c>
      <c r="H6" s="76"/>
    </row>
    <row r="7" spans="1:8">
      <c r="A7" s="767" t="s">
        <v>5</v>
      </c>
      <c r="B7" s="768"/>
      <c r="C7" s="768"/>
      <c r="D7" s="768"/>
      <c r="E7" s="768"/>
      <c r="F7" s="768"/>
      <c r="G7" s="769"/>
    </row>
    <row r="9" spans="1:8" ht="18.75">
      <c r="A9" s="14" t="s">
        <v>45</v>
      </c>
      <c r="B9" s="764" t="s">
        <v>4</v>
      </c>
      <c r="C9" s="765"/>
      <c r="D9" s="765"/>
      <c r="E9" s="765"/>
      <c r="F9" s="765"/>
      <c r="G9" s="766"/>
    </row>
    <row r="10" spans="1:8">
      <c r="A10" s="2" t="s">
        <v>35</v>
      </c>
      <c r="B10" s="17" t="s">
        <v>30</v>
      </c>
      <c r="C10" s="17" t="s">
        <v>32</v>
      </c>
      <c r="D10" s="17" t="s">
        <v>31</v>
      </c>
      <c r="E10" s="17" t="s">
        <v>33</v>
      </c>
      <c r="F10" s="17" t="s">
        <v>34</v>
      </c>
      <c r="G10" s="7" t="s">
        <v>6</v>
      </c>
    </row>
    <row r="11" spans="1:8" ht="15.75">
      <c r="A11" s="6" t="s">
        <v>36</v>
      </c>
      <c r="B11" s="10">
        <v>0.65</v>
      </c>
      <c r="C11" s="10">
        <v>0.59</v>
      </c>
      <c r="D11" s="10">
        <f t="shared" ref="D11:G13" si="0">D3*1.2</f>
        <v>0.54</v>
      </c>
      <c r="E11" s="10">
        <f t="shared" si="0"/>
        <v>0.48</v>
      </c>
      <c r="F11" s="10">
        <f t="shared" si="0"/>
        <v>0.45599999999999996</v>
      </c>
      <c r="G11" s="10">
        <f t="shared" si="0"/>
        <v>0.42</v>
      </c>
    </row>
    <row r="12" spans="1:8" ht="15.75">
      <c r="A12" s="6" t="s">
        <v>37</v>
      </c>
      <c r="B12" s="10">
        <v>0.69</v>
      </c>
      <c r="C12" s="10">
        <v>0.65</v>
      </c>
      <c r="D12" s="10">
        <f t="shared" si="0"/>
        <v>0.61199999999999999</v>
      </c>
      <c r="E12" s="10">
        <f t="shared" si="0"/>
        <v>0.54</v>
      </c>
      <c r="F12" s="10">
        <f t="shared" si="0"/>
        <v>0.51600000000000001</v>
      </c>
      <c r="G12" s="10">
        <f t="shared" si="0"/>
        <v>0.48</v>
      </c>
    </row>
    <row r="13" spans="1:8" ht="15.75">
      <c r="A13" s="6" t="s">
        <v>38</v>
      </c>
      <c r="B13" s="10">
        <v>0.77</v>
      </c>
      <c r="C13" s="10">
        <v>0.75</v>
      </c>
      <c r="D13" s="10">
        <v>0.73</v>
      </c>
      <c r="E13" s="10">
        <v>0.7</v>
      </c>
      <c r="F13" s="10">
        <f t="shared" si="0"/>
        <v>0.6</v>
      </c>
      <c r="G13" s="10">
        <f t="shared" si="0"/>
        <v>0.56399999999999995</v>
      </c>
    </row>
    <row r="14" spans="1:8" ht="21">
      <c r="A14" s="12" t="s">
        <v>8</v>
      </c>
      <c r="B14" s="18">
        <v>80</v>
      </c>
      <c r="C14" s="18">
        <v>80</v>
      </c>
      <c r="D14" s="18">
        <v>80</v>
      </c>
      <c r="E14" s="18">
        <v>80</v>
      </c>
      <c r="F14" s="18">
        <v>80</v>
      </c>
      <c r="G14" s="13">
        <v>80</v>
      </c>
    </row>
    <row r="15" spans="1:8" ht="16.5" customHeight="1">
      <c r="A15" s="767" t="s">
        <v>5</v>
      </c>
      <c r="B15" s="768"/>
      <c r="C15" s="768"/>
      <c r="D15" s="768"/>
      <c r="E15" s="768"/>
      <c r="F15" s="768"/>
      <c r="G15" s="769"/>
    </row>
    <row r="17" spans="1:8">
      <c r="A17" s="16" t="s">
        <v>20</v>
      </c>
      <c r="B17" s="762" t="s">
        <v>21</v>
      </c>
      <c r="C17" s="770"/>
      <c r="D17" s="763"/>
    </row>
    <row r="18" spans="1:8">
      <c r="A18" s="1" t="s">
        <v>27</v>
      </c>
      <c r="B18" s="1">
        <v>100</v>
      </c>
      <c r="C18" s="1">
        <v>300</v>
      </c>
      <c r="D18" s="1">
        <v>500</v>
      </c>
      <c r="E18" s="1">
        <v>1000</v>
      </c>
      <c r="F18" s="1">
        <v>2500</v>
      </c>
      <c r="G18" s="1">
        <v>5000</v>
      </c>
      <c r="H18" s="1">
        <v>10000</v>
      </c>
    </row>
    <row r="19" spans="1:8">
      <c r="A19" s="11" t="s">
        <v>43</v>
      </c>
      <c r="B19" s="48">
        <v>0.13</v>
      </c>
      <c r="C19" s="621">
        <v>0.12</v>
      </c>
      <c r="D19" s="48">
        <v>0.09</v>
      </c>
      <c r="E19" s="48">
        <v>0.08</v>
      </c>
      <c r="F19" s="48">
        <v>0.08</v>
      </c>
      <c r="G19" s="48">
        <v>0.06</v>
      </c>
      <c r="H19" s="15">
        <v>0.06</v>
      </c>
    </row>
    <row r="20" spans="1:8">
      <c r="A20" s="11" t="s">
        <v>24</v>
      </c>
      <c r="B20" s="48">
        <v>25</v>
      </c>
      <c r="C20" s="48">
        <v>25</v>
      </c>
      <c r="D20" s="48">
        <v>25</v>
      </c>
      <c r="E20" s="48">
        <v>25</v>
      </c>
      <c r="F20" s="48">
        <v>25</v>
      </c>
      <c r="G20" s="48">
        <v>25</v>
      </c>
      <c r="H20" s="15">
        <v>40</v>
      </c>
    </row>
    <row r="22" spans="1:8">
      <c r="A22" s="762" t="s">
        <v>25</v>
      </c>
      <c r="B22" s="763"/>
    </row>
    <row r="23" spans="1:8">
      <c r="A23" s="49" t="s">
        <v>0</v>
      </c>
      <c r="B23" s="49" t="s">
        <v>24</v>
      </c>
      <c r="C23" s="49" t="s">
        <v>26</v>
      </c>
    </row>
    <row r="24" spans="1:8">
      <c r="A24" s="50" t="s">
        <v>28</v>
      </c>
      <c r="B24" s="48">
        <v>35</v>
      </c>
      <c r="C24" s="48">
        <v>0.28000000000000003</v>
      </c>
    </row>
    <row r="25" spans="1:8">
      <c r="A25" s="50" t="s">
        <v>29</v>
      </c>
      <c r="B25" s="48">
        <v>25</v>
      </c>
      <c r="C25" s="48">
        <v>0.24</v>
      </c>
    </row>
    <row r="26" spans="1:8" ht="15.75" thickBot="1"/>
    <row r="27" spans="1:8">
      <c r="A27" s="64" t="s">
        <v>72</v>
      </c>
      <c r="B27" s="51">
        <v>100</v>
      </c>
      <c r="C27" s="51">
        <v>200</v>
      </c>
      <c r="D27" s="51">
        <v>300</v>
      </c>
      <c r="E27" s="51">
        <v>400</v>
      </c>
      <c r="F27" s="52" t="s">
        <v>60</v>
      </c>
      <c r="G27" s="53" t="s">
        <v>62</v>
      </c>
    </row>
    <row r="28" spans="1:8" ht="15.75" thickBot="1">
      <c r="A28" s="56" t="s">
        <v>64</v>
      </c>
      <c r="B28" s="54">
        <v>7.0000000000000007E-2</v>
      </c>
      <c r="C28" s="54">
        <v>0.06</v>
      </c>
      <c r="D28" s="54">
        <v>0.05</v>
      </c>
      <c r="E28" s="54">
        <v>0.04</v>
      </c>
      <c r="F28" s="54">
        <v>0.03</v>
      </c>
      <c r="G28" s="55">
        <v>10</v>
      </c>
    </row>
    <row r="29" spans="1:8">
      <c r="A29" s="57" t="s">
        <v>0</v>
      </c>
      <c r="B29" s="51">
        <v>500</v>
      </c>
      <c r="C29" s="51">
        <v>1000</v>
      </c>
      <c r="D29" s="51">
        <v>2500</v>
      </c>
      <c r="E29" s="51">
        <v>4000</v>
      </c>
      <c r="F29" s="52" t="s">
        <v>61</v>
      </c>
      <c r="G29" s="53" t="s">
        <v>62</v>
      </c>
    </row>
    <row r="30" spans="1:8" ht="15.75" thickBot="1">
      <c r="A30" s="56" t="s">
        <v>63</v>
      </c>
      <c r="B30" s="58">
        <v>8.0000000000000004E-4</v>
      </c>
      <c r="C30" s="58">
        <v>7.0000000000000001E-3</v>
      </c>
      <c r="D30" s="58">
        <v>5.0000000000000001E-3</v>
      </c>
      <c r="E30" s="58">
        <v>4.0000000000000001E-3</v>
      </c>
      <c r="F30" s="58">
        <v>3.0000000000000001E-3</v>
      </c>
      <c r="G30" s="55">
        <v>10</v>
      </c>
    </row>
    <row r="31" spans="1:8">
      <c r="A31" s="57" t="s">
        <v>0</v>
      </c>
      <c r="B31" s="51">
        <v>500</v>
      </c>
      <c r="C31" s="51">
        <v>1000</v>
      </c>
      <c r="D31" s="51">
        <v>2500</v>
      </c>
      <c r="E31" s="51">
        <v>4000</v>
      </c>
      <c r="F31" s="52" t="s">
        <v>61</v>
      </c>
      <c r="G31" s="53" t="s">
        <v>62</v>
      </c>
    </row>
    <row r="32" spans="1:8" ht="15.75" thickBot="1">
      <c r="A32" s="59" t="s">
        <v>66</v>
      </c>
      <c r="B32" s="60">
        <v>1.5E-3</v>
      </c>
      <c r="C32" s="60">
        <v>1E-3</v>
      </c>
      <c r="D32" s="60">
        <v>8.9999999999999993E-3</v>
      </c>
      <c r="E32" s="60">
        <v>7.0000000000000001E-3</v>
      </c>
      <c r="F32" s="60">
        <v>5.0000000000000001E-3</v>
      </c>
      <c r="G32" s="61">
        <v>10</v>
      </c>
    </row>
    <row r="33" spans="1:7" ht="15.75" thickBot="1"/>
    <row r="34" spans="1:7">
      <c r="A34" s="65" t="s">
        <v>68</v>
      </c>
      <c r="B34" s="51">
        <v>100</v>
      </c>
      <c r="C34" s="51">
        <v>250</v>
      </c>
      <c r="D34" s="51">
        <v>500</v>
      </c>
      <c r="E34" s="51">
        <v>1000</v>
      </c>
      <c r="F34" s="51">
        <v>2000</v>
      </c>
      <c r="G34" s="53" t="s">
        <v>62</v>
      </c>
    </row>
    <row r="35" spans="1:7">
      <c r="A35" s="66" t="s">
        <v>69</v>
      </c>
      <c r="B35" s="22">
        <v>0.05</v>
      </c>
      <c r="C35" s="22">
        <v>0.05</v>
      </c>
      <c r="D35" s="22">
        <v>0.04</v>
      </c>
      <c r="E35" s="22">
        <v>8.9999999999999993E-3</v>
      </c>
      <c r="F35" s="22">
        <v>7.0000000000000001E-3</v>
      </c>
      <c r="G35" s="67">
        <v>18</v>
      </c>
    </row>
    <row r="36" spans="1:7">
      <c r="A36" s="66" t="s">
        <v>70</v>
      </c>
      <c r="B36" s="22">
        <f>B35*1.2</f>
        <v>0.06</v>
      </c>
      <c r="C36" s="22">
        <f t="shared" ref="C36:F37" si="1">C35*1.2</f>
        <v>0.06</v>
      </c>
      <c r="D36" s="22">
        <f t="shared" si="1"/>
        <v>4.8000000000000001E-2</v>
      </c>
      <c r="E36" s="22">
        <f t="shared" si="1"/>
        <v>1.0799999999999999E-2</v>
      </c>
      <c r="F36" s="22">
        <f t="shared" si="1"/>
        <v>8.3999999999999995E-3</v>
      </c>
      <c r="G36" s="67">
        <v>26</v>
      </c>
    </row>
    <row r="37" spans="1:7">
      <c r="A37" s="66" t="s">
        <v>71</v>
      </c>
      <c r="B37" s="22">
        <f>B36*1.2</f>
        <v>7.1999999999999995E-2</v>
      </c>
      <c r="C37" s="22">
        <f t="shared" si="1"/>
        <v>7.1999999999999995E-2</v>
      </c>
      <c r="D37" s="22">
        <f t="shared" si="1"/>
        <v>5.7599999999999998E-2</v>
      </c>
      <c r="E37" s="22">
        <f t="shared" si="1"/>
        <v>1.2959999999999998E-2</v>
      </c>
      <c r="F37" s="22">
        <f t="shared" si="1"/>
        <v>1.0079999999999999E-2</v>
      </c>
      <c r="G37" s="67">
        <v>33</v>
      </c>
    </row>
    <row r="38" spans="1:7" ht="15.75" thickBot="1">
      <c r="A38" s="68" t="s">
        <v>73</v>
      </c>
      <c r="B38" s="58">
        <f>B37*1.2</f>
        <v>8.6399999999999991E-2</v>
      </c>
      <c r="C38" s="58">
        <f>C37*1.2</f>
        <v>8.6399999999999991E-2</v>
      </c>
      <c r="D38" s="58">
        <f>D37*1.2</f>
        <v>6.9120000000000001E-2</v>
      </c>
      <c r="E38" s="58">
        <f>E37*1.2</f>
        <v>1.5551999999999996E-2</v>
      </c>
      <c r="F38" s="58">
        <f>F37*1.2</f>
        <v>1.2095999999999997E-2</v>
      </c>
      <c r="G38" s="55">
        <v>37</v>
      </c>
    </row>
    <row r="41" spans="1:7">
      <c r="A41" s="512" t="s">
        <v>954</v>
      </c>
      <c r="B41" t="s">
        <v>955</v>
      </c>
      <c r="C41" t="s">
        <v>956</v>
      </c>
    </row>
    <row r="42" spans="1:7">
      <c r="A42">
        <v>0</v>
      </c>
      <c r="B42">
        <v>2</v>
      </c>
      <c r="C42">
        <v>0</v>
      </c>
    </row>
    <row r="43" spans="1:7">
      <c r="A43">
        <v>2</v>
      </c>
      <c r="B43">
        <v>4</v>
      </c>
      <c r="C43">
        <v>2</v>
      </c>
    </row>
    <row r="44" spans="1:7">
      <c r="A44">
        <v>4</v>
      </c>
      <c r="C44">
        <v>4</v>
      </c>
    </row>
    <row r="46" spans="1:7">
      <c r="A46" t="s">
        <v>1010</v>
      </c>
    </row>
    <row r="48" spans="1:7">
      <c r="A48" s="1" t="s">
        <v>1011</v>
      </c>
      <c r="B48" s="1" t="str">
        <f>IF(OR('Tableau NUMERIQUE'!A38="Flyer/Poster",'Tableau NUMERIQUE'!A38="Carte de visite"),
  IFERROR(
    LEFT('Tableau NUMERIQUE'!B31,SEARCH("x",'Tableau NUMERIQUE'!B31)-1)*1
    *
    (IF('Tableau NUMERIQUE'!C38="",1,'Tableau NUMERIQUE'!C38+1)),
    ""
  ),
  ""
)</f>
        <v/>
      </c>
    </row>
    <row r="49" spans="1:2">
      <c r="A49" s="1" t="s">
        <v>1012</v>
      </c>
      <c r="B49" s="1" t="str">
        <f>IF(OR('Tableau NUMERIQUE'!A38="Flyer/Poster",'Tableau NUMERIQUE'!A38="Carte de visite"),
  IFERROR(
    RIGHT('Tableau NUMERIQUE'!B31,LEN('Tableau NUMERIQUE'!B31)-SEARCH("x",'Tableau NUMERIQUE'!B31))*1
    *
    (IF(OR('Tableau NUMERIQUE'!D38&lt;&gt;"Croisé",'Tableau NUMERIQUE'!E38=""),1,'Tableau NUMERIQUE'!E38+1)),
    ""
  ),
  ""
)</f>
        <v/>
      </c>
    </row>
  </sheetData>
  <sheetProtection algorithmName="SHA-512" hashValue="b8VABMtYWMdtkq/QQZXK41IA8KTT6TCAS3EsteW1q7TOM8asMssuKlCo+KtcdClc24BiKe21n81PjbDgggQnyg==" saltValue="lEDSLJM1dliM6zYNZx8SAQ==" spinCount="100000" sheet="1" selectLockedCells="1" selectUnlockedCells="1"/>
  <mergeCells count="6">
    <mergeCell ref="A22:B22"/>
    <mergeCell ref="B1:G1"/>
    <mergeCell ref="A7:G7"/>
    <mergeCell ref="B9:G9"/>
    <mergeCell ref="A15:G15"/>
    <mergeCell ref="B17:D17"/>
  </mergeCells>
  <pageMargins left="0.7" right="0.7" top="0.75" bottom="0.75" header="0.3" footer="0.3"/>
  <pageSetup paperSize="0" orientation="portrait" horizontalDpi="0" verticalDpi="0" copies="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tabColor rgb="FFFFC000"/>
  </sheetPr>
  <dimension ref="A1:AD221"/>
  <sheetViews>
    <sheetView zoomScale="85" zoomScaleNormal="85" workbookViewId="0">
      <selection activeCell="A62" sqref="A62:B62"/>
    </sheetView>
  </sheetViews>
  <sheetFormatPr baseColWidth="10" defaultColWidth="11.42578125" defaultRowHeight="15"/>
  <cols>
    <col min="1" max="1" width="43.42578125" style="372" customWidth="1"/>
    <col min="2" max="2" width="42.5703125" style="372" customWidth="1"/>
    <col min="3" max="3" width="46.85546875" style="372" customWidth="1"/>
    <col min="4" max="4" width="39.140625" style="372" customWidth="1"/>
    <col min="5" max="5" width="24.42578125" style="372" customWidth="1"/>
    <col min="6" max="6" width="28.7109375" style="372" customWidth="1"/>
    <col min="7" max="7" width="23.5703125" style="372" customWidth="1"/>
    <col min="8" max="8" width="26.5703125" style="372" customWidth="1"/>
    <col min="9" max="9" width="22" style="372" customWidth="1"/>
    <col min="10" max="12" width="18.42578125" style="372" customWidth="1"/>
    <col min="13" max="13" width="18.42578125" style="380" customWidth="1"/>
    <col min="14" max="14" width="11.42578125" style="372"/>
    <col min="15" max="25" width="28.5703125" style="372" customWidth="1"/>
    <col min="26" max="26" width="28.5703125" style="583" customWidth="1"/>
    <col min="27" max="27" width="28.5703125" style="372" customWidth="1"/>
    <col min="28" max="28" width="65.85546875" style="372" customWidth="1"/>
    <col min="29" max="16384" width="11.42578125" style="372"/>
  </cols>
  <sheetData>
    <row r="1" spans="1:29" ht="38.25" customHeight="1">
      <c r="A1" s="771" t="s">
        <v>484</v>
      </c>
      <c r="B1" s="772"/>
      <c r="D1" s="778" t="s">
        <v>926</v>
      </c>
      <c r="E1" s="779"/>
      <c r="F1" s="684" t="s">
        <v>981</v>
      </c>
      <c r="G1" s="685"/>
      <c r="H1" s="395"/>
      <c r="I1" s="395"/>
      <c r="J1" s="444"/>
      <c r="K1" s="440"/>
      <c r="L1" s="490" t="str">
        <f>IF(A7="Autre","Grammage_Autre_Interieur",
IF(A7="Recyclé","RecycleOffset",
IF(A7="Brillant","Brillantinterieur",
IF(A7="Couché Mat","CoucheMatInterieur",
IF(A7="Couché Satin","CoucheSatinInterieur",
IF(A7="Offset","OffsetInterieur",
IF(A7="Bouffant Blanc","BouffantBlanc",
IF(A7="Bouffant Munken Blanc","BouffantMunkenBlanc",
IF(A7="Bouffant Munken Crème","BouffantMunkenCreme",
"")))))))))</f>
        <v>CoucheSatinInterieur</v>
      </c>
      <c r="M1" s="580" t="str">
        <f>IF(B7="Autre","Grammage_Autre_Couverture",
IF(OR(A13="Dos carré collé",A13="Dos carré collé PUR",A13="Dos carré collé avec couture"),
  VLOOKUP(B7,
    {"Brillant","Brillantcouv_DC";"Carte 1 face","Carte1Face_DC";"Couché Mat","CoucheMatCouv_DC";"Couché Satin","CoucheSatinCouv_DC"},
    2,FALSE),
  VLOOKUP(B7,
    {"Recyclé","RecycleCouv";"Brillant","Brillantcouv";"Carte 1 face","Carte1Face";"Couché Mat","CoucheMatCouv";"Couché Satin","CoucheSatinCouv";"Offset","OffsetCouv"},
    2,FALSE)))</f>
        <v>CoucheSatinCouv</v>
      </c>
      <c r="N1" s="581"/>
      <c r="O1" s="440"/>
      <c r="P1" s="440"/>
      <c r="Q1" s="440"/>
      <c r="R1" s="440"/>
      <c r="S1" s="441"/>
      <c r="T1" s="440"/>
      <c r="U1" s="440"/>
      <c r="V1" s="440"/>
      <c r="W1" s="440"/>
      <c r="X1" s="440"/>
      <c r="Y1" s="440"/>
      <c r="Z1" s="440"/>
      <c r="AA1" s="440"/>
      <c r="AB1" s="440"/>
      <c r="AC1" s="440"/>
    </row>
    <row r="2" spans="1:29" ht="15.75">
      <c r="A2" s="124" t="s">
        <v>471</v>
      </c>
      <c r="B2" s="124" t="s">
        <v>470</v>
      </c>
      <c r="C2" s="325" t="s">
        <v>483</v>
      </c>
      <c r="D2" s="408" t="s">
        <v>652</v>
      </c>
      <c r="F2" s="567" t="s">
        <v>978</v>
      </c>
      <c r="G2" s="568">
        <v>1761.7031999999999</v>
      </c>
      <c r="I2" s="440"/>
      <c r="J2" s="440"/>
      <c r="K2" s="440"/>
      <c r="L2" s="490" t="str">
        <f>IF(A37="Autre","Toutautre",
IF(A37="Recyclé","Toutrecycle",
IF(A37="Brillant","Toutcouche",
IF(A37="Couché Mat","Toutcouche",
IF(A37="Couché Satin","Toutcouche",
IF(A37="Offset","Toutoffset",
""))))))</f>
        <v/>
      </c>
      <c r="M2" s="490">
        <f ca="1">COUNTIF(INDIRECT(M1),B8)</f>
        <v>1</v>
      </c>
      <c r="N2" s="440"/>
    </row>
    <row r="3" spans="1:29" ht="15.75">
      <c r="A3" s="324">
        <v>800</v>
      </c>
      <c r="B3" s="324" t="s">
        <v>146</v>
      </c>
      <c r="C3" s="667" t="str">
        <f>IFERROR(ROUND(2*LEFT(B3,SEARCH("x",B3)-1)*1 + C5*D5,1)&amp;"x"&amp;RIGHT(B3,LEN(B3)-SEARCH("x",B3)), "")</f>
        <v>42x29,7</v>
      </c>
      <c r="D3" s="666">
        <f>IF(OR(A13="Dos carré collé",A13="Dos carré collé PUR",A13="Dos carré collé avec couture"),
  ('Tableau OFFSET'!A5 / 2) * (VLOOKUP('Tableau OFFSET'!A8,'Tableau papier'!A4:D21,2,FALSE) / 1000),
  0)</f>
        <v>0</v>
      </c>
      <c r="F3" s="569" t="s">
        <v>979</v>
      </c>
      <c r="G3" s="568">
        <f>A31</f>
        <v>1242.4506160000001</v>
      </c>
      <c r="I3" s="440"/>
      <c r="J3" s="440"/>
      <c r="K3" s="440"/>
      <c r="L3" s="488"/>
      <c r="M3" s="488" t="str">
        <f ca="1">IF(M2=0,"❌ Grammage non autorisé pour ce papier et ce façonnage","")</f>
        <v/>
      </c>
      <c r="N3" s="440"/>
      <c r="AC3" s="440"/>
    </row>
    <row r="4" spans="1:29" ht="23.25" customHeight="1" thickBot="1">
      <c r="A4" s="131" t="s">
        <v>735</v>
      </c>
      <c r="B4" s="124" t="s">
        <v>734</v>
      </c>
      <c r="C4" s="326" t="s">
        <v>478</v>
      </c>
      <c r="D4" s="213" t="s">
        <v>482</v>
      </c>
      <c r="F4" s="570" t="s">
        <v>980</v>
      </c>
      <c r="G4" s="571">
        <f>G3-G2</f>
        <v>-519.25258399999984</v>
      </c>
      <c r="I4" s="440"/>
      <c r="J4" s="440"/>
      <c r="K4" s="440"/>
      <c r="L4" s="489"/>
      <c r="M4" s="489"/>
      <c r="N4" s="440"/>
      <c r="AC4" s="440"/>
    </row>
    <row r="5" spans="1:29" ht="15.75">
      <c r="A5" s="324">
        <v>36</v>
      </c>
      <c r="B5" s="324">
        <v>4</v>
      </c>
      <c r="C5" s="332">
        <v>0</v>
      </c>
      <c r="D5" s="333">
        <v>0</v>
      </c>
      <c r="I5" s="440"/>
      <c r="J5" s="440"/>
      <c r="K5" s="440"/>
      <c r="L5" s="489"/>
      <c r="M5" s="489"/>
      <c r="N5" s="440"/>
      <c r="AC5" s="440"/>
    </row>
    <row r="6" spans="1:29" ht="47.25" customHeight="1">
      <c r="A6" s="131" t="s">
        <v>474</v>
      </c>
      <c r="B6" s="131" t="s">
        <v>1064</v>
      </c>
      <c r="C6" s="327" t="s">
        <v>982</v>
      </c>
      <c r="D6" s="294" t="s">
        <v>983</v>
      </c>
      <c r="I6" s="440"/>
      <c r="J6" s="440"/>
      <c r="K6" s="440"/>
      <c r="L6" s="489"/>
      <c r="M6" s="490" t="b">
        <f>AND(ISNUMBER(A5),MOD(A5,4)=0,
  OR(A13&lt;&gt;"Dos carré collé",A5&gt;=40),
  OR(A13&lt;&gt;"Dos carré collé PUR",A5&gt;=40),
  OR(A13&lt;&gt;"Dos carré collé avec couture",A5&gt;=40),
  IF(A13="Piqûre",
    OR(
      AND(OR(B5=2,B5=4), 'Détails PRIX'!D8&lt;=6),
      AND(B5=0, OR('Détails PRIX'!D8&lt;7, AND('Détails PRIX'!D8=7, 'Détails PRIX'!D7=4)))
    ),
    TRUE
  )
)</f>
        <v>1</v>
      </c>
      <c r="N6" s="440"/>
      <c r="AC6" s="440"/>
    </row>
    <row r="7" spans="1:29" ht="15.75">
      <c r="A7" s="335" t="s">
        <v>700</v>
      </c>
      <c r="B7" s="335" t="s">
        <v>700</v>
      </c>
      <c r="C7" s="379"/>
      <c r="D7" s="215"/>
      <c r="I7" s="440"/>
      <c r="J7" s="440"/>
      <c r="K7" s="440"/>
      <c r="L7" s="489"/>
      <c r="M7" s="489"/>
      <c r="N7" s="440"/>
      <c r="AC7" s="440"/>
    </row>
    <row r="8" spans="1:29" ht="15.75">
      <c r="A8" s="324">
        <v>135</v>
      </c>
      <c r="B8" s="324">
        <v>300</v>
      </c>
      <c r="C8" s="373"/>
      <c r="I8" s="440"/>
      <c r="J8" s="440"/>
      <c r="K8" s="440"/>
      <c r="L8" s="489"/>
      <c r="M8" s="489"/>
      <c r="N8" s="440"/>
      <c r="AC8" s="440"/>
    </row>
    <row r="9" spans="1:29" ht="31.5" customHeight="1">
      <c r="A9" s="130"/>
      <c r="B9" s="110"/>
      <c r="C9" s="373"/>
      <c r="F9" s="497"/>
      <c r="G9" s="497"/>
      <c r="I9" s="443"/>
      <c r="J9" s="440"/>
      <c r="K9" s="440"/>
      <c r="L9" s="489"/>
      <c r="M9" s="489"/>
      <c r="N9" s="440"/>
      <c r="AC9" s="440"/>
    </row>
    <row r="10" spans="1:29" ht="29.25" customHeight="1">
      <c r="A10" s="131" t="s">
        <v>477</v>
      </c>
      <c r="B10" s="131" t="s">
        <v>476</v>
      </c>
      <c r="C10" s="124" t="s">
        <v>469</v>
      </c>
      <c r="D10" s="328" t="s">
        <v>486</v>
      </c>
      <c r="F10" s="497"/>
      <c r="G10" s="497"/>
      <c r="I10" s="440"/>
      <c r="J10" s="440"/>
      <c r="K10" s="440"/>
      <c r="L10" s="489"/>
      <c r="M10" s="489"/>
      <c r="N10" s="440"/>
      <c r="AC10" s="440"/>
    </row>
    <row r="11" spans="1:29" ht="15.75">
      <c r="A11" s="324" t="s">
        <v>7</v>
      </c>
      <c r="B11" s="324" t="s">
        <v>7</v>
      </c>
      <c r="C11" s="324" t="s">
        <v>644</v>
      </c>
      <c r="D11" s="332" t="s">
        <v>665</v>
      </c>
      <c r="I11" s="440"/>
      <c r="J11" s="440"/>
      <c r="K11" s="440"/>
      <c r="L11" s="489"/>
      <c r="M11" s="489"/>
      <c r="N11" s="440"/>
      <c r="AC11" s="440"/>
    </row>
    <row r="12" spans="1:29" ht="15.75">
      <c r="A12" s="124" t="s">
        <v>1</v>
      </c>
      <c r="I12" s="440"/>
      <c r="J12" s="440"/>
      <c r="K12" s="440"/>
      <c r="L12" s="489"/>
      <c r="M12" s="489"/>
      <c r="N12" s="440"/>
      <c r="AC12" s="440"/>
    </row>
    <row r="13" spans="1:29" ht="15.75">
      <c r="A13" s="324" t="s">
        <v>139</v>
      </c>
      <c r="I13" s="440"/>
      <c r="J13" s="440"/>
      <c r="K13" s="440"/>
      <c r="L13" s="489"/>
      <c r="M13" s="489"/>
      <c r="N13" s="440"/>
      <c r="O13" s="440"/>
      <c r="P13" s="440"/>
      <c r="Q13" s="440"/>
      <c r="R13" s="440"/>
      <c r="S13" s="441"/>
      <c r="T13" s="440"/>
      <c r="U13" s="440"/>
      <c r="V13" s="440"/>
      <c r="W13" s="440"/>
      <c r="X13" s="440"/>
      <c r="Y13" s="440"/>
      <c r="Z13" s="582"/>
      <c r="AA13" s="440"/>
      <c r="AB13" s="440"/>
      <c r="AC13" s="440"/>
    </row>
    <row r="14" spans="1:29" ht="15.75">
      <c r="A14" s="696" t="s">
        <v>75</v>
      </c>
      <c r="B14" s="696"/>
      <c r="I14" s="440"/>
      <c r="J14" s="440"/>
      <c r="K14" s="440"/>
      <c r="L14" s="489"/>
      <c r="M14" s="489"/>
      <c r="N14" s="440"/>
      <c r="O14" s="440"/>
      <c r="P14" s="440"/>
      <c r="Q14" s="440"/>
      <c r="R14" s="440"/>
      <c r="S14" s="441"/>
      <c r="T14" s="440"/>
      <c r="U14" s="440"/>
      <c r="V14" s="440"/>
      <c r="W14" s="440"/>
      <c r="X14" s="440"/>
      <c r="Y14" s="440"/>
      <c r="Z14" s="582"/>
      <c r="AA14" s="440"/>
      <c r="AB14" s="440"/>
      <c r="AC14" s="440"/>
    </row>
    <row r="15" spans="1:29">
      <c r="A15" s="236" t="s">
        <v>988</v>
      </c>
      <c r="I15" s="440"/>
      <c r="J15" s="440"/>
      <c r="K15" s="440"/>
      <c r="L15" s="489"/>
      <c r="M15" s="489"/>
      <c r="N15" s="440"/>
      <c r="O15" s="440"/>
      <c r="P15" s="440"/>
      <c r="Q15" s="440"/>
      <c r="R15" s="440"/>
      <c r="S15" s="441"/>
      <c r="T15" s="440"/>
      <c r="U15" s="440"/>
      <c r="V15" s="440"/>
      <c r="W15" s="440"/>
      <c r="X15" s="440"/>
      <c r="Y15" s="440"/>
      <c r="Z15" s="582"/>
      <c r="AA15" s="440"/>
      <c r="AB15" s="440"/>
      <c r="AC15" s="440"/>
    </row>
    <row r="16" spans="1:29">
      <c r="A16" s="333"/>
      <c r="I16" s="440"/>
      <c r="J16" s="440"/>
      <c r="K16" s="440"/>
      <c r="L16" s="489"/>
      <c r="M16" s="489"/>
      <c r="N16" s="440"/>
      <c r="O16" s="440"/>
      <c r="P16" s="440"/>
      <c r="Q16" s="440"/>
      <c r="R16" s="440"/>
      <c r="S16" s="440"/>
      <c r="T16" s="440"/>
      <c r="U16" s="440"/>
      <c r="V16" s="440"/>
      <c r="W16" s="440"/>
      <c r="X16" s="440"/>
      <c r="Y16" s="440"/>
      <c r="Z16" s="582"/>
      <c r="AA16" s="440"/>
      <c r="AB16" s="440"/>
      <c r="AC16" s="440"/>
    </row>
    <row r="17" spans="1:29">
      <c r="A17" s="253" t="s">
        <v>493</v>
      </c>
      <c r="B17" s="236" t="s">
        <v>702</v>
      </c>
      <c r="I17" s="440"/>
      <c r="J17" s="440"/>
      <c r="K17" s="440"/>
      <c r="L17" s="489"/>
      <c r="M17" s="489"/>
      <c r="N17" s="440"/>
      <c r="O17" s="440"/>
      <c r="P17" s="440"/>
      <c r="Q17" s="440"/>
      <c r="R17" s="440"/>
      <c r="S17" s="440"/>
      <c r="T17" s="440"/>
      <c r="U17" s="440"/>
      <c r="V17" s="440"/>
      <c r="W17" s="440"/>
      <c r="X17" s="440"/>
      <c r="Y17" s="440"/>
      <c r="Z17" s="582"/>
      <c r="AA17" s="440"/>
      <c r="AB17" s="440"/>
      <c r="AC17" s="440"/>
    </row>
    <row r="18" spans="1:29">
      <c r="A18" s="334"/>
      <c r="B18" s="333"/>
      <c r="I18" s="440"/>
      <c r="J18" s="440"/>
      <c r="K18" s="440"/>
      <c r="L18" s="489"/>
      <c r="M18" s="489"/>
      <c r="N18" s="440"/>
      <c r="O18" s="440"/>
      <c r="P18" s="440"/>
      <c r="Q18" s="440"/>
      <c r="R18" s="440"/>
      <c r="S18" s="440"/>
      <c r="T18" s="440"/>
      <c r="U18" s="440"/>
      <c r="V18" s="440"/>
      <c r="W18" s="440"/>
      <c r="X18" s="440"/>
      <c r="Y18" s="440"/>
      <c r="Z18" s="582"/>
      <c r="AA18" s="440"/>
      <c r="AB18" s="440"/>
      <c r="AC18" s="440"/>
    </row>
    <row r="19" spans="1:29" ht="15.75">
      <c r="A19" s="696" t="s">
        <v>646</v>
      </c>
      <c r="B19" s="696"/>
      <c r="C19" s="696"/>
      <c r="D19" s="696"/>
      <c r="E19" s="696"/>
      <c r="F19" s="696"/>
      <c r="G19" s="696"/>
      <c r="H19" s="696"/>
      <c r="I19" s="440"/>
      <c r="J19" s="444"/>
      <c r="K19" s="440"/>
      <c r="L19" s="489"/>
      <c r="M19" s="489"/>
      <c r="N19" s="440"/>
      <c r="O19" s="440"/>
      <c r="P19" s="440"/>
      <c r="Q19" s="440"/>
      <c r="R19" s="440"/>
      <c r="S19" s="440"/>
      <c r="T19" s="440"/>
      <c r="U19" s="440"/>
      <c r="V19" s="440"/>
      <c r="W19" s="440"/>
      <c r="X19" s="440"/>
      <c r="Y19" s="440"/>
      <c r="Z19" s="582"/>
      <c r="AA19" s="440"/>
      <c r="AB19" s="440"/>
      <c r="AC19" s="440"/>
    </row>
    <row r="20" spans="1:29">
      <c r="A20" s="236" t="s">
        <v>502</v>
      </c>
      <c r="B20" s="236" t="s">
        <v>625</v>
      </c>
      <c r="C20" s="236" t="s">
        <v>632</v>
      </c>
      <c r="D20" s="236" t="s">
        <v>503</v>
      </c>
      <c r="E20" s="236" t="s">
        <v>504</v>
      </c>
      <c r="F20" s="236" t="s">
        <v>624</v>
      </c>
      <c r="G20" s="236" t="s">
        <v>629</v>
      </c>
      <c r="H20" s="774" t="s">
        <v>627</v>
      </c>
      <c r="I20" s="440"/>
      <c r="J20" s="444"/>
      <c r="K20" s="440"/>
      <c r="L20" s="489"/>
      <c r="M20" s="489"/>
      <c r="N20" s="440"/>
      <c r="O20" s="440"/>
      <c r="P20" s="440"/>
      <c r="Q20" s="440"/>
      <c r="R20" s="440"/>
      <c r="S20" s="440"/>
      <c r="T20" s="440"/>
      <c r="U20" s="440"/>
      <c r="V20" s="440"/>
      <c r="W20" s="440"/>
      <c r="X20" s="440"/>
      <c r="Y20" s="440"/>
      <c r="Z20" s="582"/>
      <c r="AA20" s="440"/>
      <c r="AB20" s="440"/>
      <c r="AC20" s="440"/>
    </row>
    <row r="21" spans="1:29" ht="18.600000000000001" customHeight="1">
      <c r="A21" s="287" t="s">
        <v>505</v>
      </c>
      <c r="B21" s="329">
        <v>100</v>
      </c>
      <c r="C21" s="664">
        <f>IF(AND(B21&lt;&gt;"", A28&lt;&gt;""), MAX(1, B21 * A28 / 1000), "")</f>
        <v>19.344979015252328</v>
      </c>
      <c r="D21" s="333" t="s">
        <v>580</v>
      </c>
      <c r="E21" s="329" t="s">
        <v>304</v>
      </c>
      <c r="F21" s="665">
        <f t="array" ref="F21">IFERROR(
  MIN(
    IF(
      (Transports!$A$2:$A$571 = D21) *
      ISNUMBER(INDEX(Transports!$C$2:$CF$571,, MATCH(TRUE, Transports!$C$1:$CF$1 &gt;= C21, 0))),
      INDEX(Transports!$C$2:$CF$571,, MATCH(TRUE, Transports!$C$1:$CF$1 &gt;= C21, 0))
    )
  ) + IF(E21="Oui",60,0),
  ""
)</f>
        <v>22</v>
      </c>
      <c r="G21" s="666" t="str" cm="1">
        <f t="array" ref="G21">IFERROR(
  INDEX(Transports!B2:B571,
    SUMPRODUCT(
      (Transports!$A$2:$A$571=D21)*
      (INDEX(Transports!$C$2:$CF$571,,MATCH(TRUE,Transports!$C$1:$CF$1&gt;=C21,0))=F21)*
      (ROW(Transports!$A$2:$A$571)-1)
    )
  ),
  ""
)</f>
        <v>TNT</v>
      </c>
      <c r="H21" s="774"/>
      <c r="I21" s="440"/>
      <c r="J21" s="440"/>
      <c r="K21" s="440"/>
      <c r="L21" s="489"/>
      <c r="M21" s="489"/>
      <c r="N21" s="440"/>
      <c r="O21" s="440"/>
      <c r="P21" s="440"/>
      <c r="Q21" s="440"/>
      <c r="R21" s="440"/>
      <c r="S21" s="440"/>
      <c r="T21" s="440"/>
      <c r="U21" s="440"/>
      <c r="V21" s="440"/>
      <c r="W21" s="440"/>
      <c r="X21" s="440"/>
      <c r="Y21" s="440"/>
      <c r="Z21" s="582"/>
      <c r="AA21" s="440"/>
      <c r="AB21" s="440"/>
      <c r="AC21" s="440"/>
    </row>
    <row r="22" spans="1:29">
      <c r="A22" s="287" t="s">
        <v>506</v>
      </c>
      <c r="B22" s="329">
        <v>100</v>
      </c>
      <c r="C22" s="664">
        <f>IF(AND(B22&lt;&gt;"", A28&lt;&gt;""), MAX(1, B22 * A28 / 1000), "")</f>
        <v>19.344979015252328</v>
      </c>
      <c r="D22" s="333" t="s">
        <v>583</v>
      </c>
      <c r="E22" s="329" t="s">
        <v>304</v>
      </c>
      <c r="F22" s="665">
        <f t="array" ref="F22">IFERROR(
  MIN(
    IF(
      (Transports!$A$2:$A$571 = D22) *
      ISNUMBER(INDEX(Transports!$C$2:$CF$571,, MATCH(TRUE, Transports!$C$1:$CF$1 &gt;= C22, 0))),
      INDEX(Transports!$C$2:$CF$571,, MATCH(TRUE, Transports!$C$1:$CF$1 &gt;= C22, 0))
    )
  ) + IF(E22="Oui",60,0),
  ""
)</f>
        <v>22</v>
      </c>
      <c r="G22" s="666" t="str">
        <f t="array" ref="G22">IFERROR(
  INDEX(Transports!B2:B571,
    SUMPRODUCT(
      (Transports!$A$2:$A$571 = D22) *
      (INDEX(Transports!$C$2:$CF$571,, MATCH(TRUE, Transports!$C$1:$CF$1 &gt;= C22, 0)) = F22) *
      (ROW(Transports!$A$2:$A$571) - 1)
    )
  ),
  ""
)</f>
        <v>TNT</v>
      </c>
      <c r="H22" s="774"/>
      <c r="I22" s="440"/>
      <c r="J22" s="440"/>
      <c r="K22" s="440"/>
      <c r="L22" s="489"/>
      <c r="M22" s="489"/>
      <c r="N22" s="440"/>
      <c r="O22" s="440"/>
      <c r="P22" s="440"/>
      <c r="Q22" s="440"/>
      <c r="R22" s="440"/>
      <c r="S22" s="440"/>
      <c r="T22" s="440"/>
      <c r="U22" s="440"/>
      <c r="V22" s="440"/>
      <c r="W22" s="440"/>
      <c r="X22" s="440"/>
      <c r="Y22" s="440"/>
      <c r="Z22" s="582"/>
      <c r="AA22" s="440"/>
      <c r="AB22" s="440"/>
      <c r="AC22" s="440"/>
    </row>
    <row r="23" spans="1:29">
      <c r="A23" s="287" t="s">
        <v>507</v>
      </c>
      <c r="B23" s="329"/>
      <c r="C23" s="664" t="str">
        <f>IF(AND(B23&lt;&gt;"", A28&lt;&gt;""), MAX(1, B23 * A28 / 1000), "")</f>
        <v/>
      </c>
      <c r="D23" s="333"/>
      <c r="E23" s="329" t="s">
        <v>304</v>
      </c>
      <c r="F23" s="665">
        <f t="array" ref="F23">IFERROR(
  MIN(
    IF(
      (Transports!$A$2:$A$571 = D23) *
      ISNUMBER(INDEX(Transports!$C$2:$CF$571,, MATCH(TRUE, Transports!$C$1:$CF$1 &gt;= C23, 0))),
      INDEX(Transports!$C$2:$CF$571,, MATCH(TRUE, Transports!$C$1:$CF$1 &gt;= C23, 0))
    )
  ) + IF(E23="Oui",60,0),
  ""
)</f>
        <v>0</v>
      </c>
      <c r="G23" s="666" t="str">
        <f t="array" ref="G23">IFERROR(
  INDEX(Transports!B2:B571,
    SUMPRODUCT(
      (Transports!$A$2:$A$571 = D23) *
      (INDEX(Transports!$C$2:$CF$571,, MATCH(TRUE, Transports!$C$1:$CF$1 &gt;= C23, 0)) = F23) *
      (ROW(Transports!$A$2:$A$571) - 1)
    )
  ),
  ""
)</f>
        <v/>
      </c>
      <c r="H23" s="774"/>
      <c r="I23" s="440"/>
      <c r="J23" s="440"/>
      <c r="K23" s="440"/>
      <c r="L23" s="489"/>
      <c r="M23" s="489"/>
      <c r="N23" s="440"/>
      <c r="O23" s="440"/>
      <c r="P23" s="440"/>
      <c r="Q23" s="440"/>
      <c r="R23" s="440"/>
      <c r="S23" s="440"/>
      <c r="T23" s="440"/>
      <c r="U23" s="440"/>
      <c r="V23" s="440"/>
      <c r="W23" s="440"/>
      <c r="X23" s="440"/>
      <c r="Y23" s="440"/>
      <c r="Z23" s="582"/>
      <c r="AA23" s="440"/>
      <c r="AB23" s="440"/>
      <c r="AC23" s="440"/>
    </row>
    <row r="24" spans="1:29">
      <c r="A24" s="287" t="s">
        <v>508</v>
      </c>
      <c r="B24" s="329"/>
      <c r="C24" s="664" t="str">
        <f>IF(AND(B24&lt;&gt;"", A28&lt;&gt;""), MAX(1, B24 * A28 / 1000), "")</f>
        <v/>
      </c>
      <c r="D24" s="333"/>
      <c r="E24" s="329" t="s">
        <v>304</v>
      </c>
      <c r="F24" s="665">
        <f t="array" ref="F24">IFERROR(
  MIN(
    IF(
      (Transports!$A$2:$A$571 = D24) *
      ISNUMBER(INDEX(Transports!$C$2:$CF$571,, MATCH(TRUE, Transports!$C$1:$CF$1 &gt;= C24, 0))),
      INDEX(Transports!$C$2:$CF$571,, MATCH(TRUE, Transports!$C$1:$CF$1 &gt;= C24, 0))
    )
  ) + IF(E24="Oui",60,0),
  ""
)</f>
        <v>0</v>
      </c>
      <c r="G24" s="666" t="str">
        <f t="array" ref="G24">IFERROR(
  INDEX(Transports!B2:B571,
    SUMPRODUCT(
      (Transports!$A$2:$A$571 = D24) *
      (INDEX(Transports!$C$2:$CF$571,, MATCH(TRUE, Transports!$C$1:$CF$1 &gt;= C24, 0)) = F24) *
      (ROW(Transports!$A$2:$A$571) - 1)
    )
  ),
  ""
)</f>
        <v/>
      </c>
      <c r="H24" s="774"/>
      <c r="I24" s="440"/>
      <c r="J24" s="440"/>
      <c r="K24" s="440"/>
      <c r="L24" s="489"/>
      <c r="M24" s="489"/>
      <c r="N24" s="440"/>
      <c r="O24" s="440"/>
      <c r="P24" s="440"/>
      <c r="Q24" s="440"/>
      <c r="R24" s="440"/>
      <c r="S24" s="440"/>
      <c r="T24" s="440"/>
      <c r="U24" s="440"/>
      <c r="V24" s="440"/>
      <c r="W24" s="440"/>
      <c r="X24" s="440"/>
      <c r="Y24" s="440"/>
      <c r="Z24" s="582"/>
      <c r="AA24" s="440"/>
      <c r="AB24" s="440"/>
      <c r="AC24" s="440"/>
    </row>
    <row r="25" spans="1:29" ht="15.75" thickBot="1">
      <c r="A25" s="287" t="s">
        <v>509</v>
      </c>
      <c r="B25" s="329"/>
      <c r="C25" s="664" t="str">
        <f>IF(AND(B25&lt;&gt;"", A28&lt;&gt;""), MAX(1, B25 * A28 / 1000), "")</f>
        <v/>
      </c>
      <c r="D25" s="333"/>
      <c r="E25" s="329" t="s">
        <v>304</v>
      </c>
      <c r="F25" s="665">
        <f t="array" ref="F25">IFERROR(
  MIN(
    IF(
      (Transports!$A$2:$A$571 = D25) *
      ISNUMBER(INDEX(Transports!$C$2:$CF$571,, MATCH(TRUE, Transports!$C$1:$CF$1 &gt;= C25, 0))),
      INDEX(Transports!$C$2:$CF$571,, MATCH(TRUE, Transports!$C$1:$CF$1 &gt;= C25, 0))
    )
  ) + IF(E25="Oui",60,0),
  ""
)</f>
        <v>0</v>
      </c>
      <c r="G25" s="666" t="str">
        <f t="array" ref="G25">IFERROR(
  INDEX(Transports!B2:B571,
    SUMPRODUCT(
      (Transports!$A$2:$A$571 = D25) *
      (INDEX(Transports!$C$2:$CF$571,, MATCH(TRUE, Transports!$C$1:$CF$1 &gt;= C25, 0)) = F25) *
      (ROW(Transports!$A$2:$A$571) - 1)
    )
  ),
  ""
)</f>
        <v/>
      </c>
      <c r="H25" s="774"/>
      <c r="I25" s="440"/>
      <c r="J25" s="440"/>
      <c r="K25" s="440"/>
      <c r="L25" s="489"/>
      <c r="M25" s="489"/>
      <c r="N25" s="440"/>
      <c r="O25" s="440"/>
      <c r="P25" s="440"/>
      <c r="Q25" s="440"/>
      <c r="R25" s="440"/>
      <c r="S25" s="440"/>
      <c r="T25" s="440"/>
      <c r="U25" s="440"/>
      <c r="V25" s="440"/>
      <c r="W25" s="440"/>
      <c r="X25" s="440"/>
      <c r="Y25" s="440"/>
      <c r="Z25" s="582"/>
      <c r="AA25" s="440"/>
      <c r="AB25" s="440"/>
      <c r="AC25" s="440"/>
    </row>
    <row r="26" spans="1:29" ht="32.1" customHeight="1" thickBot="1">
      <c r="A26" s="446" t="str">
        <f>IF(COUNTIF(B21:B25,"&gt;0")&lt;&gt;COUNTIF(F21:F25,"&gt;0"),
"⚠ Erreur : au moins un point a une quantité sans prix.",
"")</f>
        <v/>
      </c>
      <c r="B26" s="290" t="str">
        <f>IF(SUM(B21:B25)&gt;A3,
   "⚠ Trop réparti : " &amp; SUM(B21:B25) &amp; " / " &amp; A3,
   IF(SUM(B21:B25)&lt;A3,
      "⚠ Quantité incomplète : " &amp; SUM(B21:B25) &amp; " / " &amp; A3,
      "✅ Quantité répartie correctement (" &amp; A3 &amp; ")"
   )
)</f>
        <v>⚠ Quantité incomplète : 200 / 800</v>
      </c>
      <c r="C26" s="374"/>
      <c r="D26" s="331"/>
      <c r="E26" s="288" t="s">
        <v>640</v>
      </c>
      <c r="F26" s="485">
        <f>SUM(F21:F25)+IF(SUM(F21:F25)=0,F27,0)</f>
        <v>44</v>
      </c>
      <c r="G26" s="331"/>
      <c r="H26" s="375"/>
      <c r="I26" s="440"/>
      <c r="J26" s="440"/>
      <c r="K26" s="440"/>
      <c r="L26" s="487"/>
      <c r="M26" s="487"/>
      <c r="N26" s="440"/>
      <c r="O26" s="440"/>
      <c r="P26" s="440"/>
      <c r="Q26" s="440"/>
      <c r="R26" s="440"/>
      <c r="S26" s="440"/>
      <c r="T26" s="440"/>
      <c r="U26" s="440"/>
      <c r="V26" s="440"/>
      <c r="W26" s="440"/>
      <c r="X26" s="440"/>
      <c r="Y26" s="440"/>
      <c r="Z26" s="582"/>
      <c r="AA26" s="440"/>
      <c r="AB26" s="440"/>
      <c r="AC26" s="440"/>
    </row>
    <row r="27" spans="1:29" ht="16.5" thickBot="1">
      <c r="A27" s="254" t="s">
        <v>85</v>
      </c>
      <c r="B27" s="255" t="s">
        <v>136</v>
      </c>
      <c r="E27" s="288" t="s">
        <v>1065</v>
      </c>
      <c r="F27" s="485"/>
      <c r="I27" s="440"/>
      <c r="J27" s="440"/>
      <c r="K27" s="440"/>
      <c r="L27" s="487"/>
      <c r="M27" s="487"/>
      <c r="N27" s="440"/>
      <c r="O27" s="440"/>
      <c r="P27" s="440"/>
      <c r="Q27" s="440"/>
      <c r="R27" s="440"/>
      <c r="S27" s="440"/>
      <c r="T27" s="440"/>
      <c r="U27" s="440"/>
      <c r="V27" s="440"/>
      <c r="W27" s="440"/>
      <c r="X27" s="440"/>
      <c r="Y27" s="440"/>
      <c r="Z27" s="582"/>
      <c r="AA27" s="440"/>
      <c r="AB27" s="440"/>
      <c r="AC27" s="440"/>
    </row>
    <row r="28" spans="1:29" ht="15.75">
      <c r="A28" s="669">
        <f>IFERROR(
  (
    (A5/2) * LEFT(B3,SEARCH("x",B3)-1) * MID(B3,SEARCH("x",B3)+1,10) * A8 +
    IF(B5=0,0,
      (2 * LEFT(B3,SEARCH("x",B3)-1) + D3) * MID(B3,SEARCH("x",B3)+1,10) * B8
    )
  ) / 9769,
  ""
)</f>
        <v>193.44979015252329</v>
      </c>
      <c r="B28" s="668">
        <f>IFERROR((A28*A3)/1000, "")</f>
        <v>154.75983212201862</v>
      </c>
      <c r="I28" s="440"/>
      <c r="J28" s="440"/>
      <c r="K28" s="440"/>
      <c r="L28" s="487"/>
      <c r="M28" s="487"/>
      <c r="N28" s="440"/>
      <c r="O28" s="440"/>
      <c r="P28" s="440"/>
      <c r="Q28" s="440"/>
      <c r="R28" s="440"/>
      <c r="S28" s="440"/>
      <c r="T28" s="440"/>
      <c r="U28" s="440"/>
      <c r="V28" s="440"/>
      <c r="W28" s="440"/>
      <c r="X28" s="440"/>
      <c r="Y28" s="440"/>
      <c r="Z28" s="582"/>
      <c r="AA28" s="440"/>
      <c r="AB28" s="440"/>
      <c r="AC28" s="440"/>
    </row>
    <row r="29" spans="1:29" ht="15.75" thickBot="1">
      <c r="I29" s="440"/>
      <c r="J29" s="440"/>
      <c r="K29" s="440"/>
      <c r="L29" s="487"/>
      <c r="M29" s="487"/>
      <c r="N29" s="440"/>
      <c r="O29" s="440"/>
      <c r="P29" s="440"/>
      <c r="Q29" s="440"/>
      <c r="R29" s="440"/>
      <c r="S29" s="440"/>
      <c r="T29" s="440"/>
      <c r="U29" s="440"/>
      <c r="V29" s="440"/>
      <c r="W29" s="440"/>
      <c r="X29" s="440"/>
      <c r="Y29" s="440"/>
      <c r="Z29" s="582"/>
      <c r="AA29" s="440"/>
      <c r="AB29" s="440"/>
      <c r="AC29" s="440"/>
    </row>
    <row r="30" spans="1:29" ht="29.1" customHeight="1" thickBot="1">
      <c r="A30" s="775" t="s">
        <v>951</v>
      </c>
      <c r="B30" s="705"/>
      <c r="I30" s="440"/>
      <c r="J30" s="440"/>
      <c r="K30" s="440"/>
      <c r="L30" s="487"/>
      <c r="M30" s="487"/>
      <c r="N30" s="440"/>
      <c r="O30" s="440"/>
      <c r="P30" s="440"/>
      <c r="Q30" s="440"/>
      <c r="R30" s="440"/>
      <c r="S30" s="440"/>
      <c r="T30" s="440"/>
      <c r="U30" s="440"/>
      <c r="V30" s="440"/>
      <c r="W30" s="440"/>
      <c r="X30" s="440"/>
      <c r="Y30" s="440"/>
      <c r="Z30" s="582"/>
      <c r="AA30" s="440"/>
      <c r="AB30" s="440"/>
      <c r="AC30" s="440"/>
    </row>
    <row r="31" spans="1:29" ht="28.5" customHeight="1" thickBot="1">
      <c r="A31" s="776">
        <f>IF('Tableau OFFSET'!A3=0,0,
IFERROR(
  (
    IF(
      AND('Détails PRIX'!A25="Piqûre", IFERROR('Tableau OFFSET'!C5, 0)=0),
      MIN(
        IFERROR('Détails PRIX'!C25, 0),
        IFERROR('Détails PRIX'!C26, 0)
      ),
      IFERROR('Détails PRIX'!C25, 0)
    )
    + IFERROR('Détails PRIX'!C29, 0)
    + IFERROR('Détails PRIX'!C21, 0)
    + IFERROR('Détails PRIX'!A13, 0)
  )
  + IFERROR(F26, 0)
  + IFERROR('Détails PRIX'!C34, 0)
  + IFERROR('Détails PRIX'!C32, 0)
  + IFERROR('Détails PRIX'!C31, 0)
  + IFERROR('Détails PRIX'!C35, 0),
  0
)+'Détails PRIX'!A62+'Détails PRIX'!N25)
*1.07</f>
        <v>1242.4506160000001</v>
      </c>
      <c r="B31" s="777"/>
      <c r="I31" s="440"/>
      <c r="J31" s="440"/>
      <c r="K31" s="440"/>
      <c r="L31" s="487"/>
      <c r="M31" s="487"/>
      <c r="N31" s="440"/>
      <c r="O31" s="440"/>
      <c r="P31" s="440"/>
      <c r="Q31" s="440"/>
      <c r="R31" s="440"/>
      <c r="S31" s="440"/>
      <c r="T31" s="440"/>
      <c r="U31" s="440"/>
      <c r="V31" s="440"/>
      <c r="W31" s="440"/>
      <c r="X31" s="440"/>
      <c r="Y31" s="440"/>
      <c r="Z31" s="582"/>
      <c r="AA31" s="440"/>
      <c r="AB31" s="440"/>
      <c r="AC31" s="440"/>
    </row>
    <row r="32" spans="1:29" ht="112.5" customHeight="1" thickBot="1">
      <c r="A32" s="773"/>
      <c r="B32" s="773"/>
      <c r="C32" s="380"/>
      <c r="D32" s="380"/>
      <c r="E32" s="380"/>
      <c r="F32" s="380"/>
      <c r="G32" s="380"/>
      <c r="H32" s="380"/>
      <c r="I32" s="487"/>
      <c r="J32" s="487"/>
      <c r="K32" s="487"/>
      <c r="L32" s="487"/>
      <c r="M32" s="487"/>
      <c r="N32" s="440"/>
      <c r="O32" s="440"/>
      <c r="P32" s="440"/>
      <c r="Q32" s="440"/>
      <c r="R32" s="440"/>
      <c r="S32" s="440"/>
      <c r="T32" s="440"/>
      <c r="U32" s="440"/>
      <c r="V32" s="440"/>
      <c r="W32" s="440"/>
      <c r="X32" s="440"/>
      <c r="Y32" s="440"/>
      <c r="Z32" s="582"/>
      <c r="AA32" s="440"/>
      <c r="AB32" s="440"/>
      <c r="AC32" s="440"/>
    </row>
    <row r="33" spans="1:30" ht="63.75" customHeight="1">
      <c r="A33" s="771" t="s">
        <v>918</v>
      </c>
      <c r="B33" s="772"/>
      <c r="D33" s="448" t="s">
        <v>926</v>
      </c>
      <c r="F33" s="684" t="s">
        <v>981</v>
      </c>
      <c r="G33" s="685"/>
      <c r="I33" s="440"/>
      <c r="J33" s="440"/>
      <c r="K33" s="440"/>
      <c r="L33" s="487"/>
      <c r="M33" s="579" t="e">
        <f>AND(
  LEN(B35)-LEN(SUBSTITUTE(B35,"x",""))=1,
  ISNUMBER(--LEFT(B35,FIND("x",B35)-1)),
  ISNUMBER(--RIGHT(B35,LEN(B35)-FIND("x",B35))),
  OR(
    'Tableau OFFSET'!A42&lt;&gt;"Dépliant",
    AND(
      LEFT(B35,FIND("x",B35)-1)*1&gt;=10,
      RIGHT(B35,LEN(B35)-FIND("x",B35))*1&gt;=15
    )
  )
)</f>
        <v>#VALUE!</v>
      </c>
      <c r="N33" s="440"/>
      <c r="O33" s="440"/>
      <c r="P33" s="440"/>
      <c r="Q33" s="440"/>
      <c r="R33" s="440"/>
      <c r="S33" s="440"/>
      <c r="T33" s="440"/>
      <c r="U33" s="440"/>
      <c r="V33" s="440"/>
      <c r="W33" s="440"/>
      <c r="X33" s="440"/>
      <c r="Y33" s="440"/>
      <c r="Z33" s="582"/>
      <c r="AA33" s="440"/>
      <c r="AB33" s="440"/>
      <c r="AC33" s="440"/>
    </row>
    <row r="34" spans="1:30" ht="15.75">
      <c r="A34" s="124" t="s">
        <v>471</v>
      </c>
      <c r="B34" s="124" t="s">
        <v>470</v>
      </c>
      <c r="C34" s="325" t="s">
        <v>483</v>
      </c>
      <c r="D34" s="492" t="s">
        <v>841</v>
      </c>
      <c r="F34" s="567" t="s">
        <v>978</v>
      </c>
      <c r="G34" s="568">
        <v>0</v>
      </c>
      <c r="H34" s="440"/>
      <c r="I34" s="440"/>
      <c r="J34" s="440"/>
      <c r="K34" s="440"/>
      <c r="L34" s="487"/>
      <c r="M34" s="487"/>
      <c r="N34" s="440"/>
      <c r="O34" s="440"/>
      <c r="P34" s="440"/>
      <c r="Q34" s="440"/>
      <c r="R34" s="440"/>
      <c r="S34" s="440"/>
      <c r="T34" s="440"/>
      <c r="U34" s="440"/>
      <c r="V34" s="440"/>
      <c r="W34" s="440"/>
      <c r="X34" s="440"/>
      <c r="Y34" s="440"/>
      <c r="Z34" s="582"/>
      <c r="AA34" s="440"/>
      <c r="AB34" s="440"/>
    </row>
    <row r="35" spans="1:30" ht="15.75">
      <c r="A35" s="324"/>
      <c r="B35" s="324"/>
      <c r="C35" s="662">
        <f>IF(A42&lt;&gt;"Dépliant",
B35,
IFERROR(
TEXT(
(LEFT(B35,SEARCH("x",B35)-1)*1)*(C42+1),
"0,0"
)
&amp;"x"&amp;
TEXT(
(RIGHT(B35,LEN(B35)-SEARCH("x",B35))*1)*IF(OR(D42&lt;&gt;"Croisé",E42=""),1,E42+1),
"0,0"
),
""
)
)</f>
        <v>0</v>
      </c>
      <c r="D35" s="663" t="str">
        <f>IF(A42&lt;&gt;"Dépliant",
  "",
  (C42+1) * (IF(OR(D42&lt;&gt;"Croisé",E42=""),1,E42+1))
)</f>
        <v/>
      </c>
      <c r="F35" s="569" t="s">
        <v>979</v>
      </c>
      <c r="G35" s="568">
        <v>0</v>
      </c>
      <c r="H35" s="440"/>
      <c r="I35" s="440"/>
      <c r="J35" s="440"/>
      <c r="K35" s="440"/>
      <c r="L35" s="487"/>
      <c r="M35" s="487"/>
      <c r="N35" s="440"/>
      <c r="O35" s="440"/>
      <c r="P35" s="440"/>
      <c r="Q35" s="440"/>
      <c r="R35" s="440"/>
      <c r="S35" s="440"/>
      <c r="T35" s="440"/>
      <c r="U35" s="440"/>
      <c r="V35" s="440"/>
      <c r="W35" s="440"/>
      <c r="X35" s="440"/>
      <c r="Y35" s="440"/>
      <c r="Z35" s="582"/>
      <c r="AA35" s="440"/>
      <c r="AB35" s="440"/>
    </row>
    <row r="36" spans="1:30" ht="32.25" thickBot="1">
      <c r="A36" s="131" t="s">
        <v>474</v>
      </c>
      <c r="B36" s="294" t="s">
        <v>659</v>
      </c>
      <c r="F36" s="570" t="s">
        <v>980</v>
      </c>
      <c r="G36" s="571">
        <v>0</v>
      </c>
      <c r="H36" s="440"/>
      <c r="I36" s="440"/>
      <c r="J36" s="440"/>
      <c r="L36" s="487"/>
      <c r="M36" s="487"/>
      <c r="N36" s="440"/>
      <c r="O36" s="440"/>
      <c r="P36" s="440"/>
      <c r="Q36" s="440"/>
      <c r="R36" s="440"/>
      <c r="S36" s="440"/>
      <c r="T36" s="440"/>
      <c r="U36" s="440"/>
      <c r="V36" s="440"/>
      <c r="W36" s="440"/>
      <c r="X36" s="440"/>
      <c r="Y36" s="440"/>
    </row>
    <row r="37" spans="1:30" ht="18.75" customHeight="1">
      <c r="A37" s="335"/>
      <c r="B37" s="215"/>
      <c r="G37" s="440"/>
      <c r="H37" s="440"/>
      <c r="I37" s="440"/>
      <c r="J37" s="440"/>
      <c r="L37" s="487"/>
      <c r="M37" s="487"/>
      <c r="N37" s="440"/>
      <c r="O37" s="440"/>
      <c r="P37" s="440"/>
      <c r="Q37" s="440"/>
      <c r="R37" s="440"/>
      <c r="S37" s="440"/>
      <c r="T37" s="440"/>
      <c r="U37" s="440"/>
      <c r="V37" s="440"/>
      <c r="W37" s="440"/>
      <c r="X37" s="440"/>
      <c r="Y37" s="440"/>
    </row>
    <row r="38" spans="1:30" ht="15.75" customHeight="1">
      <c r="A38" s="324"/>
      <c r="H38" s="440"/>
      <c r="I38" s="440"/>
      <c r="J38" s="440"/>
      <c r="K38" s="440"/>
      <c r="L38" s="487"/>
      <c r="N38" s="440"/>
      <c r="O38" s="440"/>
      <c r="P38" s="440"/>
      <c r="Q38" s="440"/>
      <c r="R38" s="440"/>
      <c r="S38" s="440"/>
      <c r="T38" s="440"/>
      <c r="U38" s="440"/>
      <c r="V38" s="440"/>
      <c r="W38" s="440"/>
      <c r="X38" s="440"/>
      <c r="Y38" s="440"/>
      <c r="Z38" s="582"/>
      <c r="AA38" s="440"/>
      <c r="AB38" s="440"/>
    </row>
    <row r="39" spans="1:30" ht="18.75" customHeight="1">
      <c r="A39" s="131" t="s">
        <v>914</v>
      </c>
      <c r="B39" s="131" t="s">
        <v>842</v>
      </c>
      <c r="C39" s="493" t="s">
        <v>469</v>
      </c>
      <c r="D39" s="493" t="s">
        <v>486</v>
      </c>
      <c r="I39" s="440"/>
      <c r="J39" s="440"/>
      <c r="K39" s="440"/>
      <c r="L39" s="487"/>
      <c r="N39" s="440"/>
      <c r="O39" s="440"/>
      <c r="P39" s="440"/>
      <c r="Q39" s="440"/>
      <c r="R39" s="440"/>
      <c r="S39" s="440"/>
      <c r="T39" s="440"/>
      <c r="U39" s="440"/>
      <c r="V39" s="440"/>
      <c r="W39" s="440"/>
      <c r="X39" s="440"/>
      <c r="Y39" s="440"/>
      <c r="Z39" s="582"/>
      <c r="AA39" s="440"/>
      <c r="AB39" s="440"/>
      <c r="AC39" s="440"/>
    </row>
    <row r="40" spans="1:30" ht="15.75">
      <c r="A40" s="324"/>
      <c r="B40" s="324"/>
      <c r="C40" s="324"/>
      <c r="D40" s="332"/>
      <c r="I40" s="440"/>
      <c r="J40" s="440"/>
      <c r="K40" s="440"/>
      <c r="L40" s="487"/>
      <c r="N40" s="440"/>
      <c r="O40" s="440"/>
      <c r="P40" s="440"/>
      <c r="Q40" s="440"/>
      <c r="R40" s="440"/>
      <c r="S40" s="440"/>
      <c r="T40" s="440"/>
      <c r="U40" s="440"/>
      <c r="V40" s="440"/>
      <c r="W40" s="440"/>
      <c r="X40" s="440"/>
      <c r="Y40" s="440"/>
      <c r="Z40" s="582"/>
      <c r="AA40" s="440"/>
      <c r="AB40" s="440"/>
      <c r="AC40" s="440"/>
      <c r="AD40" s="440"/>
    </row>
    <row r="41" spans="1:30" ht="15.75">
      <c r="A41" s="124" t="s">
        <v>838</v>
      </c>
      <c r="B41" s="492" t="s">
        <v>839</v>
      </c>
      <c r="C41" s="492" t="s">
        <v>733</v>
      </c>
      <c r="D41" s="492" t="s">
        <v>840</v>
      </c>
      <c r="E41" s="492" t="s">
        <v>733</v>
      </c>
      <c r="I41" s="440"/>
      <c r="J41" s="440"/>
      <c r="K41" s="440"/>
      <c r="L41" s="487"/>
      <c r="M41" s="487"/>
      <c r="N41" s="440"/>
      <c r="O41" s="440"/>
      <c r="P41" s="440"/>
      <c r="Q41" s="440"/>
      <c r="R41" s="440"/>
      <c r="S41" s="440"/>
      <c r="T41" s="440"/>
      <c r="U41" s="440"/>
      <c r="V41" s="440"/>
      <c r="W41" s="440"/>
      <c r="X41" s="440"/>
      <c r="Y41" s="440"/>
      <c r="Z41" s="582"/>
      <c r="AA41" s="440"/>
      <c r="AB41" s="440"/>
    </row>
    <row r="42" spans="1:30" ht="16.5" thickBot="1">
      <c r="A42" s="324"/>
      <c r="B42" s="333"/>
      <c r="C42" s="334"/>
      <c r="D42" s="333"/>
      <c r="E42" s="333"/>
      <c r="I42" s="440"/>
      <c r="J42" s="440"/>
      <c r="K42" s="440"/>
      <c r="L42" s="487"/>
      <c r="M42" s="487"/>
      <c r="N42" s="440"/>
      <c r="O42" s="440"/>
      <c r="P42" s="440"/>
      <c r="Q42" s="440"/>
      <c r="R42" s="440"/>
      <c r="S42" s="440"/>
      <c r="T42" s="440"/>
      <c r="U42" s="440"/>
      <c r="V42" s="440"/>
      <c r="W42" s="440"/>
      <c r="X42" s="440"/>
      <c r="Y42" s="440"/>
      <c r="Z42" s="582"/>
      <c r="AA42" s="440"/>
      <c r="AB42" s="440"/>
    </row>
    <row r="43" spans="1:30" ht="15.75">
      <c r="A43" s="623" t="s">
        <v>1068</v>
      </c>
      <c r="B43" s="624" t="s">
        <v>1069</v>
      </c>
      <c r="C43" s="656" t="s">
        <v>1049</v>
      </c>
      <c r="D43" s="661" t="s">
        <v>1063</v>
      </c>
      <c r="E43" s="331"/>
      <c r="I43" s="440"/>
      <c r="J43" s="440"/>
      <c r="K43" s="440"/>
      <c r="L43" s="487"/>
      <c r="M43" s="487"/>
      <c r="N43" s="440"/>
      <c r="O43" s="440"/>
      <c r="P43" s="440"/>
      <c r="Q43" s="440"/>
      <c r="R43" s="440"/>
      <c r="S43" s="440"/>
      <c r="T43" s="440"/>
      <c r="U43" s="440"/>
      <c r="V43" s="440"/>
      <c r="W43" s="440"/>
      <c r="X43" s="440"/>
      <c r="Y43" s="440"/>
      <c r="Z43" s="582"/>
      <c r="AA43" s="440"/>
      <c r="AB43" s="440"/>
    </row>
    <row r="44" spans="1:30" ht="16.5" thickBot="1">
      <c r="A44" s="392">
        <v>0</v>
      </c>
      <c r="B44" s="390"/>
      <c r="C44" s="658" t="str">
        <f>'Détails PRIX DEPLIANTS'!B7</f>
        <v>1 modèle (standard)</v>
      </c>
      <c r="D44" s="659" t="str">
        <f>'Détails PRIX DEPLIANTS'!C9</f>
        <v>1 modèle (standard)</v>
      </c>
      <c r="E44" s="331"/>
      <c r="I44" s="440"/>
      <c r="J44" s="440"/>
      <c r="K44" s="440"/>
      <c r="L44" s="487"/>
      <c r="M44" s="487"/>
      <c r="N44" s="440"/>
      <c r="O44" s="440"/>
      <c r="P44" s="440"/>
      <c r="Q44" s="440"/>
      <c r="R44" s="440"/>
      <c r="S44" s="440"/>
      <c r="T44" s="440"/>
      <c r="U44" s="440"/>
      <c r="V44" s="440"/>
      <c r="W44" s="440"/>
      <c r="X44" s="440"/>
      <c r="Y44" s="440"/>
      <c r="Z44" s="582"/>
      <c r="AA44" s="440"/>
      <c r="AB44" s="440"/>
    </row>
    <row r="45" spans="1:30" ht="15.75">
      <c r="A45" s="696" t="s">
        <v>75</v>
      </c>
      <c r="B45" s="697"/>
      <c r="I45" s="440"/>
      <c r="J45" s="440"/>
      <c r="K45" s="440"/>
      <c r="L45" s="487"/>
      <c r="M45" s="487"/>
      <c r="N45" s="440"/>
      <c r="O45" s="440"/>
      <c r="P45" s="440"/>
      <c r="Q45" s="440"/>
      <c r="R45" s="440"/>
      <c r="S45" s="440"/>
      <c r="T45" s="440"/>
      <c r="U45" s="440"/>
      <c r="V45" s="440"/>
      <c r="W45" s="440"/>
      <c r="X45" s="440"/>
      <c r="Y45" s="440"/>
      <c r="Z45" s="582"/>
      <c r="AA45" s="440"/>
      <c r="AB45" s="440"/>
      <c r="AC45" s="440"/>
    </row>
    <row r="46" spans="1:30">
      <c r="A46" s="236" t="s">
        <v>701</v>
      </c>
      <c r="I46" s="440"/>
      <c r="J46" s="440"/>
      <c r="K46" s="440"/>
      <c r="L46" s="487"/>
      <c r="M46" s="487"/>
      <c r="N46" s="440"/>
      <c r="O46" s="440"/>
      <c r="P46" s="440"/>
      <c r="Q46" s="440"/>
      <c r="R46" s="440"/>
      <c r="S46" s="440"/>
      <c r="T46" s="440"/>
      <c r="U46" s="440"/>
      <c r="V46" s="440"/>
      <c r="W46" s="440"/>
      <c r="X46" s="440"/>
      <c r="Y46" s="440"/>
      <c r="Z46" s="582"/>
      <c r="AA46" s="440"/>
      <c r="AB46" s="440"/>
      <c r="AC46" s="440"/>
    </row>
    <row r="47" spans="1:30">
      <c r="A47" s="333"/>
      <c r="I47" s="440"/>
      <c r="J47" s="440"/>
      <c r="K47" s="440"/>
      <c r="L47" s="487"/>
      <c r="M47" s="487"/>
      <c r="N47" s="440"/>
      <c r="O47" s="440"/>
      <c r="P47" s="440"/>
      <c r="Q47" s="440"/>
      <c r="R47" s="440"/>
      <c r="S47" s="440"/>
      <c r="T47" s="440"/>
      <c r="U47" s="440"/>
      <c r="V47" s="440"/>
      <c r="W47" s="440"/>
      <c r="X47" s="440"/>
      <c r="Y47" s="440"/>
      <c r="Z47" s="582"/>
      <c r="AA47" s="440"/>
      <c r="AB47" s="440"/>
      <c r="AC47" s="440"/>
    </row>
    <row r="48" spans="1:30">
      <c r="A48" s="253" t="s">
        <v>493</v>
      </c>
      <c r="B48" s="236" t="s">
        <v>702</v>
      </c>
      <c r="I48" s="440"/>
      <c r="J48" s="440"/>
      <c r="K48" s="440"/>
      <c r="L48" s="487"/>
      <c r="M48" s="487"/>
      <c r="N48" s="440"/>
      <c r="O48" s="440"/>
      <c r="P48" s="440"/>
      <c r="Q48" s="440"/>
      <c r="R48" s="440"/>
      <c r="S48" s="440"/>
      <c r="T48" s="440"/>
      <c r="U48" s="440"/>
      <c r="V48" s="440"/>
      <c r="W48" s="440"/>
      <c r="X48" s="440"/>
      <c r="Y48" s="440"/>
      <c r="Z48" s="582"/>
      <c r="AA48" s="440"/>
      <c r="AB48" s="440"/>
      <c r="AC48" s="440"/>
    </row>
    <row r="49" spans="1:29">
      <c r="A49" s="334"/>
      <c r="B49" s="333"/>
      <c r="I49" s="440"/>
      <c r="J49" s="440"/>
      <c r="K49" s="440"/>
      <c r="L49" s="487"/>
      <c r="M49" s="487"/>
      <c r="N49" s="440"/>
      <c r="O49" s="440"/>
      <c r="P49" s="440"/>
      <c r="Q49" s="440"/>
      <c r="R49" s="440"/>
      <c r="S49" s="440"/>
      <c r="T49" s="440"/>
      <c r="U49" s="440"/>
      <c r="V49" s="440"/>
      <c r="W49" s="440"/>
      <c r="X49" s="440"/>
      <c r="Y49" s="440"/>
      <c r="Z49" s="582"/>
      <c r="AA49" s="440"/>
      <c r="AB49" s="440"/>
      <c r="AC49" s="440"/>
    </row>
    <row r="50" spans="1:29" ht="15.75">
      <c r="A50" s="696" t="s">
        <v>646</v>
      </c>
      <c r="B50" s="696"/>
      <c r="C50" s="696"/>
      <c r="D50" s="696"/>
      <c r="E50" s="696"/>
      <c r="F50" s="696"/>
      <c r="G50" s="696"/>
      <c r="H50" s="696"/>
      <c r="I50" s="440"/>
      <c r="J50" s="440"/>
      <c r="K50" s="440"/>
      <c r="L50" s="487"/>
      <c r="M50" s="487"/>
      <c r="N50" s="440"/>
      <c r="O50" s="440"/>
      <c r="P50" s="440"/>
      <c r="Q50" s="440"/>
      <c r="R50" s="440"/>
      <c r="S50" s="440"/>
      <c r="T50" s="440"/>
      <c r="U50" s="440"/>
      <c r="V50" s="440"/>
      <c r="W50" s="440"/>
      <c r="X50" s="440"/>
      <c r="Y50" s="440"/>
      <c r="Z50" s="582"/>
      <c r="AA50" s="440"/>
      <c r="AB50" s="440"/>
      <c r="AC50" s="440"/>
    </row>
    <row r="51" spans="1:29">
      <c r="A51" s="236" t="s">
        <v>502</v>
      </c>
      <c r="B51" s="236" t="s">
        <v>625</v>
      </c>
      <c r="C51" s="236" t="s">
        <v>632</v>
      </c>
      <c r="D51" s="236" t="s">
        <v>503</v>
      </c>
      <c r="E51" s="236" t="s">
        <v>504</v>
      </c>
      <c r="F51" s="236" t="s">
        <v>624</v>
      </c>
      <c r="G51" s="236" t="s">
        <v>629</v>
      </c>
      <c r="H51" s="774" t="s">
        <v>627</v>
      </c>
      <c r="I51" s="440"/>
      <c r="J51" s="440"/>
      <c r="K51" s="440"/>
      <c r="L51" s="487"/>
      <c r="M51" s="487"/>
      <c r="N51" s="440"/>
      <c r="O51" s="440"/>
      <c r="P51" s="440"/>
      <c r="Q51" s="440"/>
      <c r="R51" s="440"/>
      <c r="S51" s="440"/>
      <c r="T51" s="440"/>
      <c r="U51" s="440"/>
      <c r="V51" s="440"/>
      <c r="W51" s="440"/>
      <c r="X51" s="440"/>
      <c r="Y51" s="440"/>
      <c r="Z51" s="582"/>
      <c r="AA51" s="440"/>
      <c r="AB51" s="440"/>
      <c r="AC51" s="440"/>
    </row>
    <row r="52" spans="1:29">
      <c r="A52" s="287" t="s">
        <v>505</v>
      </c>
      <c r="B52" s="329"/>
      <c r="C52" s="664" t="str">
        <f>IF(AND(B52&lt;&gt;"", A59&lt;&gt;""), MAX(1, B52 * A59 / 1000), "")</f>
        <v/>
      </c>
      <c r="D52" s="333" t="s">
        <v>570</v>
      </c>
      <c r="E52" s="329" t="s">
        <v>304</v>
      </c>
      <c r="F52" s="665" cm="1">
        <f t="array" ref="F52">IFERROR(
  MIN(
    IF(
      (Transports!$A$2:$A$571=D52) *
      ISNUMBER(INDEX(Transports!$C$2:$CF$571,,MATCH(TRUE,Transports!$C$1:$CF$1&gt;=C52,0))),
      INDEX(Transports!$C$2:$CF$571,,MATCH(TRUE,Transports!$C$1:$CF$1&gt;=C52,0))
    )
  ) + IF(E52="Oui",60,0),
  ""
)</f>
        <v>0</v>
      </c>
      <c r="G52" s="666" t="str">
        <f t="array" ref="G52">IFERROR(
  INDEX(Transports!B34:B603,
    SUMPRODUCT(
      (Transports!$A$2:$A$571=D52)*
      (INDEX(Transports!$C$2:$CF$571,,MATCH(TRUE,Transports!$C$1:$CF$1&gt;=C52,0))=F52)*
      (ROW(Transports!$A$2:$A$571)-1)
    )
  ),
  ""
)</f>
        <v/>
      </c>
      <c r="H52" s="774"/>
      <c r="I52" s="440"/>
      <c r="J52" s="440"/>
      <c r="K52" s="440"/>
      <c r="L52" s="487"/>
      <c r="M52" s="487"/>
      <c r="N52" s="440"/>
      <c r="O52" s="440"/>
      <c r="P52" s="440"/>
      <c r="Q52" s="440"/>
      <c r="R52" s="440"/>
      <c r="S52" s="440"/>
      <c r="T52" s="440"/>
      <c r="U52" s="440"/>
      <c r="V52" s="440"/>
      <c r="W52" s="440"/>
      <c r="X52" s="440"/>
      <c r="Y52" s="440"/>
      <c r="Z52" s="582"/>
      <c r="AA52" s="440"/>
      <c r="AB52" s="440"/>
      <c r="AC52" s="440"/>
    </row>
    <row r="53" spans="1:29" ht="15" customHeight="1">
      <c r="A53" s="287" t="s">
        <v>506</v>
      </c>
      <c r="B53" s="329"/>
      <c r="C53" s="664" t="str">
        <f>IF(AND(B53&lt;&gt;"", A59&lt;&gt;""), MAX(1, B53 * A59 / 1000), "")</f>
        <v/>
      </c>
      <c r="D53" s="333" t="s">
        <v>583</v>
      </c>
      <c r="E53" s="329" t="s">
        <v>304</v>
      </c>
      <c r="F53" s="665" cm="1">
        <f t="array" ref="F53">IFERROR(
  MIN(
    IF(
      (Transports!$A$2:$A$571=D53) *
      ISNUMBER(INDEX(Transports!$C$2:$CF$571,,MATCH(TRUE,Transports!$C$1:$CF$1&gt;=C53,0))),
      INDEX(Transports!$C$2:$CF$571,,MATCH(TRUE,Transports!$C$1:$CF$1&gt;=C53,0))
    )
  ) + IF(E53="Oui",60,0),
  ""
)</f>
        <v>0</v>
      </c>
      <c r="G53" s="666" t="str">
        <f t="array" ref="G53">IFERROR(
  INDEX(Transports!B34:B603,
    SUMPRODUCT(
      (Transports!$A$2:$A$571 = D53) *
      (INDEX(Transports!$C$2:$CF$571,, MATCH(TRUE, Transports!$C$1:$CF$1 &gt;= C53, 0)) = F53) *
      (ROW(Transports!$A$2:$A$571) - 1)
    )
  ),
  ""
)</f>
        <v/>
      </c>
      <c r="H53" s="774"/>
      <c r="I53" s="440"/>
      <c r="J53" s="440"/>
      <c r="K53" s="440"/>
      <c r="L53" s="487"/>
      <c r="M53" s="487"/>
      <c r="N53" s="440"/>
      <c r="O53" s="440"/>
      <c r="P53" s="440"/>
      <c r="Q53" s="440"/>
      <c r="R53" s="440"/>
      <c r="S53" s="440"/>
      <c r="T53" s="440"/>
      <c r="U53" s="440"/>
      <c r="V53" s="440"/>
      <c r="W53" s="440"/>
      <c r="X53" s="440"/>
      <c r="Y53" s="440"/>
      <c r="Z53" s="582"/>
      <c r="AA53" s="440"/>
      <c r="AB53" s="440"/>
      <c r="AC53" s="440"/>
    </row>
    <row r="54" spans="1:29" ht="15" customHeight="1">
      <c r="A54" s="287" t="s">
        <v>507</v>
      </c>
      <c r="B54" s="329"/>
      <c r="C54" s="664" t="str">
        <f>IF(AND(B54&lt;&gt;"", A59&lt;&gt;""), MAX(1, B54 * A59 / 1000), "")</f>
        <v/>
      </c>
      <c r="D54" s="333" t="s">
        <v>601</v>
      </c>
      <c r="E54" s="329" t="s">
        <v>304</v>
      </c>
      <c r="F54" s="665" cm="1">
        <f t="array" ref="F54">IFERROR(
  MIN(
    IF(
      (Transports!$A$2:$A$571=D54) *
      ISNUMBER(INDEX(Transports!$C$2:$CF$571,,MATCH(TRUE,Transports!$C$1:$CF$1&gt;=C54,0))),
      INDEX(Transports!$C$2:$CF$571,,MATCH(TRUE,Transports!$C$1:$CF$1&gt;=C54,0))
    )
  ) + IF(E54="Oui",60,0),
  ""
)</f>
        <v>0</v>
      </c>
      <c r="G54" s="666" t="str">
        <f t="array" ref="G54">IFERROR(
  INDEX(Transports!B34:B603,
    SUMPRODUCT(
      (Transports!$A$2:$A$571 = D54) *
      (INDEX(Transports!$C$2:$CF$571,, MATCH(TRUE, Transports!$C$1:$CF$1 &gt;= C54, 0)) = F54) *
      (ROW(Transports!$A$2:$A$571) - 1)
    )
  ),
  ""
)</f>
        <v/>
      </c>
      <c r="H54" s="774"/>
      <c r="I54" s="440"/>
      <c r="J54" s="440"/>
      <c r="K54" s="440"/>
      <c r="L54" s="487"/>
      <c r="M54" s="487"/>
      <c r="N54" s="440"/>
      <c r="O54" s="440"/>
      <c r="P54" s="440"/>
      <c r="Q54" s="440"/>
      <c r="R54" s="440"/>
      <c r="S54" s="440"/>
      <c r="T54" s="440"/>
      <c r="U54" s="440"/>
      <c r="V54" s="440"/>
      <c r="W54" s="440"/>
      <c r="X54" s="440"/>
      <c r="Y54" s="440"/>
      <c r="Z54" s="582"/>
      <c r="AA54" s="440"/>
      <c r="AB54" s="440"/>
      <c r="AC54" s="440"/>
    </row>
    <row r="55" spans="1:29" ht="15" customHeight="1">
      <c r="A55" s="287" t="s">
        <v>508</v>
      </c>
      <c r="B55" s="329"/>
      <c r="C55" s="664" t="str">
        <f>IF(AND(B55&lt;&gt;"", A59&lt;&gt;""), MAX(1, B55 * A59 / 1000), "")</f>
        <v/>
      </c>
      <c r="D55" s="333" t="s">
        <v>528</v>
      </c>
      <c r="E55" s="329" t="s">
        <v>304</v>
      </c>
      <c r="F55" s="665" cm="1">
        <f t="array" ref="F55">IFERROR(
  MIN(
    IF(
      (Transports!$A$2:$A$571=D55) *
      ISNUMBER(INDEX(Transports!$C$2:$CF$571,,MATCH(TRUE,Transports!$C$1:$CF$1&gt;=C55,0))),
      INDEX(Transports!$C$2:$CF$571,,MATCH(TRUE,Transports!$C$1:$CF$1&gt;=C55,0))
    )
  ) + IF(E55="Oui",60,0),
  ""
)</f>
        <v>0</v>
      </c>
      <c r="G55" s="666" t="str">
        <f t="array" ref="G55">IFERROR(
  INDEX(Transports!B34:B603,
    SUMPRODUCT(
      (Transports!$A$2:$A$571 = D55) *
      (INDEX(Transports!$C$2:$CF$571,, MATCH(TRUE, Transports!$C$1:$CF$1 &gt;= C55, 0)) = F55) *
      (ROW(Transports!$A$2:$A$571) - 1)
    )
  ),
  ""
)</f>
        <v/>
      </c>
      <c r="H55" s="774"/>
      <c r="I55" s="440"/>
      <c r="J55" s="440"/>
      <c r="K55" s="440"/>
      <c r="L55" s="487"/>
      <c r="M55" s="487"/>
      <c r="N55" s="440"/>
      <c r="O55" s="440"/>
      <c r="P55" s="440"/>
      <c r="Q55" s="440"/>
      <c r="R55" s="440"/>
      <c r="S55" s="440"/>
      <c r="T55" s="440"/>
      <c r="U55" s="440"/>
      <c r="V55" s="440"/>
      <c r="W55" s="440"/>
      <c r="X55" s="440"/>
      <c r="Y55" s="440"/>
      <c r="Z55" s="582"/>
      <c r="AA55" s="440"/>
      <c r="AB55" s="440"/>
      <c r="AC55" s="440"/>
    </row>
    <row r="56" spans="1:29" ht="15" customHeight="1" thickBot="1">
      <c r="A56" s="287" t="s">
        <v>509</v>
      </c>
      <c r="B56" s="329"/>
      <c r="C56" s="664" t="str">
        <f>IF(AND(B56&lt;&gt;"", A59&lt;&gt;""), MAX(1, B56 * A59 / 1000), "")</f>
        <v/>
      </c>
      <c r="D56" s="333" t="s">
        <v>528</v>
      </c>
      <c r="E56" s="329" t="s">
        <v>304</v>
      </c>
      <c r="F56" s="665" cm="1">
        <f t="array" ref="F56">IFERROR(
  MIN(
    IF(
      (Transports!$A$2:$A$571=D56) *
      ISNUMBER(INDEX(Transports!$C$2:$CF$571,,MATCH(TRUE,Transports!$C$1:$CF$1&gt;=C56,0))),
      INDEX(Transports!$C$2:$CF$571,,MATCH(TRUE,Transports!$C$1:$CF$1&gt;=C56,0))
    )
  ) + IF(E56="Oui",60,0),
  ""
)</f>
        <v>0</v>
      </c>
      <c r="G56" s="666" t="str">
        <f t="array" ref="G56">IFERROR(
  INDEX(Transports!B34:B603,
    SUMPRODUCT(
      (Transports!$A$2:$A$571 = D56) *
      (INDEX(Transports!$C$2:$CF$571,, MATCH(TRUE, Transports!$C$1:$CF$1 &gt;= C56, 0)) = F56) *
      (ROW(Transports!$A$2:$A$571) - 1)
    )
  ),
  ""
)</f>
        <v/>
      </c>
      <c r="H56" s="774"/>
      <c r="I56" s="440"/>
      <c r="J56" s="440"/>
      <c r="K56" s="440"/>
      <c r="L56" s="487"/>
      <c r="M56" s="487"/>
      <c r="N56" s="440"/>
      <c r="O56" s="440"/>
      <c r="P56" s="440"/>
      <c r="Q56" s="440"/>
      <c r="R56" s="440"/>
      <c r="S56" s="440"/>
      <c r="T56" s="440"/>
      <c r="U56" s="440"/>
      <c r="V56" s="440"/>
      <c r="W56" s="440"/>
      <c r="X56" s="440"/>
      <c r="Y56" s="440"/>
      <c r="Z56" s="582"/>
      <c r="AA56" s="440"/>
      <c r="AB56" s="440"/>
      <c r="AC56" s="440"/>
    </row>
    <row r="57" spans="1:29" ht="15" customHeight="1" thickBot="1">
      <c r="A57" s="446" t="str">
        <f>IF(COUNTIF(B52:B56,"&gt;0")&lt;&gt;COUNTIF(F52:F56,"&gt;0"),
"⚠ Erreur : au moins un point a une quantité sans prix.",
"")</f>
        <v/>
      </c>
      <c r="B57" s="290" t="str">
        <f>IF(SUM(B52:B56)&gt;A35,
   "⚠ Trop réparti : " &amp; SUM(B52:B56) &amp; " / " &amp; A35,
   IF(SUM(B52:B56)&lt;A35,
      "⚠ Quantité incomplète : " &amp; SUM(B52:B56) &amp; " / " &amp; A35,
      "✅ Quantité répartie correctement (" &amp; A35 &amp; ")"
   )
)</f>
        <v>✅ Quantité répartie correctement ()</v>
      </c>
      <c r="C57" s="374"/>
      <c r="D57" s="331"/>
      <c r="E57" s="288" t="s">
        <v>640</v>
      </c>
      <c r="F57" s="485">
        <f>SUM(F52:F56)+IF(SUM(F52:F56)=0,F58,0)</f>
        <v>0</v>
      </c>
      <c r="G57" s="331"/>
      <c r="H57" s="375"/>
      <c r="I57" s="440"/>
      <c r="J57" s="440"/>
      <c r="K57" s="440"/>
      <c r="L57" s="487"/>
      <c r="M57" s="487"/>
      <c r="N57" s="440"/>
      <c r="O57" s="440"/>
      <c r="P57" s="440"/>
      <c r="Q57" s="440"/>
      <c r="R57" s="440"/>
      <c r="S57" s="440"/>
      <c r="T57" s="440"/>
      <c r="U57" s="440"/>
      <c r="V57" s="440"/>
      <c r="W57" s="440"/>
      <c r="X57" s="440"/>
      <c r="Y57" s="440"/>
      <c r="Z57" s="582"/>
      <c r="AA57" s="440"/>
      <c r="AB57" s="440"/>
      <c r="AC57" s="440"/>
    </row>
    <row r="58" spans="1:29" ht="15.75" customHeight="1" thickBot="1">
      <c r="A58" s="254" t="s">
        <v>85</v>
      </c>
      <c r="B58" s="255" t="s">
        <v>136</v>
      </c>
      <c r="E58" s="288" t="s">
        <v>1065</v>
      </c>
      <c r="F58" s="485"/>
      <c r="I58" s="440"/>
      <c r="J58" s="440"/>
      <c r="K58" s="440"/>
      <c r="L58" s="487"/>
      <c r="M58" s="487"/>
      <c r="N58" s="440"/>
      <c r="O58" s="440"/>
      <c r="P58" s="440"/>
      <c r="Q58" s="440"/>
      <c r="R58" s="440"/>
      <c r="S58" s="440"/>
      <c r="T58" s="440"/>
      <c r="U58" s="440"/>
      <c r="V58" s="440"/>
      <c r="W58" s="440"/>
      <c r="X58" s="440"/>
      <c r="Y58" s="440"/>
      <c r="Z58" s="582"/>
      <c r="AA58" s="440"/>
      <c r="AB58" s="440"/>
      <c r="AC58" s="440"/>
    </row>
    <row r="59" spans="1:29" ht="15.75">
      <c r="A59" s="377" t="str">
        <f>IFERROR(
  ROUND(
    LEFT(C35,SEARCH("x",C35)-1) *
    MID(C35,SEARCH("x",C35)+1,10) *
    A38 / 9769,
  1),
  ""
)</f>
        <v/>
      </c>
      <c r="B59" s="378" t="str">
        <f>IFERROR(ROUND((A35 * A59) / 1000, 1), "")</f>
        <v/>
      </c>
      <c r="I59" s="440"/>
      <c r="J59" s="440"/>
      <c r="K59" s="440"/>
      <c r="L59" s="487"/>
      <c r="M59" s="487"/>
      <c r="N59" s="440"/>
      <c r="O59" s="440"/>
      <c r="P59" s="440"/>
      <c r="Q59" s="440"/>
      <c r="R59" s="440"/>
      <c r="S59" s="440"/>
      <c r="T59" s="440"/>
      <c r="U59" s="440"/>
      <c r="V59" s="440"/>
      <c r="W59" s="440"/>
      <c r="X59" s="440"/>
      <c r="Y59" s="440"/>
      <c r="Z59" s="582"/>
      <c r="AA59" s="440"/>
      <c r="AB59" s="440"/>
      <c r="AC59" s="440"/>
    </row>
    <row r="60" spans="1:29" ht="15.75" thickBot="1">
      <c r="I60" s="440"/>
      <c r="J60" s="440"/>
      <c r="K60" s="440"/>
      <c r="L60" s="487"/>
      <c r="M60" s="487"/>
      <c r="N60" s="440"/>
      <c r="O60" s="440"/>
      <c r="P60" s="440"/>
      <c r="Q60" s="440"/>
      <c r="R60" s="440"/>
      <c r="S60" s="440"/>
      <c r="T60" s="440"/>
      <c r="U60" s="440"/>
      <c r="V60" s="440"/>
      <c r="W60" s="440"/>
      <c r="X60" s="440"/>
      <c r="Y60" s="440"/>
      <c r="Z60" s="582"/>
      <c r="AA60" s="440"/>
      <c r="AB60" s="440"/>
      <c r="AC60" s="440"/>
    </row>
    <row r="61" spans="1:29" ht="16.5" customHeight="1" thickBot="1">
      <c r="A61" s="694" t="s">
        <v>915</v>
      </c>
      <c r="B61" s="695"/>
      <c r="I61" s="440"/>
      <c r="J61" s="440"/>
      <c r="K61" s="440"/>
      <c r="L61" s="487"/>
      <c r="M61" s="487"/>
      <c r="N61" s="440"/>
      <c r="O61" s="440"/>
      <c r="P61" s="440"/>
      <c r="Q61" s="440"/>
      <c r="R61" s="440"/>
      <c r="S61" s="440"/>
      <c r="T61" s="440"/>
      <c r="U61" s="440"/>
      <c r="V61" s="440"/>
      <c r="W61" s="440"/>
      <c r="X61" s="440"/>
      <c r="Y61" s="440"/>
      <c r="Z61" s="582"/>
      <c r="AA61" s="440"/>
      <c r="AB61" s="440"/>
      <c r="AC61" s="440"/>
    </row>
    <row r="62" spans="1:29" ht="15.75" thickBot="1">
      <c r="A62" s="776">
        <f>IF(OR('Tableau OFFSET'!A35="",'Tableau OFFSET'!A35=0),
  0,
  IFERROR(F57,0)
  + IFERROR('Détails PRIX DEPLIANTS'!C19,0)
  + IFERROR('Détails PRIX DEPLIANTS'!D19,0)
  + IFERROR('Détails PRIX DEPLIANTS'!C24,0)
  + IFERROR('Détails PRIX DEPLIANTS'!C28,0)
  + IFERROR('Détails PRIX DEPLIANTS'!C23,0)
  + IFERROR('Détails PRIX DEPLIANTS'!C26,0)
  + IFERROR('Détails PRIX DEPLIANTS'!C31,0)
  + IFERROR('Détails PRIX DEPLIANTS'!C32,0)
  + IFERROR('Détails PRIX DEPLIANTS'!A12,0)
  + IFERROR('Détails PRIX DEPLIANTS'!A59,0)
  + (A44*0.5)+('Détails PRIX DEPLIANTS'!F21)
)
*1.07</f>
        <v>0</v>
      </c>
      <c r="B62" s="777"/>
      <c r="I62" s="440"/>
      <c r="J62" s="440"/>
      <c r="K62" s="440"/>
      <c r="L62" s="487"/>
      <c r="M62" s="487"/>
      <c r="N62" s="440"/>
      <c r="O62" s="440"/>
      <c r="P62" s="440"/>
      <c r="Q62" s="440"/>
      <c r="R62" s="440"/>
      <c r="S62" s="440"/>
      <c r="T62" s="440"/>
      <c r="U62" s="440"/>
      <c r="V62" s="440"/>
      <c r="W62" s="440"/>
      <c r="X62" s="440"/>
      <c r="Y62" s="440"/>
      <c r="Z62" s="582"/>
      <c r="AA62" s="440"/>
      <c r="AB62" s="440"/>
      <c r="AC62" s="440"/>
    </row>
    <row r="63" spans="1:29" ht="16.5" customHeight="1">
      <c r="A63" s="487"/>
      <c r="B63" s="487"/>
      <c r="C63" s="487"/>
      <c r="D63" s="487"/>
      <c r="E63" s="487"/>
      <c r="F63" s="487"/>
      <c r="G63" s="487"/>
      <c r="H63" s="487"/>
      <c r="I63" s="487"/>
      <c r="J63" s="487"/>
      <c r="K63" s="487"/>
      <c r="L63" s="487"/>
      <c r="M63" s="487"/>
      <c r="N63" s="440"/>
      <c r="O63" s="440"/>
      <c r="P63" s="440"/>
      <c r="Q63" s="440"/>
      <c r="R63" s="440"/>
      <c r="S63" s="440"/>
      <c r="T63" s="440"/>
      <c r="U63" s="440"/>
      <c r="V63" s="440"/>
      <c r="W63" s="440"/>
      <c r="X63" s="440"/>
      <c r="Y63" s="440"/>
      <c r="Z63" s="582"/>
      <c r="AA63" s="440"/>
      <c r="AB63" s="440"/>
      <c r="AC63" s="440"/>
    </row>
    <row r="64" spans="1:29">
      <c r="A64" s="380"/>
      <c r="B64" s="380"/>
      <c r="C64" s="380"/>
      <c r="D64" s="380"/>
      <c r="E64" s="380"/>
      <c r="F64" s="380"/>
      <c r="G64" s="380"/>
      <c r="H64" s="380"/>
      <c r="I64" s="487"/>
      <c r="J64" s="487"/>
      <c r="K64" s="487"/>
      <c r="L64" s="487"/>
      <c r="M64" s="487"/>
      <c r="N64" s="440"/>
      <c r="O64" s="440"/>
      <c r="P64" s="440"/>
      <c r="Q64" s="440"/>
      <c r="R64" s="440"/>
      <c r="S64" s="440"/>
      <c r="T64" s="440"/>
      <c r="U64" s="440"/>
      <c r="V64" s="440"/>
      <c r="W64" s="440"/>
      <c r="X64" s="440"/>
      <c r="Y64" s="440"/>
      <c r="Z64" s="582"/>
      <c r="AA64" s="440"/>
      <c r="AB64" s="440"/>
      <c r="AC64" s="440"/>
    </row>
    <row r="65" spans="1:29" ht="63" customHeight="1">
      <c r="A65" s="380"/>
      <c r="B65" s="380"/>
      <c r="C65" s="380"/>
      <c r="D65" s="380"/>
      <c r="E65" s="380"/>
      <c r="F65" s="380"/>
      <c r="G65" s="380"/>
      <c r="H65" s="380"/>
      <c r="I65" s="487"/>
      <c r="J65" s="487"/>
      <c r="K65" s="487"/>
      <c r="L65" s="487"/>
      <c r="M65" s="487"/>
      <c r="N65" s="440"/>
      <c r="O65" s="440"/>
      <c r="P65" s="440"/>
      <c r="Q65" s="440"/>
      <c r="R65" s="440"/>
      <c r="S65" s="440"/>
      <c r="T65" s="440"/>
      <c r="U65" s="440"/>
      <c r="V65" s="440"/>
      <c r="W65" s="440"/>
      <c r="X65" s="440"/>
      <c r="Y65" s="440"/>
      <c r="Z65" s="582"/>
      <c r="AA65" s="440"/>
      <c r="AB65" s="440"/>
      <c r="AC65" s="440"/>
    </row>
    <row r="66" spans="1:29">
      <c r="I66" s="440"/>
      <c r="J66" s="440"/>
      <c r="K66" s="440"/>
      <c r="L66" s="440"/>
      <c r="M66" s="487"/>
      <c r="N66" s="440"/>
      <c r="O66" s="440"/>
      <c r="P66" s="440"/>
      <c r="Q66" s="440"/>
      <c r="R66" s="440"/>
      <c r="S66" s="440"/>
      <c r="T66" s="440"/>
      <c r="U66" s="440"/>
      <c r="V66" s="440"/>
      <c r="W66" s="440"/>
      <c r="X66" s="440"/>
      <c r="Y66" s="440"/>
      <c r="Z66" s="582"/>
      <c r="AA66" s="440"/>
      <c r="AB66" s="440"/>
      <c r="AC66" s="440"/>
    </row>
    <row r="67" spans="1:29">
      <c r="I67" s="440"/>
      <c r="J67" s="440"/>
      <c r="K67" s="440"/>
      <c r="L67" s="440"/>
      <c r="M67" s="487"/>
      <c r="N67" s="440"/>
      <c r="O67" s="440"/>
      <c r="P67" s="440"/>
      <c r="Q67" s="440"/>
      <c r="R67" s="440"/>
      <c r="S67" s="440"/>
      <c r="T67" s="440"/>
      <c r="U67" s="440"/>
      <c r="V67" s="440"/>
      <c r="W67" s="440"/>
      <c r="X67" s="440"/>
      <c r="Y67" s="440"/>
      <c r="Z67" s="582"/>
      <c r="AA67" s="440"/>
      <c r="AB67" s="440"/>
      <c r="AC67" s="440"/>
    </row>
    <row r="68" spans="1:29">
      <c r="I68" s="440"/>
      <c r="J68" s="440"/>
      <c r="K68" s="440"/>
      <c r="L68" s="440"/>
      <c r="M68" s="487"/>
      <c r="N68" s="440"/>
      <c r="O68" s="440"/>
      <c r="P68" s="440"/>
      <c r="Q68" s="440"/>
      <c r="R68" s="440"/>
      <c r="S68" s="440"/>
      <c r="T68" s="440"/>
      <c r="U68" s="440"/>
      <c r="V68" s="440"/>
      <c r="W68" s="440"/>
      <c r="X68" s="440"/>
      <c r="Y68" s="440"/>
      <c r="Z68" s="582"/>
      <c r="AA68" s="440"/>
      <c r="AB68" s="440"/>
      <c r="AC68" s="440"/>
    </row>
    <row r="69" spans="1:29">
      <c r="I69" s="440"/>
      <c r="J69" s="440"/>
      <c r="K69" s="440"/>
      <c r="L69" s="440"/>
      <c r="M69" s="487"/>
      <c r="N69" s="440"/>
      <c r="O69" s="440"/>
      <c r="P69" s="440"/>
      <c r="Q69" s="440"/>
      <c r="R69" s="440"/>
      <c r="S69" s="440"/>
      <c r="T69" s="440"/>
      <c r="U69" s="440"/>
      <c r="V69" s="440"/>
      <c r="W69" s="440"/>
      <c r="X69" s="440"/>
      <c r="Y69" s="440"/>
      <c r="Z69" s="582"/>
      <c r="AA69" s="440"/>
      <c r="AB69" s="440"/>
      <c r="AC69" s="440"/>
    </row>
    <row r="70" spans="1:29">
      <c r="I70" s="440"/>
      <c r="J70" s="440"/>
      <c r="K70" s="440"/>
      <c r="L70" s="440"/>
      <c r="M70" s="487"/>
      <c r="N70" s="440"/>
      <c r="O70" s="440"/>
      <c r="P70" s="440"/>
      <c r="Q70" s="440"/>
      <c r="R70" s="440"/>
      <c r="S70" s="440"/>
      <c r="T70" s="440"/>
      <c r="U70" s="440"/>
      <c r="V70" s="440"/>
      <c r="W70" s="440"/>
      <c r="X70" s="440"/>
      <c r="Y70" s="440"/>
      <c r="Z70" s="582"/>
      <c r="AA70" s="440"/>
      <c r="AB70" s="440"/>
      <c r="AC70" s="440"/>
    </row>
    <row r="71" spans="1:29">
      <c r="I71" s="440"/>
      <c r="J71" s="440"/>
      <c r="K71" s="440"/>
      <c r="L71" s="440"/>
      <c r="M71" s="487"/>
      <c r="N71" s="440"/>
      <c r="O71" s="440"/>
      <c r="P71" s="440"/>
      <c r="Q71" s="440"/>
      <c r="R71" s="440"/>
      <c r="S71" s="440"/>
      <c r="T71" s="440"/>
      <c r="U71" s="440"/>
      <c r="V71" s="440"/>
      <c r="W71" s="440"/>
      <c r="X71" s="440"/>
      <c r="Y71" s="440"/>
      <c r="Z71" s="582"/>
      <c r="AA71" s="440"/>
      <c r="AB71" s="440"/>
      <c r="AC71" s="440"/>
    </row>
    <row r="72" spans="1:29">
      <c r="I72" s="440"/>
      <c r="J72" s="440"/>
      <c r="K72" s="440"/>
      <c r="L72" s="440"/>
      <c r="M72" s="487"/>
      <c r="N72" s="440"/>
      <c r="O72" s="440"/>
      <c r="P72" s="440"/>
      <c r="Q72" s="440"/>
      <c r="R72" s="440"/>
      <c r="S72" s="440"/>
      <c r="T72" s="440"/>
      <c r="U72" s="440"/>
      <c r="V72" s="440"/>
      <c r="W72" s="440"/>
      <c r="X72" s="440"/>
      <c r="Y72" s="440"/>
      <c r="Z72" s="582"/>
      <c r="AA72" s="440"/>
      <c r="AB72" s="440"/>
      <c r="AC72" s="440"/>
    </row>
    <row r="73" spans="1:29">
      <c r="I73" s="440"/>
      <c r="J73" s="440"/>
      <c r="K73" s="440"/>
      <c r="L73" s="440"/>
      <c r="M73" s="487"/>
      <c r="N73" s="440"/>
      <c r="O73" s="440"/>
      <c r="P73" s="440"/>
      <c r="Q73" s="440"/>
      <c r="R73" s="440"/>
      <c r="S73" s="440"/>
      <c r="T73" s="440"/>
      <c r="U73" s="440"/>
      <c r="V73" s="440"/>
      <c r="W73" s="440"/>
      <c r="X73" s="440"/>
      <c r="Y73" s="440"/>
      <c r="Z73" s="582"/>
      <c r="AA73" s="440"/>
      <c r="AB73" s="440"/>
      <c r="AC73" s="440"/>
    </row>
    <row r="74" spans="1:29">
      <c r="I74" s="440"/>
      <c r="J74" s="440"/>
      <c r="K74" s="440"/>
      <c r="L74" s="440"/>
      <c r="M74" s="487"/>
      <c r="N74" s="440"/>
      <c r="O74" s="440"/>
      <c r="P74" s="440"/>
      <c r="Q74" s="440"/>
      <c r="R74" s="440"/>
      <c r="S74" s="440"/>
      <c r="T74" s="440"/>
      <c r="U74" s="440"/>
      <c r="V74" s="440"/>
      <c r="W74" s="440"/>
      <c r="X74" s="440"/>
      <c r="Y74" s="440"/>
      <c r="Z74" s="582"/>
      <c r="AA74" s="440"/>
      <c r="AB74" s="440"/>
      <c r="AC74" s="440"/>
    </row>
    <row r="75" spans="1:29">
      <c r="I75" s="440"/>
      <c r="J75" s="440"/>
      <c r="K75" s="440"/>
      <c r="L75" s="440"/>
      <c r="M75" s="487"/>
      <c r="N75" s="440"/>
      <c r="O75" s="440"/>
      <c r="P75" s="440"/>
      <c r="Q75" s="440"/>
      <c r="R75" s="440"/>
      <c r="S75" s="440"/>
      <c r="T75" s="440"/>
      <c r="U75" s="440"/>
      <c r="V75" s="440"/>
      <c r="W75" s="440"/>
      <c r="X75" s="440"/>
      <c r="Y75" s="440"/>
      <c r="Z75" s="582"/>
      <c r="AA75" s="440"/>
      <c r="AB75" s="440"/>
      <c r="AC75" s="440"/>
    </row>
    <row r="76" spans="1:29">
      <c r="I76" s="440"/>
      <c r="J76" s="440"/>
      <c r="K76" s="440"/>
      <c r="L76" s="440"/>
      <c r="M76" s="487"/>
      <c r="N76" s="440"/>
      <c r="O76" s="440"/>
      <c r="P76" s="440"/>
      <c r="Q76" s="440"/>
      <c r="R76" s="440"/>
      <c r="S76" s="440"/>
      <c r="T76" s="440"/>
      <c r="U76" s="440"/>
      <c r="V76" s="440"/>
      <c r="W76" s="440"/>
      <c r="X76" s="440"/>
      <c r="Y76" s="440"/>
      <c r="Z76" s="582"/>
      <c r="AA76" s="440"/>
      <c r="AB76" s="440"/>
      <c r="AC76" s="440"/>
    </row>
    <row r="77" spans="1:29">
      <c r="I77" s="440"/>
      <c r="J77" s="440"/>
      <c r="K77" s="440"/>
      <c r="L77" s="440"/>
      <c r="M77" s="487"/>
      <c r="N77" s="440"/>
      <c r="O77" s="440"/>
      <c r="P77" s="440"/>
      <c r="Q77" s="440"/>
      <c r="R77" s="440"/>
      <c r="S77" s="440"/>
      <c r="T77" s="440"/>
      <c r="U77" s="440"/>
      <c r="V77" s="440"/>
      <c r="W77" s="440"/>
      <c r="X77" s="440"/>
      <c r="Y77" s="440"/>
      <c r="Z77" s="582"/>
      <c r="AA77" s="440"/>
      <c r="AB77" s="440"/>
      <c r="AC77" s="440"/>
    </row>
    <row r="78" spans="1:29">
      <c r="I78" s="440"/>
      <c r="J78" s="440"/>
      <c r="K78" s="440"/>
      <c r="L78" s="440"/>
      <c r="M78" s="487"/>
      <c r="N78" s="440"/>
      <c r="O78" s="440"/>
      <c r="P78" s="440"/>
      <c r="Q78" s="440"/>
      <c r="R78" s="440"/>
      <c r="S78" s="440"/>
      <c r="T78" s="440"/>
      <c r="U78" s="440"/>
      <c r="V78" s="440"/>
      <c r="W78" s="440"/>
      <c r="X78" s="440"/>
      <c r="Y78" s="440"/>
      <c r="Z78" s="582"/>
      <c r="AA78" s="440"/>
      <c r="AB78" s="440"/>
      <c r="AC78" s="440"/>
    </row>
    <row r="79" spans="1:29">
      <c r="I79" s="440"/>
      <c r="J79" s="440"/>
      <c r="K79" s="440"/>
      <c r="L79" s="440"/>
      <c r="M79" s="487"/>
      <c r="N79" s="440"/>
      <c r="O79" s="440"/>
      <c r="P79" s="440"/>
      <c r="Q79" s="440"/>
      <c r="R79" s="440"/>
      <c r="S79" s="440"/>
      <c r="T79" s="440"/>
      <c r="U79" s="440"/>
      <c r="V79" s="440"/>
      <c r="W79" s="440"/>
      <c r="X79" s="440"/>
      <c r="Y79" s="440"/>
      <c r="Z79" s="582"/>
      <c r="AA79" s="440"/>
      <c r="AB79" s="440"/>
      <c r="AC79" s="440"/>
    </row>
    <row r="80" spans="1:29">
      <c r="I80" s="440"/>
      <c r="J80" s="440"/>
      <c r="K80" s="440"/>
      <c r="L80" s="440"/>
      <c r="M80" s="487"/>
      <c r="N80" s="440"/>
      <c r="O80" s="440"/>
      <c r="P80" s="440"/>
      <c r="Q80" s="440"/>
      <c r="R80" s="440"/>
      <c r="S80" s="440"/>
      <c r="T80" s="440"/>
      <c r="U80" s="440"/>
      <c r="V80" s="440"/>
      <c r="W80" s="440"/>
      <c r="X80" s="440"/>
      <c r="Y80" s="440"/>
      <c r="Z80" s="582"/>
      <c r="AA80" s="440"/>
      <c r="AB80" s="440"/>
      <c r="AC80" s="440"/>
    </row>
    <row r="81" spans="9:29">
      <c r="I81" s="440"/>
      <c r="J81" s="440"/>
      <c r="K81" s="440"/>
      <c r="L81" s="440"/>
      <c r="M81" s="487"/>
      <c r="N81" s="440"/>
      <c r="O81" s="440"/>
      <c r="P81" s="440"/>
      <c r="Q81" s="440"/>
      <c r="R81" s="440"/>
      <c r="S81" s="440"/>
      <c r="T81" s="440"/>
      <c r="U81" s="440"/>
      <c r="V81" s="440"/>
      <c r="W81" s="440"/>
      <c r="X81" s="440"/>
      <c r="Y81" s="440"/>
      <c r="Z81" s="582"/>
      <c r="AA81" s="440"/>
      <c r="AB81" s="440"/>
      <c r="AC81" s="440"/>
    </row>
    <row r="82" spans="9:29">
      <c r="I82" s="440"/>
      <c r="J82" s="440"/>
      <c r="K82" s="440"/>
      <c r="L82" s="440"/>
      <c r="M82" s="487"/>
      <c r="N82" s="440"/>
      <c r="O82" s="440"/>
      <c r="P82" s="440"/>
      <c r="Q82" s="440"/>
      <c r="R82" s="440"/>
      <c r="S82" s="440"/>
      <c r="T82" s="440"/>
      <c r="U82" s="440"/>
      <c r="V82" s="440"/>
      <c r="W82" s="440"/>
      <c r="X82" s="440"/>
      <c r="Y82" s="440"/>
      <c r="Z82" s="582"/>
      <c r="AA82" s="440"/>
      <c r="AB82" s="440"/>
      <c r="AC82" s="440"/>
    </row>
    <row r="83" spans="9:29">
      <c r="I83" s="440"/>
      <c r="J83" s="440"/>
      <c r="K83" s="440"/>
      <c r="L83" s="440"/>
      <c r="M83" s="487"/>
      <c r="N83" s="440"/>
      <c r="O83" s="440"/>
      <c r="P83" s="440"/>
      <c r="Q83" s="440"/>
      <c r="R83" s="440"/>
      <c r="S83" s="440"/>
      <c r="T83" s="440"/>
      <c r="U83" s="440"/>
      <c r="V83" s="440"/>
      <c r="W83" s="440"/>
      <c r="X83" s="440"/>
      <c r="Y83" s="440"/>
      <c r="Z83" s="582"/>
      <c r="AA83" s="440"/>
      <c r="AB83" s="440"/>
      <c r="AC83" s="440"/>
    </row>
    <row r="84" spans="9:29">
      <c r="I84" s="440"/>
      <c r="J84" s="440"/>
      <c r="K84" s="440"/>
      <c r="L84" s="440"/>
      <c r="M84" s="487"/>
      <c r="N84" s="440"/>
      <c r="O84" s="440"/>
      <c r="P84" s="440"/>
      <c r="Q84" s="440"/>
      <c r="R84" s="440"/>
      <c r="S84" s="440"/>
      <c r="T84" s="440"/>
      <c r="U84" s="440"/>
      <c r="V84" s="440"/>
      <c r="W84" s="440"/>
      <c r="X84" s="440"/>
      <c r="Y84" s="440"/>
      <c r="Z84" s="582"/>
      <c r="AA84" s="440"/>
      <c r="AB84" s="440"/>
      <c r="AC84" s="440"/>
    </row>
    <row r="85" spans="9:29">
      <c r="I85" s="440"/>
      <c r="J85" s="440"/>
      <c r="K85" s="440"/>
      <c r="L85" s="440"/>
      <c r="M85" s="487"/>
      <c r="N85" s="440"/>
      <c r="O85" s="440"/>
      <c r="P85" s="440"/>
      <c r="Q85" s="440"/>
      <c r="R85" s="440"/>
      <c r="S85" s="440"/>
      <c r="T85" s="440"/>
      <c r="U85" s="440"/>
      <c r="V85" s="440"/>
      <c r="W85" s="440"/>
      <c r="X85" s="440"/>
      <c r="Y85" s="440"/>
      <c r="Z85" s="582"/>
      <c r="AA85" s="440"/>
      <c r="AB85" s="440"/>
      <c r="AC85" s="440"/>
    </row>
    <row r="86" spans="9:29">
      <c r="I86" s="440"/>
      <c r="J86" s="440"/>
      <c r="K86" s="440"/>
      <c r="L86" s="440"/>
      <c r="M86" s="487"/>
      <c r="N86" s="440"/>
      <c r="O86" s="440"/>
      <c r="P86" s="440"/>
      <c r="Q86" s="440"/>
      <c r="R86" s="440"/>
      <c r="S86" s="440"/>
      <c r="T86" s="440"/>
      <c r="U86" s="440"/>
      <c r="V86" s="440"/>
      <c r="W86" s="440"/>
      <c r="X86" s="440"/>
      <c r="Y86" s="440"/>
      <c r="Z86" s="582"/>
      <c r="AA86" s="440"/>
      <c r="AB86" s="440"/>
      <c r="AC86" s="440"/>
    </row>
    <row r="87" spans="9:29">
      <c r="I87" s="440"/>
      <c r="J87" s="440"/>
      <c r="K87" s="440"/>
      <c r="L87" s="440"/>
      <c r="M87" s="487"/>
      <c r="N87" s="440"/>
      <c r="O87" s="440"/>
      <c r="P87" s="440"/>
      <c r="Q87" s="440"/>
      <c r="R87" s="440"/>
      <c r="S87" s="440"/>
      <c r="T87" s="440"/>
      <c r="U87" s="440"/>
      <c r="V87" s="440"/>
      <c r="W87" s="440"/>
      <c r="X87" s="440"/>
      <c r="Y87" s="440"/>
      <c r="Z87" s="582"/>
      <c r="AA87" s="440"/>
      <c r="AB87" s="440"/>
      <c r="AC87" s="440"/>
    </row>
    <row r="88" spans="9:29">
      <c r="I88" s="440"/>
      <c r="J88" s="440"/>
      <c r="K88" s="440"/>
      <c r="L88" s="440"/>
      <c r="M88" s="487"/>
      <c r="N88" s="440"/>
      <c r="O88" s="440"/>
      <c r="P88" s="440"/>
      <c r="Q88" s="440"/>
      <c r="R88" s="440"/>
      <c r="S88" s="440"/>
      <c r="T88" s="440"/>
      <c r="U88" s="440"/>
      <c r="V88" s="440"/>
      <c r="W88" s="440"/>
      <c r="X88" s="440"/>
      <c r="Y88" s="440"/>
      <c r="Z88" s="582"/>
      <c r="AA88" s="440"/>
      <c r="AB88" s="440"/>
      <c r="AC88" s="440"/>
    </row>
    <row r="89" spans="9:29">
      <c r="I89" s="440"/>
      <c r="J89" s="440"/>
      <c r="K89" s="440"/>
      <c r="L89" s="440"/>
      <c r="M89" s="487"/>
      <c r="N89" s="440"/>
      <c r="O89" s="440"/>
      <c r="P89" s="440"/>
      <c r="Q89" s="440"/>
      <c r="R89" s="440"/>
      <c r="S89" s="440"/>
      <c r="T89" s="440"/>
      <c r="U89" s="440"/>
      <c r="V89" s="440"/>
      <c r="W89" s="440"/>
      <c r="X89" s="440"/>
      <c r="Y89" s="440"/>
      <c r="Z89" s="582"/>
      <c r="AA89" s="440"/>
      <c r="AB89" s="440"/>
      <c r="AC89" s="440"/>
    </row>
    <row r="90" spans="9:29">
      <c r="I90" s="440"/>
      <c r="J90" s="440"/>
      <c r="K90" s="440"/>
      <c r="L90" s="440"/>
      <c r="M90" s="487"/>
      <c r="N90" s="440"/>
      <c r="O90" s="440"/>
      <c r="P90" s="440"/>
      <c r="Q90" s="440"/>
      <c r="R90" s="440"/>
      <c r="S90" s="440"/>
      <c r="T90" s="440"/>
      <c r="U90" s="440"/>
      <c r="V90" s="440"/>
      <c r="W90" s="440"/>
      <c r="X90" s="440"/>
      <c r="Y90" s="440"/>
      <c r="Z90" s="582"/>
      <c r="AA90" s="440"/>
      <c r="AB90" s="440"/>
      <c r="AC90" s="440"/>
    </row>
    <row r="91" spans="9:29">
      <c r="I91" s="440"/>
      <c r="J91" s="440"/>
      <c r="K91" s="440"/>
      <c r="L91" s="440"/>
      <c r="M91" s="487"/>
      <c r="N91" s="440"/>
      <c r="O91" s="440"/>
      <c r="P91" s="440"/>
      <c r="Q91" s="440"/>
      <c r="R91" s="440"/>
      <c r="S91" s="440"/>
      <c r="T91" s="440"/>
      <c r="U91" s="440"/>
      <c r="V91" s="440"/>
      <c r="W91" s="440"/>
      <c r="X91" s="440"/>
      <c r="Y91" s="440"/>
      <c r="Z91" s="582"/>
      <c r="AA91" s="440"/>
      <c r="AB91" s="440"/>
      <c r="AC91" s="440"/>
    </row>
    <row r="92" spans="9:29">
      <c r="I92" s="440"/>
      <c r="J92" s="440"/>
      <c r="K92" s="440"/>
      <c r="L92" s="440"/>
      <c r="M92" s="487"/>
      <c r="N92" s="440"/>
      <c r="O92" s="440"/>
      <c r="P92" s="440"/>
      <c r="Q92" s="440"/>
      <c r="R92" s="440"/>
      <c r="S92" s="440"/>
      <c r="T92" s="440"/>
      <c r="U92" s="440"/>
      <c r="V92" s="440"/>
      <c r="W92" s="440"/>
      <c r="X92" s="440"/>
      <c r="Y92" s="440"/>
      <c r="Z92" s="582"/>
      <c r="AA92" s="440"/>
      <c r="AB92" s="440"/>
      <c r="AC92" s="440"/>
    </row>
    <row r="93" spans="9:29">
      <c r="I93" s="440"/>
      <c r="J93" s="440"/>
      <c r="K93" s="440"/>
      <c r="L93" s="440"/>
      <c r="M93" s="487"/>
      <c r="N93" s="440"/>
      <c r="O93" s="440"/>
      <c r="P93" s="440"/>
      <c r="Q93" s="440"/>
      <c r="R93" s="440"/>
      <c r="S93" s="440"/>
      <c r="T93" s="440"/>
      <c r="U93" s="440"/>
      <c r="V93" s="440"/>
      <c r="W93" s="440"/>
      <c r="X93" s="440"/>
      <c r="Y93" s="440"/>
      <c r="Z93" s="582"/>
      <c r="AA93" s="440"/>
      <c r="AB93" s="440"/>
      <c r="AC93" s="440"/>
    </row>
    <row r="94" spans="9:29">
      <c r="I94" s="440"/>
      <c r="J94" s="440"/>
      <c r="K94" s="440"/>
      <c r="L94" s="440"/>
      <c r="M94" s="487"/>
      <c r="N94" s="440"/>
      <c r="O94" s="440"/>
      <c r="P94" s="440"/>
      <c r="Q94" s="440"/>
      <c r="R94" s="440"/>
      <c r="S94" s="440"/>
      <c r="T94" s="440"/>
      <c r="U94" s="440"/>
      <c r="V94" s="440"/>
      <c r="W94" s="440"/>
      <c r="X94" s="440"/>
      <c r="Y94" s="440"/>
      <c r="Z94" s="582"/>
      <c r="AA94" s="440"/>
      <c r="AB94" s="440"/>
      <c r="AC94" s="440"/>
    </row>
    <row r="95" spans="9:29">
      <c r="I95" s="440"/>
      <c r="J95" s="440"/>
      <c r="K95" s="440"/>
      <c r="L95" s="440"/>
      <c r="M95" s="487"/>
      <c r="N95" s="440"/>
      <c r="O95" s="440"/>
      <c r="P95" s="440"/>
      <c r="Q95" s="440"/>
      <c r="R95" s="440"/>
      <c r="S95" s="440"/>
      <c r="T95" s="440"/>
      <c r="U95" s="440"/>
      <c r="V95" s="440"/>
      <c r="W95" s="440"/>
      <c r="X95" s="440"/>
      <c r="Y95" s="440"/>
      <c r="Z95" s="582"/>
      <c r="AA95" s="440"/>
      <c r="AB95" s="440"/>
      <c r="AC95" s="440"/>
    </row>
    <row r="96" spans="9:29">
      <c r="I96" s="440"/>
      <c r="J96" s="440"/>
      <c r="K96" s="440"/>
      <c r="L96" s="440"/>
      <c r="M96" s="487"/>
      <c r="N96" s="440"/>
      <c r="O96" s="440"/>
      <c r="P96" s="440"/>
      <c r="Q96" s="440"/>
      <c r="R96" s="440"/>
      <c r="S96" s="440"/>
      <c r="T96" s="440"/>
      <c r="U96" s="440"/>
      <c r="V96" s="440"/>
      <c r="W96" s="440"/>
      <c r="X96" s="440"/>
      <c r="Y96" s="440"/>
      <c r="Z96" s="582"/>
      <c r="AA96" s="440"/>
      <c r="AB96" s="440"/>
      <c r="AC96" s="440"/>
    </row>
    <row r="97" spans="9:29">
      <c r="I97" s="440"/>
      <c r="J97" s="440"/>
      <c r="K97" s="440"/>
      <c r="L97" s="440"/>
      <c r="M97" s="487"/>
      <c r="N97" s="440"/>
      <c r="O97" s="440"/>
      <c r="P97" s="440"/>
      <c r="Q97" s="440"/>
      <c r="R97" s="440"/>
      <c r="S97" s="440"/>
      <c r="T97" s="440"/>
      <c r="U97" s="440"/>
      <c r="V97" s="440"/>
      <c r="W97" s="440"/>
      <c r="X97" s="440"/>
      <c r="Y97" s="440"/>
      <c r="Z97" s="582"/>
      <c r="AA97" s="440"/>
      <c r="AB97" s="440"/>
      <c r="AC97" s="440"/>
    </row>
    <row r="98" spans="9:29">
      <c r="I98" s="440"/>
      <c r="J98" s="440"/>
      <c r="K98" s="440"/>
      <c r="L98" s="440"/>
      <c r="M98" s="487"/>
      <c r="N98" s="440"/>
      <c r="O98" s="440"/>
      <c r="P98" s="440"/>
      <c r="Q98" s="440"/>
      <c r="R98" s="440"/>
      <c r="S98" s="440"/>
      <c r="T98" s="440"/>
      <c r="U98" s="440"/>
      <c r="V98" s="440"/>
      <c r="W98" s="440"/>
      <c r="X98" s="440"/>
      <c r="Y98" s="440"/>
      <c r="Z98" s="582"/>
      <c r="AA98" s="440"/>
      <c r="AB98" s="440"/>
      <c r="AC98" s="440"/>
    </row>
    <row r="99" spans="9:29">
      <c r="I99" s="440"/>
      <c r="J99" s="440"/>
      <c r="K99" s="440"/>
      <c r="L99" s="440"/>
      <c r="M99" s="487"/>
      <c r="N99" s="440"/>
      <c r="O99" s="440"/>
      <c r="P99" s="440"/>
      <c r="Q99" s="440"/>
      <c r="R99" s="440"/>
      <c r="S99" s="440"/>
      <c r="T99" s="440"/>
      <c r="U99" s="440"/>
      <c r="V99" s="440"/>
      <c r="W99" s="440"/>
      <c r="X99" s="440"/>
      <c r="Y99" s="440"/>
      <c r="Z99" s="582"/>
      <c r="AA99" s="440"/>
      <c r="AB99" s="440"/>
      <c r="AC99" s="440"/>
    </row>
    <row r="100" spans="9:29">
      <c r="I100" s="440"/>
      <c r="J100" s="440"/>
      <c r="K100" s="440"/>
      <c r="L100" s="440"/>
      <c r="M100" s="487"/>
      <c r="N100" s="440"/>
      <c r="O100" s="440"/>
      <c r="P100" s="440"/>
      <c r="Q100" s="440"/>
      <c r="R100" s="440"/>
      <c r="S100" s="440"/>
      <c r="T100" s="440"/>
      <c r="U100" s="440"/>
      <c r="V100" s="440"/>
      <c r="W100" s="440"/>
      <c r="X100" s="440"/>
      <c r="Y100" s="440"/>
      <c r="Z100" s="582"/>
      <c r="AA100" s="440"/>
      <c r="AB100" s="440"/>
      <c r="AC100" s="440"/>
    </row>
    <row r="101" spans="9:29">
      <c r="I101" s="440"/>
      <c r="J101" s="440"/>
      <c r="K101" s="440"/>
      <c r="L101" s="440"/>
      <c r="M101" s="487"/>
      <c r="N101" s="440"/>
      <c r="O101" s="440"/>
      <c r="P101" s="440"/>
      <c r="Q101" s="440"/>
      <c r="R101" s="440"/>
      <c r="S101" s="440"/>
      <c r="T101" s="440"/>
      <c r="U101" s="440"/>
      <c r="V101" s="440"/>
      <c r="W101" s="440"/>
      <c r="X101" s="440"/>
      <c r="Y101" s="440"/>
      <c r="Z101" s="582"/>
      <c r="AA101" s="440"/>
      <c r="AB101" s="440"/>
      <c r="AC101" s="440"/>
    </row>
    <row r="102" spans="9:29">
      <c r="I102" s="440"/>
      <c r="J102" s="440"/>
      <c r="K102" s="440"/>
      <c r="L102" s="440"/>
      <c r="M102" s="487"/>
      <c r="N102" s="440"/>
      <c r="O102" s="440"/>
      <c r="P102" s="440"/>
      <c r="Q102" s="440"/>
      <c r="R102" s="440"/>
      <c r="S102" s="440"/>
      <c r="T102" s="440"/>
      <c r="U102" s="440"/>
      <c r="V102" s="440"/>
      <c r="W102" s="440"/>
      <c r="X102" s="440"/>
      <c r="Y102" s="440"/>
      <c r="Z102" s="582"/>
      <c r="AA102" s="440"/>
      <c r="AB102" s="440"/>
      <c r="AC102" s="440"/>
    </row>
    <row r="103" spans="9:29">
      <c r="I103" s="440"/>
      <c r="J103" s="440"/>
      <c r="K103" s="440"/>
      <c r="L103" s="440"/>
      <c r="M103" s="487"/>
      <c r="N103" s="440"/>
      <c r="O103" s="440"/>
      <c r="P103" s="440"/>
      <c r="Q103" s="440"/>
      <c r="R103" s="440"/>
      <c r="S103" s="440"/>
      <c r="T103" s="440"/>
      <c r="U103" s="440"/>
      <c r="V103" s="440"/>
      <c r="W103" s="440"/>
      <c r="X103" s="440"/>
      <c r="Y103" s="440"/>
      <c r="Z103" s="582"/>
      <c r="AA103" s="440"/>
      <c r="AB103" s="440"/>
      <c r="AC103" s="440"/>
    </row>
    <row r="104" spans="9:29">
      <c r="I104" s="440"/>
      <c r="J104" s="440"/>
      <c r="K104" s="440"/>
      <c r="L104" s="440"/>
      <c r="M104" s="487"/>
      <c r="N104" s="440"/>
      <c r="O104" s="440"/>
      <c r="P104" s="440"/>
      <c r="Q104" s="440"/>
      <c r="R104" s="440"/>
      <c r="S104" s="440"/>
      <c r="T104" s="440"/>
      <c r="U104" s="440"/>
      <c r="V104" s="440"/>
      <c r="W104" s="440"/>
      <c r="X104" s="440"/>
      <c r="Y104" s="440"/>
      <c r="Z104" s="582"/>
      <c r="AA104" s="440"/>
      <c r="AB104" s="440"/>
      <c r="AC104" s="440"/>
    </row>
    <row r="105" spans="9:29">
      <c r="I105" s="440"/>
      <c r="J105" s="440"/>
      <c r="K105" s="440"/>
      <c r="L105" s="440"/>
      <c r="M105" s="487"/>
      <c r="N105" s="440"/>
      <c r="O105" s="440"/>
      <c r="P105" s="440"/>
      <c r="Q105" s="440"/>
      <c r="R105" s="440"/>
      <c r="S105" s="440"/>
      <c r="T105" s="440"/>
      <c r="U105" s="440"/>
      <c r="V105" s="440"/>
      <c r="W105" s="440"/>
      <c r="X105" s="440"/>
      <c r="Y105" s="440"/>
      <c r="Z105" s="582"/>
      <c r="AA105" s="440"/>
      <c r="AB105" s="440"/>
      <c r="AC105" s="440"/>
    </row>
    <row r="106" spans="9:29">
      <c r="I106" s="440"/>
      <c r="J106" s="440"/>
      <c r="K106" s="440"/>
      <c r="L106" s="440"/>
      <c r="M106" s="487"/>
      <c r="N106" s="440"/>
      <c r="O106" s="440"/>
      <c r="P106" s="440"/>
      <c r="Q106" s="440"/>
      <c r="R106" s="440"/>
      <c r="S106" s="440"/>
      <c r="T106" s="440"/>
      <c r="U106" s="440"/>
      <c r="V106" s="440"/>
      <c r="W106" s="440"/>
      <c r="X106" s="440"/>
      <c r="Y106" s="440"/>
      <c r="Z106" s="582"/>
      <c r="AA106" s="440"/>
      <c r="AB106" s="440"/>
      <c r="AC106" s="440"/>
    </row>
    <row r="107" spans="9:29">
      <c r="I107" s="440"/>
      <c r="J107" s="440"/>
      <c r="K107" s="440"/>
      <c r="L107" s="440"/>
      <c r="M107" s="487"/>
      <c r="N107" s="440"/>
      <c r="O107" s="440"/>
      <c r="P107" s="440"/>
      <c r="Q107" s="440"/>
      <c r="R107" s="440"/>
      <c r="S107" s="440"/>
      <c r="T107" s="440"/>
      <c r="U107" s="440"/>
      <c r="V107" s="440"/>
      <c r="W107" s="440"/>
      <c r="X107" s="440"/>
      <c r="Y107" s="440"/>
      <c r="Z107" s="582"/>
      <c r="AA107" s="440"/>
      <c r="AB107" s="440"/>
      <c r="AC107" s="440"/>
    </row>
    <row r="108" spans="9:29">
      <c r="I108" s="440"/>
      <c r="J108" s="440"/>
      <c r="K108" s="440"/>
      <c r="L108" s="440"/>
      <c r="M108" s="487"/>
      <c r="N108" s="440"/>
      <c r="O108" s="440"/>
      <c r="P108" s="440"/>
      <c r="Q108" s="440"/>
      <c r="R108" s="440"/>
      <c r="S108" s="440"/>
      <c r="T108" s="440"/>
      <c r="U108" s="440"/>
      <c r="V108" s="440"/>
      <c r="W108" s="440"/>
      <c r="X108" s="440"/>
      <c r="Y108" s="440"/>
      <c r="Z108" s="582"/>
      <c r="AA108" s="440"/>
      <c r="AB108" s="440"/>
      <c r="AC108" s="440"/>
    </row>
    <row r="109" spans="9:29">
      <c r="I109" s="440"/>
      <c r="J109" s="440"/>
      <c r="K109" s="440"/>
      <c r="L109" s="440"/>
      <c r="M109" s="487"/>
      <c r="N109" s="440"/>
      <c r="O109" s="440"/>
      <c r="P109" s="440"/>
      <c r="Q109" s="440"/>
      <c r="R109" s="440"/>
      <c r="S109" s="440"/>
      <c r="T109" s="440"/>
      <c r="U109" s="440"/>
      <c r="V109" s="440"/>
      <c r="W109" s="440"/>
      <c r="X109" s="440"/>
      <c r="Y109" s="440"/>
      <c r="Z109" s="582"/>
      <c r="AA109" s="440"/>
      <c r="AB109" s="440"/>
      <c r="AC109" s="440"/>
    </row>
    <row r="110" spans="9:29">
      <c r="I110" s="440"/>
      <c r="J110" s="440"/>
      <c r="K110" s="440"/>
      <c r="L110" s="440"/>
      <c r="M110" s="487"/>
      <c r="N110" s="440"/>
      <c r="O110" s="440"/>
      <c r="P110" s="440"/>
      <c r="Q110" s="440"/>
      <c r="R110" s="440"/>
      <c r="S110" s="440"/>
      <c r="T110" s="440"/>
      <c r="U110" s="440"/>
      <c r="V110" s="440"/>
      <c r="W110" s="440"/>
      <c r="X110" s="440"/>
      <c r="Y110" s="440"/>
      <c r="Z110" s="582"/>
      <c r="AA110" s="440"/>
      <c r="AB110" s="440"/>
      <c r="AC110" s="440"/>
    </row>
    <row r="111" spans="9:29">
      <c r="I111" s="440"/>
      <c r="J111" s="440"/>
      <c r="K111" s="440"/>
      <c r="L111" s="440"/>
      <c r="M111" s="487"/>
      <c r="N111" s="440"/>
      <c r="O111" s="440"/>
      <c r="P111" s="440"/>
      <c r="Q111" s="440"/>
      <c r="R111" s="440"/>
      <c r="S111" s="440"/>
      <c r="T111" s="440"/>
      <c r="U111" s="440"/>
      <c r="V111" s="440"/>
      <c r="W111" s="440"/>
      <c r="X111" s="440"/>
      <c r="Y111" s="440"/>
      <c r="Z111" s="582"/>
      <c r="AA111" s="440"/>
      <c r="AB111" s="440"/>
      <c r="AC111" s="440"/>
    </row>
    <row r="112" spans="9:29">
      <c r="I112" s="440"/>
      <c r="J112" s="440"/>
      <c r="K112" s="440"/>
      <c r="L112" s="440"/>
      <c r="M112" s="487"/>
      <c r="N112" s="440"/>
      <c r="O112" s="440"/>
      <c r="P112" s="440"/>
      <c r="Q112" s="440"/>
      <c r="R112" s="440"/>
      <c r="S112" s="440"/>
      <c r="T112" s="440"/>
      <c r="U112" s="440"/>
      <c r="V112" s="440"/>
      <c r="W112" s="440"/>
      <c r="X112" s="440"/>
      <c r="Y112" s="440"/>
      <c r="Z112" s="582"/>
      <c r="AA112" s="440"/>
      <c r="AB112" s="440"/>
      <c r="AC112" s="440"/>
    </row>
    <row r="113" spans="9:29">
      <c r="I113" s="440"/>
      <c r="J113" s="440"/>
      <c r="K113" s="440"/>
      <c r="L113" s="440"/>
      <c r="M113" s="487"/>
      <c r="N113" s="440"/>
      <c r="O113" s="440"/>
      <c r="P113" s="440"/>
      <c r="Q113" s="440"/>
      <c r="R113" s="440"/>
      <c r="S113" s="440"/>
      <c r="T113" s="440"/>
      <c r="U113" s="440"/>
      <c r="V113" s="440"/>
      <c r="W113" s="440"/>
      <c r="X113" s="440"/>
      <c r="Y113" s="440"/>
      <c r="Z113" s="582"/>
      <c r="AA113" s="440"/>
      <c r="AB113" s="440"/>
      <c r="AC113" s="440"/>
    </row>
    <row r="114" spans="9:29">
      <c r="I114" s="440"/>
      <c r="J114" s="440"/>
      <c r="K114" s="440"/>
      <c r="L114" s="440"/>
      <c r="M114" s="487"/>
      <c r="N114" s="440"/>
      <c r="O114" s="440"/>
      <c r="P114" s="440"/>
      <c r="Q114" s="440"/>
      <c r="R114" s="440"/>
      <c r="S114" s="440"/>
      <c r="T114" s="440"/>
      <c r="U114" s="440"/>
      <c r="V114" s="440"/>
      <c r="W114" s="440"/>
      <c r="X114" s="440"/>
      <c r="Y114" s="440"/>
      <c r="Z114" s="582"/>
      <c r="AA114" s="440"/>
      <c r="AB114" s="440"/>
      <c r="AC114" s="440"/>
    </row>
    <row r="115" spans="9:29">
      <c r="I115" s="440"/>
      <c r="J115" s="440"/>
      <c r="K115" s="440"/>
      <c r="L115" s="440"/>
      <c r="M115" s="487"/>
      <c r="N115" s="440"/>
      <c r="O115" s="440"/>
      <c r="P115" s="440"/>
      <c r="Q115" s="440"/>
      <c r="R115" s="440"/>
      <c r="S115" s="440"/>
      <c r="T115" s="440"/>
      <c r="U115" s="440"/>
      <c r="V115" s="440"/>
      <c r="W115" s="440"/>
      <c r="X115" s="440"/>
      <c r="Y115" s="440"/>
      <c r="Z115" s="582"/>
      <c r="AA115" s="440"/>
      <c r="AB115" s="440"/>
      <c r="AC115" s="440"/>
    </row>
    <row r="116" spans="9:29">
      <c r="I116" s="440"/>
      <c r="J116" s="440"/>
      <c r="K116" s="440"/>
      <c r="L116" s="440"/>
      <c r="M116" s="487"/>
      <c r="N116" s="440"/>
      <c r="O116" s="440"/>
      <c r="P116" s="440"/>
      <c r="Q116" s="440"/>
      <c r="R116" s="440"/>
      <c r="S116" s="440"/>
      <c r="T116" s="440"/>
      <c r="U116" s="440"/>
      <c r="V116" s="440"/>
      <c r="W116" s="440"/>
      <c r="X116" s="440"/>
      <c r="Y116" s="440"/>
      <c r="Z116" s="582"/>
      <c r="AA116" s="440"/>
      <c r="AB116" s="440"/>
      <c r="AC116" s="440"/>
    </row>
    <row r="117" spans="9:29">
      <c r="I117" s="440"/>
      <c r="J117" s="440"/>
      <c r="K117" s="440"/>
      <c r="L117" s="440"/>
      <c r="M117" s="487"/>
      <c r="N117" s="440"/>
      <c r="O117" s="440"/>
      <c r="P117" s="440"/>
      <c r="Q117" s="440"/>
      <c r="R117" s="440"/>
      <c r="S117" s="440"/>
      <c r="T117" s="440"/>
      <c r="U117" s="440"/>
      <c r="V117" s="440"/>
      <c r="W117" s="440"/>
      <c r="X117" s="440"/>
      <c r="Y117" s="440"/>
      <c r="Z117" s="582"/>
      <c r="AA117" s="440"/>
      <c r="AB117" s="440"/>
      <c r="AC117" s="440"/>
    </row>
    <row r="118" spans="9:29">
      <c r="I118" s="440"/>
      <c r="J118" s="440"/>
      <c r="K118" s="440"/>
      <c r="L118" s="440"/>
      <c r="M118" s="487"/>
      <c r="N118" s="440"/>
      <c r="O118" s="440"/>
      <c r="P118" s="440"/>
      <c r="Q118" s="440"/>
      <c r="R118" s="440"/>
      <c r="S118" s="440"/>
      <c r="T118" s="440"/>
      <c r="U118" s="440"/>
      <c r="V118" s="440"/>
      <c r="W118" s="440"/>
      <c r="X118" s="440"/>
      <c r="Y118" s="440"/>
      <c r="Z118" s="582"/>
      <c r="AA118" s="440"/>
      <c r="AB118" s="440"/>
      <c r="AC118" s="440"/>
    </row>
    <row r="119" spans="9:29">
      <c r="I119" s="440"/>
      <c r="J119" s="440"/>
      <c r="K119" s="440"/>
      <c r="L119" s="440"/>
      <c r="M119" s="487"/>
      <c r="N119" s="440"/>
      <c r="O119" s="440"/>
      <c r="P119" s="440"/>
      <c r="Q119" s="440"/>
      <c r="R119" s="440"/>
      <c r="S119" s="440"/>
      <c r="T119" s="440"/>
      <c r="U119" s="440"/>
      <c r="V119" s="440"/>
      <c r="W119" s="440"/>
      <c r="X119" s="440"/>
      <c r="Y119" s="440"/>
      <c r="Z119" s="582"/>
      <c r="AA119" s="440"/>
      <c r="AB119" s="440"/>
      <c r="AC119" s="440"/>
    </row>
    <row r="120" spans="9:29">
      <c r="I120" s="440"/>
      <c r="J120" s="440"/>
      <c r="K120" s="440"/>
      <c r="L120" s="440"/>
      <c r="M120" s="487"/>
      <c r="N120" s="440"/>
      <c r="O120" s="440"/>
      <c r="P120" s="440"/>
      <c r="Q120" s="440"/>
      <c r="R120" s="440"/>
      <c r="S120" s="440"/>
      <c r="T120" s="440"/>
      <c r="U120" s="440"/>
      <c r="V120" s="440"/>
      <c r="W120" s="440"/>
      <c r="X120" s="440"/>
      <c r="Y120" s="440"/>
      <c r="Z120" s="582"/>
      <c r="AA120" s="440"/>
      <c r="AB120" s="440"/>
      <c r="AC120" s="440"/>
    </row>
    <row r="121" spans="9:29">
      <c r="I121" s="440"/>
      <c r="J121" s="440"/>
      <c r="K121" s="440"/>
      <c r="L121" s="440"/>
      <c r="M121" s="487"/>
      <c r="N121" s="440"/>
      <c r="O121" s="440"/>
      <c r="P121" s="440"/>
      <c r="Q121" s="440"/>
      <c r="R121" s="440"/>
      <c r="S121" s="440"/>
      <c r="T121" s="440"/>
      <c r="U121" s="440"/>
      <c r="V121" s="440"/>
      <c r="W121" s="440"/>
      <c r="X121" s="440"/>
      <c r="Y121" s="440"/>
      <c r="Z121" s="582"/>
      <c r="AA121" s="440"/>
      <c r="AB121" s="440"/>
      <c r="AC121" s="440"/>
    </row>
    <row r="122" spans="9:29">
      <c r="I122" s="440"/>
      <c r="J122" s="440"/>
      <c r="K122" s="440"/>
      <c r="L122" s="440"/>
      <c r="M122" s="487"/>
      <c r="N122" s="440"/>
      <c r="O122" s="440"/>
      <c r="P122" s="440"/>
      <c r="Q122" s="440"/>
      <c r="R122" s="440"/>
      <c r="S122" s="440"/>
      <c r="T122" s="440"/>
      <c r="U122" s="440"/>
      <c r="V122" s="440"/>
      <c r="W122" s="440"/>
      <c r="X122" s="440"/>
      <c r="Y122" s="440"/>
      <c r="Z122" s="582"/>
      <c r="AA122" s="440"/>
      <c r="AB122" s="440"/>
      <c r="AC122" s="440"/>
    </row>
    <row r="123" spans="9:29">
      <c r="I123" s="440"/>
      <c r="J123" s="440"/>
      <c r="K123" s="440"/>
      <c r="L123" s="440"/>
      <c r="M123" s="487"/>
      <c r="N123" s="440"/>
      <c r="O123" s="440"/>
      <c r="P123" s="440"/>
      <c r="Q123" s="440"/>
      <c r="R123" s="440"/>
      <c r="S123" s="440"/>
      <c r="T123" s="440"/>
      <c r="U123" s="440"/>
      <c r="V123" s="440"/>
      <c r="W123" s="440"/>
      <c r="X123" s="440"/>
      <c r="Y123" s="440"/>
      <c r="Z123" s="582"/>
      <c r="AA123" s="440"/>
      <c r="AB123" s="440"/>
      <c r="AC123" s="440"/>
    </row>
    <row r="124" spans="9:29">
      <c r="I124" s="440"/>
      <c r="J124" s="440"/>
      <c r="K124" s="440"/>
      <c r="L124" s="440"/>
      <c r="M124" s="487"/>
      <c r="N124" s="440"/>
      <c r="O124" s="440"/>
      <c r="P124" s="440"/>
      <c r="Q124" s="440"/>
      <c r="R124" s="440"/>
      <c r="S124" s="440"/>
      <c r="T124" s="440"/>
      <c r="U124" s="440"/>
      <c r="V124" s="440"/>
      <c r="W124" s="440"/>
      <c r="X124" s="440"/>
      <c r="Y124" s="440"/>
      <c r="Z124" s="582"/>
      <c r="AA124" s="440"/>
      <c r="AB124" s="440"/>
      <c r="AC124" s="440"/>
    </row>
    <row r="125" spans="9:29">
      <c r="I125" s="440"/>
      <c r="J125" s="440"/>
      <c r="K125" s="440"/>
      <c r="L125" s="440"/>
      <c r="M125" s="487"/>
      <c r="N125" s="440"/>
      <c r="O125" s="440"/>
      <c r="P125" s="440"/>
      <c r="Q125" s="440"/>
      <c r="R125" s="440"/>
      <c r="S125" s="440"/>
      <c r="T125" s="440"/>
      <c r="U125" s="440"/>
      <c r="V125" s="440"/>
      <c r="W125" s="440"/>
      <c r="X125" s="440"/>
      <c r="Y125" s="440"/>
      <c r="Z125" s="582"/>
      <c r="AA125" s="440"/>
      <c r="AB125" s="440"/>
      <c r="AC125" s="440"/>
    </row>
    <row r="126" spans="9:29">
      <c r="I126" s="440"/>
      <c r="J126" s="440"/>
      <c r="K126" s="440"/>
      <c r="L126" s="440"/>
      <c r="M126" s="487"/>
      <c r="N126" s="440"/>
      <c r="O126" s="440"/>
      <c r="P126" s="440"/>
      <c r="Q126" s="440"/>
      <c r="R126" s="440"/>
      <c r="S126" s="440"/>
      <c r="T126" s="440"/>
      <c r="U126" s="440"/>
      <c r="V126" s="440"/>
      <c r="W126" s="440"/>
      <c r="X126" s="440"/>
      <c r="Y126" s="440"/>
      <c r="Z126" s="582"/>
      <c r="AA126" s="440"/>
      <c r="AB126" s="440"/>
      <c r="AC126" s="440"/>
    </row>
    <row r="127" spans="9:29">
      <c r="I127" s="440"/>
      <c r="J127" s="440"/>
      <c r="K127" s="440"/>
      <c r="L127" s="440"/>
      <c r="M127" s="487"/>
      <c r="N127" s="440"/>
      <c r="O127" s="440"/>
      <c r="P127" s="440"/>
      <c r="Q127" s="440"/>
      <c r="R127" s="440"/>
      <c r="S127" s="440"/>
      <c r="T127" s="440"/>
      <c r="U127" s="440"/>
      <c r="V127" s="440"/>
      <c r="W127" s="440"/>
      <c r="X127" s="440"/>
      <c r="Y127" s="440"/>
      <c r="Z127" s="582"/>
      <c r="AA127" s="440"/>
      <c r="AB127" s="440"/>
      <c r="AC127" s="440"/>
    </row>
    <row r="128" spans="9:29">
      <c r="I128" s="440"/>
      <c r="J128" s="440"/>
      <c r="K128" s="440"/>
      <c r="L128" s="440"/>
      <c r="M128" s="487"/>
      <c r="N128" s="440"/>
      <c r="O128" s="440"/>
      <c r="P128" s="440"/>
      <c r="Q128" s="440"/>
      <c r="R128" s="440"/>
      <c r="S128" s="440"/>
      <c r="T128" s="440"/>
      <c r="U128" s="440"/>
      <c r="V128" s="440"/>
      <c r="W128" s="440"/>
      <c r="X128" s="440"/>
      <c r="Y128" s="440"/>
      <c r="Z128" s="582"/>
      <c r="AA128" s="440"/>
      <c r="AB128" s="440"/>
      <c r="AC128" s="440"/>
    </row>
    <row r="129" spans="9:29">
      <c r="I129" s="440"/>
      <c r="J129" s="440"/>
      <c r="K129" s="440"/>
      <c r="L129" s="440"/>
      <c r="M129" s="487"/>
      <c r="N129" s="440"/>
      <c r="O129" s="440"/>
      <c r="P129" s="440"/>
      <c r="Q129" s="440"/>
      <c r="R129" s="440"/>
      <c r="S129" s="440"/>
      <c r="T129" s="440"/>
      <c r="U129" s="440"/>
      <c r="V129" s="440"/>
      <c r="W129" s="440"/>
      <c r="X129" s="440"/>
      <c r="Y129" s="440"/>
      <c r="Z129" s="582"/>
      <c r="AA129" s="440"/>
      <c r="AB129" s="440"/>
      <c r="AC129" s="440"/>
    </row>
    <row r="130" spans="9:29">
      <c r="I130" s="440"/>
      <c r="J130" s="440"/>
      <c r="K130" s="440"/>
      <c r="L130" s="440"/>
      <c r="M130" s="487"/>
      <c r="N130" s="440"/>
      <c r="O130" s="440"/>
      <c r="P130" s="440"/>
      <c r="Q130" s="440"/>
      <c r="R130" s="440"/>
      <c r="S130" s="440"/>
      <c r="T130" s="440"/>
      <c r="U130" s="440"/>
      <c r="V130" s="440"/>
      <c r="W130" s="440"/>
      <c r="X130" s="440"/>
      <c r="Y130" s="440"/>
      <c r="Z130" s="582"/>
      <c r="AA130" s="440"/>
      <c r="AB130" s="440"/>
      <c r="AC130" s="440"/>
    </row>
    <row r="131" spans="9:29">
      <c r="I131" s="440"/>
      <c r="J131" s="440"/>
      <c r="K131" s="440"/>
      <c r="L131" s="440"/>
      <c r="M131" s="487"/>
      <c r="N131" s="440"/>
      <c r="O131" s="440"/>
      <c r="P131" s="440"/>
      <c r="Q131" s="440"/>
      <c r="R131" s="440"/>
      <c r="S131" s="440"/>
      <c r="T131" s="440"/>
      <c r="U131" s="440"/>
      <c r="V131" s="440"/>
      <c r="W131" s="440"/>
      <c r="X131" s="440"/>
      <c r="Y131" s="440"/>
      <c r="Z131" s="582"/>
      <c r="AA131" s="440"/>
      <c r="AB131" s="440"/>
      <c r="AC131" s="440"/>
    </row>
    <row r="132" spans="9:29">
      <c r="I132" s="440"/>
      <c r="J132" s="440"/>
      <c r="K132" s="440"/>
      <c r="L132" s="440"/>
      <c r="M132" s="487"/>
      <c r="N132" s="440"/>
      <c r="O132" s="440"/>
      <c r="P132" s="440"/>
      <c r="Q132" s="440"/>
      <c r="R132" s="440"/>
      <c r="S132" s="440"/>
      <c r="T132" s="440"/>
      <c r="U132" s="440"/>
      <c r="V132" s="440"/>
      <c r="W132" s="440"/>
      <c r="X132" s="440"/>
      <c r="Y132" s="440"/>
      <c r="Z132" s="582"/>
      <c r="AA132" s="440"/>
      <c r="AB132" s="440"/>
      <c r="AC132" s="440"/>
    </row>
    <row r="133" spans="9:29">
      <c r="I133" s="440"/>
      <c r="J133" s="440"/>
      <c r="K133" s="440"/>
      <c r="L133" s="440"/>
      <c r="M133" s="487"/>
      <c r="N133" s="440"/>
      <c r="O133" s="440"/>
      <c r="P133" s="440"/>
      <c r="Q133" s="440"/>
      <c r="R133" s="440"/>
      <c r="S133" s="440"/>
      <c r="T133" s="440"/>
      <c r="U133" s="440"/>
      <c r="V133" s="440"/>
      <c r="W133" s="440"/>
      <c r="X133" s="440"/>
      <c r="Y133" s="440"/>
      <c r="Z133" s="582"/>
      <c r="AA133" s="440"/>
      <c r="AB133" s="440"/>
      <c r="AC133" s="440"/>
    </row>
    <row r="134" spans="9:29">
      <c r="I134" s="440"/>
      <c r="J134" s="440"/>
      <c r="K134" s="440"/>
      <c r="L134" s="440"/>
      <c r="M134" s="487"/>
      <c r="N134" s="440"/>
      <c r="O134" s="440"/>
      <c r="P134" s="440"/>
      <c r="Q134" s="440"/>
      <c r="R134" s="440"/>
      <c r="S134" s="440"/>
      <c r="T134" s="440"/>
      <c r="U134" s="440"/>
      <c r="V134" s="440"/>
      <c r="W134" s="440"/>
      <c r="X134" s="440"/>
      <c r="Y134" s="440"/>
      <c r="Z134" s="582"/>
      <c r="AA134" s="440"/>
      <c r="AB134" s="440"/>
      <c r="AC134" s="440"/>
    </row>
    <row r="135" spans="9:29">
      <c r="I135" s="440"/>
      <c r="J135" s="440"/>
      <c r="K135" s="440"/>
      <c r="L135" s="440"/>
      <c r="M135" s="487"/>
      <c r="N135" s="440"/>
      <c r="O135" s="440"/>
      <c r="P135" s="440"/>
      <c r="Q135" s="440"/>
      <c r="R135" s="440"/>
      <c r="S135" s="440"/>
      <c r="T135" s="440"/>
      <c r="U135" s="440"/>
      <c r="V135" s="440"/>
      <c r="W135" s="440"/>
      <c r="X135" s="440"/>
      <c r="Y135" s="440"/>
      <c r="Z135" s="582"/>
      <c r="AA135" s="440"/>
      <c r="AB135" s="440"/>
      <c r="AC135" s="440"/>
    </row>
    <row r="136" spans="9:29">
      <c r="I136" s="440"/>
      <c r="J136" s="440"/>
      <c r="K136" s="440"/>
      <c r="L136" s="440"/>
      <c r="M136" s="487"/>
      <c r="N136" s="440"/>
      <c r="O136" s="440"/>
      <c r="P136" s="440"/>
      <c r="Q136" s="440"/>
      <c r="R136" s="440"/>
      <c r="S136" s="440"/>
      <c r="T136" s="440"/>
      <c r="U136" s="440"/>
      <c r="V136" s="440"/>
      <c r="W136" s="440"/>
      <c r="X136" s="440"/>
      <c r="Y136" s="440"/>
      <c r="Z136" s="582"/>
      <c r="AA136" s="440"/>
      <c r="AB136" s="440"/>
      <c r="AC136" s="440"/>
    </row>
    <row r="137" spans="9:29">
      <c r="I137" s="440"/>
      <c r="J137" s="440"/>
      <c r="K137" s="440"/>
      <c r="L137" s="440"/>
      <c r="M137" s="487"/>
      <c r="N137" s="440"/>
      <c r="O137" s="440"/>
      <c r="P137" s="440"/>
      <c r="Q137" s="440"/>
      <c r="R137" s="440"/>
      <c r="S137" s="440"/>
      <c r="T137" s="440"/>
      <c r="U137" s="440"/>
      <c r="V137" s="440"/>
      <c r="W137" s="440"/>
      <c r="X137" s="440"/>
      <c r="Y137" s="440"/>
      <c r="Z137" s="582"/>
      <c r="AA137" s="440"/>
      <c r="AB137" s="440"/>
      <c r="AC137" s="440"/>
    </row>
    <row r="138" spans="9:29">
      <c r="I138" s="440"/>
      <c r="J138" s="440"/>
      <c r="K138" s="440"/>
      <c r="L138" s="440"/>
      <c r="M138" s="487"/>
      <c r="N138" s="440"/>
      <c r="O138" s="440"/>
      <c r="P138" s="440"/>
      <c r="Q138" s="440"/>
      <c r="R138" s="440"/>
      <c r="S138" s="440"/>
      <c r="T138" s="440"/>
      <c r="U138" s="440"/>
      <c r="V138" s="440"/>
      <c r="W138" s="440"/>
      <c r="X138" s="440"/>
      <c r="Y138" s="440"/>
      <c r="Z138" s="582"/>
      <c r="AA138" s="440"/>
      <c r="AB138" s="440"/>
      <c r="AC138" s="440"/>
    </row>
    <row r="139" spans="9:29">
      <c r="I139" s="440"/>
      <c r="J139" s="440"/>
      <c r="K139" s="440"/>
      <c r="L139" s="440"/>
      <c r="M139" s="487"/>
      <c r="N139" s="440"/>
      <c r="O139" s="440"/>
      <c r="P139" s="440"/>
      <c r="Q139" s="440"/>
      <c r="R139" s="440"/>
      <c r="S139" s="440"/>
      <c r="T139" s="440"/>
      <c r="U139" s="440"/>
      <c r="V139" s="440"/>
      <c r="W139" s="440"/>
      <c r="X139" s="440"/>
      <c r="Y139" s="440"/>
      <c r="Z139" s="582"/>
      <c r="AA139" s="440"/>
      <c r="AB139" s="440"/>
      <c r="AC139" s="440"/>
    </row>
    <row r="140" spans="9:29">
      <c r="I140" s="440"/>
      <c r="J140" s="440"/>
      <c r="K140" s="440"/>
      <c r="L140" s="440"/>
      <c r="M140" s="487"/>
      <c r="N140" s="440"/>
      <c r="O140" s="440"/>
      <c r="P140" s="440"/>
      <c r="Q140" s="440"/>
      <c r="R140" s="440"/>
      <c r="S140" s="440"/>
      <c r="T140" s="440"/>
      <c r="U140" s="440"/>
      <c r="V140" s="440"/>
      <c r="W140" s="440"/>
      <c r="X140" s="440"/>
      <c r="Y140" s="440"/>
      <c r="Z140" s="582"/>
      <c r="AA140" s="440"/>
      <c r="AB140" s="440"/>
      <c r="AC140" s="440"/>
    </row>
    <row r="141" spans="9:29">
      <c r="I141" s="440"/>
      <c r="J141" s="440"/>
      <c r="K141" s="440"/>
      <c r="L141" s="440"/>
      <c r="M141" s="487"/>
      <c r="N141" s="440"/>
      <c r="O141" s="440"/>
      <c r="P141" s="440"/>
      <c r="Q141" s="440"/>
      <c r="R141" s="440"/>
      <c r="S141" s="440"/>
      <c r="T141" s="440"/>
      <c r="U141" s="440"/>
      <c r="V141" s="440"/>
      <c r="W141" s="440"/>
      <c r="X141" s="440"/>
      <c r="Y141" s="440"/>
      <c r="Z141" s="582"/>
      <c r="AA141" s="440"/>
      <c r="AB141" s="440"/>
      <c r="AC141" s="440"/>
    </row>
    <row r="142" spans="9:29">
      <c r="I142" s="440"/>
      <c r="J142" s="440"/>
      <c r="K142" s="440"/>
      <c r="L142" s="440"/>
      <c r="M142" s="487"/>
      <c r="N142" s="440"/>
      <c r="O142" s="440"/>
      <c r="P142" s="440"/>
      <c r="Q142" s="440"/>
      <c r="R142" s="440"/>
      <c r="S142" s="440"/>
      <c r="T142" s="440"/>
      <c r="U142" s="440"/>
      <c r="V142" s="440"/>
      <c r="W142" s="440"/>
      <c r="X142" s="440"/>
      <c r="Y142" s="440"/>
      <c r="Z142" s="582"/>
      <c r="AA142" s="440"/>
      <c r="AB142" s="440"/>
      <c r="AC142" s="440"/>
    </row>
    <row r="143" spans="9:29">
      <c r="I143" s="440"/>
      <c r="J143" s="440"/>
      <c r="K143" s="440"/>
      <c r="L143" s="440"/>
      <c r="M143" s="487"/>
      <c r="N143" s="440"/>
      <c r="O143" s="440"/>
      <c r="P143" s="440"/>
      <c r="Q143" s="440"/>
      <c r="R143" s="440"/>
      <c r="S143" s="440"/>
      <c r="T143" s="440"/>
      <c r="U143" s="440"/>
      <c r="V143" s="440"/>
      <c r="W143" s="440"/>
      <c r="X143" s="440"/>
      <c r="Y143" s="440"/>
      <c r="Z143" s="582"/>
      <c r="AA143" s="440"/>
      <c r="AB143" s="440"/>
      <c r="AC143" s="440"/>
    </row>
    <row r="144" spans="9:29">
      <c r="I144" s="440"/>
      <c r="J144" s="440"/>
      <c r="K144" s="440"/>
      <c r="L144" s="440"/>
      <c r="M144" s="487"/>
      <c r="N144" s="440"/>
      <c r="O144" s="440"/>
      <c r="P144" s="440"/>
      <c r="Q144" s="440"/>
      <c r="R144" s="440"/>
      <c r="S144" s="440"/>
      <c r="T144" s="440"/>
      <c r="U144" s="440"/>
      <c r="V144" s="440"/>
      <c r="W144" s="440"/>
      <c r="X144" s="440"/>
      <c r="Y144" s="440"/>
      <c r="Z144" s="582"/>
      <c r="AA144" s="440"/>
      <c r="AB144" s="440"/>
      <c r="AC144" s="440"/>
    </row>
    <row r="145" spans="9:29">
      <c r="I145" s="440"/>
      <c r="J145" s="440"/>
      <c r="K145" s="440"/>
      <c r="L145" s="440"/>
      <c r="M145" s="487"/>
      <c r="N145" s="440"/>
      <c r="O145" s="440"/>
      <c r="P145" s="440"/>
      <c r="Q145" s="440"/>
      <c r="R145" s="440"/>
      <c r="S145" s="440"/>
      <c r="T145" s="440"/>
      <c r="U145" s="440"/>
      <c r="V145" s="440"/>
      <c r="W145" s="440"/>
      <c r="X145" s="440"/>
      <c r="Y145" s="440"/>
      <c r="Z145" s="582"/>
      <c r="AA145" s="440"/>
      <c r="AB145" s="440"/>
      <c r="AC145" s="440"/>
    </row>
    <row r="146" spans="9:29">
      <c r="I146" s="440"/>
      <c r="J146" s="440"/>
      <c r="K146" s="440"/>
      <c r="L146" s="440"/>
      <c r="M146" s="487"/>
      <c r="N146" s="440"/>
      <c r="O146" s="440"/>
      <c r="P146" s="440"/>
      <c r="Q146" s="440"/>
      <c r="R146" s="440"/>
      <c r="S146" s="440"/>
      <c r="T146" s="440"/>
      <c r="U146" s="440"/>
      <c r="V146" s="440"/>
      <c r="W146" s="440"/>
      <c r="X146" s="440"/>
      <c r="Y146" s="440"/>
      <c r="Z146" s="582"/>
      <c r="AA146" s="440"/>
      <c r="AB146" s="440"/>
      <c r="AC146" s="440"/>
    </row>
    <row r="147" spans="9:29">
      <c r="I147" s="440"/>
      <c r="J147" s="440"/>
      <c r="K147" s="440"/>
      <c r="L147" s="440"/>
      <c r="M147" s="487"/>
      <c r="N147" s="440"/>
      <c r="O147" s="440"/>
      <c r="P147" s="440"/>
      <c r="Q147" s="440"/>
      <c r="R147" s="440"/>
      <c r="S147" s="440"/>
      <c r="T147" s="440"/>
      <c r="U147" s="440"/>
      <c r="V147" s="440"/>
      <c r="W147" s="440"/>
      <c r="X147" s="440"/>
      <c r="Y147" s="440"/>
      <c r="Z147" s="582"/>
      <c r="AA147" s="440"/>
      <c r="AB147" s="440"/>
      <c r="AC147" s="440"/>
    </row>
    <row r="148" spans="9:29">
      <c r="I148" s="440"/>
      <c r="J148" s="440"/>
      <c r="K148" s="440"/>
      <c r="L148" s="440"/>
      <c r="M148" s="487"/>
      <c r="N148" s="440"/>
      <c r="O148" s="440"/>
      <c r="P148" s="440"/>
      <c r="Q148" s="440"/>
      <c r="R148" s="440"/>
      <c r="S148" s="440"/>
      <c r="T148" s="440"/>
      <c r="U148" s="440"/>
      <c r="V148" s="440"/>
      <c r="W148" s="440"/>
      <c r="X148" s="440"/>
      <c r="Y148" s="440"/>
      <c r="Z148" s="582"/>
      <c r="AA148" s="440"/>
      <c r="AB148" s="440"/>
      <c r="AC148" s="440"/>
    </row>
    <row r="149" spans="9:29">
      <c r="I149" s="440"/>
      <c r="J149" s="440"/>
      <c r="K149" s="440"/>
      <c r="L149" s="440"/>
      <c r="M149" s="487"/>
      <c r="N149" s="440"/>
      <c r="O149" s="440"/>
      <c r="P149" s="440"/>
      <c r="Q149" s="440"/>
      <c r="R149" s="440"/>
      <c r="S149" s="440"/>
      <c r="T149" s="440"/>
      <c r="U149" s="440"/>
      <c r="V149" s="440"/>
      <c r="W149" s="440"/>
      <c r="X149" s="440"/>
      <c r="Y149" s="440"/>
      <c r="Z149" s="582"/>
      <c r="AA149" s="440"/>
      <c r="AB149" s="440"/>
      <c r="AC149" s="440"/>
    </row>
    <row r="150" spans="9:29">
      <c r="I150" s="440"/>
      <c r="J150" s="440"/>
      <c r="K150" s="440"/>
      <c r="L150" s="440"/>
      <c r="M150" s="487"/>
      <c r="N150" s="440"/>
      <c r="O150" s="440"/>
      <c r="P150" s="440"/>
      <c r="Q150" s="440"/>
      <c r="R150" s="440"/>
      <c r="S150" s="440"/>
      <c r="T150" s="440"/>
      <c r="U150" s="440"/>
      <c r="V150" s="440"/>
      <c r="W150" s="440"/>
      <c r="X150" s="440"/>
      <c r="Y150" s="440"/>
      <c r="Z150" s="582"/>
      <c r="AA150" s="440"/>
      <c r="AB150" s="440"/>
      <c r="AC150" s="440"/>
    </row>
    <row r="151" spans="9:29">
      <c r="I151" s="440"/>
      <c r="J151" s="440"/>
      <c r="K151" s="440"/>
      <c r="L151" s="440"/>
      <c r="M151" s="487"/>
      <c r="N151" s="440"/>
      <c r="O151" s="440"/>
      <c r="P151" s="440"/>
      <c r="Q151" s="440"/>
      <c r="R151" s="440"/>
      <c r="S151" s="440"/>
      <c r="T151" s="440"/>
      <c r="U151" s="440"/>
      <c r="V151" s="440"/>
      <c r="W151" s="440"/>
      <c r="X151" s="440"/>
      <c r="Y151" s="440"/>
      <c r="Z151" s="582"/>
      <c r="AA151" s="440"/>
      <c r="AB151" s="440"/>
      <c r="AC151" s="440"/>
    </row>
    <row r="152" spans="9:29">
      <c r="I152" s="440"/>
      <c r="J152" s="440"/>
      <c r="K152" s="440"/>
      <c r="L152" s="440"/>
      <c r="M152" s="487"/>
      <c r="N152" s="440"/>
      <c r="O152" s="440"/>
      <c r="P152" s="440"/>
      <c r="Q152" s="440"/>
      <c r="R152" s="440"/>
      <c r="S152" s="440"/>
      <c r="T152" s="440"/>
      <c r="U152" s="440"/>
      <c r="V152" s="440"/>
      <c r="W152" s="440"/>
      <c r="X152" s="440"/>
      <c r="Y152" s="440"/>
      <c r="Z152" s="582"/>
      <c r="AA152" s="440"/>
      <c r="AB152" s="440"/>
      <c r="AC152" s="440"/>
    </row>
    <row r="153" spans="9:29">
      <c r="I153" s="440"/>
      <c r="J153" s="440"/>
      <c r="K153" s="440"/>
      <c r="L153" s="440"/>
      <c r="M153" s="487"/>
      <c r="N153" s="440"/>
      <c r="O153" s="440"/>
      <c r="P153" s="440"/>
      <c r="Q153" s="440"/>
      <c r="R153" s="440"/>
      <c r="S153" s="440"/>
      <c r="T153" s="440"/>
      <c r="U153" s="440"/>
      <c r="V153" s="440"/>
      <c r="W153" s="440"/>
      <c r="X153" s="440"/>
      <c r="Y153" s="440"/>
      <c r="Z153" s="582"/>
      <c r="AA153" s="440"/>
      <c r="AB153" s="440"/>
      <c r="AC153" s="440"/>
    </row>
    <row r="154" spans="9:29">
      <c r="I154" s="440"/>
      <c r="J154" s="440"/>
      <c r="K154" s="440"/>
      <c r="L154" s="440"/>
      <c r="M154" s="487"/>
      <c r="N154" s="440"/>
      <c r="O154" s="440"/>
      <c r="P154" s="440"/>
      <c r="Q154" s="440"/>
      <c r="R154" s="440"/>
      <c r="S154" s="440"/>
      <c r="T154" s="440"/>
      <c r="U154" s="440"/>
      <c r="V154" s="440"/>
      <c r="W154" s="440"/>
      <c r="X154" s="440"/>
      <c r="Y154" s="440"/>
      <c r="Z154" s="582"/>
      <c r="AA154" s="440"/>
      <c r="AB154" s="440"/>
      <c r="AC154" s="440"/>
    </row>
    <row r="155" spans="9:29">
      <c r="I155" s="440"/>
      <c r="J155" s="440"/>
      <c r="K155" s="440"/>
      <c r="L155" s="440"/>
      <c r="M155" s="487"/>
      <c r="N155" s="440"/>
      <c r="O155" s="440"/>
      <c r="P155" s="440"/>
      <c r="Q155" s="440"/>
      <c r="R155" s="440"/>
      <c r="S155" s="440"/>
      <c r="T155" s="440"/>
      <c r="U155" s="440"/>
      <c r="V155" s="440"/>
      <c r="W155" s="440"/>
      <c r="X155" s="440"/>
      <c r="Y155" s="440"/>
      <c r="Z155" s="582"/>
      <c r="AA155" s="440"/>
      <c r="AB155" s="440"/>
      <c r="AC155" s="440"/>
    </row>
    <row r="156" spans="9:29">
      <c r="I156" s="440"/>
      <c r="J156" s="440"/>
      <c r="K156" s="440"/>
      <c r="L156" s="440"/>
      <c r="M156" s="487"/>
      <c r="N156" s="440"/>
      <c r="O156" s="440"/>
      <c r="P156" s="440"/>
      <c r="Q156" s="440"/>
      <c r="R156" s="440"/>
      <c r="S156" s="440"/>
      <c r="T156" s="440"/>
      <c r="U156" s="440"/>
      <c r="V156" s="440"/>
      <c r="W156" s="440"/>
      <c r="X156" s="440"/>
      <c r="Y156" s="440"/>
      <c r="Z156" s="582"/>
      <c r="AA156" s="440"/>
      <c r="AB156" s="440"/>
      <c r="AC156" s="440"/>
    </row>
    <row r="157" spans="9:29">
      <c r="I157" s="440"/>
      <c r="J157" s="440"/>
      <c r="K157" s="440"/>
      <c r="L157" s="440"/>
      <c r="M157" s="487"/>
      <c r="N157" s="440"/>
      <c r="O157" s="440"/>
      <c r="P157" s="440"/>
      <c r="Q157" s="440"/>
      <c r="R157" s="440"/>
      <c r="S157" s="440"/>
      <c r="T157" s="440"/>
      <c r="U157" s="440"/>
      <c r="V157" s="440"/>
      <c r="W157" s="440"/>
      <c r="X157" s="440"/>
      <c r="Y157" s="440"/>
      <c r="Z157" s="582"/>
      <c r="AA157" s="440"/>
      <c r="AB157" s="440"/>
      <c r="AC157" s="440"/>
    </row>
    <row r="158" spans="9:29">
      <c r="I158" s="440"/>
      <c r="J158" s="440"/>
      <c r="K158" s="440"/>
      <c r="L158" s="440"/>
      <c r="M158" s="487"/>
      <c r="N158" s="440"/>
      <c r="O158" s="440"/>
      <c r="P158" s="440"/>
      <c r="Q158" s="440"/>
      <c r="R158" s="440"/>
      <c r="S158" s="440"/>
      <c r="T158" s="440"/>
      <c r="U158" s="440"/>
      <c r="V158" s="440"/>
      <c r="W158" s="440"/>
      <c r="X158" s="440"/>
      <c r="Y158" s="440"/>
      <c r="Z158" s="582"/>
      <c r="AA158" s="440"/>
      <c r="AB158" s="440"/>
      <c r="AC158" s="440"/>
    </row>
    <row r="159" spans="9:29">
      <c r="I159" s="440"/>
      <c r="J159" s="440"/>
      <c r="K159" s="440"/>
      <c r="L159" s="440"/>
      <c r="M159" s="487"/>
      <c r="N159" s="440"/>
      <c r="O159" s="440"/>
      <c r="P159" s="440"/>
      <c r="Q159" s="440"/>
      <c r="R159" s="440"/>
      <c r="S159" s="440"/>
      <c r="T159" s="440"/>
      <c r="U159" s="440"/>
      <c r="V159" s="440"/>
      <c r="W159" s="440"/>
      <c r="X159" s="440"/>
      <c r="Y159" s="440"/>
      <c r="Z159" s="582"/>
      <c r="AA159" s="440"/>
      <c r="AB159" s="440"/>
      <c r="AC159" s="440"/>
    </row>
    <row r="160" spans="9:29">
      <c r="I160" s="440"/>
      <c r="J160" s="440"/>
      <c r="K160" s="440"/>
      <c r="L160" s="440"/>
      <c r="M160" s="487"/>
      <c r="N160" s="440"/>
      <c r="O160" s="440"/>
      <c r="P160" s="440"/>
      <c r="Q160" s="440"/>
      <c r="R160" s="440"/>
      <c r="S160" s="440"/>
      <c r="T160" s="440"/>
      <c r="U160" s="440"/>
      <c r="V160" s="440"/>
      <c r="W160" s="440"/>
      <c r="X160" s="440"/>
      <c r="Y160" s="440"/>
      <c r="Z160" s="582"/>
      <c r="AA160" s="440"/>
      <c r="AB160" s="440"/>
      <c r="AC160" s="440"/>
    </row>
    <row r="161" spans="9:29">
      <c r="I161" s="440"/>
      <c r="J161" s="440"/>
      <c r="K161" s="440"/>
      <c r="L161" s="440"/>
      <c r="M161" s="487"/>
      <c r="N161" s="440"/>
      <c r="O161" s="440"/>
      <c r="P161" s="440"/>
      <c r="Q161" s="440"/>
      <c r="R161" s="440"/>
      <c r="S161" s="440"/>
      <c r="T161" s="440"/>
      <c r="U161" s="440"/>
      <c r="V161" s="440"/>
      <c r="W161" s="440"/>
      <c r="X161" s="440"/>
      <c r="Y161" s="440"/>
      <c r="Z161" s="582"/>
      <c r="AA161" s="440"/>
      <c r="AB161" s="440"/>
      <c r="AC161" s="440"/>
    </row>
    <row r="162" spans="9:29">
      <c r="I162" s="440"/>
      <c r="J162" s="440"/>
      <c r="K162" s="440"/>
      <c r="L162" s="440"/>
      <c r="M162" s="487"/>
      <c r="N162" s="440"/>
      <c r="O162" s="440"/>
      <c r="P162" s="440"/>
      <c r="Q162" s="440"/>
      <c r="R162" s="440"/>
      <c r="S162" s="440"/>
      <c r="T162" s="440"/>
      <c r="U162" s="440"/>
      <c r="V162" s="440"/>
      <c r="W162" s="440"/>
      <c r="X162" s="440"/>
      <c r="Y162" s="440"/>
      <c r="Z162" s="582"/>
      <c r="AA162" s="440"/>
      <c r="AB162" s="440"/>
      <c r="AC162" s="440"/>
    </row>
    <row r="163" spans="9:29">
      <c r="I163" s="440"/>
      <c r="J163" s="440"/>
      <c r="K163" s="440"/>
      <c r="L163" s="440"/>
      <c r="M163" s="487"/>
      <c r="N163" s="440"/>
      <c r="O163" s="440"/>
      <c r="P163" s="440"/>
      <c r="Q163" s="440"/>
      <c r="R163" s="440"/>
      <c r="S163" s="440"/>
      <c r="T163" s="440"/>
      <c r="U163" s="440"/>
      <c r="V163" s="440"/>
      <c r="W163" s="440"/>
      <c r="X163" s="440"/>
      <c r="Y163" s="440"/>
      <c r="Z163" s="582"/>
      <c r="AA163" s="440"/>
      <c r="AB163" s="440"/>
      <c r="AC163" s="440"/>
    </row>
    <row r="164" spans="9:29">
      <c r="I164" s="440"/>
      <c r="J164" s="440"/>
      <c r="K164" s="440"/>
      <c r="L164" s="440"/>
      <c r="M164" s="487"/>
      <c r="N164" s="440"/>
      <c r="O164" s="440"/>
      <c r="P164" s="440"/>
      <c r="Q164" s="440"/>
      <c r="R164" s="440"/>
      <c r="S164" s="440"/>
      <c r="T164" s="440"/>
      <c r="U164" s="440"/>
      <c r="V164" s="440"/>
      <c r="W164" s="440"/>
      <c r="X164" s="440"/>
      <c r="Y164" s="440"/>
      <c r="Z164" s="582"/>
      <c r="AA164" s="440"/>
      <c r="AB164" s="440"/>
      <c r="AC164" s="440"/>
    </row>
    <row r="165" spans="9:29">
      <c r="I165" s="440"/>
      <c r="J165" s="440"/>
      <c r="K165" s="440"/>
      <c r="L165" s="440"/>
      <c r="M165" s="487"/>
      <c r="N165" s="440"/>
      <c r="O165" s="440"/>
      <c r="P165" s="440"/>
      <c r="Q165" s="440"/>
      <c r="R165" s="440"/>
      <c r="S165" s="440"/>
      <c r="T165" s="440"/>
      <c r="U165" s="440"/>
      <c r="V165" s="440"/>
      <c r="W165" s="440"/>
      <c r="X165" s="440"/>
      <c r="Y165" s="440"/>
      <c r="Z165" s="582"/>
      <c r="AA165" s="440"/>
      <c r="AB165" s="440"/>
      <c r="AC165" s="440"/>
    </row>
    <row r="166" spans="9:29">
      <c r="I166" s="440"/>
      <c r="J166" s="440"/>
      <c r="K166" s="440"/>
      <c r="L166" s="440"/>
      <c r="M166" s="487"/>
      <c r="N166" s="440"/>
      <c r="O166" s="440"/>
      <c r="P166" s="440"/>
      <c r="Q166" s="440"/>
      <c r="R166" s="440"/>
      <c r="S166" s="440"/>
      <c r="T166" s="440"/>
      <c r="U166" s="440"/>
      <c r="V166" s="440"/>
      <c r="W166" s="440"/>
      <c r="X166" s="440"/>
      <c r="Y166" s="440"/>
      <c r="Z166" s="582"/>
      <c r="AA166" s="440"/>
      <c r="AB166" s="440"/>
      <c r="AC166" s="440"/>
    </row>
    <row r="167" spans="9:29">
      <c r="I167" s="440"/>
      <c r="J167" s="440"/>
      <c r="K167" s="440"/>
      <c r="L167" s="440"/>
      <c r="M167" s="487"/>
      <c r="N167" s="440"/>
      <c r="O167" s="440"/>
      <c r="P167" s="440"/>
      <c r="Q167" s="440"/>
      <c r="R167" s="440"/>
      <c r="S167" s="440"/>
      <c r="T167" s="440"/>
      <c r="U167" s="440"/>
      <c r="V167" s="440"/>
      <c r="W167" s="440"/>
      <c r="X167" s="440"/>
      <c r="Y167" s="440"/>
      <c r="Z167" s="582"/>
      <c r="AA167" s="440"/>
      <c r="AB167" s="440"/>
      <c r="AC167" s="440"/>
    </row>
    <row r="168" spans="9:29">
      <c r="I168" s="440"/>
      <c r="J168" s="440"/>
      <c r="K168" s="440"/>
      <c r="L168" s="440"/>
      <c r="M168" s="487"/>
      <c r="N168" s="440"/>
      <c r="O168" s="440"/>
      <c r="P168" s="440"/>
      <c r="Q168" s="440"/>
      <c r="R168" s="440"/>
      <c r="S168" s="440"/>
      <c r="T168" s="440"/>
      <c r="U168" s="440"/>
      <c r="V168" s="440"/>
      <c r="W168" s="440"/>
      <c r="X168" s="440"/>
      <c r="Y168" s="440"/>
      <c r="Z168" s="582"/>
      <c r="AA168" s="440"/>
      <c r="AB168" s="440"/>
      <c r="AC168" s="440"/>
    </row>
    <row r="169" spans="9:29">
      <c r="I169" s="440"/>
      <c r="J169" s="440"/>
      <c r="K169" s="440"/>
      <c r="L169" s="440"/>
      <c r="M169" s="487"/>
      <c r="N169" s="440"/>
      <c r="O169" s="440"/>
      <c r="P169" s="440"/>
      <c r="Q169" s="440"/>
      <c r="R169" s="440"/>
      <c r="S169" s="440"/>
      <c r="T169" s="440"/>
      <c r="U169" s="440"/>
      <c r="V169" s="440"/>
      <c r="W169" s="440"/>
      <c r="X169" s="440"/>
      <c r="Y169" s="440"/>
      <c r="Z169" s="582"/>
      <c r="AA169" s="440"/>
      <c r="AB169" s="440"/>
      <c r="AC169" s="440"/>
    </row>
    <row r="170" spans="9:29">
      <c r="I170" s="440"/>
      <c r="J170" s="440"/>
      <c r="K170" s="440"/>
      <c r="L170" s="440"/>
      <c r="M170" s="487"/>
      <c r="N170" s="440"/>
      <c r="O170" s="440"/>
      <c r="P170" s="440"/>
      <c r="Q170" s="440"/>
      <c r="R170" s="440"/>
      <c r="S170" s="440"/>
      <c r="T170" s="440"/>
      <c r="U170" s="440"/>
      <c r="V170" s="440"/>
      <c r="W170" s="440"/>
      <c r="X170" s="440"/>
      <c r="Y170" s="440"/>
      <c r="Z170" s="582"/>
      <c r="AA170" s="440"/>
      <c r="AB170" s="440"/>
      <c r="AC170" s="440"/>
    </row>
    <row r="171" spans="9:29">
      <c r="I171" s="440"/>
      <c r="J171" s="440"/>
      <c r="K171" s="440"/>
      <c r="L171" s="440"/>
      <c r="M171" s="487"/>
      <c r="N171" s="440"/>
      <c r="O171" s="440"/>
      <c r="P171" s="440"/>
      <c r="Q171" s="440"/>
      <c r="R171" s="440"/>
      <c r="S171" s="440"/>
      <c r="T171" s="440"/>
      <c r="U171" s="440"/>
      <c r="V171" s="440"/>
      <c r="W171" s="440"/>
      <c r="X171" s="440"/>
      <c r="Y171" s="440"/>
      <c r="Z171" s="582"/>
      <c r="AA171" s="440"/>
      <c r="AB171" s="440"/>
      <c r="AC171" s="440"/>
    </row>
    <row r="172" spans="9:29">
      <c r="I172" s="440"/>
      <c r="J172" s="440"/>
      <c r="K172" s="440"/>
      <c r="L172" s="440"/>
      <c r="M172" s="487"/>
      <c r="N172" s="440"/>
      <c r="O172" s="440"/>
      <c r="P172" s="440"/>
      <c r="Q172" s="440"/>
      <c r="R172" s="440"/>
      <c r="S172" s="440"/>
      <c r="T172" s="440"/>
      <c r="U172" s="440"/>
      <c r="V172" s="440"/>
      <c r="W172" s="440"/>
      <c r="X172" s="440"/>
      <c r="Y172" s="440"/>
      <c r="Z172" s="582"/>
      <c r="AA172" s="440"/>
      <c r="AB172" s="440"/>
      <c r="AC172" s="440"/>
    </row>
    <row r="173" spans="9:29">
      <c r="I173" s="440"/>
      <c r="J173" s="440"/>
      <c r="K173" s="440"/>
      <c r="L173" s="440"/>
      <c r="M173" s="487"/>
      <c r="N173" s="440"/>
      <c r="O173" s="440"/>
      <c r="P173" s="440"/>
      <c r="Q173" s="440"/>
      <c r="R173" s="440"/>
      <c r="S173" s="440"/>
      <c r="T173" s="440"/>
      <c r="U173" s="440"/>
      <c r="V173" s="440"/>
      <c r="W173" s="440"/>
      <c r="X173" s="440"/>
      <c r="Y173" s="440"/>
      <c r="Z173" s="582"/>
      <c r="AA173" s="440"/>
      <c r="AB173" s="440"/>
      <c r="AC173" s="440"/>
    </row>
    <row r="174" spans="9:29">
      <c r="I174" s="440"/>
      <c r="J174" s="440"/>
      <c r="K174" s="440"/>
      <c r="L174" s="440"/>
      <c r="M174" s="487"/>
      <c r="N174" s="440"/>
      <c r="O174" s="440"/>
      <c r="P174" s="440"/>
      <c r="Q174" s="440"/>
      <c r="R174" s="440"/>
      <c r="S174" s="440"/>
      <c r="T174" s="440"/>
      <c r="U174" s="440"/>
      <c r="V174" s="440"/>
      <c r="W174" s="440"/>
      <c r="X174" s="440"/>
      <c r="Y174" s="440"/>
      <c r="Z174" s="582"/>
      <c r="AA174" s="440"/>
      <c r="AB174" s="440"/>
      <c r="AC174" s="440"/>
    </row>
    <row r="175" spans="9:29">
      <c r="I175" s="440"/>
      <c r="J175" s="440"/>
      <c r="K175" s="440"/>
      <c r="L175" s="440"/>
      <c r="M175" s="487"/>
      <c r="N175" s="440"/>
      <c r="O175" s="440"/>
      <c r="P175" s="440"/>
      <c r="Q175" s="440"/>
      <c r="R175" s="440"/>
      <c r="S175" s="440"/>
      <c r="T175" s="440"/>
      <c r="U175" s="440"/>
      <c r="V175" s="440"/>
      <c r="W175" s="440"/>
      <c r="X175" s="440"/>
      <c r="Y175" s="440"/>
      <c r="Z175" s="582"/>
      <c r="AA175" s="440"/>
      <c r="AB175" s="440"/>
      <c r="AC175" s="440"/>
    </row>
    <row r="176" spans="9:29">
      <c r="I176" s="440"/>
      <c r="J176" s="440"/>
      <c r="K176" s="440"/>
      <c r="L176" s="440"/>
      <c r="M176" s="487"/>
      <c r="N176" s="440"/>
      <c r="O176" s="440"/>
      <c r="P176" s="440"/>
      <c r="Q176" s="440"/>
      <c r="R176" s="440"/>
      <c r="S176" s="440"/>
      <c r="T176" s="440"/>
      <c r="U176" s="440"/>
      <c r="V176" s="440"/>
      <c r="W176" s="440"/>
      <c r="X176" s="440"/>
      <c r="Y176" s="440"/>
      <c r="Z176" s="582"/>
      <c r="AA176" s="440"/>
      <c r="AB176" s="440"/>
      <c r="AC176" s="440"/>
    </row>
    <row r="177" spans="9:29">
      <c r="I177" s="440"/>
      <c r="J177" s="440"/>
      <c r="K177" s="440"/>
      <c r="L177" s="440"/>
      <c r="M177" s="487"/>
      <c r="N177" s="440"/>
      <c r="O177" s="440"/>
      <c r="P177" s="440"/>
      <c r="Q177" s="440"/>
      <c r="R177" s="440"/>
      <c r="S177" s="440"/>
      <c r="T177" s="440"/>
      <c r="U177" s="440"/>
      <c r="V177" s="440"/>
      <c r="W177" s="440"/>
      <c r="X177" s="440"/>
      <c r="Y177" s="440"/>
      <c r="Z177" s="582"/>
      <c r="AA177" s="440"/>
      <c r="AB177" s="440"/>
      <c r="AC177" s="440"/>
    </row>
    <row r="178" spans="9:29">
      <c r="I178" s="440"/>
      <c r="J178" s="440"/>
      <c r="K178" s="440"/>
      <c r="L178" s="440"/>
      <c r="M178" s="487"/>
      <c r="N178" s="440"/>
      <c r="O178" s="440"/>
      <c r="P178" s="440"/>
      <c r="Q178" s="440"/>
      <c r="R178" s="440"/>
      <c r="S178" s="440"/>
      <c r="T178" s="440"/>
      <c r="U178" s="440"/>
      <c r="V178" s="440"/>
      <c r="W178" s="440"/>
      <c r="X178" s="440"/>
      <c r="Y178" s="440"/>
      <c r="Z178" s="582"/>
      <c r="AA178" s="440"/>
      <c r="AB178" s="440"/>
      <c r="AC178" s="440"/>
    </row>
    <row r="179" spans="9:29">
      <c r="I179" s="440"/>
      <c r="J179" s="440"/>
      <c r="K179" s="440"/>
      <c r="L179" s="440"/>
      <c r="M179" s="487"/>
      <c r="N179" s="440"/>
      <c r="O179" s="440"/>
      <c r="P179" s="440"/>
      <c r="Q179" s="440"/>
      <c r="R179" s="440"/>
      <c r="S179" s="440"/>
      <c r="T179" s="440"/>
      <c r="U179" s="440"/>
      <c r="V179" s="440"/>
      <c r="W179" s="440"/>
      <c r="X179" s="440"/>
      <c r="Y179" s="440"/>
      <c r="Z179" s="582"/>
      <c r="AA179" s="440"/>
      <c r="AB179" s="440"/>
      <c r="AC179" s="440"/>
    </row>
    <row r="180" spans="9:29">
      <c r="I180" s="440"/>
      <c r="J180" s="440"/>
      <c r="K180" s="440"/>
      <c r="L180" s="440"/>
      <c r="M180" s="487"/>
      <c r="N180" s="440"/>
      <c r="O180" s="440"/>
      <c r="P180" s="440"/>
      <c r="Q180" s="440"/>
      <c r="R180" s="440"/>
      <c r="S180" s="440"/>
      <c r="T180" s="440"/>
      <c r="U180" s="440"/>
      <c r="V180" s="440"/>
      <c r="W180" s="440"/>
      <c r="X180" s="440"/>
      <c r="Y180" s="440"/>
      <c r="Z180" s="582"/>
      <c r="AA180" s="440"/>
      <c r="AB180" s="440"/>
      <c r="AC180" s="440"/>
    </row>
    <row r="181" spans="9:29">
      <c r="I181" s="440"/>
      <c r="J181" s="440"/>
      <c r="K181" s="440"/>
      <c r="L181" s="440"/>
      <c r="M181" s="487"/>
      <c r="N181" s="440"/>
      <c r="O181" s="440"/>
      <c r="P181" s="440"/>
      <c r="Q181" s="440"/>
      <c r="R181" s="440"/>
      <c r="S181" s="440"/>
      <c r="T181" s="440"/>
      <c r="U181" s="440"/>
      <c r="V181" s="440"/>
      <c r="W181" s="440"/>
      <c r="X181" s="440"/>
      <c r="Y181" s="440"/>
      <c r="Z181" s="582"/>
      <c r="AA181" s="440"/>
      <c r="AB181" s="440"/>
      <c r="AC181" s="440"/>
    </row>
    <row r="182" spans="9:29">
      <c r="I182" s="440"/>
      <c r="J182" s="440"/>
      <c r="K182" s="440"/>
      <c r="L182" s="440"/>
      <c r="M182" s="487"/>
      <c r="N182" s="440"/>
      <c r="O182" s="440"/>
      <c r="P182" s="440"/>
      <c r="Q182" s="440"/>
      <c r="R182" s="440"/>
      <c r="S182" s="440"/>
      <c r="T182" s="440"/>
      <c r="U182" s="440"/>
      <c r="V182" s="440"/>
      <c r="W182" s="440"/>
      <c r="X182" s="440"/>
      <c r="Y182" s="440"/>
      <c r="Z182" s="582"/>
      <c r="AA182" s="440"/>
      <c r="AB182" s="440"/>
      <c r="AC182" s="440"/>
    </row>
    <row r="183" spans="9:29">
      <c r="I183" s="440"/>
      <c r="J183" s="440"/>
      <c r="K183" s="440"/>
      <c r="L183" s="440"/>
      <c r="M183" s="487"/>
      <c r="N183" s="440"/>
      <c r="O183" s="440"/>
      <c r="P183" s="440"/>
      <c r="Q183" s="440"/>
      <c r="R183" s="440"/>
      <c r="S183" s="440"/>
      <c r="T183" s="440"/>
      <c r="U183" s="440"/>
      <c r="V183" s="440"/>
      <c r="W183" s="440"/>
      <c r="X183" s="440"/>
      <c r="Y183" s="440"/>
      <c r="Z183" s="582"/>
      <c r="AA183" s="440"/>
      <c r="AB183" s="440"/>
      <c r="AC183" s="440"/>
    </row>
    <row r="184" spans="9:29">
      <c r="I184" s="440"/>
      <c r="J184" s="440"/>
      <c r="K184" s="440"/>
      <c r="L184" s="440"/>
      <c r="M184" s="487"/>
      <c r="N184" s="440"/>
      <c r="O184" s="440"/>
      <c r="P184" s="440"/>
      <c r="Q184" s="440"/>
      <c r="R184" s="440"/>
      <c r="S184" s="440"/>
      <c r="T184" s="440"/>
      <c r="U184" s="440"/>
      <c r="V184" s="440"/>
      <c r="W184" s="440"/>
      <c r="X184" s="440"/>
      <c r="Y184" s="440"/>
      <c r="Z184" s="582"/>
      <c r="AA184" s="440"/>
      <c r="AB184" s="440"/>
      <c r="AC184" s="440"/>
    </row>
    <row r="185" spans="9:29">
      <c r="I185" s="440"/>
      <c r="J185" s="440"/>
      <c r="K185" s="440"/>
      <c r="L185" s="440"/>
      <c r="M185" s="487"/>
      <c r="N185" s="440"/>
      <c r="O185" s="440"/>
      <c r="P185" s="440"/>
      <c r="Q185" s="440"/>
      <c r="R185" s="440"/>
      <c r="S185" s="440"/>
      <c r="T185" s="440"/>
      <c r="U185" s="440"/>
      <c r="V185" s="440"/>
      <c r="W185" s="440"/>
      <c r="X185" s="440"/>
      <c r="Y185" s="440"/>
      <c r="Z185" s="582"/>
      <c r="AA185" s="440"/>
      <c r="AB185" s="440"/>
      <c r="AC185" s="440"/>
    </row>
    <row r="186" spans="9:29">
      <c r="I186" s="440"/>
      <c r="J186" s="440"/>
      <c r="K186" s="440"/>
      <c r="L186" s="440"/>
      <c r="M186" s="487"/>
      <c r="N186" s="440"/>
      <c r="O186" s="440"/>
      <c r="P186" s="440"/>
      <c r="Q186" s="440"/>
      <c r="R186" s="440"/>
      <c r="S186" s="440"/>
      <c r="T186" s="440"/>
      <c r="U186" s="440"/>
      <c r="V186" s="440"/>
      <c r="W186" s="440"/>
      <c r="X186" s="440"/>
      <c r="Y186" s="440"/>
      <c r="Z186" s="582"/>
      <c r="AA186" s="440"/>
      <c r="AB186" s="440"/>
      <c r="AC186" s="440"/>
    </row>
    <row r="187" spans="9:29">
      <c r="I187" s="440"/>
      <c r="J187" s="440"/>
      <c r="K187" s="440"/>
      <c r="L187" s="440"/>
      <c r="M187" s="487"/>
      <c r="N187" s="440"/>
      <c r="O187" s="440"/>
      <c r="P187" s="440"/>
      <c r="Q187" s="440"/>
      <c r="R187" s="440"/>
      <c r="S187" s="440"/>
      <c r="T187" s="440"/>
      <c r="U187" s="440"/>
      <c r="V187" s="440"/>
      <c r="W187" s="440"/>
      <c r="X187" s="440"/>
      <c r="Y187" s="440"/>
      <c r="Z187" s="582"/>
      <c r="AA187" s="440"/>
      <c r="AB187" s="440"/>
      <c r="AC187" s="440"/>
    </row>
    <row r="188" spans="9:29">
      <c r="I188" s="440"/>
      <c r="J188" s="440"/>
      <c r="K188" s="440"/>
      <c r="L188" s="440"/>
      <c r="M188" s="487"/>
      <c r="N188" s="440"/>
      <c r="O188" s="440"/>
      <c r="P188" s="440"/>
      <c r="Q188" s="440"/>
      <c r="R188" s="440"/>
      <c r="S188" s="440"/>
      <c r="T188" s="440"/>
      <c r="U188" s="440"/>
      <c r="V188" s="440"/>
      <c r="W188" s="440"/>
      <c r="X188" s="440"/>
      <c r="Y188" s="440"/>
      <c r="Z188" s="582"/>
      <c r="AA188" s="440"/>
      <c r="AB188" s="440"/>
      <c r="AC188" s="440"/>
    </row>
    <row r="189" spans="9:29">
      <c r="I189" s="440"/>
      <c r="J189" s="440"/>
      <c r="K189" s="440"/>
      <c r="L189" s="440"/>
      <c r="M189" s="487"/>
      <c r="N189" s="440"/>
      <c r="O189" s="440"/>
      <c r="P189" s="440"/>
      <c r="Q189" s="440"/>
      <c r="R189" s="440"/>
      <c r="S189" s="440"/>
      <c r="T189" s="440"/>
      <c r="U189" s="440"/>
      <c r="V189" s="440"/>
      <c r="W189" s="440"/>
      <c r="X189" s="440"/>
      <c r="Y189" s="440"/>
      <c r="Z189" s="582"/>
      <c r="AA189" s="440"/>
      <c r="AB189" s="440"/>
      <c r="AC189" s="440"/>
    </row>
    <row r="190" spans="9:29">
      <c r="I190" s="440"/>
      <c r="J190" s="440"/>
      <c r="K190" s="440"/>
      <c r="L190" s="440"/>
      <c r="M190" s="487"/>
      <c r="N190" s="440"/>
      <c r="O190" s="440"/>
      <c r="P190" s="440"/>
      <c r="Q190" s="440"/>
      <c r="R190" s="440"/>
      <c r="S190" s="440"/>
      <c r="T190" s="440"/>
      <c r="U190" s="440"/>
      <c r="V190" s="440"/>
      <c r="W190" s="440"/>
      <c r="X190" s="440"/>
      <c r="Y190" s="440"/>
      <c r="Z190" s="582"/>
      <c r="AA190" s="440"/>
      <c r="AB190" s="440"/>
      <c r="AC190" s="440"/>
    </row>
    <row r="191" spans="9:29">
      <c r="I191" s="440"/>
      <c r="J191" s="440"/>
      <c r="K191" s="440"/>
      <c r="L191" s="440"/>
      <c r="M191" s="487"/>
      <c r="N191" s="440"/>
      <c r="O191" s="440"/>
      <c r="P191" s="440"/>
      <c r="Q191" s="440"/>
      <c r="R191" s="440"/>
      <c r="S191" s="440"/>
      <c r="T191" s="440"/>
      <c r="U191" s="440"/>
      <c r="V191" s="440"/>
      <c r="W191" s="440"/>
      <c r="X191" s="440"/>
      <c r="Y191" s="440"/>
      <c r="Z191" s="582"/>
      <c r="AA191" s="440"/>
      <c r="AB191" s="440"/>
      <c r="AC191" s="440"/>
    </row>
    <row r="192" spans="9:29">
      <c r="I192" s="440"/>
      <c r="J192" s="440"/>
      <c r="K192" s="440"/>
      <c r="L192" s="440"/>
      <c r="M192" s="487"/>
      <c r="N192" s="440"/>
      <c r="O192" s="440"/>
      <c r="P192" s="440"/>
      <c r="Q192" s="440"/>
      <c r="R192" s="440"/>
      <c r="S192" s="440"/>
      <c r="T192" s="440"/>
      <c r="U192" s="440"/>
      <c r="V192" s="440"/>
      <c r="W192" s="440"/>
      <c r="X192" s="440"/>
      <c r="Y192" s="440"/>
      <c r="Z192" s="582"/>
      <c r="AA192" s="440"/>
      <c r="AB192" s="440"/>
      <c r="AC192" s="440"/>
    </row>
    <row r="193" spans="9:29">
      <c r="I193" s="440"/>
      <c r="J193" s="440"/>
      <c r="K193" s="440"/>
      <c r="L193" s="440"/>
      <c r="M193" s="487"/>
      <c r="N193" s="440"/>
      <c r="O193" s="440"/>
      <c r="P193" s="440"/>
      <c r="Q193" s="440"/>
      <c r="R193" s="440"/>
      <c r="S193" s="440"/>
      <c r="T193" s="440"/>
      <c r="U193" s="440"/>
      <c r="V193" s="440"/>
      <c r="W193" s="440"/>
      <c r="X193" s="440"/>
      <c r="Y193" s="440"/>
      <c r="Z193" s="582"/>
      <c r="AA193" s="440"/>
      <c r="AB193" s="440"/>
      <c r="AC193" s="440"/>
    </row>
    <row r="194" spans="9:29">
      <c r="I194" s="440"/>
      <c r="J194" s="440"/>
      <c r="K194" s="440"/>
      <c r="L194" s="440"/>
      <c r="M194" s="487"/>
      <c r="N194" s="440"/>
      <c r="O194" s="440"/>
      <c r="P194" s="440"/>
      <c r="Q194" s="440"/>
      <c r="R194" s="440"/>
      <c r="S194" s="440"/>
      <c r="T194" s="440"/>
      <c r="U194" s="440"/>
      <c r="V194" s="440"/>
      <c r="W194" s="440"/>
      <c r="X194" s="440"/>
      <c r="Y194" s="440"/>
      <c r="Z194" s="582"/>
      <c r="AA194" s="440"/>
      <c r="AB194" s="440"/>
      <c r="AC194" s="440"/>
    </row>
    <row r="195" spans="9:29">
      <c r="I195" s="440"/>
      <c r="J195" s="440"/>
      <c r="K195" s="440"/>
      <c r="L195" s="440"/>
      <c r="M195" s="487"/>
      <c r="N195" s="440"/>
      <c r="O195" s="440"/>
      <c r="P195" s="440"/>
      <c r="Q195" s="440"/>
      <c r="R195" s="440"/>
      <c r="S195" s="440"/>
      <c r="T195" s="440"/>
      <c r="U195" s="440"/>
      <c r="V195" s="440"/>
      <c r="W195" s="440"/>
      <c r="X195" s="440"/>
      <c r="Y195" s="440"/>
      <c r="Z195" s="582"/>
      <c r="AA195" s="440"/>
      <c r="AB195" s="440"/>
      <c r="AC195" s="440"/>
    </row>
    <row r="196" spans="9:29">
      <c r="I196" s="440"/>
      <c r="J196" s="440"/>
      <c r="K196" s="440"/>
      <c r="L196" s="440"/>
      <c r="M196" s="487"/>
      <c r="N196" s="440"/>
      <c r="O196" s="440"/>
      <c r="P196" s="440"/>
      <c r="Q196" s="440"/>
      <c r="R196" s="440"/>
      <c r="S196" s="440"/>
      <c r="T196" s="440"/>
      <c r="U196" s="440"/>
      <c r="V196" s="440"/>
      <c r="W196" s="440"/>
      <c r="X196" s="440"/>
      <c r="Y196" s="440"/>
      <c r="Z196" s="582"/>
      <c r="AA196" s="440"/>
      <c r="AB196" s="440"/>
      <c r="AC196" s="440"/>
    </row>
    <row r="197" spans="9:29">
      <c r="I197" s="440"/>
      <c r="J197" s="440"/>
      <c r="K197" s="440"/>
      <c r="L197" s="440"/>
      <c r="M197" s="487"/>
      <c r="N197" s="440"/>
      <c r="O197" s="440"/>
      <c r="P197" s="440"/>
      <c r="Q197" s="440"/>
      <c r="R197" s="440"/>
      <c r="S197" s="440"/>
      <c r="T197" s="440"/>
      <c r="U197" s="440"/>
      <c r="V197" s="440"/>
      <c r="W197" s="440"/>
      <c r="X197" s="440"/>
      <c r="Y197" s="440"/>
      <c r="Z197" s="582"/>
      <c r="AA197" s="440"/>
      <c r="AB197" s="440"/>
      <c r="AC197" s="440"/>
    </row>
    <row r="198" spans="9:29">
      <c r="I198" s="440"/>
      <c r="J198" s="440"/>
      <c r="K198" s="440"/>
      <c r="L198" s="440"/>
      <c r="M198" s="487"/>
      <c r="N198" s="440"/>
      <c r="O198" s="440"/>
      <c r="P198" s="440"/>
      <c r="Q198" s="440"/>
      <c r="R198" s="440"/>
      <c r="S198" s="440"/>
      <c r="T198" s="440"/>
      <c r="U198" s="440"/>
      <c r="V198" s="440"/>
      <c r="W198" s="440"/>
      <c r="X198" s="440"/>
      <c r="Y198" s="440"/>
      <c r="Z198" s="582"/>
      <c r="AA198" s="440"/>
      <c r="AB198" s="440"/>
      <c r="AC198" s="440"/>
    </row>
    <row r="199" spans="9:29">
      <c r="I199" s="440"/>
      <c r="J199" s="440"/>
      <c r="K199" s="440"/>
      <c r="L199" s="440"/>
      <c r="M199" s="487"/>
      <c r="N199" s="440"/>
      <c r="O199" s="440"/>
      <c r="P199" s="440"/>
      <c r="Q199" s="440"/>
      <c r="R199" s="440"/>
      <c r="S199" s="440"/>
      <c r="T199" s="440"/>
      <c r="U199" s="440"/>
      <c r="V199" s="440"/>
      <c r="W199" s="440"/>
      <c r="X199" s="440"/>
      <c r="Y199" s="440"/>
      <c r="Z199" s="582"/>
      <c r="AA199" s="440"/>
      <c r="AB199" s="440"/>
      <c r="AC199" s="440"/>
    </row>
    <row r="200" spans="9:29">
      <c r="I200" s="440"/>
      <c r="J200" s="440"/>
      <c r="K200" s="440"/>
      <c r="L200" s="440"/>
      <c r="M200" s="487"/>
      <c r="N200" s="440"/>
      <c r="O200" s="440"/>
      <c r="P200" s="440"/>
      <c r="Q200" s="440"/>
      <c r="R200" s="440"/>
      <c r="S200" s="440"/>
      <c r="T200" s="440"/>
      <c r="U200" s="440"/>
      <c r="V200" s="440"/>
      <c r="W200" s="440"/>
      <c r="X200" s="440"/>
      <c r="Y200" s="440"/>
      <c r="Z200" s="582"/>
      <c r="AA200" s="440"/>
      <c r="AB200" s="440"/>
      <c r="AC200" s="440"/>
    </row>
    <row r="201" spans="9:29">
      <c r="I201" s="440"/>
      <c r="J201" s="440"/>
      <c r="K201" s="440"/>
      <c r="L201" s="440"/>
      <c r="M201" s="487"/>
      <c r="N201" s="440"/>
      <c r="O201" s="440"/>
      <c r="P201" s="440"/>
      <c r="Q201" s="440"/>
      <c r="R201" s="440"/>
      <c r="S201" s="440"/>
      <c r="T201" s="440"/>
      <c r="U201" s="440"/>
      <c r="V201" s="440"/>
      <c r="W201" s="440"/>
      <c r="X201" s="440"/>
      <c r="Y201" s="440"/>
      <c r="Z201" s="582"/>
      <c r="AA201" s="440"/>
      <c r="AB201" s="440"/>
      <c r="AC201" s="440"/>
    </row>
    <row r="202" spans="9:29">
      <c r="I202" s="440"/>
      <c r="J202" s="440"/>
      <c r="K202" s="440"/>
      <c r="L202" s="440"/>
      <c r="M202" s="487"/>
      <c r="N202" s="440"/>
      <c r="O202" s="440"/>
      <c r="P202" s="440"/>
      <c r="Q202" s="440"/>
      <c r="R202" s="440"/>
      <c r="S202" s="440"/>
      <c r="T202" s="440"/>
      <c r="U202" s="440"/>
      <c r="V202" s="440"/>
      <c r="W202" s="440"/>
      <c r="X202" s="440"/>
      <c r="Y202" s="440"/>
      <c r="Z202" s="582"/>
      <c r="AA202" s="440"/>
      <c r="AB202" s="440"/>
      <c r="AC202" s="440"/>
    </row>
    <row r="203" spans="9:29">
      <c r="I203" s="440"/>
      <c r="J203" s="440"/>
      <c r="K203" s="440"/>
      <c r="L203" s="440"/>
      <c r="M203" s="487"/>
      <c r="N203" s="440"/>
      <c r="O203" s="440"/>
      <c r="P203" s="440"/>
      <c r="Q203" s="440"/>
      <c r="R203" s="440"/>
      <c r="S203" s="440"/>
      <c r="T203" s="440"/>
      <c r="U203" s="440"/>
      <c r="V203" s="440"/>
      <c r="W203" s="440"/>
      <c r="X203" s="440"/>
      <c r="Y203" s="440"/>
      <c r="Z203" s="582"/>
      <c r="AA203" s="440"/>
      <c r="AB203" s="440"/>
      <c r="AC203" s="440"/>
    </row>
    <row r="204" spans="9:29">
      <c r="I204" s="440"/>
      <c r="J204" s="440"/>
      <c r="K204" s="440"/>
      <c r="L204" s="440"/>
      <c r="M204" s="487"/>
      <c r="N204" s="440"/>
      <c r="O204" s="440"/>
      <c r="P204" s="440"/>
      <c r="Q204" s="440"/>
      <c r="R204" s="440"/>
      <c r="S204" s="440"/>
      <c r="T204" s="440"/>
      <c r="U204" s="440"/>
      <c r="V204" s="440"/>
      <c r="W204" s="440"/>
      <c r="X204" s="440"/>
      <c r="Y204" s="440"/>
      <c r="Z204" s="582"/>
      <c r="AA204" s="440"/>
      <c r="AB204" s="440"/>
      <c r="AC204" s="440"/>
    </row>
    <row r="205" spans="9:29">
      <c r="I205" s="440"/>
      <c r="J205" s="440"/>
      <c r="K205" s="440"/>
      <c r="L205" s="440"/>
      <c r="M205" s="487"/>
      <c r="N205" s="440"/>
      <c r="O205" s="440"/>
      <c r="P205" s="440"/>
      <c r="Q205" s="440"/>
      <c r="R205" s="440"/>
      <c r="S205" s="440"/>
      <c r="T205" s="440"/>
      <c r="U205" s="440"/>
      <c r="V205" s="440"/>
      <c r="W205" s="440"/>
      <c r="X205" s="440"/>
      <c r="Y205" s="440"/>
      <c r="Z205" s="582"/>
      <c r="AA205" s="440"/>
      <c r="AB205" s="440"/>
      <c r="AC205" s="440"/>
    </row>
    <row r="206" spans="9:29">
      <c r="I206" s="440"/>
      <c r="J206" s="440"/>
      <c r="K206" s="440"/>
      <c r="L206" s="440"/>
      <c r="M206" s="487"/>
      <c r="N206" s="440"/>
      <c r="O206" s="440"/>
      <c r="P206" s="440"/>
      <c r="Q206" s="440"/>
      <c r="R206" s="440"/>
      <c r="S206" s="440"/>
      <c r="T206" s="440"/>
      <c r="U206" s="440"/>
      <c r="V206" s="440"/>
      <c r="W206" s="440"/>
      <c r="X206" s="440"/>
      <c r="Y206" s="440"/>
      <c r="Z206" s="582"/>
      <c r="AA206" s="440"/>
      <c r="AB206" s="440"/>
      <c r="AC206" s="440"/>
    </row>
    <row r="207" spans="9:29">
      <c r="I207" s="440"/>
      <c r="J207" s="440"/>
      <c r="K207" s="440"/>
      <c r="L207" s="440"/>
      <c r="M207" s="487"/>
      <c r="N207" s="440"/>
      <c r="O207" s="440"/>
      <c r="P207" s="440"/>
      <c r="Q207" s="440"/>
      <c r="R207" s="440"/>
      <c r="S207" s="440"/>
      <c r="T207" s="440"/>
      <c r="U207" s="440"/>
      <c r="V207" s="440"/>
      <c r="W207" s="440"/>
      <c r="X207" s="440"/>
      <c r="Y207" s="440"/>
      <c r="Z207" s="582"/>
      <c r="AA207" s="440"/>
      <c r="AB207" s="440"/>
      <c r="AC207" s="440"/>
    </row>
    <row r="208" spans="9:29">
      <c r="I208" s="440"/>
      <c r="J208" s="440"/>
      <c r="K208" s="440"/>
      <c r="L208" s="440"/>
      <c r="M208" s="487"/>
      <c r="N208" s="440"/>
      <c r="O208" s="440"/>
      <c r="P208" s="440"/>
      <c r="Q208" s="440"/>
      <c r="R208" s="440"/>
      <c r="S208" s="440"/>
      <c r="T208" s="440"/>
      <c r="U208" s="440"/>
      <c r="V208" s="440"/>
      <c r="W208" s="440"/>
      <c r="X208" s="440"/>
      <c r="Y208" s="440"/>
      <c r="Z208" s="582"/>
      <c r="AA208" s="440"/>
      <c r="AB208" s="440"/>
      <c r="AC208" s="440"/>
    </row>
    <row r="209" spans="9:29">
      <c r="I209" s="440"/>
      <c r="J209" s="440"/>
      <c r="K209" s="440"/>
      <c r="L209" s="440"/>
      <c r="M209" s="487"/>
      <c r="N209" s="440"/>
      <c r="O209" s="440"/>
      <c r="P209" s="440"/>
      <c r="Q209" s="440"/>
      <c r="R209" s="440"/>
      <c r="S209" s="440"/>
      <c r="T209" s="440"/>
      <c r="U209" s="440"/>
      <c r="V209" s="440"/>
      <c r="W209" s="440"/>
      <c r="X209" s="440"/>
      <c r="Y209" s="440"/>
      <c r="Z209" s="582"/>
      <c r="AA209" s="440"/>
      <c r="AB209" s="440"/>
      <c r="AC209" s="440"/>
    </row>
    <row r="210" spans="9:29">
      <c r="I210" s="440"/>
      <c r="J210" s="440"/>
      <c r="K210" s="440"/>
      <c r="L210" s="440"/>
      <c r="M210" s="487"/>
      <c r="N210" s="440"/>
      <c r="O210" s="440"/>
      <c r="P210" s="440"/>
      <c r="Q210" s="440"/>
      <c r="R210" s="440"/>
      <c r="S210" s="440"/>
      <c r="T210" s="440"/>
      <c r="U210" s="440"/>
      <c r="V210" s="440"/>
      <c r="W210" s="440"/>
      <c r="X210" s="440"/>
      <c r="Y210" s="440"/>
      <c r="Z210" s="582"/>
      <c r="AA210" s="440"/>
      <c r="AB210" s="440"/>
      <c r="AC210" s="440"/>
    </row>
    <row r="211" spans="9:29">
      <c r="I211" s="440"/>
      <c r="J211" s="440"/>
      <c r="K211" s="440"/>
      <c r="L211" s="440"/>
      <c r="M211" s="487"/>
      <c r="N211" s="440"/>
      <c r="O211" s="440"/>
      <c r="P211" s="440"/>
      <c r="Q211" s="440"/>
      <c r="R211" s="440"/>
      <c r="S211" s="440"/>
      <c r="T211" s="440"/>
      <c r="U211" s="440"/>
      <c r="V211" s="440"/>
      <c r="W211" s="440"/>
      <c r="X211" s="440"/>
      <c r="Y211" s="440"/>
      <c r="Z211" s="582"/>
      <c r="AA211" s="440"/>
      <c r="AB211" s="440"/>
      <c r="AC211" s="440"/>
    </row>
    <row r="212" spans="9:29">
      <c r="I212" s="440"/>
      <c r="J212" s="440"/>
      <c r="K212" s="440"/>
      <c r="L212" s="440"/>
      <c r="M212" s="487"/>
      <c r="N212" s="440"/>
      <c r="O212" s="440"/>
      <c r="P212" s="440"/>
      <c r="Q212" s="440"/>
      <c r="R212" s="440"/>
      <c r="S212" s="440"/>
      <c r="T212" s="440"/>
      <c r="U212" s="440"/>
      <c r="V212" s="440"/>
      <c r="W212" s="440"/>
      <c r="X212" s="440"/>
      <c r="Y212" s="440"/>
      <c r="Z212" s="582"/>
      <c r="AA212" s="440"/>
      <c r="AB212" s="440"/>
      <c r="AC212" s="440"/>
    </row>
    <row r="213" spans="9:29">
      <c r="I213" s="440"/>
      <c r="J213" s="440"/>
      <c r="K213" s="440"/>
      <c r="L213" s="440"/>
      <c r="M213" s="487"/>
      <c r="N213" s="440"/>
      <c r="O213" s="440"/>
      <c r="P213" s="440"/>
      <c r="Q213" s="440"/>
      <c r="R213" s="440"/>
      <c r="S213" s="440"/>
      <c r="T213" s="440"/>
      <c r="U213" s="440"/>
      <c r="V213" s="440"/>
      <c r="W213" s="440"/>
      <c r="X213" s="440"/>
      <c r="Y213" s="440"/>
      <c r="Z213" s="582"/>
      <c r="AA213" s="440"/>
      <c r="AB213" s="440"/>
      <c r="AC213" s="440"/>
    </row>
    <row r="214" spans="9:29">
      <c r="I214" s="440"/>
      <c r="J214" s="440"/>
      <c r="K214" s="440"/>
      <c r="L214" s="440"/>
      <c r="M214" s="487"/>
      <c r="N214" s="440"/>
      <c r="O214" s="440"/>
      <c r="P214" s="440"/>
      <c r="Q214" s="440"/>
      <c r="R214" s="440"/>
      <c r="S214" s="440"/>
      <c r="T214" s="440"/>
      <c r="U214" s="440"/>
      <c r="V214" s="440"/>
      <c r="W214" s="440"/>
      <c r="X214" s="440"/>
      <c r="Y214" s="440"/>
      <c r="Z214" s="582"/>
      <c r="AA214" s="440"/>
      <c r="AB214" s="440"/>
      <c r="AC214" s="440"/>
    </row>
    <row r="215" spans="9:29">
      <c r="I215" s="440"/>
      <c r="J215" s="440"/>
      <c r="K215" s="440"/>
      <c r="L215" s="440"/>
      <c r="M215" s="487"/>
      <c r="N215" s="440"/>
      <c r="O215" s="440"/>
      <c r="P215" s="440"/>
      <c r="Q215" s="440"/>
      <c r="R215" s="440"/>
      <c r="S215" s="440"/>
      <c r="T215" s="440"/>
      <c r="U215" s="440"/>
      <c r="V215" s="440"/>
      <c r="W215" s="440"/>
      <c r="X215" s="440"/>
      <c r="Y215" s="440"/>
      <c r="Z215" s="582"/>
      <c r="AA215" s="440"/>
      <c r="AB215" s="440"/>
      <c r="AC215" s="440"/>
    </row>
    <row r="216" spans="9:29">
      <c r="I216" s="440"/>
      <c r="J216" s="440"/>
      <c r="K216" s="440"/>
      <c r="L216" s="440"/>
      <c r="M216" s="487"/>
      <c r="N216" s="440"/>
      <c r="O216" s="440"/>
      <c r="P216" s="440"/>
      <c r="Q216" s="440"/>
      <c r="R216" s="440"/>
      <c r="S216" s="440"/>
      <c r="T216" s="440"/>
      <c r="U216" s="440"/>
      <c r="V216" s="440"/>
      <c r="W216" s="440"/>
      <c r="X216" s="440"/>
      <c r="Y216" s="440"/>
      <c r="Z216" s="582"/>
      <c r="AA216" s="440"/>
      <c r="AB216" s="440"/>
      <c r="AC216" s="440"/>
    </row>
    <row r="217" spans="9:29">
      <c r="I217" s="440"/>
      <c r="J217" s="440"/>
      <c r="K217" s="440"/>
      <c r="L217" s="440"/>
      <c r="M217" s="487"/>
      <c r="N217" s="440"/>
      <c r="O217" s="440"/>
      <c r="P217" s="440"/>
      <c r="Q217" s="440"/>
      <c r="R217" s="440"/>
      <c r="S217" s="440"/>
      <c r="T217" s="440"/>
      <c r="U217" s="440"/>
      <c r="V217" s="440"/>
      <c r="W217" s="440"/>
      <c r="X217" s="440"/>
      <c r="Y217" s="440"/>
      <c r="Z217" s="582"/>
      <c r="AA217" s="440"/>
      <c r="AB217" s="440"/>
      <c r="AC217" s="440"/>
    </row>
    <row r="218" spans="9:29">
      <c r="I218" s="440"/>
      <c r="J218" s="440"/>
      <c r="K218" s="440"/>
      <c r="L218" s="440"/>
      <c r="M218" s="487"/>
      <c r="N218" s="440"/>
      <c r="O218" s="440"/>
      <c r="P218" s="440"/>
      <c r="Q218" s="440"/>
      <c r="R218" s="440"/>
      <c r="S218" s="440"/>
      <c r="T218" s="440"/>
      <c r="U218" s="440"/>
      <c r="V218" s="440"/>
      <c r="W218" s="440"/>
      <c r="X218" s="440"/>
      <c r="Y218" s="440"/>
      <c r="Z218" s="582"/>
      <c r="AA218" s="440"/>
      <c r="AB218" s="440"/>
      <c r="AC218" s="440"/>
    </row>
    <row r="219" spans="9:29">
      <c r="I219" s="440"/>
      <c r="J219" s="440"/>
      <c r="K219" s="440"/>
      <c r="L219" s="440"/>
      <c r="M219" s="487"/>
      <c r="N219" s="440"/>
      <c r="O219" s="440"/>
      <c r="P219" s="440"/>
      <c r="Q219" s="440"/>
      <c r="R219" s="440"/>
      <c r="S219" s="440"/>
      <c r="T219" s="440"/>
      <c r="U219" s="440"/>
      <c r="V219" s="440"/>
      <c r="W219" s="440"/>
      <c r="X219" s="440"/>
      <c r="Y219" s="440"/>
      <c r="Z219" s="582"/>
      <c r="AA219" s="440"/>
      <c r="AB219" s="440"/>
      <c r="AC219" s="440"/>
    </row>
    <row r="220" spans="9:29">
      <c r="L220" s="440"/>
      <c r="M220" s="487"/>
      <c r="N220" s="440"/>
      <c r="O220" s="440"/>
      <c r="P220" s="440"/>
      <c r="Q220" s="440"/>
      <c r="R220" s="440"/>
      <c r="S220" s="440"/>
      <c r="T220" s="440"/>
      <c r="U220" s="440"/>
      <c r="V220" s="440"/>
      <c r="W220" s="440"/>
      <c r="X220" s="440"/>
      <c r="Y220" s="440"/>
      <c r="Z220" s="582"/>
      <c r="AA220" s="440"/>
      <c r="AB220" s="440"/>
      <c r="AC220" s="440"/>
    </row>
    <row r="221" spans="9:29">
      <c r="L221" s="440"/>
      <c r="M221" s="487"/>
      <c r="N221" s="440"/>
      <c r="O221" s="440"/>
      <c r="P221" s="440"/>
      <c r="Q221" s="440"/>
      <c r="R221" s="440"/>
      <c r="S221" s="440"/>
      <c r="T221" s="440"/>
      <c r="U221" s="440"/>
      <c r="V221" s="440"/>
      <c r="W221" s="440"/>
      <c r="X221" s="440"/>
      <c r="Y221" s="440"/>
      <c r="Z221" s="582"/>
      <c r="AA221" s="440"/>
      <c r="AB221" s="440"/>
      <c r="AC221" s="440"/>
    </row>
  </sheetData>
  <dataConsolidate/>
  <mergeCells count="16">
    <mergeCell ref="A45:B45"/>
    <mergeCell ref="A50:H50"/>
    <mergeCell ref="H51:H56"/>
    <mergeCell ref="A61:B61"/>
    <mergeCell ref="A62:B62"/>
    <mergeCell ref="A33:B33"/>
    <mergeCell ref="A32:B32"/>
    <mergeCell ref="H20:H25"/>
    <mergeCell ref="A1:B1"/>
    <mergeCell ref="A30:B30"/>
    <mergeCell ref="A31:B31"/>
    <mergeCell ref="A14:B14"/>
    <mergeCell ref="A19:H19"/>
    <mergeCell ref="D1:E1"/>
    <mergeCell ref="F1:G1"/>
    <mergeCell ref="F33:G33"/>
  </mergeCells>
  <conditionalFormatting sqref="A26">
    <cfRule type="expression" dxfId="16" priority="12">
      <formula>COUNTIF(B21:B25,"&gt;0")&lt;&gt;COUNTIF(F21:F25,"&gt;0")</formula>
    </cfRule>
  </conditionalFormatting>
  <conditionalFormatting sqref="C8:C9">
    <cfRule type="expression" dxfId="15" priority="10">
      <formula>AND(C8&lt;&gt;"",LEFT(C8,8)="❌ Erreur")</formula>
    </cfRule>
  </conditionalFormatting>
  <conditionalFormatting sqref="B26">
    <cfRule type="expression" dxfId="14" priority="19">
      <formula>SUM(B21:B25)=A3</formula>
    </cfRule>
    <cfRule type="expression" dxfId="13" priority="20">
      <formula>SUM(B21:B25)&lt;A3</formula>
    </cfRule>
    <cfRule type="expression" dxfId="12" priority="21">
      <formula>SUM(B21:B25)&gt;A3</formula>
    </cfRule>
  </conditionalFormatting>
  <conditionalFormatting sqref="B8">
    <cfRule type="expression" dxfId="11" priority="9">
      <formula>M2=0</formula>
    </cfRule>
  </conditionalFormatting>
  <conditionalFormatting sqref="A57">
    <cfRule type="expression" dxfId="10" priority="4">
      <formula>COUNTIF(B52:B56,"&gt;0")&lt;&gt;COUNTIF(F52:F56,"&gt;0")</formula>
    </cfRule>
  </conditionalFormatting>
  <conditionalFormatting sqref="B57">
    <cfRule type="expression" dxfId="9" priority="31">
      <formula>SUM(B52:B56)=A35</formula>
    </cfRule>
    <cfRule type="expression" dxfId="8" priority="32">
      <formula>SUM(B52:B56)&lt;A35</formula>
    </cfRule>
    <cfRule type="expression" dxfId="7" priority="33">
      <formula>SUM(B52:B56)&gt;A35</formula>
    </cfRule>
  </conditionalFormatting>
  <conditionalFormatting sqref="C35">
    <cfRule type="expression" dxfId="6" priority="1">
      <formula>C35="Format impossible (&gt; 94 cm)"</formula>
    </cfRule>
  </conditionalFormatting>
  <dataValidations xWindow="1009" yWindow="764" count="28">
    <dataValidation type="list" allowBlank="1" showInputMessage="1" showErrorMessage="1" sqref="A40 A11:B11" xr:uid="{00000000-0002-0000-0600-000001000000}">
      <formula1>"Quadrichromie,Quadrichromie + Vernis Machine,Bichromie,Noir"</formula1>
    </dataValidation>
    <dataValidation type="list" operator="equal" allowBlank="1" showInputMessage="1" showErrorMessage="1" promptTitle="Important" prompt="Indiquez 0 si pas de couverture_x000a_Indiquez 2 si couverture recto seul_x000a_Indiquez 4 si couverture recto verso" sqref="B5" xr:uid="{00000000-0002-0000-0600-000002000000}">
      <formula1>"0,2,4"</formula1>
    </dataValidation>
    <dataValidation type="custom" allowBlank="1" showErrorMessage="1" sqref="B3" xr:uid="{00000000-0002-0000-0600-000003000000}">
      <formula1>AND(LEN(B3)-LEN(SUBSTITUTE(B3,"x",""))=1,ISNUMBER(--LEFT(B3,FIND("x",B3)-1)),ISNUMBER(--RIGHT(B3,LEN(B3)-FIND("x",B3))))</formula1>
    </dataValidation>
    <dataValidation type="list" allowBlank="1" showErrorMessage="1" prompt="_x000a_" sqref="A13" xr:uid="{00000000-0002-0000-0600-000004000000}">
      <formula1>"Rien,Dos carré collé,Dos carré collé PUR,Dos carré collé avec couture, Piqûre"</formula1>
    </dataValidation>
    <dataValidation type="list" allowBlank="1" showInputMessage="1" showErrorMessage="1" sqref="C11" xr:uid="{00000000-0002-0000-0600-000005000000}">
      <formula1>IF(OR(A13="Dos carré collé",A13="Dos carré collé PUR",A13="Dos carré collé avec couture"),PelliculageSimple,PelliculageComplet)</formula1>
    </dataValidation>
    <dataValidation type="list" allowBlank="1" showInputMessage="1" showErrorMessage="1" sqref="B7" xr:uid="{00000000-0002-0000-0600-000006000000}">
      <formula1>"Autre,Couché Mat,Couché Satin,Brillant,Carte 1 face,Offset,Recyclé"</formula1>
    </dataValidation>
    <dataValidation type="list" allowBlank="1" showInputMessage="1" showErrorMessage="1" sqref="C5 E42" xr:uid="{00000000-0002-0000-0600-000007000000}">
      <formula1>"0,1,2"</formula1>
    </dataValidation>
    <dataValidation type="list" allowBlank="1" showInputMessage="1" showErrorMessage="1" sqref="E21:E25 B18 A16 E52:E56 B49 A47 B40" xr:uid="{00000000-0002-0000-0600-000008000000}">
      <formula1>"Oui,Non"</formula1>
    </dataValidation>
    <dataValidation type="list" allowBlank="1" showInputMessage="1" showErrorMessage="1" sqref="A18 A49" xr:uid="{00000000-0002-0000-0600-000009000000}">
      <formula1>"Non,A l'unité,Par paquet,Par 2,Par 3,Par 4,Par 5-10"</formula1>
    </dataValidation>
    <dataValidation type="list" allowBlank="1" showInputMessage="1" showErrorMessage="1" sqref="A8:B8" xr:uid="{00000000-0002-0000-0600-00000C000000}">
      <formula1>INDIRECT(L1)</formula1>
    </dataValidation>
    <dataValidation type="custom" allowBlank="1" showInputMessage="1" showErrorMessage="1" errorTitle="Attention" error="Choisissez un département de livraison avant d'indiquer la quantité._x000a_Et attention, faire &quot;supprimer&quot; plutôt que de mettre 0 dans cette case." sqref="B21:B25 B52:B56" xr:uid="{00000000-0002-0000-0600-00000E000000}">
      <formula1>AND(COUNTA(INDIRECT("D"&amp;ROW()))&gt;0, B21&lt;&gt;0)</formula1>
    </dataValidation>
    <dataValidation type="list" allowBlank="1" showInputMessage="1" showErrorMessage="1" errorTitle="Attention" error="Utilisez le menu déroulant ou écrivez dans ce format : &quot;N°Dpt&quot; &quot;-&quot; &quot;Nom Dpt&quot;" sqref="D52:D56 D21:D25" xr:uid="{00000000-0002-0000-0600-00000F000000}">
      <formula1>ListeDept</formula1>
    </dataValidation>
    <dataValidation allowBlank="1" showInputMessage="1" showErrorMessage="1" promptTitle="Précisions supplémentaires " prompt="Tarifs hors supplément spécifique._x000a_Il s'agit du tarif margé IMB, mais ne prend pas en compte si par exemple il y a relivraisons, dépôtage des palettes, adresse de livraison en zone très tendu (par exemple Marseille en plein été)." sqref="H20:H25 H51:H56" xr:uid="{00000000-0002-0000-0600-000010000000}"/>
    <dataValidation type="list" allowBlank="1" showInputMessage="1" showErrorMessage="1" sqref="D40" xr:uid="{00000000-0002-0000-0600-000011000000}">
      <formula1>"Mat,Brillant,Soft Touch"</formula1>
    </dataValidation>
    <dataValidation type="list" allowBlank="1" showErrorMessage="1" prompt="_x000a_" sqref="A42" xr:uid="{00000000-0002-0000-0600-000013000000}">
      <formula1>"Flyer/Poster,Carte de visite,Dépliant"</formula1>
    </dataValidation>
    <dataValidation type="list" allowBlank="1" showInputMessage="1" showErrorMessage="1" sqref="B42" xr:uid="{00000000-0002-0000-0600-000014000000}">
      <formula1>"Roulé,Accordéon,Croisé,Rien"</formula1>
    </dataValidation>
    <dataValidation type="list" allowBlank="1" showInputMessage="1" showErrorMessage="1" sqref="C42" xr:uid="{00000000-0002-0000-0600-000015000000}">
      <formula1>"1,2,3,4,5,6"</formula1>
    </dataValidation>
    <dataValidation type="list" allowBlank="1" showInputMessage="1" showErrorMessage="1" sqref="D42" xr:uid="{00000000-0002-0000-0600-000016000000}">
      <formula1>"Croisé,Rien"</formula1>
    </dataValidation>
    <dataValidation type="list" allowBlank="1" showInputMessage="1" showErrorMessage="1" sqref="A37" xr:uid="{00000000-0002-0000-0600-000017000000}">
      <formula1>"Autre,Couché Mat,Couché Satin,Brillant,Offset,Recyclé"</formula1>
    </dataValidation>
    <dataValidation type="list" allowBlank="1" showInputMessage="1" showErrorMessage="1" sqref="C40" xr:uid="{00000000-0002-0000-0600-000018000000}">
      <formula1>"Recto,Recto Verso,Non"</formula1>
    </dataValidation>
    <dataValidation type="custom" allowBlank="1" showErrorMessage="1" errorTitle="Attention" error="Format trop petit ou trop grand" sqref="B35" xr:uid="{00000000-0002-0000-0600-000019000000}">
      <formula1>M33</formula1>
    </dataValidation>
    <dataValidation allowBlank="1" showInputMessage="1" showErrorMessage="1" promptTitle="Ne pas modifier" sqref="C35" xr:uid="{00000000-0002-0000-0600-00001A000000}"/>
    <dataValidation type="custom" allowBlank="1" showInputMessage="1" showErrorMessage="1" errorTitle="Erreur rabat" error="Le rabat est trop large pour ce format fini ou dépasse 76 cm en largeur totale." sqref="D5" xr:uid="{00000000-0002-0000-0600-00000B000000}">
      <formula1>OR(C5=0,AND(D5&lt;=LEFT(B3,SEARCH("x",B3)-1)*1, (2*LEFT(B3,SEARCH("x",B3)-1)*1)+(C5*D5)&lt;=76))</formula1>
    </dataValidation>
    <dataValidation type="list" allowBlank="1" showInputMessage="1" showErrorMessage="1" sqref="D11" xr:uid="{00000000-0002-0000-0600-00000D000000}">
      <formula1>IF(AND(B5&lt;&gt;0,C11&lt;&gt;"Rien"),ListePelliculage,INDIRECT("Z1000"))</formula1>
    </dataValidation>
    <dataValidation type="list" allowBlank="1" showInputMessage="1" showErrorMessage="1" sqref="A38" xr:uid="{00000000-0002-0000-0600-000012000000}">
      <formula1>INDIRECT(L2)</formula1>
    </dataValidation>
    <dataValidation type="custom" allowBlank="1" showInputMessage="1" showErrorMessage="1" errorTitle="❌ Erreur" error="-Multiple de 4 obligatoire_x000a_-Si dos carré collé, 40 pages minimum_x000a_-Si piqûre, diminuez le grammage ou la pagination car techniquement impossible" sqref="A5" xr:uid="{00000000-0002-0000-0600-00000A000000}">
      <formula1>M6</formula1>
    </dataValidation>
    <dataValidation type="list" allowBlank="1" showInputMessage="1" showErrorMessage="1" sqref="A7" xr:uid="{C81C6E42-8D6F-4AF4-863D-A4E85047A3E5}">
      <formula1>"Autre,Bouffant Blanc,Bouffant Munken Blanc,Bouffant Munken Crème,Couché Mat,Couché Satin,Brillant,Carte 1 face,Offset,Recyclé,Bouffant"</formula1>
    </dataValidation>
    <dataValidation allowBlank="1" showInputMessage="1" showErrorMessage="1" promptTitle="Exemple" prompt="Si 8 modèles de 1000 fiches A4, saisir A31 = 8000 et B40 = 8_x000d__x000a_" sqref="B44" xr:uid="{A2D7D215-55B5-4105-A864-8E03613B52CE}"/>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1" r:id="rId4" name="Button 9">
              <controlPr defaultSize="0" print="0" autoFill="0" autoPict="0" macro="[0]!Vider_Tableau_OFFSET">
                <anchor moveWithCells="1" sizeWithCells="1">
                  <from>
                    <xdr:col>2</xdr:col>
                    <xdr:colOff>47625</xdr:colOff>
                    <xdr:row>0</xdr:row>
                    <xdr:rowOff>38100</xdr:rowOff>
                  </from>
                  <to>
                    <xdr:col>2</xdr:col>
                    <xdr:colOff>2552700</xdr:colOff>
                    <xdr:row>0</xdr:row>
                    <xdr:rowOff>428625</xdr:rowOff>
                  </to>
                </anchor>
              </controlPr>
            </control>
          </mc:Choice>
        </mc:AlternateContent>
        <mc:AlternateContent xmlns:mc="http://schemas.openxmlformats.org/markup-compatibility/2006">
          <mc:Choice Requires="x14">
            <control shapeId="8206" r:id="rId5" name="Button 14">
              <controlPr defaultSize="0" print="0" autoFill="0" autoPict="0" macro="[0]!Reinitialiser_Devis_OFFSET">
                <anchor moveWithCells="1" sizeWithCells="1">
                  <from>
                    <xdr:col>2</xdr:col>
                    <xdr:colOff>76200</xdr:colOff>
                    <xdr:row>32</xdr:row>
                    <xdr:rowOff>76200</xdr:rowOff>
                  </from>
                  <to>
                    <xdr:col>2</xdr:col>
                    <xdr:colOff>2514600</xdr:colOff>
                    <xdr:row>32</xdr:row>
                    <xdr:rowOff>723900</xdr:rowOff>
                  </to>
                </anchor>
              </controlPr>
            </control>
          </mc:Choice>
        </mc:AlternateContent>
        <mc:AlternateContent xmlns:mc="http://schemas.openxmlformats.org/markup-compatibility/2006">
          <mc:Choice Requires="x14">
            <control shapeId="8209" r:id="rId6" name="Button 17">
              <controlPr defaultSize="0" print="0" autoFill="0" autoPict="0" macro="[0]!MajPrixNumerique">
                <anchor moveWithCells="1" sizeWithCells="1">
                  <from>
                    <xdr:col>7</xdr:col>
                    <xdr:colOff>66675</xdr:colOff>
                    <xdr:row>0</xdr:row>
                    <xdr:rowOff>466725</xdr:rowOff>
                  </from>
                  <to>
                    <xdr:col>7</xdr:col>
                    <xdr:colOff>1304925</xdr:colOff>
                    <xdr:row>4</xdr:row>
                    <xdr:rowOff>38100</xdr:rowOff>
                  </to>
                </anchor>
              </controlPr>
            </control>
          </mc:Choice>
        </mc:AlternateContent>
        <mc:AlternateContent xmlns:mc="http://schemas.openxmlformats.org/markup-compatibility/2006">
          <mc:Choice Requires="x14">
            <control shapeId="8213" r:id="rId7" name="Button 21">
              <controlPr defaultSize="0" print="0" autoFill="0" autoPict="0" macro="[0]!Comparatif_Depliants_Offset_To_Num">
                <anchor moveWithCells="1" sizeWithCells="1">
                  <from>
                    <xdr:col>7</xdr:col>
                    <xdr:colOff>66675</xdr:colOff>
                    <xdr:row>33</xdr:row>
                    <xdr:rowOff>19050</xdr:rowOff>
                  </from>
                  <to>
                    <xdr:col>7</xdr:col>
                    <xdr:colOff>1304925</xdr:colOff>
                    <xdr:row>35</xdr:row>
                    <xdr:rowOff>381000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2">
    <tabColor rgb="FFFFC000"/>
  </sheetPr>
  <dimension ref="A1:AA32"/>
  <sheetViews>
    <sheetView zoomScale="85" zoomScaleNormal="85" workbookViewId="0">
      <selection activeCell="A3" sqref="A3"/>
    </sheetView>
  </sheetViews>
  <sheetFormatPr baseColWidth="10" defaultRowHeight="15"/>
  <cols>
    <col min="1" max="1" width="43.42578125" customWidth="1"/>
    <col min="2" max="2" width="42.42578125" customWidth="1"/>
    <col min="3" max="3" width="38.85546875" customWidth="1"/>
    <col min="4" max="4" width="36.140625" customWidth="1"/>
    <col min="5" max="5" width="24.42578125" customWidth="1"/>
    <col min="6" max="7" width="23.5703125" customWidth="1"/>
    <col min="9" max="9" width="22" customWidth="1"/>
  </cols>
  <sheetData>
    <row r="1" spans="1:27" ht="36" customHeight="1">
      <c r="A1" s="781" t="s">
        <v>484</v>
      </c>
      <c r="B1" s="782"/>
      <c r="L1" s="314" t="str">
        <f>IF(A7="Autre","Grammage_Autre_Interieur",
IF(A7="Recyclé","RecycleOffset",
IF(A7="Brillant","Brillantinterieur",
IF(A7="Couché Mat","CoucheMatInterieur",
IF(A7="Couché Satin","CoucheSatinInterieur",
IF(A7="Offset","OffsetInterieur",
IF(A7="Bouffant Munken Blanc","BouffantMunkenBlanc",
IF(A7="Bouffant Munken Crème","BouffantMunkenCreme",
""))))))))</f>
        <v>CoucheSatinInterieur</v>
      </c>
      <c r="M1" s="314" t="str">
        <f>IF(B7="Autre","Grammage_Autre_Couverture",
IF(OR(A13="Dos carré collé",A13="Dos carré collé PUR",A13="Dos carré collé avec couture"),
  VLOOKUP(B7,
    {"Brillant","Brillantcouv_DC";"Carte 1 face","Carte1Face_DC";"Couché Mat","CoucheMatCouv_DC";"Couché Satin","CoucheSatinCouv_DC"},
    2,FALSE),
  VLOOKUP(B7,
    {"Recyclé","RecycleCouv";"Brillant","Brillantcouv";"Carte 1 face","Carte1Face";"Couché Mat","CoucheMatCouv";"Couché Satin","CoucheSatinCouv";"Offset","Offset"},
    2,FALSE)))</f>
        <v>CoucheSatinCouv</v>
      </c>
      <c r="AA1" s="314"/>
    </row>
    <row r="2" spans="1:27" ht="15.75">
      <c r="A2" s="124" t="s">
        <v>471</v>
      </c>
      <c r="B2" s="124" t="s">
        <v>470</v>
      </c>
      <c r="C2" s="325" t="s">
        <v>483</v>
      </c>
      <c r="D2" s="124" t="s">
        <v>652</v>
      </c>
      <c r="M2" s="314">
        <f ca="1">COUNTIF(INDIRECT(M1),B8)</f>
        <v>1</v>
      </c>
    </row>
    <row r="3" spans="1:27" ht="15.75">
      <c r="A3" s="324">
        <v>50</v>
      </c>
      <c r="B3" s="324" t="s">
        <v>664</v>
      </c>
      <c r="C3" s="284" t="str">
        <f>ROUND(2*LEFT(B3,SEARCH("x",B3)-1)*1 + C5*D5,1)&amp;"x"&amp;RIGHT(B3,LEN(B3)-SEARCH("x",B3))</f>
        <v>29,6x21</v>
      </c>
      <c r="D3" s="159">
        <f>IF(OR(A13="Dos carré collé",A13="Dos carré collé PUR",A13="Dos carré collé avec couture"),
  ('Tableau OFFSET (2)'!A5 / 2) * (VLOOKUP('Tableau OFFSET (2)'!A8,'Tableau papier'!A4:D21,2,FALSE) / 1000),
  0)</f>
        <v>0</v>
      </c>
      <c r="M3" s="314" t="str">
        <f ca="1">IF(M2=0,"❌ Grammage non autorisé pour ce papier et ce façonnage","")</f>
        <v/>
      </c>
      <c r="Z3" s="314" t="b">
        <f>AND(LEN(B3)-LEN(SUBSTITUTE(B3,"x",""))=1,ISNUMBER(--LEFT(B3,FIND("x",B3)-1)),ISNUMBER(--RIGHT(B3,LEN(B3)-FIND("x",B3))))</f>
        <v>1</v>
      </c>
    </row>
    <row r="4" spans="1:27" ht="23.25" customHeight="1">
      <c r="A4" s="131" t="s">
        <v>472</v>
      </c>
      <c r="B4" s="124" t="s">
        <v>473</v>
      </c>
      <c r="C4" s="326" t="s">
        <v>478</v>
      </c>
      <c r="D4" s="213" t="s">
        <v>482</v>
      </c>
    </row>
    <row r="5" spans="1:27" ht="15.75">
      <c r="A5" s="324">
        <v>64</v>
      </c>
      <c r="B5" s="324">
        <v>2</v>
      </c>
      <c r="C5" s="332">
        <v>0</v>
      </c>
      <c r="D5" s="333">
        <v>10</v>
      </c>
    </row>
    <row r="6" spans="1:27" ht="29.25" customHeight="1">
      <c r="A6" s="131" t="s">
        <v>474</v>
      </c>
      <c r="B6" s="131" t="s">
        <v>475</v>
      </c>
      <c r="C6" s="327" t="s">
        <v>659</v>
      </c>
      <c r="D6" s="294" t="s">
        <v>658</v>
      </c>
    </row>
    <row r="7" spans="1:27" ht="15.75">
      <c r="A7" s="335" t="s">
        <v>700</v>
      </c>
      <c r="B7" s="335" t="s">
        <v>700</v>
      </c>
      <c r="C7" s="336"/>
      <c r="D7" s="337"/>
    </row>
    <row r="8" spans="1:27" ht="15.75">
      <c r="A8" s="324">
        <v>100</v>
      </c>
      <c r="B8" s="324">
        <v>200</v>
      </c>
      <c r="C8" s="315"/>
    </row>
    <row r="9" spans="1:27" ht="15.75">
      <c r="A9" s="130" t="str">
        <f>IF(OR(A7="Couché Mat",B7="Couché Mat"),"⚠ Le papier 'Couché Mat' est moins optimisé en coût à cause du façonnage","")</f>
        <v/>
      </c>
      <c r="B9" s="324"/>
      <c r="C9" s="315"/>
    </row>
    <row r="10" spans="1:27" ht="18" customHeight="1">
      <c r="A10" s="131" t="s">
        <v>477</v>
      </c>
      <c r="B10" s="131" t="s">
        <v>476</v>
      </c>
    </row>
    <row r="11" spans="1:27" ht="15.75">
      <c r="A11" s="324" t="s">
        <v>7</v>
      </c>
      <c r="B11" s="324" t="s">
        <v>7</v>
      </c>
    </row>
    <row r="12" spans="1:27" ht="15.75">
      <c r="A12" s="124" t="s">
        <v>1</v>
      </c>
      <c r="B12" s="124" t="s">
        <v>469</v>
      </c>
      <c r="C12" s="328" t="s">
        <v>486</v>
      </c>
    </row>
    <row r="13" spans="1:27" ht="15.75">
      <c r="A13" s="324" t="s">
        <v>139</v>
      </c>
      <c r="B13" s="324" t="s">
        <v>78</v>
      </c>
      <c r="C13" s="332" t="s">
        <v>186</v>
      </c>
    </row>
    <row r="14" spans="1:27" ht="15.75">
      <c r="A14" s="783" t="s">
        <v>75</v>
      </c>
      <c r="B14" s="783"/>
    </row>
    <row r="15" spans="1:27">
      <c r="A15" s="236" t="s">
        <v>701</v>
      </c>
    </row>
    <row r="16" spans="1:27">
      <c r="A16" s="333" t="s">
        <v>80</v>
      </c>
    </row>
    <row r="17" spans="1:8">
      <c r="A17" s="253" t="s">
        <v>493</v>
      </c>
      <c r="B17" s="236" t="s">
        <v>702</v>
      </c>
    </row>
    <row r="18" spans="1:8">
      <c r="A18" s="334" t="s">
        <v>304</v>
      </c>
      <c r="B18" s="333" t="s">
        <v>80</v>
      </c>
    </row>
    <row r="19" spans="1:8" ht="15.75">
      <c r="A19" s="783" t="s">
        <v>646</v>
      </c>
      <c r="B19" s="783"/>
      <c r="C19" s="783"/>
      <c r="D19" s="783"/>
      <c r="E19" s="783"/>
      <c r="F19" s="783"/>
      <c r="G19" s="783"/>
      <c r="H19" s="783"/>
    </row>
    <row r="20" spans="1:8">
      <c r="A20" s="236" t="s">
        <v>502</v>
      </c>
      <c r="B20" s="236" t="s">
        <v>625</v>
      </c>
      <c r="C20" s="236" t="s">
        <v>632</v>
      </c>
      <c r="D20" s="236" t="s">
        <v>503</v>
      </c>
      <c r="E20" s="236" t="s">
        <v>504</v>
      </c>
      <c r="F20" s="236" t="s">
        <v>624</v>
      </c>
      <c r="G20" s="236" t="s">
        <v>629</v>
      </c>
      <c r="H20" s="774" t="s">
        <v>627</v>
      </c>
    </row>
    <row r="21" spans="1:8" ht="18.600000000000001" customHeight="1">
      <c r="A21" s="287" t="s">
        <v>505</v>
      </c>
      <c r="B21" s="329">
        <v>2500</v>
      </c>
      <c r="C21" s="283">
        <f>IF(AND(B21&lt;&gt;"", A28&lt;&gt;""), MAX(1, B21 * A28 / 1000), "")</f>
        <v>286.33432285802024</v>
      </c>
      <c r="D21" s="331" t="s">
        <v>528</v>
      </c>
      <c r="E21" s="329" t="s">
        <v>304</v>
      </c>
      <c r="F21" s="291" cm="1">
        <f t="array" ref="F21">IFERROR(
  MIN(
    _xlfn._xlws.FILTER(
      INDEX(Transports!$C$2:$CF$571,,MATCH(ROUNDUP(C21,1),Transports!$C$1:$CF$1,1)),
      (Transports!$A$2:$A$571=D21) *
      ISNUMBER(INDEX(Transports!$C$2:$CF$571,,MATCH(ROUNDUP(C21,1),Transports!$C$1:$CF$1,1)))
    )
  ),
  IFERROR(
    MIN(
      _xlfn._xlws.FILTER(
        Transports!#REF!*C21/100,
        (Transports!$A$2:$A$571=D21) * (ISNUMBER(Transports!#REF!))
      )
    ),
  "")
)</f>
        <v>80</v>
      </c>
      <c r="G21" s="159" t="str" cm="1">
        <f t="array" ref="G21">IFERROR(
  INDEX(Transports!$B$2:$B$571,
    MATCH(
      F21 - IF(E21="Oui",60,0),
      IF(
        Transports!$A$2:$A$571=D21,
        CHOOSE(1,
          INDEX(Transports!$C$2:$CF$571,,MATCH(ROUNDUP(C21,1),Transports!$C$1:$CF$1,1)),
          Transports!#REF!
        )
      ),
    0)
  ),
"")</f>
        <v>Gandon</v>
      </c>
      <c r="H21" s="774"/>
    </row>
    <row r="22" spans="1:8">
      <c r="A22" s="287" t="s">
        <v>506</v>
      </c>
      <c r="B22" s="329"/>
      <c r="C22" s="283" t="str">
        <f>IF(AND(B22&lt;&gt;"", A28&lt;&gt;""), MAX(1, B22 * A28 / 1000), "")</f>
        <v/>
      </c>
      <c r="D22" s="332"/>
      <c r="E22" s="329" t="s">
        <v>304</v>
      </c>
      <c r="F22" s="291" t="str" cm="1">
        <f t="array" ref="F22">IFERROR(
  MIN(
    _xlfn._xlws.FILTER(
      INDEX(Transports!$C$2:$CF$571,,MATCH(ROUNDUP(C22,1),Transports!$C$1:$CF$1,1)),
      (Transports!$A$2:$A$571=D22) *
      ISNUMBER(INDEX(Transports!$C$2:$CF$571,,MATCH(ROUNDUP(C22,1),Transports!$C$1:$CF$1,1)))
    )
  ),
  IFERROR(
    MIN(
      _xlfn._xlws.FILTER(
        Transports!#REF!*C22/100,
        (Transports!$A$2:$A$571=D22) * (ISNUMBER(Transports!#REF!))
      )
    ),
  "")
)</f>
        <v/>
      </c>
      <c r="G22" s="159" t="str" cm="1">
        <f t="array" ref="G22">IFERROR(
  INDEX(Transports!$B$2:$B$571,
    MATCH(
      F22 - IF(E22="Oui",60,0),
      IF(
        Transports!$A$2:$A$571=D22,
        CHOOSE(1,
          INDEX(Transports!$C$2:$CF$571,,MATCH(ROUNDUP(C22,1),Transports!$C$1:$CF$1,1)),
          Transports!#REF!
        )
      ),
    0)
  ),
"")</f>
        <v/>
      </c>
      <c r="H22" s="774"/>
    </row>
    <row r="23" spans="1:8">
      <c r="A23" s="287" t="s">
        <v>507</v>
      </c>
      <c r="B23" s="329"/>
      <c r="C23" s="283" t="str">
        <f>IF(AND(B23&lt;&gt;"", A28&lt;&gt;""), MAX(1, B23 * A28 / 1000), "")</f>
        <v/>
      </c>
      <c r="D23" s="332"/>
      <c r="E23" s="329" t="s">
        <v>304</v>
      </c>
      <c r="F23" s="291" t="str" cm="1">
        <f t="array" ref="F23">IFERROR(
  MIN(
    _xlfn._xlws.FILTER(
      INDEX(Transports!$C$2:$CF$571,,MATCH(ROUNDUP(C23,1),Transports!$C$1:$CF$1,1)),
      (Transports!$A$2:$A$571=D23) *
      ISNUMBER(INDEX(Transports!$C$2:$CF$571,,MATCH(ROUNDUP(C23,1),Transports!$C$1:$CF$1,1)))
    )
  ),
  IFERROR(
    MIN(
      _xlfn._xlws.FILTER(
        Transports!#REF!*C23/100,
        (Transports!$A$2:$A$571=D23) * (ISNUMBER(Transports!#REF!))
      )
    ),
  "")
)</f>
        <v/>
      </c>
      <c r="G23" s="159" t="str" cm="1">
        <f t="array" ref="G23">IFERROR(
  INDEX(Transports!$B$2:$B$571,
    MATCH(
      F23 - IF(E23="Oui",60,0),
      IF(
        Transports!$A$2:$A$571=D23,
        CHOOSE(1,
          INDEX(Transports!$C$2:$CF$571,,MATCH(ROUNDUP(C23,1),Transports!$C$1:$CF$1,1)),
          Transports!#REF!
        )
      ),
    0)
  ),
"")</f>
        <v/>
      </c>
      <c r="H23" s="774"/>
    </row>
    <row r="24" spans="1:8">
      <c r="A24" s="287" t="s">
        <v>508</v>
      </c>
      <c r="B24" s="329"/>
      <c r="C24" s="283" t="str">
        <f>IF(AND(B24&lt;&gt;"", A28&lt;&gt;""), MAX(1, B24 * A28 / 1000), "")</f>
        <v/>
      </c>
      <c r="D24" s="332"/>
      <c r="E24" s="329" t="s">
        <v>304</v>
      </c>
      <c r="F24" s="291" t="str" cm="1">
        <f t="array" ref="F24">IFERROR(
  MIN(
    _xlfn._xlws.FILTER(
      INDEX(Transports!$C$2:$CF$571,,MATCH(ROUNDUP(C24,1),Transports!$C$1:$CF$1,1)),
      (Transports!$A$2:$A$571=D24) *
      ISNUMBER(INDEX(Transports!$C$2:$CF$571,,MATCH(ROUNDUP(C24,1),Transports!$C$1:$CF$1,1)))
    )
  ),
  IFERROR(
    MIN(
      _xlfn._xlws.FILTER(
        Transports!#REF!*C24/100,
        (Transports!$A$2:$A$571=D24) * (ISNUMBER(Transports!#REF!))
      )
    ),
  "")
)</f>
        <v/>
      </c>
      <c r="G24" s="159" t="str" cm="1">
        <f t="array" ref="G24">IFERROR(
  INDEX(Transports!$B$2:$B$571,
    MATCH(
      F24 - IF(E24="Oui",60,0),
      IF(
        Transports!$A$2:$A$571=D24,
        CHOOSE(1,
          INDEX(Transports!$C$2:$CF$571,,MATCH(ROUNDUP(C24,1),Transports!$C$1:$CF$1,1)),
          Transports!#REF!
        )
      ),
    0)
  ),
"")</f>
        <v/>
      </c>
      <c r="H24" s="774"/>
    </row>
    <row r="25" spans="1:8" ht="15.75" thickBot="1">
      <c r="A25" s="287" t="s">
        <v>509</v>
      </c>
      <c r="B25" s="330"/>
      <c r="C25" s="283" t="str">
        <f>IF(AND(B25&lt;&gt;"", A28&lt;&gt;""), MAX(1, B25 * A28 / 1000), "")</f>
        <v/>
      </c>
      <c r="D25" s="332"/>
      <c r="E25" s="329" t="s">
        <v>304</v>
      </c>
      <c r="F25" s="292" t="str" cm="1">
        <f t="array" ref="F25">IFERROR(
  MIN(
    _xlfn._xlws.FILTER(
      INDEX(Transports!$C$2:$CF$571,,MATCH(ROUNDUP(C25,1),Transports!$C$1:$CF$1,1)),
      (Transports!$A$2:$A$571=D25) *
      ISNUMBER(INDEX(Transports!$C$2:$CF$571,,MATCH(ROUNDUP(C25,1),Transports!$C$1:$CF$1,1)))
    )
  ),
  IFERROR(
    MIN(
      _xlfn._xlws.FILTER(
        Transports!#REF!*C25/100,
        (Transports!$A$2:$A$571=D25) * (ISNUMBER(Transports!#REF!))
      )
    ),
  "")
)</f>
        <v/>
      </c>
      <c r="G25" s="159" t="str" cm="1">
        <f t="array" ref="G25">IFERROR(
  INDEX(Transports!$B$2:$B$571,
    MATCH(
      F25 - IF(E25="Oui",60,0),
      IF(
        Transports!$A$2:$A$571=D25,
        CHOOSE(1,
          INDEX(Transports!$C$2:$CF$571,,MATCH(ROUNDUP(C25,1),Transports!$C$1:$CF$1,1)),
          Transports!#REF!
        )
      ),
    0)
  ),
"")</f>
        <v/>
      </c>
      <c r="H25" s="774"/>
    </row>
    <row r="26" spans="1:8" ht="32.1" customHeight="1" thickBot="1">
      <c r="A26" s="289" t="str">
        <f>IF(COUNTIF(B21:B25,"&gt;0")&lt;&gt;COUNTIF(F21:F25,"&gt;0"),
"⚠ Erreur : au moins un point a une quantité sans prix.",
"")</f>
        <v/>
      </c>
      <c r="B26" s="290" t="str">
        <f>IF(SUM(B21:B25)&gt;A3,
   "⚠ Trop réparti : " &amp; SUM(B21:B25) &amp; " / " &amp; A3,
   IF(SUM(B21:B25)&lt;A3,
      "⚠ Quantité incomplète : " &amp; SUM(B21:B25) &amp; " / " &amp; A3,
      "✅ Quantité répartie correctement (" &amp; A3 &amp; ")"
   )
)</f>
        <v>⚠ Trop réparti : 2500 / 50</v>
      </c>
      <c r="C26" s="285"/>
      <c r="D26" s="161"/>
      <c r="E26" s="288" t="s">
        <v>640</v>
      </c>
      <c r="F26" s="293">
        <f>SUM(F21:F25)</f>
        <v>80</v>
      </c>
      <c r="G26" s="161"/>
      <c r="H26" s="286"/>
    </row>
    <row r="27" spans="1:8" ht="15.75">
      <c r="A27" s="254" t="s">
        <v>85</v>
      </c>
      <c r="B27" s="255" t="s">
        <v>136</v>
      </c>
    </row>
    <row r="28" spans="1:8" ht="15.75">
      <c r="A28" s="216">
        <f>IFERROR(
  (
    (A5/2) * LEFT(B3,SEARCH("x",B3)-1) * MID(B3,SEARCH("x",B3)+1,10) * A8 +
    IF(B5=0,0,
      (2 * LEFT(B3,SEARCH("x",B3)-1) + D3) * MID(B3,SEARCH("x",B3)+1,10) * B8
    )
  ) / 9769,
  ""
)</f>
        <v>114.53372914320811</v>
      </c>
      <c r="B28" s="217">
        <f>('Détails PRIX'!A9 - 'Détails PRIX'!A5 * VLOOKUP('Tableau OFFSET (2)'!A8,'Tableau papier'!A4:D21,3,FALSE)/1000
 + 'Détails PRIX'!B9 - 'Détails PRIX'!B5 * VLOOKUP('Tableau OFFSET (2)'!B8,'Tableau papier'!A4:D21,3,FALSE)/1000)
*
IF(OR(A13="Dos carré collé",A13="Dos carré collé PUR",A13="Piqûre"),0.855,0.95)</f>
        <v>189.85104000000001</v>
      </c>
    </row>
    <row r="29" spans="1:8" ht="15.75" thickBot="1"/>
    <row r="30" spans="1:8" ht="29.1" customHeight="1" thickBot="1">
      <c r="A30" s="775" t="s">
        <v>641</v>
      </c>
      <c r="B30" s="705"/>
    </row>
    <row r="31" spans="1:8" ht="28.5" customHeight="1" thickBot="1">
      <c r="A31" s="776">
        <f>(
  IF(AND('Détails PRIX'!A25="Piqûre",'Tableau OFFSET (2)'!C5=0),MIN('Détails PRIX'!C25,'Détails PRIX'!C26),'Détails PRIX'!C25)
  + 'Détails PRIX'!C29
  + 'Détails PRIX'!C21
  + 'Détails PRIX'!A13
)
+ SUM(F21:F25)
+ 'Détails PRIX'!C34
+ 'Détails PRIX'!C32
+ 'Détails PRIX'!C31
+ 'Détails PRIX'!C35</f>
        <v>1315.7087999999999</v>
      </c>
      <c r="B31" s="777"/>
    </row>
    <row r="32" spans="1:8">
      <c r="A32" s="780"/>
      <c r="B32" s="780"/>
    </row>
  </sheetData>
  <dataConsolidate/>
  <mergeCells count="7">
    <mergeCell ref="A32:B32"/>
    <mergeCell ref="A1:B1"/>
    <mergeCell ref="A14:B14"/>
    <mergeCell ref="A19:H19"/>
    <mergeCell ref="H20:H25"/>
    <mergeCell ref="A30:B30"/>
    <mergeCell ref="A31:B31"/>
  </mergeCells>
  <conditionalFormatting sqref="A26">
    <cfRule type="expression" dxfId="5" priority="3">
      <formula>COUNTIF(B21:B25,"&gt;0")&lt;&gt;COUNTIF(F21:F25,"&gt;0")</formula>
    </cfRule>
  </conditionalFormatting>
  <conditionalFormatting sqref="C8:C9">
    <cfRule type="expression" dxfId="4" priority="2">
      <formula>AND(C8&lt;&gt;"",LEFT(C8,8)="❌ Erreur")</formula>
    </cfRule>
  </conditionalFormatting>
  <conditionalFormatting sqref="B26">
    <cfRule type="expression" dxfId="3" priority="4">
      <formula>SUM(B21:B25)=A3</formula>
    </cfRule>
    <cfRule type="expression" dxfId="2" priority="5">
      <formula>SUM(B21:B25)&lt;A3</formula>
    </cfRule>
    <cfRule type="expression" dxfId="1" priority="6">
      <formula>SUM(B21:B25)&gt;A3</formula>
    </cfRule>
  </conditionalFormatting>
  <conditionalFormatting sqref="B8">
    <cfRule type="expression" dxfId="0" priority="1">
      <formula>M2=0</formula>
    </cfRule>
  </conditionalFormatting>
  <dataValidations count="16">
    <dataValidation type="list" allowBlank="1" showInputMessage="1" showErrorMessage="1" sqref="A8:B8" xr:uid="{00000000-0002-0000-0700-000000000000}">
      <formula1>INDIRECT(L1)</formula1>
    </dataValidation>
    <dataValidation type="list" allowBlank="1" showInputMessage="1" showErrorMessage="1" sqref="C13" xr:uid="{00000000-0002-0000-0700-000001000000}">
      <formula1>IF(AND(B5&lt;&gt;0,B13&lt;&gt;"Rien"),ListePelliculage,INDIRECT("Z1000"))</formula1>
    </dataValidation>
    <dataValidation type="custom" allowBlank="1" showInputMessage="1" showErrorMessage="1" errorTitle="Erreur rabat" error="Le rabat est trop large pour ce format fini ou dépasse 76 cm en largeur totale." sqref="D5" xr:uid="{00000000-0002-0000-0700-000002000000}">
      <formula1>OR(C5=0,AND(D5&lt;=LEFT(B3,SEARCH("x",B3)-1)*1, (2*LEFT(B3,SEARCH("x",B3)-1)*1)+(C5*D5)&lt;=76))</formula1>
    </dataValidation>
    <dataValidation type="custom" allowBlank="1" showInputMessage="1" showErrorMessage="1" errorTitle="❌ Erreur" error="Le nombre de pages doit être un multiple de 4. " sqref="A5" xr:uid="{00000000-0002-0000-0700-000003000000}">
      <formula1>AND(ISNUMBER(A5),MOD(A5,4)=0)</formula1>
    </dataValidation>
    <dataValidation type="list" allowBlank="1" showInputMessage="1" showErrorMessage="1" sqref="D21:D26" xr:uid="{00000000-0002-0000-0700-000004000000}">
      <formula1>ListeDept</formula1>
    </dataValidation>
    <dataValidation type="list" allowBlank="1" showInputMessage="1" showErrorMessage="1" sqref="A18" xr:uid="{00000000-0002-0000-0700-000005000000}">
      <formula1>"Non,A l'unité,Par paquet,Par 2,Par 3,Par 4,Par 5-10"</formula1>
    </dataValidation>
    <dataValidation type="list" allowBlank="1" showInputMessage="1" showErrorMessage="1" sqref="E21:E25 B18 A16" xr:uid="{00000000-0002-0000-0700-000006000000}">
      <formula1>"Oui,Non"</formula1>
    </dataValidation>
    <dataValidation type="list" allowBlank="1" showInputMessage="1" showErrorMessage="1" sqref="C5" xr:uid="{00000000-0002-0000-0700-000007000000}">
      <formula1>"0,1,2"</formula1>
    </dataValidation>
    <dataValidation type="list" allowBlank="1" showInputMessage="1" showErrorMessage="1" sqref="B7" xr:uid="{00000000-0002-0000-0700-000008000000}">
      <formula1>"Autre,Couché Mat,Couché Satin,Brillant,Carte 1 face,Offset,Recyclé"</formula1>
    </dataValidation>
    <dataValidation type="list" allowBlank="1" showInputMessage="1" showErrorMessage="1" sqref="B13" xr:uid="{00000000-0002-0000-0700-000009000000}">
      <formula1>IF(OR(A13="Dos carré collé",A13="Dos carré collé PUR",A13="Dos carré collé avec couture"),PelliculageSimple,PelliculageComplet)</formula1>
    </dataValidation>
    <dataValidation type="list" allowBlank="1" showInputMessage="1" showErrorMessage="1" promptTitle="NOTE Grammage pour dos carré" prompt="Pour les grammages supérieur à 115gr, sélectionner PUR_x000a_" sqref="A13" xr:uid="{00000000-0002-0000-0700-00000A000000}">
      <formula1>"Rien,Dos carré collé,Dos carré collé PUR,Dos carré collé avec couture, Piqûre"</formula1>
    </dataValidation>
    <dataValidation type="list" allowBlank="1" showInputMessage="1" showErrorMessage="1" sqref="A11" xr:uid="{00000000-0002-0000-0700-00000B000000}">
      <formula1>"Quadrichromie,Noir"</formula1>
    </dataValidation>
    <dataValidation type="custom" allowBlank="1" showErrorMessage="1" sqref="B3" xr:uid="{00000000-0002-0000-0700-00000C000000}">
      <formula1>AND(LEN(B3)-LEN(SUBSTITUTE(B3,"x",""))=1,ISNUMBER(--LEFT(B3,FIND("x",B3)-1)),ISNUMBER(--RIGHT(B3,LEN(B3)-FIND("x",B3))))</formula1>
    </dataValidation>
    <dataValidation type="list" operator="equal" allowBlank="1" showInputMessage="1" showErrorMessage="1" promptTitle="Important" prompt="Indiquez 0 si pas de couverture_x000a_Indiquez 2 si couverture recto seul_x000a_Indiquez 4 si couverture recto verso" sqref="B5" xr:uid="{00000000-0002-0000-0700-00000D000000}">
      <formula1>"0,2,4"</formula1>
    </dataValidation>
    <dataValidation type="list" allowBlank="1" showInputMessage="1" showErrorMessage="1" sqref="B11" xr:uid="{00000000-0002-0000-0700-00000E000000}">
      <formula1>"Noir, Quadrichromie"</formula1>
    </dataValidation>
    <dataValidation type="list" allowBlank="1" showInputMessage="1" showErrorMessage="1" sqref="A7" xr:uid="{00000000-0002-0000-0700-00000F000000}">
      <formula1>"Autre,Couché Mat,Couché Satin,Brillant,Offset,Recyclé,Bouffant Munken Blanc,Bouffant Munken Crème"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tabColor theme="9" tint="0.59999389629810485"/>
  </sheetPr>
  <dimension ref="A1:S68"/>
  <sheetViews>
    <sheetView topLeftCell="Q4" zoomScale="85" zoomScaleNormal="85" workbookViewId="0">
      <selection activeCell="A4" sqref="A1:P1048576"/>
    </sheetView>
  </sheetViews>
  <sheetFormatPr baseColWidth="10" defaultRowHeight="15"/>
  <cols>
    <col min="1" max="1" width="33" hidden="1" customWidth="1"/>
    <col min="2" max="2" width="31.140625" hidden="1" customWidth="1"/>
    <col min="3" max="3" width="36.140625" hidden="1" customWidth="1"/>
    <col min="4" max="4" width="32.42578125" hidden="1" customWidth="1"/>
    <col min="5" max="5" width="31.5703125" hidden="1" customWidth="1"/>
    <col min="6" max="6" width="36.28515625" hidden="1" customWidth="1"/>
    <col min="7" max="7" width="17.42578125" hidden="1" customWidth="1"/>
    <col min="8" max="8" width="30.85546875" hidden="1" customWidth="1"/>
    <col min="9" max="9" width="41" hidden="1" customWidth="1"/>
    <col min="10" max="10" width="35.140625" hidden="1" customWidth="1"/>
    <col min="11" max="11" width="22.140625" hidden="1" customWidth="1"/>
    <col min="12" max="12" width="31.5703125" hidden="1" customWidth="1"/>
    <col min="13" max="13" width="20.85546875" hidden="1" customWidth="1"/>
    <col min="14" max="14" width="29.85546875" hidden="1" customWidth="1"/>
    <col min="15" max="15" width="13.85546875" hidden="1" customWidth="1"/>
    <col min="16" max="16" width="23.140625" hidden="1" customWidth="1"/>
    <col min="17" max="17" width="26.42578125" customWidth="1"/>
  </cols>
  <sheetData>
    <row r="1" spans="1:11" ht="25.5" customHeight="1">
      <c r="A1" s="204" t="s">
        <v>222</v>
      </c>
      <c r="B1" s="207" t="s">
        <v>223</v>
      </c>
      <c r="C1" s="306" t="s">
        <v>169</v>
      </c>
      <c r="D1" s="309" t="s">
        <v>451</v>
      </c>
      <c r="E1" s="311" t="s">
        <v>666</v>
      </c>
      <c r="H1" s="121"/>
      <c r="I1" s="121"/>
    </row>
    <row r="2" spans="1:11" ht="15.75" customHeight="1">
      <c r="A2" s="205">
        <f>IFERROR(IF($E$13="64x90",N68,IF($E$13="65x92",M68,O68)),0)</f>
        <v>1800</v>
      </c>
      <c r="B2" s="208">
        <f>IF('Tableau OFFSET'!B5=0,0,IF($F$13="64x90",Q54,IF($F$13="65x92",Q53,Q55)))</f>
        <v>200</v>
      </c>
      <c r="C2" s="266" t="s">
        <v>440</v>
      </c>
      <c r="D2" s="211">
        <f t="shared" ref="D2:D7" si="0">IFERROR(IF($E$13="64x90",N59,IF($E$13="65x92",M59,O59)),0)</f>
        <v>0</v>
      </c>
      <c r="E2" s="312"/>
      <c r="H2" s="121"/>
      <c r="I2" s="121"/>
    </row>
    <row r="3" spans="1:11" ht="15.75" customHeight="1">
      <c r="A3" s="205"/>
      <c r="B3" s="208"/>
      <c r="C3" s="266" t="s">
        <v>959</v>
      </c>
      <c r="D3" s="211">
        <f>IFERROR(
  IF('Tableau OFFSET'!A13="Piqûre",0,
    IF($E$13="64x90",N60,IF($E$13="65x92",M60,O60))
  ),
0)</f>
        <v>0</v>
      </c>
      <c r="E3" s="312"/>
      <c r="H3" s="121"/>
      <c r="I3" s="121"/>
    </row>
    <row r="4" spans="1:11" ht="16.5" customHeight="1">
      <c r="A4" s="209" t="s">
        <v>438</v>
      </c>
      <c r="B4" s="214" t="s">
        <v>439</v>
      </c>
      <c r="C4" s="266" t="s">
        <v>441</v>
      </c>
      <c r="D4" s="211">
        <f>IFERROR(IF($E$13="64x90",N61,IF($E$13="65x92",M61,O61)),0)</f>
        <v>2</v>
      </c>
      <c r="E4" s="313" t="str">
        <f>IFERROR(
  IF(
    AND(
      $D$4&gt;0,
      IF($E$13="64x90",N57,IF($E$13="65x92",M57,O57))=2*16
    ),
    "OUI",
    "NON"
  ),
  ""
)</f>
        <v>NON</v>
      </c>
      <c r="G4" s="637"/>
      <c r="H4" s="122"/>
      <c r="I4" s="122"/>
    </row>
    <row r="5" spans="1:11" ht="15" customHeight="1">
      <c r="A5" s="210">
        <f>IFERROR(
  IF(
    SUM(D2:D7)=0,
    500,
    500*(
      SUM(
        IF(OR(E2="NON",E2=""),D2,0),
        IF(OR(E3="NON",E3=""),D3,0),
        IF(OR(E4="NON",E4=""),D4,0),
        IF(OR(E5="NON",E5=""),D5,0),
        IF(OR(E6="NON",E6=""),D6,0),
        IF(OR(E7="NON",E7=""),D7,0)
      )
      +
      0.65*SUM(
        IF(E2="OUI",D2,0),
        IF(E3="OUI",D3,0),
        IF(E4="OUI",D4,0),
        IF(E5="OUI",D5,0),
        IF(E6="OUI",D6,0),
        IF(E7="OUI",D7,0)
      )
    )
  ),
  0
)</f>
        <v>1500</v>
      </c>
      <c r="B5" s="302">
        <f>IF('Tableau OFFSET'!B5=2,200,
IF('Tableau OFFSET'!B5=4,300,
0))</f>
        <v>300</v>
      </c>
      <c r="C5" s="266" t="s">
        <v>442</v>
      </c>
      <c r="D5" s="211">
        <f t="shared" si="0"/>
        <v>0</v>
      </c>
      <c r="E5" s="313" t="str">
        <f>IFERROR(
  IF(
    AND(
      $D$5&gt;0,
      IF($E$13="64x90",N57,IF($E$13="65x92",M57,O57))=2*12
    ),
    "OUI",
    "NON"
  ),
  ""
)</f>
        <v>NON</v>
      </c>
      <c r="H5" s="121"/>
      <c r="I5" s="121"/>
      <c r="J5" s="630"/>
    </row>
    <row r="6" spans="1:11" ht="33.75" customHeight="1">
      <c r="C6" s="266" t="s">
        <v>443</v>
      </c>
      <c r="D6" s="211">
        <f t="shared" si="0"/>
        <v>0</v>
      </c>
      <c r="E6" s="313" t="str">
        <f>IFERROR(
  IF(
    AND(
      $D$6&gt;0,
      IF($E$13="64x90",N57,IF($E$13="65x92",M57,O57))=2*8
    ),
    "OUI",
    "NON"
  ),
  ""
)</f>
        <v>NON</v>
      </c>
      <c r="H6" s="122"/>
      <c r="I6" s="122"/>
      <c r="J6" s="161"/>
    </row>
    <row r="7" spans="1:11" ht="24.95" customHeight="1" thickBot="1">
      <c r="A7" s="800" t="s">
        <v>225</v>
      </c>
      <c r="B7" s="801"/>
      <c r="C7" s="266" t="s">
        <v>444</v>
      </c>
      <c r="D7" s="211">
        <f t="shared" si="0"/>
        <v>1</v>
      </c>
      <c r="E7" s="317" t="str">
        <f>IFERROR(
  IF(
    AND(
      $D$7&gt;0,
      IF($E$13="64x90",N57,IF($E$13="65x92",M57,O57))=2*4
    ),
    "OUI",
    "NON"
  ),
  ""
)</f>
        <v>NON</v>
      </c>
      <c r="H7" s="121"/>
      <c r="I7" s="121"/>
      <c r="J7" s="630"/>
      <c r="K7" s="121"/>
    </row>
    <row r="8" spans="1:11" ht="15.75">
      <c r="A8" s="206" t="s">
        <v>109</v>
      </c>
      <c r="B8" s="303" t="s">
        <v>110</v>
      </c>
      <c r="C8" s="307" t="s">
        <v>455</v>
      </c>
      <c r="D8" s="219">
        <f>IFERROR(SUM(D2:D7), 0)</f>
        <v>3</v>
      </c>
      <c r="E8" s="310" t="str">
        <f>IFERROR(
IF($D$2&gt;0,$D$2&amp;"×"&amp;LEFT($C$2,FIND(" ",$C$2)-1),"") &amp;
IF(AND($D$2&gt;0,$D$3&gt;0)," + ","") &amp; IF($D$3&gt;0,$D$3&amp;"×"&amp;LEFT($C$3,FIND(" ",$C$3)-1),"") &amp;
IF(AND(OR($D$2&gt;0,$D$3&gt;0),$D$4&gt;0)," + ","") &amp; IF($D$4&gt;0,$D$4&amp;"×"&amp;LEFT($C$4,FIND(" ",$C$4)-1),"") &amp;
IF(AND(OR($D$2&gt;0,$D$3&gt;0,$D$4&gt;0),$D$5&gt;0)," + ","") &amp; IF($D$5&gt;0,$D$5&amp;"×"&amp;LEFT($C$5,FIND(" ",$C$5)-1),"") &amp;
IF(AND(OR($D$2&gt;0,$D$3&gt;0,$D$4&gt;0,$D$5&gt;0),$D$6&gt;0)," + ","") &amp; IF($D$6&gt;0,$D$6&amp;"×"&amp;LEFT($C$6,FIND(" ",$C$6)-1),"") &amp;
IF(AND(OR($D$2&gt;0,$D$3&gt;0,$D$4&gt;0,$D$5&gt;0,$D$6&gt;0),$D$7&gt;0)," + ","") &amp; IF($D$7&gt;0,$D$7&amp;"×"&amp;LEFT($C$7,FIND(" ",$C$7)-1),""),"")</f>
        <v>2×16 + 1×4</v>
      </c>
      <c r="H8" s="122"/>
      <c r="I8" s="122"/>
      <c r="J8" s="161"/>
      <c r="K8" s="161"/>
    </row>
    <row r="9" spans="1:11" ht="15.75">
      <c r="A9" s="205">
        <f>IFERROR(
  (A2+A5)/1000 *
  IF($E$13="64x90",
     VLOOKUP('Tableau OFFSET'!A8,'Tableau papier'!A4:F21,3,FALSE),
     IF($E$13="65x92",
        VLOOKUP('Tableau OFFSET'!A8,'Tableau papier'!A4:F21,4,FALSE),
        IF($E$13="70x102",
           VLOOKUP('Tableau OFFSET'!A8,'Tableau papier'!A4:F21,5,FALSE),
           VLOOKUP('Tableau OFFSET'!A8,'Tableau papier'!A4:F21,6,FALSE)
        )
     )
  ),
  0
)</f>
        <v>256.608</v>
      </c>
      <c r="B9" s="304">
        <f>IFERROR(
  (B2+B5)/1000 *
  IF($F$13="64x90",
     VLOOKUP('Tableau OFFSET'!B8,'Tableau papier'!A4:F21,3,FALSE),
     IF($F$13="65x92",
        VLOOKUP('Tableau OFFSET'!B8,'Tableau papier'!A4:F21,4,FALSE),
        IF($F$13="70x102",
           VLOOKUP('Tableau OFFSET'!B8,'Tableau papier'!A4:F21,5,FALSE),
           VLOOKUP('Tableau OFFSET'!B8,'Tableau papier'!A4:F21,6,FALSE)
        )
     )
  ),
  0
)</f>
        <v>86.4</v>
      </c>
      <c r="C9" s="308"/>
      <c r="E9" s="510"/>
      <c r="H9" s="122"/>
      <c r="I9" s="122"/>
      <c r="J9" s="631"/>
      <c r="K9" s="631"/>
    </row>
    <row r="10" spans="1:11" ht="30" customHeight="1" thickBot="1">
      <c r="A10" s="206" t="s">
        <v>445</v>
      </c>
      <c r="B10" s="305" t="s">
        <v>465</v>
      </c>
      <c r="C10" s="555" t="s">
        <v>485</v>
      </c>
      <c r="D10" s="556">
        <f>IFERROR(
  INT(92/LEFT('Tableau OFFSET'!C3,SEARCH("x",'Tableau OFFSET'!C3)-1)*1) *
  INT(65/RIGHT('Tableau OFFSET'!C3,LEN('Tableau OFFSET'!C3)-SEARCH("x",'Tableau OFFSET'!C3))*1),
  0
)</f>
        <v>4</v>
      </c>
      <c r="E10" s="557"/>
      <c r="H10" s="121"/>
      <c r="I10" s="121"/>
      <c r="J10" s="632"/>
      <c r="K10" s="632"/>
    </row>
    <row r="11" spans="1:11" ht="21.75" thickBot="1">
      <c r="A11" s="215">
        <f>IFERROR(IF('Tableau OFFSET'!A7="Autre", 'Tableau OFFSET'!C7 * A9, A9 * C13), 0)</f>
        <v>256.608</v>
      </c>
      <c r="B11" s="554">
        <f>IFERROR(IF('Tableau OFFSET'!B7="Autre", 'Tableau OFFSET'!D7 * B9, D13 * B9), "")</f>
        <v>86.4</v>
      </c>
      <c r="C11" s="794" t="s">
        <v>971</v>
      </c>
      <c r="D11" s="795"/>
      <c r="E11" s="795"/>
      <c r="F11" s="796"/>
      <c r="H11" s="807" t="s">
        <v>467</v>
      </c>
      <c r="I11" s="808"/>
    </row>
    <row r="12" spans="1:11" ht="15.75">
      <c r="A12" s="231" t="s">
        <v>468</v>
      </c>
      <c r="C12" s="548" t="s">
        <v>13</v>
      </c>
      <c r="D12" s="549" t="s">
        <v>14</v>
      </c>
      <c r="E12" s="549" t="s">
        <v>965</v>
      </c>
      <c r="F12" s="550" t="s">
        <v>966</v>
      </c>
      <c r="H12" s="224" t="s">
        <v>184</v>
      </c>
      <c r="I12" s="224" t="s">
        <v>76</v>
      </c>
      <c r="J12" s="227" t="s">
        <v>464</v>
      </c>
    </row>
    <row r="13" spans="1:11" ht="16.5" thickBot="1">
      <c r="A13" s="232">
        <f>IF(ISNUMBER(J13),J13,0) + IF(ISNUMBER(J14),J14,0)</f>
        <v>377.30880000000002</v>
      </c>
      <c r="C13" s="563">
        <f>IFERROR(
  IF('Tableau OFFSET'!A7="Couché Mat",
    INDEX('Tableau papier'!$G$4:$G$21, MATCH('Tableau OFFSET'!A8, 'Tableau papier'!$A$4:$A$21, 0)),
  IF('Tableau OFFSET'!A7="Couché Satin",
    INDEX('Tableau papier'!$H$4:$H$21, MATCH('Tableau OFFSET'!A8, 'Tableau papier'!$A$4:$A$21, 0)),
  IF('Tableau OFFSET'!A7="Brillant",
    INDEX('Tableau papier'!$I$4:$I$21, MATCH('Tableau OFFSET'!A8, 'Tableau papier'!$A$4:$A$21, 0)),
  IF('Tableau OFFSET'!A7="Recyclé",
    INDEX('Tableau papier'!$J$4:$J$21, MATCH('Tableau OFFSET'!A8, 'Tableau papier'!$A$4:$A$21, 0)),
  IF('Tableau OFFSET'!A7="Offset",
    INDEX('Tableau papier'!$K$4:$K$21, MATCH('Tableau OFFSET'!A8, 'Tableau papier'!$A$4:$A$21, 0)),
  IF('Tableau OFFSET'!A7="Bouffant Munken Blanc",
    INDEX('Tableau papier'!$M$4:$M$21, MATCH('Tableau OFFSET'!A8, 'Tableau papier'!$A$4:$A$21, 0)),
  IF('Tableau OFFSET'!A7="Bouffant Munken Crème",
    INDEX('Tableau papier'!$N$4:$N$21, MATCH('Tableau OFFSET'!A8, 'Tableau papier'!$A$4:$A$21, 0)),
  IF('Tableau OFFSET'!A7="Bouffant Blanc",
    INDEX('Tableau papier'!$O$4:$O$21, MATCH('Tableau OFFSET'!A8, 'Tableau papier'!$A$4:$A$21, 0)),
  "Type de papier non valide")))))))),
"Grammage non trouvé")</f>
        <v>1</v>
      </c>
      <c r="D13" s="551">
        <f>IFERROR(
  IF('Tableau OFFSET'!B7="Couché Mat",
    INDEX('Tableau papier'!$G$4:$G$21, MATCH('Tableau OFFSET'!B8,'Tableau papier'!$A$4:$A$21,0)),
  IF('Tableau OFFSET'!B7="Couché Satin",
    INDEX('Tableau papier'!$H$4:$H$21, MATCH('Tableau OFFSET'!B8,'Tableau papier'!$A$4:$A$21,0)),
  IF('Tableau OFFSET'!B7="Brillant",
    INDEX('Tableau papier'!$I$4:$I$21, MATCH('Tableau OFFSET'!B8,'Tableau papier'!$A$4:$A$21,0)),
  IF('Tableau OFFSET'!B7="Recyclé",
    INDEX('Tableau papier'!$J$4:$J$21, MATCH('Tableau OFFSET'!B8,'Tableau papier'!$A$4:$A$21,0)),
  IF('Tableau OFFSET'!B7="Offset",
    INDEX('Tableau papier'!$K$4:$K$21, MATCH('Tableau OFFSET'!B8,'Tableau papier'!$A$4:$A$21,0)),
  IF('Tableau OFFSET'!B7="Carte 1 face",
    INDEX('Tableau papier'!$L$4:$L$21, MATCH('Tableau OFFSET'!B8,'Tableau papier'!$A$4:$A$21,0)),
  "Type de papier non valide")))))),
"Grammage non trouvé")</f>
        <v>1</v>
      </c>
      <c r="E13" s="552" t="str">
        <f>IF(
  N68=MIN(M68,N68,O68),
  "64x90",
  IF(
    M68=MIN(M68,N68,O68),
    "65x92",
    "72x102"
  )
)</f>
        <v>64x90</v>
      </c>
      <c r="F13" s="553" t="str">
        <f>IF(
  'Tableau OFFSET'!B5=0,
  "",
  IF(
    Q54&lt;=Q53,
    IF(Q54&lt;=Q55,"64x90","72x102"),
    IF(Q53&lt;=Q55,"65x92","72x102")
  )
)</f>
        <v>64x90</v>
      </c>
      <c r="H13" s="225" t="s">
        <v>456</v>
      </c>
      <c r="I13" s="223">
        <f>A11</f>
        <v>256.608</v>
      </c>
      <c r="J13" s="226">
        <f>(I13*K13)+I13</f>
        <v>282.2688</v>
      </c>
      <c r="K13" s="228">
        <v>0.1</v>
      </c>
    </row>
    <row r="14" spans="1:11" ht="30">
      <c r="B14" s="565" t="s">
        <v>977</v>
      </c>
      <c r="C14" s="564" t="s">
        <v>976</v>
      </c>
      <c r="H14" s="225" t="s">
        <v>457</v>
      </c>
      <c r="I14" s="223">
        <f>B11</f>
        <v>86.4</v>
      </c>
      <c r="J14" s="447">
        <f>IFERROR((I14*K14)+I14, "")</f>
        <v>95.04</v>
      </c>
      <c r="K14" s="228">
        <v>0.1</v>
      </c>
    </row>
    <row r="15" spans="1:11" ht="19.5" thickBot="1">
      <c r="A15" s="797" t="s">
        <v>447</v>
      </c>
      <c r="B15" s="798"/>
      <c r="C15" s="799"/>
      <c r="F15" s="122"/>
      <c r="H15" s="225" t="s">
        <v>458</v>
      </c>
      <c r="I15" s="223">
        <f>B17*I55</f>
        <v>84</v>
      </c>
      <c r="J15" s="226">
        <f>D49</f>
        <v>198</v>
      </c>
    </row>
    <row r="16" spans="1:11" ht="15.75">
      <c r="A16" s="218" t="s">
        <v>450</v>
      </c>
      <c r="B16" s="218" t="s">
        <v>451</v>
      </c>
      <c r="C16" s="218" t="s">
        <v>76</v>
      </c>
      <c r="D16" s="218" t="s">
        <v>684</v>
      </c>
      <c r="F16" s="558" t="s">
        <v>972</v>
      </c>
      <c r="H16" s="225" t="s">
        <v>459</v>
      </c>
      <c r="I16" s="223">
        <f>B18*I55</f>
        <v>14</v>
      </c>
      <c r="J16" s="226">
        <f>D50</f>
        <v>44</v>
      </c>
    </row>
    <row r="17" spans="1:15">
      <c r="A17" s="1" t="s">
        <v>448</v>
      </c>
      <c r="B17" s="1">
        <f>IFERROR(
  (
    (IF('Tableau OFFSET'!A11="Quadrichromie",8,
     IF('Tableau OFFSET'!A11="Quadrichromie + Vernis Machine",8,
     IF('Tableau OFFSET'!A11="Bichromie",4,
     IF('Tableau OFFSET'!A11="Noir",2,0)))) * D8)
    - IF(E4="OUI", IF('Tableau OFFSET'!A11="Quadrichromie",4,
                     IF('Tableau OFFSET'!A11="Quadrichromie + Vernis Machine",4,
                     IF('Tableau OFFSET'!A11="Bichromie",2,1))) * D4, 0)
    - IF(E6="OUI", IF('Tableau OFFSET'!A11="Quadrichromie",4,
                     IF('Tableau OFFSET'!A11="Quadrichromie + Vernis Machine",4,
                     IF('Tableau OFFSET'!A11="Bichromie",2,1))) * D6, 0)
    - IF(E7="OUI", IF('Tableau OFFSET'!A11="Quadrichromie",4,
                     IF('Tableau OFFSET'!A11="Quadrichromie + Vernis Machine",4,
                     IF('Tableau OFFSET'!A11="Bichromie",2,1))) * D7, 0)
    + IF('Tableau OFFSET'!A11="Quadrichromie + Vernis Machine",1,0)
  ),
  0
)</f>
        <v>24</v>
      </c>
      <c r="C17" s="48">
        <f>IFERROR(B17 * I56, 0)</f>
        <v>264</v>
      </c>
      <c r="D17" s="316">
        <f>12.5+(H6*0.11)</f>
        <v>12.5</v>
      </c>
      <c r="F17" s="561">
        <f>IFERROR( (J25+K25+L25+N25) / (I25+J25+K25+L25), 0 )</f>
        <v>0.59951359325423814</v>
      </c>
      <c r="H17" s="225" t="s">
        <v>460</v>
      </c>
      <c r="I17" s="222"/>
      <c r="J17" s="188"/>
    </row>
    <row r="18" spans="1:15" ht="15.75">
      <c r="A18" s="1" t="s">
        <v>449</v>
      </c>
      <c r="B18" s="1">
        <f>IF('Tableau OFFSET'!B5=0, 0,
  MAX(
    IF('Tableau OFFSET'!B11="Quadrichromie + Vernis Machine", 5,
      IF('Tableau OFFSET'!B11="Quadrichromie", 4, 0)
    ),
    IF(D10&gt;=2,
      ROUNDUP(
        (
          IF('Tableau OFFSET'!B11="Quadrichromie",4,
           IF('Tableau OFFSET'!B11="Quadrichromie + Vernis Machine",4,
           IF('Tableau OFFSET'!B11="Bichromie",2,1)))
          * IF('Tableau OFFSET'!B5=4, 2, 1)
          * IF(AND('Tableau OFFSET'!B13="Rien", 'Tableau OFFSET'!B5=4), 0.5, 1)
          + IF('Tableau OFFSET'!B11="Quadrichromie + Vernis Machine",1, 0)
        ) / 2, 0),
      (
        IF('Tableau OFFSET'!B11="Quadrichromie",4,
         IF('Tableau OFFSET'!B11="Quadrichromie + Vernis Machine",4,
         IF('Tableau OFFSET'!B11="Bichromie",2,1)))
        * IF('Tableau OFFSET'!B5=4, 2, 1)
        * IF(AND('Tableau OFFSET'!B13="Rien", 'Tableau OFFSET'!B5=4), 0.5, 1)
        + IF('Tableau OFFSET'!B11="Quadrichromie + Vernis Machine",1, 0)
      )
    )
  )
)</f>
        <v>4</v>
      </c>
      <c r="C18" s="48">
        <f>B18*I56</f>
        <v>44</v>
      </c>
      <c r="D18" s="48">
        <f>IF(C18=0,0,12.5)</f>
        <v>12.5</v>
      </c>
      <c r="F18" s="559" t="s">
        <v>973</v>
      </c>
      <c r="J18" s="188"/>
    </row>
    <row r="19" spans="1:15" ht="15.75" thickBot="1">
      <c r="A19" s="1" t="s">
        <v>446</v>
      </c>
      <c r="B19" s="1">
        <f>B17+B18</f>
        <v>28</v>
      </c>
      <c r="C19" s="48">
        <f>IFERROR(B19 * 'Réglages Presses'!D18, 0)</f>
        <v>168</v>
      </c>
      <c r="D19" s="221"/>
      <c r="F19" s="560">
        <f>IFERROR( (J25+K25+L25) / I25, 0 )</f>
        <v>1.4969636500916834</v>
      </c>
      <c r="H19" s="225" t="s">
        <v>469</v>
      </c>
      <c r="I19" s="222"/>
      <c r="J19" s="188"/>
    </row>
    <row r="20" spans="1:15" ht="15" customHeight="1">
      <c r="A20" s="1" t="s">
        <v>452</v>
      </c>
      <c r="B20" s="1">
        <f>IFERROR(((A2 + A5)*2 + (B2 + B5)*IF('Tableau OFFSET'!B5=4,2,1)) / 1000, 0)</f>
        <v>7.6</v>
      </c>
      <c r="C20" s="48">
        <f>IFERROR(
  B20 * IF('Tableau OFFSET'!A11="Quadrichromie + Vernis Machine", I63, I59),
  0
)</f>
        <v>114</v>
      </c>
      <c r="D20" s="220"/>
      <c r="F20" s="559" t="s">
        <v>975</v>
      </c>
      <c r="H20" s="225" t="s">
        <v>462</v>
      </c>
      <c r="I20" s="222"/>
      <c r="J20" s="188"/>
    </row>
    <row r="21" spans="1:15" ht="15.75" customHeight="1" thickBot="1">
      <c r="B21" s="229" t="s">
        <v>453</v>
      </c>
      <c r="C21" s="803">
        <f>IFERROR(SUM(C17:C20) + IFERROR(D17,0) + IFERROR(D18,0), 0)</f>
        <v>615</v>
      </c>
      <c r="D21" s="804"/>
      <c r="F21" s="562"/>
      <c r="H21" s="225" t="s">
        <v>463</v>
      </c>
      <c r="I21" s="222">
        <f>(B31*0.3)+(B32*4)</f>
        <v>4</v>
      </c>
    </row>
    <row r="22" spans="1:15" ht="15" customHeight="1"/>
    <row r="23" spans="1:15" ht="18.75">
      <c r="A23" s="802" t="s">
        <v>1</v>
      </c>
      <c r="B23" s="802"/>
      <c r="C23" s="802"/>
      <c r="H23" s="225" t="s">
        <v>461</v>
      </c>
      <c r="I23" s="222">
        <f>'Tableau OFFSET'!F26</f>
        <v>44</v>
      </c>
    </row>
    <row r="24" spans="1:15" ht="15" customHeight="1">
      <c r="A24" s="218" t="s">
        <v>450</v>
      </c>
      <c r="B24" s="218"/>
      <c r="C24" s="218" t="s">
        <v>76</v>
      </c>
      <c r="D24" s="299" t="s">
        <v>750</v>
      </c>
      <c r="E24" s="318" t="s">
        <v>699</v>
      </c>
      <c r="J24" s="519" t="s">
        <v>961</v>
      </c>
      <c r="K24" s="519" t="s">
        <v>1</v>
      </c>
      <c r="L24" s="519" t="s">
        <v>962</v>
      </c>
      <c r="M24" s="519" t="s">
        <v>646</v>
      </c>
      <c r="N24" s="519" t="s">
        <v>974</v>
      </c>
      <c r="O24" s="519" t="s">
        <v>963</v>
      </c>
    </row>
    <row r="25" spans="1:15" ht="30" customHeight="1">
      <c r="A25" s="319" t="str">
        <f>'Tableau OFFSET'!A13</f>
        <v>Piqûre</v>
      </c>
      <c r="B25" s="319"/>
      <c r="C25" s="421">
        <f>IF(A25="Piqûre",
  IF(AND(C26&gt;0,C27&gt;0),
    MIN(C26,C27),
    MAX(C26,C27)
  ),
  IF(A25="Dos carré collé",
    (VLOOKUP(D8,'Tableau Façonnage OFFSET'!A4:C32,2,TRUE)+VLOOKUP(D8,'Tableau Façonnage OFFSET'!A4:C32,3,TRUE)*'Tableau OFFSET'!A3/1000)*
    (1+IF(OR('Tableau OFFSET'!D3&gt;3,'Tableau OFFSET'!D3&lt;0.3),20%,0)+IF('Tableau OFFSET'!C5&gt;0,10%,0)),
  IF(A25="Dos carré collé PUR",
    (VLOOKUP(D8,'Tableau Façonnage OFFSET'!I4:K31,2,TRUE)+VLOOKUP(D8,'Tableau Façonnage OFFSET'!I4:K31,3,TRUE)*'Tableau OFFSET'!A3/1000)*
    (1+IF(OR('Tableau OFFSET'!D3&gt;3,'Tableau OFFSET'!D3&lt;0.3),20%,0)+IF('Tableau OFFSET'!A8&gt;170,15%,0)+IF(AND('Tableau OFFSET'!A7="Couché Mat",'Tableau OFFSET'!A8&gt;115),10%,0)+IF(AND('Tableau OFFSET'!A7="Couché Satin",'Tableau OFFSET'!A8&gt;115),5%,0)+IF('Tableau OFFSET'!A8&lt;70,20%,0)+IF('Tableau OFFSET'!C5&gt;0,10%,0)),
  IF(A25="Dos carré collé avec couture",
    (VLOOKUP(D8,'Tableau Façonnage OFFSET'!E4:G23,2,TRUE)+VLOOKUP(D8,'Tableau Façonnage OFFSET'!E4:G23,3,TRUE)*'Tableau OFFSET'!A3/1000)*
    (1+IF(OR('Tableau OFFSET'!D3&gt;3,'Tableau OFFSET'!D3&lt;0.3),20%,0)+IF('Tableau OFFSET'!A8&lt;70,20%,0)+IF(AND('Tableau OFFSET'!A7="Couché Mat",'Tableau OFFSET'!A8&gt;115),15%,0)+IF(AND('Tableau OFFSET'!A7="Couché Satin",'Tableau OFFSET'!A8&gt;115),5%,0)+IF('Tableau OFFSET'!C5&gt;0,10%,0)),
  ""
  ))))</f>
        <v>118.4</v>
      </c>
      <c r="D25" s="320">
        <f>IF(A25="Dos carré collé",
  (VLOOKUP(D8,'Tableau Façonnage OFFSET'!A4:C32,2,TRUE) +
   VLOOKUP(D8,'Tableau Façonnage OFFSET'!A4:C32,3,TRUE)*'Tableau OFFSET'!A3/1000) *
   IF(OR('Tableau OFFSET'!D3&gt;3,'Tableau OFFSET'!D3&lt;0.3),20%,0),
IF(A25="Dos carré collé PUR",
  (VLOOKUP(D8,'Tableau Façonnage OFFSET'!I4:K31,2,TRUE) +
   VLOOKUP(D8,'Tableau Façonnage OFFSET'!I4:K31,3,TRUE)*'Tableau OFFSET'!A3/1000) *
   (
     IF(OR('Tableau OFFSET'!D3&gt;3,'Tableau OFFSET'!D3&lt;0.3),20%,0) +
     IF('Tableau OFFSET'!A8&gt;170,15%,0) +
     IF(AND('Tableau OFFSET'!A7="Couché Mat",'Tableau OFFSET'!A8&gt;115),10%,0) +
     IF(AND('Tableau OFFSET'!A7="Couché Satin",'Tableau OFFSET'!A8&gt;115),5%,0) +
     IF('Tableau OFFSET'!A8&lt;70,20%,0)
   ),
IF(A25="Dos carré collé avec couture",
  (VLOOKUP(D8,'Tableau Façonnage OFFSET'!E4:G23,2,TRUE) +
   VLOOKUP(D8,'Tableau Façonnage OFFSET'!E4:G23,3,TRUE)*'Tableau OFFSET'!A3/1000) *
   (
     IF(OR('Tableau OFFSET'!D3&gt;3,'Tableau OFFSET'!D3&lt;0.3),20%,0) +
     IF('Tableau OFFSET'!A8&lt;70,20%,0) +
     IF(AND('Tableau OFFSET'!A7="Couché Mat",'Tableau OFFSET'!A8&gt;115),15%,0) +
     IF(AND('Tableau OFFSET'!A7="Couché Satin",'Tableau OFFSET'!A8&gt;115),5%,0)
   ),
0)))</f>
        <v>0</v>
      </c>
      <c r="E25" s="366" t="str">
        <f>IF(A25="","",IF(A25="Dos carré collé",
IF(OR('Tableau OFFSET'!D3&gt;3,'Tableau OFFSET'!D3&lt;0.3),"+20 % (Dos extrême)",""),
IF(A25="Dos carré collé PUR",
IF(1,
IF(OR('Tableau OFFSET'!D3&gt;3,'Tableau OFFSET'!D3&lt;0.3),"+20 % (Dos extrême) ","")&amp;
IF('Tableau OFFSET'!A8&gt;170,"+15 % (&gt;170g) ","")&amp;
IF(AND('Tableau OFFSET'!A7="Couché Mat",'Tableau OFFSET'!A8&gt;115),"+10 % (C. Mat &gt;115g) ","")&amp;
IF(AND('Tableau OFFSET'!A7="Couché Satin",'Tableau OFFSET'!A8&gt;115),"+5 % (C. Satin &gt;115g) ","")&amp;
IF('Tableau OFFSET'!A8&lt;70,"+20 % (&lt;70g) ","")
),
IF(A25="Dos carré collé avec couture",
IF(1,
IF(OR('Tableau OFFSET'!D3&gt;3,'Tableau OFFSET'!D3&lt;0.3),"+20 % (Dos extrême) ","")&amp;
IF('Tableau OFFSET'!A8&lt;70,"+20 % (&lt;70g) ","")&amp;
IF(AND('Tableau OFFSET'!A7="Couché Mat",'Tableau OFFSET'!A8&gt;115),"+15 % (C. Mat &gt;115g) ","")&amp;
IF(AND('Tableau OFFSET'!A7="Couché Satin",'Tableau OFFSET'!A8&gt;115),"+5 % (C. Satin &gt;115g) ","")
),
""))))</f>
        <v/>
      </c>
      <c r="H25" s="225" t="s">
        <v>466</v>
      </c>
      <c r="I25" s="230">
        <f>SUM(I13:I21)</f>
        <v>445.00800000000004</v>
      </c>
      <c r="J25" s="517">
        <f>SUM(J13:J16)-SUM(I13:I16)</f>
        <v>178.30079999999998</v>
      </c>
      <c r="K25" s="517">
        <f>SUM(D41+D42)</f>
        <v>221.56</v>
      </c>
      <c r="L25" s="518">
        <f>D51+D52+D53</f>
        <v>266.29999999999995</v>
      </c>
      <c r="M25" s="517">
        <f>I23</f>
        <v>44</v>
      </c>
      <c r="N25" s="517">
        <f>F21</f>
        <v>0</v>
      </c>
      <c r="O25" s="517">
        <f>SUM(J25:M25)</f>
        <v>710.16079999999988</v>
      </c>
    </row>
    <row r="26" spans="1:15" ht="30" customHeight="1">
      <c r="A26" s="415" t="s">
        <v>709</v>
      </c>
      <c r="B26" s="415"/>
      <c r="C26" s="416">
        <f>IF(A25="Piqûre",
  VLOOKUP(D8+IF('Tableau OFFSET'!B5&gt;0,1,0), 'Tableau Façonnage OFFSET'!R30:W40, 2, TRUE) +
  INT('Tableau OFFSET'!A3/1000) *
    IF('Tableau OFFSET'!A3&gt;40000,
      VLOOKUP(D8+IF('Tableau OFFSET'!B5&gt;0,1,0), 'Tableau Façonnage OFFSET'!R30:W40, 6, TRUE),
    IF('Tableau OFFSET'!A3&gt;20000,
      VLOOKUP(D8+IF('Tableau OFFSET'!B5&gt;0,1,0), 'Tableau Façonnage OFFSET'!R30:W40, 5, TRUE),
    IF('Tableau OFFSET'!A3&gt;6000,
      VLOOKUP(D8+IF('Tableau OFFSET'!B5&gt;0,1,0), 'Tableau Façonnage OFFSET'!R30:W40, 4, TRUE),
      VLOOKUP(D8+IF('Tableau OFFSET'!B5&gt;0,1,0), 'Tableau Façonnage OFFSET'!R30:W40, 3, TRUE)
    ))) +
  INT('Tableau OFFSET'!A3/1000) *
    IF('Tableau OFFSET'!C5=1,'Tableau Façonnage OFFSET'!N27,
    IF('Tableau OFFSET'!C5=2,'Tableau Façonnage OFFSET'!N28,0)) +
  IF(OR('Tableau OFFSET'!B5=2,'Tableau OFFSET'!B5=4),
    'Tableau Façonnage OFFSET'!S42 + ('Tableau OFFSET'!A3/1000)*'Tableau Façonnage OFFSET'!S43,
    0
  ) +
  INDEX('Tableau Façonnage OFFSET'!$P$17:$P$23, MIN(7, D8+IF('Tableau OFFSET'!B5&gt;0,1,0))),
0)</f>
        <v>118.4</v>
      </c>
      <c r="D26" s="417">
        <f>IF(A25="Piqûre",
  INT('Tableau OFFSET'!A3/1000) *
    IF('Tableau OFFSET'!C5=1,'Tableau Façonnage OFFSET'!N27,
    IF('Tableau OFFSET'!C5=2,'Tableau Façonnage OFFSET'!N28,0)),
0)</f>
        <v>0</v>
      </c>
      <c r="E26" s="418" t="str">
        <f>IF(A25="Piqûre",
  IF('Tableau OFFSET'!C5=1,"Supplément rabat 1x",
  IF('Tableau OFFSET'!C5=2,"Supplément rabats 2x","")),
"")</f>
        <v/>
      </c>
      <c r="H26" s="633"/>
      <c r="I26" s="634"/>
    </row>
    <row r="27" spans="1:15" ht="15.75">
      <c r="A27" s="415" t="s">
        <v>749</v>
      </c>
      <c r="B27" s="415"/>
      <c r="C27" s="416">
        <f>IF(A25="Piqûre",
  INDEX('Tableau Façonnage OFFSET'!N4:N14,D8+IF('Tableau OFFSET'!B5&lt;&gt;0,1,0)) +
  IF('Tableau OFFSET'!A3&lt;=1000,0,
    IF('Tableau OFFSET'!A3&lt;=5000,
      (INT('Tableau OFFSET'!A3/1000)-1) * INDEX('Tableau Façonnage OFFSET'!O4:O14,D8+IF('Tableau OFFSET'!B5&lt;&gt;0,1,0)),
      4 * INDEX('Tableau Façonnage OFFSET'!O4:O14,D8+IF('Tableau OFFSET'!B5&lt;&gt;0,1,0)) +
      (INT('Tableau OFFSET'!A3/1000)-5) * INDEX('Tableau Façonnage OFFSET'!P4:P14,D8+IF('Tableau OFFSET'!B5&lt;&gt;0,1,0))
    )
  ) +
  INT('Tableau OFFSET'!A3/1000) *
    IF('Tableau OFFSET'!C5=1,'Tableau Façonnage OFFSET'!N27,
    IF('Tableau OFFSET'!C5=2,'Tableau Façonnage OFFSET'!N28,0)),
0)</f>
        <v>133</v>
      </c>
      <c r="D27" s="419">
        <f>IF(A25="Piqûre",
  INT('Tableau OFFSET'!A3/1000) *
    IF('Tableau OFFSET'!C5=1,'Tableau Façonnage OFFSET'!N27,
    IF('Tableau OFFSET'!C5=2,'Tableau Façonnage OFFSET'!N28,0)),
0)</f>
        <v>0</v>
      </c>
      <c r="E27" s="420" t="str">
        <f>IF(A25="Piqûre",
  IF('Tableau OFFSET'!C5=1,"Supplément rabat 1x",
  IF('Tableau OFFSET'!C5=2,"Supplément rabats 2x","")),
"")</f>
        <v/>
      </c>
      <c r="H27" s="635"/>
      <c r="I27" s="636"/>
    </row>
    <row r="28" spans="1:15">
      <c r="A28" s="218" t="s">
        <v>450</v>
      </c>
      <c r="B28" s="218" t="s">
        <v>487</v>
      </c>
      <c r="C28" s="218" t="s">
        <v>76</v>
      </c>
    </row>
    <row r="29" spans="1:15" ht="15.75">
      <c r="A29" s="1" t="s">
        <v>469</v>
      </c>
      <c r="B29" s="1">
        <f>IF('Tableau OFFSET'!C11="Rien", 0,
 B2 * 0.598 * IF('Tableau OFFSET'!C11="Pelliculage RectoVerso", 2, 1)
)</f>
        <v>119.6</v>
      </c>
      <c r="C29" s="423">
        <f>IFERROR(
  IF('Tableau OFFSET'!C11="Rien", 0,
    MAX(
      B29 *
      CHOOSE(
        MATCH('Tableau OFFSET'!D11, {"Brillant";"Mat";"Soft touch"}, 0),
        'Tableau Façonnage OFFSET'!S4,
        'Tableau Façonnage OFFSET'!S5,
        'Tableau Façonnage OFFSET'!S6
      ),
      'Tableau Façonnage OFFSET'!S8
    ) + 'Tableau Façonnage OFFSET'!S7
  ),
  0
)</f>
        <v>115</v>
      </c>
      <c r="H29" s="809"/>
      <c r="I29" s="809"/>
    </row>
    <row r="30" spans="1:15">
      <c r="A30" s="218" t="s">
        <v>450</v>
      </c>
      <c r="B30" s="218" t="s">
        <v>490</v>
      </c>
      <c r="C30" s="218" t="s">
        <v>76</v>
      </c>
      <c r="H30" s="810"/>
      <c r="I30" s="810"/>
    </row>
    <row r="31" spans="1:15">
      <c r="A31" s="1" t="s">
        <v>492</v>
      </c>
      <c r="B31" s="1">
        <f>IF('Tableau OFFSET'!A16="Oui",
  ROUNDUP('Tableau OFFSET'!B28 / 'Tableau Façonnage OFFSET'!I42, 0),
  0)</f>
        <v>0</v>
      </c>
      <c r="C31" s="422">
        <f>IF(B31&gt;0,
  B31 * ('Tableau Façonnage OFFSET'!I46 + 'Tableau Façonnage OFFSET'!I47),
  0)</f>
        <v>0</v>
      </c>
    </row>
    <row r="32" spans="1:15">
      <c r="A32" s="296" t="s">
        <v>491</v>
      </c>
      <c r="B32" s="1">
        <f>IF('Tableau OFFSET'!B28="", 0,
  ROUNDUP('Tableau OFFSET'!B28 / ('Tableau Façonnage OFFSET'!L42 + 100), 0)
)</f>
        <v>1</v>
      </c>
      <c r="C32" s="422">
        <f>IFERROR(
  IF(B32=0, 0,
    IF(B32=1,
      'Tableau Façonnage OFFSET'!L45,
      'Tableau Façonnage OFFSET'!L45 + (B32 - 1) * 'Tableau Façonnage OFFSET'!L46
    )
  ) + B32 * 5,
  0
)</f>
        <v>10</v>
      </c>
    </row>
    <row r="33" spans="1:19">
      <c r="A33" s="218" t="s">
        <v>450</v>
      </c>
      <c r="B33" s="218" t="s">
        <v>650</v>
      </c>
      <c r="C33" s="218" t="s">
        <v>76</v>
      </c>
    </row>
    <row r="34" spans="1:19">
      <c r="A34" s="1" t="s">
        <v>489</v>
      </c>
      <c r="B34" s="1">
        <f>IF('Tableau OFFSET'!A18="Non", 0,
 IF('Tableau OFFSET'!A18="A l'unité", 'Tableau OFFSET'!A3,
 IF('Tableau OFFSET'!A18="Par 2", ROUNDUP('Tableau OFFSET'!A3 / 2, 0),
 IF('Tableau OFFSET'!A18="Par 3", ROUNDUP('Tableau OFFSET'!A3 / 3, 0),
 IF('Tableau OFFSET'!A18="Par 4", ROUNDUP('Tableau OFFSET'!A3 / 4, 0),
 IF('Tableau OFFSET'!A18="Par 5-10", ROUNDUP('Tableau OFFSET'!A3 / 8, 0),
 IF('Tableau OFFSET'!A18="Par paquet", ROUNDUP('Tableau OFFSET'!B28 / 'Tableau Façonnage OFFSET'!B48, 0),
 0)))))))</f>
        <v>0</v>
      </c>
      <c r="C34" s="422">
        <f>IF('Tableau OFFSET'!A18="Non", 0,
  IF('Tableau OFFSET'!A18="A l'unité", 'Tableau OFFSET'!A3 * 'Tableau Façonnage OFFSET'!C41,
  IF('Tableau OFFSET'!A18="Par 2", ROUNDUP('Tableau OFFSET'!A3/2,0) * 'Tableau Façonnage OFFSET'!C42,
  IF('Tableau OFFSET'!A18="Par 3", ROUNDUP('Tableau OFFSET'!A3/3,0) * 'Tableau Façonnage OFFSET'!C43,
  IF('Tableau OFFSET'!A18="Par 4", ROUNDUP('Tableau OFFSET'!A3/4,0) * 'Tableau Façonnage OFFSET'!C44,
  IF('Tableau OFFSET'!A18="Par 5-10", ROUNDUP('Tableau OFFSET'!A3/8,0) * 'Tableau Façonnage OFFSET'!C45,
  IF('Tableau OFFSET'!A18="Par paquet", ROUNDUP('Tableau OFFSET'!B28 / 'Tableau Façonnage OFFSET'!B48,0) * 'Tableau Façonnage OFFSET'!B52,
  0)))))))</f>
        <v>0</v>
      </c>
    </row>
    <row r="35" spans="1:19">
      <c r="A35" s="1" t="s">
        <v>703</v>
      </c>
      <c r="B35" s="1">
        <f>IF('Tableau OFFSET'!B18="Oui",
   ROUNDUP('Tableau OFFSET'!B28 / 'Tableau Façonnage OFFSET'!B57, 0),
   0)</f>
        <v>0</v>
      </c>
      <c r="C35" s="422">
        <f>IF(B35=0, 0, B35 * 'Tableau Façonnage OFFSET'!B61 + 'Tableau Façonnage OFFSET'!B60)</f>
        <v>0</v>
      </c>
    </row>
    <row r="38" spans="1:19" ht="18.75">
      <c r="A38" s="811" t="s">
        <v>933</v>
      </c>
      <c r="B38" s="811"/>
      <c r="C38" s="811"/>
      <c r="D38" s="811"/>
      <c r="E38" s="811"/>
      <c r="F38" s="811"/>
      <c r="G38" s="811"/>
    </row>
    <row r="39" spans="1:19" ht="18.75">
      <c r="A39" s="805" t="s">
        <v>1</v>
      </c>
      <c r="B39" s="806"/>
      <c r="C39" s="806"/>
      <c r="D39" s="806"/>
      <c r="E39" s="806"/>
      <c r="F39" s="806"/>
      <c r="G39" s="806"/>
    </row>
    <row r="40" spans="1:19">
      <c r="A40" s="1"/>
      <c r="B40" s="159" t="s">
        <v>934</v>
      </c>
      <c r="C40" s="159"/>
      <c r="D40" s="159" t="s">
        <v>936</v>
      </c>
      <c r="E40" s="210" t="s">
        <v>946</v>
      </c>
      <c r="F40" s="210" t="s">
        <v>944</v>
      </c>
      <c r="G40" s="366" t="s">
        <v>945</v>
      </c>
    </row>
    <row r="41" spans="1:19">
      <c r="A41" s="1" t="str">
        <f>A25</f>
        <v>Piqûre</v>
      </c>
      <c r="B41" s="48">
        <f>C25</f>
        <v>118.4</v>
      </c>
      <c r="C41" s="338">
        <v>0.1</v>
      </c>
      <c r="D41" s="48">
        <f>B41-(B41*C41)</f>
        <v>106.56</v>
      </c>
      <c r="E41" s="48">
        <f t="shared" ref="E41:E46" si="1">D41-B41</f>
        <v>-11.840000000000003</v>
      </c>
      <c r="F41" s="812">
        <f>SUM(D41:D46)</f>
        <v>231.56</v>
      </c>
      <c r="G41" s="814">
        <f>F41-SUM(B41:B46)</f>
        <v>-11.840000000000003</v>
      </c>
    </row>
    <row r="42" spans="1:19">
      <c r="A42" s="296" t="str">
        <f>A29</f>
        <v>Pelliculage</v>
      </c>
      <c r="B42" s="48">
        <f>C29</f>
        <v>115</v>
      </c>
      <c r="C42" s="338"/>
      <c r="D42" s="48">
        <f t="shared" ref="D42:D46" si="2">B42-(B42*C42)</f>
        <v>115</v>
      </c>
      <c r="E42" s="48">
        <f t="shared" si="1"/>
        <v>0</v>
      </c>
      <c r="F42" s="813"/>
      <c r="G42" s="815"/>
    </row>
    <row r="43" spans="1:19">
      <c r="A43" s="1" t="str">
        <f>A32</f>
        <v>Palettes</v>
      </c>
      <c r="B43" s="48">
        <f>C32</f>
        <v>10</v>
      </c>
      <c r="C43" s="338"/>
      <c r="D43" s="48">
        <f t="shared" si="2"/>
        <v>10</v>
      </c>
      <c r="E43" s="48">
        <f t="shared" si="1"/>
        <v>0</v>
      </c>
      <c r="F43" s="813"/>
      <c r="G43" s="815"/>
    </row>
    <row r="44" spans="1:19">
      <c r="A44" s="1" t="str">
        <f>A34</f>
        <v>Mise sous film</v>
      </c>
      <c r="B44" s="48">
        <f>C34</f>
        <v>0</v>
      </c>
      <c r="C44" s="338"/>
      <c r="D44" s="48">
        <f t="shared" si="2"/>
        <v>0</v>
      </c>
      <c r="E44" s="48">
        <f t="shared" si="1"/>
        <v>0</v>
      </c>
      <c r="F44" s="813"/>
      <c r="G44" s="815"/>
    </row>
    <row r="45" spans="1:19">
      <c r="A45" s="1" t="str">
        <f>A35</f>
        <v>Mise sous élastiques</v>
      </c>
      <c r="B45" s="48">
        <f>C35</f>
        <v>0</v>
      </c>
      <c r="C45" s="338"/>
      <c r="D45" s="48">
        <f t="shared" si="2"/>
        <v>0</v>
      </c>
      <c r="E45" s="48">
        <f t="shared" si="1"/>
        <v>0</v>
      </c>
      <c r="F45" s="813"/>
      <c r="G45" s="815"/>
    </row>
    <row r="46" spans="1:19">
      <c r="A46" s="263" t="str">
        <f>A31</f>
        <v>Cartons</v>
      </c>
      <c r="B46" s="500">
        <f>C31</f>
        <v>0</v>
      </c>
      <c r="C46" s="501">
        <v>0.5</v>
      </c>
      <c r="D46" s="500">
        <f t="shared" si="2"/>
        <v>0</v>
      </c>
      <c r="E46" s="48">
        <f t="shared" si="1"/>
        <v>0</v>
      </c>
      <c r="F46" s="813"/>
      <c r="G46" s="816"/>
    </row>
    <row r="47" spans="1:19" ht="19.5" thickBot="1">
      <c r="A47" s="797" t="s">
        <v>447</v>
      </c>
      <c r="B47" s="798"/>
      <c r="C47" s="798"/>
      <c r="D47" s="798"/>
      <c r="E47" s="798"/>
      <c r="F47" s="798"/>
      <c r="G47" s="798"/>
    </row>
    <row r="48" spans="1:19" ht="27" customHeight="1">
      <c r="A48" s="191"/>
      <c r="B48" s="210" t="s">
        <v>934</v>
      </c>
      <c r="C48" s="210"/>
      <c r="D48" s="210" t="s">
        <v>943</v>
      </c>
      <c r="E48" s="210" t="s">
        <v>946</v>
      </c>
      <c r="F48" s="210" t="s">
        <v>944</v>
      </c>
      <c r="G48" s="210" t="s">
        <v>945</v>
      </c>
      <c r="H48" s="234" t="s">
        <v>377</v>
      </c>
      <c r="I48" s="234" t="s">
        <v>345</v>
      </c>
      <c r="J48" s="234" t="s">
        <v>346</v>
      </c>
      <c r="L48" s="521" t="s">
        <v>669</v>
      </c>
      <c r="M48" s="522" t="s">
        <v>670</v>
      </c>
      <c r="N48" s="784" t="s">
        <v>967</v>
      </c>
      <c r="O48" s="785"/>
      <c r="P48" s="539"/>
      <c r="Q48" s="546" t="s">
        <v>970</v>
      </c>
      <c r="R48" s="788" t="s">
        <v>968</v>
      </c>
      <c r="S48" s="789"/>
    </row>
    <row r="49" spans="1:19" ht="15.75" customHeight="1">
      <c r="A49" s="1" t="s">
        <v>448</v>
      </c>
      <c r="B49" s="48">
        <f>C17</f>
        <v>264</v>
      </c>
      <c r="C49" s="338">
        <v>0.25</v>
      </c>
      <c r="D49" s="48">
        <f>B49-(B49*C49)</f>
        <v>198</v>
      </c>
      <c r="E49" s="48">
        <f>D49-B49</f>
        <v>-66</v>
      </c>
      <c r="F49" s="812">
        <f>SUM(D49:D53)</f>
        <v>508.29999999999995</v>
      </c>
      <c r="G49" s="812">
        <f>F49-(SUM(B49:B53))</f>
        <v>-106.70000000000005</v>
      </c>
      <c r="H49" s="1" t="s">
        <v>347</v>
      </c>
      <c r="I49" s="516">
        <v>290</v>
      </c>
      <c r="J49" s="513" t="s">
        <v>348</v>
      </c>
      <c r="L49" s="523" t="s">
        <v>671</v>
      </c>
      <c r="M49" s="524">
        <f>--LEFT('Tableau OFFSET'!B3,FIND("x",'Tableau OFFSET'!B3)-1)</f>
        <v>21</v>
      </c>
      <c r="N49" s="786"/>
      <c r="O49" s="787"/>
      <c r="P49" s="321" t="s">
        <v>667</v>
      </c>
      <c r="Q49" s="321">
        <f>IFERROR(
  MAX(
    INT(92/(LEFT('Tableau OFFSET'!C3,SEARCH("x",'Tableau OFFSET'!C3)-1)*1)) *
    INT(65/(RIGHT('Tableau OFFSET'!C3,LEN('Tableau OFFSET'!C3)-SEARCH("x",'Tableau OFFSET'!C3))*1)),
    INT(92/(RIGHT('Tableau OFFSET'!C3,LEN('Tableau OFFSET'!C3)-SEARCH("x",'Tableau OFFSET'!C3))*1)) *
    INT(65/(LEFT('Tableau OFFSET'!C3,SEARCH("x",'Tableau OFFSET'!C3)-1)*1))
  ),
  0
)</f>
        <v>4</v>
      </c>
      <c r="R49" s="790"/>
      <c r="S49" s="791"/>
    </row>
    <row r="50" spans="1:19" ht="15.75" customHeight="1">
      <c r="A50" s="1" t="s">
        <v>449</v>
      </c>
      <c r="B50" s="48">
        <f>C18</f>
        <v>44</v>
      </c>
      <c r="C50" s="338"/>
      <c r="D50" s="48">
        <f t="shared" ref="D50:D53" si="3">B50-(B50*C50)</f>
        <v>44</v>
      </c>
      <c r="E50" s="48">
        <f t="shared" ref="E50:E53" si="4">D50-B50</f>
        <v>0</v>
      </c>
      <c r="F50" s="813"/>
      <c r="G50" s="813"/>
      <c r="H50" s="1" t="s">
        <v>383</v>
      </c>
      <c r="I50" s="516"/>
      <c r="J50" s="513"/>
      <c r="L50" s="523" t="s">
        <v>672</v>
      </c>
      <c r="M50" s="524">
        <f>--RIGHT('Tableau OFFSET'!B3,LEN('Tableau OFFSET'!B3)-FIND("x",'Tableau OFFSET'!B3))</f>
        <v>29.7</v>
      </c>
      <c r="N50" s="786"/>
      <c r="O50" s="787"/>
      <c r="P50" s="321" t="s">
        <v>964</v>
      </c>
      <c r="Q50" s="321">
        <f>IFERROR(
  MAX(
    INT(90/(LEFT('Tableau OFFSET'!C3,SEARCH("x",'Tableau OFFSET'!C3)-1)*1)) *
    INT(64/(RIGHT('Tableau OFFSET'!C3,LEN('Tableau OFFSET'!C3)-SEARCH("x",'Tableau OFFSET'!C3))*1)),
    INT(90/(RIGHT('Tableau OFFSET'!C3,LEN('Tableau OFFSET'!C3)-SEARCH("x",'Tableau OFFSET'!C3))*1)) *
    INT(64/(LEFT('Tableau OFFSET'!C3,SEARCH("x",'Tableau OFFSET'!C3)-1)*1))
  ),
  0
)</f>
        <v>4</v>
      </c>
      <c r="R50" s="792"/>
      <c r="S50" s="793"/>
    </row>
    <row r="51" spans="1:19" ht="15.75">
      <c r="A51" s="1" t="s">
        <v>446</v>
      </c>
      <c r="B51" s="48">
        <f t="shared" ref="B51:B52" si="5">C19</f>
        <v>168</v>
      </c>
      <c r="C51" s="338">
        <v>0.1</v>
      </c>
      <c r="D51" s="48">
        <f t="shared" si="3"/>
        <v>151.19999999999999</v>
      </c>
      <c r="E51" s="48">
        <f t="shared" si="4"/>
        <v>-16.800000000000011</v>
      </c>
      <c r="F51" s="813"/>
      <c r="G51" s="813"/>
      <c r="H51" s="1" t="s">
        <v>358</v>
      </c>
      <c r="I51" s="516">
        <v>6</v>
      </c>
      <c r="J51" s="513" t="s">
        <v>386</v>
      </c>
      <c r="L51" s="525"/>
      <c r="M51" s="526"/>
      <c r="N51" s="526"/>
      <c r="O51" s="526"/>
      <c r="P51" s="321" t="s">
        <v>812</v>
      </c>
      <c r="Q51" s="321">
        <f>IFERROR(
  MAX(
    INT(102/(LEFT('Tableau OFFSET'!C3,SEARCH("x",'Tableau OFFSET'!C3)-1)*1)) *
    INT(72/(RIGHT('Tableau OFFSET'!C3,LEN('Tableau OFFSET'!C3)-SEARCH("x",'Tableau OFFSET'!C3))*1)),
    INT(102/(RIGHT('Tableau OFFSET'!C3,LEN('Tableau OFFSET'!C3)-SEARCH("x",'Tableau OFFSET'!C3))*1)) *
    INT(72/(LEFT('Tableau OFFSET'!C3,SEARCH("x",'Tableau OFFSET'!C3)-1)*1))
  ),
  0
)</f>
        <v>4</v>
      </c>
      <c r="R51" s="541"/>
      <c r="S51" s="542"/>
    </row>
    <row r="52" spans="1:19" ht="15.75">
      <c r="A52" s="1" t="s">
        <v>452</v>
      </c>
      <c r="B52" s="48">
        <f t="shared" si="5"/>
        <v>114</v>
      </c>
      <c r="C52" s="338">
        <v>0.1</v>
      </c>
      <c r="D52" s="48">
        <f t="shared" si="3"/>
        <v>102.6</v>
      </c>
      <c r="E52" s="48">
        <f t="shared" si="4"/>
        <v>-11.400000000000006</v>
      </c>
      <c r="F52" s="813"/>
      <c r="G52" s="813"/>
      <c r="H52" s="1" t="s">
        <v>219</v>
      </c>
      <c r="I52" s="516">
        <v>6</v>
      </c>
      <c r="J52" s="513" t="s">
        <v>386</v>
      </c>
      <c r="L52" s="528" t="s">
        <v>669</v>
      </c>
      <c r="M52" s="529" t="s">
        <v>673</v>
      </c>
      <c r="N52" s="526"/>
      <c r="O52" s="527"/>
      <c r="P52" s="540"/>
      <c r="Q52" s="321" t="s">
        <v>969</v>
      </c>
      <c r="R52" s="541"/>
      <c r="S52" s="542"/>
    </row>
    <row r="53" spans="1:19" ht="15.75">
      <c r="A53" s="1" t="s">
        <v>937</v>
      </c>
      <c r="B53" s="48">
        <f>D17+D18</f>
        <v>25</v>
      </c>
      <c r="C53" s="338">
        <v>0.5</v>
      </c>
      <c r="D53" s="48">
        <f t="shared" si="3"/>
        <v>12.5</v>
      </c>
      <c r="E53" s="48">
        <f t="shared" si="4"/>
        <v>-12.5</v>
      </c>
      <c r="F53" s="813"/>
      <c r="G53" s="813"/>
      <c r="H53" s="1" t="s">
        <v>220</v>
      </c>
      <c r="I53" s="516">
        <v>10</v>
      </c>
      <c r="J53" s="513" t="s">
        <v>386</v>
      </c>
      <c r="L53" s="523" t="s">
        <v>674</v>
      </c>
      <c r="M53" s="524">
        <f>--RIGHT('Tableau papier'!D3,LEN('Tableau papier'!D3)-FIND("x",'Tableau papier'!D3))</f>
        <v>92</v>
      </c>
      <c r="N53" s="526"/>
      <c r="O53" s="527"/>
      <c r="P53" s="547" t="s">
        <v>667</v>
      </c>
      <c r="Q53" s="321">
        <f>IF('Tableau OFFSET'!B5=0,0,ROUNDUP('Tableau OFFSET'!A3/Q49,0))</f>
        <v>200</v>
      </c>
      <c r="R53" s="541"/>
      <c r="S53" s="542"/>
    </row>
    <row r="54" spans="1:19" ht="18.75">
      <c r="A54" s="817" t="s">
        <v>942</v>
      </c>
      <c r="B54" s="818"/>
      <c r="C54" s="818"/>
      <c r="D54" s="818"/>
      <c r="E54" s="818"/>
      <c r="F54" s="818"/>
      <c r="G54" s="819"/>
      <c r="H54" s="1" t="s">
        <v>369</v>
      </c>
      <c r="I54" s="513">
        <v>0</v>
      </c>
      <c r="J54" s="513" t="s">
        <v>386</v>
      </c>
      <c r="L54" s="523" t="s">
        <v>675</v>
      </c>
      <c r="M54" s="524">
        <f>--LEFT('Tableau papier'!D3,FIND("x",'Tableau papier'!D3)-1)</f>
        <v>65</v>
      </c>
      <c r="N54" s="526"/>
      <c r="O54" s="527"/>
      <c r="P54" s="547" t="s">
        <v>964</v>
      </c>
      <c r="Q54" s="321">
        <f>IF('Tableau OFFSET'!B5=0,0,ROUNDUP('Tableau OFFSET'!A3/Q50,0))</f>
        <v>200</v>
      </c>
      <c r="R54" s="541"/>
      <c r="S54" s="542"/>
    </row>
    <row r="55" spans="1:19" ht="15.75">
      <c r="A55" s="499" t="s">
        <v>109</v>
      </c>
      <c r="B55" s="50">
        <f>A9</f>
        <v>256.608</v>
      </c>
      <c r="C55" s="499" t="s">
        <v>110</v>
      </c>
      <c r="D55" s="50">
        <f>B9</f>
        <v>86.4</v>
      </c>
      <c r="H55" s="1" t="s">
        <v>454</v>
      </c>
      <c r="I55" s="514">
        <v>3.5</v>
      </c>
      <c r="J55" s="515" t="s">
        <v>386</v>
      </c>
      <c r="L55" s="525"/>
      <c r="M55" s="530" t="s">
        <v>667</v>
      </c>
      <c r="N55" s="530" t="s">
        <v>964</v>
      </c>
      <c r="O55" s="531" t="s">
        <v>812</v>
      </c>
      <c r="P55" s="547" t="s">
        <v>812</v>
      </c>
      <c r="Q55" s="321">
        <f>IF('Tableau OFFSET'!B5=0,0,ROUNDUP('Tableau OFFSET'!A3/Q51,0))</f>
        <v>200</v>
      </c>
      <c r="R55" s="541"/>
      <c r="S55" s="542"/>
    </row>
    <row r="56" spans="1:19" ht="15.75">
      <c r="A56" s="502" t="s">
        <v>938</v>
      </c>
      <c r="B56" s="503">
        <f>A11</f>
        <v>256.608</v>
      </c>
      <c r="C56" s="502" t="s">
        <v>939</v>
      </c>
      <c r="D56" s="503">
        <f>B11</f>
        <v>86.4</v>
      </c>
      <c r="H56" s="1" t="s">
        <v>960</v>
      </c>
      <c r="I56" s="516">
        <f>I55+7.5</f>
        <v>11</v>
      </c>
      <c r="J56" s="515" t="s">
        <v>386</v>
      </c>
      <c r="L56" s="532" t="s">
        <v>676</v>
      </c>
      <c r="M56" s="244">
        <f>IF(
MAX(
INT((M53-1.5-0.7-0.5)/(M49+0.5))*INT((M54-0.5-0.5-0.5)/(M50+0.5)),
INT((M53-1.5-0.7-0.5)/(M50+0.5))*INT((M54-0.5-0.5-0.5)/(M49+0.5))
)&gt;=32,32,
IF(MAX(
INT((M53-1.5-0.7-0.5)/(M49+0.5))*INT((M54-0.5-0.5-0.5)/(M50+0.5)),
INT((M53-1.5-0.7-0.5)/(M50+0.5))*INT((M54-0.5-0.5-0.5)/(M49+0.5))
)&gt;=24,24,
IF(MAX(
INT((M53-1.5-0.7-0.5)/(M49+0.5))*INT((M54-0.5-0.5-0.5)/(M50+0.5)),
INT((M53-1.5-0.7-0.5)/(M50+0.5))*INT((M54-0.5-0.5-0.5)/(M49+0.5))
)&gt;=16,16,
IF(MAX(
INT((M53-1.5-0.7-0.5)/(M49+0.5))*INT((M54-0.5-0.5-0.5)/(M50+0.5)),
INT((M53-1.5-0.7-0.5)/(M50+0.5))*INT((M54-0.5-0.5-0.5)/(M49+0.5))
)&gt;=12,12,
IF(MAX(
INT((M53-1.5-0.7-0.5)/(M49+0.5))*INT((M54-0.5-0.5-0.5)/(M50+0.5)),
INT((M53-1.5-0.7-0.5)/(M50+0.5))*INT((M54-0.5-0.5-0.5)/(M49+0.5))
)&gt;=8,8,
IF(MAX(
INT((M53-1.5-0.7-0.5)/(M49+0.5))*INT((M54-0.5-0.5-0.5)/(M50+0.5)),
INT((M53-1.5-0.7-0.5)/(M50+0.5))*INT((M54-0.5-0.5-0.5)/(M49+0.5))
)&gt;=4,4,
IF(MAX(
INT((M53-1.5-0.7-0.5)/(M49+0.5))*INT((M54-0.5-0.5-0.5)/(M50+0.5)),
INT((M53-1.5-0.7-0.5)/(M50+0.5))*INT((M54-0.5-0.5-0.5)/(M49+0.5))
)&gt;=2,2,0
)))))))</f>
        <v>8</v>
      </c>
      <c r="N56" s="244">
        <f>IF(
MAX(
INT((64-1.5-0.7-0.5)/(M49+0.5))*INT((90-0.5-0.5-0.5)/(M50+0.5)),
INT((64-1.5-0.7-0.5)/(M50+0.5))*INT((90-0.5-0.5-0.5)/(M49+0.5))
)&gt;=32,32,
IF(MAX(
INT((64-1.5-0.7-0.5)/(M49+0.5))*INT((90-0.5-0.5-0.5)/(M50+0.5)),
INT((64-1.5-0.7-0.5)/(M50+0.5))*INT((90-0.5-0.5-0.5)/(M49+0.5))
)&gt;=24,24,
IF(MAX(
INT((64-1.5-0.7-0.5)/(M49+0.5))*INT((90-0.5-0.5-0.5)/(M50+0.5)),
INT((64-1.5-0.7-0.5)/(M50+0.5))*INT((90-0.5-0.5-0.5)/(M49+0.5))
)&gt;=16,16,
IF(MAX(
INT((64-1.5-0.7-0.5)/(M49+0.5))*INT((90-0.5-0.5-0.5)/(M50+0.5)),
INT((64-1.5-0.7-0.5)/(M50+0.5))*INT((90-0.5-0.5-0.5)/(M49+0.5))
)&gt;=12,12,
IF(MAX(
INT((64-1.5-0.7-0.5)/(M49+0.5))*INT((90-0.5-0.5-0.5)/(M50+0.5)),
INT((64-1.5-0.7-0.5)/(M50+0.5))*INT((90-0.5-0.5-0.5)/(M49+0.5))
)&gt;=8,8,
IF(MAX(
INT((64-1.5-0.7-0.5)/(M49+0.5))*INT((90-0.5-0.5-0.5)/(M50+0.5)),
INT((64-1.5-0.7-0.5)/(M50+0.5))*INT((90-0.5-0.5-0.5)/(M49+0.5))
)&gt;=4,4,
IF(MAX(
INT((64-1.5-0.7-0.5)/(M49+0.5))*INT((90-0.5-0.5-0.5)/(M50+0.5)),
INT((64-1.5-0.7-0.5)/(M50+0.5))*INT((90-0.5-0.5-0.5)/(M49+0.5))
)&gt;=2,2,0
)))))))</f>
        <v>8</v>
      </c>
      <c r="O56" s="533">
        <f>IF(
MAX(
INT((72-1.5-0.7-0.5)/(M49+0.5))*INT((102-0.5-0.5-0.5)/(M50+0.5)),
INT((72-1.5-0.7-0.5)/(M50+0.5))*INT((102-0.5-0.5-0.5)/(M49+0.5))
)&gt;=32,32,
IF(MAX(
INT((72-1.5-0.7-0.5)/(M49+0.5))*INT((102-0.5-0.5-0.5)/(M50+0.5)),
INT((72-1.5-0.7-0.5)/(M50+0.5))*INT((102-0.5-0.5-0.5)/(M49+0.5))
)&gt;=24,24,
IF(MAX(
INT((72-1.5-0.7-0.5)/(M49+0.5))*INT((102-0.5-0.5-0.5)/(M50+0.5)),
INT((72-1.5-0.7-0.5)/(M50+0.5))*INT((102-0.5-0.5-0.5)/(M49+0.5))
)&gt;=16,16,
IF(MAX(
INT((72-1.5-0.7-0.5)/(M49+0.5))*INT((102-0.5-0.5-0.5)/(M50+0.5)),
INT((72-1.5-0.7-0.5)/(M50+0.5))*INT((102-0.5-0.5-0.5)/(M49+0.5))
)&gt;=12,12,
IF(MAX(
INT((72-1.5-0.7-0.5)/(M49+0.5))*INT((102-0.5-0.5-0.5)/(M50+0.5)),
INT((72-1.5-0.7-0.5)/(M50+0.5))*INT((102-0.5-0.5-0.5)/(M49+0.5))
)&gt;=8,8,
IF(MAX(
INT((72-1.5-0.7-0.5)/(M49+0.5))*INT((102-0.5-0.5-0.5)/(M50+0.5)),
INT((72-1.5-0.7-0.5)/(M50+0.5))*INT((102-0.5-0.5-0.5)/(M49+0.5))
)&gt;=4,4,
IF(MAX(
INT((72-1.5-0.7-0.5)/(M49+0.5))*INT((102-0.5-0.5-0.5)/(M50+0.5)),
INT((72-1.5-0.7-0.5)/(M50+0.5))*INT((102-0.5-0.5-0.5)/(M49+0.5))
)&gt;=2,2,0
)))))))</f>
        <v>8</v>
      </c>
      <c r="P56" s="540"/>
      <c r="Q56" s="541"/>
      <c r="R56" s="541"/>
      <c r="S56" s="542"/>
    </row>
    <row r="57" spans="1:19" ht="30">
      <c r="A57" s="191"/>
      <c r="B57" s="210" t="s">
        <v>934</v>
      </c>
      <c r="C57" s="210"/>
      <c r="D57" s="210" t="s">
        <v>936</v>
      </c>
      <c r="E57" s="210" t="s">
        <v>946</v>
      </c>
      <c r="F57" s="210" t="s">
        <v>944</v>
      </c>
      <c r="G57" s="210" t="s">
        <v>945</v>
      </c>
      <c r="H57" s="235" t="s">
        <v>378</v>
      </c>
      <c r="I57" s="234" t="s">
        <v>345</v>
      </c>
      <c r="J57" s="234" t="s">
        <v>346</v>
      </c>
      <c r="L57" s="534" t="s">
        <v>677</v>
      </c>
      <c r="M57" s="244">
        <f>M56*2</f>
        <v>16</v>
      </c>
      <c r="N57" s="244">
        <f>N56*2</f>
        <v>16</v>
      </c>
      <c r="O57" s="533">
        <f>O56*2</f>
        <v>16</v>
      </c>
      <c r="P57" s="540"/>
      <c r="Q57" s="541"/>
      <c r="R57" s="541"/>
      <c r="S57" s="542"/>
    </row>
    <row r="58" spans="1:19">
      <c r="A58" s="1" t="s">
        <v>940</v>
      </c>
      <c r="B58" s="215">
        <f>B56*K13</f>
        <v>25.660800000000002</v>
      </c>
      <c r="C58" s="338"/>
      <c r="D58" s="48">
        <f t="shared" ref="D58" si="6">B58-(B58*C58)</f>
        <v>25.660800000000002</v>
      </c>
      <c r="E58" s="48">
        <f>D58-B58</f>
        <v>0</v>
      </c>
      <c r="F58" s="812">
        <f>D58+D59</f>
        <v>34.300800000000002</v>
      </c>
      <c r="G58" s="812">
        <f>F58-SUM(B58:B59)</f>
        <v>0</v>
      </c>
      <c r="H58" s="1" t="s">
        <v>380</v>
      </c>
      <c r="I58" s="1">
        <v>15</v>
      </c>
      <c r="J58" s="1" t="s">
        <v>381</v>
      </c>
      <c r="L58" s="525"/>
      <c r="M58" s="530" t="s">
        <v>667</v>
      </c>
      <c r="N58" s="530" t="s">
        <v>964</v>
      </c>
      <c r="O58" s="531" t="s">
        <v>812</v>
      </c>
      <c r="P58" s="540"/>
      <c r="Q58" s="541"/>
      <c r="R58" s="541"/>
      <c r="S58" s="542"/>
    </row>
    <row r="59" spans="1:19">
      <c r="A59" s="1" t="s">
        <v>941</v>
      </c>
      <c r="B59" s="159">
        <f>IFERROR(D56*K14, 0)</f>
        <v>8.64</v>
      </c>
      <c r="C59" s="338"/>
      <c r="D59" s="48">
        <f>IFERROR(B59-(B59*C59), 0)</f>
        <v>8.64</v>
      </c>
      <c r="E59" s="48">
        <f>D59-B59</f>
        <v>0</v>
      </c>
      <c r="F59" s="813"/>
      <c r="G59" s="813"/>
      <c r="H59" s="1" t="s">
        <v>384</v>
      </c>
      <c r="I59" s="1">
        <v>15</v>
      </c>
      <c r="J59" s="1" t="s">
        <v>381</v>
      </c>
      <c r="L59" s="534">
        <v>32</v>
      </c>
      <c r="M59" s="535">
        <f>IF(
  OR(
    LEFT('Tableau OFFSET'!B3,SEARCH("x",'Tableau OFFSET'!B3)-1)*1 &gt; 17,
    RIGHT('Tableau OFFSET'!B3,LEN('Tableau OFFSET'!B3)-SEARCH("x",'Tableau OFFSET'!B3))*1 &gt; 24,
    AND('Tableau OFFSET'!A7="Couché Mat", 'Tableau OFFSET'!A8&gt;115),
    AND('Tableau OFFSET'!A7="Couché Satin", 'Tableau OFFSET'!A8&gt;115),
    AND('Tableau OFFSET'!A7="Brillant", 'Tableau OFFSET'!A8&gt;115),
    AND(OR('Tableau OFFSET'!A7="Offset", 'Tableau OFFSET'!A7="Recyclé"), 'Tableau OFFSET'!A8&gt;100),
    AND(OR('Tableau OFFSET'!A7="Bouffant Munken Blanc", 'Tableau OFFSET'!A7="Bouffant Munken Crème"), 'Tableau OFFSET'!A8&gt;90)
  ),
  0,
  IF(M57&gt;=32,INT('Tableau OFFSET'!A5/32), 0)
)</f>
        <v>0</v>
      </c>
      <c r="N59" s="244">
        <f>IF(
  OR(
    LEFT('Tableau OFFSET'!B3,SEARCH("x",'Tableau OFFSET'!B3)-1)*1 &gt; 17,
    RIGHT('Tableau OFFSET'!B3,LEN('Tableau OFFSET'!B3)-SEARCH("x",'Tableau OFFSET'!B3))*1 &gt; 24,
    AND('Tableau OFFSET'!A7="Couché Mat", 'Tableau OFFSET'!A8&gt;115),
    AND('Tableau OFFSET'!A7="Couché Satin", 'Tableau OFFSET'!A8&gt;115),
    AND('Tableau OFFSET'!A7="Brillant", 'Tableau OFFSET'!A8&gt;115),
    AND(OR('Tableau OFFSET'!A7="Offset", 'Tableau OFFSET'!A7="Recyclé"), 'Tableau OFFSET'!A8&gt;100),
    AND(OR('Tableau OFFSET'!A7="Bouffant Munken Blanc", 'Tableau OFFSET'!A7="Bouffant Munken Crème"), 'Tableau OFFSET'!A8&gt;90)
  ),
  0,
  IF(N57&gt;=32,INT('Tableau OFFSET'!A5/32), 0)
)</f>
        <v>0</v>
      </c>
      <c r="O59" s="533">
        <f>IF(
  OR(
    LEFT('Tableau OFFSET'!B3,SEARCH("x",'Tableau OFFSET'!B3)-1)*1 &gt; 17,
    RIGHT('Tableau OFFSET'!B3,LEN('Tableau OFFSET'!B3)-SEARCH("x",'Tableau OFFSET'!B3))*1 &gt; 24,
    AND('Tableau OFFSET'!A7="Couché Mat", 'Tableau OFFSET'!A8&gt;115),
    AND('Tableau OFFSET'!A7="Couché Satin", 'Tableau OFFSET'!A8&gt;115),
    AND('Tableau OFFSET'!A7="Brillant", 'Tableau OFFSET'!A8&gt;115),
    AND(OR('Tableau OFFSET'!A7="Offset", 'Tableau OFFSET'!A7="Recyclé"), 'Tableau OFFSET'!A8&gt;100),
    AND(OR('Tableau OFFSET'!A7="Bouffant Munken Blanc", 'Tableau OFFSET'!A7="Bouffant Munken Crème"), 'Tableau OFFSET'!A8&gt;90)
  ),
  0,
  IF(O57&gt;=32,INT('Tableau OFFSET'!A5/32), 0)
)</f>
        <v>0</v>
      </c>
      <c r="P59" s="540"/>
      <c r="Q59" s="541"/>
      <c r="R59" s="541"/>
      <c r="S59" s="542"/>
    </row>
    <row r="60" spans="1:19">
      <c r="H60" s="1" t="s">
        <v>387</v>
      </c>
      <c r="I60" s="1">
        <v>15</v>
      </c>
      <c r="J60" s="1" t="s">
        <v>381</v>
      </c>
      <c r="L60" s="534">
        <v>24</v>
      </c>
      <c r="M60" s="535">
        <f>IF('Tableau OFFSET'!A13="Piqûre",0,
  IF(M57&gt;=24,MAX(0,INT(MAX(0,'Tableau OFFSET'!A5 - M59*32)/24)),0)
)</f>
        <v>0</v>
      </c>
      <c r="N60" s="244">
        <f>IF('Tableau OFFSET'!A13="Piqûre",0,IF(N57&gt;=24,INT(('Tableau OFFSET'!A5 - N59*32)/24),0))</f>
        <v>0</v>
      </c>
      <c r="O60" s="533">
        <f>IF('Tableau OFFSET'!A13="Piqûre",0,IF(O57&gt;=24,INT(('Tableau OFFSET'!A5 - O59*32)/24),0))</f>
        <v>0</v>
      </c>
      <c r="P60" s="540"/>
      <c r="Q60" s="541"/>
      <c r="R60" s="541"/>
      <c r="S60" s="542"/>
    </row>
    <row r="61" spans="1:19" ht="18.75">
      <c r="A61" s="505" t="s">
        <v>947</v>
      </c>
      <c r="H61" s="1" t="s">
        <v>389</v>
      </c>
      <c r="I61" s="1">
        <v>15</v>
      </c>
      <c r="J61" s="1" t="s">
        <v>381</v>
      </c>
      <c r="L61" s="534">
        <v>16</v>
      </c>
      <c r="M61" s="524">
        <f>IF(
  AND(
    'Tableau OFFSET'!A8&gt;=170,
    OR(
      LEFT('Tableau OFFSET'!B3,SEARCH("x",'Tableau OFFSET'!B3)-1)*1&gt;18,
      RIGHT('Tableau OFFSET'!B3,LEN('Tableau OFFSET'!B3)-SEARCH("x",'Tableau OFFSET'!B3))*1&gt;24
    )
  ),
  0,
  IF(M57&gt;=16,MAX(0,INT(MAX(0,'Tableau OFFSET'!A5 - M59*32 - M60*24)/16)),0)
)</f>
        <v>2</v>
      </c>
      <c r="N61" s="244">
        <f>IF(
  AND(
    'Tableau OFFSET'!A8&gt;=170,
    OR(
      LEFT('Tableau OFFSET'!B3,SEARCH("x",'Tableau OFFSET'!B3)-1)*1&gt;18,
      RIGHT('Tableau OFFSET'!B3,LEN('Tableau OFFSET'!B3)-SEARCH("x",'Tableau OFFSET'!B3))*1&gt;24
    )
  ),
  0,
  IF(N57&gt;=16,INT(('Tableau OFFSET'!A5 - N59*32 - N60*24)/16),0)
)</f>
        <v>2</v>
      </c>
      <c r="O61" s="533">
        <f>IF(
  AND(
    'Tableau OFFSET'!A8&gt;=170,
    OR(
      LEFT('Tableau OFFSET'!B3,SEARCH("x",'Tableau OFFSET'!B3)-1)*1&gt;18,
      RIGHT('Tableau OFFSET'!B3,LEN('Tableau OFFSET'!B3)-SEARCH("x",'Tableau OFFSET'!B3))*1&gt;24
    )
  ),
  0,
  IF(O57&gt;=16,INT(('Tableau OFFSET'!A5 - O59*32 - O60*24)/16),0)
)</f>
        <v>2</v>
      </c>
      <c r="P61" s="540"/>
      <c r="Q61" s="541"/>
      <c r="R61" s="541"/>
      <c r="S61" s="542"/>
    </row>
    <row r="62" spans="1:19" ht="21">
      <c r="A62" s="504">
        <f>SUM(G58+G41+G49)</f>
        <v>-118.54000000000005</v>
      </c>
      <c r="H62" s="1" t="s">
        <v>391</v>
      </c>
      <c r="I62" s="1">
        <v>15</v>
      </c>
      <c r="J62" s="1" t="s">
        <v>381</v>
      </c>
      <c r="L62" s="534">
        <v>12</v>
      </c>
      <c r="M62" s="524">
        <f>IF(
  AND(
    'Tableau OFFSET'!A8&gt;=170,
    OR(
      LEFT('Tableau OFFSET'!B3,SEARCH("x",'Tableau OFFSET'!B3)-1)*1&gt;18,
      RIGHT('Tableau OFFSET'!B3,LEN('Tableau OFFSET'!B3)-SEARCH("x",'Tableau OFFSET'!B3))*1&gt;24
    )
  ),
  0,
  IF(
    M57&gt;=12,
    MAX(0,INT(MAX(0,'Tableau OFFSET'!A5 - M59*32 - M60*24 - M61*16)/12)),
    0
  )
)</f>
        <v>0</v>
      </c>
      <c r="N62" s="524">
        <f>IF(
  AND(
    'Tableau OFFSET'!A8&gt;=170,
    OR(
      LEFT('Tableau OFFSET'!B3,SEARCH("x",'Tableau OFFSET'!B3)-1)*1&gt;18,
      RIGHT('Tableau OFFSET'!B3,LEN('Tableau OFFSET'!B3)-SEARCH("x",'Tableau OFFSET'!B3))*1&gt;24
    )
  ),
  0,
  IF(
    N57&gt;=12,
    MAX(0,
      INT(
        MAX(0,
          'Tableau OFFSET'!A5
          - N59*32
          - N60*24
          - N61*16
        )/12
      )
    ),
    0
  )
)</f>
        <v>0</v>
      </c>
      <c r="O62" s="524">
        <f>IF(
  AND(
    'Tableau OFFSET'!A8&gt;=170,
    OR(
      LEFT('Tableau OFFSET'!B3,SEARCH("x",'Tableau OFFSET'!B3)-1)*1&gt;18,
      RIGHT('Tableau OFFSET'!B3,LEN('Tableau OFFSET'!B3)-SEARCH("x",'Tableau OFFSET'!B3))*1&gt;24
    )
  ),
  0,
  IF(
    O57&gt;=12,
    MAX(0,
      INT(
        MAX(0,
          'Tableau OFFSET'!A5
          - O59*32
          - O60*24
          - O61*16
        )/12
      )
    ),
    0
  )
)</f>
        <v>0</v>
      </c>
      <c r="P62" s="540"/>
      <c r="Q62" s="541"/>
      <c r="R62" s="541"/>
      <c r="S62" s="542"/>
    </row>
    <row r="63" spans="1:19">
      <c r="H63" s="1" t="s">
        <v>766</v>
      </c>
      <c r="I63" s="1">
        <v>20</v>
      </c>
      <c r="J63" s="1" t="s">
        <v>381</v>
      </c>
      <c r="L63" s="534">
        <v>8</v>
      </c>
      <c r="M63" s="244">
        <f>IF(M57&gt;=8,MAX(0,INT(MAX(0,'Tableau OFFSET'!A5 - M59*32 - M60*24 - M61*16 - M62*12)/8)),0)</f>
        <v>0</v>
      </c>
      <c r="N63" s="244">
        <f>IF(N57&gt;=8,MAX(0,INT(MAX(0,'Tableau OFFSET'!A5 - N59*32 - N60*24 - N61*16 - N62*12)/8)),0)</f>
        <v>0</v>
      </c>
      <c r="O63" s="244">
        <f>IF(O57&gt;=8,MAX(0,INT(MAX(0,'Tableau OFFSET'!A5 - O59*32 - O60*24 - O61*16 - O62*12)/8)),0)</f>
        <v>0</v>
      </c>
      <c r="P63" s="540"/>
      <c r="Q63" s="541"/>
      <c r="R63" s="541"/>
      <c r="S63" s="542"/>
    </row>
    <row r="64" spans="1:19">
      <c r="L64" s="534">
        <v>4</v>
      </c>
      <c r="M64" s="244">
        <f>IF(M57&gt;=4,MAX(0,INT(MAX(0,'Tableau OFFSET'!A5 - M59*32 - M60*24 - M61*16 - M62*12 - M63*8)/4)),0)</f>
        <v>1</v>
      </c>
      <c r="N64" s="244">
        <f>IF(N57&gt;=4,MAX(0,INT(MAX(0,'Tableau OFFSET'!A5 - N59*32 - N60*24 - N61*16 - N62*12 - N63*8)/4)),0)</f>
        <v>1</v>
      </c>
      <c r="O64" s="244">
        <f>IF(O57&gt;=4,MAX(0,INT(MAX(0,'Tableau OFFSET'!A5 - O59*32 - O60*24 - O61*16 - O62*12 - O63*8)/4)),0)</f>
        <v>1</v>
      </c>
      <c r="P64" s="540"/>
      <c r="Q64" s="541"/>
      <c r="R64" s="541"/>
      <c r="S64" s="542"/>
    </row>
    <row r="65" spans="12:19">
      <c r="L65" s="525"/>
      <c r="M65" s="526"/>
      <c r="N65" s="526"/>
      <c r="O65" s="527"/>
      <c r="P65" s="540"/>
      <c r="Q65" s="541"/>
      <c r="R65" s="541"/>
      <c r="S65" s="542"/>
    </row>
    <row r="66" spans="12:19">
      <c r="L66" s="525"/>
      <c r="M66" s="526"/>
      <c r="N66" s="526"/>
      <c r="O66" s="527"/>
      <c r="P66" s="540"/>
      <c r="Q66" s="541"/>
      <c r="R66" s="541"/>
      <c r="S66" s="542"/>
    </row>
    <row r="67" spans="12:19">
      <c r="L67" s="525"/>
      <c r="M67" s="526"/>
      <c r="N67" s="526"/>
      <c r="O67" s="527"/>
      <c r="P67" s="540"/>
      <c r="Q67" s="541"/>
      <c r="R67" s="541"/>
      <c r="S67" s="542"/>
    </row>
    <row r="68" spans="12:19" ht="15.75" thickBot="1">
      <c r="L68" s="536" t="s">
        <v>680</v>
      </c>
      <c r="M68" s="537">
        <f>IF(M57=0,0,ROUNDUP('Tableau OFFSET'!A5*'Tableau OFFSET'!A3 / IF(AND(A25="Piqûre",M57=24),16,M57),0))</f>
        <v>1800</v>
      </c>
      <c r="N68" s="537">
        <f>IF(N57=0,0,ROUNDUP('Tableau OFFSET'!A5*'Tableau OFFSET'!A3 / IF(AND(A25="Piqûre",N57=24),16,N57),0))</f>
        <v>1800</v>
      </c>
      <c r="O68" s="538">
        <f>IF(O57=0,0,ROUNDUP('Tableau OFFSET'!A5*'Tableau OFFSET'!A3 / IF(AND(A25="Piqûre",O57=24),16,O57),0))</f>
        <v>1800</v>
      </c>
      <c r="P68" s="543"/>
      <c r="Q68" s="544"/>
      <c r="R68" s="544"/>
      <c r="S68" s="545"/>
    </row>
  </sheetData>
  <sheetProtection algorithmName="SHA-512" hashValue="t+len8oB/EWTB/38LSIYFUWV4sz+2GoOCMNNMVHturug8m/1vsQHw4vwaj6IzsRs1WVa3p+qe/tJ0o/oScLNtQ==" saltValue="WNbB1LdCfFA2ERzH9JDZ4w==" spinCount="100000" sheet="1" objects="1" scenarios="1"/>
  <dataConsolidate/>
  <mergeCells count="20">
    <mergeCell ref="F58:F59"/>
    <mergeCell ref="G58:G59"/>
    <mergeCell ref="F41:F46"/>
    <mergeCell ref="G41:G46"/>
    <mergeCell ref="A47:G47"/>
    <mergeCell ref="A54:G54"/>
    <mergeCell ref="F49:F53"/>
    <mergeCell ref="G49:G53"/>
    <mergeCell ref="N48:O50"/>
    <mergeCell ref="R48:S50"/>
    <mergeCell ref="C11:F11"/>
    <mergeCell ref="A15:C15"/>
    <mergeCell ref="A7:B7"/>
    <mergeCell ref="A23:C23"/>
    <mergeCell ref="C21:D21"/>
    <mergeCell ref="A39:G39"/>
    <mergeCell ref="H11:I11"/>
    <mergeCell ref="H29:I29"/>
    <mergeCell ref="H30:I30"/>
    <mergeCell ref="A38:G38"/>
  </mergeCells>
  <dataValidations xWindow="1108" yWindow="624" count="5">
    <dataValidation type="list" allowBlank="1" showInputMessage="1" showErrorMessage="1" sqref="J8" xr:uid="{00000000-0002-0000-0800-000000000000}">
      <formula1>"0,1,2"</formula1>
    </dataValidation>
    <dataValidation allowBlank="1" showInputMessage="1" showErrorMessage="1" promptTitle="Taux de Marque" prompt="Le tx de marque équivaut à Marge/CA" sqref="F16" xr:uid="{EEDEB517-AD26-4E6B-8A07-FF354550A321}"/>
    <dataValidation allowBlank="1" showInputMessage="1" showErrorMessage="1" promptTitle="Taux de marge" prompt="Le taux de marge est équivalent à Marge / Coût matière + Sous traitance" sqref="F19" xr:uid="{9F90067C-994C-458C-A113-24A0FEBC1F31}"/>
    <dataValidation allowBlank="1" showInputMessage="1" showErrorMessage="1" prompt="Le taux de marge est équivalent à Marge / Coût matière + Sous traitance" sqref="F18" xr:uid="{F707B577-63EC-42CD-B034-BF328BE15CA3}"/>
    <dataValidation allowBlank="1" showInputMessage="1" showErrorMessage="1" prompt="Le tx de marque équivaut à Marge/CA" sqref="F17" xr:uid="{A8096055-E1DA-45D8-B7D2-EE66F853C765}"/>
  </dataValidations>
  <hyperlinks>
    <hyperlink ref="C14" r:id="rId1" xr:uid="{3CE5CC96-CD55-41DF-A741-B530C8A397D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ViderDetailsPrix">
                <anchor moveWithCells="1" sizeWithCells="1">
                  <from>
                    <xdr:col>5</xdr:col>
                    <xdr:colOff>257175</xdr:colOff>
                    <xdr:row>33</xdr:row>
                    <xdr:rowOff>114300</xdr:rowOff>
                  </from>
                  <to>
                    <xdr:col>6</xdr:col>
                    <xdr:colOff>942975</xdr:colOff>
                    <xdr:row>36</xdr:row>
                    <xdr:rowOff>66675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5">
    <tabColor theme="9" tint="0.59999389629810485"/>
  </sheetPr>
  <dimension ref="A1:P60"/>
  <sheetViews>
    <sheetView topLeftCell="L1" zoomScale="85" zoomScaleNormal="85" workbookViewId="0">
      <selection sqref="A1:K1048576"/>
    </sheetView>
  </sheetViews>
  <sheetFormatPr baseColWidth="10" defaultRowHeight="15"/>
  <cols>
    <col min="1" max="1" width="33" hidden="1" customWidth="1"/>
    <col min="2" max="2" width="45.42578125" hidden="1" customWidth="1"/>
    <col min="3" max="3" width="37.28515625" hidden="1" customWidth="1"/>
    <col min="4" max="4" width="32.42578125" hidden="1" customWidth="1"/>
    <col min="5" max="5" width="31.5703125" hidden="1" customWidth="1"/>
    <col min="6" max="6" width="35" hidden="1" customWidth="1"/>
    <col min="7" max="7" width="21.5703125" style="506" hidden="1" customWidth="1"/>
    <col min="8" max="8" width="30.85546875" hidden="1" customWidth="1"/>
    <col min="9" max="9" width="34.28515625" hidden="1" customWidth="1"/>
    <col min="10" max="10" width="35.140625" hidden="1" customWidth="1"/>
    <col min="11" max="11" width="38" hidden="1" customWidth="1"/>
    <col min="12" max="12" width="36.42578125" customWidth="1"/>
    <col min="13" max="13" width="26.42578125" customWidth="1"/>
    <col min="14" max="14" width="26.140625" customWidth="1"/>
    <col min="15" max="15" width="16" customWidth="1"/>
    <col min="16" max="16" width="23.140625" customWidth="1"/>
  </cols>
  <sheetData>
    <row r="1" spans="1:11" ht="25.5" customHeight="1">
      <c r="A1" s="645" t="s">
        <v>222</v>
      </c>
      <c r="B1" s="821" t="s">
        <v>971</v>
      </c>
      <c r="C1" s="822"/>
      <c r="D1" s="820" t="s">
        <v>467</v>
      </c>
      <c r="E1" s="808"/>
      <c r="G1"/>
    </row>
    <row r="2" spans="1:11" ht="15.75" customHeight="1">
      <c r="A2" s="304">
        <f>IFERROR(
  IF(OR('Tableau OFFSET'!A35="",'Tableau OFFSET'!A35=0),
    0,
    IF(IF($B$5&lt;2,1,$B$5)&lt;=$C$5,
      ROUNDUP( ('Tableau OFFSET'!A35 / IF($B$5&lt;2,1,$B$5)) / MAX(1,INT($C$5 / IF($B$5&lt;2,1,$B$5))),0),
      ROUNDUP( ('Tableau OFFSET'!A35 / IF($B$5&lt;2,1,$B$5)),0) * ROUNDUP( IF($B$5&lt;2,1,$B$5)/$C$5,0)
    )
  ),
  0
)</f>
        <v>0</v>
      </c>
      <c r="B2" s="650" t="s">
        <v>13</v>
      </c>
      <c r="C2" s="651" t="s">
        <v>1048</v>
      </c>
      <c r="D2" s="648" t="s">
        <v>184</v>
      </c>
      <c r="E2" s="224" t="s">
        <v>76</v>
      </c>
      <c r="F2" s="227" t="s">
        <v>464</v>
      </c>
      <c r="G2"/>
    </row>
    <row r="3" spans="1:11" ht="32.25" customHeight="1">
      <c r="A3" s="214" t="s">
        <v>438</v>
      </c>
      <c r="B3" s="652" t="str">
        <f>IFERROR(
  IF('Tableau OFFSET'!A37="Couché Mat",
    INDEX('Tableau papier'!$G$4:$G$21, MATCH('Tableau OFFSET'!A38,'Tableau papier'!$A$4:$A$21,0)),
  IF('Tableau OFFSET'!A37="Couché Satin",
    INDEX('Tableau papier'!$H$4:$H$21, MATCH('Tableau OFFSET'!A38,'Tableau papier'!$A$4:$A$21,0)),
  IF('Tableau OFFSET'!A37="Brillant",
    INDEX('Tableau papier'!$I$4:$I$21, MATCH('Tableau OFFSET'!A38,'Tableau papier'!$A$4:$A$21,0)),
  IF('Tableau OFFSET'!A37="Recyclé",
    INDEX('Tableau papier'!$J$4:$J$21, MATCH('Tableau OFFSET'!A38,'Tableau papier'!$A$4:$A$21,0)),
  IF('Tableau OFFSET'!A37="Offset",
    INDEX('Tableau papier'!$K$4:$K$21, MATCH('Tableau OFFSET'!A38,'Tableau papier'!$A$4:$A$21,0)),
  IF('Tableau OFFSET'!A37="Bouffant Munken Blanc",
    INDEX('Tableau papier'!$M$4:$M$21, MATCH('Tableau OFFSET'!A38,'Tableau papier'!$A$4:$A$21,0)),
  IF('Tableau OFFSET'!A37="Bouffant Munken Crème",
    INDEX('Tableau papier'!$N$4:$N$21, MATCH('Tableau OFFSET'!A38,'Tableau papier'!$A$4:$A$21,0)),
  "Type de papier non valide"))))))),
"Grammage non trouvé")</f>
        <v>Type de papier non valide</v>
      </c>
      <c r="C3" s="653" t="str">
        <f>IF(
  'Tableau OFFSET'!B40="Oui",
  IF(
    MIN(
      IF(MOD(L55,2)=0,L56,999999999),
      IF(MOD(M55,2)=0,M56,999999999),
      IF(MOD(N55,2)=0,N56,999999999)
    )=999999999,
    IF(
      M56=MIN(L56,M56,N56),
      "64x90",
      IF(L56=MIN(L56,M56,N56),"65x92","72x102")
    ),
    IF(
      IF(MOD(L55,2)=0,L56,999999999)=MIN(
        IF(MOD(L55,2)=0,L56,999999999),
        IF(MOD(M55,2)=0,M56,999999999),
        IF(MOD(N55,2)=0,N56,999999999)
      ),
      "64x90",
      IF(
        IF(MOD(M55,2)=0,M56,999999999)=MIN(
          IF(MOD(L55,2)=0,L56,999999999),
          IF(MOD(M55,2)=0,M56,999999999),
          IF(MOD(N55,2)=0,N56,999999999)
        ),
        "65x92",
        "72x102"
      )
    )
  ),
  IF(
    M56=MIN(L56,M56,N56),
    "64x90",
    IF(L56=MIN(L56,M56,N56),"65x92","72x102")
  )
)</f>
        <v>64x90</v>
      </c>
      <c r="D3" s="649" t="s">
        <v>456</v>
      </c>
      <c r="E3" s="223">
        <f>A10</f>
        <v>0</v>
      </c>
      <c r="F3" s="226">
        <f>(E3*G3)+E3</f>
        <v>0</v>
      </c>
      <c r="G3" s="228">
        <v>0.1</v>
      </c>
    </row>
    <row r="4" spans="1:11" ht="15" customHeight="1">
      <c r="A4" s="646">
        <f>IFERROR(
  IF(OR('Tableau OFFSET'!A35="",'Tableau OFFSET'!A35=0),
    0,
    ROUNDUP(
      (
        IF('Tableau OFFSET'!B40="Oui",
          IF('Tableau OFFSET'!A40="Noir",200,
            IF('Tableau OFFSET'!A40="Bichromie",250,300)
          ),
          IF('Tableau OFFSET'!A40="Noir",120,
            IF('Tableau OFFSET'!A40="Bichromie",160,200)
          )
        )
        + (A2*0.02)
      ),0)
  ),
  0
)</f>
        <v>0</v>
      </c>
      <c r="B4" s="650" t="s">
        <v>1047</v>
      </c>
      <c r="C4" s="651" t="s">
        <v>1046</v>
      </c>
      <c r="D4" s="649" t="s">
        <v>458</v>
      </c>
      <c r="E4" s="223">
        <f>B16*I52</f>
        <v>0</v>
      </c>
      <c r="F4" s="226">
        <f>C16</f>
        <v>0</v>
      </c>
      <c r="G4"/>
    </row>
    <row r="5" spans="1:11" ht="12" customHeight="1">
      <c r="A5" s="211"/>
      <c r="B5" s="654">
        <f>IF('Tableau OFFSET'!B44&lt;2,1,'Tableau OFFSET'!B44)</f>
        <v>1</v>
      </c>
      <c r="C5" s="655">
        <f>IF(C3="64x90", L55,
 IF(C3="65x92", M55,
 IF(C3="72x102", N55, 0)))</f>
        <v>21750</v>
      </c>
      <c r="D5" s="649" t="s">
        <v>460</v>
      </c>
      <c r="E5" s="222"/>
      <c r="F5" s="188"/>
      <c r="G5"/>
    </row>
    <row r="6" spans="1:11" ht="24.95" customHeight="1">
      <c r="A6" s="644" t="s">
        <v>1050</v>
      </c>
      <c r="B6" s="650" t="s">
        <v>1061</v>
      </c>
      <c r="C6" s="651" t="s">
        <v>1060</v>
      </c>
      <c r="F6" s="188"/>
      <c r="G6"/>
    </row>
    <row r="7" spans="1:11" ht="15.75">
      <c r="A7" s="647" t="s">
        <v>109</v>
      </c>
      <c r="B7" s="654" t="str">
        <f>IF($B$5&lt;=1,
   "1 modèle (standard)",
   IF($B$5&lt;=$C$5,
      IF(MOD($C$5,$B$5)=0,
         "Amalgame parfait",
         "Amalgame possible (gâchis)"
      ),
      "Plusieurs impositions nécessaires"
   )
)</f>
        <v>1 modèle (standard)</v>
      </c>
      <c r="C7" s="655">
        <f>IFERROR('Tableau OFFSET'!A35/$B$5,0)</f>
        <v>0</v>
      </c>
      <c r="D7" s="649" t="s">
        <v>469</v>
      </c>
      <c r="E7" s="222"/>
      <c r="F7" s="188"/>
      <c r="G7"/>
    </row>
    <row r="8" spans="1:11" ht="15.75">
      <c r="A8" s="304">
        <f>IFERROR(
  (A2+A4)/1000 *
  IF(C3="64x90",
     VLOOKUP('Tableau OFFSET'!A38,'Tableau papier'!A4:F21,3,FALSE),
     IF(C3="65x92",
        VLOOKUP('Tableau OFFSET'!A38,'Tableau papier'!A4:F21,4,FALSE),
        IF(C3="72x102",
           VLOOKUP('Tableau OFFSET'!A38,'Tableau papier'!A4:F21,5,FALSE),
           0
        )
     )
  ),
  0
)</f>
        <v>0</v>
      </c>
      <c r="B8" s="650" t="s">
        <v>1049</v>
      </c>
      <c r="C8" s="651" t="s">
        <v>1062</v>
      </c>
      <c r="D8" s="649" t="s">
        <v>462</v>
      </c>
      <c r="E8" s="222"/>
      <c r="F8" s="188"/>
      <c r="G8"/>
    </row>
    <row r="9" spans="1:11" ht="30" customHeight="1" thickBot="1">
      <c r="A9" s="647" t="s">
        <v>445</v>
      </c>
      <c r="B9" s="657">
        <f>IF($C$5&lt;=1,
   $B$5,
   IF($B$5&lt;=$C$5,
      1,
      ROUNDUP($B$5/$C$5,0)
   )
)</f>
        <v>1</v>
      </c>
      <c r="C9" s="660" t="str">
        <f>IF($B$5=1,
  "1 modèle (standard)",
  IF($B$5&lt;=$C$5,
    IF(MOD($C$5,$B$5)=0,
      "1 forme (remplissage parfait - 0%)",
      "1 forme (trou : "
        &amp; ($C$5-$B$5*INT($C$5/$B$5)) &amp; " pose(s) sur " &amp; $C$5
        &amp; " - "
        &amp; TEXT( ($C$5-$B$5*INT($C$5/$B$5)) / $C$5, "0%")
        &amp; " papier perdu)"
    ),
    IF(MOD($B$5,$C$5)=0,
      "Amalgame sur " &amp; ROUNDUP($B$5/$C$5,0) &amp; " formes (parfait - 0%)",
      "Amalgame sur " &amp; ROUNDUP($B$5/$C$5,0) &amp; " formes (trou sur imposition : "
        &amp; ($C$5 - MOD($B$5,$C$5)*INT($C$5/MOD($B$5,$C$5)))
        &amp; " pose(s) sur " &amp; $C$5
        &amp; " - "
        &amp; TEXT( ($C$5 - MOD($B$5,$C$5)*INT($C$5/MOD($B$5,$C$5))) / $C$5, "0%")
        &amp; " papier perdu)"
    )
  )
)</f>
        <v>1 modèle (standard)</v>
      </c>
      <c r="D9" s="649" t="s">
        <v>463</v>
      </c>
      <c r="E9" s="222"/>
      <c r="G9"/>
    </row>
    <row r="10" spans="1:11" ht="15.75">
      <c r="A10" s="215">
        <f>IFERROR(IF('Tableau OFFSET'!A37="Autre", 'Tableau OFFSET'!B37 * A8, A8 * B3), 0)</f>
        <v>0</v>
      </c>
      <c r="B10" s="630"/>
      <c r="G10"/>
    </row>
    <row r="11" spans="1:11" ht="15.75">
      <c r="A11" s="231" t="s">
        <v>468</v>
      </c>
      <c r="B11" s="631"/>
      <c r="D11" s="225" t="s">
        <v>461</v>
      </c>
      <c r="E11" s="222">
        <f>'Tableau OFFSET'!F57</f>
        <v>0</v>
      </c>
      <c r="G11"/>
    </row>
    <row r="12" spans="1:11" ht="15.75">
      <c r="A12" s="232">
        <f>F3</f>
        <v>0</v>
      </c>
      <c r="F12" s="519" t="s">
        <v>961</v>
      </c>
      <c r="G12" s="519" t="s">
        <v>1</v>
      </c>
      <c r="H12" s="519" t="s">
        <v>962</v>
      </c>
      <c r="I12" s="519" t="s">
        <v>646</v>
      </c>
      <c r="J12" s="519" t="s">
        <v>974</v>
      </c>
      <c r="K12" s="519" t="s">
        <v>963</v>
      </c>
    </row>
    <row r="13" spans="1:11" ht="15.75">
      <c r="D13" s="225" t="s">
        <v>466</v>
      </c>
      <c r="E13" s="230">
        <f>SUM(E3:E9)</f>
        <v>0</v>
      </c>
      <c r="F13" s="517">
        <f>SUM(F3:F4)-SUM(E3:E4)</f>
        <v>0</v>
      </c>
      <c r="G13" s="517">
        <f>SUM(D38+D37+D39)</f>
        <v>0</v>
      </c>
      <c r="H13" s="518">
        <f>D48+D49+D50</f>
        <v>12.5</v>
      </c>
      <c r="I13" s="517">
        <f>E11</f>
        <v>0</v>
      </c>
      <c r="J13" s="517">
        <f>F21</f>
        <v>0</v>
      </c>
      <c r="K13" s="517">
        <f>SUM(F13:I13)</f>
        <v>12.5</v>
      </c>
    </row>
    <row r="14" spans="1:11" ht="18.75">
      <c r="A14" s="797" t="s">
        <v>447</v>
      </c>
      <c r="B14" s="798"/>
      <c r="C14" s="799"/>
    </row>
    <row r="15" spans="1:11" ht="15.75" thickBot="1">
      <c r="A15" s="218" t="s">
        <v>450</v>
      </c>
      <c r="B15" s="218" t="s">
        <v>451</v>
      </c>
      <c r="C15" s="218" t="s">
        <v>76</v>
      </c>
      <c r="D15" s="218" t="s">
        <v>684</v>
      </c>
      <c r="E15" s="218" t="s">
        <v>666</v>
      </c>
      <c r="F15" s="221"/>
    </row>
    <row r="16" spans="1:11" ht="15.75">
      <c r="A16" s="1" t="s">
        <v>448</v>
      </c>
      <c r="B16" s="1">
        <f>IFERROR(
  CHOOSE(
    MATCH('Tableau OFFSET'!A40, {"Noir";"Bichromie";"Quadrichromie";"Quadrichromie + Vernis Machine"}, 0),
    1, 2, 4, 5
  )
  * (1 + ('Tableau OFFSET'!B40="Oui"))
  / IF(AND('Tableau OFFSET'!B40="Oui",E16="Oui"),2,1)
  *
  IF(IF($B$5&lt;2,1,$B$5)&lt;=$C$5,1,ROUNDUP(IF($B$5&lt;2,1,$B$5)/$C$5,0)),
  0
)</f>
        <v>0</v>
      </c>
      <c r="C16" s="48">
        <f>IFERROR(B16*11, 0)</f>
        <v>0</v>
      </c>
      <c r="D16" s="316">
        <v>12.5</v>
      </c>
      <c r="E16" s="159" t="str">
        <f>IF(
  AND(
    'Tableau OFFSET'!B40="Oui",
    MOD($C$5,2)=0,
    2*IF($B$5&lt;2,1,$B$5)&lt;=$C$5
  ),
  "Oui",
  "Non"
)</f>
        <v>Non</v>
      </c>
      <c r="F16" s="558" t="s">
        <v>972</v>
      </c>
    </row>
    <row r="17" spans="1:13">
      <c r="A17" s="1" t="s">
        <v>446</v>
      </c>
      <c r="B17" s="1">
        <f>B16</f>
        <v>0</v>
      </c>
      <c r="C17" s="48">
        <f>IFERROR(B17*5.5, 0)</f>
        <v>0</v>
      </c>
      <c r="D17" s="221"/>
      <c r="F17" s="561">
        <f>IFERROR( (F13+G13+H13+J13) / (E13+F13+G13+H13), 0 )</f>
        <v>1</v>
      </c>
    </row>
    <row r="18" spans="1:13" ht="15.75">
      <c r="A18" s="1" t="s">
        <v>452</v>
      </c>
      <c r="B18" s="1">
        <f>IFERROR((M56+A4) * (1 + ('Tableau OFFSET'!B40="Oui")) / 1000, "")</f>
        <v>0</v>
      </c>
      <c r="C18" s="48">
        <f>IFERROR(
  B18 * IF('Tableau OFFSET'!A11="Quadrichromie + Vernis Machine", I60, I56)
  + IF(B18&gt;0,I47,0),
  0
)</f>
        <v>0</v>
      </c>
      <c r="D18" s="220"/>
      <c r="F18" s="674"/>
    </row>
    <row r="19" spans="1:13" ht="15" customHeight="1" thickBot="1">
      <c r="B19" s="229" t="s">
        <v>453</v>
      </c>
      <c r="C19" s="803">
        <f>C17+C16+D16+C18</f>
        <v>12.5</v>
      </c>
      <c r="D19" s="804"/>
      <c r="F19" s="675"/>
    </row>
    <row r="20" spans="1:13" ht="15.75" customHeight="1">
      <c r="F20" s="559" t="s">
        <v>975</v>
      </c>
    </row>
    <row r="21" spans="1:13" ht="15" customHeight="1" thickBot="1">
      <c r="A21" s="802" t="s">
        <v>1</v>
      </c>
      <c r="B21" s="802"/>
      <c r="C21" s="802"/>
      <c r="F21" s="562"/>
    </row>
    <row r="22" spans="1:13" ht="15" customHeight="1">
      <c r="A22" s="218" t="s">
        <v>450</v>
      </c>
      <c r="B22" s="218"/>
      <c r="C22" s="218" t="s">
        <v>76</v>
      </c>
      <c r="D22" s="299" t="s">
        <v>750</v>
      </c>
      <c r="E22" s="318" t="s">
        <v>699</v>
      </c>
      <c r="F22" s="509"/>
    </row>
    <row r="23" spans="1:13" ht="15" customHeight="1">
      <c r="A23" s="139" t="s">
        <v>919</v>
      </c>
      <c r="B23" s="319"/>
      <c r="C23" s="421">
        <f>IF('Tableau OFFSET'!A42&lt;&gt;"Dépliant",0,
  INDEX('Tableau Façonnage OFFSET'!AB8:AB15,'Tableau OFFSET'!C42+'Tableau OFFSET'!E42)
  +
  INDEX('Tableau Façonnage OFFSET'!AB18:AB25,'Tableau OFFSET'!C42+'Tableau OFFSET'!E42)
  *
  MAX(
    MID('Tableau OFFSET'!C35,1,SEARCH("x",'Tableau OFFSET'!C35)-1)+0,
    MID('Tableau OFFSET'!C35,SEARCH("x",'Tableau OFFSET'!C35)+1,10)+0
  )
  *
  'Tableau OFFSET'!A35 / 100000
  + 30
)</f>
        <v>0</v>
      </c>
      <c r="D23" s="320"/>
      <c r="E23" s="366" t="str">
        <f>IF(A23="","",IF(A23="Dos carré collé",
IF(OR('Tableau OFFSET'!D3&gt;3,'Tableau OFFSET'!D3&lt;0.3),"+20 % (Dos extrême)",""),
IF(A23="Dos carré collé PUR",
IF(1,
IF(OR('Tableau OFFSET'!D3&gt;3,'Tableau OFFSET'!D3&lt;0.3),"+20 % (Dos extrême) ","")&amp;
IF('Tableau OFFSET'!A8&gt;170,"+15 % (&gt;170g) ","")&amp;
IF(AND('Tableau OFFSET'!A7="Couché Mat",'Tableau OFFSET'!A8&gt;115),"+10 % (C. Mat &gt;115g) ","")&amp;
IF(AND('Tableau OFFSET'!A7="Couché Satin",'Tableau OFFSET'!A8&gt;115),"+5 % (C. Satin &gt;115g) ","")&amp;
IF('Tableau OFFSET'!A8&lt;70,"+20 % (&lt;70g) ","")
),
IF(A23="Dos carré collé avec couture",
IF(1,
IF(OR('Tableau OFFSET'!D3&gt;3,'Tableau OFFSET'!D3&lt;0.3),"+20 % (Dos extrême) ","")&amp;
IF('Tableau OFFSET'!A8&lt;70,"+20 % (&lt;70g) ","")&amp;
IF(AND('Tableau OFFSET'!A7="Couché Mat",'Tableau OFFSET'!A8&gt;115),"+15 % (C. Mat &gt;115g) ","")&amp;
IF(AND('Tableau OFFSET'!A7="Couché Satin",'Tableau OFFSET'!A8&gt;115),"+5 % (C. Satin &gt;115g) ","")
),
""))))</f>
        <v/>
      </c>
      <c r="F23" s="367"/>
    </row>
    <row r="24" spans="1:13" ht="30" customHeight="1">
      <c r="A24" s="139" t="s">
        <v>835</v>
      </c>
      <c r="B24" s="319"/>
      <c r="C24" s="421">
        <f>IF(OR('Tableau OFFSET'!A35=0, 'Tableau OFFSET'!A35=""),
  0,
  20
  + ('Tableau OFFSET'!A35 * 0.0001)
  + IF($B$5&lt;2,
       0,
       IF($B$5&lt;=4,
          (15 + (C7 * 0.0002)) * $B$5,
          (2.5 + (C7 * 0.0002)) * $B$5
       )
    )
)</f>
        <v>0</v>
      </c>
      <c r="D24" s="491"/>
      <c r="E24" s="367"/>
      <c r="F24" s="367"/>
    </row>
    <row r="25" spans="1:13" ht="30" customHeight="1">
      <c r="A25" s="218" t="s">
        <v>450</v>
      </c>
      <c r="B25" s="218" t="s">
        <v>487</v>
      </c>
      <c r="C25" s="218" t="s">
        <v>76</v>
      </c>
    </row>
    <row r="26" spans="1:13">
      <c r="A26" s="1" t="s">
        <v>469</v>
      </c>
      <c r="B26" s="1">
        <f>IFERROR(
  IF(OR('Tableau OFFSET'!C40="Rien", 'Tableau OFFSET'!C40=""), 0,
    A2 *
    IF(C3="64x90", 0.576,
      IF(C3="65x92", 0.598,
        IF(C3="72x102", 0.7344, 0)
      )
    )
    * IF('Tableau OFFSET'!C40="Recto Verso", 2, 1)
  ),
  0
)</f>
        <v>0</v>
      </c>
      <c r="C26" s="423">
        <f>IFERROR(
  IF(OR('Tableau OFFSET'!C40="Non", B26=0), 0,
    MAX(
      B26 *
      CHOOSE(
        MATCH('Tableau OFFSET'!D40, {"Brillant";"Mat";"Soft touch"}, 0),
        'Tableau Façonnage OFFSET'!S4,
        'Tableau Façonnage OFFSET'!S5,
        'Tableau Façonnage OFFSET'!S6
      ),
      'Tableau Façonnage OFFSET'!S8
    ) + 'Tableau Façonnage OFFSET'!S7
  ),
  0
)</f>
        <v>0</v>
      </c>
      <c r="H26" s="372"/>
      <c r="I26" s="372"/>
      <c r="J26" s="372"/>
      <c r="K26" s="372"/>
      <c r="L26" s="372"/>
      <c r="M26" s="372"/>
    </row>
    <row r="27" spans="1:13">
      <c r="A27" s="218" t="s">
        <v>450</v>
      </c>
      <c r="B27" s="218" t="s">
        <v>490</v>
      </c>
      <c r="C27" s="218" t="s">
        <v>76</v>
      </c>
      <c r="H27" s="372"/>
      <c r="I27" s="372"/>
      <c r="J27" s="372"/>
      <c r="K27" s="372"/>
      <c r="L27" s="372"/>
      <c r="M27" s="372"/>
    </row>
    <row r="28" spans="1:13">
      <c r="A28" s="1" t="s">
        <v>492</v>
      </c>
      <c r="B28" s="1">
        <f>IF('Tableau OFFSET'!A47="Oui",
  ROUNDUP('Tableau OFFSET'!B59 / 'Tableau Façonnage OFFSET'!I42, 0),
  0)</f>
        <v>0</v>
      </c>
      <c r="C28" s="422">
        <f>IF('Tableau OFFSET'!A47="Oui",
  ROUNDUP('Tableau OFFSET'!B59 / 'Tableau Façonnage OFFSET'!I42, 0),
  0)</f>
        <v>0</v>
      </c>
    </row>
    <row r="29" spans="1:13">
      <c r="A29" s="296" t="s">
        <v>491</v>
      </c>
      <c r="B29" s="1">
        <f>IF('Tableau OFFSET'!B59="", 0,
  ROUNDUP('Tableau OFFSET'!B59 / ('Tableau Façonnage OFFSET'!L42 + 100), 0)
)</f>
        <v>0</v>
      </c>
      <c r="C29" s="498">
        <f>IFERROR(
  IF(B29=0, 0,
    IF(B29=1,
      'Tableau Façonnage OFFSET'!L45,
      'Tableau Façonnage OFFSET'!L45 + (B29 - 1) * 'Tableau Façonnage OFFSET'!L46
    )
  ) + B29 * 5,
  0
)</f>
        <v>0</v>
      </c>
    </row>
    <row r="30" spans="1:13">
      <c r="A30" s="218" t="s">
        <v>450</v>
      </c>
      <c r="B30" s="218" t="s">
        <v>650</v>
      </c>
      <c r="C30" s="218" t="s">
        <v>76</v>
      </c>
    </row>
    <row r="31" spans="1:13">
      <c r="A31" s="1" t="s">
        <v>489</v>
      </c>
      <c r="B31" s="1">
        <f>IF('Tableau OFFSET'!A49="Non", 0,
 IF('Tableau OFFSET'!A49="A l'unité", 'Tableau OFFSET'!A31,
 IF('Tableau OFFSET'!A49="Par 2", ROUNDUP('Tableau OFFSET'!A31 / 2, 0),
 IF('Tableau OFFSET'!A49="Par 3", ROUNDUP('Tableau OFFSET'!A31 / 3, 0),
 IF('Tableau OFFSET'!A49="Par 4", ROUNDUP('Tableau OFFSET'!A31 / 4, 0),
 IF('Tableau OFFSET'!A49="Par 5-10", ROUNDUP('Tableau OFFSET'!A31 / 8, 0),
 IF('Tableau OFFSET'!A49="Par paquet", ROUNDUP('Tableau OFFSET'!B28 / 'Tableau Façonnage OFFSET'!B48, 0),
 0)))))))</f>
        <v>0</v>
      </c>
      <c r="C31" s="422">
        <f>IF('Tableau OFFSET'!A49="Non", 0,
  IF('Tableau OFFSET'!A49="A l'unité", 'Tableau OFFSET'!A3 * 'Tableau Façonnage OFFSET'!C41,
  IF('Tableau OFFSET'!A49="Par 2", ROUNDUP('Tableau OFFSET'!A31/2,0) * 'Tableau Façonnage OFFSET'!C42,
  IF('Tableau OFFSET'!A49="Par 3", ROUNDUP('Tableau OFFSET'!A31/3,0) * 'Tableau Façonnage OFFSET'!C43,
  IF('Tableau OFFSET'!A49="Par 4", ROUNDUP('Tableau OFFSET'!A31/4,0) * 'Tableau Façonnage OFFSET'!C44,
  IF('Tableau OFFSET'!A49="Par 5-10", ROUNDUP('Tableau OFFSET'!A31/8,0) * 'Tableau Façonnage OFFSET'!C45,
  IF('Tableau OFFSET'!A49="Par paquet", ROUNDUP('Tableau OFFSET'!B28 / 'Tableau Façonnage OFFSET'!B48,0) * 'Tableau Façonnage OFFSET'!B52,
  0)))))))</f>
        <v>0</v>
      </c>
    </row>
    <row r="32" spans="1:13">
      <c r="A32" s="1" t="s">
        <v>703</v>
      </c>
      <c r="B32" s="1">
        <f>IF('Tableau OFFSET'!B49="Oui",
   ROUNDUP('Tableau OFFSET'!B28 / 'Tableau Façonnage OFFSET'!B57, 0),
   0)</f>
        <v>0</v>
      </c>
      <c r="C32" s="422">
        <f>IF(B32=0, 0, B32 * 'Tableau Façonnage OFFSET'!B61 + 'Tableau Façonnage OFFSET'!B60)</f>
        <v>0</v>
      </c>
    </row>
    <row r="34" spans="1:16" ht="18.75">
      <c r="A34" s="811" t="s">
        <v>933</v>
      </c>
      <c r="B34" s="811"/>
      <c r="C34" s="811"/>
      <c r="D34" s="811"/>
      <c r="E34" s="811"/>
      <c r="F34" s="811"/>
      <c r="G34" s="811"/>
    </row>
    <row r="35" spans="1:16" ht="18.75">
      <c r="A35" s="805" t="s">
        <v>1</v>
      </c>
      <c r="B35" s="806"/>
      <c r="C35" s="806"/>
      <c r="D35" s="806"/>
      <c r="E35" s="806"/>
      <c r="F35" s="806"/>
      <c r="G35" s="806"/>
    </row>
    <row r="36" spans="1:16">
      <c r="A36" s="1"/>
      <c r="B36" s="159" t="s">
        <v>934</v>
      </c>
      <c r="C36" s="159" t="s">
        <v>935</v>
      </c>
      <c r="D36" s="159" t="s">
        <v>936</v>
      </c>
      <c r="E36" s="210" t="s">
        <v>946</v>
      </c>
      <c r="F36" s="210" t="s">
        <v>944</v>
      </c>
      <c r="G36" s="366" t="s">
        <v>945</v>
      </c>
    </row>
    <row r="37" spans="1:16">
      <c r="A37" s="211" t="str">
        <f>A23</f>
        <v>Pliage</v>
      </c>
      <c r="B37" s="48">
        <f>C23</f>
        <v>0</v>
      </c>
      <c r="C37" s="338"/>
      <c r="D37" s="48">
        <f>B37-(B37*C37)</f>
        <v>0</v>
      </c>
      <c r="E37" s="48">
        <f t="shared" ref="E37:E43" si="0">D37-B37</f>
        <v>0</v>
      </c>
      <c r="F37" s="812">
        <f>SUM(D37:D43)</f>
        <v>0</v>
      </c>
      <c r="G37" s="812">
        <f>F37-SUM(B37:B43)</f>
        <v>0</v>
      </c>
    </row>
    <row r="38" spans="1:16">
      <c r="A38" s="508" t="str">
        <f>A24</f>
        <v>Coupe</v>
      </c>
      <c r="B38" s="48">
        <f>C24</f>
        <v>0</v>
      </c>
      <c r="C38" s="338"/>
      <c r="D38" s="48">
        <f t="shared" ref="D38:D42" si="1">B38-(B38*C38)</f>
        <v>0</v>
      </c>
      <c r="E38" s="48">
        <f t="shared" si="0"/>
        <v>0</v>
      </c>
      <c r="F38" s="812"/>
      <c r="G38" s="812"/>
    </row>
    <row r="39" spans="1:16">
      <c r="A39" s="211" t="str">
        <f>A26</f>
        <v>Pelliculage</v>
      </c>
      <c r="B39" s="48">
        <f>C26</f>
        <v>0</v>
      </c>
      <c r="C39" s="338"/>
      <c r="D39" s="48">
        <f t="shared" si="1"/>
        <v>0</v>
      </c>
      <c r="E39" s="48">
        <f t="shared" si="0"/>
        <v>0</v>
      </c>
      <c r="F39" s="812"/>
      <c r="G39" s="812"/>
    </row>
    <row r="40" spans="1:16">
      <c r="A40" s="211" t="str">
        <f>A28</f>
        <v>Cartons</v>
      </c>
      <c r="B40" s="48">
        <f>C28</f>
        <v>0</v>
      </c>
      <c r="C40" s="338"/>
      <c r="D40" s="48">
        <f t="shared" si="1"/>
        <v>0</v>
      </c>
      <c r="E40" s="48">
        <f t="shared" si="0"/>
        <v>0</v>
      </c>
      <c r="F40" s="812"/>
      <c r="G40" s="812"/>
    </row>
    <row r="41" spans="1:16">
      <c r="A41" s="211" t="str">
        <f>A29</f>
        <v>Palettes</v>
      </c>
      <c r="B41" s="48">
        <f>C29</f>
        <v>0</v>
      </c>
      <c r="C41" s="338"/>
      <c r="D41" s="48">
        <f t="shared" si="1"/>
        <v>0</v>
      </c>
      <c r="E41" s="48">
        <f t="shared" si="0"/>
        <v>0</v>
      </c>
      <c r="F41" s="812"/>
      <c r="G41" s="812"/>
    </row>
    <row r="42" spans="1:16">
      <c r="A42" s="507" t="str">
        <f>A31</f>
        <v>Mise sous film</v>
      </c>
      <c r="B42" s="48">
        <f>C31</f>
        <v>0</v>
      </c>
      <c r="C42" s="338"/>
      <c r="D42" s="48">
        <f t="shared" si="1"/>
        <v>0</v>
      </c>
      <c r="E42" s="48">
        <f t="shared" si="0"/>
        <v>0</v>
      </c>
      <c r="F42" s="812"/>
      <c r="G42" s="812"/>
    </row>
    <row r="43" spans="1:16">
      <c r="A43" s="507" t="str">
        <f>A32</f>
        <v>Mise sous élastiques</v>
      </c>
      <c r="B43" s="48">
        <f>C32</f>
        <v>0</v>
      </c>
      <c r="C43" s="338"/>
      <c r="D43" s="48">
        <f>B43-(B43*C43)</f>
        <v>0</v>
      </c>
      <c r="E43" s="48">
        <f t="shared" si="0"/>
        <v>0</v>
      </c>
      <c r="F43" s="812"/>
      <c r="G43" s="812"/>
    </row>
    <row r="44" spans="1:16" ht="18.75">
      <c r="A44" s="797" t="s">
        <v>447</v>
      </c>
      <c r="B44" s="798"/>
      <c r="C44" s="798"/>
      <c r="D44" s="798"/>
      <c r="E44" s="798"/>
      <c r="F44" s="798"/>
      <c r="G44" s="798"/>
    </row>
    <row r="45" spans="1:16" ht="30">
      <c r="A45" s="191"/>
      <c r="B45" s="210" t="s">
        <v>934</v>
      </c>
      <c r="C45" s="210"/>
      <c r="D45" s="210" t="s">
        <v>943</v>
      </c>
      <c r="E45" s="210" t="s">
        <v>946</v>
      </c>
      <c r="F45" s="210" t="s">
        <v>944</v>
      </c>
      <c r="G45" s="210" t="s">
        <v>945</v>
      </c>
      <c r="H45" s="234" t="s">
        <v>377</v>
      </c>
      <c r="I45" s="234" t="s">
        <v>345</v>
      </c>
      <c r="J45" s="234" t="s">
        <v>346</v>
      </c>
    </row>
    <row r="46" spans="1:16">
      <c r="A46" s="1" t="s">
        <v>448</v>
      </c>
      <c r="B46" s="48">
        <f>C16</f>
        <v>0</v>
      </c>
      <c r="C46" s="338"/>
      <c r="D46" s="48">
        <f>B46-(B46*C46)</f>
        <v>0</v>
      </c>
      <c r="E46" s="48">
        <f>D46-B46</f>
        <v>0</v>
      </c>
      <c r="F46" s="812">
        <f>SUM(D46:D50)</f>
        <v>12.5</v>
      </c>
      <c r="G46" s="812">
        <f>F46-(SUM(B46:B50))</f>
        <v>0</v>
      </c>
      <c r="H46" s="1" t="s">
        <v>347</v>
      </c>
      <c r="I46" s="1">
        <v>290</v>
      </c>
      <c r="J46" s="1" t="s">
        <v>348</v>
      </c>
    </row>
    <row r="47" spans="1:16" ht="45">
      <c r="A47" s="1" t="s">
        <v>449</v>
      </c>
      <c r="B47" s="48"/>
      <c r="C47" s="338"/>
      <c r="D47" s="48">
        <f t="shared" ref="D47:D50" si="2">B47-(B47*C47)</f>
        <v>0</v>
      </c>
      <c r="E47" s="48">
        <f>D47-B47</f>
        <v>0</v>
      </c>
      <c r="F47" s="813"/>
      <c r="G47" s="813"/>
      <c r="H47" s="1" t="s">
        <v>1070</v>
      </c>
      <c r="I47" s="1">
        <v>50</v>
      </c>
      <c r="J47" s="1"/>
      <c r="L47" s="300" t="s">
        <v>669</v>
      </c>
      <c r="M47" s="300" t="s">
        <v>670</v>
      </c>
      <c r="P47" s="122"/>
    </row>
    <row r="48" spans="1:16" ht="15" customHeight="1">
      <c r="A48" s="1" t="s">
        <v>446</v>
      </c>
      <c r="B48" s="48">
        <f>C17</f>
        <v>0</v>
      </c>
      <c r="C48" s="338"/>
      <c r="D48" s="48">
        <f t="shared" si="2"/>
        <v>0</v>
      </c>
      <c r="E48" s="48">
        <f>D48-B48</f>
        <v>0</v>
      </c>
      <c r="F48" s="813"/>
      <c r="G48" s="813"/>
      <c r="H48" s="1" t="s">
        <v>358</v>
      </c>
      <c r="I48" s="1">
        <v>6</v>
      </c>
      <c r="J48" s="1" t="s">
        <v>386</v>
      </c>
      <c r="L48" s="301" t="s">
        <v>671</v>
      </c>
      <c r="M48" s="301" t="e">
        <f>--LEFT('Tableau OFFSET'!B35,FIND("x",'Tableau OFFSET'!B35)-1)</f>
        <v>#VALUE!</v>
      </c>
      <c r="N48" s="301" t="s">
        <v>912</v>
      </c>
      <c r="O48" s="301">
        <f>IFERROR(
  IF('Tableau OFFSET'!C35&lt;&gt;"",
    LEFT('Tableau OFFSET'!C35,SEARCH("x",'Tableau OFFSET'!C35)-1)*1,
    LEFT('Tableau OFFSET'!B35,SEARCH("x",'Tableau OFFSET'!B35)-1)*1 * IF('Tableau OFFSET'!A42="Dépliant",'Tableau OFFSET'!D35,1)
  ),
0)</f>
        <v>0</v>
      </c>
    </row>
    <row r="49" spans="1:15" ht="15" customHeight="1">
      <c r="A49" s="1" t="s">
        <v>452</v>
      </c>
      <c r="B49" s="48">
        <f>C18</f>
        <v>0</v>
      </c>
      <c r="C49" s="338"/>
      <c r="D49" s="48">
        <f t="shared" si="2"/>
        <v>0</v>
      </c>
      <c r="E49" s="48">
        <f>D49-B49</f>
        <v>0</v>
      </c>
      <c r="F49" s="813"/>
      <c r="G49" s="813"/>
      <c r="H49" s="1" t="s">
        <v>219</v>
      </c>
      <c r="I49" s="1">
        <v>6</v>
      </c>
      <c r="J49" s="1" t="s">
        <v>386</v>
      </c>
      <c r="L49" s="301" t="s">
        <v>672</v>
      </c>
      <c r="M49" s="301" t="e">
        <f>--RIGHT('Tableau OFFSET'!B35,LEN('Tableau OFFSET'!B35)-FIND("x",'Tableau OFFSET'!B35))</f>
        <v>#VALUE!</v>
      </c>
      <c r="N49" s="301" t="s">
        <v>913</v>
      </c>
      <c r="O49" s="301">
        <f>IFERROR(
  IF('Tableau OFFSET'!C35&lt;&gt;"",
    RIGHT('Tableau OFFSET'!C35,LEN('Tableau OFFSET'!C35)-SEARCH("x",'Tableau OFFSET'!C35))*1,
    RIGHT('Tableau OFFSET'!B35,LEN('Tableau OFFSET'!B35)-SEARCH("x",'Tableau OFFSET'!B35))*1 * (1 + IF('Tableau OFFSET'!A42="Dépliant",IF('Tableau OFFSET'!D42="Croisé",'Tableau OFFSET'!E42,0),0))
  ),
0)</f>
        <v>0</v>
      </c>
    </row>
    <row r="50" spans="1:15">
      <c r="A50" s="1" t="s">
        <v>937</v>
      </c>
      <c r="B50" s="48">
        <f>D16</f>
        <v>12.5</v>
      </c>
      <c r="C50" s="338"/>
      <c r="D50" s="48">
        <f t="shared" si="2"/>
        <v>12.5</v>
      </c>
      <c r="E50" s="48">
        <f>D50-B50</f>
        <v>0</v>
      </c>
      <c r="F50" s="813"/>
      <c r="G50" s="813"/>
      <c r="H50" s="1" t="s">
        <v>220</v>
      </c>
      <c r="I50" s="1">
        <v>10</v>
      </c>
      <c r="J50" s="1" t="s">
        <v>386</v>
      </c>
    </row>
    <row r="51" spans="1:15" ht="18.75">
      <c r="A51" s="817" t="s">
        <v>942</v>
      </c>
      <c r="B51" s="818"/>
      <c r="C51" s="818"/>
      <c r="D51" s="818"/>
      <c r="E51" s="818"/>
      <c r="F51" s="818"/>
      <c r="G51" s="819"/>
      <c r="H51" s="1" t="s">
        <v>369</v>
      </c>
      <c r="I51" s="1">
        <v>0</v>
      </c>
      <c r="J51" s="1" t="s">
        <v>386</v>
      </c>
      <c r="K51" s="625" t="s">
        <v>669</v>
      </c>
      <c r="L51" s="625" t="s">
        <v>991</v>
      </c>
      <c r="M51" s="625" t="s">
        <v>1037</v>
      </c>
      <c r="N51" s="625" t="s">
        <v>1038</v>
      </c>
    </row>
    <row r="52" spans="1:15" ht="15.75">
      <c r="A52" s="499" t="s">
        <v>949</v>
      </c>
      <c r="B52" s="50">
        <f>A8</f>
        <v>0</v>
      </c>
      <c r="C52" s="499"/>
      <c r="D52" s="50"/>
      <c r="G52"/>
      <c r="H52" s="1" t="s">
        <v>454</v>
      </c>
      <c r="I52" s="190">
        <v>3.5</v>
      </c>
      <c r="J52" s="190" t="s">
        <v>386</v>
      </c>
      <c r="K52" s="626" t="s">
        <v>674</v>
      </c>
      <c r="L52" s="626">
        <f>--RIGHT('Tableau papier'!C3,LEN('Tableau papier'!C3)-FIND("x",'Tableau papier'!C3))</f>
        <v>90</v>
      </c>
      <c r="M52" s="626">
        <f>--RIGHT('Tableau papier'!D3,LEN('Tableau papier'!D3)-FIND("x",'Tableau papier'!D3))</f>
        <v>92</v>
      </c>
      <c r="N52" s="626">
        <f>--RIGHT('Tableau papier'!E3,LEN('Tableau papier'!E3)-FIND("x",'Tableau papier'!E3))</f>
        <v>102</v>
      </c>
    </row>
    <row r="53" spans="1:15" ht="15.75">
      <c r="A53" s="502" t="s">
        <v>948</v>
      </c>
      <c r="B53" s="503">
        <f>A10</f>
        <v>0</v>
      </c>
      <c r="C53" s="502"/>
      <c r="D53" s="503"/>
      <c r="G53"/>
      <c r="K53" s="626" t="s">
        <v>675</v>
      </c>
      <c r="L53" s="626">
        <f>--LEFT('Tableau papier'!C3,FIND("x",'Tableau papier'!C3)-1)</f>
        <v>64</v>
      </c>
      <c r="M53" s="626">
        <f>--LEFT('Tableau papier'!D3,FIND("x",'Tableau papier'!D3)-1)</f>
        <v>65</v>
      </c>
      <c r="N53" s="626">
        <f>--LEFT('Tableau papier'!E3,FIND("x",'Tableau papier'!E3)-1)</f>
        <v>70</v>
      </c>
    </row>
    <row r="54" spans="1:15" ht="30">
      <c r="A54" s="191"/>
      <c r="B54" s="210" t="s">
        <v>934</v>
      </c>
      <c r="C54" s="159" t="s">
        <v>935</v>
      </c>
      <c r="D54" s="210" t="s">
        <v>936</v>
      </c>
      <c r="E54" s="210" t="s">
        <v>946</v>
      </c>
      <c r="F54" s="210" t="s">
        <v>944</v>
      </c>
      <c r="G54" s="210" t="s">
        <v>945</v>
      </c>
      <c r="H54" s="235" t="s">
        <v>378</v>
      </c>
      <c r="I54" s="234" t="s">
        <v>345</v>
      </c>
      <c r="J54" s="234" t="s">
        <v>346</v>
      </c>
      <c r="L54" s="627" t="s">
        <v>964</v>
      </c>
      <c r="M54" s="627" t="s">
        <v>667</v>
      </c>
      <c r="N54" s="627" t="s">
        <v>812</v>
      </c>
    </row>
    <row r="55" spans="1:15" ht="15.75">
      <c r="A55" s="1" t="s">
        <v>950</v>
      </c>
      <c r="B55" s="215">
        <f>A10</f>
        <v>0</v>
      </c>
      <c r="C55" s="338"/>
      <c r="D55" s="48">
        <f>B55-(B55*C55)</f>
        <v>0</v>
      </c>
      <c r="E55" s="48">
        <f>D55-B55</f>
        <v>0</v>
      </c>
      <c r="F55" s="812">
        <f>B55+E55</f>
        <v>0</v>
      </c>
      <c r="G55" s="812">
        <f>F55-B55</f>
        <v>0</v>
      </c>
      <c r="H55" s="1" t="s">
        <v>380</v>
      </c>
      <c r="I55" s="1">
        <v>25</v>
      </c>
      <c r="J55" s="1" t="s">
        <v>381</v>
      </c>
      <c r="K55" s="629" t="s">
        <v>676</v>
      </c>
      <c r="L55" s="628">
        <f>MAX(
 INT((L52-1.5-0.7-0.5)/(O48+0.5)) * INT((L53-0.5-0.5-0.5)/(O49+0.5)),
 INT((L52-1.5-0.7-0.5)/(O49+0.5)) * INT((L53-0.5-0.5-0.5)/(O48+0.5))
)</f>
        <v>21750</v>
      </c>
      <c r="M55" s="628">
        <f>MAX(
 INT((M52-1.5-0.7-0.5)/(O48+0.5)) * INT((M53-0.5-0.5-0.5)/(O49+0.5)),
 INT((M52-1.5-0.7-0.5)/(O49+0.5)) * INT((M53-0.5-0.5-0.5)/(O48+0.5))
)</f>
        <v>22606</v>
      </c>
      <c r="N55" s="628">
        <f>MAX(
 INT((N52-1.5-0.7-0.5)/(O48+0.5)) * INT((N53-0.5-0.5-0.5)/(O49+0.5)),
 INT((N52-1.5-0.7-0.5)/(O49+0.5)) * INT((N53-0.5-0.5-0.5)/(O48+0.5))
)</f>
        <v>27126</v>
      </c>
    </row>
    <row r="56" spans="1:15" ht="15.75">
      <c r="A56" s="1"/>
      <c r="B56" s="215"/>
      <c r="C56" s="338"/>
      <c r="D56" s="48"/>
      <c r="E56" s="48"/>
      <c r="F56" s="813"/>
      <c r="G56" s="813"/>
      <c r="H56" s="1" t="s">
        <v>384</v>
      </c>
      <c r="I56" s="1">
        <v>15</v>
      </c>
      <c r="J56" s="1" t="s">
        <v>381</v>
      </c>
      <c r="K56" s="629" t="s">
        <v>680</v>
      </c>
      <c r="L56" s="629">
        <f>ROUNDUP('Tableau OFFSET'!$A$35 / L55,0)</f>
        <v>0</v>
      </c>
      <c r="M56" s="629">
        <f>ROUNDUP('Tableau OFFSET'!$A$35 / M55,0)</f>
        <v>0</v>
      </c>
      <c r="N56" s="629">
        <f>ROUNDUP('Tableau OFFSET'!$A$35 / N55,0)</f>
        <v>0</v>
      </c>
    </row>
    <row r="57" spans="1:15">
      <c r="G57"/>
      <c r="H57" s="1" t="s">
        <v>387</v>
      </c>
      <c r="I57" s="1">
        <v>15</v>
      </c>
      <c r="J57" s="1" t="s">
        <v>381</v>
      </c>
    </row>
    <row r="58" spans="1:15" ht="18.75">
      <c r="A58" s="505" t="s">
        <v>947</v>
      </c>
      <c r="G58"/>
      <c r="H58" s="1" t="s">
        <v>389</v>
      </c>
      <c r="I58" s="1">
        <v>15</v>
      </c>
      <c r="J58" s="1" t="s">
        <v>381</v>
      </c>
    </row>
    <row r="59" spans="1:15" ht="21">
      <c r="A59" s="504">
        <f>SUM(G55+G37+G46)</f>
        <v>0</v>
      </c>
      <c r="G59"/>
      <c r="H59" s="1" t="s">
        <v>391</v>
      </c>
      <c r="I59" s="1">
        <v>15</v>
      </c>
      <c r="J59" s="1" t="s">
        <v>381</v>
      </c>
    </row>
    <row r="60" spans="1:15">
      <c r="H60" s="1" t="s">
        <v>766</v>
      </c>
      <c r="I60" s="1">
        <v>22</v>
      </c>
      <c r="J60" s="1" t="s">
        <v>381</v>
      </c>
    </row>
  </sheetData>
  <sheetProtection algorithmName="SHA-512" hashValue="cjoyHo7ctRfnc6rMXs6DvBlaesxzXE0hpZreC0p9kGA8NzxTY1O9mN6yYWO8NmQNIIUtz2DwY4OP0P1h3V84jQ==" saltValue="JA1cBb1EsVhDvWL6cTQHsA==" spinCount="100000" sheet="1" objects="1" scenarios="1"/>
  <mergeCells count="15">
    <mergeCell ref="A34:G34"/>
    <mergeCell ref="A35:G35"/>
    <mergeCell ref="A44:G44"/>
    <mergeCell ref="F37:F43"/>
    <mergeCell ref="G37:G43"/>
    <mergeCell ref="F46:F50"/>
    <mergeCell ref="G46:G50"/>
    <mergeCell ref="A51:G51"/>
    <mergeCell ref="F55:F56"/>
    <mergeCell ref="G55:G56"/>
    <mergeCell ref="D1:E1"/>
    <mergeCell ref="A14:C14"/>
    <mergeCell ref="C19:D19"/>
    <mergeCell ref="A21:C21"/>
    <mergeCell ref="B1:C1"/>
  </mergeCells>
  <dataValidations count="4">
    <dataValidation allowBlank="1" showInputMessage="1" showErrorMessage="1" prompt="Le tx de marque équivaut à Marge/CA" sqref="F17" xr:uid="{944F4A69-4DA2-4543-B64D-3C6C8FBFADB2}"/>
    <dataValidation allowBlank="1" showInputMessage="1" showErrorMessage="1" promptTitle="Taux de marge" sqref="F19" xr:uid="{0840570E-FCDB-41D9-B0A4-6867C8857DB4}"/>
    <dataValidation allowBlank="1" showInputMessage="1" showErrorMessage="1" promptTitle="Taux de Marque" prompt="Le tx de marque équivaut à Marge/CA" sqref="F16" xr:uid="{5527C726-546F-412A-9D2B-F572B971C0DC}"/>
    <dataValidation allowBlank="1" showInputMessage="1" showErrorMessage="1" prompt="Coût fixe ajouté I47" sqref="C18" xr:uid="{BB4FE9C5-29B7-40FA-94D6-E9D22DCCF6A4}"/>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ViderDetailsPrixDEPLIANTS">
                <anchor moveWithCells="1" sizeWithCells="1">
                  <from>
                    <xdr:col>5</xdr:col>
                    <xdr:colOff>152400</xdr:colOff>
                    <xdr:row>28</xdr:row>
                    <xdr:rowOff>0</xdr:rowOff>
                  </from>
                  <to>
                    <xdr:col>6</xdr:col>
                    <xdr:colOff>619125</xdr:colOff>
                    <xdr:row>32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9C499-C7E5-4B33-A95F-CE21F9B84F28}">
  <sheetPr codeName="Feuil17">
    <tabColor rgb="FFFFFF00"/>
  </sheetPr>
  <dimension ref="A1:BC2624"/>
  <sheetViews>
    <sheetView zoomScale="70" zoomScaleNormal="70" workbookViewId="0">
      <pane xSplit="1" topLeftCell="F1" activePane="topRight" state="frozen"/>
      <selection pane="topRight" activeCell="O8" sqref="O8:R10"/>
    </sheetView>
  </sheetViews>
  <sheetFormatPr baseColWidth="10" defaultRowHeight="15"/>
  <cols>
    <col min="1" max="1" width="49.85546875" customWidth="1"/>
    <col min="2" max="3" width="17.85546875" customWidth="1"/>
    <col min="4" max="4" width="33.140625" customWidth="1"/>
    <col min="5" max="5" width="29.42578125" customWidth="1"/>
    <col min="6" max="10" width="17.85546875" customWidth="1"/>
    <col min="11" max="11" width="21.28515625" customWidth="1"/>
    <col min="12" max="12" width="30.42578125" customWidth="1"/>
    <col min="13" max="15" width="17.85546875" customWidth="1"/>
    <col min="16" max="16" width="31" style="188" customWidth="1"/>
    <col min="17" max="17" width="29.28515625" customWidth="1"/>
    <col min="18" max="18" width="29.28515625" style="188" customWidth="1"/>
    <col min="19" max="19" width="23.85546875" customWidth="1"/>
    <col min="20" max="21" width="27.85546875" hidden="1" customWidth="1"/>
    <col min="22" max="24" width="29.140625" hidden="1" customWidth="1"/>
    <col min="25" max="26" width="23.140625" hidden="1" customWidth="1"/>
    <col min="27" max="29" width="29.140625" hidden="1" customWidth="1"/>
    <col min="30" max="33" width="23.140625" hidden="1" customWidth="1"/>
    <col min="34" max="34" width="16.5703125" hidden="1" customWidth="1"/>
    <col min="35" max="35" width="18.140625" hidden="1" customWidth="1"/>
    <col min="36" max="36" width="14.85546875" hidden="1" customWidth="1"/>
    <col min="37" max="37" width="18.5703125" hidden="1" customWidth="1"/>
    <col min="38" max="38" width="18.85546875" hidden="1" customWidth="1"/>
    <col min="39" max="39" width="25.140625" hidden="1" customWidth="1"/>
    <col min="40" max="40" width="21.140625" hidden="1" customWidth="1"/>
    <col min="41" max="41" width="17.7109375" hidden="1" customWidth="1"/>
    <col min="42" max="42" width="0" hidden="1" customWidth="1"/>
    <col min="43" max="43" width="20.140625" hidden="1" customWidth="1"/>
    <col min="44" max="44" width="18.140625" style="618" hidden="1" customWidth="1"/>
    <col min="45" max="45" width="15.5703125" style="618" hidden="1" customWidth="1"/>
    <col min="46" max="55" width="19.28515625" customWidth="1"/>
  </cols>
  <sheetData>
    <row r="1" spans="1:55" ht="50.25" customHeight="1">
      <c r="A1" s="823" t="s">
        <v>1034</v>
      </c>
      <c r="B1" s="823"/>
      <c r="C1" s="823"/>
      <c r="D1" s="823"/>
      <c r="E1" s="823"/>
      <c r="F1" s="823"/>
      <c r="G1" s="823"/>
      <c r="H1" s="823"/>
      <c r="I1" s="823"/>
      <c r="J1" s="823"/>
      <c r="K1" s="823"/>
      <c r="L1" s="823"/>
      <c r="M1" s="823"/>
      <c r="N1" s="823"/>
      <c r="O1" s="823"/>
      <c r="P1" s="823"/>
      <c r="Q1" s="823"/>
      <c r="R1" s="824"/>
      <c r="S1" s="585" t="s">
        <v>1009</v>
      </c>
      <c r="T1" s="825" t="s">
        <v>992</v>
      </c>
      <c r="U1" s="826"/>
      <c r="V1" s="826"/>
      <c r="W1" s="826"/>
      <c r="X1" s="826"/>
      <c r="Y1" s="826"/>
      <c r="Z1" s="826"/>
      <c r="AA1" s="826"/>
      <c r="AB1" s="826"/>
      <c r="AC1" s="826"/>
      <c r="AD1" s="826"/>
      <c r="AE1" s="826"/>
      <c r="AF1" s="826"/>
      <c r="AG1" s="826"/>
      <c r="AH1" s="826"/>
      <c r="AI1" s="826"/>
      <c r="AJ1" s="826"/>
      <c r="AK1" s="826"/>
      <c r="AL1" s="826"/>
      <c r="AM1" s="826"/>
      <c r="AN1" s="826"/>
      <c r="AO1" s="826"/>
      <c r="AP1" s="826"/>
      <c r="AQ1" s="826"/>
      <c r="AR1" s="826"/>
      <c r="AS1" s="826"/>
      <c r="AT1" s="367"/>
      <c r="AU1" s="367"/>
      <c r="AV1" s="367"/>
      <c r="AW1" s="367"/>
      <c r="AX1" s="367"/>
      <c r="AY1" s="367"/>
      <c r="AZ1" s="367"/>
      <c r="BA1" s="188"/>
      <c r="BB1" s="188"/>
      <c r="BC1" s="188"/>
    </row>
    <row r="2" spans="1:55" ht="30">
      <c r="A2" s="587" t="s">
        <v>1021</v>
      </c>
      <c r="B2" s="587" t="s">
        <v>0</v>
      </c>
      <c r="C2" s="587" t="s">
        <v>991</v>
      </c>
      <c r="D2" s="587" t="s">
        <v>1022</v>
      </c>
      <c r="E2" s="587" t="s">
        <v>1023</v>
      </c>
      <c r="F2" s="587" t="s">
        <v>1024</v>
      </c>
      <c r="G2" s="587" t="s">
        <v>1025</v>
      </c>
      <c r="H2" s="587" t="s">
        <v>1026</v>
      </c>
      <c r="I2" s="593" t="s">
        <v>1027</v>
      </c>
      <c r="J2" s="594" t="s">
        <v>1028</v>
      </c>
      <c r="K2" s="587" t="s">
        <v>1029</v>
      </c>
      <c r="L2" s="594" t="s">
        <v>1</v>
      </c>
      <c r="M2" s="594" t="s">
        <v>469</v>
      </c>
      <c r="N2" s="587" t="s">
        <v>987</v>
      </c>
      <c r="O2" s="587" t="s">
        <v>988</v>
      </c>
      <c r="P2" s="587" t="s">
        <v>989</v>
      </c>
      <c r="Q2" s="587" t="s">
        <v>990</v>
      </c>
      <c r="R2" s="587"/>
      <c r="S2" s="595">
        <v>3</v>
      </c>
      <c r="T2" s="591" t="s">
        <v>1016</v>
      </c>
      <c r="U2" s="591" t="s">
        <v>1018</v>
      </c>
      <c r="V2" s="591" t="s">
        <v>1019</v>
      </c>
      <c r="W2" s="591" t="s">
        <v>1015</v>
      </c>
      <c r="X2" s="591" t="s">
        <v>993</v>
      </c>
      <c r="Y2" s="591" t="s">
        <v>1020</v>
      </c>
      <c r="Z2" s="591" t="s">
        <v>1017</v>
      </c>
      <c r="AA2" s="591" t="s">
        <v>1014</v>
      </c>
      <c r="AB2" s="591" t="s">
        <v>1013</v>
      </c>
      <c r="AC2" s="591" t="s">
        <v>994</v>
      </c>
      <c r="AD2" s="591" t="s">
        <v>995</v>
      </c>
      <c r="AE2" s="591" t="s">
        <v>998</v>
      </c>
      <c r="AF2" s="591" t="s">
        <v>996</v>
      </c>
      <c r="AG2" s="591" t="s">
        <v>997</v>
      </c>
      <c r="AH2" s="591" t="s">
        <v>999</v>
      </c>
      <c r="AI2" s="591" t="s">
        <v>1000</v>
      </c>
      <c r="AJ2" s="591" t="s">
        <v>1001</v>
      </c>
      <c r="AK2" s="591" t="s">
        <v>1002</v>
      </c>
      <c r="AL2" s="591" t="s">
        <v>1003</v>
      </c>
      <c r="AM2" s="591" t="s">
        <v>1004</v>
      </c>
      <c r="AN2" s="591" t="s">
        <v>1005</v>
      </c>
      <c r="AO2" s="591" t="s">
        <v>1006</v>
      </c>
      <c r="AP2" s="591" t="s">
        <v>1007</v>
      </c>
      <c r="AQ2" s="591" t="s">
        <v>1008</v>
      </c>
      <c r="AR2" s="592" t="s">
        <v>1032</v>
      </c>
      <c r="AS2" s="616" t="s">
        <v>1033</v>
      </c>
      <c r="AT2" s="367"/>
      <c r="AU2" s="367"/>
      <c r="AV2" s="367"/>
      <c r="AW2" s="367"/>
      <c r="AX2" s="367"/>
      <c r="AY2" s="367"/>
    </row>
    <row r="3" spans="1:55" ht="15.75">
      <c r="A3" s="190"/>
      <c r="B3" s="366">
        <v>500</v>
      </c>
      <c r="C3" s="366" t="s">
        <v>1031</v>
      </c>
      <c r="D3" s="596" t="s">
        <v>7</v>
      </c>
      <c r="E3" s="596" t="s">
        <v>7</v>
      </c>
      <c r="F3" s="366">
        <v>76</v>
      </c>
      <c r="G3" s="597">
        <v>4</v>
      </c>
      <c r="H3" s="598" t="s">
        <v>700</v>
      </c>
      <c r="I3" s="599">
        <v>90</v>
      </c>
      <c r="J3" s="598" t="s">
        <v>700</v>
      </c>
      <c r="K3" s="600">
        <v>200</v>
      </c>
      <c r="L3" s="596" t="s">
        <v>139</v>
      </c>
      <c r="M3" s="596" t="s">
        <v>648</v>
      </c>
      <c r="N3" s="597" t="s">
        <v>183</v>
      </c>
      <c r="O3" s="597" t="s">
        <v>80</v>
      </c>
      <c r="P3" s="610">
        <v>973</v>
      </c>
      <c r="Q3" s="613">
        <v>974</v>
      </c>
      <c r="R3" s="608">
        <v>972.64490000000001</v>
      </c>
      <c r="S3" s="604"/>
      <c r="T3" s="601">
        <v>144.61000000000001</v>
      </c>
      <c r="U3" s="601">
        <v>21.69</v>
      </c>
      <c r="V3" s="366">
        <v>1188</v>
      </c>
      <c r="W3" s="315">
        <v>1500</v>
      </c>
      <c r="X3" s="601" t="s">
        <v>667</v>
      </c>
      <c r="Y3" s="601">
        <v>41.01</v>
      </c>
      <c r="Z3" s="601">
        <v>6.15</v>
      </c>
      <c r="AA3" s="366">
        <v>56</v>
      </c>
      <c r="AB3" s="366">
        <v>300</v>
      </c>
      <c r="AC3" s="601" t="s">
        <v>964</v>
      </c>
      <c r="AD3" s="601">
        <v>237.6</v>
      </c>
      <c r="AE3" s="601">
        <v>24</v>
      </c>
      <c r="AF3" s="601">
        <v>44</v>
      </c>
      <c r="AG3" s="601">
        <v>4</v>
      </c>
      <c r="AH3" s="601">
        <v>151.19999999999999</v>
      </c>
      <c r="AI3" s="601">
        <v>28</v>
      </c>
      <c r="AJ3" s="601">
        <v>82.19</v>
      </c>
      <c r="AK3" s="601">
        <v>6.0880000000000001</v>
      </c>
      <c r="AL3" s="366">
        <v>3</v>
      </c>
      <c r="AM3" s="602" t="s">
        <v>1030</v>
      </c>
      <c r="AN3" s="601">
        <v>114.5</v>
      </c>
      <c r="AO3" s="601">
        <v>115</v>
      </c>
      <c r="AP3" s="601">
        <v>3.64</v>
      </c>
      <c r="AQ3" s="601">
        <v>0</v>
      </c>
      <c r="AR3" s="619">
        <v>0.70023497174889615</v>
      </c>
      <c r="AS3" s="617">
        <v>1.5841995823600195</v>
      </c>
      <c r="AV3" s="606"/>
      <c r="AW3" s="606"/>
      <c r="AX3" s="606"/>
    </row>
    <row r="4" spans="1:55" ht="15.75">
      <c r="A4" s="190"/>
      <c r="B4" s="366">
        <v>200</v>
      </c>
      <c r="C4" s="366" t="s">
        <v>1031</v>
      </c>
      <c r="D4" s="596" t="s">
        <v>7</v>
      </c>
      <c r="E4" s="596" t="s">
        <v>7</v>
      </c>
      <c r="F4" s="366">
        <v>76</v>
      </c>
      <c r="G4" s="597">
        <v>4</v>
      </c>
      <c r="H4" s="598" t="s">
        <v>700</v>
      </c>
      <c r="I4" s="599">
        <v>90</v>
      </c>
      <c r="J4" s="598" t="s">
        <v>700</v>
      </c>
      <c r="K4" s="600">
        <v>200</v>
      </c>
      <c r="L4" s="596" t="s">
        <v>139</v>
      </c>
      <c r="M4" s="596" t="s">
        <v>648</v>
      </c>
      <c r="N4" s="597" t="s">
        <v>183</v>
      </c>
      <c r="O4" s="597" t="s">
        <v>80</v>
      </c>
      <c r="P4" s="610">
        <v>898</v>
      </c>
      <c r="Q4" s="613">
        <v>477</v>
      </c>
      <c r="R4" s="609">
        <v>477.00790000000001</v>
      </c>
      <c r="S4" s="604"/>
      <c r="T4" s="601">
        <v>106.26</v>
      </c>
      <c r="U4" s="601">
        <v>15.94</v>
      </c>
      <c r="V4" s="366">
        <v>475</v>
      </c>
      <c r="W4" s="366">
        <v>1500</v>
      </c>
      <c r="X4" s="601" t="s">
        <v>667</v>
      </c>
      <c r="Y4" s="601">
        <v>37.21</v>
      </c>
      <c r="Z4" s="601">
        <v>5.58</v>
      </c>
      <c r="AA4" s="366">
        <v>23</v>
      </c>
      <c r="AB4" s="366">
        <v>300</v>
      </c>
      <c r="AC4" s="601" t="s">
        <v>964</v>
      </c>
      <c r="AD4" s="601">
        <v>237.6</v>
      </c>
      <c r="AE4" s="601">
        <v>24</v>
      </c>
      <c r="AF4" s="601">
        <v>44</v>
      </c>
      <c r="AG4" s="601">
        <v>4</v>
      </c>
      <c r="AH4" s="601">
        <v>151.19999999999999</v>
      </c>
      <c r="AI4" s="601">
        <v>28</v>
      </c>
      <c r="AJ4" s="601">
        <v>62.05</v>
      </c>
      <c r="AK4" s="601">
        <v>4.5960000000000001</v>
      </c>
      <c r="AL4" s="366">
        <v>3</v>
      </c>
      <c r="AM4" s="602" t="s">
        <v>1030</v>
      </c>
      <c r="AN4" s="601">
        <v>110.6</v>
      </c>
      <c r="AO4" s="601">
        <v>115</v>
      </c>
      <c r="AP4" s="601">
        <v>1.46</v>
      </c>
      <c r="AQ4" s="601">
        <v>0</v>
      </c>
      <c r="AR4" s="619">
        <v>0.72397891128822711</v>
      </c>
      <c r="AS4" s="617">
        <v>2.1655331988391024</v>
      </c>
      <c r="AV4" s="606"/>
      <c r="AW4" s="606"/>
      <c r="AX4" s="606"/>
    </row>
    <row r="5" spans="1:55" ht="15.75">
      <c r="A5" s="190"/>
      <c r="B5" s="366">
        <v>300</v>
      </c>
      <c r="C5" s="366" t="s">
        <v>1031</v>
      </c>
      <c r="D5" s="596" t="s">
        <v>7</v>
      </c>
      <c r="E5" s="596" t="s">
        <v>7</v>
      </c>
      <c r="F5" s="366">
        <v>76</v>
      </c>
      <c r="G5" s="597">
        <v>4</v>
      </c>
      <c r="H5" s="598" t="s">
        <v>700</v>
      </c>
      <c r="I5" s="599">
        <v>90</v>
      </c>
      <c r="J5" s="598" t="s">
        <v>700</v>
      </c>
      <c r="K5" s="600">
        <v>200</v>
      </c>
      <c r="L5" s="596" t="s">
        <v>139</v>
      </c>
      <c r="M5" s="596" t="s">
        <v>648</v>
      </c>
      <c r="N5" s="597" t="s">
        <v>183</v>
      </c>
      <c r="O5" s="597" t="s">
        <v>80</v>
      </c>
      <c r="P5" s="610">
        <v>923</v>
      </c>
      <c r="Q5" s="613">
        <v>632</v>
      </c>
      <c r="R5" s="609">
        <v>631.86180000000002</v>
      </c>
      <c r="S5" s="604"/>
      <c r="T5" s="601">
        <v>119.06</v>
      </c>
      <c r="U5" s="601">
        <v>17.86</v>
      </c>
      <c r="V5" s="366">
        <v>713</v>
      </c>
      <c r="W5" s="366">
        <v>1500</v>
      </c>
      <c r="X5" s="601" t="s">
        <v>667</v>
      </c>
      <c r="Y5" s="601">
        <v>38.479999999999997</v>
      </c>
      <c r="Z5" s="601">
        <v>5.77</v>
      </c>
      <c r="AA5" s="366">
        <v>34</v>
      </c>
      <c r="AB5" s="366">
        <v>300</v>
      </c>
      <c r="AC5" s="601" t="s">
        <v>964</v>
      </c>
      <c r="AD5" s="601">
        <v>237.6</v>
      </c>
      <c r="AE5" s="601">
        <v>24</v>
      </c>
      <c r="AF5" s="601">
        <v>44</v>
      </c>
      <c r="AG5" s="601">
        <v>4</v>
      </c>
      <c r="AH5" s="601">
        <v>151.19999999999999</v>
      </c>
      <c r="AI5" s="601">
        <v>28</v>
      </c>
      <c r="AJ5" s="601">
        <v>68.77</v>
      </c>
      <c r="AK5" s="601">
        <v>5.0940000000000003</v>
      </c>
      <c r="AL5" s="366">
        <v>3</v>
      </c>
      <c r="AM5" s="602" t="s">
        <v>1030</v>
      </c>
      <c r="AN5" s="601">
        <v>111.9</v>
      </c>
      <c r="AO5" s="601">
        <v>115</v>
      </c>
      <c r="AP5" s="601">
        <v>2.1800000000000002</v>
      </c>
      <c r="AQ5" s="601">
        <v>0</v>
      </c>
      <c r="AR5" s="619">
        <v>0.7156330810903142</v>
      </c>
      <c r="AS5" s="617">
        <v>1.7954528562327456</v>
      </c>
      <c r="AV5" s="606"/>
      <c r="AW5" s="606"/>
      <c r="AX5" s="606"/>
    </row>
    <row r="6" spans="1:55" ht="15.75">
      <c r="A6" s="190"/>
      <c r="B6" s="366">
        <v>400</v>
      </c>
      <c r="C6" s="366" t="s">
        <v>1031</v>
      </c>
      <c r="D6" s="596" t="s">
        <v>7</v>
      </c>
      <c r="E6" s="596" t="s">
        <v>7</v>
      </c>
      <c r="F6" s="366">
        <v>76</v>
      </c>
      <c r="G6" s="597">
        <v>4</v>
      </c>
      <c r="H6" s="598" t="s">
        <v>700</v>
      </c>
      <c r="I6" s="599">
        <v>90</v>
      </c>
      <c r="J6" s="598" t="s">
        <v>700</v>
      </c>
      <c r="K6" s="600">
        <v>200</v>
      </c>
      <c r="L6" s="596" t="s">
        <v>139</v>
      </c>
      <c r="M6" s="596" t="s">
        <v>648</v>
      </c>
      <c r="N6" s="597" t="s">
        <v>183</v>
      </c>
      <c r="O6" s="597" t="s">
        <v>80</v>
      </c>
      <c r="P6" s="610">
        <v>948</v>
      </c>
      <c r="Q6" s="613">
        <v>804</v>
      </c>
      <c r="R6" s="609">
        <v>803.69069999999999</v>
      </c>
      <c r="S6" s="604"/>
      <c r="T6" s="601">
        <v>131.81</v>
      </c>
      <c r="U6" s="601">
        <v>19.77</v>
      </c>
      <c r="V6" s="366">
        <v>950</v>
      </c>
      <c r="W6" s="366">
        <v>1500</v>
      </c>
      <c r="X6" s="601" t="s">
        <v>667</v>
      </c>
      <c r="Y6" s="601">
        <v>39.74</v>
      </c>
      <c r="Z6" s="601">
        <v>5.96</v>
      </c>
      <c r="AA6" s="366">
        <v>45</v>
      </c>
      <c r="AB6" s="366">
        <v>300</v>
      </c>
      <c r="AC6" s="601" t="s">
        <v>964</v>
      </c>
      <c r="AD6" s="601">
        <v>237.6</v>
      </c>
      <c r="AE6" s="601">
        <v>24</v>
      </c>
      <c r="AF6" s="601">
        <v>44</v>
      </c>
      <c r="AG6" s="601">
        <v>4</v>
      </c>
      <c r="AH6" s="601">
        <v>151.19999999999999</v>
      </c>
      <c r="AI6" s="601">
        <v>28</v>
      </c>
      <c r="AJ6" s="601">
        <v>75.47</v>
      </c>
      <c r="AK6" s="601">
        <v>5.59</v>
      </c>
      <c r="AL6" s="366">
        <v>3</v>
      </c>
      <c r="AM6" s="602" t="s">
        <v>1030</v>
      </c>
      <c r="AN6" s="601">
        <v>113.2</v>
      </c>
      <c r="AO6" s="601">
        <v>115</v>
      </c>
      <c r="AP6" s="601">
        <v>2.91</v>
      </c>
      <c r="AQ6" s="601">
        <v>0</v>
      </c>
      <c r="AR6" s="619">
        <v>0.70774958114928743</v>
      </c>
      <c r="AS6" s="617">
        <v>1.666737674311602</v>
      </c>
      <c r="AV6" s="606"/>
      <c r="AW6" s="606"/>
      <c r="AX6" s="606"/>
    </row>
    <row r="7" spans="1:55" ht="15.75">
      <c r="A7" s="190"/>
      <c r="B7" s="366">
        <v>150</v>
      </c>
      <c r="C7" s="366" t="s">
        <v>1031</v>
      </c>
      <c r="D7" s="596" t="s">
        <v>7</v>
      </c>
      <c r="E7" s="596" t="s">
        <v>7</v>
      </c>
      <c r="F7" s="366">
        <v>76</v>
      </c>
      <c r="G7" s="597">
        <v>4</v>
      </c>
      <c r="H7" s="598" t="s">
        <v>700</v>
      </c>
      <c r="I7" s="599">
        <v>90</v>
      </c>
      <c r="J7" s="598" t="s">
        <v>700</v>
      </c>
      <c r="K7" s="600">
        <v>200</v>
      </c>
      <c r="L7" s="596" t="s">
        <v>139</v>
      </c>
      <c r="M7" s="596" t="s">
        <v>648</v>
      </c>
      <c r="N7" s="597" t="s">
        <v>183</v>
      </c>
      <c r="O7" s="597" t="s">
        <v>80</v>
      </c>
      <c r="P7" s="610">
        <v>886</v>
      </c>
      <c r="Q7" s="613">
        <v>386</v>
      </c>
      <c r="R7" s="609">
        <v>386.34960000000001</v>
      </c>
      <c r="S7" s="604"/>
      <c r="T7" s="601">
        <v>99.91</v>
      </c>
      <c r="U7" s="601">
        <v>14.99</v>
      </c>
      <c r="V7" s="366">
        <v>357</v>
      </c>
      <c r="W7" s="366">
        <v>1500</v>
      </c>
      <c r="X7" s="601" t="s">
        <v>667</v>
      </c>
      <c r="Y7" s="601">
        <v>36.520000000000003</v>
      </c>
      <c r="Z7" s="601">
        <v>5.48</v>
      </c>
      <c r="AA7" s="366">
        <v>17</v>
      </c>
      <c r="AB7" s="366">
        <v>300</v>
      </c>
      <c r="AC7" s="601" t="s">
        <v>964</v>
      </c>
      <c r="AD7" s="601">
        <v>237.6</v>
      </c>
      <c r="AE7" s="601">
        <v>24</v>
      </c>
      <c r="AF7" s="601">
        <v>44</v>
      </c>
      <c r="AG7" s="601">
        <v>4</v>
      </c>
      <c r="AH7" s="601">
        <v>151.19999999999999</v>
      </c>
      <c r="AI7" s="601">
        <v>28</v>
      </c>
      <c r="AJ7" s="601">
        <v>58.7</v>
      </c>
      <c r="AK7" s="601">
        <v>4.3479999999999999</v>
      </c>
      <c r="AL7" s="366">
        <v>3</v>
      </c>
      <c r="AM7" s="602" t="s">
        <v>1030</v>
      </c>
      <c r="AN7" s="601">
        <v>109.95</v>
      </c>
      <c r="AO7" s="601">
        <v>115</v>
      </c>
      <c r="AP7" s="601">
        <v>1.46</v>
      </c>
      <c r="AQ7" s="601">
        <v>0</v>
      </c>
      <c r="AR7" s="619">
        <v>0.72820826393561588</v>
      </c>
      <c r="AS7" s="617">
        <v>2.418539410348977</v>
      </c>
      <c r="AV7" s="606"/>
      <c r="AW7" s="606"/>
      <c r="AX7" s="606"/>
    </row>
    <row r="8" spans="1:55" ht="15.75">
      <c r="A8" s="190"/>
      <c r="B8" s="366">
        <v>750</v>
      </c>
      <c r="C8" s="366" t="s">
        <v>1031</v>
      </c>
      <c r="D8" s="596" t="s">
        <v>7</v>
      </c>
      <c r="E8" s="596" t="s">
        <v>7</v>
      </c>
      <c r="F8" s="366">
        <v>76</v>
      </c>
      <c r="G8" s="597">
        <v>4</v>
      </c>
      <c r="H8" s="598" t="s">
        <v>700</v>
      </c>
      <c r="I8" s="599">
        <v>90</v>
      </c>
      <c r="J8" s="598" t="s">
        <v>700</v>
      </c>
      <c r="K8" s="600">
        <v>200</v>
      </c>
      <c r="L8" s="596" t="s">
        <v>139</v>
      </c>
      <c r="M8" s="596" t="s">
        <v>648</v>
      </c>
      <c r="N8" s="597" t="s">
        <v>183</v>
      </c>
      <c r="O8" s="597" t="s">
        <v>80</v>
      </c>
      <c r="P8" s="610" t="s">
        <v>1066</v>
      </c>
      <c r="Q8" s="613" t="s">
        <v>1067</v>
      </c>
      <c r="R8" s="608">
        <v>1035.0066999999999</v>
      </c>
      <c r="S8" s="604"/>
      <c r="T8" s="601">
        <v>176.57</v>
      </c>
      <c r="U8" s="601">
        <v>26.49</v>
      </c>
      <c r="V8" s="366">
        <v>1782</v>
      </c>
      <c r="W8" s="366">
        <v>1500</v>
      </c>
      <c r="X8" s="601" t="s">
        <v>667</v>
      </c>
      <c r="Y8" s="601">
        <v>44.24</v>
      </c>
      <c r="Z8" s="601">
        <v>6.64</v>
      </c>
      <c r="AA8" s="366">
        <v>84</v>
      </c>
      <c r="AB8" s="366">
        <v>300</v>
      </c>
      <c r="AC8" s="601" t="s">
        <v>964</v>
      </c>
      <c r="AD8" s="601">
        <v>237.6</v>
      </c>
      <c r="AE8" s="601">
        <v>24</v>
      </c>
      <c r="AF8" s="601">
        <v>44</v>
      </c>
      <c r="AG8" s="601">
        <v>4</v>
      </c>
      <c r="AH8" s="601">
        <v>151.19999999999999</v>
      </c>
      <c r="AI8" s="601">
        <v>28</v>
      </c>
      <c r="AJ8" s="601">
        <v>98.98</v>
      </c>
      <c r="AK8" s="601">
        <v>7.3319999999999999</v>
      </c>
      <c r="AL8" s="366">
        <v>3</v>
      </c>
      <c r="AM8" s="602" t="s">
        <v>1030</v>
      </c>
      <c r="AN8" s="601">
        <v>117.75</v>
      </c>
      <c r="AO8" s="601">
        <v>115</v>
      </c>
      <c r="AP8" s="601">
        <v>5.82</v>
      </c>
      <c r="AQ8" s="601">
        <v>0</v>
      </c>
      <c r="AR8" s="619">
        <v>0.6829050019039834</v>
      </c>
      <c r="AS8" s="617">
        <v>1.4149204537410629</v>
      </c>
      <c r="AV8" s="606"/>
      <c r="AW8" s="606"/>
      <c r="AX8" s="606"/>
    </row>
    <row r="9" spans="1:55" ht="15.75">
      <c r="A9" s="190"/>
      <c r="B9" s="366"/>
      <c r="C9" s="366"/>
      <c r="D9" s="596"/>
      <c r="E9" s="596"/>
      <c r="F9" s="366"/>
      <c r="G9" s="597"/>
      <c r="H9" s="598"/>
      <c r="I9" s="599"/>
      <c r="J9" s="598"/>
      <c r="K9" s="600"/>
      <c r="L9" s="596"/>
      <c r="M9" s="596"/>
      <c r="N9" s="597"/>
      <c r="O9" s="597"/>
      <c r="P9" s="610"/>
      <c r="Q9" s="613"/>
      <c r="R9" s="588"/>
      <c r="S9" s="604"/>
      <c r="T9" s="601"/>
      <c r="U9" s="601"/>
      <c r="V9" s="366"/>
      <c r="W9" s="366"/>
      <c r="X9" s="601"/>
      <c r="Y9" s="601"/>
      <c r="Z9" s="601"/>
      <c r="AA9" s="366"/>
      <c r="AB9" s="366"/>
      <c r="AC9" s="601"/>
      <c r="AD9" s="601"/>
      <c r="AE9" s="601"/>
      <c r="AF9" s="601"/>
      <c r="AG9" s="601"/>
      <c r="AH9" s="601"/>
      <c r="AI9" s="601"/>
      <c r="AJ9" s="601"/>
      <c r="AK9" s="601"/>
      <c r="AL9" s="366"/>
      <c r="AM9" s="602"/>
      <c r="AN9" s="601"/>
      <c r="AO9" s="601"/>
      <c r="AP9" s="601"/>
      <c r="AQ9" s="601"/>
      <c r="AR9" s="619"/>
      <c r="AS9" s="617"/>
      <c r="AV9" s="606"/>
      <c r="AW9" s="606"/>
      <c r="AX9" s="606"/>
    </row>
    <row r="10" spans="1:55" ht="15.75">
      <c r="A10" s="190"/>
      <c r="B10" s="366"/>
      <c r="C10" s="366"/>
      <c r="D10" s="596"/>
      <c r="E10" s="596"/>
      <c r="F10" s="366"/>
      <c r="G10" s="597"/>
      <c r="H10" s="598"/>
      <c r="I10" s="599"/>
      <c r="J10" s="598"/>
      <c r="K10" s="600"/>
      <c r="L10" s="596"/>
      <c r="M10" s="596"/>
      <c r="N10" s="597"/>
      <c r="O10" s="597"/>
      <c r="P10" s="610"/>
      <c r="Q10" s="613"/>
      <c r="R10" s="588"/>
      <c r="S10" s="604"/>
      <c r="T10" s="601"/>
      <c r="U10" s="601"/>
      <c r="V10" s="366"/>
      <c r="W10" s="366"/>
      <c r="X10" s="601"/>
      <c r="Y10" s="601"/>
      <c r="Z10" s="601"/>
      <c r="AA10" s="366"/>
      <c r="AB10" s="366"/>
      <c r="AC10" s="601"/>
      <c r="AD10" s="601"/>
      <c r="AE10" s="601"/>
      <c r="AF10" s="601"/>
      <c r="AG10" s="601"/>
      <c r="AH10" s="601"/>
      <c r="AI10" s="601"/>
      <c r="AJ10" s="601"/>
      <c r="AK10" s="601"/>
      <c r="AL10" s="366"/>
      <c r="AM10" s="602"/>
      <c r="AN10" s="601"/>
      <c r="AO10" s="601"/>
      <c r="AP10" s="601"/>
      <c r="AQ10" s="601"/>
      <c r="AR10" s="619"/>
      <c r="AS10" s="617"/>
      <c r="AV10" s="606"/>
      <c r="AW10" s="606"/>
      <c r="AX10" s="606"/>
    </row>
    <row r="11" spans="1:55" ht="15.75">
      <c r="A11" s="190"/>
      <c r="B11" s="366"/>
      <c r="C11" s="366"/>
      <c r="D11" s="596"/>
      <c r="E11" s="596"/>
      <c r="F11" s="366"/>
      <c r="G11" s="597"/>
      <c r="H11" s="598"/>
      <c r="I11" s="599"/>
      <c r="J11" s="598"/>
      <c r="K11" s="600"/>
      <c r="L11" s="596"/>
      <c r="M11" s="596"/>
      <c r="N11" s="597"/>
      <c r="O11" s="597"/>
      <c r="P11" s="610"/>
      <c r="Q11" s="613"/>
      <c r="R11" s="588"/>
      <c r="S11" s="604"/>
      <c r="T11" s="601"/>
      <c r="U11" s="601"/>
      <c r="V11" s="366"/>
      <c r="W11" s="366"/>
      <c r="X11" s="601"/>
      <c r="Y11" s="601"/>
      <c r="Z11" s="601"/>
      <c r="AA11" s="366"/>
      <c r="AB11" s="366"/>
      <c r="AC11" s="601"/>
      <c r="AD11" s="601"/>
      <c r="AE11" s="601"/>
      <c r="AF11" s="601"/>
      <c r="AG11" s="601"/>
      <c r="AH11" s="601"/>
      <c r="AI11" s="601"/>
      <c r="AJ11" s="601"/>
      <c r="AK11" s="601"/>
      <c r="AL11" s="366"/>
      <c r="AM11" s="602"/>
      <c r="AN11" s="601"/>
      <c r="AO11" s="601"/>
      <c r="AP11" s="601"/>
      <c r="AQ11" s="601"/>
      <c r="AR11" s="619"/>
      <c r="AS11" s="617"/>
      <c r="AV11" s="606"/>
      <c r="AW11" s="606"/>
      <c r="AX11" s="606"/>
    </row>
    <row r="12" spans="1:55" ht="15.75">
      <c r="A12" s="190"/>
      <c r="B12" s="366"/>
      <c r="C12" s="366"/>
      <c r="D12" s="596"/>
      <c r="E12" s="596"/>
      <c r="F12" s="366"/>
      <c r="G12" s="597"/>
      <c r="H12" s="598"/>
      <c r="I12" s="599"/>
      <c r="J12" s="598"/>
      <c r="K12" s="600"/>
      <c r="L12" s="596"/>
      <c r="M12" s="596"/>
      <c r="N12" s="597"/>
      <c r="O12" s="597"/>
      <c r="P12" s="610"/>
      <c r="Q12" s="613"/>
      <c r="R12" s="588"/>
      <c r="S12" s="604"/>
      <c r="T12" s="601"/>
      <c r="U12" s="601"/>
      <c r="V12" s="366"/>
      <c r="W12" s="366"/>
      <c r="X12" s="601"/>
      <c r="Y12" s="601"/>
      <c r="Z12" s="601"/>
      <c r="AA12" s="366"/>
      <c r="AB12" s="366"/>
      <c r="AC12" s="601"/>
      <c r="AD12" s="601"/>
      <c r="AE12" s="601"/>
      <c r="AF12" s="601"/>
      <c r="AG12" s="601"/>
      <c r="AH12" s="601"/>
      <c r="AI12" s="601"/>
      <c r="AJ12" s="601"/>
      <c r="AK12" s="601"/>
      <c r="AL12" s="366"/>
      <c r="AM12" s="602"/>
      <c r="AN12" s="601"/>
      <c r="AO12" s="601"/>
      <c r="AP12" s="601"/>
      <c r="AQ12" s="601"/>
      <c r="AR12" s="619"/>
      <c r="AS12" s="617"/>
      <c r="AV12" s="606"/>
      <c r="AW12" s="606"/>
      <c r="AX12" s="606"/>
    </row>
    <row r="13" spans="1:55" ht="15.75">
      <c r="A13" s="190"/>
      <c r="B13" s="366"/>
      <c r="C13" s="366"/>
      <c r="D13" s="596"/>
      <c r="E13" s="596"/>
      <c r="F13" s="366"/>
      <c r="G13" s="597"/>
      <c r="H13" s="598"/>
      <c r="I13" s="599"/>
      <c r="J13" s="598"/>
      <c r="K13" s="600"/>
      <c r="L13" s="596"/>
      <c r="M13" s="596"/>
      <c r="N13" s="597"/>
      <c r="O13" s="597"/>
      <c r="P13" s="611"/>
      <c r="Q13" s="614"/>
      <c r="R13" s="588"/>
      <c r="S13" s="604"/>
      <c r="T13" s="605"/>
      <c r="U13" s="605"/>
      <c r="V13" s="138"/>
      <c r="W13" s="138"/>
      <c r="X13" s="605"/>
      <c r="Y13" s="605"/>
      <c r="Z13" s="605"/>
      <c r="AA13" s="138"/>
      <c r="AB13" s="138"/>
      <c r="AC13" s="605"/>
      <c r="AD13" s="605"/>
      <c r="AE13" s="605"/>
      <c r="AF13" s="605"/>
      <c r="AG13" s="605"/>
      <c r="AH13" s="605"/>
      <c r="AI13" s="605"/>
      <c r="AJ13" s="605"/>
      <c r="AK13" s="138"/>
      <c r="AL13" s="138"/>
      <c r="AM13" s="602"/>
      <c r="AN13" s="605"/>
      <c r="AO13" s="605"/>
      <c r="AP13" s="605"/>
      <c r="AQ13" s="605"/>
      <c r="AR13" s="619"/>
      <c r="AS13" s="617"/>
      <c r="AV13" s="606"/>
      <c r="AW13" s="606"/>
      <c r="AX13" s="606"/>
    </row>
    <row r="14" spans="1:55" ht="15.75">
      <c r="A14" s="190"/>
      <c r="B14" s="366"/>
      <c r="C14" s="366"/>
      <c r="D14" s="596"/>
      <c r="E14" s="596"/>
      <c r="F14" s="366"/>
      <c r="G14" s="597"/>
      <c r="H14" s="598"/>
      <c r="I14" s="599"/>
      <c r="J14" s="598"/>
      <c r="K14" s="600"/>
      <c r="L14" s="596"/>
      <c r="M14" s="596"/>
      <c r="N14" s="597"/>
      <c r="O14" s="597"/>
      <c r="P14" s="611"/>
      <c r="Q14" s="614"/>
      <c r="R14" s="588"/>
      <c r="S14" s="604"/>
      <c r="T14" s="605"/>
      <c r="U14" s="605"/>
      <c r="V14" s="138"/>
      <c r="W14" s="138"/>
      <c r="X14" s="605"/>
      <c r="Y14" s="605"/>
      <c r="Z14" s="605"/>
      <c r="AA14" s="138"/>
      <c r="AB14" s="138"/>
      <c r="AC14" s="605"/>
      <c r="AD14" s="605"/>
      <c r="AE14" s="605"/>
      <c r="AF14" s="605"/>
      <c r="AG14" s="605"/>
      <c r="AH14" s="605"/>
      <c r="AI14" s="605"/>
      <c r="AJ14" s="605"/>
      <c r="AK14" s="138"/>
      <c r="AL14" s="138"/>
      <c r="AM14" s="602"/>
      <c r="AN14" s="605"/>
      <c r="AO14" s="605"/>
      <c r="AP14" s="605"/>
      <c r="AQ14" s="605"/>
      <c r="AR14" s="619"/>
      <c r="AS14" s="617"/>
      <c r="AV14" s="606"/>
      <c r="AW14" s="606"/>
      <c r="AX14" s="606"/>
    </row>
    <row r="15" spans="1:55" ht="15.75">
      <c r="A15" s="190"/>
      <c r="B15" s="366"/>
      <c r="C15" s="366"/>
      <c r="D15" s="596"/>
      <c r="E15" s="596"/>
      <c r="F15" s="366"/>
      <c r="G15" s="597"/>
      <c r="H15" s="598"/>
      <c r="I15" s="599"/>
      <c r="J15" s="598"/>
      <c r="K15" s="600"/>
      <c r="L15" s="596"/>
      <c r="M15" s="596"/>
      <c r="N15" s="597"/>
      <c r="O15" s="597"/>
      <c r="P15" s="611"/>
      <c r="Q15" s="614"/>
      <c r="R15" s="588"/>
      <c r="S15" s="604"/>
      <c r="T15" s="605"/>
      <c r="U15" s="605"/>
      <c r="V15" s="138"/>
      <c r="W15" s="138"/>
      <c r="X15" s="605"/>
      <c r="Y15" s="605"/>
      <c r="Z15" s="605"/>
      <c r="AA15" s="138"/>
      <c r="AB15" s="138"/>
      <c r="AC15" s="605"/>
      <c r="AD15" s="605"/>
      <c r="AE15" s="605"/>
      <c r="AF15" s="605"/>
      <c r="AG15" s="605"/>
      <c r="AH15" s="605"/>
      <c r="AI15" s="605"/>
      <c r="AJ15" s="605"/>
      <c r="AK15" s="138"/>
      <c r="AL15" s="138"/>
      <c r="AM15" s="602"/>
      <c r="AN15" s="605"/>
      <c r="AO15" s="605"/>
      <c r="AP15" s="605"/>
      <c r="AQ15" s="605"/>
      <c r="AR15" s="619"/>
      <c r="AS15" s="617"/>
      <c r="AV15" s="606"/>
      <c r="AW15" s="606"/>
      <c r="AX15" s="606"/>
    </row>
    <row r="16" spans="1:55" ht="15.75">
      <c r="A16" s="190"/>
      <c r="B16" s="366"/>
      <c r="C16" s="366"/>
      <c r="D16" s="596"/>
      <c r="E16" s="596"/>
      <c r="F16" s="366"/>
      <c r="G16" s="597"/>
      <c r="H16" s="598"/>
      <c r="I16" s="599"/>
      <c r="J16" s="598"/>
      <c r="K16" s="600"/>
      <c r="L16" s="596"/>
      <c r="M16" s="596"/>
      <c r="N16" s="597"/>
      <c r="O16" s="597"/>
      <c r="P16" s="611"/>
      <c r="Q16" s="614"/>
      <c r="R16" s="588"/>
      <c r="S16" s="604"/>
      <c r="T16" s="605"/>
      <c r="U16" s="605"/>
      <c r="V16" s="138"/>
      <c r="W16" s="138"/>
      <c r="X16" s="605"/>
      <c r="Y16" s="605"/>
      <c r="Z16" s="605"/>
      <c r="AA16" s="138"/>
      <c r="AB16" s="138"/>
      <c r="AC16" s="605"/>
      <c r="AD16" s="605"/>
      <c r="AE16" s="605"/>
      <c r="AF16" s="605"/>
      <c r="AG16" s="605"/>
      <c r="AH16" s="605"/>
      <c r="AI16" s="605"/>
      <c r="AJ16" s="605"/>
      <c r="AK16" s="138"/>
      <c r="AL16" s="138"/>
      <c r="AM16" s="602"/>
      <c r="AN16" s="605"/>
      <c r="AO16" s="605"/>
      <c r="AP16" s="605"/>
      <c r="AQ16" s="605"/>
      <c r="AR16" s="619"/>
      <c r="AS16" s="617"/>
      <c r="AV16" s="606"/>
      <c r="AW16" s="606"/>
      <c r="AX16" s="606"/>
    </row>
    <row r="17" spans="1:50" ht="15.75">
      <c r="A17" s="190"/>
      <c r="B17" s="366"/>
      <c r="C17" s="366"/>
      <c r="D17" s="596"/>
      <c r="E17" s="596"/>
      <c r="F17" s="366"/>
      <c r="G17" s="597"/>
      <c r="H17" s="598"/>
      <c r="I17" s="599"/>
      <c r="J17" s="598"/>
      <c r="K17" s="600"/>
      <c r="L17" s="596"/>
      <c r="M17" s="596"/>
      <c r="N17" s="597"/>
      <c r="O17" s="597"/>
      <c r="P17" s="611"/>
      <c r="Q17" s="614"/>
      <c r="R17" s="588"/>
      <c r="S17" s="604"/>
      <c r="T17" s="605"/>
      <c r="U17" s="605"/>
      <c r="V17" s="138"/>
      <c r="W17" s="138"/>
      <c r="X17" s="605"/>
      <c r="Y17" s="605"/>
      <c r="Z17" s="605"/>
      <c r="AA17" s="138"/>
      <c r="AB17" s="138"/>
      <c r="AC17" s="605"/>
      <c r="AD17" s="605"/>
      <c r="AE17" s="605"/>
      <c r="AF17" s="605"/>
      <c r="AG17" s="605"/>
      <c r="AH17" s="605"/>
      <c r="AI17" s="605"/>
      <c r="AJ17" s="605"/>
      <c r="AK17" s="138"/>
      <c r="AL17" s="138"/>
      <c r="AM17" s="602"/>
      <c r="AN17" s="605"/>
      <c r="AO17" s="605"/>
      <c r="AP17" s="605"/>
      <c r="AQ17" s="605"/>
      <c r="AR17" s="619"/>
      <c r="AS17" s="617"/>
      <c r="AV17" s="606"/>
      <c r="AW17" s="606"/>
      <c r="AX17" s="606"/>
    </row>
    <row r="18" spans="1:50" ht="15.75">
      <c r="A18" s="190"/>
      <c r="B18" s="366"/>
      <c r="C18" s="366"/>
      <c r="D18" s="596"/>
      <c r="E18" s="596"/>
      <c r="F18" s="366"/>
      <c r="G18" s="597"/>
      <c r="H18" s="598"/>
      <c r="I18" s="599"/>
      <c r="J18" s="598"/>
      <c r="K18" s="600"/>
      <c r="L18" s="596"/>
      <c r="M18" s="596"/>
      <c r="N18" s="597"/>
      <c r="O18" s="597"/>
      <c r="P18" s="611"/>
      <c r="Q18" s="614"/>
      <c r="R18" s="588"/>
      <c r="S18" s="604"/>
      <c r="T18" s="605"/>
      <c r="U18" s="605"/>
      <c r="V18" s="138"/>
      <c r="W18" s="138"/>
      <c r="X18" s="605"/>
      <c r="Y18" s="605"/>
      <c r="Z18" s="605"/>
      <c r="AA18" s="138"/>
      <c r="AB18" s="138"/>
      <c r="AC18" s="605"/>
      <c r="AD18" s="605"/>
      <c r="AE18" s="605"/>
      <c r="AF18" s="605"/>
      <c r="AG18" s="605"/>
      <c r="AH18" s="605"/>
      <c r="AI18" s="605"/>
      <c r="AJ18" s="605"/>
      <c r="AK18" s="138"/>
      <c r="AL18" s="138"/>
      <c r="AM18" s="602"/>
      <c r="AN18" s="605"/>
      <c r="AO18" s="605"/>
      <c r="AP18" s="605"/>
      <c r="AQ18" s="605"/>
      <c r="AR18" s="619"/>
      <c r="AS18" s="617"/>
      <c r="AV18" s="606"/>
      <c r="AW18" s="606"/>
      <c r="AX18" s="606"/>
    </row>
    <row r="19" spans="1:50" ht="15.75">
      <c r="A19" s="190"/>
      <c r="B19" s="366"/>
      <c r="C19" s="366"/>
      <c r="D19" s="596"/>
      <c r="E19" s="596"/>
      <c r="F19" s="366"/>
      <c r="G19" s="597"/>
      <c r="H19" s="598"/>
      <c r="I19" s="599"/>
      <c r="J19" s="598"/>
      <c r="K19" s="600"/>
      <c r="L19" s="596"/>
      <c r="M19" s="596"/>
      <c r="N19" s="597"/>
      <c r="O19" s="597"/>
      <c r="P19" s="611"/>
      <c r="Q19" s="614"/>
      <c r="R19" s="588"/>
      <c r="S19" s="604"/>
      <c r="T19" s="605"/>
      <c r="U19" s="605"/>
      <c r="V19" s="138"/>
      <c r="W19" s="138"/>
      <c r="X19" s="605"/>
      <c r="Y19" s="605"/>
      <c r="Z19" s="605"/>
      <c r="AA19" s="138"/>
      <c r="AB19" s="138"/>
      <c r="AC19" s="605"/>
      <c r="AD19" s="605"/>
      <c r="AE19" s="605"/>
      <c r="AF19" s="605"/>
      <c r="AG19" s="605"/>
      <c r="AH19" s="605"/>
      <c r="AI19" s="605"/>
      <c r="AJ19" s="605"/>
      <c r="AK19" s="138"/>
      <c r="AL19" s="138"/>
      <c r="AM19" s="602"/>
      <c r="AN19" s="605"/>
      <c r="AO19" s="605"/>
      <c r="AP19" s="605"/>
      <c r="AQ19" s="605"/>
      <c r="AR19" s="619"/>
      <c r="AS19" s="617"/>
      <c r="AV19" s="606"/>
      <c r="AW19" s="606"/>
      <c r="AX19" s="606"/>
    </row>
    <row r="20" spans="1:50" ht="15.75">
      <c r="A20" s="190"/>
      <c r="B20" s="366"/>
      <c r="C20" s="366"/>
      <c r="D20" s="596"/>
      <c r="E20" s="596"/>
      <c r="F20" s="366"/>
      <c r="G20" s="597"/>
      <c r="H20" s="598"/>
      <c r="I20" s="599"/>
      <c r="J20" s="598"/>
      <c r="K20" s="600"/>
      <c r="L20" s="596"/>
      <c r="M20" s="596"/>
      <c r="N20" s="597"/>
      <c r="O20" s="597"/>
      <c r="P20" s="611"/>
      <c r="Q20" s="614"/>
      <c r="R20" s="588"/>
      <c r="S20" s="604"/>
      <c r="T20" s="605"/>
      <c r="U20" s="605"/>
      <c r="V20" s="138"/>
      <c r="W20" s="138"/>
      <c r="X20" s="605"/>
      <c r="Y20" s="605"/>
      <c r="Z20" s="605"/>
      <c r="AA20" s="138"/>
      <c r="AB20" s="138"/>
      <c r="AC20" s="605"/>
      <c r="AD20" s="605"/>
      <c r="AE20" s="605"/>
      <c r="AF20" s="605"/>
      <c r="AG20" s="605"/>
      <c r="AH20" s="605"/>
      <c r="AI20" s="605"/>
      <c r="AJ20" s="605"/>
      <c r="AK20" s="138"/>
      <c r="AL20" s="138"/>
      <c r="AM20" s="602"/>
      <c r="AN20" s="605"/>
      <c r="AO20" s="605"/>
      <c r="AP20" s="605"/>
      <c r="AQ20" s="605"/>
      <c r="AR20" s="619"/>
      <c r="AS20" s="617"/>
      <c r="AV20" s="606"/>
      <c r="AW20" s="606"/>
      <c r="AX20" s="606"/>
    </row>
    <row r="21" spans="1:50" ht="15.75">
      <c r="A21" s="190"/>
      <c r="B21" s="366"/>
      <c r="C21" s="366"/>
      <c r="D21" s="596"/>
      <c r="E21" s="596"/>
      <c r="F21" s="366"/>
      <c r="G21" s="597"/>
      <c r="H21" s="598"/>
      <c r="I21" s="599"/>
      <c r="J21" s="598"/>
      <c r="K21" s="600"/>
      <c r="L21" s="596"/>
      <c r="M21" s="596"/>
      <c r="N21" s="597"/>
      <c r="O21" s="597"/>
      <c r="P21" s="611"/>
      <c r="Q21" s="614"/>
      <c r="R21" s="588"/>
      <c r="S21" s="604"/>
      <c r="T21" s="605"/>
      <c r="U21" s="605"/>
      <c r="V21" s="138"/>
      <c r="W21" s="138"/>
      <c r="X21" s="605"/>
      <c r="Y21" s="605"/>
      <c r="Z21" s="605"/>
      <c r="AA21" s="138"/>
      <c r="AB21" s="138"/>
      <c r="AC21" s="605"/>
      <c r="AD21" s="605"/>
      <c r="AE21" s="605"/>
      <c r="AF21" s="605"/>
      <c r="AG21" s="605"/>
      <c r="AH21" s="605"/>
      <c r="AI21" s="605"/>
      <c r="AJ21" s="605"/>
      <c r="AK21" s="138"/>
      <c r="AL21" s="138"/>
      <c r="AM21" s="602"/>
      <c r="AN21" s="605"/>
      <c r="AO21" s="605"/>
      <c r="AP21" s="605"/>
      <c r="AQ21" s="605"/>
      <c r="AR21" s="619"/>
      <c r="AS21" s="617"/>
      <c r="AV21" s="606"/>
      <c r="AW21" s="606"/>
      <c r="AX21" s="606"/>
    </row>
    <row r="22" spans="1:50" ht="15.75">
      <c r="A22" s="190"/>
      <c r="B22" s="366"/>
      <c r="C22" s="366"/>
      <c r="D22" s="596"/>
      <c r="E22" s="596"/>
      <c r="F22" s="366"/>
      <c r="G22" s="597"/>
      <c r="H22" s="598"/>
      <c r="I22" s="599"/>
      <c r="J22" s="598"/>
      <c r="K22" s="600"/>
      <c r="L22" s="596"/>
      <c r="M22" s="596"/>
      <c r="N22" s="597"/>
      <c r="O22" s="597"/>
      <c r="P22" s="611"/>
      <c r="Q22" s="614"/>
      <c r="R22" s="588"/>
      <c r="S22" s="604"/>
      <c r="T22" s="605"/>
      <c r="U22" s="605"/>
      <c r="V22" s="138"/>
      <c r="W22" s="138"/>
      <c r="X22" s="605"/>
      <c r="Y22" s="605"/>
      <c r="Z22" s="605"/>
      <c r="AA22" s="138"/>
      <c r="AB22" s="138"/>
      <c r="AC22" s="605"/>
      <c r="AD22" s="605"/>
      <c r="AE22" s="605"/>
      <c r="AF22" s="605"/>
      <c r="AG22" s="605"/>
      <c r="AH22" s="605"/>
      <c r="AI22" s="605"/>
      <c r="AJ22" s="605"/>
      <c r="AK22" s="138"/>
      <c r="AL22" s="138"/>
      <c r="AM22" s="602"/>
      <c r="AN22" s="605"/>
      <c r="AO22" s="605"/>
      <c r="AP22" s="605"/>
      <c r="AQ22" s="605"/>
      <c r="AR22" s="619"/>
      <c r="AS22" s="617"/>
      <c r="AV22" s="606"/>
      <c r="AW22" s="606"/>
      <c r="AX22" s="606"/>
    </row>
    <row r="23" spans="1:50" ht="15.75">
      <c r="A23" s="190"/>
      <c r="B23" s="366"/>
      <c r="C23" s="366"/>
      <c r="D23" s="596"/>
      <c r="E23" s="596"/>
      <c r="F23" s="366"/>
      <c r="G23" s="597"/>
      <c r="H23" s="598"/>
      <c r="I23" s="599"/>
      <c r="J23" s="598"/>
      <c r="K23" s="600"/>
      <c r="L23" s="596"/>
      <c r="M23" s="596"/>
      <c r="N23" s="597"/>
      <c r="O23" s="597"/>
      <c r="P23" s="611"/>
      <c r="Q23" s="614"/>
      <c r="R23" s="588"/>
      <c r="S23" s="604"/>
      <c r="T23" s="605"/>
      <c r="U23" s="605"/>
      <c r="V23" s="138"/>
      <c r="W23" s="138"/>
      <c r="X23" s="605"/>
      <c r="Y23" s="605"/>
      <c r="Z23" s="605"/>
      <c r="AA23" s="138"/>
      <c r="AB23" s="138"/>
      <c r="AC23" s="605"/>
      <c r="AD23" s="605"/>
      <c r="AE23" s="605"/>
      <c r="AF23" s="605"/>
      <c r="AG23" s="605"/>
      <c r="AH23" s="605"/>
      <c r="AI23" s="605"/>
      <c r="AJ23" s="605"/>
      <c r="AK23" s="138"/>
      <c r="AL23" s="138"/>
      <c r="AM23" s="602"/>
      <c r="AN23" s="605"/>
      <c r="AO23" s="605"/>
      <c r="AP23" s="605"/>
      <c r="AQ23" s="605"/>
      <c r="AR23" s="619"/>
      <c r="AS23" s="617"/>
      <c r="AV23" s="606"/>
      <c r="AW23" s="606"/>
      <c r="AX23" s="606"/>
    </row>
    <row r="24" spans="1:50" ht="15.75">
      <c r="A24" s="190"/>
      <c r="B24" s="366"/>
      <c r="C24" s="366"/>
      <c r="D24" s="596"/>
      <c r="E24" s="596"/>
      <c r="F24" s="366"/>
      <c r="G24" s="597"/>
      <c r="H24" s="598"/>
      <c r="I24" s="599"/>
      <c r="J24" s="598"/>
      <c r="K24" s="600"/>
      <c r="L24" s="596"/>
      <c r="M24" s="596"/>
      <c r="N24" s="597"/>
      <c r="O24" s="597"/>
      <c r="P24" s="611"/>
      <c r="Q24" s="614"/>
      <c r="R24" s="588"/>
      <c r="S24" s="604"/>
      <c r="T24" s="605"/>
      <c r="U24" s="605"/>
      <c r="V24" s="138"/>
      <c r="W24" s="138"/>
      <c r="X24" s="605"/>
      <c r="Y24" s="605"/>
      <c r="Z24" s="605"/>
      <c r="AA24" s="138"/>
      <c r="AB24" s="138"/>
      <c r="AC24" s="605"/>
      <c r="AD24" s="605"/>
      <c r="AE24" s="605"/>
      <c r="AF24" s="605"/>
      <c r="AG24" s="605"/>
      <c r="AH24" s="605"/>
      <c r="AI24" s="605"/>
      <c r="AJ24" s="605"/>
      <c r="AK24" s="138"/>
      <c r="AL24" s="138"/>
      <c r="AM24" s="602"/>
      <c r="AN24" s="605"/>
      <c r="AO24" s="605"/>
      <c r="AP24" s="605"/>
      <c r="AQ24" s="605"/>
      <c r="AR24" s="619"/>
      <c r="AS24" s="617"/>
      <c r="AV24" s="606"/>
      <c r="AW24" s="606"/>
      <c r="AX24" s="606"/>
    </row>
    <row r="25" spans="1:50" ht="15.75">
      <c r="A25" s="190"/>
      <c r="B25" s="366"/>
      <c r="C25" s="366"/>
      <c r="D25" s="596"/>
      <c r="E25" s="596"/>
      <c r="F25" s="366"/>
      <c r="G25" s="597"/>
      <c r="H25" s="598"/>
      <c r="I25" s="599"/>
      <c r="J25" s="598"/>
      <c r="K25" s="600"/>
      <c r="L25" s="596"/>
      <c r="M25" s="596"/>
      <c r="N25" s="597"/>
      <c r="O25" s="597"/>
      <c r="P25" s="611"/>
      <c r="Q25" s="614"/>
      <c r="R25" s="588"/>
      <c r="S25" s="604"/>
      <c r="T25" s="605"/>
      <c r="U25" s="605"/>
      <c r="V25" s="138"/>
      <c r="W25" s="138"/>
      <c r="X25" s="605"/>
      <c r="Y25" s="605"/>
      <c r="Z25" s="605"/>
      <c r="AA25" s="138"/>
      <c r="AB25" s="138"/>
      <c r="AC25" s="605"/>
      <c r="AD25" s="605"/>
      <c r="AE25" s="605"/>
      <c r="AF25" s="605"/>
      <c r="AG25" s="605"/>
      <c r="AH25" s="605"/>
      <c r="AI25" s="605"/>
      <c r="AJ25" s="605"/>
      <c r="AK25" s="138"/>
      <c r="AL25" s="138"/>
      <c r="AM25" s="602"/>
      <c r="AN25" s="605"/>
      <c r="AO25" s="605"/>
      <c r="AP25" s="605"/>
      <c r="AQ25" s="605"/>
      <c r="AR25" s="619"/>
      <c r="AS25" s="617"/>
      <c r="AV25" s="606"/>
      <c r="AW25" s="606"/>
      <c r="AX25" s="606"/>
    </row>
    <row r="26" spans="1:50" ht="15.75">
      <c r="A26" s="190"/>
      <c r="B26" s="366"/>
      <c r="C26" s="366"/>
      <c r="D26" s="596"/>
      <c r="E26" s="596"/>
      <c r="F26" s="366"/>
      <c r="G26" s="597"/>
      <c r="H26" s="598"/>
      <c r="I26" s="599"/>
      <c r="J26" s="598"/>
      <c r="K26" s="600"/>
      <c r="L26" s="596"/>
      <c r="M26" s="596"/>
      <c r="N26" s="597"/>
      <c r="O26" s="597"/>
      <c r="P26" s="611"/>
      <c r="Q26" s="614"/>
      <c r="R26" s="588"/>
      <c r="S26" s="604"/>
      <c r="T26" s="605"/>
      <c r="U26" s="605"/>
      <c r="V26" s="138"/>
      <c r="W26" s="138"/>
      <c r="X26" s="605"/>
      <c r="Y26" s="605"/>
      <c r="Z26" s="605"/>
      <c r="AA26" s="138"/>
      <c r="AB26" s="138"/>
      <c r="AC26" s="605"/>
      <c r="AD26" s="605"/>
      <c r="AE26" s="605"/>
      <c r="AF26" s="605"/>
      <c r="AG26" s="605"/>
      <c r="AH26" s="605"/>
      <c r="AI26" s="605"/>
      <c r="AJ26" s="605"/>
      <c r="AK26" s="138"/>
      <c r="AL26" s="138"/>
      <c r="AM26" s="602"/>
      <c r="AN26" s="605"/>
      <c r="AO26" s="605"/>
      <c r="AP26" s="605"/>
      <c r="AQ26" s="605"/>
      <c r="AR26" s="619"/>
      <c r="AS26" s="617"/>
      <c r="AV26" s="606"/>
      <c r="AW26" s="606"/>
      <c r="AX26" s="606"/>
    </row>
    <row r="27" spans="1:50" ht="15.75">
      <c r="A27" s="190"/>
      <c r="B27" s="366"/>
      <c r="C27" s="366"/>
      <c r="D27" s="596"/>
      <c r="E27" s="596"/>
      <c r="F27" s="366"/>
      <c r="G27" s="597"/>
      <c r="H27" s="598"/>
      <c r="I27" s="599"/>
      <c r="J27" s="598"/>
      <c r="K27" s="600"/>
      <c r="L27" s="596"/>
      <c r="M27" s="596"/>
      <c r="N27" s="597"/>
      <c r="O27" s="597"/>
      <c r="P27" s="611"/>
      <c r="Q27" s="614"/>
      <c r="R27" s="588"/>
      <c r="S27" s="604"/>
      <c r="T27" s="605"/>
      <c r="U27" s="605"/>
      <c r="V27" s="138"/>
      <c r="W27" s="138"/>
      <c r="X27" s="605"/>
      <c r="Y27" s="605"/>
      <c r="Z27" s="605"/>
      <c r="AA27" s="138"/>
      <c r="AB27" s="138"/>
      <c r="AC27" s="605"/>
      <c r="AD27" s="605"/>
      <c r="AE27" s="605"/>
      <c r="AF27" s="605"/>
      <c r="AG27" s="605"/>
      <c r="AH27" s="605"/>
      <c r="AI27" s="605"/>
      <c r="AJ27" s="605"/>
      <c r="AK27" s="138"/>
      <c r="AL27" s="138"/>
      <c r="AM27" s="602"/>
      <c r="AN27" s="605"/>
      <c r="AO27" s="605"/>
      <c r="AP27" s="605"/>
      <c r="AQ27" s="605"/>
      <c r="AR27" s="619"/>
      <c r="AS27" s="617"/>
      <c r="AV27" s="606"/>
      <c r="AW27" s="606"/>
      <c r="AX27" s="606"/>
    </row>
    <row r="28" spans="1:50" ht="15.75">
      <c r="A28" s="190"/>
      <c r="B28" s="366"/>
      <c r="C28" s="366"/>
      <c r="D28" s="596"/>
      <c r="E28" s="596"/>
      <c r="F28" s="366"/>
      <c r="G28" s="597"/>
      <c r="H28" s="598"/>
      <c r="I28" s="599"/>
      <c r="J28" s="598"/>
      <c r="K28" s="600"/>
      <c r="L28" s="596"/>
      <c r="M28" s="596"/>
      <c r="N28" s="597"/>
      <c r="O28" s="597"/>
      <c r="P28" s="611"/>
      <c r="Q28" s="614"/>
      <c r="R28" s="588"/>
      <c r="S28" s="604"/>
      <c r="T28" s="605"/>
      <c r="U28" s="605"/>
      <c r="V28" s="138"/>
      <c r="W28" s="138"/>
      <c r="X28" s="605"/>
      <c r="Y28" s="605"/>
      <c r="Z28" s="605"/>
      <c r="AA28" s="138"/>
      <c r="AB28" s="138"/>
      <c r="AC28" s="605"/>
      <c r="AD28" s="605"/>
      <c r="AE28" s="605"/>
      <c r="AF28" s="605"/>
      <c r="AG28" s="605"/>
      <c r="AH28" s="605"/>
      <c r="AI28" s="605"/>
      <c r="AJ28" s="605"/>
      <c r="AK28" s="138"/>
      <c r="AL28" s="138"/>
      <c r="AM28" s="602"/>
      <c r="AN28" s="605"/>
      <c r="AO28" s="605"/>
      <c r="AP28" s="605"/>
      <c r="AQ28" s="605"/>
      <c r="AR28" s="619"/>
      <c r="AS28" s="617"/>
      <c r="AV28" s="606"/>
      <c r="AW28" s="606"/>
      <c r="AX28" s="606"/>
    </row>
    <row r="29" spans="1:50" ht="15.75">
      <c r="A29" s="190"/>
      <c r="B29" s="366"/>
      <c r="C29" s="366"/>
      <c r="D29" s="596"/>
      <c r="E29" s="596"/>
      <c r="F29" s="366"/>
      <c r="G29" s="597"/>
      <c r="H29" s="598"/>
      <c r="I29" s="599"/>
      <c r="J29" s="598"/>
      <c r="K29" s="600"/>
      <c r="L29" s="596"/>
      <c r="M29" s="596"/>
      <c r="N29" s="597"/>
      <c r="O29" s="597"/>
      <c r="P29" s="611"/>
      <c r="Q29" s="614"/>
      <c r="R29" s="588"/>
      <c r="S29" s="604"/>
      <c r="T29" s="605"/>
      <c r="U29" s="605"/>
      <c r="V29" s="138"/>
      <c r="W29" s="138"/>
      <c r="X29" s="605"/>
      <c r="Y29" s="605"/>
      <c r="Z29" s="605"/>
      <c r="AA29" s="138"/>
      <c r="AB29" s="138"/>
      <c r="AC29" s="605"/>
      <c r="AD29" s="605"/>
      <c r="AE29" s="605"/>
      <c r="AF29" s="605"/>
      <c r="AG29" s="605"/>
      <c r="AH29" s="605"/>
      <c r="AI29" s="605"/>
      <c r="AJ29" s="605"/>
      <c r="AK29" s="138"/>
      <c r="AL29" s="138"/>
      <c r="AM29" s="602"/>
      <c r="AN29" s="605"/>
      <c r="AO29" s="605"/>
      <c r="AP29" s="605"/>
      <c r="AQ29" s="605"/>
      <c r="AR29" s="619"/>
      <c r="AS29" s="617"/>
      <c r="AV29" s="606"/>
      <c r="AW29" s="606"/>
      <c r="AX29" s="606"/>
    </row>
    <row r="30" spans="1:50" ht="15.75">
      <c r="A30" s="190"/>
      <c r="B30" s="366"/>
      <c r="C30" s="366"/>
      <c r="D30" s="596"/>
      <c r="E30" s="596"/>
      <c r="F30" s="366"/>
      <c r="G30" s="597"/>
      <c r="H30" s="598"/>
      <c r="I30" s="599"/>
      <c r="J30" s="598"/>
      <c r="K30" s="600"/>
      <c r="L30" s="596"/>
      <c r="M30" s="596"/>
      <c r="N30" s="597"/>
      <c r="O30" s="597"/>
      <c r="P30" s="611"/>
      <c r="Q30" s="614"/>
      <c r="R30" s="588"/>
      <c r="S30" s="604"/>
      <c r="T30" s="605"/>
      <c r="U30" s="605"/>
      <c r="V30" s="138"/>
      <c r="W30" s="138"/>
      <c r="X30" s="605"/>
      <c r="Y30" s="605"/>
      <c r="Z30" s="605"/>
      <c r="AA30" s="138"/>
      <c r="AB30" s="138"/>
      <c r="AC30" s="605"/>
      <c r="AD30" s="605"/>
      <c r="AE30" s="605"/>
      <c r="AF30" s="605"/>
      <c r="AG30" s="605"/>
      <c r="AH30" s="605"/>
      <c r="AI30" s="605"/>
      <c r="AJ30" s="605"/>
      <c r="AK30" s="138"/>
      <c r="AL30" s="138"/>
      <c r="AM30" s="602"/>
      <c r="AN30" s="605"/>
      <c r="AO30" s="605"/>
      <c r="AP30" s="605"/>
      <c r="AQ30" s="605"/>
      <c r="AR30" s="619"/>
      <c r="AS30" s="617"/>
      <c r="AV30" s="606"/>
      <c r="AW30" s="606"/>
      <c r="AX30" s="606"/>
    </row>
    <row r="31" spans="1:50" ht="15.75">
      <c r="A31" s="190"/>
      <c r="B31" s="366"/>
      <c r="C31" s="366"/>
      <c r="D31" s="596"/>
      <c r="E31" s="596"/>
      <c r="F31" s="366"/>
      <c r="G31" s="597"/>
      <c r="H31" s="598"/>
      <c r="I31" s="599"/>
      <c r="J31" s="598"/>
      <c r="K31" s="600"/>
      <c r="L31" s="596"/>
      <c r="M31" s="596"/>
      <c r="N31" s="597"/>
      <c r="O31" s="597"/>
      <c r="P31" s="611"/>
      <c r="Q31" s="614"/>
      <c r="R31" s="588"/>
      <c r="S31" s="604"/>
      <c r="T31" s="605"/>
      <c r="U31" s="605"/>
      <c r="V31" s="138"/>
      <c r="W31" s="138"/>
      <c r="X31" s="605"/>
      <c r="Y31" s="605"/>
      <c r="Z31" s="605"/>
      <c r="AA31" s="138"/>
      <c r="AB31" s="138"/>
      <c r="AC31" s="605"/>
      <c r="AD31" s="605"/>
      <c r="AE31" s="605"/>
      <c r="AF31" s="605"/>
      <c r="AG31" s="605"/>
      <c r="AH31" s="605"/>
      <c r="AI31" s="605"/>
      <c r="AJ31" s="605"/>
      <c r="AK31" s="138"/>
      <c r="AL31" s="138"/>
      <c r="AM31" s="602"/>
      <c r="AN31" s="605"/>
      <c r="AO31" s="605"/>
      <c r="AP31" s="605"/>
      <c r="AQ31" s="605"/>
      <c r="AR31" s="619"/>
      <c r="AS31" s="617"/>
      <c r="AV31" s="606"/>
      <c r="AW31" s="606"/>
      <c r="AX31" s="606"/>
    </row>
    <row r="32" spans="1:50" ht="15.75">
      <c r="A32" s="190"/>
      <c r="B32" s="366"/>
      <c r="C32" s="366"/>
      <c r="D32" s="596"/>
      <c r="E32" s="596"/>
      <c r="F32" s="366"/>
      <c r="G32" s="597"/>
      <c r="H32" s="598"/>
      <c r="I32" s="599"/>
      <c r="J32" s="598"/>
      <c r="K32" s="600"/>
      <c r="L32" s="596"/>
      <c r="M32" s="596"/>
      <c r="N32" s="597"/>
      <c r="O32" s="597"/>
      <c r="P32" s="611"/>
      <c r="Q32" s="614"/>
      <c r="R32" s="588"/>
      <c r="S32" s="604"/>
      <c r="T32" s="605"/>
      <c r="U32" s="605"/>
      <c r="V32" s="138"/>
      <c r="W32" s="138"/>
      <c r="X32" s="605"/>
      <c r="Y32" s="605"/>
      <c r="Z32" s="605"/>
      <c r="AA32" s="138"/>
      <c r="AB32" s="138"/>
      <c r="AC32" s="605"/>
      <c r="AD32" s="605"/>
      <c r="AE32" s="605"/>
      <c r="AF32" s="605"/>
      <c r="AG32" s="605"/>
      <c r="AH32" s="605"/>
      <c r="AI32" s="605"/>
      <c r="AJ32" s="605"/>
      <c r="AK32" s="138"/>
      <c r="AL32" s="138"/>
      <c r="AM32" s="602"/>
      <c r="AN32" s="605"/>
      <c r="AO32" s="605"/>
      <c r="AP32" s="605"/>
      <c r="AQ32" s="605"/>
      <c r="AR32" s="619"/>
      <c r="AS32" s="617"/>
      <c r="AV32" s="606"/>
      <c r="AW32" s="606"/>
      <c r="AX32" s="606"/>
    </row>
    <row r="33" spans="1:50" ht="15.75">
      <c r="A33" s="190"/>
      <c r="B33" s="366"/>
      <c r="C33" s="366"/>
      <c r="D33" s="596"/>
      <c r="E33" s="596"/>
      <c r="F33" s="366"/>
      <c r="G33" s="597"/>
      <c r="H33" s="598"/>
      <c r="I33" s="599"/>
      <c r="J33" s="598"/>
      <c r="K33" s="600"/>
      <c r="L33" s="596"/>
      <c r="M33" s="596"/>
      <c r="N33" s="597"/>
      <c r="O33" s="597"/>
      <c r="P33" s="611"/>
      <c r="Q33" s="614"/>
      <c r="R33" s="588"/>
      <c r="S33" s="604"/>
      <c r="T33" s="605"/>
      <c r="U33" s="605"/>
      <c r="V33" s="138"/>
      <c r="W33" s="138"/>
      <c r="X33" s="605"/>
      <c r="Y33" s="605"/>
      <c r="Z33" s="605"/>
      <c r="AA33" s="138"/>
      <c r="AB33" s="138"/>
      <c r="AC33" s="605"/>
      <c r="AD33" s="605"/>
      <c r="AE33" s="605"/>
      <c r="AF33" s="605"/>
      <c r="AG33" s="605"/>
      <c r="AH33" s="605"/>
      <c r="AI33" s="605"/>
      <c r="AJ33" s="605"/>
      <c r="AK33" s="138"/>
      <c r="AL33" s="138"/>
      <c r="AM33" s="602"/>
      <c r="AN33" s="605"/>
      <c r="AO33" s="605"/>
      <c r="AP33" s="605"/>
      <c r="AQ33" s="605"/>
      <c r="AR33" s="619"/>
      <c r="AS33" s="617"/>
      <c r="AV33" s="606"/>
      <c r="AW33" s="606"/>
      <c r="AX33" s="606"/>
    </row>
    <row r="34" spans="1:50" ht="15.75">
      <c r="A34" s="190"/>
      <c r="B34" s="366"/>
      <c r="C34" s="366"/>
      <c r="D34" s="596"/>
      <c r="E34" s="596"/>
      <c r="F34" s="366"/>
      <c r="G34" s="597"/>
      <c r="H34" s="598"/>
      <c r="I34" s="599"/>
      <c r="J34" s="598"/>
      <c r="K34" s="600"/>
      <c r="L34" s="596"/>
      <c r="M34" s="596"/>
      <c r="N34" s="597"/>
      <c r="O34" s="597"/>
      <c r="P34" s="611"/>
      <c r="Q34" s="614"/>
      <c r="R34" s="588"/>
      <c r="S34" s="604"/>
      <c r="T34" s="605"/>
      <c r="U34" s="605"/>
      <c r="V34" s="138"/>
      <c r="W34" s="138"/>
      <c r="X34" s="605"/>
      <c r="Y34" s="605"/>
      <c r="Z34" s="605"/>
      <c r="AA34" s="138"/>
      <c r="AB34" s="138"/>
      <c r="AC34" s="605"/>
      <c r="AD34" s="605"/>
      <c r="AE34" s="605"/>
      <c r="AF34" s="605"/>
      <c r="AG34" s="605"/>
      <c r="AH34" s="605"/>
      <c r="AI34" s="605"/>
      <c r="AJ34" s="605"/>
      <c r="AK34" s="138"/>
      <c r="AL34" s="138"/>
      <c r="AM34" s="602"/>
      <c r="AN34" s="605"/>
      <c r="AO34" s="605"/>
      <c r="AP34" s="605"/>
      <c r="AQ34" s="605"/>
      <c r="AR34" s="619"/>
      <c r="AS34" s="617"/>
      <c r="AV34" s="606"/>
      <c r="AW34" s="606"/>
      <c r="AX34" s="606"/>
    </row>
    <row r="35" spans="1:50" ht="15.75">
      <c r="A35" s="190"/>
      <c r="B35" s="366"/>
      <c r="C35" s="366"/>
      <c r="D35" s="596"/>
      <c r="E35" s="596"/>
      <c r="F35" s="366"/>
      <c r="G35" s="597"/>
      <c r="H35" s="598"/>
      <c r="I35" s="599"/>
      <c r="J35" s="598"/>
      <c r="K35" s="600"/>
      <c r="L35" s="596"/>
      <c r="M35" s="596"/>
      <c r="N35" s="597"/>
      <c r="O35" s="597"/>
      <c r="P35" s="611"/>
      <c r="Q35" s="614"/>
      <c r="R35" s="588"/>
      <c r="S35" s="604"/>
      <c r="T35" s="605"/>
      <c r="U35" s="605"/>
      <c r="V35" s="138"/>
      <c r="W35" s="138"/>
      <c r="X35" s="605"/>
      <c r="Y35" s="605"/>
      <c r="Z35" s="605"/>
      <c r="AA35" s="138"/>
      <c r="AB35" s="138"/>
      <c r="AC35" s="605"/>
      <c r="AD35" s="605"/>
      <c r="AE35" s="605"/>
      <c r="AF35" s="605"/>
      <c r="AG35" s="605"/>
      <c r="AH35" s="605"/>
      <c r="AI35" s="605"/>
      <c r="AJ35" s="605"/>
      <c r="AK35" s="138"/>
      <c r="AL35" s="138"/>
      <c r="AM35" s="602"/>
      <c r="AN35" s="605"/>
      <c r="AO35" s="605"/>
      <c r="AP35" s="605"/>
      <c r="AQ35" s="605"/>
      <c r="AR35" s="619"/>
      <c r="AS35" s="617"/>
      <c r="AV35" s="606"/>
      <c r="AW35" s="606"/>
      <c r="AX35" s="606"/>
    </row>
    <row r="36" spans="1:50" ht="15.75">
      <c r="A36" s="190"/>
      <c r="B36" s="366"/>
      <c r="C36" s="366"/>
      <c r="D36" s="596"/>
      <c r="E36" s="596"/>
      <c r="F36" s="366"/>
      <c r="G36" s="597"/>
      <c r="H36" s="598"/>
      <c r="I36" s="599"/>
      <c r="J36" s="598"/>
      <c r="K36" s="600"/>
      <c r="L36" s="596"/>
      <c r="M36" s="596"/>
      <c r="N36" s="597"/>
      <c r="O36" s="597"/>
      <c r="P36" s="611"/>
      <c r="Q36" s="614"/>
      <c r="R36" s="588"/>
      <c r="S36" s="604"/>
      <c r="T36" s="605"/>
      <c r="U36" s="605"/>
      <c r="V36" s="138"/>
      <c r="W36" s="138"/>
      <c r="X36" s="605"/>
      <c r="Y36" s="605"/>
      <c r="Z36" s="605"/>
      <c r="AA36" s="138"/>
      <c r="AB36" s="138"/>
      <c r="AC36" s="605"/>
      <c r="AD36" s="605"/>
      <c r="AE36" s="605"/>
      <c r="AF36" s="605"/>
      <c r="AG36" s="605"/>
      <c r="AH36" s="605"/>
      <c r="AI36" s="605"/>
      <c r="AJ36" s="605"/>
      <c r="AK36" s="138"/>
      <c r="AL36" s="138"/>
      <c r="AM36" s="602"/>
      <c r="AN36" s="605"/>
      <c r="AO36" s="605"/>
      <c r="AP36" s="605"/>
      <c r="AQ36" s="605"/>
      <c r="AR36" s="619"/>
      <c r="AS36" s="617"/>
      <c r="AV36" s="606"/>
      <c r="AW36" s="606"/>
      <c r="AX36" s="606"/>
    </row>
    <row r="37" spans="1:50" ht="15.75">
      <c r="A37" s="190"/>
      <c r="B37" s="366"/>
      <c r="C37" s="366"/>
      <c r="D37" s="596"/>
      <c r="E37" s="596"/>
      <c r="F37" s="366"/>
      <c r="G37" s="597"/>
      <c r="H37" s="598"/>
      <c r="I37" s="599"/>
      <c r="J37" s="598"/>
      <c r="K37" s="600"/>
      <c r="L37" s="596"/>
      <c r="M37" s="596"/>
      <c r="N37" s="597"/>
      <c r="O37" s="597"/>
      <c r="P37" s="611"/>
      <c r="Q37" s="614"/>
      <c r="R37" s="588"/>
      <c r="S37" s="604"/>
      <c r="T37" s="605"/>
      <c r="U37" s="605"/>
      <c r="V37" s="138"/>
      <c r="W37" s="138"/>
      <c r="X37" s="605"/>
      <c r="Y37" s="605"/>
      <c r="Z37" s="605"/>
      <c r="AA37" s="138"/>
      <c r="AB37" s="138"/>
      <c r="AC37" s="605"/>
      <c r="AD37" s="605"/>
      <c r="AE37" s="605"/>
      <c r="AF37" s="605"/>
      <c r="AG37" s="605"/>
      <c r="AH37" s="605"/>
      <c r="AI37" s="605"/>
      <c r="AJ37" s="605"/>
      <c r="AK37" s="138"/>
      <c r="AL37" s="138"/>
      <c r="AM37" s="602"/>
      <c r="AN37" s="605"/>
      <c r="AO37" s="605"/>
      <c r="AP37" s="605"/>
      <c r="AQ37" s="605"/>
      <c r="AR37" s="619"/>
      <c r="AS37" s="617"/>
      <c r="AV37" s="606"/>
      <c r="AW37" s="606"/>
      <c r="AX37" s="606"/>
    </row>
    <row r="38" spans="1:50" ht="15.75">
      <c r="A38" s="190"/>
      <c r="B38" s="366"/>
      <c r="C38" s="366"/>
      <c r="D38" s="596"/>
      <c r="E38" s="596"/>
      <c r="F38" s="366"/>
      <c r="G38" s="597"/>
      <c r="H38" s="598"/>
      <c r="I38" s="599"/>
      <c r="J38" s="598"/>
      <c r="K38" s="600"/>
      <c r="L38" s="596"/>
      <c r="M38" s="596"/>
      <c r="N38" s="597"/>
      <c r="O38" s="597"/>
      <c r="P38" s="611"/>
      <c r="Q38" s="614"/>
      <c r="R38" s="588"/>
      <c r="S38" s="604"/>
      <c r="T38" s="605"/>
      <c r="U38" s="605"/>
      <c r="V38" s="138"/>
      <c r="W38" s="138"/>
      <c r="X38" s="605"/>
      <c r="Y38" s="605"/>
      <c r="Z38" s="605"/>
      <c r="AA38" s="138"/>
      <c r="AB38" s="138"/>
      <c r="AC38" s="605"/>
      <c r="AD38" s="605"/>
      <c r="AE38" s="605"/>
      <c r="AF38" s="605"/>
      <c r="AG38" s="605"/>
      <c r="AH38" s="605"/>
      <c r="AI38" s="605"/>
      <c r="AJ38" s="605"/>
      <c r="AK38" s="138"/>
      <c r="AL38" s="138"/>
      <c r="AM38" s="602"/>
      <c r="AN38" s="605"/>
      <c r="AO38" s="605"/>
      <c r="AP38" s="605"/>
      <c r="AQ38" s="605"/>
      <c r="AR38" s="619"/>
      <c r="AS38" s="617"/>
      <c r="AV38" s="606"/>
      <c r="AW38" s="606"/>
      <c r="AX38" s="606"/>
    </row>
    <row r="39" spans="1:50" ht="15.75">
      <c r="A39" s="190"/>
      <c r="B39" s="366"/>
      <c r="C39" s="366"/>
      <c r="D39" s="596"/>
      <c r="E39" s="596"/>
      <c r="F39" s="366"/>
      <c r="G39" s="597"/>
      <c r="H39" s="598"/>
      <c r="I39" s="599"/>
      <c r="J39" s="598"/>
      <c r="K39" s="600"/>
      <c r="L39" s="596"/>
      <c r="M39" s="596"/>
      <c r="N39" s="597"/>
      <c r="O39" s="597"/>
      <c r="P39" s="611"/>
      <c r="Q39" s="614"/>
      <c r="R39" s="588"/>
      <c r="S39" s="188"/>
      <c r="T39" s="601"/>
      <c r="U39" s="601"/>
      <c r="V39" s="366"/>
      <c r="W39" s="366"/>
      <c r="X39" s="366"/>
      <c r="Y39" s="601"/>
      <c r="Z39" s="601"/>
      <c r="AA39" s="366"/>
      <c r="AB39" s="366"/>
      <c r="AC39" s="366"/>
      <c r="AD39" s="601"/>
      <c r="AE39" s="366"/>
      <c r="AF39" s="601"/>
      <c r="AG39" s="366"/>
      <c r="AH39" s="601"/>
      <c r="AI39" s="366"/>
      <c r="AJ39" s="601"/>
      <c r="AK39" s="366"/>
      <c r="AL39" s="366"/>
      <c r="AM39" s="607"/>
      <c r="AN39" s="601"/>
      <c r="AO39" s="601"/>
      <c r="AP39" s="601"/>
      <c r="AQ39" s="601"/>
      <c r="AR39" s="619"/>
      <c r="AS39" s="617"/>
      <c r="AV39" s="606"/>
    </row>
    <row r="40" spans="1:50" ht="15.75">
      <c r="A40" s="190"/>
      <c r="B40" s="366"/>
      <c r="C40" s="366"/>
      <c r="D40" s="596"/>
      <c r="E40" s="596"/>
      <c r="F40" s="366"/>
      <c r="G40" s="366"/>
      <c r="H40" s="366"/>
      <c r="I40" s="366"/>
      <c r="J40" s="366"/>
      <c r="K40" s="366"/>
      <c r="L40" s="366"/>
      <c r="M40" s="366"/>
      <c r="N40" s="366"/>
      <c r="O40" s="366"/>
      <c r="P40" s="611"/>
      <c r="Q40" s="614"/>
      <c r="R40" s="588"/>
      <c r="S40" s="188"/>
      <c r="T40" s="366"/>
      <c r="U40" s="366"/>
      <c r="V40" s="366"/>
      <c r="W40" s="366"/>
      <c r="X40" s="366"/>
      <c r="Y40" s="366"/>
      <c r="Z40" s="366"/>
      <c r="AA40" s="366"/>
      <c r="AB40" s="366"/>
      <c r="AC40" s="366"/>
      <c r="AD40" s="366"/>
      <c r="AE40" s="366"/>
      <c r="AF40" s="366"/>
      <c r="AG40" s="366"/>
      <c r="AH40" s="366"/>
      <c r="AI40" s="366"/>
      <c r="AJ40" s="366"/>
      <c r="AK40" s="366"/>
      <c r="AL40" s="366"/>
      <c r="AM40" s="607"/>
      <c r="AN40" s="366"/>
      <c r="AO40" s="366"/>
      <c r="AP40" s="366"/>
      <c r="AQ40" s="366"/>
      <c r="AR40" s="619"/>
      <c r="AS40" s="617"/>
    </row>
    <row r="41" spans="1:50" ht="15.75">
      <c r="A41" s="190"/>
      <c r="B41" s="366"/>
      <c r="C41" s="366"/>
      <c r="D41" s="596"/>
      <c r="E41" s="596"/>
      <c r="F41" s="366"/>
      <c r="G41" s="366"/>
      <c r="H41" s="366"/>
      <c r="I41" s="366"/>
      <c r="J41" s="366"/>
      <c r="K41" s="366"/>
      <c r="L41" s="366"/>
      <c r="M41" s="366"/>
      <c r="N41" s="366"/>
      <c r="O41" s="366"/>
      <c r="P41" s="611"/>
      <c r="Q41" s="614"/>
      <c r="R41" s="588"/>
      <c r="S41" s="188"/>
      <c r="T41" s="366"/>
      <c r="U41" s="366"/>
      <c r="V41" s="366"/>
      <c r="W41" s="366"/>
      <c r="X41" s="366"/>
      <c r="Y41" s="366"/>
      <c r="Z41" s="366"/>
      <c r="AA41" s="366"/>
      <c r="AB41" s="366"/>
      <c r="AC41" s="366"/>
      <c r="AD41" s="366"/>
      <c r="AE41" s="366"/>
      <c r="AF41" s="366"/>
      <c r="AG41" s="366"/>
      <c r="AH41" s="366"/>
      <c r="AI41" s="366"/>
      <c r="AJ41" s="366"/>
      <c r="AK41" s="366"/>
      <c r="AL41" s="366"/>
      <c r="AM41" s="607"/>
      <c r="AN41" s="366"/>
      <c r="AO41" s="366"/>
      <c r="AP41" s="366"/>
      <c r="AQ41" s="366"/>
      <c r="AR41" s="619"/>
      <c r="AS41" s="617"/>
    </row>
    <row r="42" spans="1:50" ht="15.75">
      <c r="A42" s="190"/>
      <c r="B42" s="366"/>
      <c r="C42" s="366"/>
      <c r="D42" s="596"/>
      <c r="E42" s="596"/>
      <c r="F42" s="366"/>
      <c r="G42" s="366"/>
      <c r="H42" s="366"/>
      <c r="I42" s="366"/>
      <c r="J42" s="366"/>
      <c r="K42" s="366"/>
      <c r="L42" s="366"/>
      <c r="M42" s="366"/>
      <c r="N42" s="366"/>
      <c r="O42" s="366"/>
      <c r="P42" s="611"/>
      <c r="Q42" s="614"/>
      <c r="R42" s="588"/>
      <c r="S42" s="188"/>
      <c r="T42" s="366"/>
      <c r="U42" s="366"/>
      <c r="V42" s="366"/>
      <c r="W42" s="366"/>
      <c r="X42" s="366"/>
      <c r="Y42" s="366"/>
      <c r="Z42" s="366"/>
      <c r="AA42" s="366"/>
      <c r="AB42" s="366"/>
      <c r="AC42" s="366"/>
      <c r="AD42" s="366"/>
      <c r="AE42" s="366"/>
      <c r="AF42" s="366"/>
      <c r="AG42" s="366"/>
      <c r="AH42" s="366"/>
      <c r="AI42" s="366"/>
      <c r="AJ42" s="366"/>
      <c r="AK42" s="366"/>
      <c r="AL42" s="366"/>
      <c r="AM42" s="607"/>
      <c r="AN42" s="366"/>
      <c r="AO42" s="366"/>
      <c r="AP42" s="366"/>
      <c r="AQ42" s="366"/>
      <c r="AR42" s="619"/>
      <c r="AS42" s="617"/>
    </row>
    <row r="43" spans="1:50" ht="15.75">
      <c r="A43" s="190"/>
      <c r="B43" s="366"/>
      <c r="C43" s="366"/>
      <c r="D43" s="596"/>
      <c r="E43" s="596"/>
      <c r="F43" s="366"/>
      <c r="G43" s="366"/>
      <c r="H43" s="366"/>
      <c r="I43" s="366"/>
      <c r="J43" s="366"/>
      <c r="K43" s="366"/>
      <c r="L43" s="366"/>
      <c r="M43" s="366"/>
      <c r="N43" s="366"/>
      <c r="O43" s="366"/>
      <c r="P43" s="611"/>
      <c r="Q43" s="614"/>
      <c r="R43" s="588"/>
      <c r="S43" s="188"/>
      <c r="T43" s="366"/>
      <c r="U43" s="366"/>
      <c r="V43" s="366"/>
      <c r="W43" s="366"/>
      <c r="X43" s="366"/>
      <c r="Y43" s="366"/>
      <c r="Z43" s="366"/>
      <c r="AA43" s="366"/>
      <c r="AB43" s="366"/>
      <c r="AC43" s="366"/>
      <c r="AD43" s="366"/>
      <c r="AE43" s="366"/>
      <c r="AF43" s="366"/>
      <c r="AG43" s="366"/>
      <c r="AH43" s="366"/>
      <c r="AI43" s="366"/>
      <c r="AJ43" s="366"/>
      <c r="AK43" s="366"/>
      <c r="AL43" s="366"/>
      <c r="AM43" s="607"/>
      <c r="AN43" s="366"/>
      <c r="AO43" s="366"/>
      <c r="AP43" s="366"/>
      <c r="AQ43" s="366"/>
      <c r="AR43" s="619"/>
      <c r="AS43" s="617"/>
    </row>
    <row r="44" spans="1:50" ht="15.75">
      <c r="A44" s="190"/>
      <c r="B44" s="366"/>
      <c r="C44" s="366"/>
      <c r="D44" s="596"/>
      <c r="E44" s="596"/>
      <c r="F44" s="366"/>
      <c r="G44" s="366"/>
      <c r="H44" s="366"/>
      <c r="I44" s="366"/>
      <c r="J44" s="366"/>
      <c r="K44" s="366"/>
      <c r="L44" s="366"/>
      <c r="M44" s="366"/>
      <c r="N44" s="366"/>
      <c r="O44" s="366"/>
      <c r="P44" s="611"/>
      <c r="Q44" s="614"/>
      <c r="R44" s="588"/>
      <c r="S44" s="188"/>
      <c r="T44" s="366"/>
      <c r="U44" s="366"/>
      <c r="V44" s="366"/>
      <c r="W44" s="366"/>
      <c r="X44" s="366"/>
      <c r="Y44" s="366"/>
      <c r="Z44" s="366"/>
      <c r="AA44" s="366"/>
      <c r="AB44" s="366"/>
      <c r="AC44" s="366"/>
      <c r="AD44" s="366"/>
      <c r="AE44" s="366"/>
      <c r="AF44" s="366"/>
      <c r="AG44" s="366"/>
      <c r="AH44" s="366"/>
      <c r="AI44" s="366"/>
      <c r="AJ44" s="366"/>
      <c r="AK44" s="366"/>
      <c r="AL44" s="366"/>
      <c r="AM44" s="607"/>
      <c r="AN44" s="366"/>
      <c r="AO44" s="366"/>
      <c r="AP44" s="366"/>
      <c r="AQ44" s="366"/>
      <c r="AR44" s="619"/>
      <c r="AS44" s="617"/>
    </row>
    <row r="45" spans="1:50" ht="15.75">
      <c r="A45" s="190"/>
      <c r="B45" s="366"/>
      <c r="C45" s="366"/>
      <c r="D45" s="596"/>
      <c r="E45" s="596"/>
      <c r="F45" s="366"/>
      <c r="G45" s="366"/>
      <c r="H45" s="366"/>
      <c r="I45" s="366"/>
      <c r="J45" s="366"/>
      <c r="K45" s="366"/>
      <c r="L45" s="366"/>
      <c r="M45" s="366"/>
      <c r="N45" s="366"/>
      <c r="O45" s="366"/>
      <c r="P45" s="611"/>
      <c r="Q45" s="614"/>
      <c r="R45" s="588"/>
      <c r="S45" s="188"/>
      <c r="T45" s="366"/>
      <c r="U45" s="366"/>
      <c r="V45" s="366"/>
      <c r="W45" s="366"/>
      <c r="X45" s="366"/>
      <c r="Y45" s="366"/>
      <c r="Z45" s="366"/>
      <c r="AA45" s="366"/>
      <c r="AB45" s="366"/>
      <c r="AC45" s="366"/>
      <c r="AD45" s="366"/>
      <c r="AE45" s="366"/>
      <c r="AF45" s="366"/>
      <c r="AG45" s="366"/>
      <c r="AH45" s="366"/>
      <c r="AI45" s="366"/>
      <c r="AJ45" s="366"/>
      <c r="AK45" s="366"/>
      <c r="AL45" s="366"/>
      <c r="AM45" s="607"/>
      <c r="AN45" s="366"/>
      <c r="AO45" s="366"/>
      <c r="AP45" s="366"/>
      <c r="AQ45" s="366"/>
      <c r="AR45" s="619"/>
      <c r="AS45" s="617"/>
    </row>
    <row r="46" spans="1:50" ht="15.75">
      <c r="A46" s="190"/>
      <c r="B46" s="366"/>
      <c r="C46" s="366"/>
      <c r="D46" s="596"/>
      <c r="E46" s="596"/>
      <c r="F46" s="366"/>
      <c r="G46" s="366"/>
      <c r="H46" s="366"/>
      <c r="I46" s="366"/>
      <c r="J46" s="366"/>
      <c r="K46" s="366"/>
      <c r="L46" s="366"/>
      <c r="M46" s="366"/>
      <c r="N46" s="366"/>
      <c r="O46" s="366"/>
      <c r="P46" s="611"/>
      <c r="Q46" s="614"/>
      <c r="R46" s="588"/>
      <c r="S46" s="188"/>
      <c r="T46" s="366"/>
      <c r="U46" s="366"/>
      <c r="V46" s="366"/>
      <c r="W46" s="366"/>
      <c r="X46" s="366"/>
      <c r="Y46" s="366"/>
      <c r="Z46" s="366"/>
      <c r="AA46" s="366"/>
      <c r="AB46" s="366"/>
      <c r="AC46" s="366"/>
      <c r="AD46" s="366"/>
      <c r="AE46" s="366"/>
      <c r="AF46" s="366"/>
      <c r="AG46" s="366"/>
      <c r="AH46" s="366"/>
      <c r="AI46" s="366"/>
      <c r="AJ46" s="366"/>
      <c r="AK46" s="366"/>
      <c r="AL46" s="366"/>
      <c r="AM46" s="607"/>
      <c r="AN46" s="366"/>
      <c r="AO46" s="366"/>
      <c r="AP46" s="366"/>
      <c r="AQ46" s="366"/>
      <c r="AR46" s="619"/>
      <c r="AS46" s="617"/>
    </row>
    <row r="47" spans="1:50" ht="15.75">
      <c r="A47" s="190"/>
      <c r="B47" s="366"/>
      <c r="C47" s="366"/>
      <c r="D47" s="596"/>
      <c r="E47" s="596"/>
      <c r="F47" s="366"/>
      <c r="G47" s="366"/>
      <c r="H47" s="366"/>
      <c r="I47" s="366"/>
      <c r="J47" s="366"/>
      <c r="K47" s="366"/>
      <c r="L47" s="366"/>
      <c r="M47" s="366"/>
      <c r="N47" s="366"/>
      <c r="O47" s="366"/>
      <c r="P47" s="611"/>
      <c r="Q47" s="614"/>
      <c r="R47" s="588"/>
      <c r="S47" s="188"/>
      <c r="T47" s="366"/>
      <c r="U47" s="366"/>
      <c r="V47" s="366"/>
      <c r="W47" s="366"/>
      <c r="X47" s="366"/>
      <c r="Y47" s="366"/>
      <c r="Z47" s="366"/>
      <c r="AA47" s="366"/>
      <c r="AB47" s="366"/>
      <c r="AC47" s="366"/>
      <c r="AD47" s="366"/>
      <c r="AE47" s="366"/>
      <c r="AF47" s="366"/>
      <c r="AG47" s="366"/>
      <c r="AH47" s="366"/>
      <c r="AI47" s="366"/>
      <c r="AJ47" s="366"/>
      <c r="AK47" s="366"/>
      <c r="AL47" s="366"/>
      <c r="AM47" s="607"/>
      <c r="AN47" s="366"/>
      <c r="AO47" s="366"/>
      <c r="AP47" s="366"/>
      <c r="AQ47" s="366"/>
      <c r="AR47" s="619"/>
      <c r="AS47" s="617"/>
    </row>
    <row r="48" spans="1:50" ht="15.75">
      <c r="A48" s="190"/>
      <c r="B48" s="366"/>
      <c r="C48" s="366"/>
      <c r="D48" s="596"/>
      <c r="E48" s="596"/>
      <c r="F48" s="366"/>
      <c r="G48" s="366"/>
      <c r="H48" s="366"/>
      <c r="I48" s="366"/>
      <c r="J48" s="366"/>
      <c r="K48" s="366"/>
      <c r="L48" s="366"/>
      <c r="M48" s="366"/>
      <c r="N48" s="366"/>
      <c r="O48" s="366"/>
      <c r="P48" s="611"/>
      <c r="Q48" s="614"/>
      <c r="R48" s="588"/>
      <c r="S48" s="188"/>
      <c r="T48" s="366"/>
      <c r="U48" s="366"/>
      <c r="V48" s="366"/>
      <c r="W48" s="366"/>
      <c r="X48" s="366"/>
      <c r="Y48" s="366"/>
      <c r="Z48" s="366"/>
      <c r="AA48" s="366"/>
      <c r="AB48" s="366"/>
      <c r="AC48" s="366"/>
      <c r="AD48" s="366"/>
      <c r="AE48" s="366"/>
      <c r="AF48" s="366"/>
      <c r="AG48" s="366"/>
      <c r="AH48" s="366"/>
      <c r="AI48" s="366"/>
      <c r="AJ48" s="366"/>
      <c r="AK48" s="366"/>
      <c r="AL48" s="366"/>
      <c r="AM48" s="607"/>
      <c r="AN48" s="366"/>
      <c r="AO48" s="366"/>
      <c r="AP48" s="366"/>
      <c r="AQ48" s="366"/>
      <c r="AR48" s="619"/>
      <c r="AS48" s="617"/>
    </row>
    <row r="49" spans="1:45" ht="15.75">
      <c r="A49" s="190"/>
      <c r="B49" s="366"/>
      <c r="C49" s="366"/>
      <c r="D49" s="596"/>
      <c r="E49" s="596"/>
      <c r="F49" s="366"/>
      <c r="G49" s="366"/>
      <c r="H49" s="366"/>
      <c r="I49" s="366"/>
      <c r="J49" s="366"/>
      <c r="K49" s="366"/>
      <c r="L49" s="366"/>
      <c r="M49" s="366"/>
      <c r="N49" s="366"/>
      <c r="O49" s="366"/>
      <c r="P49" s="611"/>
      <c r="Q49" s="614"/>
      <c r="R49" s="588"/>
      <c r="S49" s="188"/>
      <c r="T49" s="366"/>
      <c r="U49" s="366"/>
      <c r="V49" s="366"/>
      <c r="W49" s="366"/>
      <c r="X49" s="366"/>
      <c r="Y49" s="366"/>
      <c r="Z49" s="366"/>
      <c r="AA49" s="366"/>
      <c r="AB49" s="366"/>
      <c r="AC49" s="366"/>
      <c r="AD49" s="366"/>
      <c r="AE49" s="366"/>
      <c r="AF49" s="366"/>
      <c r="AG49" s="366"/>
      <c r="AH49" s="366"/>
      <c r="AI49" s="366"/>
      <c r="AJ49" s="366"/>
      <c r="AK49" s="366"/>
      <c r="AL49" s="366"/>
      <c r="AM49" s="607"/>
      <c r="AN49" s="366"/>
      <c r="AO49" s="366"/>
      <c r="AP49" s="366"/>
      <c r="AQ49" s="366"/>
      <c r="AR49" s="619"/>
      <c r="AS49" s="617"/>
    </row>
    <row r="50" spans="1:45" ht="15.75">
      <c r="A50" s="190"/>
      <c r="B50" s="366"/>
      <c r="C50" s="366"/>
      <c r="D50" s="596"/>
      <c r="E50" s="596"/>
      <c r="F50" s="366"/>
      <c r="G50" s="366"/>
      <c r="H50" s="366"/>
      <c r="I50" s="366"/>
      <c r="J50" s="366"/>
      <c r="K50" s="366"/>
      <c r="L50" s="366"/>
      <c r="M50" s="366"/>
      <c r="N50" s="366"/>
      <c r="O50" s="366"/>
      <c r="P50" s="611"/>
      <c r="Q50" s="614"/>
      <c r="R50" s="588"/>
      <c r="S50" s="188"/>
      <c r="T50" s="366"/>
      <c r="U50" s="366"/>
      <c r="V50" s="366"/>
      <c r="W50" s="366"/>
      <c r="X50" s="366"/>
      <c r="Y50" s="366"/>
      <c r="Z50" s="366"/>
      <c r="AA50" s="366"/>
      <c r="AB50" s="366"/>
      <c r="AC50" s="366"/>
      <c r="AD50" s="366"/>
      <c r="AE50" s="366"/>
      <c r="AF50" s="366"/>
      <c r="AG50" s="366"/>
      <c r="AH50" s="366"/>
      <c r="AI50" s="366"/>
      <c r="AJ50" s="366"/>
      <c r="AK50" s="366"/>
      <c r="AL50" s="366"/>
      <c r="AM50" s="607"/>
      <c r="AN50" s="366"/>
      <c r="AO50" s="366"/>
      <c r="AP50" s="366"/>
      <c r="AQ50" s="366"/>
      <c r="AR50" s="619"/>
      <c r="AS50" s="617"/>
    </row>
    <row r="51" spans="1:45" ht="15.75">
      <c r="A51" s="190"/>
      <c r="B51" s="366"/>
      <c r="C51" s="366"/>
      <c r="D51" s="596"/>
      <c r="E51" s="596"/>
      <c r="F51" s="366"/>
      <c r="G51" s="366"/>
      <c r="H51" s="366"/>
      <c r="I51" s="366"/>
      <c r="J51" s="366"/>
      <c r="K51" s="366"/>
      <c r="L51" s="366"/>
      <c r="M51" s="366"/>
      <c r="N51" s="366"/>
      <c r="O51" s="366"/>
      <c r="P51" s="611"/>
      <c r="Q51" s="614"/>
      <c r="R51" s="588"/>
      <c r="S51" s="188"/>
      <c r="T51" s="366"/>
      <c r="U51" s="366"/>
      <c r="V51" s="366"/>
      <c r="W51" s="366"/>
      <c r="X51" s="366"/>
      <c r="Y51" s="366"/>
      <c r="Z51" s="366"/>
      <c r="AA51" s="366"/>
      <c r="AB51" s="366"/>
      <c r="AC51" s="366"/>
      <c r="AD51" s="366"/>
      <c r="AE51" s="366"/>
      <c r="AF51" s="366"/>
      <c r="AG51" s="366"/>
      <c r="AH51" s="366"/>
      <c r="AI51" s="366"/>
      <c r="AJ51" s="366"/>
      <c r="AK51" s="366"/>
      <c r="AL51" s="366"/>
      <c r="AM51" s="607"/>
      <c r="AN51" s="366"/>
      <c r="AO51" s="366"/>
      <c r="AP51" s="366"/>
      <c r="AQ51" s="366"/>
      <c r="AR51" s="619"/>
      <c r="AS51" s="617"/>
    </row>
    <row r="52" spans="1:45" ht="15.75">
      <c r="A52" s="190"/>
      <c r="B52" s="366"/>
      <c r="C52" s="366"/>
      <c r="D52" s="596"/>
      <c r="E52" s="596"/>
      <c r="F52" s="366"/>
      <c r="G52" s="366"/>
      <c r="H52" s="366"/>
      <c r="I52" s="366"/>
      <c r="J52" s="366"/>
      <c r="K52" s="366"/>
      <c r="L52" s="366"/>
      <c r="M52" s="366"/>
      <c r="N52" s="366"/>
      <c r="O52" s="366"/>
      <c r="P52" s="611"/>
      <c r="Q52" s="614"/>
      <c r="R52" s="588"/>
      <c r="S52" s="188"/>
      <c r="T52" s="366"/>
      <c r="U52" s="366"/>
      <c r="V52" s="366"/>
      <c r="W52" s="366"/>
      <c r="X52" s="366"/>
      <c r="Y52" s="366"/>
      <c r="Z52" s="366"/>
      <c r="AA52" s="366"/>
      <c r="AB52" s="366"/>
      <c r="AC52" s="366"/>
      <c r="AD52" s="366"/>
      <c r="AE52" s="366"/>
      <c r="AF52" s="366"/>
      <c r="AG52" s="366"/>
      <c r="AH52" s="366"/>
      <c r="AI52" s="366"/>
      <c r="AJ52" s="366"/>
      <c r="AK52" s="366"/>
      <c r="AL52" s="366"/>
      <c r="AM52" s="607"/>
      <c r="AN52" s="366"/>
      <c r="AO52" s="366"/>
      <c r="AP52" s="366"/>
      <c r="AQ52" s="366"/>
      <c r="AR52" s="619"/>
      <c r="AS52" s="617"/>
    </row>
    <row r="53" spans="1:45" ht="15.75">
      <c r="A53" s="190"/>
      <c r="B53" s="366"/>
      <c r="C53" s="366"/>
      <c r="D53" s="596"/>
      <c r="E53" s="596"/>
      <c r="F53" s="366"/>
      <c r="G53" s="366"/>
      <c r="H53" s="366"/>
      <c r="I53" s="366"/>
      <c r="J53" s="366"/>
      <c r="K53" s="366"/>
      <c r="L53" s="366"/>
      <c r="M53" s="366"/>
      <c r="N53" s="366"/>
      <c r="O53" s="366"/>
      <c r="P53" s="611"/>
      <c r="Q53" s="614"/>
      <c r="R53" s="588"/>
      <c r="S53" s="188"/>
      <c r="T53" s="366"/>
      <c r="U53" s="366"/>
      <c r="V53" s="366"/>
      <c r="W53" s="366"/>
      <c r="X53" s="366"/>
      <c r="Y53" s="366"/>
      <c r="Z53" s="366"/>
      <c r="AA53" s="366"/>
      <c r="AB53" s="366"/>
      <c r="AC53" s="366"/>
      <c r="AD53" s="366"/>
      <c r="AE53" s="366"/>
      <c r="AF53" s="366"/>
      <c r="AG53" s="366"/>
      <c r="AH53" s="366"/>
      <c r="AI53" s="366"/>
      <c r="AJ53" s="366"/>
      <c r="AK53" s="366"/>
      <c r="AL53" s="366"/>
      <c r="AM53" s="607"/>
      <c r="AN53" s="366"/>
      <c r="AO53" s="366"/>
      <c r="AP53" s="366"/>
      <c r="AQ53" s="366"/>
      <c r="AR53" s="619"/>
      <c r="AS53" s="617"/>
    </row>
    <row r="54" spans="1:45" ht="15.75">
      <c r="A54" s="190"/>
      <c r="B54" s="366"/>
      <c r="C54" s="366"/>
      <c r="D54" s="596"/>
      <c r="E54" s="596"/>
      <c r="F54" s="366"/>
      <c r="G54" s="366"/>
      <c r="H54" s="366"/>
      <c r="I54" s="366"/>
      <c r="J54" s="366"/>
      <c r="K54" s="366"/>
      <c r="L54" s="366"/>
      <c r="M54" s="366"/>
      <c r="N54" s="366"/>
      <c r="O54" s="366"/>
      <c r="P54" s="611"/>
      <c r="Q54" s="614"/>
      <c r="R54" s="588"/>
      <c r="S54" s="188"/>
      <c r="T54" s="366"/>
      <c r="U54" s="366"/>
      <c r="V54" s="366"/>
      <c r="W54" s="366"/>
      <c r="X54" s="366"/>
      <c r="Y54" s="366"/>
      <c r="Z54" s="366"/>
      <c r="AA54" s="366"/>
      <c r="AB54" s="366"/>
      <c r="AC54" s="366"/>
      <c r="AD54" s="366"/>
      <c r="AE54" s="366"/>
      <c r="AF54" s="366"/>
      <c r="AG54" s="366"/>
      <c r="AH54" s="366"/>
      <c r="AI54" s="366"/>
      <c r="AJ54" s="366"/>
      <c r="AK54" s="366"/>
      <c r="AL54" s="366"/>
      <c r="AM54" s="607"/>
      <c r="AN54" s="366"/>
      <c r="AO54" s="366"/>
      <c r="AP54" s="366"/>
      <c r="AQ54" s="366"/>
      <c r="AR54" s="619"/>
      <c r="AS54" s="617"/>
    </row>
    <row r="55" spans="1:45" ht="15.75">
      <c r="A55" s="190"/>
      <c r="B55" s="366"/>
      <c r="C55" s="366"/>
      <c r="D55" s="596"/>
      <c r="E55" s="596"/>
      <c r="F55" s="366"/>
      <c r="G55" s="366"/>
      <c r="H55" s="366"/>
      <c r="I55" s="366"/>
      <c r="J55" s="366"/>
      <c r="K55" s="366"/>
      <c r="L55" s="366"/>
      <c r="M55" s="366"/>
      <c r="N55" s="366"/>
      <c r="O55" s="366"/>
      <c r="P55" s="611"/>
      <c r="Q55" s="614"/>
      <c r="R55" s="588"/>
      <c r="S55" s="188"/>
      <c r="T55" s="366"/>
      <c r="U55" s="366"/>
      <c r="V55" s="366"/>
      <c r="W55" s="366"/>
      <c r="X55" s="366"/>
      <c r="Y55" s="366"/>
      <c r="Z55" s="366"/>
      <c r="AA55" s="366"/>
      <c r="AB55" s="366"/>
      <c r="AC55" s="366"/>
      <c r="AD55" s="366"/>
      <c r="AE55" s="366"/>
      <c r="AF55" s="366"/>
      <c r="AG55" s="366"/>
      <c r="AH55" s="366"/>
      <c r="AI55" s="366"/>
      <c r="AJ55" s="366"/>
      <c r="AK55" s="366"/>
      <c r="AL55" s="366"/>
      <c r="AM55" s="607"/>
      <c r="AN55" s="366"/>
      <c r="AO55" s="366"/>
      <c r="AP55" s="366"/>
      <c r="AQ55" s="366"/>
      <c r="AR55" s="619"/>
      <c r="AS55" s="617"/>
    </row>
    <row r="56" spans="1:45" ht="15.75">
      <c r="A56" s="190"/>
      <c r="B56" s="366"/>
      <c r="C56" s="366"/>
      <c r="D56" s="596"/>
      <c r="E56" s="596"/>
      <c r="F56" s="366"/>
      <c r="G56" s="366"/>
      <c r="H56" s="366"/>
      <c r="I56" s="366"/>
      <c r="J56" s="366"/>
      <c r="K56" s="366"/>
      <c r="L56" s="366"/>
      <c r="M56" s="366"/>
      <c r="N56" s="366"/>
      <c r="O56" s="366"/>
      <c r="P56" s="611"/>
      <c r="Q56" s="614"/>
      <c r="R56" s="588"/>
      <c r="S56" s="188"/>
      <c r="T56" s="366"/>
      <c r="U56" s="366"/>
      <c r="V56" s="366"/>
      <c r="W56" s="366"/>
      <c r="X56" s="366"/>
      <c r="Y56" s="366"/>
      <c r="Z56" s="366"/>
      <c r="AA56" s="366"/>
      <c r="AB56" s="366"/>
      <c r="AC56" s="366"/>
      <c r="AD56" s="366"/>
      <c r="AE56" s="366"/>
      <c r="AF56" s="366"/>
      <c r="AG56" s="366"/>
      <c r="AH56" s="366"/>
      <c r="AI56" s="366"/>
      <c r="AJ56" s="366"/>
      <c r="AK56" s="366"/>
      <c r="AL56" s="366"/>
      <c r="AM56" s="607"/>
      <c r="AN56" s="366"/>
      <c r="AO56" s="366"/>
      <c r="AP56" s="366"/>
      <c r="AQ56" s="366"/>
      <c r="AR56" s="619"/>
      <c r="AS56" s="617"/>
    </row>
    <row r="57" spans="1:45" ht="15.75">
      <c r="A57" s="190"/>
      <c r="B57" s="366"/>
      <c r="C57" s="366"/>
      <c r="D57" s="596"/>
      <c r="E57" s="596"/>
      <c r="F57" s="366"/>
      <c r="G57" s="366"/>
      <c r="H57" s="366"/>
      <c r="I57" s="366"/>
      <c r="J57" s="366"/>
      <c r="K57" s="366"/>
      <c r="L57" s="366"/>
      <c r="M57" s="366"/>
      <c r="N57" s="366"/>
      <c r="O57" s="366"/>
      <c r="P57" s="611"/>
      <c r="Q57" s="614"/>
      <c r="R57" s="588"/>
      <c r="S57" s="188"/>
      <c r="T57" s="366"/>
      <c r="U57" s="366"/>
      <c r="V57" s="366"/>
      <c r="W57" s="366"/>
      <c r="X57" s="366"/>
      <c r="Y57" s="366"/>
      <c r="Z57" s="366"/>
      <c r="AA57" s="366"/>
      <c r="AB57" s="366"/>
      <c r="AC57" s="366"/>
      <c r="AD57" s="366"/>
      <c r="AE57" s="366"/>
      <c r="AF57" s="366"/>
      <c r="AG57" s="366"/>
      <c r="AH57" s="366"/>
      <c r="AI57" s="366"/>
      <c r="AJ57" s="366"/>
      <c r="AK57" s="366"/>
      <c r="AL57" s="366"/>
      <c r="AM57" s="607"/>
      <c r="AN57" s="366"/>
      <c r="AO57" s="366"/>
      <c r="AP57" s="366"/>
      <c r="AQ57" s="366"/>
      <c r="AR57" s="619"/>
      <c r="AS57" s="617"/>
    </row>
    <row r="58" spans="1:45" ht="15.75">
      <c r="A58" s="190"/>
      <c r="B58" s="366"/>
      <c r="C58" s="366"/>
      <c r="D58" s="596"/>
      <c r="E58" s="596"/>
      <c r="F58" s="366"/>
      <c r="G58" s="366"/>
      <c r="H58" s="366"/>
      <c r="I58" s="366"/>
      <c r="J58" s="366"/>
      <c r="K58" s="366"/>
      <c r="L58" s="366"/>
      <c r="M58" s="366"/>
      <c r="N58" s="366"/>
      <c r="O58" s="366"/>
      <c r="P58" s="611"/>
      <c r="Q58" s="614"/>
      <c r="R58" s="588"/>
      <c r="S58" s="188"/>
      <c r="T58" s="366"/>
      <c r="U58" s="366"/>
      <c r="V58" s="366"/>
      <c r="W58" s="366"/>
      <c r="X58" s="366"/>
      <c r="Y58" s="366"/>
      <c r="Z58" s="366"/>
      <c r="AA58" s="366"/>
      <c r="AB58" s="366"/>
      <c r="AC58" s="366"/>
      <c r="AD58" s="366"/>
      <c r="AE58" s="366"/>
      <c r="AF58" s="366"/>
      <c r="AG58" s="366"/>
      <c r="AH58" s="366"/>
      <c r="AI58" s="366"/>
      <c r="AJ58" s="366"/>
      <c r="AK58" s="366"/>
      <c r="AL58" s="366"/>
      <c r="AM58" s="607"/>
      <c r="AN58" s="366"/>
      <c r="AO58" s="366"/>
      <c r="AP58" s="366"/>
      <c r="AQ58" s="366"/>
      <c r="AR58" s="619"/>
      <c r="AS58" s="617"/>
    </row>
    <row r="59" spans="1:45" ht="15.75">
      <c r="A59" s="190"/>
      <c r="B59" s="366"/>
      <c r="C59" s="366"/>
      <c r="D59" s="596"/>
      <c r="E59" s="596"/>
      <c r="F59" s="366"/>
      <c r="G59" s="366"/>
      <c r="H59" s="366"/>
      <c r="I59" s="366"/>
      <c r="J59" s="366"/>
      <c r="K59" s="366"/>
      <c r="L59" s="366"/>
      <c r="M59" s="366"/>
      <c r="N59" s="366"/>
      <c r="O59" s="366"/>
      <c r="P59" s="611"/>
      <c r="Q59" s="614"/>
      <c r="R59" s="588"/>
      <c r="S59" s="188"/>
      <c r="T59" s="366"/>
      <c r="U59" s="366"/>
      <c r="V59" s="366"/>
      <c r="W59" s="366"/>
      <c r="X59" s="366"/>
      <c r="Y59" s="366"/>
      <c r="Z59" s="366"/>
      <c r="AA59" s="366"/>
      <c r="AB59" s="366"/>
      <c r="AC59" s="366"/>
      <c r="AD59" s="366"/>
      <c r="AE59" s="366"/>
      <c r="AF59" s="366"/>
      <c r="AG59" s="366"/>
      <c r="AH59" s="366"/>
      <c r="AI59" s="366"/>
      <c r="AJ59" s="366"/>
      <c r="AK59" s="366"/>
      <c r="AL59" s="366"/>
      <c r="AM59" s="607"/>
      <c r="AN59" s="366"/>
      <c r="AO59" s="366"/>
      <c r="AP59" s="366"/>
      <c r="AQ59" s="366"/>
      <c r="AR59" s="619"/>
      <c r="AS59" s="617"/>
    </row>
    <row r="60" spans="1:45" ht="15.75">
      <c r="A60" s="190"/>
      <c r="B60" s="366"/>
      <c r="C60" s="366"/>
      <c r="D60" s="596"/>
      <c r="E60" s="596"/>
      <c r="F60" s="366"/>
      <c r="G60" s="366"/>
      <c r="H60" s="366"/>
      <c r="I60" s="366"/>
      <c r="J60" s="366"/>
      <c r="K60" s="366"/>
      <c r="L60" s="366"/>
      <c r="M60" s="366"/>
      <c r="N60" s="366"/>
      <c r="O60" s="366"/>
      <c r="P60" s="611"/>
      <c r="Q60" s="614"/>
      <c r="R60" s="588"/>
      <c r="S60" s="188"/>
      <c r="T60" s="366"/>
      <c r="U60" s="366"/>
      <c r="V60" s="366"/>
      <c r="W60" s="366"/>
      <c r="X60" s="366"/>
      <c r="Y60" s="366"/>
      <c r="Z60" s="366"/>
      <c r="AA60" s="366"/>
      <c r="AB60" s="366"/>
      <c r="AC60" s="366"/>
      <c r="AD60" s="366"/>
      <c r="AE60" s="366"/>
      <c r="AF60" s="366"/>
      <c r="AG60" s="366"/>
      <c r="AH60" s="366"/>
      <c r="AI60" s="366"/>
      <c r="AJ60" s="366"/>
      <c r="AK60" s="366"/>
      <c r="AL60" s="366"/>
      <c r="AM60" s="607"/>
      <c r="AN60" s="366"/>
      <c r="AO60" s="366"/>
      <c r="AP60" s="366"/>
      <c r="AQ60" s="366"/>
      <c r="AR60" s="619"/>
      <c r="AS60" s="617"/>
    </row>
    <row r="61" spans="1:45" ht="15.75">
      <c r="A61" s="190"/>
      <c r="B61" s="366"/>
      <c r="C61" s="366"/>
      <c r="D61" s="596"/>
      <c r="E61" s="596"/>
      <c r="F61" s="366"/>
      <c r="G61" s="366"/>
      <c r="H61" s="366"/>
      <c r="I61" s="366"/>
      <c r="J61" s="366"/>
      <c r="K61" s="366"/>
      <c r="L61" s="366"/>
      <c r="M61" s="366"/>
      <c r="N61" s="366"/>
      <c r="O61" s="366"/>
      <c r="P61" s="611"/>
      <c r="Q61" s="614"/>
      <c r="R61" s="588"/>
      <c r="S61" s="188"/>
      <c r="T61" s="366"/>
      <c r="U61" s="366"/>
      <c r="V61" s="366"/>
      <c r="W61" s="366"/>
      <c r="X61" s="366"/>
      <c r="Y61" s="366"/>
      <c r="Z61" s="366"/>
      <c r="AA61" s="366"/>
      <c r="AB61" s="366"/>
      <c r="AC61" s="366"/>
      <c r="AD61" s="366"/>
      <c r="AE61" s="366"/>
      <c r="AF61" s="366"/>
      <c r="AG61" s="366"/>
      <c r="AH61" s="366"/>
      <c r="AI61" s="366"/>
      <c r="AJ61" s="366"/>
      <c r="AK61" s="366"/>
      <c r="AL61" s="366"/>
      <c r="AM61" s="607"/>
      <c r="AN61" s="366"/>
      <c r="AO61" s="366"/>
      <c r="AP61" s="366"/>
      <c r="AQ61" s="366"/>
      <c r="AR61" s="619"/>
      <c r="AS61" s="617"/>
    </row>
    <row r="62" spans="1:45" ht="15.75">
      <c r="A62" s="190"/>
      <c r="B62" s="366"/>
      <c r="C62" s="366"/>
      <c r="D62" s="596"/>
      <c r="E62" s="596"/>
      <c r="F62" s="366"/>
      <c r="G62" s="366"/>
      <c r="H62" s="366"/>
      <c r="I62" s="366"/>
      <c r="J62" s="366"/>
      <c r="K62" s="366"/>
      <c r="L62" s="366"/>
      <c r="M62" s="366"/>
      <c r="N62" s="366"/>
      <c r="O62" s="366"/>
      <c r="P62" s="611"/>
      <c r="Q62" s="614"/>
      <c r="R62" s="588"/>
      <c r="S62" s="188"/>
      <c r="T62" s="366"/>
      <c r="U62" s="366"/>
      <c r="V62" s="366"/>
      <c r="W62" s="366"/>
      <c r="X62" s="366"/>
      <c r="Y62" s="366"/>
      <c r="Z62" s="366"/>
      <c r="AA62" s="366"/>
      <c r="AB62" s="366"/>
      <c r="AC62" s="366"/>
      <c r="AD62" s="366"/>
      <c r="AE62" s="366"/>
      <c r="AF62" s="366"/>
      <c r="AG62" s="366"/>
      <c r="AH62" s="366"/>
      <c r="AI62" s="366"/>
      <c r="AJ62" s="366"/>
      <c r="AK62" s="366"/>
      <c r="AL62" s="366"/>
      <c r="AM62" s="607"/>
      <c r="AN62" s="366"/>
      <c r="AO62" s="366"/>
      <c r="AP62" s="366"/>
      <c r="AQ62" s="366"/>
      <c r="AR62" s="619"/>
      <c r="AS62" s="617"/>
    </row>
    <row r="63" spans="1:45" ht="15.75">
      <c r="A63" s="190"/>
      <c r="B63" s="366"/>
      <c r="C63" s="366"/>
      <c r="D63" s="596"/>
      <c r="E63" s="596"/>
      <c r="F63" s="366"/>
      <c r="G63" s="366"/>
      <c r="H63" s="366"/>
      <c r="I63" s="366"/>
      <c r="J63" s="366"/>
      <c r="K63" s="366"/>
      <c r="L63" s="366"/>
      <c r="M63" s="366"/>
      <c r="N63" s="366"/>
      <c r="O63" s="366"/>
      <c r="P63" s="611"/>
      <c r="Q63" s="614"/>
      <c r="R63" s="588"/>
      <c r="S63" s="188"/>
      <c r="T63" s="366"/>
      <c r="U63" s="366"/>
      <c r="V63" s="366"/>
      <c r="W63" s="366"/>
      <c r="X63" s="366"/>
      <c r="Y63" s="366"/>
      <c r="Z63" s="366"/>
      <c r="AA63" s="366"/>
      <c r="AB63" s="366"/>
      <c r="AC63" s="366"/>
      <c r="AD63" s="366"/>
      <c r="AE63" s="366"/>
      <c r="AF63" s="366"/>
      <c r="AG63" s="366"/>
      <c r="AH63" s="366"/>
      <c r="AI63" s="366"/>
      <c r="AJ63" s="366"/>
      <c r="AK63" s="366"/>
      <c r="AL63" s="366"/>
      <c r="AM63" s="607"/>
      <c r="AN63" s="366"/>
      <c r="AO63" s="366"/>
      <c r="AP63" s="366"/>
      <c r="AQ63" s="366"/>
      <c r="AR63" s="619"/>
      <c r="AS63" s="617"/>
    </row>
    <row r="64" spans="1:45" ht="15.75">
      <c r="A64" s="190"/>
      <c r="B64" s="366"/>
      <c r="C64" s="366"/>
      <c r="D64" s="596"/>
      <c r="E64" s="596"/>
      <c r="F64" s="366"/>
      <c r="G64" s="366"/>
      <c r="H64" s="366"/>
      <c r="I64" s="366"/>
      <c r="J64" s="366"/>
      <c r="K64" s="366"/>
      <c r="L64" s="366"/>
      <c r="M64" s="366"/>
      <c r="N64" s="366"/>
      <c r="O64" s="366"/>
      <c r="P64" s="611"/>
      <c r="Q64" s="614"/>
      <c r="R64" s="588"/>
      <c r="S64" s="188"/>
      <c r="T64" s="366"/>
      <c r="U64" s="366"/>
      <c r="V64" s="366"/>
      <c r="W64" s="366"/>
      <c r="X64" s="366"/>
      <c r="Y64" s="366"/>
      <c r="Z64" s="366"/>
      <c r="AA64" s="366"/>
      <c r="AB64" s="366"/>
      <c r="AC64" s="366"/>
      <c r="AD64" s="366"/>
      <c r="AE64" s="366"/>
      <c r="AF64" s="366"/>
      <c r="AG64" s="366"/>
      <c r="AH64" s="366"/>
      <c r="AI64" s="366"/>
      <c r="AJ64" s="366"/>
      <c r="AK64" s="366"/>
      <c r="AL64" s="366"/>
      <c r="AM64" s="607"/>
      <c r="AN64" s="366"/>
      <c r="AO64" s="366"/>
      <c r="AP64" s="366"/>
      <c r="AQ64" s="366"/>
      <c r="AR64" s="619"/>
      <c r="AS64" s="617"/>
    </row>
    <row r="65" spans="1:45" ht="15.75">
      <c r="A65" s="190"/>
      <c r="B65" s="366"/>
      <c r="C65" s="366"/>
      <c r="D65" s="596"/>
      <c r="E65" s="596"/>
      <c r="F65" s="366"/>
      <c r="G65" s="366"/>
      <c r="H65" s="366"/>
      <c r="I65" s="366"/>
      <c r="J65" s="366"/>
      <c r="K65" s="366"/>
      <c r="L65" s="366"/>
      <c r="M65" s="366"/>
      <c r="N65" s="366"/>
      <c r="O65" s="366"/>
      <c r="P65" s="611"/>
      <c r="Q65" s="614"/>
      <c r="R65" s="588"/>
      <c r="S65" s="188"/>
      <c r="T65" s="366"/>
      <c r="U65" s="366"/>
      <c r="V65" s="366"/>
      <c r="W65" s="366"/>
      <c r="X65" s="366"/>
      <c r="Y65" s="366"/>
      <c r="Z65" s="366"/>
      <c r="AA65" s="366"/>
      <c r="AB65" s="366"/>
      <c r="AC65" s="366"/>
      <c r="AD65" s="366"/>
      <c r="AE65" s="366"/>
      <c r="AF65" s="366"/>
      <c r="AG65" s="366"/>
      <c r="AH65" s="366"/>
      <c r="AI65" s="366"/>
      <c r="AJ65" s="366"/>
      <c r="AK65" s="366"/>
      <c r="AL65" s="366"/>
      <c r="AM65" s="607"/>
      <c r="AN65" s="366"/>
      <c r="AO65" s="366"/>
      <c r="AP65" s="366"/>
      <c r="AQ65" s="366"/>
      <c r="AR65" s="619"/>
      <c r="AS65" s="617"/>
    </row>
    <row r="66" spans="1:45" ht="15.75">
      <c r="A66" s="190"/>
      <c r="B66" s="366"/>
      <c r="C66" s="366"/>
      <c r="D66" s="596"/>
      <c r="E66" s="596"/>
      <c r="F66" s="366"/>
      <c r="G66" s="366"/>
      <c r="H66" s="366"/>
      <c r="I66" s="366"/>
      <c r="J66" s="366"/>
      <c r="K66" s="366"/>
      <c r="L66" s="366"/>
      <c r="M66" s="366"/>
      <c r="N66" s="366"/>
      <c r="O66" s="366"/>
      <c r="P66" s="611"/>
      <c r="Q66" s="614"/>
      <c r="R66" s="588"/>
      <c r="S66" s="188"/>
      <c r="T66" s="366"/>
      <c r="U66" s="366"/>
      <c r="V66" s="366"/>
      <c r="W66" s="366"/>
      <c r="X66" s="366"/>
      <c r="Y66" s="366"/>
      <c r="Z66" s="366"/>
      <c r="AA66" s="366"/>
      <c r="AB66" s="366"/>
      <c r="AC66" s="366"/>
      <c r="AD66" s="366"/>
      <c r="AE66" s="366"/>
      <c r="AF66" s="366"/>
      <c r="AG66" s="366"/>
      <c r="AH66" s="366"/>
      <c r="AI66" s="366"/>
      <c r="AJ66" s="366"/>
      <c r="AK66" s="366"/>
      <c r="AL66" s="366"/>
      <c r="AM66" s="607"/>
      <c r="AN66" s="366"/>
      <c r="AO66" s="366"/>
      <c r="AP66" s="366"/>
      <c r="AQ66" s="366"/>
      <c r="AR66" s="619"/>
      <c r="AS66" s="617"/>
    </row>
    <row r="67" spans="1:45" ht="15.75">
      <c r="A67" s="190"/>
      <c r="B67" s="366"/>
      <c r="C67" s="366"/>
      <c r="D67" s="596"/>
      <c r="E67" s="596"/>
      <c r="F67" s="366"/>
      <c r="G67" s="366"/>
      <c r="H67" s="366"/>
      <c r="I67" s="366"/>
      <c r="J67" s="366"/>
      <c r="K67" s="366"/>
      <c r="L67" s="366"/>
      <c r="M67" s="366"/>
      <c r="N67" s="366"/>
      <c r="O67" s="366"/>
      <c r="P67" s="611"/>
      <c r="Q67" s="614"/>
      <c r="R67" s="588"/>
      <c r="S67" s="188"/>
      <c r="T67" s="366"/>
      <c r="U67" s="366"/>
      <c r="V67" s="366"/>
      <c r="W67" s="366"/>
      <c r="X67" s="366"/>
      <c r="Y67" s="366"/>
      <c r="Z67" s="366"/>
      <c r="AA67" s="366"/>
      <c r="AB67" s="366"/>
      <c r="AC67" s="366"/>
      <c r="AD67" s="366"/>
      <c r="AE67" s="366"/>
      <c r="AF67" s="366"/>
      <c r="AG67" s="366"/>
      <c r="AH67" s="366"/>
      <c r="AI67" s="366"/>
      <c r="AJ67" s="366"/>
      <c r="AK67" s="366"/>
      <c r="AL67" s="366"/>
      <c r="AM67" s="607"/>
      <c r="AN67" s="366"/>
      <c r="AO67" s="366"/>
      <c r="AP67" s="366"/>
      <c r="AQ67" s="366"/>
      <c r="AR67" s="619"/>
      <c r="AS67" s="617"/>
    </row>
    <row r="68" spans="1:45" ht="15.75">
      <c r="A68" s="190"/>
      <c r="B68" s="366"/>
      <c r="C68" s="366"/>
      <c r="D68" s="596"/>
      <c r="E68" s="596"/>
      <c r="F68" s="366"/>
      <c r="G68" s="366"/>
      <c r="H68" s="366"/>
      <c r="I68" s="366"/>
      <c r="J68" s="366"/>
      <c r="K68" s="366"/>
      <c r="L68" s="366"/>
      <c r="M68" s="366"/>
      <c r="N68" s="366"/>
      <c r="O68" s="366"/>
      <c r="P68" s="611"/>
      <c r="Q68" s="614"/>
      <c r="R68" s="588"/>
      <c r="S68" s="188"/>
      <c r="T68" s="366"/>
      <c r="U68" s="366"/>
      <c r="V68" s="366"/>
      <c r="W68" s="366"/>
      <c r="X68" s="366"/>
      <c r="Y68" s="366"/>
      <c r="Z68" s="366"/>
      <c r="AA68" s="366"/>
      <c r="AB68" s="366"/>
      <c r="AC68" s="366"/>
      <c r="AD68" s="366"/>
      <c r="AE68" s="366"/>
      <c r="AF68" s="366"/>
      <c r="AG68" s="366"/>
      <c r="AH68" s="366"/>
      <c r="AI68" s="366"/>
      <c r="AJ68" s="366"/>
      <c r="AK68" s="366"/>
      <c r="AL68" s="366"/>
      <c r="AM68" s="607"/>
      <c r="AN68" s="366"/>
      <c r="AO68" s="366"/>
      <c r="AP68" s="366"/>
      <c r="AQ68" s="366"/>
      <c r="AR68" s="619"/>
      <c r="AS68" s="617"/>
    </row>
    <row r="69" spans="1:45" ht="15.75">
      <c r="A69" s="190"/>
      <c r="B69" s="366"/>
      <c r="C69" s="366"/>
      <c r="D69" s="596"/>
      <c r="E69" s="596"/>
      <c r="F69" s="366"/>
      <c r="G69" s="366"/>
      <c r="H69" s="366"/>
      <c r="I69" s="366"/>
      <c r="J69" s="366"/>
      <c r="K69" s="366"/>
      <c r="L69" s="366"/>
      <c r="M69" s="366"/>
      <c r="N69" s="366"/>
      <c r="O69" s="366"/>
      <c r="P69" s="611"/>
      <c r="Q69" s="614"/>
      <c r="R69" s="588"/>
      <c r="S69" s="188"/>
      <c r="T69" s="366"/>
      <c r="U69" s="366"/>
      <c r="V69" s="366"/>
      <c r="W69" s="366"/>
      <c r="X69" s="366"/>
      <c r="Y69" s="366"/>
      <c r="Z69" s="366"/>
      <c r="AA69" s="366"/>
      <c r="AB69" s="366"/>
      <c r="AC69" s="366"/>
      <c r="AD69" s="366"/>
      <c r="AE69" s="366"/>
      <c r="AF69" s="366"/>
      <c r="AG69" s="366"/>
      <c r="AH69" s="366"/>
      <c r="AI69" s="366"/>
      <c r="AJ69" s="366"/>
      <c r="AK69" s="366"/>
      <c r="AL69" s="366"/>
      <c r="AM69" s="607"/>
      <c r="AN69" s="366"/>
      <c r="AO69" s="366"/>
      <c r="AP69" s="366"/>
      <c r="AQ69" s="366"/>
      <c r="AR69" s="619"/>
      <c r="AS69" s="617"/>
    </row>
    <row r="70" spans="1:45" ht="15.75">
      <c r="A70" s="190"/>
      <c r="B70" s="366"/>
      <c r="C70" s="366"/>
      <c r="D70" s="596"/>
      <c r="E70" s="596"/>
      <c r="F70" s="366"/>
      <c r="G70" s="366"/>
      <c r="H70" s="366"/>
      <c r="I70" s="366"/>
      <c r="J70" s="366"/>
      <c r="K70" s="366"/>
      <c r="L70" s="366"/>
      <c r="M70" s="366"/>
      <c r="N70" s="366"/>
      <c r="O70" s="366"/>
      <c r="P70" s="611"/>
      <c r="Q70" s="614"/>
      <c r="R70" s="588"/>
      <c r="S70" s="188"/>
      <c r="T70" s="366"/>
      <c r="U70" s="366"/>
      <c r="V70" s="366"/>
      <c r="W70" s="366"/>
      <c r="X70" s="366"/>
      <c r="Y70" s="366"/>
      <c r="Z70" s="366"/>
      <c r="AA70" s="366"/>
      <c r="AB70" s="366"/>
      <c r="AC70" s="366"/>
      <c r="AD70" s="366"/>
      <c r="AE70" s="366"/>
      <c r="AF70" s="366"/>
      <c r="AG70" s="366"/>
      <c r="AH70" s="366"/>
      <c r="AI70" s="366"/>
      <c r="AJ70" s="366"/>
      <c r="AK70" s="366"/>
      <c r="AL70" s="366"/>
      <c r="AM70" s="607"/>
      <c r="AN70" s="366"/>
      <c r="AO70" s="366"/>
      <c r="AP70" s="366"/>
      <c r="AQ70" s="366"/>
      <c r="AR70" s="619"/>
      <c r="AS70" s="617"/>
    </row>
    <row r="71" spans="1:45" ht="15.75">
      <c r="A71" s="190"/>
      <c r="B71" s="366"/>
      <c r="C71" s="366"/>
      <c r="D71" s="596"/>
      <c r="E71" s="596"/>
      <c r="F71" s="366"/>
      <c r="G71" s="366"/>
      <c r="H71" s="366"/>
      <c r="I71" s="366"/>
      <c r="J71" s="366"/>
      <c r="K71" s="366"/>
      <c r="L71" s="366"/>
      <c r="M71" s="366"/>
      <c r="N71" s="366"/>
      <c r="O71" s="366"/>
      <c r="P71" s="611"/>
      <c r="Q71" s="614"/>
      <c r="R71" s="588"/>
      <c r="S71" s="188"/>
      <c r="T71" s="366"/>
      <c r="U71" s="366"/>
      <c r="V71" s="366"/>
      <c r="W71" s="366"/>
      <c r="X71" s="366"/>
      <c r="Y71" s="366"/>
      <c r="Z71" s="366"/>
      <c r="AA71" s="366"/>
      <c r="AB71" s="366"/>
      <c r="AC71" s="366"/>
      <c r="AD71" s="366"/>
      <c r="AE71" s="366"/>
      <c r="AF71" s="366"/>
      <c r="AG71" s="366"/>
      <c r="AH71" s="366"/>
      <c r="AI71" s="366"/>
      <c r="AJ71" s="366"/>
      <c r="AK71" s="366"/>
      <c r="AL71" s="366"/>
      <c r="AM71" s="607"/>
      <c r="AN71" s="366"/>
      <c r="AO71" s="366"/>
      <c r="AP71" s="366"/>
      <c r="AQ71" s="366"/>
      <c r="AR71" s="619"/>
      <c r="AS71" s="617"/>
    </row>
    <row r="72" spans="1:45" ht="15.75">
      <c r="A72" s="190"/>
      <c r="B72" s="366"/>
      <c r="C72" s="366"/>
      <c r="D72" s="596"/>
      <c r="E72" s="596"/>
      <c r="F72" s="366"/>
      <c r="G72" s="366"/>
      <c r="H72" s="366"/>
      <c r="I72" s="366"/>
      <c r="J72" s="366"/>
      <c r="K72" s="366"/>
      <c r="L72" s="366"/>
      <c r="M72" s="366"/>
      <c r="N72" s="366"/>
      <c r="O72" s="366"/>
      <c r="P72" s="611"/>
      <c r="Q72" s="614"/>
      <c r="R72" s="588"/>
      <c r="S72" s="188"/>
      <c r="T72" s="366"/>
      <c r="U72" s="366"/>
      <c r="V72" s="366"/>
      <c r="W72" s="366"/>
      <c r="X72" s="366"/>
      <c r="Y72" s="366"/>
      <c r="Z72" s="366"/>
      <c r="AA72" s="366"/>
      <c r="AB72" s="366"/>
      <c r="AC72" s="366"/>
      <c r="AD72" s="366"/>
      <c r="AE72" s="366"/>
      <c r="AF72" s="366"/>
      <c r="AG72" s="366"/>
      <c r="AH72" s="366"/>
      <c r="AI72" s="366"/>
      <c r="AJ72" s="366"/>
      <c r="AK72" s="366"/>
      <c r="AL72" s="366"/>
      <c r="AM72" s="607"/>
      <c r="AN72" s="366"/>
      <c r="AO72" s="366"/>
      <c r="AP72" s="366"/>
      <c r="AQ72" s="366"/>
      <c r="AR72" s="619"/>
      <c r="AS72" s="617"/>
    </row>
    <row r="73" spans="1:45" ht="15.75">
      <c r="A73" s="190"/>
      <c r="B73" s="366"/>
      <c r="C73" s="366"/>
      <c r="D73" s="596"/>
      <c r="E73" s="596"/>
      <c r="F73" s="366"/>
      <c r="G73" s="366"/>
      <c r="H73" s="366"/>
      <c r="I73" s="366"/>
      <c r="J73" s="366"/>
      <c r="K73" s="366"/>
      <c r="L73" s="366"/>
      <c r="M73" s="366"/>
      <c r="N73" s="366"/>
      <c r="O73" s="366"/>
      <c r="P73" s="611"/>
      <c r="Q73" s="614"/>
      <c r="R73" s="588"/>
      <c r="S73" s="188"/>
      <c r="T73" s="366"/>
      <c r="U73" s="366"/>
      <c r="V73" s="366"/>
      <c r="W73" s="366"/>
      <c r="X73" s="366"/>
      <c r="Y73" s="366"/>
      <c r="Z73" s="366"/>
      <c r="AA73" s="366"/>
      <c r="AB73" s="366"/>
      <c r="AC73" s="366"/>
      <c r="AD73" s="366"/>
      <c r="AE73" s="366"/>
      <c r="AF73" s="366"/>
      <c r="AG73" s="366"/>
      <c r="AH73" s="366"/>
      <c r="AI73" s="366"/>
      <c r="AJ73" s="366"/>
      <c r="AK73" s="366"/>
      <c r="AL73" s="366"/>
      <c r="AM73" s="607"/>
      <c r="AN73" s="366"/>
      <c r="AO73" s="366"/>
      <c r="AP73" s="366"/>
      <c r="AQ73" s="366"/>
      <c r="AR73" s="619"/>
      <c r="AS73" s="617"/>
    </row>
    <row r="74" spans="1:45" ht="15.75">
      <c r="A74" s="190"/>
      <c r="B74" s="366"/>
      <c r="C74" s="366"/>
      <c r="D74" s="596"/>
      <c r="E74" s="596"/>
      <c r="F74" s="366"/>
      <c r="G74" s="366"/>
      <c r="H74" s="366"/>
      <c r="I74" s="366"/>
      <c r="J74" s="366"/>
      <c r="K74" s="366"/>
      <c r="L74" s="366"/>
      <c r="M74" s="366"/>
      <c r="N74" s="366"/>
      <c r="O74" s="366"/>
      <c r="P74" s="611"/>
      <c r="Q74" s="614"/>
      <c r="R74" s="588"/>
      <c r="S74" s="188"/>
      <c r="T74" s="366"/>
      <c r="U74" s="366"/>
      <c r="V74" s="366"/>
      <c r="W74" s="366"/>
      <c r="X74" s="366"/>
      <c r="Y74" s="366"/>
      <c r="Z74" s="366"/>
      <c r="AA74" s="366"/>
      <c r="AB74" s="366"/>
      <c r="AC74" s="366"/>
      <c r="AD74" s="366"/>
      <c r="AE74" s="366"/>
      <c r="AF74" s="366"/>
      <c r="AG74" s="366"/>
      <c r="AH74" s="366"/>
      <c r="AI74" s="366"/>
      <c r="AJ74" s="366"/>
      <c r="AK74" s="366"/>
      <c r="AL74" s="366"/>
      <c r="AM74" s="607"/>
      <c r="AN74" s="366"/>
      <c r="AO74" s="366"/>
      <c r="AP74" s="366"/>
      <c r="AQ74" s="366"/>
      <c r="AR74" s="619"/>
      <c r="AS74" s="617"/>
    </row>
    <row r="75" spans="1:45" ht="15.75">
      <c r="A75" s="190"/>
      <c r="B75" s="366"/>
      <c r="C75" s="366"/>
      <c r="D75" s="596"/>
      <c r="E75" s="596"/>
      <c r="F75" s="366"/>
      <c r="G75" s="366"/>
      <c r="H75" s="366"/>
      <c r="I75" s="366"/>
      <c r="J75" s="366"/>
      <c r="K75" s="366"/>
      <c r="L75" s="366"/>
      <c r="M75" s="366"/>
      <c r="N75" s="366"/>
      <c r="O75" s="366"/>
      <c r="P75" s="611"/>
      <c r="Q75" s="614"/>
      <c r="R75" s="588"/>
      <c r="S75" s="188"/>
      <c r="T75" s="366"/>
      <c r="U75" s="366"/>
      <c r="V75" s="366"/>
      <c r="W75" s="366"/>
      <c r="X75" s="366"/>
      <c r="Y75" s="366"/>
      <c r="Z75" s="366"/>
      <c r="AA75" s="366"/>
      <c r="AB75" s="366"/>
      <c r="AC75" s="366"/>
      <c r="AD75" s="366"/>
      <c r="AE75" s="366"/>
      <c r="AF75" s="366"/>
      <c r="AG75" s="366"/>
      <c r="AH75" s="366"/>
      <c r="AI75" s="366"/>
      <c r="AJ75" s="366"/>
      <c r="AK75" s="366"/>
      <c r="AL75" s="366"/>
      <c r="AM75" s="607"/>
      <c r="AN75" s="366"/>
      <c r="AO75" s="366"/>
      <c r="AP75" s="366"/>
      <c r="AQ75" s="366"/>
      <c r="AR75" s="619"/>
      <c r="AS75" s="617"/>
    </row>
    <row r="76" spans="1:45" ht="15.75">
      <c r="A76" s="190"/>
      <c r="B76" s="366"/>
      <c r="C76" s="366"/>
      <c r="D76" s="596"/>
      <c r="E76" s="596"/>
      <c r="F76" s="366"/>
      <c r="G76" s="366"/>
      <c r="H76" s="366"/>
      <c r="I76" s="366"/>
      <c r="J76" s="366"/>
      <c r="K76" s="366"/>
      <c r="L76" s="366"/>
      <c r="M76" s="366"/>
      <c r="N76" s="366"/>
      <c r="O76" s="366"/>
      <c r="P76" s="611"/>
      <c r="Q76" s="614"/>
      <c r="R76" s="588"/>
      <c r="S76" s="188"/>
      <c r="T76" s="366"/>
      <c r="U76" s="366"/>
      <c r="V76" s="366"/>
      <c r="W76" s="366"/>
      <c r="X76" s="366"/>
      <c r="Y76" s="366"/>
      <c r="Z76" s="366"/>
      <c r="AA76" s="366"/>
      <c r="AB76" s="366"/>
      <c r="AC76" s="366"/>
      <c r="AD76" s="366"/>
      <c r="AE76" s="366"/>
      <c r="AF76" s="366"/>
      <c r="AG76" s="366"/>
      <c r="AH76" s="366"/>
      <c r="AI76" s="366"/>
      <c r="AJ76" s="366"/>
      <c r="AK76" s="366"/>
      <c r="AL76" s="366"/>
      <c r="AM76" s="607"/>
      <c r="AN76" s="366"/>
      <c r="AO76" s="366"/>
      <c r="AP76" s="366"/>
      <c r="AQ76" s="366"/>
      <c r="AR76" s="619"/>
      <c r="AS76" s="617"/>
    </row>
    <row r="77" spans="1:45" ht="15.75">
      <c r="A77" s="190"/>
      <c r="B77" s="366"/>
      <c r="C77" s="366"/>
      <c r="D77" s="596"/>
      <c r="E77" s="596"/>
      <c r="F77" s="366"/>
      <c r="G77" s="366"/>
      <c r="H77" s="366"/>
      <c r="I77" s="366"/>
      <c r="J77" s="366"/>
      <c r="K77" s="366"/>
      <c r="L77" s="366"/>
      <c r="M77" s="366"/>
      <c r="N77" s="366"/>
      <c r="O77" s="366"/>
      <c r="P77" s="611"/>
      <c r="Q77" s="614"/>
      <c r="R77" s="588"/>
      <c r="S77" s="188"/>
      <c r="T77" s="366"/>
      <c r="U77" s="366"/>
      <c r="V77" s="366"/>
      <c r="W77" s="366"/>
      <c r="X77" s="366"/>
      <c r="Y77" s="366"/>
      <c r="Z77" s="366"/>
      <c r="AA77" s="366"/>
      <c r="AB77" s="366"/>
      <c r="AC77" s="366"/>
      <c r="AD77" s="366"/>
      <c r="AE77" s="366"/>
      <c r="AF77" s="366"/>
      <c r="AG77" s="366"/>
      <c r="AH77" s="366"/>
      <c r="AI77" s="366"/>
      <c r="AJ77" s="366"/>
      <c r="AK77" s="366"/>
      <c r="AL77" s="366"/>
      <c r="AM77" s="607"/>
      <c r="AN77" s="366"/>
      <c r="AO77" s="366"/>
      <c r="AP77" s="366"/>
      <c r="AQ77" s="366"/>
      <c r="AR77" s="619"/>
      <c r="AS77" s="617"/>
    </row>
    <row r="78" spans="1:45" ht="15.75">
      <c r="A78" s="190"/>
      <c r="B78" s="366"/>
      <c r="C78" s="366"/>
      <c r="D78" s="596"/>
      <c r="E78" s="596"/>
      <c r="F78" s="366"/>
      <c r="G78" s="366"/>
      <c r="H78" s="366"/>
      <c r="I78" s="366"/>
      <c r="J78" s="366"/>
      <c r="K78" s="366"/>
      <c r="L78" s="366"/>
      <c r="M78" s="366"/>
      <c r="N78" s="366"/>
      <c r="O78" s="366"/>
      <c r="P78" s="611"/>
      <c r="Q78" s="614"/>
      <c r="R78" s="588"/>
      <c r="S78" s="188"/>
      <c r="T78" s="366"/>
      <c r="U78" s="366"/>
      <c r="V78" s="366"/>
      <c r="W78" s="366"/>
      <c r="X78" s="366"/>
      <c r="Y78" s="366"/>
      <c r="Z78" s="366"/>
      <c r="AA78" s="366"/>
      <c r="AB78" s="366"/>
      <c r="AC78" s="366"/>
      <c r="AD78" s="366"/>
      <c r="AE78" s="366"/>
      <c r="AF78" s="366"/>
      <c r="AG78" s="366"/>
      <c r="AH78" s="366"/>
      <c r="AI78" s="366"/>
      <c r="AJ78" s="366"/>
      <c r="AK78" s="366"/>
      <c r="AL78" s="366"/>
      <c r="AM78" s="607"/>
      <c r="AN78" s="366"/>
      <c r="AO78" s="366"/>
      <c r="AP78" s="366"/>
      <c r="AQ78" s="366"/>
      <c r="AR78" s="619"/>
      <c r="AS78" s="617"/>
    </row>
    <row r="79" spans="1:45" ht="15.75">
      <c r="A79" s="190"/>
      <c r="B79" s="366"/>
      <c r="C79" s="366"/>
      <c r="D79" s="596"/>
      <c r="E79" s="596"/>
      <c r="F79" s="366"/>
      <c r="G79" s="366"/>
      <c r="H79" s="366"/>
      <c r="I79" s="366"/>
      <c r="J79" s="366"/>
      <c r="K79" s="366"/>
      <c r="L79" s="366"/>
      <c r="M79" s="366"/>
      <c r="N79" s="366"/>
      <c r="O79" s="366"/>
      <c r="P79" s="611"/>
      <c r="Q79" s="614"/>
      <c r="R79" s="588"/>
      <c r="S79" s="188"/>
      <c r="T79" s="366"/>
      <c r="U79" s="366"/>
      <c r="V79" s="366"/>
      <c r="W79" s="366"/>
      <c r="X79" s="366"/>
      <c r="Y79" s="366"/>
      <c r="Z79" s="366"/>
      <c r="AA79" s="366"/>
      <c r="AB79" s="366"/>
      <c r="AC79" s="366"/>
      <c r="AD79" s="366"/>
      <c r="AE79" s="366"/>
      <c r="AF79" s="366"/>
      <c r="AG79" s="366"/>
      <c r="AH79" s="366"/>
      <c r="AI79" s="366"/>
      <c r="AJ79" s="366"/>
      <c r="AK79" s="366"/>
      <c r="AL79" s="366"/>
      <c r="AM79" s="607"/>
      <c r="AN79" s="366"/>
      <c r="AO79" s="366"/>
      <c r="AP79" s="366"/>
      <c r="AQ79" s="366"/>
      <c r="AR79" s="619"/>
      <c r="AS79" s="617"/>
    </row>
    <row r="80" spans="1:45" ht="15.75">
      <c r="A80" s="190"/>
      <c r="B80" s="366"/>
      <c r="C80" s="366"/>
      <c r="D80" s="596"/>
      <c r="E80" s="596"/>
      <c r="F80" s="366"/>
      <c r="G80" s="366"/>
      <c r="H80" s="366"/>
      <c r="I80" s="366"/>
      <c r="J80" s="366"/>
      <c r="K80" s="366"/>
      <c r="L80" s="366"/>
      <c r="M80" s="366"/>
      <c r="N80" s="366"/>
      <c r="O80" s="366"/>
      <c r="P80" s="611"/>
      <c r="Q80" s="614"/>
      <c r="R80" s="588"/>
      <c r="S80" s="188"/>
      <c r="T80" s="366"/>
      <c r="U80" s="366"/>
      <c r="V80" s="366"/>
      <c r="W80" s="366"/>
      <c r="X80" s="366"/>
      <c r="Y80" s="366"/>
      <c r="Z80" s="366"/>
      <c r="AA80" s="366"/>
      <c r="AB80" s="366"/>
      <c r="AC80" s="366"/>
      <c r="AD80" s="366"/>
      <c r="AE80" s="366"/>
      <c r="AF80" s="366"/>
      <c r="AG80" s="366"/>
      <c r="AH80" s="366"/>
      <c r="AI80" s="366"/>
      <c r="AJ80" s="366"/>
      <c r="AK80" s="366"/>
      <c r="AL80" s="366"/>
      <c r="AM80" s="607"/>
      <c r="AN80" s="366"/>
      <c r="AO80" s="366"/>
      <c r="AP80" s="366"/>
      <c r="AQ80" s="366"/>
      <c r="AR80" s="619"/>
      <c r="AS80" s="617"/>
    </row>
    <row r="81" spans="1:45" ht="15.75">
      <c r="A81" s="190"/>
      <c r="B81" s="366"/>
      <c r="C81" s="366"/>
      <c r="D81" s="596"/>
      <c r="E81" s="596"/>
      <c r="F81" s="366"/>
      <c r="G81" s="366"/>
      <c r="H81" s="366"/>
      <c r="I81" s="366"/>
      <c r="J81" s="366"/>
      <c r="K81" s="366"/>
      <c r="L81" s="366"/>
      <c r="M81" s="366"/>
      <c r="N81" s="366"/>
      <c r="O81" s="366"/>
      <c r="P81" s="611"/>
      <c r="Q81" s="614"/>
      <c r="R81" s="588"/>
      <c r="S81" s="188"/>
      <c r="T81" s="366"/>
      <c r="U81" s="366"/>
      <c r="V81" s="366"/>
      <c r="W81" s="366"/>
      <c r="X81" s="366"/>
      <c r="Y81" s="366"/>
      <c r="Z81" s="366"/>
      <c r="AA81" s="366"/>
      <c r="AB81" s="366"/>
      <c r="AC81" s="366"/>
      <c r="AD81" s="366"/>
      <c r="AE81" s="366"/>
      <c r="AF81" s="366"/>
      <c r="AG81" s="366"/>
      <c r="AH81" s="366"/>
      <c r="AI81" s="366"/>
      <c r="AJ81" s="366"/>
      <c r="AK81" s="366"/>
      <c r="AL81" s="366"/>
      <c r="AM81" s="607"/>
      <c r="AN81" s="366"/>
      <c r="AO81" s="366"/>
      <c r="AP81" s="366"/>
      <c r="AQ81" s="366"/>
      <c r="AR81" s="619"/>
      <c r="AS81" s="617"/>
    </row>
    <row r="82" spans="1:45" ht="15.75">
      <c r="A82" s="190"/>
      <c r="B82" s="366"/>
      <c r="C82" s="366"/>
      <c r="D82" s="596"/>
      <c r="E82" s="596"/>
      <c r="F82" s="366"/>
      <c r="G82" s="366"/>
      <c r="H82" s="366"/>
      <c r="I82" s="366"/>
      <c r="J82" s="366"/>
      <c r="K82" s="366"/>
      <c r="L82" s="366"/>
      <c r="M82" s="366"/>
      <c r="N82" s="366"/>
      <c r="O82" s="366"/>
      <c r="P82" s="611"/>
      <c r="Q82" s="614"/>
      <c r="R82" s="588"/>
      <c r="S82" s="188"/>
      <c r="T82" s="366"/>
      <c r="U82" s="366"/>
      <c r="V82" s="366"/>
      <c r="W82" s="366"/>
      <c r="X82" s="366"/>
      <c r="Y82" s="366"/>
      <c r="Z82" s="366"/>
      <c r="AA82" s="366"/>
      <c r="AB82" s="366"/>
      <c r="AC82" s="366"/>
      <c r="AD82" s="366"/>
      <c r="AE82" s="366"/>
      <c r="AF82" s="366"/>
      <c r="AG82" s="366"/>
      <c r="AH82" s="366"/>
      <c r="AI82" s="366"/>
      <c r="AJ82" s="366"/>
      <c r="AK82" s="366"/>
      <c r="AL82" s="366"/>
      <c r="AM82" s="607"/>
      <c r="AN82" s="366"/>
      <c r="AO82" s="366"/>
      <c r="AP82" s="366"/>
      <c r="AQ82" s="366"/>
      <c r="AR82" s="619"/>
      <c r="AS82" s="617"/>
    </row>
    <row r="83" spans="1:45" ht="15.75">
      <c r="A83" s="190"/>
      <c r="B83" s="366"/>
      <c r="C83" s="366"/>
      <c r="D83" s="596"/>
      <c r="E83" s="596"/>
      <c r="F83" s="366"/>
      <c r="G83" s="366"/>
      <c r="H83" s="366"/>
      <c r="I83" s="366"/>
      <c r="J83" s="366"/>
      <c r="K83" s="366"/>
      <c r="L83" s="366"/>
      <c r="M83" s="366"/>
      <c r="N83" s="366"/>
      <c r="O83" s="366"/>
      <c r="P83" s="611"/>
      <c r="Q83" s="614"/>
      <c r="R83" s="588"/>
      <c r="S83" s="188"/>
      <c r="T83" s="366"/>
      <c r="U83" s="366"/>
      <c r="V83" s="366"/>
      <c r="W83" s="366"/>
      <c r="X83" s="366"/>
      <c r="Y83" s="366"/>
      <c r="Z83" s="366"/>
      <c r="AA83" s="366"/>
      <c r="AB83" s="366"/>
      <c r="AC83" s="366"/>
      <c r="AD83" s="366"/>
      <c r="AE83" s="366"/>
      <c r="AF83" s="366"/>
      <c r="AG83" s="366"/>
      <c r="AH83" s="366"/>
      <c r="AI83" s="366"/>
      <c r="AJ83" s="366"/>
      <c r="AK83" s="366"/>
      <c r="AL83" s="366"/>
      <c r="AM83" s="607"/>
      <c r="AN83" s="366"/>
      <c r="AO83" s="366"/>
      <c r="AP83" s="366"/>
      <c r="AQ83" s="366"/>
      <c r="AR83" s="619"/>
      <c r="AS83" s="617"/>
    </row>
    <row r="84" spans="1:45" ht="15.75">
      <c r="A84" s="190"/>
      <c r="B84" s="366"/>
      <c r="C84" s="366"/>
      <c r="D84" s="596"/>
      <c r="E84" s="596"/>
      <c r="F84" s="366"/>
      <c r="G84" s="366"/>
      <c r="H84" s="366"/>
      <c r="I84" s="366"/>
      <c r="J84" s="366"/>
      <c r="K84" s="366"/>
      <c r="L84" s="366"/>
      <c r="M84" s="366"/>
      <c r="N84" s="366"/>
      <c r="O84" s="366"/>
      <c r="P84" s="611"/>
      <c r="Q84" s="614"/>
      <c r="R84" s="588"/>
      <c r="S84" s="188"/>
      <c r="T84" s="366"/>
      <c r="U84" s="366"/>
      <c r="V84" s="366"/>
      <c r="W84" s="366"/>
      <c r="X84" s="366"/>
      <c r="Y84" s="366"/>
      <c r="Z84" s="366"/>
      <c r="AA84" s="366"/>
      <c r="AB84" s="366"/>
      <c r="AC84" s="366"/>
      <c r="AD84" s="366"/>
      <c r="AE84" s="366"/>
      <c r="AF84" s="366"/>
      <c r="AG84" s="366"/>
      <c r="AH84" s="366"/>
      <c r="AI84" s="366"/>
      <c r="AJ84" s="366"/>
      <c r="AK84" s="366"/>
      <c r="AL84" s="366"/>
      <c r="AM84" s="607"/>
      <c r="AN84" s="366"/>
      <c r="AO84" s="366"/>
      <c r="AP84" s="366"/>
      <c r="AQ84" s="366"/>
      <c r="AR84" s="619"/>
      <c r="AS84" s="617"/>
    </row>
    <row r="85" spans="1:45" ht="15.75">
      <c r="A85" s="190"/>
      <c r="B85" s="366"/>
      <c r="C85" s="366"/>
      <c r="D85" s="596"/>
      <c r="E85" s="596"/>
      <c r="F85" s="366"/>
      <c r="G85" s="366"/>
      <c r="H85" s="366"/>
      <c r="I85" s="366"/>
      <c r="J85" s="366"/>
      <c r="K85" s="366"/>
      <c r="L85" s="366"/>
      <c r="M85" s="366"/>
      <c r="N85" s="366"/>
      <c r="O85" s="366"/>
      <c r="P85" s="611"/>
      <c r="Q85" s="614"/>
      <c r="R85" s="588"/>
      <c r="S85" s="188"/>
      <c r="T85" s="366"/>
      <c r="U85" s="366"/>
      <c r="V85" s="366"/>
      <c r="W85" s="366"/>
      <c r="X85" s="366"/>
      <c r="Y85" s="366"/>
      <c r="Z85" s="366"/>
      <c r="AA85" s="366"/>
      <c r="AB85" s="366"/>
      <c r="AC85" s="366"/>
      <c r="AD85" s="366"/>
      <c r="AE85" s="366"/>
      <c r="AF85" s="366"/>
      <c r="AG85" s="366"/>
      <c r="AH85" s="366"/>
      <c r="AI85" s="366"/>
      <c r="AJ85" s="366"/>
      <c r="AK85" s="366"/>
      <c r="AL85" s="366"/>
      <c r="AM85" s="607"/>
      <c r="AN85" s="366"/>
      <c r="AO85" s="366"/>
      <c r="AP85" s="366"/>
      <c r="AQ85" s="366"/>
      <c r="AR85" s="619"/>
      <c r="AS85" s="617"/>
    </row>
    <row r="86" spans="1:45" ht="15.75">
      <c r="A86" s="190"/>
      <c r="B86" s="366"/>
      <c r="C86" s="366"/>
      <c r="D86" s="596"/>
      <c r="E86" s="596"/>
      <c r="F86" s="366"/>
      <c r="G86" s="366"/>
      <c r="H86" s="366"/>
      <c r="I86" s="366"/>
      <c r="J86" s="366"/>
      <c r="K86" s="366"/>
      <c r="L86" s="366"/>
      <c r="M86" s="366"/>
      <c r="N86" s="366"/>
      <c r="O86" s="366"/>
      <c r="P86" s="611"/>
      <c r="Q86" s="614"/>
      <c r="R86" s="588"/>
      <c r="S86" s="188"/>
      <c r="T86" s="366"/>
      <c r="U86" s="366"/>
      <c r="V86" s="366"/>
      <c r="W86" s="366"/>
      <c r="X86" s="366"/>
      <c r="Y86" s="366"/>
      <c r="Z86" s="366"/>
      <c r="AA86" s="366"/>
      <c r="AB86" s="366"/>
      <c r="AC86" s="366"/>
      <c r="AD86" s="366"/>
      <c r="AE86" s="366"/>
      <c r="AF86" s="366"/>
      <c r="AG86" s="366"/>
      <c r="AH86" s="366"/>
      <c r="AI86" s="366"/>
      <c r="AJ86" s="366"/>
      <c r="AK86" s="366"/>
      <c r="AL86" s="366"/>
      <c r="AM86" s="607"/>
      <c r="AN86" s="366"/>
      <c r="AO86" s="366"/>
      <c r="AP86" s="366"/>
      <c r="AQ86" s="366"/>
      <c r="AR86" s="619"/>
      <c r="AS86" s="617"/>
    </row>
    <row r="87" spans="1:45" ht="15.75">
      <c r="A87" s="190"/>
      <c r="B87" s="366"/>
      <c r="C87" s="366"/>
      <c r="D87" s="596"/>
      <c r="E87" s="596"/>
      <c r="F87" s="366"/>
      <c r="G87" s="366"/>
      <c r="H87" s="366"/>
      <c r="I87" s="366"/>
      <c r="J87" s="366"/>
      <c r="K87" s="366"/>
      <c r="L87" s="366"/>
      <c r="M87" s="366"/>
      <c r="N87" s="366"/>
      <c r="O87" s="366"/>
      <c r="P87" s="611"/>
      <c r="Q87" s="614"/>
      <c r="R87" s="588"/>
      <c r="S87" s="188"/>
      <c r="T87" s="366"/>
      <c r="U87" s="366"/>
      <c r="V87" s="366"/>
      <c r="W87" s="366"/>
      <c r="X87" s="366"/>
      <c r="Y87" s="366"/>
      <c r="Z87" s="366"/>
      <c r="AA87" s="366"/>
      <c r="AB87" s="366"/>
      <c r="AC87" s="366"/>
      <c r="AD87" s="366"/>
      <c r="AE87" s="366"/>
      <c r="AF87" s="366"/>
      <c r="AG87" s="366"/>
      <c r="AH87" s="366"/>
      <c r="AI87" s="366"/>
      <c r="AJ87" s="366"/>
      <c r="AK87" s="366"/>
      <c r="AL87" s="366"/>
      <c r="AM87" s="607"/>
      <c r="AN87" s="366"/>
      <c r="AO87" s="366"/>
      <c r="AP87" s="366"/>
      <c r="AQ87" s="366"/>
      <c r="AR87" s="619"/>
      <c r="AS87" s="617"/>
    </row>
    <row r="88" spans="1:45" ht="15.75">
      <c r="A88" s="190"/>
      <c r="B88" s="366"/>
      <c r="C88" s="366"/>
      <c r="D88" s="596"/>
      <c r="E88" s="596"/>
      <c r="F88" s="366"/>
      <c r="G88" s="366"/>
      <c r="H88" s="366"/>
      <c r="I88" s="366"/>
      <c r="J88" s="366"/>
      <c r="K88" s="366"/>
      <c r="L88" s="366"/>
      <c r="M88" s="366"/>
      <c r="N88" s="366"/>
      <c r="O88" s="366"/>
      <c r="P88" s="611"/>
      <c r="Q88" s="614"/>
      <c r="R88" s="588"/>
      <c r="S88" s="188"/>
      <c r="T88" s="366"/>
      <c r="U88" s="366"/>
      <c r="V88" s="366"/>
      <c r="W88" s="366"/>
      <c r="X88" s="366"/>
      <c r="Y88" s="366"/>
      <c r="Z88" s="366"/>
      <c r="AA88" s="366"/>
      <c r="AB88" s="366"/>
      <c r="AC88" s="366"/>
      <c r="AD88" s="366"/>
      <c r="AE88" s="366"/>
      <c r="AF88" s="366"/>
      <c r="AG88" s="366"/>
      <c r="AH88" s="366"/>
      <c r="AI88" s="366"/>
      <c r="AJ88" s="366"/>
      <c r="AK88" s="366"/>
      <c r="AL88" s="366"/>
      <c r="AM88" s="607"/>
      <c r="AN88" s="366"/>
      <c r="AO88" s="366"/>
      <c r="AP88" s="366"/>
      <c r="AQ88" s="366"/>
      <c r="AR88" s="619"/>
      <c r="AS88" s="617"/>
    </row>
    <row r="89" spans="1:45" ht="15.75">
      <c r="A89" s="190"/>
      <c r="B89" s="366"/>
      <c r="C89" s="366"/>
      <c r="D89" s="596"/>
      <c r="E89" s="596"/>
      <c r="F89" s="366"/>
      <c r="G89" s="366"/>
      <c r="H89" s="366"/>
      <c r="I89" s="366"/>
      <c r="J89" s="366"/>
      <c r="K89" s="366"/>
      <c r="L89" s="366"/>
      <c r="M89" s="366"/>
      <c r="N89" s="366"/>
      <c r="O89" s="366"/>
      <c r="P89" s="611"/>
      <c r="Q89" s="614"/>
      <c r="R89" s="588"/>
      <c r="S89" s="188"/>
      <c r="T89" s="366"/>
      <c r="U89" s="366"/>
      <c r="V89" s="366"/>
      <c r="W89" s="366"/>
      <c r="X89" s="366"/>
      <c r="Y89" s="366"/>
      <c r="Z89" s="366"/>
      <c r="AA89" s="366"/>
      <c r="AB89" s="366"/>
      <c r="AC89" s="366"/>
      <c r="AD89" s="366"/>
      <c r="AE89" s="366"/>
      <c r="AF89" s="366"/>
      <c r="AG89" s="366"/>
      <c r="AH89" s="366"/>
      <c r="AI89" s="366"/>
      <c r="AJ89" s="366"/>
      <c r="AK89" s="366"/>
      <c r="AL89" s="366"/>
      <c r="AM89" s="607"/>
      <c r="AN89" s="366"/>
      <c r="AO89" s="366"/>
      <c r="AP89" s="366"/>
      <c r="AQ89" s="366"/>
      <c r="AR89" s="619"/>
      <c r="AS89" s="617"/>
    </row>
    <row r="90" spans="1:45" ht="15.75">
      <c r="A90" s="190"/>
      <c r="B90" s="366"/>
      <c r="C90" s="366"/>
      <c r="D90" s="596"/>
      <c r="E90" s="596"/>
      <c r="F90" s="366"/>
      <c r="G90" s="366"/>
      <c r="H90" s="366"/>
      <c r="I90" s="366"/>
      <c r="J90" s="366"/>
      <c r="K90" s="366"/>
      <c r="L90" s="366"/>
      <c r="M90" s="366"/>
      <c r="N90" s="366"/>
      <c r="O90" s="366"/>
      <c r="P90" s="611"/>
      <c r="Q90" s="614"/>
      <c r="R90" s="588"/>
      <c r="S90" s="188"/>
      <c r="T90" s="366"/>
      <c r="U90" s="366"/>
      <c r="V90" s="366"/>
      <c r="W90" s="366"/>
      <c r="X90" s="366"/>
      <c r="Y90" s="366"/>
      <c r="Z90" s="366"/>
      <c r="AA90" s="366"/>
      <c r="AB90" s="366"/>
      <c r="AC90" s="366"/>
      <c r="AD90" s="366"/>
      <c r="AE90" s="366"/>
      <c r="AF90" s="366"/>
      <c r="AG90" s="366"/>
      <c r="AH90" s="366"/>
      <c r="AI90" s="366"/>
      <c r="AJ90" s="366"/>
      <c r="AK90" s="366"/>
      <c r="AL90" s="366"/>
      <c r="AM90" s="607"/>
      <c r="AN90" s="366"/>
      <c r="AO90" s="366"/>
      <c r="AP90" s="366"/>
      <c r="AQ90" s="366"/>
      <c r="AR90" s="619"/>
      <c r="AS90" s="617"/>
    </row>
    <row r="91" spans="1:45" ht="15.75">
      <c r="A91" s="190"/>
      <c r="B91" s="366"/>
      <c r="C91" s="366"/>
      <c r="D91" s="596"/>
      <c r="E91" s="596"/>
      <c r="F91" s="366"/>
      <c r="G91" s="366"/>
      <c r="H91" s="366"/>
      <c r="I91" s="366"/>
      <c r="J91" s="366"/>
      <c r="K91" s="366"/>
      <c r="L91" s="366"/>
      <c r="M91" s="366"/>
      <c r="N91" s="366"/>
      <c r="O91" s="366"/>
      <c r="P91" s="611"/>
      <c r="Q91" s="614"/>
      <c r="R91" s="588"/>
      <c r="S91" s="188"/>
      <c r="T91" s="366"/>
      <c r="U91" s="366"/>
      <c r="V91" s="366"/>
      <c r="W91" s="366"/>
      <c r="X91" s="366"/>
      <c r="Y91" s="366"/>
      <c r="Z91" s="366"/>
      <c r="AA91" s="366"/>
      <c r="AB91" s="366"/>
      <c r="AC91" s="366"/>
      <c r="AD91" s="366"/>
      <c r="AE91" s="366"/>
      <c r="AF91" s="366"/>
      <c r="AG91" s="366"/>
      <c r="AH91" s="366"/>
      <c r="AI91" s="366"/>
      <c r="AJ91" s="366"/>
      <c r="AK91" s="366"/>
      <c r="AL91" s="366"/>
      <c r="AM91" s="607"/>
      <c r="AN91" s="366"/>
      <c r="AO91" s="366"/>
      <c r="AP91" s="366"/>
      <c r="AQ91" s="366"/>
      <c r="AR91" s="619"/>
      <c r="AS91" s="617"/>
    </row>
    <row r="92" spans="1:45" ht="15.75">
      <c r="A92" s="190"/>
      <c r="B92" s="366"/>
      <c r="C92" s="366"/>
      <c r="D92" s="596"/>
      <c r="E92" s="596"/>
      <c r="F92" s="366"/>
      <c r="G92" s="366"/>
      <c r="H92" s="366"/>
      <c r="I92" s="366"/>
      <c r="J92" s="366"/>
      <c r="K92" s="366"/>
      <c r="L92" s="366"/>
      <c r="M92" s="366"/>
      <c r="N92" s="366"/>
      <c r="O92" s="366"/>
      <c r="P92" s="611"/>
      <c r="Q92" s="614"/>
      <c r="R92" s="588"/>
      <c r="S92" s="188"/>
      <c r="T92" s="366"/>
      <c r="U92" s="366"/>
      <c r="V92" s="366"/>
      <c r="W92" s="366"/>
      <c r="X92" s="366"/>
      <c r="Y92" s="366"/>
      <c r="Z92" s="366"/>
      <c r="AA92" s="366"/>
      <c r="AB92" s="366"/>
      <c r="AC92" s="366"/>
      <c r="AD92" s="366"/>
      <c r="AE92" s="366"/>
      <c r="AF92" s="366"/>
      <c r="AG92" s="366"/>
      <c r="AH92" s="366"/>
      <c r="AI92" s="366"/>
      <c r="AJ92" s="366"/>
      <c r="AK92" s="366"/>
      <c r="AL92" s="366"/>
      <c r="AM92" s="607"/>
      <c r="AN92" s="366"/>
      <c r="AO92" s="366"/>
      <c r="AP92" s="366"/>
      <c r="AQ92" s="366"/>
      <c r="AR92" s="619"/>
      <c r="AS92" s="617"/>
    </row>
    <row r="93" spans="1:45" ht="15.75">
      <c r="A93" s="190"/>
      <c r="B93" s="366"/>
      <c r="C93" s="366"/>
      <c r="D93" s="596"/>
      <c r="E93" s="596"/>
      <c r="F93" s="366"/>
      <c r="G93" s="366"/>
      <c r="H93" s="366"/>
      <c r="I93" s="366"/>
      <c r="J93" s="366"/>
      <c r="K93" s="366"/>
      <c r="L93" s="366"/>
      <c r="M93" s="366"/>
      <c r="N93" s="366"/>
      <c r="O93" s="366"/>
      <c r="P93" s="611"/>
      <c r="Q93" s="614"/>
      <c r="R93" s="588"/>
      <c r="S93" s="188"/>
      <c r="T93" s="366"/>
      <c r="U93" s="366"/>
      <c r="V93" s="366"/>
      <c r="W93" s="366"/>
      <c r="X93" s="366"/>
      <c r="Y93" s="366"/>
      <c r="Z93" s="366"/>
      <c r="AA93" s="366"/>
      <c r="AB93" s="366"/>
      <c r="AC93" s="366"/>
      <c r="AD93" s="366"/>
      <c r="AE93" s="366"/>
      <c r="AF93" s="366"/>
      <c r="AG93" s="366"/>
      <c r="AH93" s="366"/>
      <c r="AI93" s="366"/>
      <c r="AJ93" s="366"/>
      <c r="AK93" s="366"/>
      <c r="AL93" s="366"/>
      <c r="AM93" s="607"/>
      <c r="AN93" s="366"/>
      <c r="AO93" s="366"/>
      <c r="AP93" s="366"/>
      <c r="AQ93" s="366"/>
      <c r="AR93" s="619"/>
      <c r="AS93" s="617"/>
    </row>
    <row r="94" spans="1:45" ht="15.75">
      <c r="A94" s="190"/>
      <c r="B94" s="366"/>
      <c r="C94" s="366"/>
      <c r="D94" s="596"/>
      <c r="E94" s="596"/>
      <c r="F94" s="366"/>
      <c r="G94" s="366"/>
      <c r="H94" s="366"/>
      <c r="I94" s="366"/>
      <c r="J94" s="366"/>
      <c r="K94" s="366"/>
      <c r="L94" s="366"/>
      <c r="M94" s="366"/>
      <c r="N94" s="366"/>
      <c r="O94" s="366"/>
      <c r="P94" s="611"/>
      <c r="Q94" s="614"/>
      <c r="R94" s="588"/>
      <c r="S94" s="188"/>
      <c r="T94" s="366"/>
      <c r="U94" s="366"/>
      <c r="V94" s="366"/>
      <c r="W94" s="366"/>
      <c r="X94" s="366"/>
      <c r="Y94" s="366"/>
      <c r="Z94" s="366"/>
      <c r="AA94" s="366"/>
      <c r="AB94" s="366"/>
      <c r="AC94" s="366"/>
      <c r="AD94" s="366"/>
      <c r="AE94" s="366"/>
      <c r="AF94" s="366"/>
      <c r="AG94" s="366"/>
      <c r="AH94" s="366"/>
      <c r="AI94" s="366"/>
      <c r="AJ94" s="366"/>
      <c r="AK94" s="366"/>
      <c r="AL94" s="366"/>
      <c r="AM94" s="607"/>
      <c r="AN94" s="366"/>
      <c r="AO94" s="366"/>
      <c r="AP94" s="366"/>
      <c r="AQ94" s="366"/>
      <c r="AR94" s="619"/>
      <c r="AS94" s="617"/>
    </row>
    <row r="95" spans="1:45" ht="15.75">
      <c r="A95" s="190"/>
      <c r="B95" s="366"/>
      <c r="C95" s="366"/>
      <c r="D95" s="596"/>
      <c r="E95" s="596"/>
      <c r="F95" s="366"/>
      <c r="G95" s="366"/>
      <c r="H95" s="366"/>
      <c r="I95" s="366"/>
      <c r="J95" s="366"/>
      <c r="K95" s="366"/>
      <c r="L95" s="366"/>
      <c r="M95" s="366"/>
      <c r="N95" s="366"/>
      <c r="O95" s="366"/>
      <c r="P95" s="611"/>
      <c r="Q95" s="614"/>
      <c r="R95" s="588"/>
      <c r="S95" s="188"/>
      <c r="T95" s="366"/>
      <c r="U95" s="366"/>
      <c r="V95" s="366"/>
      <c r="W95" s="366"/>
      <c r="X95" s="366"/>
      <c r="Y95" s="366"/>
      <c r="Z95" s="366"/>
      <c r="AA95" s="366"/>
      <c r="AB95" s="366"/>
      <c r="AC95" s="366"/>
      <c r="AD95" s="366"/>
      <c r="AE95" s="366"/>
      <c r="AF95" s="366"/>
      <c r="AG95" s="366"/>
      <c r="AH95" s="366"/>
      <c r="AI95" s="366"/>
      <c r="AJ95" s="366"/>
      <c r="AK95" s="366"/>
      <c r="AL95" s="366"/>
      <c r="AM95" s="607"/>
      <c r="AN95" s="366"/>
      <c r="AO95" s="366"/>
      <c r="AP95" s="366"/>
      <c r="AQ95" s="366"/>
      <c r="AR95" s="619"/>
      <c r="AS95" s="617"/>
    </row>
    <row r="96" spans="1:45" ht="15.75">
      <c r="A96" s="190"/>
      <c r="B96" s="366"/>
      <c r="C96" s="366"/>
      <c r="D96" s="596"/>
      <c r="E96" s="596"/>
      <c r="F96" s="366"/>
      <c r="G96" s="366"/>
      <c r="H96" s="366"/>
      <c r="I96" s="366"/>
      <c r="J96" s="366"/>
      <c r="K96" s="366"/>
      <c r="L96" s="366"/>
      <c r="M96" s="366"/>
      <c r="N96" s="366"/>
      <c r="O96" s="366"/>
      <c r="P96" s="611"/>
      <c r="Q96" s="614"/>
      <c r="R96" s="588"/>
      <c r="S96" s="188"/>
      <c r="T96" s="366"/>
      <c r="U96" s="366"/>
      <c r="V96" s="366"/>
      <c r="W96" s="366"/>
      <c r="X96" s="366"/>
      <c r="Y96" s="366"/>
      <c r="Z96" s="366"/>
      <c r="AA96" s="366"/>
      <c r="AB96" s="366"/>
      <c r="AC96" s="366"/>
      <c r="AD96" s="366"/>
      <c r="AE96" s="366"/>
      <c r="AF96" s="366"/>
      <c r="AG96" s="366"/>
      <c r="AH96" s="366"/>
      <c r="AI96" s="366"/>
      <c r="AJ96" s="366"/>
      <c r="AK96" s="366"/>
      <c r="AL96" s="366"/>
      <c r="AM96" s="607"/>
      <c r="AN96" s="366"/>
      <c r="AO96" s="366"/>
      <c r="AP96" s="366"/>
      <c r="AQ96" s="366"/>
      <c r="AR96" s="619"/>
      <c r="AS96" s="617"/>
    </row>
    <row r="97" spans="1:45" ht="15.75">
      <c r="A97" s="190"/>
      <c r="B97" s="366"/>
      <c r="C97" s="366"/>
      <c r="D97" s="596"/>
      <c r="E97" s="596"/>
      <c r="F97" s="366"/>
      <c r="G97" s="366"/>
      <c r="H97" s="366"/>
      <c r="I97" s="366"/>
      <c r="J97" s="366"/>
      <c r="K97" s="366"/>
      <c r="L97" s="366"/>
      <c r="M97" s="366"/>
      <c r="N97" s="366"/>
      <c r="O97" s="366"/>
      <c r="P97" s="611"/>
      <c r="Q97" s="614"/>
      <c r="R97" s="588"/>
      <c r="S97" s="188"/>
      <c r="T97" s="366"/>
      <c r="U97" s="366"/>
      <c r="V97" s="366"/>
      <c r="W97" s="366"/>
      <c r="X97" s="366"/>
      <c r="Y97" s="366"/>
      <c r="Z97" s="366"/>
      <c r="AA97" s="366"/>
      <c r="AB97" s="366"/>
      <c r="AC97" s="366"/>
      <c r="AD97" s="366"/>
      <c r="AE97" s="366"/>
      <c r="AF97" s="366"/>
      <c r="AG97" s="366"/>
      <c r="AH97" s="366"/>
      <c r="AI97" s="366"/>
      <c r="AJ97" s="366"/>
      <c r="AK97" s="366"/>
      <c r="AL97" s="366"/>
      <c r="AM97" s="607"/>
      <c r="AN97" s="366"/>
      <c r="AO97" s="366"/>
      <c r="AP97" s="366"/>
      <c r="AQ97" s="366"/>
      <c r="AR97" s="619"/>
      <c r="AS97" s="617"/>
    </row>
    <row r="98" spans="1:45" ht="15.75">
      <c r="A98" s="190"/>
      <c r="B98" s="366"/>
      <c r="C98" s="366"/>
      <c r="D98" s="596"/>
      <c r="E98" s="596"/>
      <c r="F98" s="366"/>
      <c r="G98" s="366"/>
      <c r="H98" s="366"/>
      <c r="I98" s="366"/>
      <c r="J98" s="366"/>
      <c r="K98" s="366"/>
      <c r="L98" s="366"/>
      <c r="M98" s="366"/>
      <c r="N98" s="366"/>
      <c r="O98" s="366"/>
      <c r="P98" s="611"/>
      <c r="Q98" s="614"/>
      <c r="R98" s="588"/>
      <c r="S98" s="188"/>
      <c r="T98" s="366"/>
      <c r="U98" s="366"/>
      <c r="V98" s="366"/>
      <c r="W98" s="366"/>
      <c r="X98" s="366"/>
      <c r="Y98" s="366"/>
      <c r="Z98" s="366"/>
      <c r="AA98" s="366"/>
      <c r="AB98" s="366"/>
      <c r="AC98" s="366"/>
      <c r="AD98" s="366"/>
      <c r="AE98" s="366"/>
      <c r="AF98" s="366"/>
      <c r="AG98" s="366"/>
      <c r="AH98" s="366"/>
      <c r="AI98" s="366"/>
      <c r="AJ98" s="366"/>
      <c r="AK98" s="366"/>
      <c r="AL98" s="366"/>
      <c r="AM98" s="607"/>
      <c r="AN98" s="366"/>
      <c r="AO98" s="366"/>
      <c r="AP98" s="366"/>
      <c r="AQ98" s="366"/>
      <c r="AR98" s="619"/>
      <c r="AS98" s="617"/>
    </row>
    <row r="99" spans="1:45" ht="15.75">
      <c r="A99" s="190"/>
      <c r="B99" s="366"/>
      <c r="C99" s="366"/>
      <c r="D99" s="596"/>
      <c r="E99" s="596"/>
      <c r="F99" s="366"/>
      <c r="G99" s="366"/>
      <c r="H99" s="366"/>
      <c r="I99" s="366"/>
      <c r="J99" s="366"/>
      <c r="K99" s="366"/>
      <c r="L99" s="366"/>
      <c r="M99" s="366"/>
      <c r="N99" s="366"/>
      <c r="O99" s="366"/>
      <c r="P99" s="611"/>
      <c r="Q99" s="614"/>
      <c r="R99" s="588"/>
      <c r="S99" s="188"/>
      <c r="T99" s="366"/>
      <c r="U99" s="366"/>
      <c r="V99" s="366"/>
      <c r="W99" s="366"/>
      <c r="X99" s="366"/>
      <c r="Y99" s="366"/>
      <c r="Z99" s="366"/>
      <c r="AA99" s="366"/>
      <c r="AB99" s="366"/>
      <c r="AC99" s="366"/>
      <c r="AD99" s="366"/>
      <c r="AE99" s="366"/>
      <c r="AF99" s="366"/>
      <c r="AG99" s="366"/>
      <c r="AH99" s="366"/>
      <c r="AI99" s="366"/>
      <c r="AJ99" s="366"/>
      <c r="AK99" s="366"/>
      <c r="AL99" s="366"/>
      <c r="AM99" s="607"/>
      <c r="AN99" s="366"/>
      <c r="AO99" s="366"/>
      <c r="AP99" s="366"/>
      <c r="AQ99" s="366"/>
      <c r="AR99" s="619"/>
      <c r="AS99" s="617"/>
    </row>
    <row r="100" spans="1:45" ht="15.75">
      <c r="A100" s="190"/>
      <c r="B100" s="366"/>
      <c r="C100" s="366"/>
      <c r="D100" s="596"/>
      <c r="E100" s="596"/>
      <c r="F100" s="366"/>
      <c r="G100" s="366"/>
      <c r="H100" s="366"/>
      <c r="I100" s="366"/>
      <c r="J100" s="366"/>
      <c r="K100" s="366"/>
      <c r="L100" s="366"/>
      <c r="M100" s="366"/>
      <c r="N100" s="366"/>
      <c r="O100" s="366"/>
      <c r="P100" s="611"/>
      <c r="Q100" s="614"/>
      <c r="R100" s="588"/>
      <c r="S100" s="188"/>
      <c r="T100" s="366"/>
      <c r="U100" s="366"/>
      <c r="V100" s="366"/>
      <c r="W100" s="366"/>
      <c r="X100" s="366"/>
      <c r="Y100" s="366"/>
      <c r="Z100" s="366"/>
      <c r="AA100" s="366"/>
      <c r="AB100" s="366"/>
      <c r="AC100" s="366"/>
      <c r="AD100" s="366"/>
      <c r="AE100" s="366"/>
      <c r="AF100" s="366"/>
      <c r="AG100" s="366"/>
      <c r="AH100" s="366"/>
      <c r="AI100" s="366"/>
      <c r="AJ100" s="366"/>
      <c r="AK100" s="366"/>
      <c r="AL100" s="366"/>
      <c r="AM100" s="607"/>
      <c r="AN100" s="366"/>
      <c r="AO100" s="366"/>
      <c r="AP100" s="366"/>
      <c r="AQ100" s="366"/>
      <c r="AR100" s="619"/>
      <c r="AS100" s="617"/>
    </row>
    <row r="101" spans="1:45" ht="15.75">
      <c r="A101" s="190"/>
      <c r="B101" s="366"/>
      <c r="C101" s="366"/>
      <c r="D101" s="596"/>
      <c r="E101" s="596"/>
      <c r="F101" s="366"/>
      <c r="G101" s="366"/>
      <c r="H101" s="366"/>
      <c r="I101" s="366"/>
      <c r="J101" s="366"/>
      <c r="K101" s="366"/>
      <c r="L101" s="366"/>
      <c r="M101" s="366"/>
      <c r="N101" s="366"/>
      <c r="O101" s="366"/>
      <c r="P101" s="611"/>
      <c r="Q101" s="614"/>
      <c r="R101" s="588"/>
      <c r="S101" s="188"/>
      <c r="T101" s="366"/>
      <c r="U101" s="366"/>
      <c r="V101" s="366"/>
      <c r="W101" s="366"/>
      <c r="X101" s="366"/>
      <c r="Y101" s="366"/>
      <c r="Z101" s="366"/>
      <c r="AA101" s="366"/>
      <c r="AB101" s="366"/>
      <c r="AC101" s="366"/>
      <c r="AD101" s="366"/>
      <c r="AE101" s="366"/>
      <c r="AF101" s="366"/>
      <c r="AG101" s="366"/>
      <c r="AH101" s="366"/>
      <c r="AI101" s="366"/>
      <c r="AJ101" s="366"/>
      <c r="AK101" s="366"/>
      <c r="AL101" s="366"/>
      <c r="AM101" s="607"/>
      <c r="AN101" s="366"/>
      <c r="AO101" s="366"/>
      <c r="AP101" s="366"/>
      <c r="AQ101" s="366"/>
      <c r="AR101" s="619"/>
      <c r="AS101" s="617"/>
    </row>
    <row r="102" spans="1:45" ht="15.75">
      <c r="A102" s="190"/>
      <c r="B102" s="366"/>
      <c r="C102" s="366"/>
      <c r="D102" s="596"/>
      <c r="E102" s="596"/>
      <c r="F102" s="366"/>
      <c r="G102" s="366"/>
      <c r="H102" s="366"/>
      <c r="I102" s="366"/>
      <c r="J102" s="366"/>
      <c r="K102" s="366"/>
      <c r="L102" s="366"/>
      <c r="M102" s="366"/>
      <c r="N102" s="366"/>
      <c r="O102" s="366"/>
      <c r="P102" s="611"/>
      <c r="Q102" s="614"/>
      <c r="R102" s="588"/>
      <c r="S102" s="188"/>
      <c r="T102" s="366"/>
      <c r="U102" s="366"/>
      <c r="V102" s="366"/>
      <c r="W102" s="366"/>
      <c r="X102" s="366"/>
      <c r="Y102" s="366"/>
      <c r="Z102" s="366"/>
      <c r="AA102" s="366"/>
      <c r="AB102" s="366"/>
      <c r="AC102" s="366"/>
      <c r="AD102" s="366"/>
      <c r="AE102" s="366"/>
      <c r="AF102" s="366"/>
      <c r="AG102" s="366"/>
      <c r="AH102" s="366"/>
      <c r="AI102" s="366"/>
      <c r="AJ102" s="366"/>
      <c r="AK102" s="366"/>
      <c r="AL102" s="366"/>
      <c r="AM102" s="607"/>
      <c r="AN102" s="366"/>
      <c r="AO102" s="366"/>
      <c r="AP102" s="366"/>
      <c r="AQ102" s="366"/>
      <c r="AR102" s="619"/>
      <c r="AS102" s="617"/>
    </row>
    <row r="103" spans="1:45" ht="15.75">
      <c r="A103" s="190"/>
      <c r="B103" s="366"/>
      <c r="C103" s="366"/>
      <c r="D103" s="596"/>
      <c r="E103" s="596"/>
      <c r="F103" s="366"/>
      <c r="G103" s="366"/>
      <c r="H103" s="366"/>
      <c r="I103" s="366"/>
      <c r="J103" s="366"/>
      <c r="K103" s="366"/>
      <c r="L103" s="366"/>
      <c r="M103" s="366"/>
      <c r="N103" s="366"/>
      <c r="O103" s="366"/>
      <c r="P103" s="611"/>
      <c r="Q103" s="614"/>
      <c r="R103" s="588"/>
      <c r="S103" s="188"/>
      <c r="T103" s="366"/>
      <c r="U103" s="366"/>
      <c r="V103" s="366"/>
      <c r="W103" s="366"/>
      <c r="X103" s="366"/>
      <c r="Y103" s="366"/>
      <c r="Z103" s="366"/>
      <c r="AA103" s="366"/>
      <c r="AB103" s="366"/>
      <c r="AC103" s="366"/>
      <c r="AD103" s="366"/>
      <c r="AE103" s="366"/>
      <c r="AF103" s="366"/>
      <c r="AG103" s="366"/>
      <c r="AH103" s="366"/>
      <c r="AI103" s="366"/>
      <c r="AJ103" s="366"/>
      <c r="AK103" s="366"/>
      <c r="AL103" s="366"/>
      <c r="AM103" s="607"/>
      <c r="AN103" s="366"/>
      <c r="AO103" s="366"/>
      <c r="AP103" s="366"/>
      <c r="AQ103" s="366"/>
      <c r="AR103" s="619"/>
      <c r="AS103" s="617"/>
    </row>
    <row r="104" spans="1:45" ht="15.75">
      <c r="A104" s="190"/>
      <c r="B104" s="366"/>
      <c r="C104" s="366"/>
      <c r="D104" s="596"/>
      <c r="E104" s="596"/>
      <c r="F104" s="366"/>
      <c r="G104" s="366"/>
      <c r="H104" s="366"/>
      <c r="I104" s="366"/>
      <c r="J104" s="366"/>
      <c r="K104" s="366"/>
      <c r="L104" s="366"/>
      <c r="M104" s="366"/>
      <c r="N104" s="366"/>
      <c r="O104" s="366"/>
      <c r="P104" s="611"/>
      <c r="Q104" s="614"/>
      <c r="R104" s="588"/>
      <c r="S104" s="188"/>
      <c r="T104" s="366"/>
      <c r="U104" s="366"/>
      <c r="V104" s="366"/>
      <c r="W104" s="366"/>
      <c r="X104" s="366"/>
      <c r="Y104" s="366"/>
      <c r="Z104" s="366"/>
      <c r="AA104" s="366"/>
      <c r="AB104" s="366"/>
      <c r="AC104" s="366"/>
      <c r="AD104" s="366"/>
      <c r="AE104" s="366"/>
      <c r="AF104" s="366"/>
      <c r="AG104" s="366"/>
      <c r="AH104" s="366"/>
      <c r="AI104" s="366"/>
      <c r="AJ104" s="366"/>
      <c r="AK104" s="366"/>
      <c r="AL104" s="366"/>
      <c r="AM104" s="607"/>
      <c r="AN104" s="366"/>
      <c r="AO104" s="366"/>
      <c r="AP104" s="366"/>
      <c r="AQ104" s="366"/>
      <c r="AR104" s="619"/>
      <c r="AS104" s="617"/>
    </row>
    <row r="105" spans="1:45" ht="15.75">
      <c r="A105" s="190"/>
      <c r="B105" s="366"/>
      <c r="C105" s="366"/>
      <c r="D105" s="596"/>
      <c r="E105" s="596"/>
      <c r="F105" s="366"/>
      <c r="G105" s="366"/>
      <c r="H105" s="366"/>
      <c r="I105" s="366"/>
      <c r="J105" s="366"/>
      <c r="K105" s="366"/>
      <c r="L105" s="366"/>
      <c r="M105" s="366"/>
      <c r="N105" s="366"/>
      <c r="O105" s="366"/>
      <c r="P105" s="611"/>
      <c r="Q105" s="614"/>
      <c r="R105" s="588"/>
      <c r="S105" s="188"/>
      <c r="T105" s="366"/>
      <c r="U105" s="366"/>
      <c r="V105" s="366"/>
      <c r="W105" s="366"/>
      <c r="X105" s="366"/>
      <c r="Y105" s="366"/>
      <c r="Z105" s="366"/>
      <c r="AA105" s="366"/>
      <c r="AB105" s="366"/>
      <c r="AC105" s="366"/>
      <c r="AD105" s="366"/>
      <c r="AE105" s="366"/>
      <c r="AF105" s="366"/>
      <c r="AG105" s="366"/>
      <c r="AH105" s="366"/>
      <c r="AI105" s="366"/>
      <c r="AJ105" s="366"/>
      <c r="AK105" s="366"/>
      <c r="AL105" s="366"/>
      <c r="AM105" s="607"/>
      <c r="AN105" s="366"/>
      <c r="AO105" s="366"/>
      <c r="AP105" s="366"/>
      <c r="AQ105" s="366"/>
      <c r="AR105" s="619"/>
      <c r="AS105" s="617"/>
    </row>
    <row r="106" spans="1:45" ht="15.75">
      <c r="A106" s="190"/>
      <c r="B106" s="366"/>
      <c r="C106" s="366"/>
      <c r="D106" s="596"/>
      <c r="E106" s="596"/>
      <c r="F106" s="366"/>
      <c r="G106" s="366"/>
      <c r="H106" s="366"/>
      <c r="I106" s="366"/>
      <c r="J106" s="366"/>
      <c r="K106" s="366"/>
      <c r="L106" s="366"/>
      <c r="M106" s="366"/>
      <c r="N106" s="366"/>
      <c r="O106" s="366"/>
      <c r="P106" s="611"/>
      <c r="Q106" s="614"/>
      <c r="R106" s="588"/>
      <c r="S106" s="188"/>
      <c r="T106" s="366"/>
      <c r="U106" s="366"/>
      <c r="V106" s="366"/>
      <c r="W106" s="366"/>
      <c r="X106" s="366"/>
      <c r="Y106" s="366"/>
      <c r="Z106" s="366"/>
      <c r="AA106" s="366"/>
      <c r="AB106" s="366"/>
      <c r="AC106" s="366"/>
      <c r="AD106" s="366"/>
      <c r="AE106" s="366"/>
      <c r="AF106" s="366"/>
      <c r="AG106" s="366"/>
      <c r="AH106" s="366"/>
      <c r="AI106" s="366"/>
      <c r="AJ106" s="366"/>
      <c r="AK106" s="366"/>
      <c r="AL106" s="366"/>
      <c r="AM106" s="607"/>
      <c r="AN106" s="366"/>
      <c r="AO106" s="366"/>
      <c r="AP106" s="366"/>
      <c r="AQ106" s="366"/>
      <c r="AR106" s="619"/>
      <c r="AS106" s="617"/>
    </row>
    <row r="107" spans="1:45" ht="15.75">
      <c r="A107" s="190"/>
      <c r="B107" s="366"/>
      <c r="C107" s="366"/>
      <c r="D107" s="596"/>
      <c r="E107" s="596"/>
      <c r="F107" s="366"/>
      <c r="G107" s="366"/>
      <c r="H107" s="366"/>
      <c r="I107" s="366"/>
      <c r="J107" s="366"/>
      <c r="K107" s="366"/>
      <c r="L107" s="366"/>
      <c r="M107" s="366"/>
      <c r="N107" s="366"/>
      <c r="O107" s="366"/>
      <c r="P107" s="611"/>
      <c r="Q107" s="614"/>
      <c r="R107" s="588"/>
      <c r="S107" s="188"/>
      <c r="T107" s="366"/>
      <c r="U107" s="366"/>
      <c r="V107" s="366"/>
      <c r="W107" s="366"/>
      <c r="X107" s="366"/>
      <c r="Y107" s="366"/>
      <c r="Z107" s="366"/>
      <c r="AA107" s="366"/>
      <c r="AB107" s="366"/>
      <c r="AC107" s="366"/>
      <c r="AD107" s="366"/>
      <c r="AE107" s="366"/>
      <c r="AF107" s="366"/>
      <c r="AG107" s="366"/>
      <c r="AH107" s="366"/>
      <c r="AI107" s="366"/>
      <c r="AJ107" s="366"/>
      <c r="AK107" s="366"/>
      <c r="AL107" s="366"/>
      <c r="AM107" s="607"/>
      <c r="AN107" s="366"/>
      <c r="AO107" s="366"/>
      <c r="AP107" s="366"/>
      <c r="AQ107" s="366"/>
      <c r="AR107" s="619"/>
      <c r="AS107" s="617"/>
    </row>
    <row r="108" spans="1:45" ht="15.75">
      <c r="A108" s="190"/>
      <c r="B108" s="366"/>
      <c r="C108" s="366"/>
      <c r="D108" s="596"/>
      <c r="E108" s="596"/>
      <c r="F108" s="366"/>
      <c r="G108" s="366"/>
      <c r="H108" s="366"/>
      <c r="I108" s="366"/>
      <c r="J108" s="366"/>
      <c r="K108" s="366"/>
      <c r="L108" s="366"/>
      <c r="M108" s="366"/>
      <c r="N108" s="366"/>
      <c r="O108" s="366"/>
      <c r="P108" s="611"/>
      <c r="Q108" s="614"/>
      <c r="R108" s="588"/>
      <c r="S108" s="188"/>
      <c r="T108" s="366"/>
      <c r="U108" s="366"/>
      <c r="V108" s="366"/>
      <c r="W108" s="366"/>
      <c r="X108" s="366"/>
      <c r="Y108" s="366"/>
      <c r="Z108" s="366"/>
      <c r="AA108" s="366"/>
      <c r="AB108" s="366"/>
      <c r="AC108" s="366"/>
      <c r="AD108" s="366"/>
      <c r="AE108" s="366"/>
      <c r="AF108" s="366"/>
      <c r="AG108" s="366"/>
      <c r="AH108" s="366"/>
      <c r="AI108" s="366"/>
      <c r="AJ108" s="366"/>
      <c r="AK108" s="366"/>
      <c r="AL108" s="366"/>
      <c r="AM108" s="607"/>
      <c r="AN108" s="366"/>
      <c r="AO108" s="366"/>
      <c r="AP108" s="366"/>
      <c r="AQ108" s="366"/>
      <c r="AR108" s="619"/>
      <c r="AS108" s="617"/>
    </row>
    <row r="109" spans="1:45" ht="15.75">
      <c r="A109" s="190"/>
      <c r="B109" s="366"/>
      <c r="C109" s="366"/>
      <c r="D109" s="596"/>
      <c r="E109" s="596"/>
      <c r="F109" s="366"/>
      <c r="G109" s="366"/>
      <c r="H109" s="366"/>
      <c r="I109" s="366"/>
      <c r="J109" s="366"/>
      <c r="K109" s="366"/>
      <c r="L109" s="366"/>
      <c r="M109" s="366"/>
      <c r="N109" s="366"/>
      <c r="O109" s="366"/>
      <c r="P109" s="611"/>
      <c r="Q109" s="614"/>
      <c r="R109" s="588"/>
      <c r="S109" s="188"/>
      <c r="T109" s="366"/>
      <c r="U109" s="366"/>
      <c r="V109" s="366"/>
      <c r="W109" s="366"/>
      <c r="X109" s="366"/>
      <c r="Y109" s="366"/>
      <c r="Z109" s="366"/>
      <c r="AA109" s="366"/>
      <c r="AB109" s="366"/>
      <c r="AC109" s="366"/>
      <c r="AD109" s="366"/>
      <c r="AE109" s="366"/>
      <c r="AF109" s="366"/>
      <c r="AG109" s="366"/>
      <c r="AH109" s="366"/>
      <c r="AI109" s="366"/>
      <c r="AJ109" s="366"/>
      <c r="AK109" s="366"/>
      <c r="AL109" s="366"/>
      <c r="AM109" s="607"/>
      <c r="AN109" s="366"/>
      <c r="AO109" s="366"/>
      <c r="AP109" s="366"/>
      <c r="AQ109" s="366"/>
      <c r="AR109" s="619"/>
      <c r="AS109" s="617"/>
    </row>
    <row r="110" spans="1:45" ht="15.75">
      <c r="A110" s="190"/>
      <c r="B110" s="366"/>
      <c r="C110" s="366"/>
      <c r="D110" s="596"/>
      <c r="E110" s="596"/>
      <c r="F110" s="366"/>
      <c r="G110" s="366"/>
      <c r="H110" s="366"/>
      <c r="I110" s="366"/>
      <c r="J110" s="366"/>
      <c r="K110" s="366"/>
      <c r="L110" s="366"/>
      <c r="M110" s="366"/>
      <c r="N110" s="366"/>
      <c r="O110" s="366"/>
      <c r="P110" s="611"/>
      <c r="Q110" s="614"/>
      <c r="R110" s="588"/>
      <c r="S110" s="188"/>
      <c r="T110" s="366"/>
      <c r="U110" s="366"/>
      <c r="V110" s="366"/>
      <c r="W110" s="366"/>
      <c r="X110" s="366"/>
      <c r="Y110" s="366"/>
      <c r="Z110" s="366"/>
      <c r="AA110" s="366"/>
      <c r="AB110" s="366"/>
      <c r="AC110" s="366"/>
      <c r="AD110" s="366"/>
      <c r="AE110" s="366"/>
      <c r="AF110" s="366"/>
      <c r="AG110" s="366"/>
      <c r="AH110" s="366"/>
      <c r="AI110" s="366"/>
      <c r="AJ110" s="366"/>
      <c r="AK110" s="366"/>
      <c r="AL110" s="366"/>
      <c r="AM110" s="607"/>
      <c r="AN110" s="366"/>
      <c r="AO110" s="366"/>
      <c r="AP110" s="366"/>
      <c r="AQ110" s="366"/>
      <c r="AR110" s="619"/>
      <c r="AS110" s="617"/>
    </row>
    <row r="111" spans="1:45" ht="15.75">
      <c r="A111" s="190"/>
      <c r="B111" s="366"/>
      <c r="C111" s="366"/>
      <c r="D111" s="596"/>
      <c r="E111" s="596"/>
      <c r="F111" s="366"/>
      <c r="G111" s="366"/>
      <c r="H111" s="366"/>
      <c r="I111" s="366"/>
      <c r="J111" s="366"/>
      <c r="K111" s="366"/>
      <c r="L111" s="366"/>
      <c r="M111" s="366"/>
      <c r="N111" s="366"/>
      <c r="O111" s="366"/>
      <c r="P111" s="611"/>
      <c r="Q111" s="614"/>
      <c r="R111" s="588"/>
      <c r="S111" s="188"/>
      <c r="T111" s="366"/>
      <c r="U111" s="366"/>
      <c r="V111" s="366"/>
      <c r="W111" s="366"/>
      <c r="X111" s="366"/>
      <c r="Y111" s="366"/>
      <c r="Z111" s="366"/>
      <c r="AA111" s="366"/>
      <c r="AB111" s="366"/>
      <c r="AC111" s="366"/>
      <c r="AD111" s="366"/>
      <c r="AE111" s="366"/>
      <c r="AF111" s="366"/>
      <c r="AG111" s="366"/>
      <c r="AH111" s="366"/>
      <c r="AI111" s="366"/>
      <c r="AJ111" s="366"/>
      <c r="AK111" s="366"/>
      <c r="AL111" s="366"/>
      <c r="AM111" s="607"/>
      <c r="AN111" s="366"/>
      <c r="AO111" s="366"/>
      <c r="AP111" s="366"/>
      <c r="AQ111" s="366"/>
      <c r="AR111" s="619"/>
      <c r="AS111" s="617"/>
    </row>
    <row r="112" spans="1:45" ht="15.75">
      <c r="A112" s="190"/>
      <c r="B112" s="366"/>
      <c r="C112" s="366"/>
      <c r="D112" s="596"/>
      <c r="E112" s="596"/>
      <c r="F112" s="366"/>
      <c r="G112" s="366"/>
      <c r="H112" s="366"/>
      <c r="I112" s="366"/>
      <c r="J112" s="366"/>
      <c r="K112" s="366"/>
      <c r="L112" s="366"/>
      <c r="M112" s="366"/>
      <c r="N112" s="366"/>
      <c r="O112" s="366"/>
      <c r="P112" s="611"/>
      <c r="Q112" s="614"/>
      <c r="R112" s="588"/>
      <c r="S112" s="188"/>
      <c r="T112" s="366"/>
      <c r="U112" s="366"/>
      <c r="V112" s="366"/>
      <c r="W112" s="366"/>
      <c r="X112" s="366"/>
      <c r="Y112" s="366"/>
      <c r="Z112" s="366"/>
      <c r="AA112" s="366"/>
      <c r="AB112" s="366"/>
      <c r="AC112" s="366"/>
      <c r="AD112" s="366"/>
      <c r="AE112" s="366"/>
      <c r="AF112" s="366"/>
      <c r="AG112" s="366"/>
      <c r="AH112" s="366"/>
      <c r="AI112" s="366"/>
      <c r="AJ112" s="366"/>
      <c r="AK112" s="366"/>
      <c r="AL112" s="366"/>
      <c r="AM112" s="607"/>
      <c r="AN112" s="366"/>
      <c r="AO112" s="366"/>
      <c r="AP112" s="366"/>
      <c r="AQ112" s="366"/>
      <c r="AR112" s="619"/>
      <c r="AS112" s="617"/>
    </row>
    <row r="113" spans="1:45" ht="15.75">
      <c r="A113" s="190"/>
      <c r="B113" s="366"/>
      <c r="C113" s="366"/>
      <c r="D113" s="596"/>
      <c r="E113" s="596"/>
      <c r="F113" s="366"/>
      <c r="G113" s="366"/>
      <c r="H113" s="366"/>
      <c r="I113" s="366"/>
      <c r="J113" s="366"/>
      <c r="K113" s="366"/>
      <c r="L113" s="366"/>
      <c r="M113" s="366"/>
      <c r="N113" s="366"/>
      <c r="O113" s="366"/>
      <c r="P113" s="611"/>
      <c r="Q113" s="614"/>
      <c r="R113" s="588"/>
      <c r="S113" s="188"/>
      <c r="T113" s="366"/>
      <c r="U113" s="366"/>
      <c r="V113" s="366"/>
      <c r="W113" s="366"/>
      <c r="X113" s="366"/>
      <c r="Y113" s="366"/>
      <c r="Z113" s="366"/>
      <c r="AA113" s="366"/>
      <c r="AB113" s="366"/>
      <c r="AC113" s="366"/>
      <c r="AD113" s="366"/>
      <c r="AE113" s="366"/>
      <c r="AF113" s="366"/>
      <c r="AG113" s="366"/>
      <c r="AH113" s="366"/>
      <c r="AI113" s="366"/>
      <c r="AJ113" s="366"/>
      <c r="AK113" s="366"/>
      <c r="AL113" s="366"/>
      <c r="AM113" s="607"/>
      <c r="AN113" s="366"/>
      <c r="AO113" s="366"/>
      <c r="AP113" s="366"/>
      <c r="AQ113" s="366"/>
      <c r="AR113" s="619"/>
      <c r="AS113" s="617"/>
    </row>
    <row r="114" spans="1:45" ht="15.75">
      <c r="A114" s="190"/>
      <c r="B114" s="366"/>
      <c r="C114" s="366"/>
      <c r="D114" s="596"/>
      <c r="E114" s="596"/>
      <c r="F114" s="366"/>
      <c r="G114" s="366"/>
      <c r="H114" s="366"/>
      <c r="I114" s="366"/>
      <c r="J114" s="366"/>
      <c r="K114" s="366"/>
      <c r="L114" s="366"/>
      <c r="M114" s="366"/>
      <c r="N114" s="366"/>
      <c r="O114" s="366"/>
      <c r="P114" s="611"/>
      <c r="Q114" s="614"/>
      <c r="R114" s="588"/>
      <c r="S114" s="188"/>
      <c r="T114" s="366"/>
      <c r="U114" s="366"/>
      <c r="V114" s="366"/>
      <c r="W114" s="366"/>
      <c r="X114" s="366"/>
      <c r="Y114" s="366"/>
      <c r="Z114" s="366"/>
      <c r="AA114" s="366"/>
      <c r="AB114" s="366"/>
      <c r="AC114" s="366"/>
      <c r="AD114" s="366"/>
      <c r="AE114" s="366"/>
      <c r="AF114" s="366"/>
      <c r="AG114" s="366"/>
      <c r="AH114" s="366"/>
      <c r="AI114" s="366"/>
      <c r="AJ114" s="366"/>
      <c r="AK114" s="366"/>
      <c r="AL114" s="366"/>
      <c r="AM114" s="607"/>
      <c r="AN114" s="366"/>
      <c r="AO114" s="366"/>
      <c r="AP114" s="366"/>
      <c r="AQ114" s="366"/>
      <c r="AR114" s="619"/>
      <c r="AS114" s="617"/>
    </row>
    <row r="115" spans="1:45" ht="15.75">
      <c r="A115" s="190"/>
      <c r="B115" s="366"/>
      <c r="C115" s="366"/>
      <c r="D115" s="596"/>
      <c r="E115" s="596"/>
      <c r="F115" s="366"/>
      <c r="G115" s="366"/>
      <c r="H115" s="366"/>
      <c r="I115" s="366"/>
      <c r="J115" s="366"/>
      <c r="K115" s="366"/>
      <c r="L115" s="366"/>
      <c r="M115" s="366"/>
      <c r="N115" s="366"/>
      <c r="O115" s="366"/>
      <c r="P115" s="611"/>
      <c r="Q115" s="614"/>
      <c r="R115" s="588"/>
      <c r="S115" s="188"/>
      <c r="T115" s="366"/>
      <c r="U115" s="366"/>
      <c r="V115" s="366"/>
      <c r="W115" s="366"/>
      <c r="X115" s="366"/>
      <c r="Y115" s="366"/>
      <c r="Z115" s="366"/>
      <c r="AA115" s="366"/>
      <c r="AB115" s="366"/>
      <c r="AC115" s="366"/>
      <c r="AD115" s="366"/>
      <c r="AE115" s="366"/>
      <c r="AF115" s="366"/>
      <c r="AG115" s="366"/>
      <c r="AH115" s="366"/>
      <c r="AI115" s="366"/>
      <c r="AJ115" s="366"/>
      <c r="AK115" s="366"/>
      <c r="AL115" s="366"/>
      <c r="AM115" s="607"/>
      <c r="AN115" s="366"/>
      <c r="AO115" s="366"/>
      <c r="AP115" s="366"/>
      <c r="AQ115" s="366"/>
      <c r="AR115" s="619"/>
      <c r="AS115" s="617"/>
    </row>
    <row r="116" spans="1:45" ht="15.75">
      <c r="A116" s="190"/>
      <c r="B116" s="366"/>
      <c r="C116" s="366"/>
      <c r="D116" s="596"/>
      <c r="E116" s="596"/>
      <c r="F116" s="366"/>
      <c r="G116" s="366"/>
      <c r="H116" s="366"/>
      <c r="I116" s="366"/>
      <c r="J116" s="366"/>
      <c r="K116" s="366"/>
      <c r="L116" s="366"/>
      <c r="M116" s="366"/>
      <c r="N116" s="366"/>
      <c r="O116" s="366"/>
      <c r="P116" s="611"/>
      <c r="Q116" s="614"/>
      <c r="R116" s="588"/>
      <c r="S116" s="188"/>
      <c r="T116" s="366"/>
      <c r="U116" s="366"/>
      <c r="V116" s="366"/>
      <c r="W116" s="366"/>
      <c r="X116" s="366"/>
      <c r="Y116" s="366"/>
      <c r="Z116" s="366"/>
      <c r="AA116" s="366"/>
      <c r="AB116" s="366"/>
      <c r="AC116" s="366"/>
      <c r="AD116" s="366"/>
      <c r="AE116" s="366"/>
      <c r="AF116" s="366"/>
      <c r="AG116" s="366"/>
      <c r="AH116" s="366"/>
      <c r="AI116" s="366"/>
      <c r="AJ116" s="366"/>
      <c r="AK116" s="366"/>
      <c r="AL116" s="366"/>
      <c r="AM116" s="607"/>
      <c r="AN116" s="366"/>
      <c r="AO116" s="366"/>
      <c r="AP116" s="366"/>
      <c r="AQ116" s="366"/>
      <c r="AR116" s="619"/>
      <c r="AS116" s="617"/>
    </row>
    <row r="117" spans="1:45" ht="15.75">
      <c r="A117" s="190"/>
      <c r="B117" s="366"/>
      <c r="C117" s="366"/>
      <c r="D117" s="596"/>
      <c r="E117" s="596"/>
      <c r="F117" s="366"/>
      <c r="G117" s="366"/>
      <c r="H117" s="366"/>
      <c r="I117" s="366"/>
      <c r="J117" s="366"/>
      <c r="K117" s="366"/>
      <c r="L117" s="366"/>
      <c r="M117" s="366"/>
      <c r="N117" s="366"/>
      <c r="O117" s="366"/>
      <c r="P117" s="611"/>
      <c r="Q117" s="614"/>
      <c r="R117" s="588"/>
      <c r="S117" s="188"/>
      <c r="T117" s="366"/>
      <c r="U117" s="366"/>
      <c r="V117" s="366"/>
      <c r="W117" s="366"/>
      <c r="X117" s="366"/>
      <c r="Y117" s="366"/>
      <c r="Z117" s="366"/>
      <c r="AA117" s="366"/>
      <c r="AB117" s="366"/>
      <c r="AC117" s="366"/>
      <c r="AD117" s="366"/>
      <c r="AE117" s="366"/>
      <c r="AF117" s="366"/>
      <c r="AG117" s="366"/>
      <c r="AH117" s="366"/>
      <c r="AI117" s="366"/>
      <c r="AJ117" s="366"/>
      <c r="AK117" s="366"/>
      <c r="AL117" s="366"/>
      <c r="AM117" s="607"/>
      <c r="AN117" s="366"/>
      <c r="AO117" s="366"/>
      <c r="AP117" s="366"/>
      <c r="AQ117" s="366"/>
      <c r="AR117" s="619"/>
      <c r="AS117" s="617"/>
    </row>
    <row r="118" spans="1:45" ht="15.75">
      <c r="A118" s="190"/>
      <c r="B118" s="366"/>
      <c r="C118" s="366"/>
      <c r="D118" s="596"/>
      <c r="E118" s="596"/>
      <c r="F118" s="366"/>
      <c r="G118" s="366"/>
      <c r="H118" s="366"/>
      <c r="I118" s="366"/>
      <c r="J118" s="366"/>
      <c r="K118" s="366"/>
      <c r="L118" s="366"/>
      <c r="M118" s="366"/>
      <c r="N118" s="366"/>
      <c r="O118" s="366"/>
      <c r="P118" s="611"/>
      <c r="Q118" s="614"/>
      <c r="R118" s="588"/>
      <c r="S118" s="188"/>
      <c r="T118" s="366"/>
      <c r="U118" s="366"/>
      <c r="V118" s="366"/>
      <c r="W118" s="366"/>
      <c r="X118" s="366"/>
      <c r="Y118" s="366"/>
      <c r="Z118" s="366"/>
      <c r="AA118" s="366"/>
      <c r="AB118" s="366"/>
      <c r="AC118" s="366"/>
      <c r="AD118" s="366"/>
      <c r="AE118" s="366"/>
      <c r="AF118" s="366"/>
      <c r="AG118" s="366"/>
      <c r="AH118" s="366"/>
      <c r="AI118" s="366"/>
      <c r="AJ118" s="366"/>
      <c r="AK118" s="366"/>
      <c r="AL118" s="366"/>
      <c r="AM118" s="607"/>
      <c r="AN118" s="366"/>
      <c r="AO118" s="366"/>
      <c r="AP118" s="366"/>
      <c r="AQ118" s="366"/>
      <c r="AR118" s="619"/>
      <c r="AS118" s="617"/>
    </row>
    <row r="119" spans="1:45" ht="15.75">
      <c r="A119" s="190"/>
      <c r="B119" s="366"/>
      <c r="C119" s="366"/>
      <c r="D119" s="596"/>
      <c r="E119" s="596"/>
      <c r="F119" s="366"/>
      <c r="G119" s="366"/>
      <c r="H119" s="366"/>
      <c r="I119" s="366"/>
      <c r="J119" s="366"/>
      <c r="K119" s="366"/>
      <c r="L119" s="366"/>
      <c r="M119" s="366"/>
      <c r="N119" s="366"/>
      <c r="O119" s="366"/>
      <c r="P119" s="611"/>
      <c r="Q119" s="614"/>
      <c r="R119" s="588"/>
      <c r="S119" s="188"/>
      <c r="T119" s="366"/>
      <c r="U119" s="366"/>
      <c r="V119" s="366"/>
      <c r="W119" s="366"/>
      <c r="X119" s="366"/>
      <c r="Y119" s="366"/>
      <c r="Z119" s="366"/>
      <c r="AA119" s="366"/>
      <c r="AB119" s="366"/>
      <c r="AC119" s="366"/>
      <c r="AD119" s="366"/>
      <c r="AE119" s="366"/>
      <c r="AF119" s="366"/>
      <c r="AG119" s="366"/>
      <c r="AH119" s="366"/>
      <c r="AI119" s="366"/>
      <c r="AJ119" s="366"/>
      <c r="AK119" s="366"/>
      <c r="AL119" s="366"/>
      <c r="AM119" s="607"/>
      <c r="AN119" s="366"/>
      <c r="AO119" s="366"/>
      <c r="AP119" s="366"/>
      <c r="AQ119" s="366"/>
      <c r="AR119" s="619"/>
      <c r="AS119" s="617"/>
    </row>
    <row r="120" spans="1:45" ht="15.75">
      <c r="A120" s="190"/>
      <c r="B120" s="366"/>
      <c r="C120" s="366"/>
      <c r="D120" s="596"/>
      <c r="E120" s="596"/>
      <c r="F120" s="366"/>
      <c r="G120" s="366"/>
      <c r="H120" s="366"/>
      <c r="I120" s="366"/>
      <c r="J120" s="366"/>
      <c r="K120" s="366"/>
      <c r="L120" s="366"/>
      <c r="M120" s="366"/>
      <c r="N120" s="366"/>
      <c r="O120" s="366"/>
      <c r="P120" s="611"/>
      <c r="Q120" s="614"/>
      <c r="R120" s="588"/>
      <c r="S120" s="188"/>
      <c r="T120" s="366"/>
      <c r="U120" s="366"/>
      <c r="V120" s="366"/>
      <c r="W120" s="366"/>
      <c r="X120" s="366"/>
      <c r="Y120" s="366"/>
      <c r="Z120" s="366"/>
      <c r="AA120" s="366"/>
      <c r="AB120" s="366"/>
      <c r="AC120" s="366"/>
      <c r="AD120" s="366"/>
      <c r="AE120" s="366"/>
      <c r="AF120" s="366"/>
      <c r="AG120" s="366"/>
      <c r="AH120" s="366"/>
      <c r="AI120" s="366"/>
      <c r="AJ120" s="366"/>
      <c r="AK120" s="366"/>
      <c r="AL120" s="366"/>
      <c r="AM120" s="607"/>
      <c r="AN120" s="366"/>
      <c r="AO120" s="366"/>
      <c r="AP120" s="366"/>
      <c r="AQ120" s="366"/>
      <c r="AR120" s="619"/>
      <c r="AS120" s="617"/>
    </row>
    <row r="121" spans="1:45" ht="15.75">
      <c r="A121" s="190"/>
      <c r="B121" s="366"/>
      <c r="C121" s="366"/>
      <c r="D121" s="596"/>
      <c r="E121" s="596"/>
      <c r="F121" s="366"/>
      <c r="G121" s="366"/>
      <c r="H121" s="366"/>
      <c r="I121" s="366"/>
      <c r="J121" s="366"/>
      <c r="K121" s="366"/>
      <c r="L121" s="366"/>
      <c r="M121" s="366"/>
      <c r="N121" s="366"/>
      <c r="O121" s="366"/>
      <c r="P121" s="611"/>
      <c r="Q121" s="614"/>
      <c r="R121" s="588"/>
      <c r="S121" s="188"/>
      <c r="T121" s="366"/>
      <c r="U121" s="366"/>
      <c r="V121" s="366"/>
      <c r="W121" s="366"/>
      <c r="X121" s="366"/>
      <c r="Y121" s="366"/>
      <c r="Z121" s="366"/>
      <c r="AA121" s="366"/>
      <c r="AB121" s="366"/>
      <c r="AC121" s="366"/>
      <c r="AD121" s="366"/>
      <c r="AE121" s="366"/>
      <c r="AF121" s="366"/>
      <c r="AG121" s="366"/>
      <c r="AH121" s="366"/>
      <c r="AI121" s="366"/>
      <c r="AJ121" s="366"/>
      <c r="AK121" s="366"/>
      <c r="AL121" s="366"/>
      <c r="AM121" s="607"/>
      <c r="AN121" s="366"/>
      <c r="AO121" s="366"/>
      <c r="AP121" s="366"/>
      <c r="AQ121" s="366"/>
      <c r="AR121" s="619"/>
      <c r="AS121" s="617"/>
    </row>
    <row r="122" spans="1:45" ht="15.75">
      <c r="A122" s="190"/>
      <c r="B122" s="366"/>
      <c r="C122" s="366"/>
      <c r="D122" s="596"/>
      <c r="E122" s="596"/>
      <c r="F122" s="366"/>
      <c r="G122" s="366"/>
      <c r="H122" s="366"/>
      <c r="I122" s="366"/>
      <c r="J122" s="366"/>
      <c r="K122" s="366"/>
      <c r="L122" s="366"/>
      <c r="M122" s="366"/>
      <c r="N122" s="366"/>
      <c r="O122" s="366"/>
      <c r="P122" s="611"/>
      <c r="Q122" s="614"/>
      <c r="R122" s="588"/>
      <c r="S122" s="188"/>
      <c r="T122" s="366"/>
      <c r="U122" s="366"/>
      <c r="V122" s="366"/>
      <c r="W122" s="366"/>
      <c r="X122" s="366"/>
      <c r="Y122" s="366"/>
      <c r="Z122" s="366"/>
      <c r="AA122" s="366"/>
      <c r="AB122" s="366"/>
      <c r="AC122" s="366"/>
      <c r="AD122" s="366"/>
      <c r="AE122" s="366"/>
      <c r="AF122" s="366"/>
      <c r="AG122" s="366"/>
      <c r="AH122" s="366"/>
      <c r="AI122" s="366"/>
      <c r="AJ122" s="366"/>
      <c r="AK122" s="366"/>
      <c r="AL122" s="366"/>
      <c r="AM122" s="607"/>
      <c r="AN122" s="366"/>
      <c r="AO122" s="366"/>
      <c r="AP122" s="366"/>
      <c r="AQ122" s="366"/>
      <c r="AR122" s="619"/>
      <c r="AS122" s="617"/>
    </row>
    <row r="123" spans="1:45" ht="15.75">
      <c r="A123" s="190"/>
      <c r="B123" s="366"/>
      <c r="C123" s="366"/>
      <c r="D123" s="596"/>
      <c r="E123" s="596"/>
      <c r="F123" s="366"/>
      <c r="G123" s="366"/>
      <c r="H123" s="366"/>
      <c r="I123" s="366"/>
      <c r="J123" s="366"/>
      <c r="K123" s="366"/>
      <c r="L123" s="366"/>
      <c r="M123" s="366"/>
      <c r="N123" s="366"/>
      <c r="O123" s="366"/>
      <c r="P123" s="611"/>
      <c r="Q123" s="614"/>
      <c r="R123" s="588"/>
      <c r="S123" s="188"/>
      <c r="T123" s="366"/>
      <c r="U123" s="366"/>
      <c r="V123" s="366"/>
      <c r="W123" s="366"/>
      <c r="X123" s="366"/>
      <c r="Y123" s="366"/>
      <c r="Z123" s="366"/>
      <c r="AA123" s="366"/>
      <c r="AB123" s="366"/>
      <c r="AC123" s="366"/>
      <c r="AD123" s="366"/>
      <c r="AE123" s="366"/>
      <c r="AF123" s="366"/>
      <c r="AG123" s="366"/>
      <c r="AH123" s="366"/>
      <c r="AI123" s="366"/>
      <c r="AJ123" s="366"/>
      <c r="AK123" s="366"/>
      <c r="AL123" s="366"/>
      <c r="AM123" s="607"/>
      <c r="AN123" s="366"/>
      <c r="AO123" s="366"/>
      <c r="AP123" s="366"/>
      <c r="AQ123" s="366"/>
      <c r="AR123" s="619"/>
      <c r="AS123" s="617"/>
    </row>
    <row r="124" spans="1:45" ht="15.75">
      <c r="A124" s="190"/>
      <c r="B124" s="366"/>
      <c r="C124" s="366"/>
      <c r="D124" s="596"/>
      <c r="E124" s="596"/>
      <c r="F124" s="366"/>
      <c r="G124" s="366"/>
      <c r="H124" s="366"/>
      <c r="I124" s="366"/>
      <c r="J124" s="366"/>
      <c r="K124" s="366"/>
      <c r="L124" s="366"/>
      <c r="M124" s="366"/>
      <c r="N124" s="366"/>
      <c r="O124" s="366"/>
      <c r="P124" s="611"/>
      <c r="Q124" s="614"/>
      <c r="R124" s="588"/>
      <c r="S124" s="188"/>
      <c r="T124" s="366"/>
      <c r="U124" s="366"/>
      <c r="V124" s="366"/>
      <c r="W124" s="366"/>
      <c r="X124" s="366"/>
      <c r="Y124" s="366"/>
      <c r="Z124" s="366"/>
      <c r="AA124" s="366"/>
      <c r="AB124" s="366"/>
      <c r="AC124" s="366"/>
      <c r="AD124" s="366"/>
      <c r="AE124" s="366"/>
      <c r="AF124" s="366"/>
      <c r="AG124" s="366"/>
      <c r="AH124" s="366"/>
      <c r="AI124" s="366"/>
      <c r="AJ124" s="366"/>
      <c r="AK124" s="366"/>
      <c r="AL124" s="366"/>
      <c r="AM124" s="607"/>
      <c r="AN124" s="366"/>
      <c r="AO124" s="366"/>
      <c r="AP124" s="366"/>
      <c r="AQ124" s="366"/>
      <c r="AR124" s="619"/>
      <c r="AS124" s="617"/>
    </row>
    <row r="125" spans="1:45" ht="15.75">
      <c r="A125" s="190"/>
      <c r="B125" s="366"/>
      <c r="C125" s="366"/>
      <c r="D125" s="596"/>
      <c r="E125" s="596"/>
      <c r="F125" s="366"/>
      <c r="G125" s="366"/>
      <c r="H125" s="366"/>
      <c r="I125" s="366"/>
      <c r="J125" s="366"/>
      <c r="K125" s="366"/>
      <c r="L125" s="366"/>
      <c r="M125" s="366"/>
      <c r="N125" s="366"/>
      <c r="O125" s="366"/>
      <c r="P125" s="611"/>
      <c r="Q125" s="614"/>
      <c r="R125" s="588"/>
      <c r="S125" s="188"/>
      <c r="T125" s="366"/>
      <c r="U125" s="366"/>
      <c r="V125" s="366"/>
      <c r="W125" s="366"/>
      <c r="X125" s="366"/>
      <c r="Y125" s="366"/>
      <c r="Z125" s="366"/>
      <c r="AA125" s="366"/>
      <c r="AB125" s="366"/>
      <c r="AC125" s="366"/>
      <c r="AD125" s="366"/>
      <c r="AE125" s="366"/>
      <c r="AF125" s="366"/>
      <c r="AG125" s="366"/>
      <c r="AH125" s="366"/>
      <c r="AI125" s="366"/>
      <c r="AJ125" s="366"/>
      <c r="AK125" s="366"/>
      <c r="AL125" s="366"/>
      <c r="AM125" s="607"/>
      <c r="AN125" s="366"/>
      <c r="AO125" s="366"/>
      <c r="AP125" s="366"/>
      <c r="AQ125" s="366"/>
      <c r="AR125" s="619"/>
      <c r="AS125" s="617"/>
    </row>
    <row r="126" spans="1:45" ht="15.75">
      <c r="A126" s="190"/>
      <c r="B126" s="366"/>
      <c r="C126" s="366"/>
      <c r="D126" s="596"/>
      <c r="E126" s="596"/>
      <c r="F126" s="366"/>
      <c r="G126" s="366"/>
      <c r="H126" s="366"/>
      <c r="I126" s="366"/>
      <c r="J126" s="366"/>
      <c r="K126" s="366"/>
      <c r="L126" s="366"/>
      <c r="M126" s="366"/>
      <c r="N126" s="366"/>
      <c r="O126" s="366"/>
      <c r="P126" s="611"/>
      <c r="Q126" s="614"/>
      <c r="R126" s="588"/>
      <c r="S126" s="188"/>
      <c r="T126" s="366"/>
      <c r="U126" s="366"/>
      <c r="V126" s="366"/>
      <c r="W126" s="366"/>
      <c r="X126" s="366"/>
      <c r="Y126" s="366"/>
      <c r="Z126" s="366"/>
      <c r="AA126" s="366"/>
      <c r="AB126" s="366"/>
      <c r="AC126" s="366"/>
      <c r="AD126" s="366"/>
      <c r="AE126" s="366"/>
      <c r="AF126" s="366"/>
      <c r="AG126" s="366"/>
      <c r="AH126" s="366"/>
      <c r="AI126" s="366"/>
      <c r="AJ126" s="366"/>
      <c r="AK126" s="366"/>
      <c r="AL126" s="366"/>
      <c r="AM126" s="607"/>
      <c r="AN126" s="366"/>
      <c r="AO126" s="366"/>
      <c r="AP126" s="366"/>
      <c r="AQ126" s="366"/>
      <c r="AR126" s="619"/>
      <c r="AS126" s="617"/>
    </row>
    <row r="127" spans="1:45" ht="15.75">
      <c r="A127" s="190"/>
      <c r="B127" s="366"/>
      <c r="C127" s="366"/>
      <c r="D127" s="596"/>
      <c r="E127" s="596"/>
      <c r="F127" s="366"/>
      <c r="G127" s="366"/>
      <c r="H127" s="366"/>
      <c r="I127" s="366"/>
      <c r="J127" s="366"/>
      <c r="K127" s="366"/>
      <c r="L127" s="366"/>
      <c r="M127" s="366"/>
      <c r="N127" s="366"/>
      <c r="O127" s="366"/>
      <c r="P127" s="611"/>
      <c r="Q127" s="614"/>
      <c r="R127" s="588"/>
      <c r="S127" s="188"/>
      <c r="T127" s="366"/>
      <c r="U127" s="366"/>
      <c r="V127" s="366"/>
      <c r="W127" s="366"/>
      <c r="X127" s="366"/>
      <c r="Y127" s="366"/>
      <c r="Z127" s="366"/>
      <c r="AA127" s="366"/>
      <c r="AB127" s="366"/>
      <c r="AC127" s="366"/>
      <c r="AD127" s="366"/>
      <c r="AE127" s="366"/>
      <c r="AF127" s="366"/>
      <c r="AG127" s="366"/>
      <c r="AH127" s="366"/>
      <c r="AI127" s="366"/>
      <c r="AJ127" s="366"/>
      <c r="AK127" s="366"/>
      <c r="AL127" s="366"/>
      <c r="AM127" s="607"/>
      <c r="AN127" s="366"/>
      <c r="AO127" s="366"/>
      <c r="AP127" s="366"/>
      <c r="AQ127" s="366"/>
      <c r="AR127" s="619"/>
      <c r="AS127" s="617"/>
    </row>
    <row r="128" spans="1:45" ht="15.75">
      <c r="A128" s="190"/>
      <c r="B128" s="366"/>
      <c r="C128" s="366"/>
      <c r="D128" s="596"/>
      <c r="E128" s="596"/>
      <c r="F128" s="366"/>
      <c r="G128" s="366"/>
      <c r="H128" s="366"/>
      <c r="I128" s="366"/>
      <c r="J128" s="366"/>
      <c r="K128" s="366"/>
      <c r="L128" s="366"/>
      <c r="M128" s="366"/>
      <c r="N128" s="366"/>
      <c r="O128" s="366"/>
      <c r="P128" s="611"/>
      <c r="Q128" s="614"/>
      <c r="R128" s="588"/>
      <c r="S128" s="188"/>
      <c r="T128" s="366"/>
      <c r="U128" s="366"/>
      <c r="V128" s="366"/>
      <c r="W128" s="366"/>
      <c r="X128" s="366"/>
      <c r="Y128" s="366"/>
      <c r="Z128" s="366"/>
      <c r="AA128" s="366"/>
      <c r="AB128" s="366"/>
      <c r="AC128" s="366"/>
      <c r="AD128" s="366"/>
      <c r="AE128" s="366"/>
      <c r="AF128" s="366"/>
      <c r="AG128" s="366"/>
      <c r="AH128" s="366"/>
      <c r="AI128" s="366"/>
      <c r="AJ128" s="366"/>
      <c r="AK128" s="366"/>
      <c r="AL128" s="366"/>
      <c r="AM128" s="607"/>
      <c r="AN128" s="366"/>
      <c r="AO128" s="366"/>
      <c r="AP128" s="366"/>
      <c r="AQ128" s="366"/>
      <c r="AR128" s="619"/>
      <c r="AS128" s="617"/>
    </row>
    <row r="129" spans="1:45" ht="15.75">
      <c r="A129" s="190"/>
      <c r="B129" s="366"/>
      <c r="C129" s="366"/>
      <c r="D129" s="596"/>
      <c r="E129" s="596"/>
      <c r="F129" s="366"/>
      <c r="G129" s="366"/>
      <c r="H129" s="366"/>
      <c r="I129" s="366"/>
      <c r="J129" s="366"/>
      <c r="K129" s="366"/>
      <c r="L129" s="366"/>
      <c r="M129" s="366"/>
      <c r="N129" s="366"/>
      <c r="O129" s="366"/>
      <c r="P129" s="611"/>
      <c r="Q129" s="614"/>
      <c r="R129" s="588"/>
      <c r="S129" s="188"/>
      <c r="T129" s="366"/>
      <c r="U129" s="366"/>
      <c r="V129" s="366"/>
      <c r="W129" s="366"/>
      <c r="X129" s="366"/>
      <c r="Y129" s="366"/>
      <c r="Z129" s="366"/>
      <c r="AA129" s="366"/>
      <c r="AB129" s="366"/>
      <c r="AC129" s="366"/>
      <c r="AD129" s="366"/>
      <c r="AE129" s="366"/>
      <c r="AF129" s="366"/>
      <c r="AG129" s="366"/>
      <c r="AH129" s="366"/>
      <c r="AI129" s="366"/>
      <c r="AJ129" s="366"/>
      <c r="AK129" s="366"/>
      <c r="AL129" s="366"/>
      <c r="AM129" s="607"/>
      <c r="AN129" s="366"/>
      <c r="AO129" s="366"/>
      <c r="AP129" s="366"/>
      <c r="AQ129" s="366"/>
      <c r="AR129" s="619"/>
      <c r="AS129" s="617"/>
    </row>
    <row r="130" spans="1:45" ht="15.75">
      <c r="A130" s="190"/>
      <c r="B130" s="366"/>
      <c r="C130" s="366"/>
      <c r="D130" s="596"/>
      <c r="E130" s="596"/>
      <c r="F130" s="366"/>
      <c r="G130" s="366"/>
      <c r="H130" s="366"/>
      <c r="I130" s="366"/>
      <c r="J130" s="366"/>
      <c r="K130" s="366"/>
      <c r="L130" s="366"/>
      <c r="M130" s="366"/>
      <c r="N130" s="366"/>
      <c r="O130" s="366"/>
      <c r="P130" s="611"/>
      <c r="Q130" s="614"/>
      <c r="R130" s="588"/>
      <c r="S130" s="188"/>
      <c r="T130" s="366"/>
      <c r="U130" s="366"/>
      <c r="V130" s="366"/>
      <c r="W130" s="366"/>
      <c r="X130" s="366"/>
      <c r="Y130" s="366"/>
      <c r="Z130" s="366"/>
      <c r="AA130" s="366"/>
      <c r="AB130" s="366"/>
      <c r="AC130" s="366"/>
      <c r="AD130" s="366"/>
      <c r="AE130" s="366"/>
      <c r="AF130" s="366"/>
      <c r="AG130" s="366"/>
      <c r="AH130" s="366"/>
      <c r="AI130" s="366"/>
      <c r="AJ130" s="366"/>
      <c r="AK130" s="366"/>
      <c r="AL130" s="366"/>
      <c r="AM130" s="607"/>
      <c r="AN130" s="366"/>
      <c r="AO130" s="366"/>
      <c r="AP130" s="366"/>
      <c r="AQ130" s="366"/>
      <c r="AR130" s="619"/>
      <c r="AS130" s="617"/>
    </row>
    <row r="131" spans="1:45" ht="15.75">
      <c r="A131" s="190"/>
      <c r="B131" s="366"/>
      <c r="C131" s="366"/>
      <c r="D131" s="596"/>
      <c r="E131" s="596"/>
      <c r="F131" s="366"/>
      <c r="G131" s="366"/>
      <c r="H131" s="366"/>
      <c r="I131" s="366"/>
      <c r="J131" s="366"/>
      <c r="K131" s="366"/>
      <c r="L131" s="366"/>
      <c r="M131" s="366"/>
      <c r="N131" s="366"/>
      <c r="O131" s="366"/>
      <c r="P131" s="611"/>
      <c r="Q131" s="614"/>
      <c r="R131" s="588"/>
      <c r="S131" s="188"/>
      <c r="T131" s="366"/>
      <c r="U131" s="366"/>
      <c r="V131" s="366"/>
      <c r="W131" s="366"/>
      <c r="X131" s="366"/>
      <c r="Y131" s="366"/>
      <c r="Z131" s="366"/>
      <c r="AA131" s="366"/>
      <c r="AB131" s="366"/>
      <c r="AC131" s="366"/>
      <c r="AD131" s="366"/>
      <c r="AE131" s="366"/>
      <c r="AF131" s="366"/>
      <c r="AG131" s="366"/>
      <c r="AH131" s="366"/>
      <c r="AI131" s="366"/>
      <c r="AJ131" s="366"/>
      <c r="AK131" s="366"/>
      <c r="AL131" s="366"/>
      <c r="AM131" s="607"/>
      <c r="AN131" s="366"/>
      <c r="AO131" s="366"/>
      <c r="AP131" s="366"/>
      <c r="AQ131" s="366"/>
      <c r="AR131" s="619"/>
      <c r="AS131" s="617"/>
    </row>
    <row r="132" spans="1:45" ht="15.75">
      <c r="A132" s="190"/>
      <c r="B132" s="366"/>
      <c r="C132" s="366"/>
      <c r="D132" s="596"/>
      <c r="E132" s="596"/>
      <c r="F132" s="366"/>
      <c r="G132" s="366"/>
      <c r="H132" s="366"/>
      <c r="I132" s="366"/>
      <c r="J132" s="366"/>
      <c r="K132" s="366"/>
      <c r="L132" s="366"/>
      <c r="M132" s="366"/>
      <c r="N132" s="366"/>
      <c r="O132" s="366"/>
      <c r="P132" s="611"/>
      <c r="Q132" s="614"/>
      <c r="R132" s="588"/>
      <c r="S132" s="188"/>
      <c r="T132" s="366"/>
      <c r="U132" s="366"/>
      <c r="V132" s="366"/>
      <c r="W132" s="366"/>
      <c r="X132" s="366"/>
      <c r="Y132" s="366"/>
      <c r="Z132" s="366"/>
      <c r="AA132" s="366"/>
      <c r="AB132" s="366"/>
      <c r="AC132" s="366"/>
      <c r="AD132" s="366"/>
      <c r="AE132" s="366"/>
      <c r="AF132" s="366"/>
      <c r="AG132" s="366"/>
      <c r="AH132" s="366"/>
      <c r="AI132" s="366"/>
      <c r="AJ132" s="366"/>
      <c r="AK132" s="366"/>
      <c r="AL132" s="366"/>
      <c r="AM132" s="607"/>
      <c r="AN132" s="366"/>
      <c r="AO132" s="366"/>
      <c r="AP132" s="366"/>
      <c r="AQ132" s="366"/>
      <c r="AR132" s="619"/>
      <c r="AS132" s="617"/>
    </row>
    <row r="133" spans="1:45" ht="15.75">
      <c r="A133" s="190"/>
      <c r="B133" s="366"/>
      <c r="C133" s="366"/>
      <c r="D133" s="596"/>
      <c r="E133" s="596"/>
      <c r="F133" s="366"/>
      <c r="G133" s="366"/>
      <c r="H133" s="366"/>
      <c r="I133" s="366"/>
      <c r="J133" s="366"/>
      <c r="K133" s="366"/>
      <c r="L133" s="366"/>
      <c r="M133" s="366"/>
      <c r="N133" s="366"/>
      <c r="O133" s="366"/>
      <c r="P133" s="611"/>
      <c r="Q133" s="614"/>
      <c r="R133" s="588"/>
      <c r="S133" s="188"/>
      <c r="T133" s="366"/>
      <c r="U133" s="366"/>
      <c r="V133" s="366"/>
      <c r="W133" s="366"/>
      <c r="X133" s="366"/>
      <c r="Y133" s="366"/>
      <c r="Z133" s="366"/>
      <c r="AA133" s="366"/>
      <c r="AB133" s="366"/>
      <c r="AC133" s="366"/>
      <c r="AD133" s="366"/>
      <c r="AE133" s="366"/>
      <c r="AF133" s="366"/>
      <c r="AG133" s="366"/>
      <c r="AH133" s="366"/>
      <c r="AI133" s="366"/>
      <c r="AJ133" s="366"/>
      <c r="AK133" s="366"/>
      <c r="AL133" s="366"/>
      <c r="AM133" s="607"/>
      <c r="AN133" s="366"/>
      <c r="AO133" s="366"/>
      <c r="AP133" s="366"/>
      <c r="AQ133" s="366"/>
      <c r="AR133" s="619"/>
      <c r="AS133" s="617"/>
    </row>
    <row r="134" spans="1:45" ht="15.75">
      <c r="A134" s="190"/>
      <c r="B134" s="366"/>
      <c r="C134" s="366"/>
      <c r="D134" s="596"/>
      <c r="E134" s="596"/>
      <c r="F134" s="366"/>
      <c r="G134" s="366"/>
      <c r="H134" s="366"/>
      <c r="I134" s="366"/>
      <c r="J134" s="366"/>
      <c r="K134" s="366"/>
      <c r="L134" s="366"/>
      <c r="M134" s="366"/>
      <c r="N134" s="366"/>
      <c r="O134" s="366"/>
      <c r="P134" s="611"/>
      <c r="Q134" s="614"/>
      <c r="R134" s="588"/>
      <c r="S134" s="188"/>
      <c r="T134" s="366"/>
      <c r="U134" s="366"/>
      <c r="V134" s="366"/>
      <c r="W134" s="366"/>
      <c r="X134" s="366"/>
      <c r="Y134" s="366"/>
      <c r="Z134" s="366"/>
      <c r="AA134" s="366"/>
      <c r="AB134" s="366"/>
      <c r="AC134" s="366"/>
      <c r="AD134" s="366"/>
      <c r="AE134" s="366"/>
      <c r="AF134" s="366"/>
      <c r="AG134" s="366"/>
      <c r="AH134" s="366"/>
      <c r="AI134" s="366"/>
      <c r="AJ134" s="366"/>
      <c r="AK134" s="366"/>
      <c r="AL134" s="366"/>
      <c r="AM134" s="607"/>
      <c r="AN134" s="366"/>
      <c r="AO134" s="366"/>
      <c r="AP134" s="366"/>
      <c r="AQ134" s="366"/>
      <c r="AR134" s="619"/>
      <c r="AS134" s="617"/>
    </row>
    <row r="135" spans="1:45" ht="15.75">
      <c r="A135" s="190"/>
      <c r="B135" s="366"/>
      <c r="C135" s="366"/>
      <c r="D135" s="596"/>
      <c r="E135" s="596"/>
      <c r="F135" s="366"/>
      <c r="G135" s="366"/>
      <c r="H135" s="366"/>
      <c r="I135" s="366"/>
      <c r="J135" s="366"/>
      <c r="K135" s="366"/>
      <c r="L135" s="366"/>
      <c r="M135" s="366"/>
      <c r="N135" s="366"/>
      <c r="O135" s="366"/>
      <c r="P135" s="611"/>
      <c r="Q135" s="614"/>
      <c r="R135" s="588"/>
      <c r="S135" s="188"/>
      <c r="T135" s="366"/>
      <c r="U135" s="366"/>
      <c r="V135" s="366"/>
      <c r="W135" s="366"/>
      <c r="X135" s="366"/>
      <c r="Y135" s="366"/>
      <c r="Z135" s="366"/>
      <c r="AA135" s="366"/>
      <c r="AB135" s="366"/>
      <c r="AC135" s="366"/>
      <c r="AD135" s="366"/>
      <c r="AE135" s="366"/>
      <c r="AF135" s="366"/>
      <c r="AG135" s="366"/>
      <c r="AH135" s="366"/>
      <c r="AI135" s="366"/>
      <c r="AJ135" s="366"/>
      <c r="AK135" s="366"/>
      <c r="AL135" s="366"/>
      <c r="AM135" s="607"/>
      <c r="AN135" s="366"/>
      <c r="AO135" s="366"/>
      <c r="AP135" s="366"/>
      <c r="AQ135" s="366"/>
      <c r="AR135" s="619"/>
      <c r="AS135" s="617"/>
    </row>
    <row r="136" spans="1:45" ht="15.75">
      <c r="A136" s="190"/>
      <c r="B136" s="366"/>
      <c r="C136" s="366"/>
      <c r="D136" s="596"/>
      <c r="E136" s="596"/>
      <c r="F136" s="366"/>
      <c r="G136" s="366"/>
      <c r="H136" s="366"/>
      <c r="I136" s="366"/>
      <c r="J136" s="366"/>
      <c r="K136" s="366"/>
      <c r="L136" s="366"/>
      <c r="M136" s="366"/>
      <c r="N136" s="366"/>
      <c r="O136" s="366"/>
      <c r="P136" s="611"/>
      <c r="Q136" s="614"/>
      <c r="R136" s="588"/>
      <c r="S136" s="188"/>
      <c r="T136" s="366"/>
      <c r="U136" s="366"/>
      <c r="V136" s="366"/>
      <c r="W136" s="366"/>
      <c r="X136" s="366"/>
      <c r="Y136" s="366"/>
      <c r="Z136" s="366"/>
      <c r="AA136" s="366"/>
      <c r="AB136" s="366"/>
      <c r="AC136" s="366"/>
      <c r="AD136" s="366"/>
      <c r="AE136" s="366"/>
      <c r="AF136" s="366"/>
      <c r="AG136" s="366"/>
      <c r="AH136" s="366"/>
      <c r="AI136" s="366"/>
      <c r="AJ136" s="366"/>
      <c r="AK136" s="366"/>
      <c r="AL136" s="366"/>
      <c r="AM136" s="607"/>
      <c r="AN136" s="366"/>
      <c r="AO136" s="366"/>
      <c r="AP136" s="366"/>
      <c r="AQ136" s="366"/>
      <c r="AR136" s="619"/>
      <c r="AS136" s="617"/>
    </row>
    <row r="137" spans="1:45" ht="15.75">
      <c r="A137" s="190"/>
      <c r="B137" s="366"/>
      <c r="C137" s="366"/>
      <c r="D137" s="596"/>
      <c r="E137" s="596"/>
      <c r="F137" s="366"/>
      <c r="G137" s="366"/>
      <c r="H137" s="366"/>
      <c r="I137" s="366"/>
      <c r="J137" s="366"/>
      <c r="K137" s="366"/>
      <c r="L137" s="366"/>
      <c r="M137" s="366"/>
      <c r="N137" s="366"/>
      <c r="O137" s="366"/>
      <c r="P137" s="611"/>
      <c r="Q137" s="614"/>
      <c r="R137" s="588"/>
      <c r="S137" s="188"/>
      <c r="T137" s="366"/>
      <c r="U137" s="366"/>
      <c r="V137" s="366"/>
      <c r="W137" s="366"/>
      <c r="X137" s="366"/>
      <c r="Y137" s="366"/>
      <c r="Z137" s="366"/>
      <c r="AA137" s="366"/>
      <c r="AB137" s="366"/>
      <c r="AC137" s="366"/>
      <c r="AD137" s="366"/>
      <c r="AE137" s="366"/>
      <c r="AF137" s="366"/>
      <c r="AG137" s="366"/>
      <c r="AH137" s="366"/>
      <c r="AI137" s="366"/>
      <c r="AJ137" s="366"/>
      <c r="AK137" s="366"/>
      <c r="AL137" s="366"/>
      <c r="AM137" s="607"/>
      <c r="AN137" s="366"/>
      <c r="AO137" s="366"/>
      <c r="AP137" s="366"/>
      <c r="AQ137" s="366"/>
      <c r="AR137" s="619"/>
      <c r="AS137" s="617"/>
    </row>
    <row r="138" spans="1:45" ht="15.75">
      <c r="A138" s="190"/>
      <c r="B138" s="366"/>
      <c r="C138" s="366"/>
      <c r="D138" s="596"/>
      <c r="E138" s="596"/>
      <c r="F138" s="366"/>
      <c r="G138" s="366"/>
      <c r="H138" s="366"/>
      <c r="I138" s="366"/>
      <c r="J138" s="366"/>
      <c r="K138" s="366"/>
      <c r="L138" s="366"/>
      <c r="M138" s="366"/>
      <c r="N138" s="366"/>
      <c r="O138" s="366"/>
      <c r="P138" s="611"/>
      <c r="Q138" s="614"/>
      <c r="R138" s="588"/>
      <c r="S138" s="188"/>
      <c r="T138" s="366"/>
      <c r="U138" s="366"/>
      <c r="V138" s="366"/>
      <c r="W138" s="366"/>
      <c r="X138" s="366"/>
      <c r="Y138" s="366"/>
      <c r="Z138" s="366"/>
      <c r="AA138" s="366"/>
      <c r="AB138" s="366"/>
      <c r="AC138" s="366"/>
      <c r="AD138" s="366"/>
      <c r="AE138" s="366"/>
      <c r="AF138" s="366"/>
      <c r="AG138" s="366"/>
      <c r="AH138" s="366"/>
      <c r="AI138" s="366"/>
      <c r="AJ138" s="366"/>
      <c r="AK138" s="366"/>
      <c r="AL138" s="366"/>
      <c r="AM138" s="607"/>
      <c r="AN138" s="366"/>
      <c r="AO138" s="366"/>
      <c r="AP138" s="366"/>
      <c r="AQ138" s="366"/>
      <c r="AR138" s="619"/>
      <c r="AS138" s="617"/>
    </row>
    <row r="139" spans="1:45" ht="15.75">
      <c r="A139" s="190"/>
      <c r="B139" s="366"/>
      <c r="C139" s="366"/>
      <c r="D139" s="596"/>
      <c r="E139" s="596"/>
      <c r="F139" s="366"/>
      <c r="G139" s="366"/>
      <c r="H139" s="366"/>
      <c r="I139" s="366"/>
      <c r="J139" s="366"/>
      <c r="K139" s="366"/>
      <c r="L139" s="366"/>
      <c r="M139" s="366"/>
      <c r="N139" s="366"/>
      <c r="O139" s="366"/>
      <c r="P139" s="611"/>
      <c r="Q139" s="614"/>
      <c r="R139" s="588"/>
      <c r="S139" s="188"/>
      <c r="T139" s="366"/>
      <c r="U139" s="366"/>
      <c r="V139" s="366"/>
      <c r="W139" s="366"/>
      <c r="X139" s="366"/>
      <c r="Y139" s="366"/>
      <c r="Z139" s="366"/>
      <c r="AA139" s="366"/>
      <c r="AB139" s="366"/>
      <c r="AC139" s="366"/>
      <c r="AD139" s="366"/>
      <c r="AE139" s="366"/>
      <c r="AF139" s="366"/>
      <c r="AG139" s="366"/>
      <c r="AH139" s="366"/>
      <c r="AI139" s="366"/>
      <c r="AJ139" s="366"/>
      <c r="AK139" s="366"/>
      <c r="AL139" s="366"/>
      <c r="AM139" s="607"/>
      <c r="AN139" s="366"/>
      <c r="AO139" s="366"/>
      <c r="AP139" s="366"/>
      <c r="AQ139" s="366"/>
      <c r="AR139" s="619"/>
      <c r="AS139" s="617"/>
    </row>
    <row r="140" spans="1:45" ht="15.75">
      <c r="A140" s="190"/>
      <c r="B140" s="366"/>
      <c r="C140" s="366"/>
      <c r="D140" s="596"/>
      <c r="E140" s="596"/>
      <c r="F140" s="366"/>
      <c r="G140" s="366"/>
      <c r="H140" s="366"/>
      <c r="I140" s="366"/>
      <c r="J140" s="366"/>
      <c r="K140" s="366"/>
      <c r="L140" s="366"/>
      <c r="M140" s="366"/>
      <c r="N140" s="366"/>
      <c r="O140" s="366"/>
      <c r="P140" s="611"/>
      <c r="Q140" s="614"/>
      <c r="R140" s="588"/>
      <c r="S140" s="188"/>
      <c r="T140" s="366"/>
      <c r="U140" s="366"/>
      <c r="V140" s="366"/>
      <c r="W140" s="366"/>
      <c r="X140" s="366"/>
      <c r="Y140" s="366"/>
      <c r="Z140" s="366"/>
      <c r="AA140" s="366"/>
      <c r="AB140" s="366"/>
      <c r="AC140" s="366"/>
      <c r="AD140" s="366"/>
      <c r="AE140" s="366"/>
      <c r="AF140" s="366"/>
      <c r="AG140" s="366"/>
      <c r="AH140" s="366"/>
      <c r="AI140" s="366"/>
      <c r="AJ140" s="366"/>
      <c r="AK140" s="366"/>
      <c r="AL140" s="366"/>
      <c r="AM140" s="607"/>
      <c r="AN140" s="366"/>
      <c r="AO140" s="366"/>
      <c r="AP140" s="366"/>
      <c r="AQ140" s="366"/>
      <c r="AR140" s="619"/>
      <c r="AS140" s="617"/>
    </row>
    <row r="141" spans="1:45" ht="15.75">
      <c r="A141" s="190"/>
      <c r="B141" s="366"/>
      <c r="C141" s="366"/>
      <c r="D141" s="596"/>
      <c r="E141" s="596"/>
      <c r="F141" s="366"/>
      <c r="G141" s="366"/>
      <c r="H141" s="366"/>
      <c r="I141" s="366"/>
      <c r="J141" s="366"/>
      <c r="K141" s="366"/>
      <c r="L141" s="366"/>
      <c r="M141" s="366"/>
      <c r="N141" s="366"/>
      <c r="O141" s="366"/>
      <c r="P141" s="611"/>
      <c r="Q141" s="614"/>
      <c r="R141" s="588"/>
      <c r="S141" s="188"/>
      <c r="T141" s="366"/>
      <c r="U141" s="366"/>
      <c r="V141" s="366"/>
      <c r="W141" s="366"/>
      <c r="X141" s="366"/>
      <c r="Y141" s="366"/>
      <c r="Z141" s="366"/>
      <c r="AA141" s="366"/>
      <c r="AB141" s="366"/>
      <c r="AC141" s="366"/>
      <c r="AD141" s="366"/>
      <c r="AE141" s="366"/>
      <c r="AF141" s="366"/>
      <c r="AG141" s="366"/>
      <c r="AH141" s="366"/>
      <c r="AI141" s="366"/>
      <c r="AJ141" s="366"/>
      <c r="AK141" s="366"/>
      <c r="AL141" s="366"/>
      <c r="AM141" s="607"/>
      <c r="AN141" s="366"/>
      <c r="AO141" s="366"/>
      <c r="AP141" s="366"/>
      <c r="AQ141" s="366"/>
      <c r="AR141" s="619"/>
      <c r="AS141" s="617"/>
    </row>
    <row r="142" spans="1:45" ht="15.75">
      <c r="A142" s="190"/>
      <c r="B142" s="366"/>
      <c r="C142" s="366"/>
      <c r="D142" s="596"/>
      <c r="E142" s="596"/>
      <c r="F142" s="366"/>
      <c r="G142" s="366"/>
      <c r="H142" s="366"/>
      <c r="I142" s="366"/>
      <c r="J142" s="366"/>
      <c r="K142" s="366"/>
      <c r="L142" s="366"/>
      <c r="M142" s="366"/>
      <c r="N142" s="366"/>
      <c r="O142" s="366"/>
      <c r="P142" s="611"/>
      <c r="Q142" s="614"/>
      <c r="R142" s="588"/>
      <c r="S142" s="188"/>
      <c r="T142" s="366"/>
      <c r="U142" s="366"/>
      <c r="V142" s="366"/>
      <c r="W142" s="366"/>
      <c r="X142" s="366"/>
      <c r="Y142" s="366"/>
      <c r="Z142" s="366"/>
      <c r="AA142" s="366"/>
      <c r="AB142" s="366"/>
      <c r="AC142" s="366"/>
      <c r="AD142" s="366"/>
      <c r="AE142" s="366"/>
      <c r="AF142" s="366"/>
      <c r="AG142" s="366"/>
      <c r="AH142" s="366"/>
      <c r="AI142" s="366"/>
      <c r="AJ142" s="366"/>
      <c r="AK142" s="366"/>
      <c r="AL142" s="366"/>
      <c r="AM142" s="607"/>
      <c r="AN142" s="366"/>
      <c r="AO142" s="366"/>
      <c r="AP142" s="366"/>
      <c r="AQ142" s="366"/>
      <c r="AR142" s="619"/>
      <c r="AS142" s="617"/>
    </row>
    <row r="143" spans="1:45" ht="15.75">
      <c r="A143" s="190"/>
      <c r="B143" s="366"/>
      <c r="C143" s="366"/>
      <c r="D143" s="596"/>
      <c r="E143" s="596"/>
      <c r="F143" s="366"/>
      <c r="G143" s="366"/>
      <c r="H143" s="366"/>
      <c r="I143" s="366"/>
      <c r="J143" s="366"/>
      <c r="K143" s="366"/>
      <c r="L143" s="366"/>
      <c r="M143" s="366"/>
      <c r="N143" s="366"/>
      <c r="O143" s="366"/>
      <c r="P143" s="611"/>
      <c r="Q143" s="614"/>
      <c r="R143" s="588"/>
      <c r="S143" s="188"/>
      <c r="T143" s="366"/>
      <c r="U143" s="366"/>
      <c r="V143" s="366"/>
      <c r="W143" s="366"/>
      <c r="X143" s="366"/>
      <c r="Y143" s="366"/>
      <c r="Z143" s="366"/>
      <c r="AA143" s="366"/>
      <c r="AB143" s="366"/>
      <c r="AC143" s="366"/>
      <c r="AD143" s="366"/>
      <c r="AE143" s="366"/>
      <c r="AF143" s="366"/>
      <c r="AG143" s="366"/>
      <c r="AH143" s="366"/>
      <c r="AI143" s="366"/>
      <c r="AJ143" s="366"/>
      <c r="AK143" s="366"/>
      <c r="AL143" s="366"/>
      <c r="AM143" s="607"/>
      <c r="AN143" s="366"/>
      <c r="AO143" s="366"/>
      <c r="AP143" s="366"/>
      <c r="AQ143" s="366"/>
      <c r="AR143" s="619"/>
      <c r="AS143" s="617"/>
    </row>
    <row r="144" spans="1:45" ht="15.75">
      <c r="A144" s="190"/>
      <c r="B144" s="366"/>
      <c r="C144" s="366"/>
      <c r="D144" s="596"/>
      <c r="E144" s="596"/>
      <c r="F144" s="366"/>
      <c r="G144" s="366"/>
      <c r="H144" s="366"/>
      <c r="I144" s="366"/>
      <c r="J144" s="366"/>
      <c r="K144" s="366"/>
      <c r="L144" s="366"/>
      <c r="M144" s="366"/>
      <c r="N144" s="366"/>
      <c r="O144" s="366"/>
      <c r="P144" s="611"/>
      <c r="Q144" s="614"/>
      <c r="R144" s="588"/>
      <c r="S144" s="188"/>
      <c r="T144" s="366"/>
      <c r="U144" s="366"/>
      <c r="V144" s="366"/>
      <c r="W144" s="366"/>
      <c r="X144" s="366"/>
      <c r="Y144" s="366"/>
      <c r="Z144" s="366"/>
      <c r="AA144" s="366"/>
      <c r="AB144" s="366"/>
      <c r="AC144" s="366"/>
      <c r="AD144" s="366"/>
      <c r="AE144" s="366"/>
      <c r="AF144" s="366"/>
      <c r="AG144" s="366"/>
      <c r="AH144" s="366"/>
      <c r="AI144" s="366"/>
      <c r="AJ144" s="366"/>
      <c r="AK144" s="366"/>
      <c r="AL144" s="366"/>
      <c r="AM144" s="607"/>
      <c r="AN144" s="366"/>
      <c r="AO144" s="366"/>
      <c r="AP144" s="366"/>
      <c r="AQ144" s="366"/>
      <c r="AR144" s="619"/>
      <c r="AS144" s="617"/>
    </row>
    <row r="145" spans="1:45" ht="15.75">
      <c r="A145" s="190"/>
      <c r="B145" s="366"/>
      <c r="C145" s="366"/>
      <c r="D145" s="596"/>
      <c r="E145" s="596"/>
      <c r="F145" s="366"/>
      <c r="G145" s="366"/>
      <c r="H145" s="366"/>
      <c r="I145" s="366"/>
      <c r="J145" s="366"/>
      <c r="K145" s="366"/>
      <c r="L145" s="366"/>
      <c r="M145" s="366"/>
      <c r="N145" s="366"/>
      <c r="O145" s="366"/>
      <c r="P145" s="611"/>
      <c r="Q145" s="614"/>
      <c r="R145" s="588"/>
      <c r="S145" s="188"/>
      <c r="T145" s="366"/>
      <c r="U145" s="366"/>
      <c r="V145" s="366"/>
      <c r="W145" s="366"/>
      <c r="X145" s="366"/>
      <c r="Y145" s="366"/>
      <c r="Z145" s="366"/>
      <c r="AA145" s="366"/>
      <c r="AB145" s="366"/>
      <c r="AC145" s="366"/>
      <c r="AD145" s="366"/>
      <c r="AE145" s="366"/>
      <c r="AF145" s="366"/>
      <c r="AG145" s="366"/>
      <c r="AH145" s="366"/>
      <c r="AI145" s="366"/>
      <c r="AJ145" s="366"/>
      <c r="AK145" s="366"/>
      <c r="AL145" s="366"/>
      <c r="AM145" s="607"/>
      <c r="AN145" s="366"/>
      <c r="AO145" s="366"/>
      <c r="AP145" s="366"/>
      <c r="AQ145" s="366"/>
      <c r="AR145" s="619"/>
      <c r="AS145" s="617"/>
    </row>
    <row r="146" spans="1:45" ht="15.75">
      <c r="A146" s="190"/>
      <c r="B146" s="366"/>
      <c r="C146" s="366"/>
      <c r="D146" s="596"/>
      <c r="E146" s="596"/>
      <c r="F146" s="366"/>
      <c r="G146" s="366"/>
      <c r="H146" s="366"/>
      <c r="I146" s="366"/>
      <c r="J146" s="366"/>
      <c r="K146" s="366"/>
      <c r="L146" s="366"/>
      <c r="M146" s="366"/>
      <c r="N146" s="366"/>
      <c r="O146" s="366"/>
      <c r="P146" s="611"/>
      <c r="Q146" s="614"/>
      <c r="R146" s="588"/>
      <c r="S146" s="188"/>
      <c r="T146" s="366"/>
      <c r="U146" s="366"/>
      <c r="V146" s="366"/>
      <c r="W146" s="366"/>
      <c r="X146" s="366"/>
      <c r="Y146" s="366"/>
      <c r="Z146" s="366"/>
      <c r="AA146" s="366"/>
      <c r="AB146" s="366"/>
      <c r="AC146" s="366"/>
      <c r="AD146" s="366"/>
      <c r="AE146" s="366"/>
      <c r="AF146" s="366"/>
      <c r="AG146" s="366"/>
      <c r="AH146" s="366"/>
      <c r="AI146" s="366"/>
      <c r="AJ146" s="366"/>
      <c r="AK146" s="366"/>
      <c r="AL146" s="366"/>
      <c r="AM146" s="607"/>
      <c r="AN146" s="366"/>
      <c r="AO146" s="366"/>
      <c r="AP146" s="366"/>
      <c r="AQ146" s="366"/>
      <c r="AR146" s="619"/>
      <c r="AS146" s="617"/>
    </row>
    <row r="147" spans="1:45" ht="15.75">
      <c r="A147" s="190"/>
      <c r="B147" s="366"/>
      <c r="C147" s="366"/>
      <c r="D147" s="596"/>
      <c r="E147" s="596"/>
      <c r="F147" s="366"/>
      <c r="G147" s="366"/>
      <c r="H147" s="366"/>
      <c r="I147" s="366"/>
      <c r="J147" s="366"/>
      <c r="K147" s="366"/>
      <c r="L147" s="366"/>
      <c r="M147" s="366"/>
      <c r="N147" s="366"/>
      <c r="O147" s="366"/>
      <c r="P147" s="611"/>
      <c r="Q147" s="614"/>
      <c r="R147" s="588"/>
      <c r="S147" s="188"/>
      <c r="T147" s="366"/>
      <c r="U147" s="366"/>
      <c r="V147" s="366"/>
      <c r="W147" s="366"/>
      <c r="X147" s="366"/>
      <c r="Y147" s="366"/>
      <c r="Z147" s="366"/>
      <c r="AA147" s="366"/>
      <c r="AB147" s="366"/>
      <c r="AC147" s="366"/>
      <c r="AD147" s="366"/>
      <c r="AE147" s="366"/>
      <c r="AF147" s="366"/>
      <c r="AG147" s="366"/>
      <c r="AH147" s="366"/>
      <c r="AI147" s="366"/>
      <c r="AJ147" s="366"/>
      <c r="AK147" s="366"/>
      <c r="AL147" s="366"/>
      <c r="AM147" s="607"/>
      <c r="AN147" s="366"/>
      <c r="AO147" s="366"/>
      <c r="AP147" s="366"/>
      <c r="AQ147" s="366"/>
      <c r="AR147" s="619"/>
      <c r="AS147" s="617"/>
    </row>
    <row r="148" spans="1:45" ht="15.75">
      <c r="A148" s="190"/>
      <c r="B148" s="366"/>
      <c r="C148" s="366"/>
      <c r="D148" s="596"/>
      <c r="E148" s="596"/>
      <c r="F148" s="366"/>
      <c r="G148" s="366"/>
      <c r="H148" s="366"/>
      <c r="I148" s="366"/>
      <c r="J148" s="366"/>
      <c r="K148" s="366"/>
      <c r="L148" s="366"/>
      <c r="M148" s="366"/>
      <c r="N148" s="366"/>
      <c r="O148" s="366"/>
      <c r="P148" s="611"/>
      <c r="Q148" s="614"/>
      <c r="R148" s="588"/>
      <c r="S148" s="188"/>
      <c r="T148" s="366"/>
      <c r="U148" s="366"/>
      <c r="V148" s="366"/>
      <c r="W148" s="366"/>
      <c r="X148" s="366"/>
      <c r="Y148" s="366"/>
      <c r="Z148" s="366"/>
      <c r="AA148" s="366"/>
      <c r="AB148" s="366"/>
      <c r="AC148" s="366"/>
      <c r="AD148" s="366"/>
      <c r="AE148" s="366"/>
      <c r="AF148" s="366"/>
      <c r="AG148" s="366"/>
      <c r="AH148" s="366"/>
      <c r="AI148" s="366"/>
      <c r="AJ148" s="366"/>
      <c r="AK148" s="366"/>
      <c r="AL148" s="366"/>
      <c r="AM148" s="607"/>
      <c r="AN148" s="366"/>
      <c r="AO148" s="366"/>
      <c r="AP148" s="366"/>
      <c r="AQ148" s="366"/>
      <c r="AR148" s="619"/>
      <c r="AS148" s="617"/>
    </row>
    <row r="149" spans="1:45" ht="15.75">
      <c r="A149" s="190"/>
      <c r="B149" s="366"/>
      <c r="C149" s="366"/>
      <c r="D149" s="596"/>
      <c r="E149" s="596"/>
      <c r="F149" s="366"/>
      <c r="G149" s="366"/>
      <c r="H149" s="366"/>
      <c r="I149" s="366"/>
      <c r="J149" s="366"/>
      <c r="K149" s="366"/>
      <c r="L149" s="366"/>
      <c r="M149" s="366"/>
      <c r="N149" s="366"/>
      <c r="O149" s="366"/>
      <c r="P149" s="611"/>
      <c r="Q149" s="614"/>
      <c r="R149" s="588"/>
      <c r="S149" s="188"/>
      <c r="T149" s="366"/>
      <c r="U149" s="366"/>
      <c r="V149" s="366"/>
      <c r="W149" s="366"/>
      <c r="X149" s="366"/>
      <c r="Y149" s="366"/>
      <c r="Z149" s="366"/>
      <c r="AA149" s="366"/>
      <c r="AB149" s="366"/>
      <c r="AC149" s="366"/>
      <c r="AD149" s="366"/>
      <c r="AE149" s="366"/>
      <c r="AF149" s="366"/>
      <c r="AG149" s="366"/>
      <c r="AH149" s="366"/>
      <c r="AI149" s="366"/>
      <c r="AJ149" s="366"/>
      <c r="AK149" s="366"/>
      <c r="AL149" s="366"/>
      <c r="AM149" s="607"/>
      <c r="AN149" s="366"/>
      <c r="AO149" s="366"/>
      <c r="AP149" s="366"/>
      <c r="AQ149" s="366"/>
      <c r="AR149" s="619"/>
      <c r="AS149" s="617"/>
    </row>
    <row r="150" spans="1:45" ht="15.75">
      <c r="A150" s="190"/>
      <c r="B150" s="366"/>
      <c r="C150" s="366"/>
      <c r="D150" s="596"/>
      <c r="E150" s="596"/>
      <c r="F150" s="366"/>
      <c r="G150" s="366"/>
      <c r="H150" s="366"/>
      <c r="I150" s="366"/>
      <c r="J150" s="366"/>
      <c r="K150" s="366"/>
      <c r="L150" s="366"/>
      <c r="M150" s="366"/>
      <c r="N150" s="366"/>
      <c r="O150" s="366"/>
      <c r="P150" s="611"/>
      <c r="Q150" s="614"/>
      <c r="R150" s="588"/>
      <c r="S150" s="188"/>
      <c r="T150" s="366"/>
      <c r="U150" s="366"/>
      <c r="V150" s="366"/>
      <c r="W150" s="366"/>
      <c r="X150" s="366"/>
      <c r="Y150" s="366"/>
      <c r="Z150" s="366"/>
      <c r="AA150" s="366"/>
      <c r="AB150" s="366"/>
      <c r="AC150" s="366"/>
      <c r="AD150" s="366"/>
      <c r="AE150" s="366"/>
      <c r="AF150" s="366"/>
      <c r="AG150" s="366"/>
      <c r="AH150" s="366"/>
      <c r="AI150" s="366"/>
      <c r="AJ150" s="366"/>
      <c r="AK150" s="366"/>
      <c r="AL150" s="366"/>
      <c r="AM150" s="607"/>
      <c r="AN150" s="366"/>
      <c r="AO150" s="366"/>
      <c r="AP150" s="366"/>
      <c r="AQ150" s="366"/>
      <c r="AR150" s="619"/>
      <c r="AS150" s="617"/>
    </row>
    <row r="151" spans="1:45" ht="15.75">
      <c r="A151" s="190"/>
      <c r="B151" s="366"/>
      <c r="C151" s="366"/>
      <c r="D151" s="596"/>
      <c r="E151" s="596"/>
      <c r="F151" s="366"/>
      <c r="G151" s="366"/>
      <c r="H151" s="366"/>
      <c r="I151" s="366"/>
      <c r="J151" s="366"/>
      <c r="K151" s="366"/>
      <c r="L151" s="366"/>
      <c r="M151" s="366"/>
      <c r="N151" s="366"/>
      <c r="O151" s="366"/>
      <c r="P151" s="611"/>
      <c r="Q151" s="614"/>
      <c r="R151" s="588"/>
      <c r="S151" s="188"/>
      <c r="T151" s="366"/>
      <c r="U151" s="366"/>
      <c r="V151" s="366"/>
      <c r="W151" s="366"/>
      <c r="X151" s="366"/>
      <c r="Y151" s="366"/>
      <c r="Z151" s="366"/>
      <c r="AA151" s="366"/>
      <c r="AB151" s="366"/>
      <c r="AC151" s="366"/>
      <c r="AD151" s="366"/>
      <c r="AE151" s="366"/>
      <c r="AF151" s="366"/>
      <c r="AG151" s="366"/>
      <c r="AH151" s="366"/>
      <c r="AI151" s="366"/>
      <c r="AJ151" s="366"/>
      <c r="AK151" s="366"/>
      <c r="AL151" s="366"/>
      <c r="AM151" s="607"/>
      <c r="AN151" s="366"/>
      <c r="AO151" s="366"/>
      <c r="AP151" s="366"/>
      <c r="AQ151" s="366"/>
      <c r="AR151" s="619"/>
      <c r="AS151" s="617"/>
    </row>
    <row r="152" spans="1:45" ht="15.75">
      <c r="A152" s="190"/>
      <c r="B152" s="366"/>
      <c r="C152" s="366"/>
      <c r="D152" s="596"/>
      <c r="E152" s="596"/>
      <c r="F152" s="366"/>
      <c r="G152" s="366"/>
      <c r="H152" s="366"/>
      <c r="I152" s="366"/>
      <c r="J152" s="366"/>
      <c r="K152" s="366"/>
      <c r="L152" s="366"/>
      <c r="M152" s="366"/>
      <c r="N152" s="366"/>
      <c r="O152" s="366"/>
      <c r="P152" s="611"/>
      <c r="Q152" s="614"/>
      <c r="R152" s="588"/>
      <c r="S152" s="188"/>
      <c r="T152" s="366"/>
      <c r="U152" s="366"/>
      <c r="V152" s="366"/>
      <c r="W152" s="366"/>
      <c r="X152" s="366"/>
      <c r="Y152" s="366"/>
      <c r="Z152" s="366"/>
      <c r="AA152" s="366"/>
      <c r="AB152" s="366"/>
      <c r="AC152" s="366"/>
      <c r="AD152" s="366"/>
      <c r="AE152" s="366"/>
      <c r="AF152" s="366"/>
      <c r="AG152" s="366"/>
      <c r="AH152" s="366"/>
      <c r="AI152" s="366"/>
      <c r="AJ152" s="366"/>
      <c r="AK152" s="366"/>
      <c r="AL152" s="366"/>
      <c r="AM152" s="607"/>
      <c r="AN152" s="366"/>
      <c r="AO152" s="366"/>
      <c r="AP152" s="366"/>
      <c r="AQ152" s="366"/>
      <c r="AR152" s="619"/>
      <c r="AS152" s="617"/>
    </row>
    <row r="153" spans="1:45" ht="15.75">
      <c r="A153" s="190"/>
      <c r="B153" s="366"/>
      <c r="C153" s="366"/>
      <c r="D153" s="596"/>
      <c r="E153" s="596"/>
      <c r="F153" s="366"/>
      <c r="G153" s="366"/>
      <c r="H153" s="366"/>
      <c r="I153" s="366"/>
      <c r="J153" s="366"/>
      <c r="K153" s="366"/>
      <c r="L153" s="366"/>
      <c r="M153" s="366"/>
      <c r="N153" s="366"/>
      <c r="O153" s="366"/>
      <c r="P153" s="611"/>
      <c r="Q153" s="614"/>
      <c r="R153" s="588"/>
      <c r="S153" s="188"/>
      <c r="T153" s="366"/>
      <c r="U153" s="366"/>
      <c r="V153" s="366"/>
      <c r="W153" s="366"/>
      <c r="X153" s="366"/>
      <c r="Y153" s="366"/>
      <c r="Z153" s="366"/>
      <c r="AA153" s="366"/>
      <c r="AB153" s="366"/>
      <c r="AC153" s="366"/>
      <c r="AD153" s="366"/>
      <c r="AE153" s="366"/>
      <c r="AF153" s="366"/>
      <c r="AG153" s="366"/>
      <c r="AH153" s="366"/>
      <c r="AI153" s="366"/>
      <c r="AJ153" s="366"/>
      <c r="AK153" s="366"/>
      <c r="AL153" s="366"/>
      <c r="AM153" s="607"/>
      <c r="AN153" s="366"/>
      <c r="AO153" s="366"/>
      <c r="AP153" s="366"/>
      <c r="AQ153" s="366"/>
      <c r="AR153" s="619"/>
      <c r="AS153" s="617"/>
    </row>
    <row r="154" spans="1:45" ht="15.75">
      <c r="A154" s="190"/>
      <c r="B154" s="366"/>
      <c r="C154" s="366"/>
      <c r="D154" s="596"/>
      <c r="E154" s="596"/>
      <c r="F154" s="366"/>
      <c r="G154" s="366"/>
      <c r="H154" s="366"/>
      <c r="I154" s="366"/>
      <c r="J154" s="366"/>
      <c r="K154" s="366"/>
      <c r="L154" s="366"/>
      <c r="M154" s="366"/>
      <c r="N154" s="366"/>
      <c r="O154" s="366"/>
      <c r="P154" s="611"/>
      <c r="Q154" s="614"/>
      <c r="R154" s="588"/>
      <c r="S154" s="188"/>
      <c r="T154" s="366"/>
      <c r="U154" s="366"/>
      <c r="V154" s="366"/>
      <c r="W154" s="366"/>
      <c r="X154" s="366"/>
      <c r="Y154" s="366"/>
      <c r="Z154" s="366"/>
      <c r="AA154" s="366"/>
      <c r="AB154" s="366"/>
      <c r="AC154" s="366"/>
      <c r="AD154" s="366"/>
      <c r="AE154" s="366"/>
      <c r="AF154" s="366"/>
      <c r="AG154" s="366"/>
      <c r="AH154" s="366"/>
      <c r="AI154" s="366"/>
      <c r="AJ154" s="366"/>
      <c r="AK154" s="366"/>
      <c r="AL154" s="366"/>
      <c r="AM154" s="607"/>
      <c r="AN154" s="366"/>
      <c r="AO154" s="366"/>
      <c r="AP154" s="366"/>
      <c r="AQ154" s="366"/>
      <c r="AR154" s="619"/>
      <c r="AS154" s="617"/>
    </row>
    <row r="155" spans="1:45" ht="15.75">
      <c r="A155" s="190"/>
      <c r="B155" s="366"/>
      <c r="C155" s="366"/>
      <c r="D155" s="596"/>
      <c r="E155" s="596"/>
      <c r="F155" s="366"/>
      <c r="G155" s="366"/>
      <c r="H155" s="366"/>
      <c r="I155" s="366"/>
      <c r="J155" s="366"/>
      <c r="K155" s="366"/>
      <c r="L155" s="366"/>
      <c r="M155" s="366"/>
      <c r="N155" s="366"/>
      <c r="O155" s="366"/>
      <c r="P155" s="611"/>
      <c r="Q155" s="614"/>
      <c r="R155" s="588"/>
      <c r="S155" s="188"/>
      <c r="T155" s="366"/>
      <c r="U155" s="366"/>
      <c r="V155" s="366"/>
      <c r="W155" s="366"/>
      <c r="X155" s="366"/>
      <c r="Y155" s="366"/>
      <c r="Z155" s="366"/>
      <c r="AA155" s="366"/>
      <c r="AB155" s="366"/>
      <c r="AC155" s="366"/>
      <c r="AD155" s="366"/>
      <c r="AE155" s="366"/>
      <c r="AF155" s="366"/>
      <c r="AG155" s="366"/>
      <c r="AH155" s="366"/>
      <c r="AI155" s="366"/>
      <c r="AJ155" s="366"/>
      <c r="AK155" s="366"/>
      <c r="AL155" s="366"/>
      <c r="AM155" s="607"/>
      <c r="AN155" s="366"/>
      <c r="AO155" s="366"/>
      <c r="AP155" s="366"/>
      <c r="AQ155" s="366"/>
      <c r="AR155" s="619"/>
      <c r="AS155" s="617"/>
    </row>
    <row r="156" spans="1:45" ht="15.75">
      <c r="A156" s="190"/>
      <c r="B156" s="366"/>
      <c r="C156" s="366"/>
      <c r="D156" s="596"/>
      <c r="E156" s="596"/>
      <c r="F156" s="366"/>
      <c r="G156" s="366"/>
      <c r="H156" s="366"/>
      <c r="I156" s="366"/>
      <c r="J156" s="366"/>
      <c r="K156" s="366"/>
      <c r="L156" s="366"/>
      <c r="M156" s="366"/>
      <c r="N156" s="366"/>
      <c r="O156" s="366"/>
      <c r="P156" s="611"/>
      <c r="Q156" s="614"/>
      <c r="R156" s="588"/>
      <c r="S156" s="188"/>
      <c r="T156" s="366"/>
      <c r="U156" s="366"/>
      <c r="V156" s="366"/>
      <c r="W156" s="366"/>
      <c r="X156" s="366"/>
      <c r="Y156" s="366"/>
      <c r="Z156" s="366"/>
      <c r="AA156" s="366"/>
      <c r="AB156" s="366"/>
      <c r="AC156" s="366"/>
      <c r="AD156" s="366"/>
      <c r="AE156" s="366"/>
      <c r="AF156" s="366"/>
      <c r="AG156" s="366"/>
      <c r="AH156" s="366"/>
      <c r="AI156" s="366"/>
      <c r="AJ156" s="366"/>
      <c r="AK156" s="366"/>
      <c r="AL156" s="366"/>
      <c r="AM156" s="607"/>
      <c r="AN156" s="366"/>
      <c r="AO156" s="366"/>
      <c r="AP156" s="366"/>
      <c r="AQ156" s="366"/>
      <c r="AR156" s="619"/>
      <c r="AS156" s="617"/>
    </row>
    <row r="157" spans="1:45" ht="15.75">
      <c r="A157" s="190"/>
      <c r="B157" s="366"/>
      <c r="C157" s="366"/>
      <c r="D157" s="596"/>
      <c r="E157" s="596"/>
      <c r="F157" s="366"/>
      <c r="G157" s="366"/>
      <c r="H157" s="366"/>
      <c r="I157" s="366"/>
      <c r="J157" s="366"/>
      <c r="K157" s="366"/>
      <c r="L157" s="366"/>
      <c r="M157" s="366"/>
      <c r="N157" s="366"/>
      <c r="O157" s="366"/>
      <c r="P157" s="611"/>
      <c r="Q157" s="614"/>
      <c r="R157" s="588"/>
      <c r="S157" s="188"/>
      <c r="T157" s="366"/>
      <c r="U157" s="366"/>
      <c r="V157" s="366"/>
      <c r="W157" s="366"/>
      <c r="X157" s="366"/>
      <c r="Y157" s="366"/>
      <c r="Z157" s="366"/>
      <c r="AA157" s="366"/>
      <c r="AB157" s="366"/>
      <c r="AC157" s="366"/>
      <c r="AD157" s="366"/>
      <c r="AE157" s="366"/>
      <c r="AF157" s="366"/>
      <c r="AG157" s="366"/>
      <c r="AH157" s="366"/>
      <c r="AI157" s="366"/>
      <c r="AJ157" s="366"/>
      <c r="AK157" s="366"/>
      <c r="AL157" s="366"/>
      <c r="AM157" s="607"/>
      <c r="AN157" s="366"/>
      <c r="AO157" s="366"/>
      <c r="AP157" s="366"/>
      <c r="AQ157" s="366"/>
      <c r="AR157" s="619"/>
      <c r="AS157" s="617"/>
    </row>
    <row r="158" spans="1:45" ht="15.75">
      <c r="A158" s="190"/>
      <c r="B158" s="366"/>
      <c r="C158" s="366"/>
      <c r="D158" s="596"/>
      <c r="E158" s="596"/>
      <c r="F158" s="366"/>
      <c r="G158" s="366"/>
      <c r="H158" s="366"/>
      <c r="I158" s="366"/>
      <c r="J158" s="366"/>
      <c r="K158" s="366"/>
      <c r="L158" s="366"/>
      <c r="M158" s="366"/>
      <c r="N158" s="366"/>
      <c r="O158" s="366"/>
      <c r="P158" s="611"/>
      <c r="Q158" s="614"/>
      <c r="R158" s="588"/>
      <c r="S158" s="188"/>
      <c r="T158" s="366"/>
      <c r="U158" s="366"/>
      <c r="V158" s="366"/>
      <c r="W158" s="366"/>
      <c r="X158" s="366"/>
      <c r="Y158" s="366"/>
      <c r="Z158" s="366"/>
      <c r="AA158" s="366"/>
      <c r="AB158" s="366"/>
      <c r="AC158" s="366"/>
      <c r="AD158" s="366"/>
      <c r="AE158" s="366"/>
      <c r="AF158" s="366"/>
      <c r="AG158" s="366"/>
      <c r="AH158" s="366"/>
      <c r="AI158" s="366"/>
      <c r="AJ158" s="366"/>
      <c r="AK158" s="366"/>
      <c r="AL158" s="366"/>
      <c r="AM158" s="607"/>
      <c r="AN158" s="366"/>
      <c r="AO158" s="366"/>
      <c r="AP158" s="366"/>
      <c r="AQ158" s="366"/>
      <c r="AR158" s="619"/>
      <c r="AS158" s="617"/>
    </row>
    <row r="159" spans="1:45" ht="15.75">
      <c r="A159" s="190"/>
      <c r="B159" s="366"/>
      <c r="C159" s="366"/>
      <c r="D159" s="596"/>
      <c r="E159" s="596"/>
      <c r="F159" s="366"/>
      <c r="G159" s="366"/>
      <c r="H159" s="366"/>
      <c r="I159" s="366"/>
      <c r="J159" s="366"/>
      <c r="K159" s="366"/>
      <c r="L159" s="366"/>
      <c r="M159" s="366"/>
      <c r="N159" s="366"/>
      <c r="O159" s="366"/>
      <c r="P159" s="611"/>
      <c r="Q159" s="614"/>
      <c r="R159" s="588"/>
      <c r="S159" s="188"/>
      <c r="T159" s="366"/>
      <c r="U159" s="366"/>
      <c r="V159" s="366"/>
      <c r="W159" s="366"/>
      <c r="X159" s="366"/>
      <c r="Y159" s="366"/>
      <c r="Z159" s="366"/>
      <c r="AA159" s="366"/>
      <c r="AB159" s="366"/>
      <c r="AC159" s="366"/>
      <c r="AD159" s="366"/>
      <c r="AE159" s="366"/>
      <c r="AF159" s="366"/>
      <c r="AG159" s="366"/>
      <c r="AH159" s="366"/>
      <c r="AI159" s="366"/>
      <c r="AJ159" s="366"/>
      <c r="AK159" s="366"/>
      <c r="AL159" s="366"/>
      <c r="AM159" s="607"/>
      <c r="AN159" s="366"/>
      <c r="AO159" s="366"/>
      <c r="AP159" s="366"/>
      <c r="AQ159" s="366"/>
      <c r="AR159" s="619"/>
      <c r="AS159" s="617"/>
    </row>
    <row r="160" spans="1:45" ht="15.75">
      <c r="A160" s="190"/>
      <c r="B160" s="366"/>
      <c r="C160" s="366"/>
      <c r="D160" s="596"/>
      <c r="E160" s="596"/>
      <c r="F160" s="366"/>
      <c r="G160" s="366"/>
      <c r="H160" s="366"/>
      <c r="I160" s="366"/>
      <c r="J160" s="366"/>
      <c r="K160" s="366"/>
      <c r="L160" s="366"/>
      <c r="M160" s="366"/>
      <c r="N160" s="366"/>
      <c r="O160" s="366"/>
      <c r="P160" s="611"/>
      <c r="Q160" s="614"/>
      <c r="R160" s="588"/>
      <c r="S160" s="188"/>
      <c r="T160" s="366"/>
      <c r="U160" s="366"/>
      <c r="V160" s="366"/>
      <c r="W160" s="366"/>
      <c r="X160" s="366"/>
      <c r="Y160" s="366"/>
      <c r="Z160" s="366"/>
      <c r="AA160" s="366"/>
      <c r="AB160" s="366"/>
      <c r="AC160" s="366"/>
      <c r="AD160" s="366"/>
      <c r="AE160" s="366"/>
      <c r="AF160" s="366"/>
      <c r="AG160" s="366"/>
      <c r="AH160" s="366"/>
      <c r="AI160" s="366"/>
      <c r="AJ160" s="366"/>
      <c r="AK160" s="366"/>
      <c r="AL160" s="366"/>
      <c r="AM160" s="607"/>
      <c r="AN160" s="366"/>
      <c r="AO160" s="366"/>
      <c r="AP160" s="366"/>
      <c r="AQ160" s="366"/>
      <c r="AR160" s="619"/>
      <c r="AS160" s="617"/>
    </row>
    <row r="161" spans="1:45" ht="15.75">
      <c r="A161" s="190"/>
      <c r="B161" s="366"/>
      <c r="C161" s="366"/>
      <c r="D161" s="596"/>
      <c r="E161" s="596"/>
      <c r="F161" s="366"/>
      <c r="G161" s="366"/>
      <c r="H161" s="366"/>
      <c r="I161" s="366"/>
      <c r="J161" s="366"/>
      <c r="K161" s="366"/>
      <c r="L161" s="366"/>
      <c r="M161" s="366"/>
      <c r="N161" s="366"/>
      <c r="O161" s="366"/>
      <c r="P161" s="611"/>
      <c r="Q161" s="614"/>
      <c r="R161" s="588"/>
      <c r="S161" s="188"/>
      <c r="T161" s="366"/>
      <c r="U161" s="366"/>
      <c r="V161" s="366"/>
      <c r="W161" s="366"/>
      <c r="X161" s="366"/>
      <c r="Y161" s="366"/>
      <c r="Z161" s="366"/>
      <c r="AA161" s="366"/>
      <c r="AB161" s="366"/>
      <c r="AC161" s="366"/>
      <c r="AD161" s="366"/>
      <c r="AE161" s="366"/>
      <c r="AF161" s="366"/>
      <c r="AG161" s="366"/>
      <c r="AH161" s="366"/>
      <c r="AI161" s="366"/>
      <c r="AJ161" s="366"/>
      <c r="AK161" s="366"/>
      <c r="AL161" s="366"/>
      <c r="AM161" s="607"/>
      <c r="AN161" s="366"/>
      <c r="AO161" s="366"/>
      <c r="AP161" s="366"/>
      <c r="AQ161" s="366"/>
      <c r="AR161" s="619"/>
      <c r="AS161" s="617"/>
    </row>
    <row r="162" spans="1:45" ht="15.75">
      <c r="A162" s="190"/>
      <c r="B162" s="366"/>
      <c r="C162" s="366"/>
      <c r="D162" s="596"/>
      <c r="E162" s="596"/>
      <c r="F162" s="366"/>
      <c r="G162" s="366"/>
      <c r="H162" s="366"/>
      <c r="I162" s="366"/>
      <c r="J162" s="366"/>
      <c r="K162" s="366"/>
      <c r="L162" s="366"/>
      <c r="M162" s="366"/>
      <c r="N162" s="366"/>
      <c r="O162" s="366"/>
      <c r="P162" s="611"/>
      <c r="Q162" s="614"/>
      <c r="R162" s="588"/>
      <c r="S162" s="188"/>
      <c r="T162" s="366"/>
      <c r="U162" s="366"/>
      <c r="V162" s="366"/>
      <c r="W162" s="366"/>
      <c r="X162" s="366"/>
      <c r="Y162" s="366"/>
      <c r="Z162" s="366"/>
      <c r="AA162" s="366"/>
      <c r="AB162" s="366"/>
      <c r="AC162" s="366"/>
      <c r="AD162" s="366"/>
      <c r="AE162" s="366"/>
      <c r="AF162" s="366"/>
      <c r="AG162" s="366"/>
      <c r="AH162" s="366"/>
      <c r="AI162" s="366"/>
      <c r="AJ162" s="366"/>
      <c r="AK162" s="366"/>
      <c r="AL162" s="366"/>
      <c r="AM162" s="607"/>
      <c r="AN162" s="366"/>
      <c r="AO162" s="366"/>
      <c r="AP162" s="366"/>
      <c r="AQ162" s="366"/>
      <c r="AR162" s="619"/>
      <c r="AS162" s="617"/>
    </row>
    <row r="163" spans="1:45" ht="15.75">
      <c r="A163" s="190"/>
      <c r="B163" s="366"/>
      <c r="C163" s="366"/>
      <c r="D163" s="596"/>
      <c r="E163" s="596"/>
      <c r="F163" s="366"/>
      <c r="G163" s="366"/>
      <c r="H163" s="366"/>
      <c r="I163" s="366"/>
      <c r="J163" s="366"/>
      <c r="K163" s="366"/>
      <c r="L163" s="366"/>
      <c r="M163" s="366"/>
      <c r="N163" s="366"/>
      <c r="O163" s="366"/>
      <c r="P163" s="611"/>
      <c r="Q163" s="614"/>
      <c r="R163" s="588"/>
      <c r="S163" s="188"/>
      <c r="T163" s="366"/>
      <c r="U163" s="366"/>
      <c r="V163" s="366"/>
      <c r="W163" s="366"/>
      <c r="X163" s="366"/>
      <c r="Y163" s="366"/>
      <c r="Z163" s="366"/>
      <c r="AA163" s="366"/>
      <c r="AB163" s="366"/>
      <c r="AC163" s="366"/>
      <c r="AD163" s="366"/>
      <c r="AE163" s="366"/>
      <c r="AF163" s="366"/>
      <c r="AG163" s="366"/>
      <c r="AH163" s="366"/>
      <c r="AI163" s="366"/>
      <c r="AJ163" s="366"/>
      <c r="AK163" s="366"/>
      <c r="AL163" s="366"/>
      <c r="AM163" s="607"/>
      <c r="AN163" s="366"/>
      <c r="AO163" s="366"/>
      <c r="AP163" s="366"/>
      <c r="AQ163" s="366"/>
      <c r="AR163" s="619"/>
      <c r="AS163" s="617"/>
    </row>
    <row r="164" spans="1:45" ht="15.75">
      <c r="A164" s="190"/>
      <c r="B164" s="366"/>
      <c r="C164" s="366"/>
      <c r="D164" s="596"/>
      <c r="E164" s="596"/>
      <c r="F164" s="366"/>
      <c r="G164" s="366"/>
      <c r="H164" s="366"/>
      <c r="I164" s="366"/>
      <c r="J164" s="366"/>
      <c r="K164" s="366"/>
      <c r="L164" s="366"/>
      <c r="M164" s="366"/>
      <c r="N164" s="366"/>
      <c r="O164" s="366"/>
      <c r="P164" s="611"/>
      <c r="Q164" s="614"/>
      <c r="R164" s="588"/>
      <c r="S164" s="188"/>
      <c r="T164" s="366"/>
      <c r="U164" s="366"/>
      <c r="V164" s="366"/>
      <c r="W164" s="366"/>
      <c r="X164" s="366"/>
      <c r="Y164" s="366"/>
      <c r="Z164" s="366"/>
      <c r="AA164" s="366"/>
      <c r="AB164" s="366"/>
      <c r="AC164" s="366"/>
      <c r="AD164" s="366"/>
      <c r="AE164" s="366"/>
      <c r="AF164" s="366"/>
      <c r="AG164" s="366"/>
      <c r="AH164" s="366"/>
      <c r="AI164" s="366"/>
      <c r="AJ164" s="366"/>
      <c r="AK164" s="366"/>
      <c r="AL164" s="366"/>
      <c r="AM164" s="607"/>
      <c r="AN164" s="366"/>
      <c r="AO164" s="366"/>
      <c r="AP164" s="366"/>
      <c r="AQ164" s="366"/>
      <c r="AR164" s="619"/>
      <c r="AS164" s="617"/>
    </row>
    <row r="165" spans="1:45" ht="15.75">
      <c r="A165" s="190"/>
      <c r="B165" s="366"/>
      <c r="C165" s="366"/>
      <c r="D165" s="596"/>
      <c r="E165" s="596"/>
      <c r="F165" s="366"/>
      <c r="G165" s="366"/>
      <c r="H165" s="366"/>
      <c r="I165" s="366"/>
      <c r="J165" s="366"/>
      <c r="K165" s="366"/>
      <c r="L165" s="366"/>
      <c r="M165" s="366"/>
      <c r="N165" s="366"/>
      <c r="O165" s="366"/>
      <c r="P165" s="611"/>
      <c r="Q165" s="614"/>
      <c r="R165" s="588"/>
      <c r="S165" s="188"/>
      <c r="T165" s="366"/>
      <c r="U165" s="366"/>
      <c r="V165" s="366"/>
      <c r="W165" s="366"/>
      <c r="X165" s="366"/>
      <c r="Y165" s="366"/>
      <c r="Z165" s="366"/>
      <c r="AA165" s="366"/>
      <c r="AB165" s="366"/>
      <c r="AC165" s="366"/>
      <c r="AD165" s="366"/>
      <c r="AE165" s="366"/>
      <c r="AF165" s="366"/>
      <c r="AG165" s="366"/>
      <c r="AH165" s="366"/>
      <c r="AI165" s="366"/>
      <c r="AJ165" s="366"/>
      <c r="AK165" s="366"/>
      <c r="AL165" s="366"/>
      <c r="AM165" s="607"/>
      <c r="AN165" s="366"/>
      <c r="AO165" s="366"/>
      <c r="AP165" s="366"/>
      <c r="AQ165" s="366"/>
      <c r="AR165" s="619"/>
      <c r="AS165" s="617"/>
    </row>
    <row r="166" spans="1:45" ht="15.75">
      <c r="A166" s="190"/>
      <c r="B166" s="366"/>
      <c r="C166" s="366"/>
      <c r="D166" s="596"/>
      <c r="E166" s="596"/>
      <c r="F166" s="366"/>
      <c r="G166" s="366"/>
      <c r="H166" s="366"/>
      <c r="I166" s="366"/>
      <c r="J166" s="366"/>
      <c r="K166" s="366"/>
      <c r="L166" s="366"/>
      <c r="M166" s="366"/>
      <c r="N166" s="366"/>
      <c r="O166" s="366"/>
      <c r="P166" s="611"/>
      <c r="Q166" s="614"/>
      <c r="R166" s="588"/>
      <c r="S166" s="188"/>
      <c r="T166" s="366"/>
      <c r="U166" s="366"/>
      <c r="V166" s="366"/>
      <c r="W166" s="366"/>
      <c r="X166" s="366"/>
      <c r="Y166" s="366"/>
      <c r="Z166" s="366"/>
      <c r="AA166" s="366"/>
      <c r="AB166" s="366"/>
      <c r="AC166" s="366"/>
      <c r="AD166" s="366"/>
      <c r="AE166" s="366"/>
      <c r="AF166" s="366"/>
      <c r="AG166" s="366"/>
      <c r="AH166" s="366"/>
      <c r="AI166" s="366"/>
      <c r="AJ166" s="366"/>
      <c r="AK166" s="366"/>
      <c r="AL166" s="366"/>
      <c r="AM166" s="607"/>
      <c r="AN166" s="366"/>
      <c r="AO166" s="366"/>
      <c r="AP166" s="366"/>
      <c r="AQ166" s="366"/>
      <c r="AR166" s="619"/>
      <c r="AS166" s="617"/>
    </row>
    <row r="167" spans="1:45" ht="15.75">
      <c r="A167" s="190"/>
      <c r="B167" s="366"/>
      <c r="C167" s="366"/>
      <c r="D167" s="596"/>
      <c r="E167" s="596"/>
      <c r="F167" s="366"/>
      <c r="G167" s="366"/>
      <c r="H167" s="366"/>
      <c r="I167" s="366"/>
      <c r="J167" s="366"/>
      <c r="K167" s="366"/>
      <c r="L167" s="366"/>
      <c r="M167" s="366"/>
      <c r="N167" s="366"/>
      <c r="O167" s="366"/>
      <c r="P167" s="611"/>
      <c r="Q167" s="614"/>
      <c r="R167" s="588"/>
      <c r="S167" s="188"/>
      <c r="T167" s="366"/>
      <c r="U167" s="366"/>
      <c r="V167" s="366"/>
      <c r="W167" s="366"/>
      <c r="X167" s="366"/>
      <c r="Y167" s="366"/>
      <c r="Z167" s="366"/>
      <c r="AA167" s="366"/>
      <c r="AB167" s="366"/>
      <c r="AC167" s="366"/>
      <c r="AD167" s="366"/>
      <c r="AE167" s="366"/>
      <c r="AF167" s="366"/>
      <c r="AG167" s="366"/>
      <c r="AH167" s="366"/>
      <c r="AI167" s="366"/>
      <c r="AJ167" s="366"/>
      <c r="AK167" s="366"/>
      <c r="AL167" s="366"/>
      <c r="AM167" s="607"/>
      <c r="AN167" s="366"/>
      <c r="AO167" s="366"/>
      <c r="AP167" s="366"/>
      <c r="AQ167" s="366"/>
      <c r="AR167" s="619"/>
      <c r="AS167" s="617"/>
    </row>
    <row r="168" spans="1:45" ht="15.75">
      <c r="A168" s="190"/>
      <c r="B168" s="366"/>
      <c r="C168" s="366"/>
      <c r="D168" s="596"/>
      <c r="E168" s="596"/>
      <c r="F168" s="366"/>
      <c r="G168" s="366"/>
      <c r="H168" s="366"/>
      <c r="I168" s="366"/>
      <c r="J168" s="366"/>
      <c r="K168" s="366"/>
      <c r="L168" s="366"/>
      <c r="M168" s="366"/>
      <c r="N168" s="366"/>
      <c r="O168" s="366"/>
      <c r="P168" s="611"/>
      <c r="Q168" s="614"/>
      <c r="R168" s="588"/>
      <c r="S168" s="188"/>
      <c r="T168" s="366"/>
      <c r="U168" s="366"/>
      <c r="V168" s="366"/>
      <c r="W168" s="366"/>
      <c r="X168" s="366"/>
      <c r="Y168" s="366"/>
      <c r="Z168" s="366"/>
      <c r="AA168" s="366"/>
      <c r="AB168" s="366"/>
      <c r="AC168" s="366"/>
      <c r="AD168" s="366"/>
      <c r="AE168" s="366"/>
      <c r="AF168" s="366"/>
      <c r="AG168" s="366"/>
      <c r="AH168" s="366"/>
      <c r="AI168" s="366"/>
      <c r="AJ168" s="366"/>
      <c r="AK168" s="366"/>
      <c r="AL168" s="366"/>
      <c r="AM168" s="607"/>
      <c r="AN168" s="366"/>
      <c r="AO168" s="366"/>
      <c r="AP168" s="366"/>
      <c r="AQ168" s="366"/>
      <c r="AR168" s="619"/>
      <c r="AS168" s="617"/>
    </row>
    <row r="169" spans="1:45" ht="15.75">
      <c r="A169" s="190"/>
      <c r="B169" s="366"/>
      <c r="C169" s="366"/>
      <c r="D169" s="596"/>
      <c r="E169" s="596"/>
      <c r="F169" s="366"/>
      <c r="G169" s="366"/>
      <c r="H169" s="366"/>
      <c r="I169" s="366"/>
      <c r="J169" s="366"/>
      <c r="K169" s="366"/>
      <c r="L169" s="366"/>
      <c r="M169" s="366"/>
      <c r="N169" s="366"/>
      <c r="O169" s="366"/>
      <c r="P169" s="611"/>
      <c r="Q169" s="614"/>
      <c r="R169" s="588"/>
      <c r="S169" s="188"/>
      <c r="T169" s="366"/>
      <c r="U169" s="366"/>
      <c r="V169" s="366"/>
      <c r="W169" s="366"/>
      <c r="X169" s="366"/>
      <c r="Y169" s="366"/>
      <c r="Z169" s="366"/>
      <c r="AA169" s="366"/>
      <c r="AB169" s="366"/>
      <c r="AC169" s="366"/>
      <c r="AD169" s="366"/>
      <c r="AE169" s="366"/>
      <c r="AF169" s="366"/>
      <c r="AG169" s="366"/>
      <c r="AH169" s="366"/>
      <c r="AI169" s="366"/>
      <c r="AJ169" s="366"/>
      <c r="AK169" s="366"/>
      <c r="AL169" s="366"/>
      <c r="AM169" s="607"/>
      <c r="AN169" s="366"/>
      <c r="AO169" s="366"/>
      <c r="AP169" s="366"/>
      <c r="AQ169" s="366"/>
      <c r="AR169" s="619"/>
      <c r="AS169" s="617"/>
    </row>
    <row r="170" spans="1:45" ht="15.75">
      <c r="A170" s="190"/>
      <c r="B170" s="366"/>
      <c r="C170" s="366"/>
      <c r="D170" s="596"/>
      <c r="E170" s="596"/>
      <c r="F170" s="366"/>
      <c r="G170" s="366"/>
      <c r="H170" s="366"/>
      <c r="I170" s="366"/>
      <c r="J170" s="366"/>
      <c r="K170" s="366"/>
      <c r="L170" s="366"/>
      <c r="M170" s="366"/>
      <c r="N170" s="366"/>
      <c r="O170" s="366"/>
      <c r="P170" s="611"/>
      <c r="Q170" s="614"/>
      <c r="R170" s="588"/>
      <c r="S170" s="188"/>
      <c r="T170" s="366"/>
      <c r="U170" s="366"/>
      <c r="V170" s="366"/>
      <c r="W170" s="366"/>
      <c r="X170" s="366"/>
      <c r="Y170" s="366"/>
      <c r="Z170" s="366"/>
      <c r="AA170" s="366"/>
      <c r="AB170" s="366"/>
      <c r="AC170" s="366"/>
      <c r="AD170" s="366"/>
      <c r="AE170" s="366"/>
      <c r="AF170" s="366"/>
      <c r="AG170" s="366"/>
      <c r="AH170" s="366"/>
      <c r="AI170" s="366"/>
      <c r="AJ170" s="366"/>
      <c r="AK170" s="366"/>
      <c r="AL170" s="366"/>
      <c r="AM170" s="607"/>
      <c r="AN170" s="366"/>
      <c r="AO170" s="366"/>
      <c r="AP170" s="366"/>
      <c r="AQ170" s="366"/>
      <c r="AR170" s="619"/>
      <c r="AS170" s="617"/>
    </row>
    <row r="171" spans="1:45" ht="15.75">
      <c r="A171" s="190"/>
      <c r="B171" s="366"/>
      <c r="C171" s="366"/>
      <c r="D171" s="596"/>
      <c r="E171" s="596"/>
      <c r="F171" s="366"/>
      <c r="G171" s="366"/>
      <c r="H171" s="366"/>
      <c r="I171" s="366"/>
      <c r="J171" s="366"/>
      <c r="K171" s="366"/>
      <c r="L171" s="366"/>
      <c r="M171" s="366"/>
      <c r="N171" s="366"/>
      <c r="O171" s="366"/>
      <c r="P171" s="611"/>
      <c r="Q171" s="614"/>
      <c r="R171" s="588"/>
      <c r="S171" s="188"/>
      <c r="T171" s="366"/>
      <c r="U171" s="366"/>
      <c r="V171" s="366"/>
      <c r="W171" s="366"/>
      <c r="X171" s="366"/>
      <c r="Y171" s="366"/>
      <c r="Z171" s="366"/>
      <c r="AA171" s="366"/>
      <c r="AB171" s="366"/>
      <c r="AC171" s="366"/>
      <c r="AD171" s="366"/>
      <c r="AE171" s="366"/>
      <c r="AF171" s="366"/>
      <c r="AG171" s="366"/>
      <c r="AH171" s="366"/>
      <c r="AI171" s="366"/>
      <c r="AJ171" s="366"/>
      <c r="AK171" s="366"/>
      <c r="AL171" s="366"/>
      <c r="AM171" s="607"/>
      <c r="AN171" s="366"/>
      <c r="AO171" s="366"/>
      <c r="AP171" s="366"/>
      <c r="AQ171" s="366"/>
      <c r="AR171" s="619"/>
      <c r="AS171" s="617"/>
    </row>
    <row r="172" spans="1:45" ht="15.75">
      <c r="A172" s="190"/>
      <c r="B172" s="366"/>
      <c r="C172" s="366"/>
      <c r="D172" s="596"/>
      <c r="E172" s="596"/>
      <c r="F172" s="366"/>
      <c r="G172" s="366"/>
      <c r="H172" s="366"/>
      <c r="I172" s="366"/>
      <c r="J172" s="366"/>
      <c r="K172" s="366"/>
      <c r="L172" s="366"/>
      <c r="M172" s="366"/>
      <c r="N172" s="366"/>
      <c r="O172" s="366"/>
      <c r="P172" s="611"/>
      <c r="Q172" s="614"/>
      <c r="R172" s="588"/>
      <c r="S172" s="188"/>
      <c r="T172" s="366"/>
      <c r="U172" s="366"/>
      <c r="V172" s="366"/>
      <c r="W172" s="366"/>
      <c r="X172" s="366"/>
      <c r="Y172" s="366"/>
      <c r="Z172" s="366"/>
      <c r="AA172" s="366"/>
      <c r="AB172" s="366"/>
      <c r="AC172" s="366"/>
      <c r="AD172" s="366"/>
      <c r="AE172" s="366"/>
      <c r="AF172" s="366"/>
      <c r="AG172" s="366"/>
      <c r="AH172" s="366"/>
      <c r="AI172" s="366"/>
      <c r="AJ172" s="366"/>
      <c r="AK172" s="366"/>
      <c r="AL172" s="366"/>
      <c r="AM172" s="607"/>
      <c r="AN172" s="366"/>
      <c r="AO172" s="366"/>
      <c r="AP172" s="366"/>
      <c r="AQ172" s="366"/>
      <c r="AR172" s="619"/>
      <c r="AS172" s="617"/>
    </row>
    <row r="173" spans="1:45" ht="15.75">
      <c r="A173" s="190"/>
      <c r="B173" s="366"/>
      <c r="C173" s="366"/>
      <c r="D173" s="596"/>
      <c r="E173" s="596"/>
      <c r="F173" s="366"/>
      <c r="G173" s="366"/>
      <c r="H173" s="366"/>
      <c r="I173" s="366"/>
      <c r="J173" s="366"/>
      <c r="K173" s="366"/>
      <c r="L173" s="366"/>
      <c r="M173" s="366"/>
      <c r="N173" s="366"/>
      <c r="O173" s="366"/>
      <c r="P173" s="611"/>
      <c r="Q173" s="614"/>
      <c r="R173" s="588"/>
      <c r="S173" s="188"/>
      <c r="T173" s="366"/>
      <c r="U173" s="366"/>
      <c r="V173" s="366"/>
      <c r="W173" s="366"/>
      <c r="X173" s="366"/>
      <c r="Y173" s="366"/>
      <c r="Z173" s="366"/>
      <c r="AA173" s="366"/>
      <c r="AB173" s="366"/>
      <c r="AC173" s="366"/>
      <c r="AD173" s="366"/>
      <c r="AE173" s="366"/>
      <c r="AF173" s="366"/>
      <c r="AG173" s="366"/>
      <c r="AH173" s="366"/>
      <c r="AI173" s="366"/>
      <c r="AJ173" s="366"/>
      <c r="AK173" s="366"/>
      <c r="AL173" s="366"/>
      <c r="AM173" s="607"/>
      <c r="AN173" s="366"/>
      <c r="AO173" s="366"/>
      <c r="AP173" s="366"/>
      <c r="AQ173" s="366"/>
      <c r="AR173" s="619"/>
      <c r="AS173" s="617"/>
    </row>
    <row r="174" spans="1:45" ht="15.75">
      <c r="A174" s="190"/>
      <c r="B174" s="366"/>
      <c r="C174" s="366"/>
      <c r="D174" s="596"/>
      <c r="E174" s="596"/>
      <c r="F174" s="366"/>
      <c r="G174" s="366"/>
      <c r="H174" s="366"/>
      <c r="I174" s="366"/>
      <c r="J174" s="366"/>
      <c r="K174" s="366"/>
      <c r="L174" s="366"/>
      <c r="M174" s="366"/>
      <c r="N174" s="366"/>
      <c r="O174" s="366"/>
      <c r="P174" s="611"/>
      <c r="Q174" s="614"/>
      <c r="R174" s="588"/>
      <c r="S174" s="188"/>
      <c r="T174" s="366"/>
      <c r="U174" s="366"/>
      <c r="V174" s="366"/>
      <c r="W174" s="366"/>
      <c r="X174" s="366"/>
      <c r="Y174" s="366"/>
      <c r="Z174" s="366"/>
      <c r="AA174" s="366"/>
      <c r="AB174" s="366"/>
      <c r="AC174" s="366"/>
      <c r="AD174" s="366"/>
      <c r="AE174" s="366"/>
      <c r="AF174" s="366"/>
      <c r="AG174" s="366"/>
      <c r="AH174" s="366"/>
      <c r="AI174" s="366"/>
      <c r="AJ174" s="366"/>
      <c r="AK174" s="366"/>
      <c r="AL174" s="366"/>
      <c r="AM174" s="607"/>
      <c r="AN174" s="366"/>
      <c r="AO174" s="366"/>
      <c r="AP174" s="366"/>
      <c r="AQ174" s="366"/>
      <c r="AR174" s="619"/>
      <c r="AS174" s="617"/>
    </row>
    <row r="175" spans="1:45" ht="15.75">
      <c r="A175" s="190"/>
      <c r="B175" s="366"/>
      <c r="C175" s="366"/>
      <c r="D175" s="596"/>
      <c r="E175" s="596"/>
      <c r="F175" s="366"/>
      <c r="G175" s="366"/>
      <c r="H175" s="366"/>
      <c r="I175" s="366"/>
      <c r="J175" s="366"/>
      <c r="K175" s="366"/>
      <c r="L175" s="366"/>
      <c r="M175" s="366"/>
      <c r="N175" s="366"/>
      <c r="O175" s="366"/>
      <c r="P175" s="611"/>
      <c r="Q175" s="614"/>
      <c r="R175" s="588"/>
      <c r="S175" s="188"/>
      <c r="T175" s="366"/>
      <c r="U175" s="366"/>
      <c r="V175" s="366"/>
      <c r="W175" s="366"/>
      <c r="X175" s="366"/>
      <c r="Y175" s="366"/>
      <c r="Z175" s="366"/>
      <c r="AA175" s="366"/>
      <c r="AB175" s="366"/>
      <c r="AC175" s="366"/>
      <c r="AD175" s="366"/>
      <c r="AE175" s="366"/>
      <c r="AF175" s="366"/>
      <c r="AG175" s="366"/>
      <c r="AH175" s="366"/>
      <c r="AI175" s="366"/>
      <c r="AJ175" s="366"/>
      <c r="AK175" s="366"/>
      <c r="AL175" s="366"/>
      <c r="AM175" s="607"/>
      <c r="AN175" s="366"/>
      <c r="AO175" s="366"/>
      <c r="AP175" s="366"/>
      <c r="AQ175" s="366"/>
      <c r="AR175" s="619"/>
      <c r="AS175" s="617"/>
    </row>
    <row r="176" spans="1:45" ht="15.75">
      <c r="A176" s="190"/>
      <c r="B176" s="366"/>
      <c r="C176" s="366"/>
      <c r="D176" s="596"/>
      <c r="E176" s="596"/>
      <c r="F176" s="366"/>
      <c r="G176" s="366"/>
      <c r="H176" s="366"/>
      <c r="I176" s="366"/>
      <c r="J176" s="366"/>
      <c r="K176" s="366"/>
      <c r="L176" s="366"/>
      <c r="M176" s="366"/>
      <c r="N176" s="366"/>
      <c r="O176" s="366"/>
      <c r="P176" s="611"/>
      <c r="Q176" s="614"/>
      <c r="R176" s="588"/>
      <c r="S176" s="188"/>
      <c r="T176" s="366"/>
      <c r="U176" s="366"/>
      <c r="V176" s="366"/>
      <c r="W176" s="366"/>
      <c r="X176" s="366"/>
      <c r="Y176" s="366"/>
      <c r="Z176" s="366"/>
      <c r="AA176" s="366"/>
      <c r="AB176" s="366"/>
      <c r="AC176" s="366"/>
      <c r="AD176" s="366"/>
      <c r="AE176" s="366"/>
      <c r="AF176" s="366"/>
      <c r="AG176" s="366"/>
      <c r="AH176" s="366"/>
      <c r="AI176" s="366"/>
      <c r="AJ176" s="366"/>
      <c r="AK176" s="366"/>
      <c r="AL176" s="366"/>
      <c r="AM176" s="607"/>
      <c r="AN176" s="366"/>
      <c r="AO176" s="366"/>
      <c r="AP176" s="366"/>
      <c r="AQ176" s="366"/>
      <c r="AR176" s="619"/>
      <c r="AS176" s="617"/>
    </row>
    <row r="177" spans="1:45" ht="15.75">
      <c r="A177" s="190"/>
      <c r="B177" s="366"/>
      <c r="C177" s="366"/>
      <c r="D177" s="596"/>
      <c r="E177" s="596"/>
      <c r="F177" s="366"/>
      <c r="G177" s="366"/>
      <c r="H177" s="366"/>
      <c r="I177" s="366"/>
      <c r="J177" s="366"/>
      <c r="K177" s="366"/>
      <c r="L177" s="366"/>
      <c r="M177" s="366"/>
      <c r="N177" s="366"/>
      <c r="O177" s="366"/>
      <c r="P177" s="611"/>
      <c r="Q177" s="614"/>
      <c r="R177" s="588"/>
      <c r="S177" s="188"/>
      <c r="T177" s="366"/>
      <c r="U177" s="366"/>
      <c r="V177" s="366"/>
      <c r="W177" s="366"/>
      <c r="X177" s="366"/>
      <c r="Y177" s="366"/>
      <c r="Z177" s="366"/>
      <c r="AA177" s="366"/>
      <c r="AB177" s="366"/>
      <c r="AC177" s="366"/>
      <c r="AD177" s="366"/>
      <c r="AE177" s="366"/>
      <c r="AF177" s="366"/>
      <c r="AG177" s="366"/>
      <c r="AH177" s="366"/>
      <c r="AI177" s="366"/>
      <c r="AJ177" s="366"/>
      <c r="AK177" s="366"/>
      <c r="AL177" s="366"/>
      <c r="AM177" s="607"/>
      <c r="AN177" s="366"/>
      <c r="AO177" s="366"/>
      <c r="AP177" s="366"/>
      <c r="AQ177" s="366"/>
      <c r="AR177" s="619"/>
      <c r="AS177" s="617"/>
    </row>
    <row r="178" spans="1:45" ht="15.75">
      <c r="A178" s="190"/>
      <c r="B178" s="366"/>
      <c r="C178" s="366"/>
      <c r="D178" s="596"/>
      <c r="E178" s="596"/>
      <c r="F178" s="366"/>
      <c r="G178" s="366"/>
      <c r="H178" s="366"/>
      <c r="I178" s="366"/>
      <c r="J178" s="366"/>
      <c r="K178" s="366"/>
      <c r="L178" s="366"/>
      <c r="M178" s="366"/>
      <c r="N178" s="366"/>
      <c r="O178" s="366"/>
      <c r="P178" s="611"/>
      <c r="Q178" s="614"/>
      <c r="R178" s="588"/>
      <c r="S178" s="188"/>
      <c r="T178" s="366"/>
      <c r="U178" s="366"/>
      <c r="V178" s="366"/>
      <c r="W178" s="366"/>
      <c r="X178" s="366"/>
      <c r="Y178" s="366"/>
      <c r="Z178" s="366"/>
      <c r="AA178" s="366"/>
      <c r="AB178" s="366"/>
      <c r="AC178" s="366"/>
      <c r="AD178" s="366"/>
      <c r="AE178" s="366"/>
      <c r="AF178" s="366"/>
      <c r="AG178" s="366"/>
      <c r="AH178" s="366"/>
      <c r="AI178" s="366"/>
      <c r="AJ178" s="366"/>
      <c r="AK178" s="366"/>
      <c r="AL178" s="366"/>
      <c r="AM178" s="607"/>
      <c r="AN178" s="366"/>
      <c r="AO178" s="366"/>
      <c r="AP178" s="366"/>
      <c r="AQ178" s="366"/>
      <c r="AR178" s="619"/>
      <c r="AS178" s="617"/>
    </row>
    <row r="179" spans="1:45" ht="15.75">
      <c r="A179" s="190"/>
      <c r="B179" s="366"/>
      <c r="C179" s="366"/>
      <c r="D179" s="596"/>
      <c r="E179" s="596"/>
      <c r="F179" s="366"/>
      <c r="G179" s="366"/>
      <c r="H179" s="366"/>
      <c r="I179" s="366"/>
      <c r="J179" s="366"/>
      <c r="K179" s="366"/>
      <c r="L179" s="366"/>
      <c r="M179" s="366"/>
      <c r="N179" s="366"/>
      <c r="O179" s="366"/>
      <c r="P179" s="611"/>
      <c r="Q179" s="614"/>
      <c r="R179" s="588"/>
      <c r="S179" s="188"/>
      <c r="T179" s="366"/>
      <c r="U179" s="366"/>
      <c r="V179" s="366"/>
      <c r="W179" s="366"/>
      <c r="X179" s="366"/>
      <c r="Y179" s="366"/>
      <c r="Z179" s="366"/>
      <c r="AA179" s="366"/>
      <c r="AB179" s="366"/>
      <c r="AC179" s="366"/>
      <c r="AD179" s="366"/>
      <c r="AE179" s="366"/>
      <c r="AF179" s="366"/>
      <c r="AG179" s="366"/>
      <c r="AH179" s="366"/>
      <c r="AI179" s="366"/>
      <c r="AJ179" s="366"/>
      <c r="AK179" s="366"/>
      <c r="AL179" s="366"/>
      <c r="AM179" s="607"/>
      <c r="AN179" s="366"/>
      <c r="AO179" s="366"/>
      <c r="AP179" s="366"/>
      <c r="AQ179" s="366"/>
      <c r="AR179" s="619"/>
      <c r="AS179" s="617"/>
    </row>
    <row r="180" spans="1:45" ht="15.75">
      <c r="A180" s="190"/>
      <c r="B180" s="366"/>
      <c r="C180" s="366"/>
      <c r="D180" s="596"/>
      <c r="E180" s="596"/>
      <c r="F180" s="366"/>
      <c r="G180" s="366"/>
      <c r="H180" s="366"/>
      <c r="I180" s="366"/>
      <c r="J180" s="366"/>
      <c r="K180" s="366"/>
      <c r="L180" s="366"/>
      <c r="M180" s="366"/>
      <c r="N180" s="366"/>
      <c r="O180" s="366"/>
      <c r="P180" s="611"/>
      <c r="Q180" s="614"/>
      <c r="R180" s="588"/>
      <c r="S180" s="188"/>
      <c r="T180" s="366"/>
      <c r="U180" s="366"/>
      <c r="V180" s="366"/>
      <c r="W180" s="366"/>
      <c r="X180" s="366"/>
      <c r="Y180" s="366"/>
      <c r="Z180" s="366"/>
      <c r="AA180" s="366"/>
      <c r="AB180" s="366"/>
      <c r="AC180" s="366"/>
      <c r="AD180" s="366"/>
      <c r="AE180" s="366"/>
      <c r="AF180" s="366"/>
      <c r="AG180" s="366"/>
      <c r="AH180" s="366"/>
      <c r="AI180" s="366"/>
      <c r="AJ180" s="366"/>
      <c r="AK180" s="366"/>
      <c r="AL180" s="366"/>
      <c r="AM180" s="607"/>
      <c r="AN180" s="366"/>
      <c r="AO180" s="366"/>
      <c r="AP180" s="366"/>
      <c r="AQ180" s="366"/>
      <c r="AR180" s="619"/>
      <c r="AS180" s="617"/>
    </row>
    <row r="181" spans="1:45" ht="15.75">
      <c r="A181" s="190"/>
      <c r="B181" s="366"/>
      <c r="C181" s="366"/>
      <c r="D181" s="596"/>
      <c r="E181" s="596"/>
      <c r="F181" s="366"/>
      <c r="G181" s="366"/>
      <c r="H181" s="366"/>
      <c r="I181" s="366"/>
      <c r="J181" s="366"/>
      <c r="K181" s="366"/>
      <c r="L181" s="366"/>
      <c r="M181" s="366"/>
      <c r="N181" s="366"/>
      <c r="O181" s="366"/>
      <c r="P181" s="611"/>
      <c r="Q181" s="614"/>
      <c r="R181" s="588"/>
      <c r="S181" s="188"/>
      <c r="T181" s="366"/>
      <c r="U181" s="366"/>
      <c r="V181" s="366"/>
      <c r="W181" s="366"/>
      <c r="X181" s="366"/>
      <c r="Y181" s="366"/>
      <c r="Z181" s="366"/>
      <c r="AA181" s="366"/>
      <c r="AB181" s="366"/>
      <c r="AC181" s="366"/>
      <c r="AD181" s="366"/>
      <c r="AE181" s="366"/>
      <c r="AF181" s="366"/>
      <c r="AG181" s="366"/>
      <c r="AH181" s="366"/>
      <c r="AI181" s="366"/>
      <c r="AJ181" s="366"/>
      <c r="AK181" s="366"/>
      <c r="AL181" s="366"/>
      <c r="AM181" s="607"/>
      <c r="AN181" s="366"/>
      <c r="AO181" s="366"/>
      <c r="AP181" s="366"/>
      <c r="AQ181" s="366"/>
      <c r="AR181" s="619"/>
      <c r="AS181" s="617"/>
    </row>
    <row r="182" spans="1:45" ht="15.75">
      <c r="A182" s="190"/>
      <c r="B182" s="366"/>
      <c r="C182" s="366"/>
      <c r="D182" s="596"/>
      <c r="E182" s="596"/>
      <c r="F182" s="366"/>
      <c r="G182" s="366"/>
      <c r="H182" s="366"/>
      <c r="I182" s="366"/>
      <c r="J182" s="366"/>
      <c r="K182" s="366"/>
      <c r="L182" s="366"/>
      <c r="M182" s="366"/>
      <c r="N182" s="366"/>
      <c r="O182" s="366"/>
      <c r="P182" s="611"/>
      <c r="Q182" s="614"/>
      <c r="R182" s="588"/>
      <c r="S182" s="188"/>
      <c r="T182" s="366"/>
      <c r="U182" s="366"/>
      <c r="V182" s="366"/>
      <c r="W182" s="366"/>
      <c r="X182" s="366"/>
      <c r="Y182" s="366"/>
      <c r="Z182" s="366"/>
      <c r="AA182" s="366"/>
      <c r="AB182" s="366"/>
      <c r="AC182" s="366"/>
      <c r="AD182" s="366"/>
      <c r="AE182" s="366"/>
      <c r="AF182" s="366"/>
      <c r="AG182" s="366"/>
      <c r="AH182" s="366"/>
      <c r="AI182" s="366"/>
      <c r="AJ182" s="366"/>
      <c r="AK182" s="366"/>
      <c r="AL182" s="366"/>
      <c r="AM182" s="607"/>
      <c r="AN182" s="366"/>
      <c r="AO182" s="366"/>
      <c r="AP182" s="366"/>
      <c r="AQ182" s="366"/>
      <c r="AR182" s="619"/>
      <c r="AS182" s="617"/>
    </row>
    <row r="183" spans="1:45" ht="15.75">
      <c r="A183" s="190"/>
      <c r="B183" s="366"/>
      <c r="C183" s="366"/>
      <c r="D183" s="596"/>
      <c r="E183" s="596"/>
      <c r="F183" s="366"/>
      <c r="G183" s="366"/>
      <c r="H183" s="366"/>
      <c r="I183" s="366"/>
      <c r="J183" s="366"/>
      <c r="K183" s="366"/>
      <c r="L183" s="366"/>
      <c r="M183" s="366"/>
      <c r="N183" s="366"/>
      <c r="O183" s="366"/>
      <c r="P183" s="611"/>
      <c r="Q183" s="614"/>
      <c r="R183" s="588"/>
      <c r="S183" s="188"/>
      <c r="T183" s="366"/>
      <c r="U183" s="366"/>
      <c r="V183" s="366"/>
      <c r="W183" s="366"/>
      <c r="X183" s="366"/>
      <c r="Y183" s="366"/>
      <c r="Z183" s="366"/>
      <c r="AA183" s="366"/>
      <c r="AB183" s="366"/>
      <c r="AC183" s="366"/>
      <c r="AD183" s="366"/>
      <c r="AE183" s="366"/>
      <c r="AF183" s="366"/>
      <c r="AG183" s="366"/>
      <c r="AH183" s="366"/>
      <c r="AI183" s="366"/>
      <c r="AJ183" s="366"/>
      <c r="AK183" s="366"/>
      <c r="AL183" s="366"/>
      <c r="AM183" s="607"/>
      <c r="AN183" s="366"/>
      <c r="AO183" s="366"/>
      <c r="AP183" s="366"/>
      <c r="AQ183" s="366"/>
      <c r="AR183" s="619"/>
      <c r="AS183" s="617"/>
    </row>
    <row r="184" spans="1:45" ht="15.75">
      <c r="A184" s="190"/>
      <c r="B184" s="366"/>
      <c r="C184" s="366"/>
      <c r="D184" s="596"/>
      <c r="E184" s="596"/>
      <c r="F184" s="366"/>
      <c r="G184" s="366"/>
      <c r="H184" s="366"/>
      <c r="I184" s="366"/>
      <c r="J184" s="366"/>
      <c r="K184" s="366"/>
      <c r="L184" s="366"/>
      <c r="M184" s="366"/>
      <c r="N184" s="366"/>
      <c r="O184" s="366"/>
      <c r="P184" s="611"/>
      <c r="Q184" s="614"/>
      <c r="R184" s="588"/>
      <c r="S184" s="188"/>
      <c r="T184" s="366"/>
      <c r="U184" s="366"/>
      <c r="V184" s="366"/>
      <c r="W184" s="366"/>
      <c r="X184" s="366"/>
      <c r="Y184" s="366"/>
      <c r="Z184" s="366"/>
      <c r="AA184" s="366"/>
      <c r="AB184" s="366"/>
      <c r="AC184" s="366"/>
      <c r="AD184" s="366"/>
      <c r="AE184" s="366"/>
      <c r="AF184" s="366"/>
      <c r="AG184" s="366"/>
      <c r="AH184" s="366"/>
      <c r="AI184" s="366"/>
      <c r="AJ184" s="366"/>
      <c r="AK184" s="366"/>
      <c r="AL184" s="366"/>
      <c r="AM184" s="607"/>
      <c r="AN184" s="366"/>
      <c r="AO184" s="366"/>
      <c r="AP184" s="366"/>
      <c r="AQ184" s="366"/>
      <c r="AR184" s="619"/>
      <c r="AS184" s="617"/>
    </row>
    <row r="185" spans="1:45" ht="15.75">
      <c r="A185" s="190"/>
      <c r="B185" s="366"/>
      <c r="C185" s="366"/>
      <c r="D185" s="596"/>
      <c r="E185" s="596"/>
      <c r="F185" s="366"/>
      <c r="G185" s="366"/>
      <c r="H185" s="366"/>
      <c r="I185" s="366"/>
      <c r="J185" s="366"/>
      <c r="K185" s="366"/>
      <c r="L185" s="366"/>
      <c r="M185" s="366"/>
      <c r="N185" s="366"/>
      <c r="O185" s="366"/>
      <c r="P185" s="611"/>
      <c r="Q185" s="614"/>
      <c r="R185" s="588"/>
      <c r="S185" s="188"/>
      <c r="T185" s="366"/>
      <c r="U185" s="366"/>
      <c r="V185" s="366"/>
      <c r="W185" s="366"/>
      <c r="X185" s="366"/>
      <c r="Y185" s="366"/>
      <c r="Z185" s="366"/>
      <c r="AA185" s="366"/>
      <c r="AB185" s="366"/>
      <c r="AC185" s="366"/>
      <c r="AD185" s="366"/>
      <c r="AE185" s="366"/>
      <c r="AF185" s="366"/>
      <c r="AG185" s="366"/>
      <c r="AH185" s="366"/>
      <c r="AI185" s="366"/>
      <c r="AJ185" s="366"/>
      <c r="AK185" s="366"/>
      <c r="AL185" s="366"/>
      <c r="AM185" s="607"/>
      <c r="AN185" s="366"/>
      <c r="AO185" s="366"/>
      <c r="AP185" s="366"/>
      <c r="AQ185" s="366"/>
      <c r="AR185" s="619"/>
      <c r="AS185" s="617"/>
    </row>
    <row r="186" spans="1:45" ht="15.75">
      <c r="A186" s="190"/>
      <c r="B186" s="366"/>
      <c r="C186" s="366"/>
      <c r="D186" s="596"/>
      <c r="E186" s="596"/>
      <c r="F186" s="366"/>
      <c r="G186" s="366"/>
      <c r="H186" s="366"/>
      <c r="I186" s="366"/>
      <c r="J186" s="366"/>
      <c r="K186" s="366"/>
      <c r="L186" s="366"/>
      <c r="M186" s="366"/>
      <c r="N186" s="366"/>
      <c r="O186" s="366"/>
      <c r="P186" s="611"/>
      <c r="Q186" s="614"/>
      <c r="R186" s="588"/>
      <c r="S186" s="188"/>
      <c r="T186" s="366"/>
      <c r="U186" s="366"/>
      <c r="V186" s="366"/>
      <c r="W186" s="366"/>
      <c r="X186" s="366"/>
      <c r="Y186" s="366"/>
      <c r="Z186" s="366"/>
      <c r="AA186" s="366"/>
      <c r="AB186" s="366"/>
      <c r="AC186" s="366"/>
      <c r="AD186" s="366"/>
      <c r="AE186" s="366"/>
      <c r="AF186" s="366"/>
      <c r="AG186" s="366"/>
      <c r="AH186" s="366"/>
      <c r="AI186" s="366"/>
      <c r="AJ186" s="366"/>
      <c r="AK186" s="366"/>
      <c r="AL186" s="366"/>
      <c r="AM186" s="607"/>
      <c r="AN186" s="366"/>
      <c r="AO186" s="366"/>
      <c r="AP186" s="366"/>
      <c r="AQ186" s="366"/>
      <c r="AR186" s="619"/>
      <c r="AS186" s="617"/>
    </row>
    <row r="187" spans="1:45" ht="15.75">
      <c r="A187" s="190"/>
      <c r="B187" s="366"/>
      <c r="C187" s="366"/>
      <c r="D187" s="596"/>
      <c r="E187" s="596"/>
      <c r="F187" s="366"/>
      <c r="G187" s="366"/>
      <c r="H187" s="366"/>
      <c r="I187" s="366"/>
      <c r="J187" s="366"/>
      <c r="K187" s="366"/>
      <c r="L187" s="366"/>
      <c r="M187" s="366"/>
      <c r="N187" s="366"/>
      <c r="O187" s="366"/>
      <c r="P187" s="611"/>
      <c r="Q187" s="614"/>
      <c r="R187" s="588"/>
      <c r="S187" s="188"/>
      <c r="T187" s="366"/>
      <c r="U187" s="366"/>
      <c r="V187" s="366"/>
      <c r="W187" s="366"/>
      <c r="X187" s="366"/>
      <c r="Y187" s="366"/>
      <c r="Z187" s="366"/>
      <c r="AA187" s="366"/>
      <c r="AB187" s="366"/>
      <c r="AC187" s="366"/>
      <c r="AD187" s="366"/>
      <c r="AE187" s="366"/>
      <c r="AF187" s="366"/>
      <c r="AG187" s="366"/>
      <c r="AH187" s="366"/>
      <c r="AI187" s="366"/>
      <c r="AJ187" s="366"/>
      <c r="AK187" s="366"/>
      <c r="AL187" s="366"/>
      <c r="AM187" s="607"/>
      <c r="AN187" s="366"/>
      <c r="AO187" s="366"/>
      <c r="AP187" s="366"/>
      <c r="AQ187" s="366"/>
      <c r="AR187" s="619"/>
      <c r="AS187" s="617"/>
    </row>
    <row r="188" spans="1:45" ht="15.75">
      <c r="A188" s="190"/>
      <c r="B188" s="366"/>
      <c r="C188" s="366"/>
      <c r="D188" s="596"/>
      <c r="E188" s="596"/>
      <c r="F188" s="366"/>
      <c r="G188" s="366"/>
      <c r="H188" s="366"/>
      <c r="I188" s="366"/>
      <c r="J188" s="366"/>
      <c r="K188" s="366"/>
      <c r="L188" s="366"/>
      <c r="M188" s="366"/>
      <c r="N188" s="366"/>
      <c r="O188" s="366"/>
      <c r="P188" s="611"/>
      <c r="Q188" s="614"/>
      <c r="R188" s="588"/>
      <c r="S188" s="188"/>
      <c r="T188" s="366"/>
      <c r="U188" s="366"/>
      <c r="V188" s="366"/>
      <c r="W188" s="366"/>
      <c r="X188" s="366"/>
      <c r="Y188" s="366"/>
      <c r="Z188" s="366"/>
      <c r="AA188" s="366"/>
      <c r="AB188" s="366"/>
      <c r="AC188" s="366"/>
      <c r="AD188" s="366"/>
      <c r="AE188" s="366"/>
      <c r="AF188" s="366"/>
      <c r="AG188" s="366"/>
      <c r="AH188" s="366"/>
      <c r="AI188" s="366"/>
      <c r="AJ188" s="366"/>
      <c r="AK188" s="366"/>
      <c r="AL188" s="366"/>
      <c r="AM188" s="607"/>
      <c r="AN188" s="366"/>
      <c r="AO188" s="366"/>
      <c r="AP188" s="366"/>
      <c r="AQ188" s="366"/>
      <c r="AR188" s="619"/>
      <c r="AS188" s="617"/>
    </row>
    <row r="189" spans="1:45" ht="15.75">
      <c r="A189" s="190"/>
      <c r="B189" s="366"/>
      <c r="C189" s="366"/>
      <c r="D189" s="596"/>
      <c r="E189" s="596"/>
      <c r="F189" s="366"/>
      <c r="G189" s="366"/>
      <c r="H189" s="366"/>
      <c r="I189" s="366"/>
      <c r="J189" s="366"/>
      <c r="K189" s="366"/>
      <c r="L189" s="366"/>
      <c r="M189" s="366"/>
      <c r="N189" s="366"/>
      <c r="O189" s="366"/>
      <c r="P189" s="611"/>
      <c r="Q189" s="614"/>
      <c r="R189" s="588"/>
      <c r="S189" s="188"/>
      <c r="T189" s="366"/>
      <c r="U189" s="366"/>
      <c r="V189" s="366"/>
      <c r="W189" s="366"/>
      <c r="X189" s="366"/>
      <c r="Y189" s="366"/>
      <c r="Z189" s="366"/>
      <c r="AA189" s="366"/>
      <c r="AB189" s="366"/>
      <c r="AC189" s="366"/>
      <c r="AD189" s="366"/>
      <c r="AE189" s="366"/>
      <c r="AF189" s="366"/>
      <c r="AG189" s="366"/>
      <c r="AH189" s="366"/>
      <c r="AI189" s="366"/>
      <c r="AJ189" s="366"/>
      <c r="AK189" s="366"/>
      <c r="AL189" s="366"/>
      <c r="AM189" s="607"/>
      <c r="AN189" s="366"/>
      <c r="AO189" s="366"/>
      <c r="AP189" s="366"/>
      <c r="AQ189" s="366"/>
      <c r="AR189" s="619"/>
      <c r="AS189" s="617"/>
    </row>
    <row r="190" spans="1:45" ht="15.75">
      <c r="A190" s="190"/>
      <c r="B190" s="366"/>
      <c r="C190" s="366"/>
      <c r="D190" s="596"/>
      <c r="E190" s="596"/>
      <c r="F190" s="366"/>
      <c r="G190" s="366"/>
      <c r="H190" s="366"/>
      <c r="I190" s="366"/>
      <c r="J190" s="366"/>
      <c r="K190" s="366"/>
      <c r="L190" s="366"/>
      <c r="M190" s="366"/>
      <c r="N190" s="366"/>
      <c r="O190" s="366"/>
      <c r="P190" s="611"/>
      <c r="Q190" s="614"/>
      <c r="R190" s="588"/>
      <c r="S190" s="188"/>
      <c r="T190" s="366"/>
      <c r="U190" s="366"/>
      <c r="V190" s="366"/>
      <c r="W190" s="366"/>
      <c r="X190" s="366"/>
      <c r="Y190" s="366"/>
      <c r="Z190" s="366"/>
      <c r="AA190" s="366"/>
      <c r="AB190" s="366"/>
      <c r="AC190" s="366"/>
      <c r="AD190" s="366"/>
      <c r="AE190" s="366"/>
      <c r="AF190" s="366"/>
      <c r="AG190" s="366"/>
      <c r="AH190" s="366"/>
      <c r="AI190" s="366"/>
      <c r="AJ190" s="366"/>
      <c r="AK190" s="366"/>
      <c r="AL190" s="366"/>
      <c r="AM190" s="607"/>
      <c r="AN190" s="366"/>
      <c r="AO190" s="366"/>
      <c r="AP190" s="366"/>
      <c r="AQ190" s="366"/>
      <c r="AR190" s="619"/>
      <c r="AS190" s="617"/>
    </row>
    <row r="191" spans="1:45" ht="15.75">
      <c r="A191" s="190"/>
      <c r="B191" s="366"/>
      <c r="C191" s="366"/>
      <c r="D191" s="596"/>
      <c r="E191" s="596"/>
      <c r="F191" s="366"/>
      <c r="G191" s="366"/>
      <c r="H191" s="366"/>
      <c r="I191" s="366"/>
      <c r="J191" s="366"/>
      <c r="K191" s="366"/>
      <c r="L191" s="366"/>
      <c r="M191" s="366"/>
      <c r="N191" s="366"/>
      <c r="O191" s="366"/>
      <c r="P191" s="611"/>
      <c r="Q191" s="614"/>
      <c r="R191" s="588"/>
      <c r="S191" s="188"/>
      <c r="T191" s="366"/>
      <c r="U191" s="366"/>
      <c r="V191" s="366"/>
      <c r="W191" s="366"/>
      <c r="X191" s="366"/>
      <c r="Y191" s="366"/>
      <c r="Z191" s="366"/>
      <c r="AA191" s="366"/>
      <c r="AB191" s="366"/>
      <c r="AC191" s="366"/>
      <c r="AD191" s="366"/>
      <c r="AE191" s="366"/>
      <c r="AF191" s="366"/>
      <c r="AG191" s="366"/>
      <c r="AH191" s="366"/>
      <c r="AI191" s="366"/>
      <c r="AJ191" s="366"/>
      <c r="AK191" s="366"/>
      <c r="AL191" s="366"/>
      <c r="AM191" s="607"/>
      <c r="AN191" s="366"/>
      <c r="AO191" s="366"/>
      <c r="AP191" s="366"/>
      <c r="AQ191" s="366"/>
      <c r="AR191" s="619"/>
      <c r="AS191" s="617"/>
    </row>
    <row r="192" spans="1:45" ht="15.75">
      <c r="A192" s="190"/>
      <c r="B192" s="366"/>
      <c r="C192" s="366"/>
      <c r="D192" s="596"/>
      <c r="E192" s="596"/>
      <c r="F192" s="366"/>
      <c r="G192" s="366"/>
      <c r="H192" s="366"/>
      <c r="I192" s="366"/>
      <c r="J192" s="366"/>
      <c r="K192" s="366"/>
      <c r="L192" s="366"/>
      <c r="M192" s="366"/>
      <c r="N192" s="366"/>
      <c r="O192" s="366"/>
      <c r="P192" s="611"/>
      <c r="Q192" s="614"/>
      <c r="R192" s="588"/>
      <c r="S192" s="188"/>
      <c r="T192" s="366"/>
      <c r="U192" s="366"/>
      <c r="V192" s="366"/>
      <c r="W192" s="366"/>
      <c r="X192" s="366"/>
      <c r="Y192" s="366"/>
      <c r="Z192" s="366"/>
      <c r="AA192" s="366"/>
      <c r="AB192" s="366"/>
      <c r="AC192" s="366"/>
      <c r="AD192" s="366"/>
      <c r="AE192" s="366"/>
      <c r="AF192" s="366"/>
      <c r="AG192" s="366"/>
      <c r="AH192" s="366"/>
      <c r="AI192" s="366"/>
      <c r="AJ192" s="366"/>
      <c r="AK192" s="366"/>
      <c r="AL192" s="366"/>
      <c r="AM192" s="607"/>
      <c r="AN192" s="366"/>
      <c r="AO192" s="366"/>
      <c r="AP192" s="366"/>
      <c r="AQ192" s="366"/>
      <c r="AR192" s="619"/>
      <c r="AS192" s="617"/>
    </row>
    <row r="193" spans="1:45" ht="15.75">
      <c r="A193" s="190"/>
      <c r="B193" s="366"/>
      <c r="C193" s="366"/>
      <c r="D193" s="596"/>
      <c r="E193" s="596"/>
      <c r="F193" s="366"/>
      <c r="G193" s="366"/>
      <c r="H193" s="366"/>
      <c r="I193" s="366"/>
      <c r="J193" s="366"/>
      <c r="K193" s="366"/>
      <c r="L193" s="366"/>
      <c r="M193" s="366"/>
      <c r="N193" s="366"/>
      <c r="O193" s="366"/>
      <c r="P193" s="611"/>
      <c r="Q193" s="614"/>
      <c r="R193" s="588"/>
      <c r="S193" s="188"/>
      <c r="T193" s="366"/>
      <c r="U193" s="366"/>
      <c r="V193" s="366"/>
      <c r="W193" s="366"/>
      <c r="X193" s="366"/>
      <c r="Y193" s="366"/>
      <c r="Z193" s="366"/>
      <c r="AA193" s="366"/>
      <c r="AB193" s="366"/>
      <c r="AC193" s="366"/>
      <c r="AD193" s="366"/>
      <c r="AE193" s="366"/>
      <c r="AF193" s="366"/>
      <c r="AG193" s="366"/>
      <c r="AH193" s="366"/>
      <c r="AI193" s="366"/>
      <c r="AJ193" s="366"/>
      <c r="AK193" s="366"/>
      <c r="AL193" s="366"/>
      <c r="AM193" s="607"/>
      <c r="AN193" s="366"/>
      <c r="AO193" s="366"/>
      <c r="AP193" s="366"/>
      <c r="AQ193" s="366"/>
      <c r="AR193" s="619"/>
      <c r="AS193" s="617"/>
    </row>
    <row r="194" spans="1:45" ht="15.75">
      <c r="A194" s="190"/>
      <c r="B194" s="366"/>
      <c r="C194" s="366"/>
      <c r="D194" s="596"/>
      <c r="E194" s="596"/>
      <c r="F194" s="366"/>
      <c r="G194" s="366"/>
      <c r="H194" s="366"/>
      <c r="I194" s="366"/>
      <c r="J194" s="366"/>
      <c r="K194" s="366"/>
      <c r="L194" s="366"/>
      <c r="M194" s="366"/>
      <c r="N194" s="366"/>
      <c r="O194" s="366"/>
      <c r="P194" s="611"/>
      <c r="Q194" s="614"/>
      <c r="R194" s="588"/>
      <c r="S194" s="188"/>
      <c r="T194" s="366"/>
      <c r="U194" s="366"/>
      <c r="V194" s="366"/>
      <c r="W194" s="366"/>
      <c r="X194" s="366"/>
      <c r="Y194" s="366"/>
      <c r="Z194" s="366"/>
      <c r="AA194" s="366"/>
      <c r="AB194" s="366"/>
      <c r="AC194" s="366"/>
      <c r="AD194" s="366"/>
      <c r="AE194" s="366"/>
      <c r="AF194" s="366"/>
      <c r="AG194" s="366"/>
      <c r="AH194" s="366"/>
      <c r="AI194" s="366"/>
      <c r="AJ194" s="366"/>
      <c r="AK194" s="366"/>
      <c r="AL194" s="366"/>
      <c r="AM194" s="607"/>
      <c r="AN194" s="366"/>
      <c r="AO194" s="366"/>
      <c r="AP194" s="366"/>
      <c r="AQ194" s="366"/>
      <c r="AR194" s="619"/>
      <c r="AS194" s="617"/>
    </row>
    <row r="195" spans="1:45" ht="15.75">
      <c r="A195" s="190"/>
      <c r="B195" s="366"/>
      <c r="C195" s="366"/>
      <c r="D195" s="596"/>
      <c r="E195" s="596"/>
      <c r="F195" s="366"/>
      <c r="G195" s="366"/>
      <c r="H195" s="366"/>
      <c r="I195" s="366"/>
      <c r="J195" s="366"/>
      <c r="K195" s="366"/>
      <c r="L195" s="366"/>
      <c r="M195" s="366"/>
      <c r="N195" s="366"/>
      <c r="O195" s="366"/>
      <c r="P195" s="611"/>
      <c r="Q195" s="614"/>
      <c r="R195" s="588"/>
      <c r="S195" s="188"/>
      <c r="T195" s="366"/>
      <c r="U195" s="366"/>
      <c r="V195" s="366"/>
      <c r="W195" s="366"/>
      <c r="X195" s="366"/>
      <c r="Y195" s="366"/>
      <c r="Z195" s="366"/>
      <c r="AA195" s="366"/>
      <c r="AB195" s="366"/>
      <c r="AC195" s="366"/>
      <c r="AD195" s="366"/>
      <c r="AE195" s="366"/>
      <c r="AF195" s="366"/>
      <c r="AG195" s="366"/>
      <c r="AH195" s="366"/>
      <c r="AI195" s="366"/>
      <c r="AJ195" s="366"/>
      <c r="AK195" s="366"/>
      <c r="AL195" s="366"/>
      <c r="AM195" s="607"/>
      <c r="AN195" s="366"/>
      <c r="AO195" s="366"/>
      <c r="AP195" s="366"/>
      <c r="AQ195" s="366"/>
      <c r="AR195" s="619"/>
      <c r="AS195" s="617"/>
    </row>
    <row r="196" spans="1:45" ht="15.75">
      <c r="A196" s="190"/>
      <c r="B196" s="366"/>
      <c r="C196" s="366"/>
      <c r="D196" s="596"/>
      <c r="E196" s="596"/>
      <c r="F196" s="366"/>
      <c r="G196" s="366"/>
      <c r="H196" s="366"/>
      <c r="I196" s="366"/>
      <c r="J196" s="366"/>
      <c r="K196" s="366"/>
      <c r="L196" s="366"/>
      <c r="M196" s="366"/>
      <c r="N196" s="366"/>
      <c r="O196" s="366"/>
      <c r="P196" s="611"/>
      <c r="Q196" s="614"/>
      <c r="R196" s="588"/>
      <c r="S196" s="188"/>
      <c r="T196" s="366"/>
      <c r="U196" s="366"/>
      <c r="V196" s="366"/>
      <c r="W196" s="366"/>
      <c r="X196" s="366"/>
      <c r="Y196" s="366"/>
      <c r="Z196" s="366"/>
      <c r="AA196" s="366"/>
      <c r="AB196" s="366"/>
      <c r="AC196" s="366"/>
      <c r="AD196" s="366"/>
      <c r="AE196" s="366"/>
      <c r="AF196" s="366"/>
      <c r="AG196" s="366"/>
      <c r="AH196" s="366"/>
      <c r="AI196" s="366"/>
      <c r="AJ196" s="366"/>
      <c r="AK196" s="366"/>
      <c r="AL196" s="366"/>
      <c r="AM196" s="607"/>
      <c r="AN196" s="366"/>
      <c r="AO196" s="366"/>
      <c r="AP196" s="366"/>
      <c r="AQ196" s="366"/>
      <c r="AR196" s="619"/>
      <c r="AS196" s="617"/>
    </row>
    <row r="197" spans="1:45" ht="15.75">
      <c r="A197" s="190"/>
      <c r="B197" s="366"/>
      <c r="C197" s="366"/>
      <c r="D197" s="596"/>
      <c r="E197" s="596"/>
      <c r="F197" s="366"/>
      <c r="G197" s="366"/>
      <c r="H197" s="366"/>
      <c r="I197" s="366"/>
      <c r="J197" s="366"/>
      <c r="K197" s="366"/>
      <c r="L197" s="366"/>
      <c r="M197" s="366"/>
      <c r="N197" s="366"/>
      <c r="O197" s="366"/>
      <c r="P197" s="611"/>
      <c r="Q197" s="614"/>
      <c r="R197" s="588"/>
      <c r="S197" s="188"/>
      <c r="T197" s="366"/>
      <c r="U197" s="366"/>
      <c r="V197" s="366"/>
      <c r="W197" s="366"/>
      <c r="X197" s="366"/>
      <c r="Y197" s="366"/>
      <c r="Z197" s="366"/>
      <c r="AA197" s="366"/>
      <c r="AB197" s="366"/>
      <c r="AC197" s="366"/>
      <c r="AD197" s="366"/>
      <c r="AE197" s="366"/>
      <c r="AF197" s="366"/>
      <c r="AG197" s="366"/>
      <c r="AH197" s="366"/>
      <c r="AI197" s="366"/>
      <c r="AJ197" s="366"/>
      <c r="AK197" s="366"/>
      <c r="AL197" s="366"/>
      <c r="AM197" s="607"/>
      <c r="AN197" s="366"/>
      <c r="AO197" s="366"/>
      <c r="AP197" s="366"/>
      <c r="AQ197" s="366"/>
      <c r="AR197" s="619"/>
      <c r="AS197" s="617"/>
    </row>
    <row r="198" spans="1:45" ht="15.75">
      <c r="A198" s="190"/>
      <c r="B198" s="366"/>
      <c r="C198" s="366"/>
      <c r="D198" s="596"/>
      <c r="E198" s="596"/>
      <c r="F198" s="366"/>
      <c r="G198" s="366"/>
      <c r="H198" s="366"/>
      <c r="I198" s="366"/>
      <c r="J198" s="366"/>
      <c r="K198" s="366"/>
      <c r="L198" s="366"/>
      <c r="M198" s="366"/>
      <c r="N198" s="366"/>
      <c r="O198" s="366"/>
      <c r="P198" s="611"/>
      <c r="Q198" s="614"/>
      <c r="R198" s="588"/>
      <c r="S198" s="188"/>
      <c r="T198" s="366"/>
      <c r="U198" s="366"/>
      <c r="V198" s="366"/>
      <c r="W198" s="366"/>
      <c r="X198" s="366"/>
      <c r="Y198" s="366"/>
      <c r="Z198" s="366"/>
      <c r="AA198" s="366"/>
      <c r="AB198" s="366"/>
      <c r="AC198" s="366"/>
      <c r="AD198" s="366"/>
      <c r="AE198" s="366"/>
      <c r="AF198" s="366"/>
      <c r="AG198" s="366"/>
      <c r="AH198" s="366"/>
      <c r="AI198" s="366"/>
      <c r="AJ198" s="366"/>
      <c r="AK198" s="366"/>
      <c r="AL198" s="366"/>
      <c r="AM198" s="607"/>
      <c r="AN198" s="366"/>
      <c r="AO198" s="366"/>
      <c r="AP198" s="366"/>
      <c r="AQ198" s="366"/>
      <c r="AR198" s="619"/>
      <c r="AS198" s="617"/>
    </row>
    <row r="199" spans="1:45" ht="15.75">
      <c r="A199" s="190"/>
      <c r="B199" s="366"/>
      <c r="C199" s="366"/>
      <c r="D199" s="596"/>
      <c r="E199" s="596"/>
      <c r="F199" s="366"/>
      <c r="G199" s="366"/>
      <c r="H199" s="366"/>
      <c r="I199" s="366"/>
      <c r="J199" s="366"/>
      <c r="K199" s="366"/>
      <c r="L199" s="366"/>
      <c r="M199" s="366"/>
      <c r="N199" s="366"/>
      <c r="O199" s="366"/>
      <c r="P199" s="611"/>
      <c r="Q199" s="614"/>
      <c r="R199" s="588"/>
      <c r="S199" s="188"/>
      <c r="T199" s="366"/>
      <c r="U199" s="366"/>
      <c r="V199" s="366"/>
      <c r="W199" s="366"/>
      <c r="X199" s="366"/>
      <c r="Y199" s="366"/>
      <c r="Z199" s="366"/>
      <c r="AA199" s="366"/>
      <c r="AB199" s="366"/>
      <c r="AC199" s="366"/>
      <c r="AD199" s="366"/>
      <c r="AE199" s="366"/>
      <c r="AF199" s="366"/>
      <c r="AG199" s="366"/>
      <c r="AH199" s="366"/>
      <c r="AI199" s="366"/>
      <c r="AJ199" s="366"/>
      <c r="AK199" s="366"/>
      <c r="AL199" s="366"/>
      <c r="AM199" s="607"/>
      <c r="AN199" s="366"/>
      <c r="AO199" s="366"/>
      <c r="AP199" s="366"/>
      <c r="AQ199" s="366"/>
      <c r="AR199" s="619"/>
      <c r="AS199" s="617"/>
    </row>
    <row r="200" spans="1:45" ht="15.75">
      <c r="A200" s="190"/>
      <c r="B200" s="366"/>
      <c r="C200" s="366"/>
      <c r="D200" s="596"/>
      <c r="E200" s="596"/>
      <c r="F200" s="366"/>
      <c r="G200" s="366"/>
      <c r="H200" s="366"/>
      <c r="I200" s="366"/>
      <c r="J200" s="366"/>
      <c r="K200" s="366"/>
      <c r="L200" s="366"/>
      <c r="M200" s="366"/>
      <c r="N200" s="366"/>
      <c r="O200" s="366"/>
      <c r="P200" s="611"/>
      <c r="Q200" s="614"/>
      <c r="R200" s="588"/>
      <c r="S200" s="188"/>
      <c r="T200" s="366"/>
      <c r="U200" s="366"/>
      <c r="V200" s="366"/>
      <c r="W200" s="366"/>
      <c r="X200" s="366"/>
      <c r="Y200" s="366"/>
      <c r="Z200" s="366"/>
      <c r="AA200" s="366"/>
      <c r="AB200" s="366"/>
      <c r="AC200" s="366"/>
      <c r="AD200" s="366"/>
      <c r="AE200" s="366"/>
      <c r="AF200" s="366"/>
      <c r="AG200" s="366"/>
      <c r="AH200" s="366"/>
      <c r="AI200" s="366"/>
      <c r="AJ200" s="366"/>
      <c r="AK200" s="366"/>
      <c r="AL200" s="366"/>
      <c r="AM200" s="607"/>
      <c r="AN200" s="366"/>
      <c r="AO200" s="366"/>
      <c r="AP200" s="366"/>
      <c r="AQ200" s="366"/>
      <c r="AR200" s="619"/>
      <c r="AS200" s="617"/>
    </row>
    <row r="201" spans="1:45" ht="15.75">
      <c r="A201" s="190"/>
      <c r="B201" s="366"/>
      <c r="C201" s="366"/>
      <c r="D201" s="596"/>
      <c r="E201" s="596"/>
      <c r="F201" s="366"/>
      <c r="G201" s="366"/>
      <c r="H201" s="366"/>
      <c r="I201" s="366"/>
      <c r="J201" s="366"/>
      <c r="K201" s="366"/>
      <c r="L201" s="366"/>
      <c r="M201" s="366"/>
      <c r="N201" s="366"/>
      <c r="O201" s="366"/>
      <c r="P201" s="611"/>
      <c r="Q201" s="614"/>
      <c r="R201" s="588"/>
      <c r="S201" s="188"/>
      <c r="T201" s="366"/>
      <c r="U201" s="366"/>
      <c r="V201" s="366"/>
      <c r="W201" s="366"/>
      <c r="X201" s="366"/>
      <c r="Y201" s="366"/>
      <c r="Z201" s="366"/>
      <c r="AA201" s="366"/>
      <c r="AB201" s="366"/>
      <c r="AC201" s="366"/>
      <c r="AD201" s="366"/>
      <c r="AE201" s="366"/>
      <c r="AF201" s="366"/>
      <c r="AG201" s="366"/>
      <c r="AH201" s="366"/>
      <c r="AI201" s="366"/>
      <c r="AJ201" s="366"/>
      <c r="AK201" s="366"/>
      <c r="AL201" s="366"/>
      <c r="AM201" s="607"/>
      <c r="AN201" s="366"/>
      <c r="AO201" s="366"/>
      <c r="AP201" s="366"/>
      <c r="AQ201" s="366"/>
      <c r="AR201" s="619"/>
      <c r="AS201" s="617"/>
    </row>
    <row r="202" spans="1:45" ht="15.75">
      <c r="A202" s="190"/>
      <c r="B202" s="366"/>
      <c r="C202" s="366"/>
      <c r="D202" s="596"/>
      <c r="E202" s="596"/>
      <c r="F202" s="366"/>
      <c r="G202" s="366"/>
      <c r="H202" s="366"/>
      <c r="I202" s="366"/>
      <c r="J202" s="366"/>
      <c r="K202" s="366"/>
      <c r="L202" s="366"/>
      <c r="M202" s="366"/>
      <c r="N202" s="366"/>
      <c r="O202" s="366"/>
      <c r="P202" s="611"/>
      <c r="Q202" s="614"/>
      <c r="R202" s="588"/>
      <c r="S202" s="188"/>
      <c r="T202" s="366"/>
      <c r="U202" s="366"/>
      <c r="V202" s="366"/>
      <c r="W202" s="366"/>
      <c r="X202" s="366"/>
      <c r="Y202" s="366"/>
      <c r="Z202" s="366"/>
      <c r="AA202" s="366"/>
      <c r="AB202" s="366"/>
      <c r="AC202" s="366"/>
      <c r="AD202" s="366"/>
      <c r="AE202" s="366"/>
      <c r="AF202" s="366"/>
      <c r="AG202" s="366"/>
      <c r="AH202" s="366"/>
      <c r="AI202" s="366"/>
      <c r="AJ202" s="366"/>
      <c r="AK202" s="366"/>
      <c r="AL202" s="366"/>
      <c r="AM202" s="607"/>
      <c r="AN202" s="366"/>
      <c r="AO202" s="366"/>
      <c r="AP202" s="366"/>
      <c r="AQ202" s="366"/>
      <c r="AR202" s="619"/>
      <c r="AS202" s="617"/>
    </row>
    <row r="203" spans="1:45" ht="15.75">
      <c r="A203" s="190"/>
      <c r="B203" s="366"/>
      <c r="C203" s="366"/>
      <c r="D203" s="596"/>
      <c r="E203" s="596"/>
      <c r="F203" s="366"/>
      <c r="G203" s="366"/>
      <c r="H203" s="366"/>
      <c r="I203" s="366"/>
      <c r="J203" s="366"/>
      <c r="K203" s="366"/>
      <c r="L203" s="366"/>
      <c r="M203" s="366"/>
      <c r="N203" s="366"/>
      <c r="O203" s="366"/>
      <c r="P203" s="611"/>
      <c r="Q203" s="614"/>
      <c r="R203" s="588"/>
      <c r="S203" s="188"/>
      <c r="T203" s="366"/>
      <c r="U203" s="366"/>
      <c r="V203" s="366"/>
      <c r="W203" s="366"/>
      <c r="X203" s="366"/>
      <c r="Y203" s="366"/>
      <c r="Z203" s="366"/>
      <c r="AA203" s="366"/>
      <c r="AB203" s="366"/>
      <c r="AC203" s="366"/>
      <c r="AD203" s="366"/>
      <c r="AE203" s="366"/>
      <c r="AF203" s="366"/>
      <c r="AG203" s="366"/>
      <c r="AH203" s="366"/>
      <c r="AI203" s="366"/>
      <c r="AJ203" s="366"/>
      <c r="AK203" s="366"/>
      <c r="AL203" s="366"/>
      <c r="AM203" s="607"/>
      <c r="AN203" s="366"/>
      <c r="AO203" s="366"/>
      <c r="AP203" s="366"/>
      <c r="AQ203" s="366"/>
      <c r="AR203" s="619"/>
      <c r="AS203" s="617"/>
    </row>
    <row r="204" spans="1:45" ht="15.75">
      <c r="A204" s="190"/>
      <c r="B204" s="366"/>
      <c r="C204" s="366"/>
      <c r="D204" s="596"/>
      <c r="E204" s="596"/>
      <c r="F204" s="366"/>
      <c r="G204" s="366"/>
      <c r="H204" s="366"/>
      <c r="I204" s="366"/>
      <c r="J204" s="366"/>
      <c r="K204" s="366"/>
      <c r="L204" s="366"/>
      <c r="M204" s="366"/>
      <c r="N204" s="366"/>
      <c r="O204" s="366"/>
      <c r="P204" s="611"/>
      <c r="Q204" s="614"/>
      <c r="R204" s="588"/>
      <c r="S204" s="188"/>
      <c r="T204" s="366"/>
      <c r="U204" s="366"/>
      <c r="V204" s="366"/>
      <c r="W204" s="366"/>
      <c r="X204" s="366"/>
      <c r="Y204" s="366"/>
      <c r="Z204" s="366"/>
      <c r="AA204" s="366"/>
      <c r="AB204" s="366"/>
      <c r="AC204" s="366"/>
      <c r="AD204" s="366"/>
      <c r="AE204" s="366"/>
      <c r="AF204" s="366"/>
      <c r="AG204" s="366"/>
      <c r="AH204" s="366"/>
      <c r="AI204" s="366"/>
      <c r="AJ204" s="366"/>
      <c r="AK204" s="366"/>
      <c r="AL204" s="366"/>
      <c r="AM204" s="607"/>
      <c r="AN204" s="366"/>
      <c r="AO204" s="366"/>
      <c r="AP204" s="366"/>
      <c r="AQ204" s="366"/>
      <c r="AR204" s="619"/>
      <c r="AS204" s="617"/>
    </row>
    <row r="205" spans="1:45" ht="15.75">
      <c r="A205" s="190"/>
      <c r="B205" s="366"/>
      <c r="C205" s="366"/>
      <c r="D205" s="596"/>
      <c r="E205" s="596"/>
      <c r="F205" s="366"/>
      <c r="G205" s="366"/>
      <c r="H205" s="366"/>
      <c r="I205" s="366"/>
      <c r="J205" s="366"/>
      <c r="K205" s="366"/>
      <c r="L205" s="366"/>
      <c r="M205" s="366"/>
      <c r="N205" s="366"/>
      <c r="O205" s="366"/>
      <c r="P205" s="611"/>
      <c r="Q205" s="614"/>
      <c r="R205" s="588"/>
      <c r="S205" s="188"/>
      <c r="T205" s="366"/>
      <c r="U205" s="366"/>
      <c r="V205" s="366"/>
      <c r="W205" s="366"/>
      <c r="X205" s="366"/>
      <c r="Y205" s="366"/>
      <c r="Z205" s="366"/>
      <c r="AA205" s="366"/>
      <c r="AB205" s="366"/>
      <c r="AC205" s="366"/>
      <c r="AD205" s="366"/>
      <c r="AE205" s="366"/>
      <c r="AF205" s="366"/>
      <c r="AG205" s="366"/>
      <c r="AH205" s="366"/>
      <c r="AI205" s="366"/>
      <c r="AJ205" s="366"/>
      <c r="AK205" s="366"/>
      <c r="AL205" s="366"/>
      <c r="AM205" s="607"/>
      <c r="AN205" s="366"/>
      <c r="AO205" s="366"/>
      <c r="AP205" s="366"/>
      <c r="AQ205" s="366"/>
      <c r="AR205" s="619"/>
      <c r="AS205" s="617"/>
    </row>
    <row r="206" spans="1:45" ht="15.75">
      <c r="A206" s="190"/>
      <c r="B206" s="366"/>
      <c r="C206" s="366"/>
      <c r="D206" s="596"/>
      <c r="E206" s="596"/>
      <c r="F206" s="366"/>
      <c r="G206" s="366"/>
      <c r="H206" s="366"/>
      <c r="I206" s="366"/>
      <c r="J206" s="366"/>
      <c r="K206" s="366"/>
      <c r="L206" s="366"/>
      <c r="M206" s="366"/>
      <c r="N206" s="366"/>
      <c r="O206" s="366"/>
      <c r="P206" s="611"/>
      <c r="Q206" s="614"/>
      <c r="R206" s="588"/>
      <c r="S206" s="188"/>
      <c r="T206" s="366"/>
      <c r="U206" s="366"/>
      <c r="V206" s="366"/>
      <c r="W206" s="366"/>
      <c r="X206" s="366"/>
      <c r="Y206" s="366"/>
      <c r="Z206" s="366"/>
      <c r="AA206" s="366"/>
      <c r="AB206" s="366"/>
      <c r="AC206" s="366"/>
      <c r="AD206" s="366"/>
      <c r="AE206" s="366"/>
      <c r="AF206" s="366"/>
      <c r="AG206" s="366"/>
      <c r="AH206" s="366"/>
      <c r="AI206" s="366"/>
      <c r="AJ206" s="366"/>
      <c r="AK206" s="366"/>
      <c r="AL206" s="366"/>
      <c r="AM206" s="607"/>
      <c r="AN206" s="366"/>
      <c r="AO206" s="366"/>
      <c r="AP206" s="366"/>
      <c r="AQ206" s="366"/>
      <c r="AR206" s="619"/>
      <c r="AS206" s="617"/>
    </row>
    <row r="207" spans="1:45" ht="15.75">
      <c r="A207" s="190"/>
      <c r="B207" s="366"/>
      <c r="C207" s="366"/>
      <c r="D207" s="596"/>
      <c r="E207" s="596"/>
      <c r="F207" s="366"/>
      <c r="G207" s="366"/>
      <c r="H207" s="366"/>
      <c r="I207" s="366"/>
      <c r="J207" s="366"/>
      <c r="K207" s="366"/>
      <c r="L207" s="366"/>
      <c r="M207" s="366"/>
      <c r="N207" s="366"/>
      <c r="O207" s="366"/>
      <c r="P207" s="611"/>
      <c r="Q207" s="614"/>
      <c r="R207" s="588"/>
      <c r="S207" s="188"/>
      <c r="T207" s="366"/>
      <c r="U207" s="366"/>
      <c r="V207" s="366"/>
      <c r="W207" s="366"/>
      <c r="X207" s="366"/>
      <c r="Y207" s="366"/>
      <c r="Z207" s="366"/>
      <c r="AA207" s="366"/>
      <c r="AB207" s="366"/>
      <c r="AC207" s="366"/>
      <c r="AD207" s="366"/>
      <c r="AE207" s="366"/>
      <c r="AF207" s="366"/>
      <c r="AG207" s="366"/>
      <c r="AH207" s="366"/>
      <c r="AI207" s="366"/>
      <c r="AJ207" s="366"/>
      <c r="AK207" s="366"/>
      <c r="AL207" s="366"/>
      <c r="AM207" s="607"/>
      <c r="AN207" s="366"/>
      <c r="AO207" s="366"/>
      <c r="AP207" s="366"/>
      <c r="AQ207" s="366"/>
      <c r="AR207" s="619"/>
      <c r="AS207" s="617"/>
    </row>
    <row r="208" spans="1:45" ht="15.75">
      <c r="A208" s="190"/>
      <c r="B208" s="366"/>
      <c r="C208" s="366"/>
      <c r="D208" s="596"/>
      <c r="E208" s="596"/>
      <c r="F208" s="366"/>
      <c r="G208" s="366"/>
      <c r="H208" s="366"/>
      <c r="I208" s="366"/>
      <c r="J208" s="366"/>
      <c r="K208" s="366"/>
      <c r="L208" s="366"/>
      <c r="M208" s="366"/>
      <c r="N208" s="366"/>
      <c r="O208" s="366"/>
      <c r="P208" s="611"/>
      <c r="Q208" s="614"/>
      <c r="R208" s="588"/>
      <c r="S208" s="188"/>
      <c r="T208" s="366"/>
      <c r="U208" s="366"/>
      <c r="V208" s="366"/>
      <c r="W208" s="366"/>
      <c r="X208" s="366"/>
      <c r="Y208" s="366"/>
      <c r="Z208" s="366"/>
      <c r="AA208" s="366"/>
      <c r="AB208" s="366"/>
      <c r="AC208" s="366"/>
      <c r="AD208" s="366"/>
      <c r="AE208" s="366"/>
      <c r="AF208" s="366"/>
      <c r="AG208" s="366"/>
      <c r="AH208" s="366"/>
      <c r="AI208" s="366"/>
      <c r="AJ208" s="366"/>
      <c r="AK208" s="366"/>
      <c r="AL208" s="366"/>
      <c r="AM208" s="607"/>
      <c r="AN208" s="366"/>
      <c r="AO208" s="366"/>
      <c r="AP208" s="366"/>
      <c r="AQ208" s="366"/>
      <c r="AR208" s="619"/>
      <c r="AS208" s="617"/>
    </row>
    <row r="209" spans="1:45" ht="15.75">
      <c r="A209" s="190"/>
      <c r="B209" s="366"/>
      <c r="C209" s="366"/>
      <c r="D209" s="596"/>
      <c r="E209" s="596"/>
      <c r="F209" s="366"/>
      <c r="G209" s="366"/>
      <c r="H209" s="366"/>
      <c r="I209" s="366"/>
      <c r="J209" s="366"/>
      <c r="K209" s="366"/>
      <c r="L209" s="366"/>
      <c r="M209" s="366"/>
      <c r="N209" s="366"/>
      <c r="O209" s="366"/>
      <c r="P209" s="611"/>
      <c r="Q209" s="614"/>
      <c r="R209" s="588"/>
      <c r="S209" s="188"/>
      <c r="T209" s="366"/>
      <c r="U209" s="366"/>
      <c r="V209" s="366"/>
      <c r="W209" s="366"/>
      <c r="X209" s="366"/>
      <c r="Y209" s="366"/>
      <c r="Z209" s="366"/>
      <c r="AA209" s="366"/>
      <c r="AB209" s="366"/>
      <c r="AC209" s="366"/>
      <c r="AD209" s="366"/>
      <c r="AE209" s="366"/>
      <c r="AF209" s="366"/>
      <c r="AG209" s="366"/>
      <c r="AH209" s="366"/>
      <c r="AI209" s="366"/>
      <c r="AJ209" s="366"/>
      <c r="AK209" s="366"/>
      <c r="AL209" s="366"/>
      <c r="AM209" s="607"/>
      <c r="AN209" s="366"/>
      <c r="AO209" s="366"/>
      <c r="AP209" s="366"/>
      <c r="AQ209" s="366"/>
      <c r="AR209" s="619"/>
      <c r="AS209" s="617"/>
    </row>
    <row r="210" spans="1:45" ht="15.75">
      <c r="A210" s="190"/>
      <c r="B210" s="366"/>
      <c r="C210" s="366"/>
      <c r="D210" s="596"/>
      <c r="E210" s="596"/>
      <c r="F210" s="366"/>
      <c r="G210" s="366"/>
      <c r="H210" s="366"/>
      <c r="I210" s="366"/>
      <c r="J210" s="366"/>
      <c r="K210" s="366"/>
      <c r="L210" s="366"/>
      <c r="M210" s="366"/>
      <c r="N210" s="366"/>
      <c r="O210" s="366"/>
      <c r="P210" s="611"/>
      <c r="Q210" s="614"/>
      <c r="R210" s="588"/>
      <c r="S210" s="188"/>
      <c r="T210" s="366"/>
      <c r="U210" s="366"/>
      <c r="V210" s="366"/>
      <c r="W210" s="366"/>
      <c r="X210" s="366"/>
      <c r="Y210" s="366"/>
      <c r="Z210" s="366"/>
      <c r="AA210" s="366"/>
      <c r="AB210" s="366"/>
      <c r="AC210" s="366"/>
      <c r="AD210" s="366"/>
      <c r="AE210" s="366"/>
      <c r="AF210" s="366"/>
      <c r="AG210" s="366"/>
      <c r="AH210" s="366"/>
      <c r="AI210" s="366"/>
      <c r="AJ210" s="366"/>
      <c r="AK210" s="366"/>
      <c r="AL210" s="366"/>
      <c r="AM210" s="607"/>
      <c r="AN210" s="366"/>
      <c r="AO210" s="366"/>
      <c r="AP210" s="366"/>
      <c r="AQ210" s="366"/>
      <c r="AR210" s="619"/>
      <c r="AS210" s="617"/>
    </row>
    <row r="211" spans="1:45" ht="15.75">
      <c r="A211" s="190"/>
      <c r="B211" s="366"/>
      <c r="C211" s="366"/>
      <c r="D211" s="596"/>
      <c r="E211" s="596"/>
      <c r="F211" s="366"/>
      <c r="G211" s="366"/>
      <c r="H211" s="366"/>
      <c r="I211" s="366"/>
      <c r="J211" s="366"/>
      <c r="K211" s="366"/>
      <c r="L211" s="366"/>
      <c r="M211" s="366"/>
      <c r="N211" s="366"/>
      <c r="O211" s="366"/>
      <c r="P211" s="611"/>
      <c r="Q211" s="614"/>
      <c r="R211" s="588"/>
      <c r="S211" s="188"/>
      <c r="T211" s="366"/>
      <c r="U211" s="366"/>
      <c r="V211" s="366"/>
      <c r="W211" s="366"/>
      <c r="X211" s="366"/>
      <c r="Y211" s="366"/>
      <c r="Z211" s="366"/>
      <c r="AA211" s="366"/>
      <c r="AB211" s="366"/>
      <c r="AC211" s="366"/>
      <c r="AD211" s="366"/>
      <c r="AE211" s="366"/>
      <c r="AF211" s="366"/>
      <c r="AG211" s="366"/>
      <c r="AH211" s="366"/>
      <c r="AI211" s="366"/>
      <c r="AJ211" s="366"/>
      <c r="AK211" s="366"/>
      <c r="AL211" s="366"/>
      <c r="AM211" s="607"/>
      <c r="AN211" s="366"/>
      <c r="AO211" s="366"/>
      <c r="AP211" s="366"/>
      <c r="AQ211" s="366"/>
      <c r="AR211" s="619"/>
      <c r="AS211" s="617"/>
    </row>
    <row r="212" spans="1:45" ht="15.75">
      <c r="A212" s="190"/>
      <c r="B212" s="366"/>
      <c r="C212" s="366"/>
      <c r="D212" s="596"/>
      <c r="E212" s="596"/>
      <c r="F212" s="366"/>
      <c r="G212" s="366"/>
      <c r="H212" s="366"/>
      <c r="I212" s="366"/>
      <c r="J212" s="366"/>
      <c r="K212" s="366"/>
      <c r="L212" s="366"/>
      <c r="M212" s="366"/>
      <c r="N212" s="366"/>
      <c r="O212" s="366"/>
      <c r="P212" s="611"/>
      <c r="Q212" s="614"/>
      <c r="R212" s="588"/>
      <c r="S212" s="188"/>
      <c r="T212" s="366"/>
      <c r="U212" s="366"/>
      <c r="V212" s="366"/>
      <c r="W212" s="366"/>
      <c r="X212" s="366"/>
      <c r="Y212" s="366"/>
      <c r="Z212" s="366"/>
      <c r="AA212" s="366"/>
      <c r="AB212" s="366"/>
      <c r="AC212" s="366"/>
      <c r="AD212" s="366"/>
      <c r="AE212" s="366"/>
      <c r="AF212" s="366"/>
      <c r="AG212" s="366"/>
      <c r="AH212" s="366"/>
      <c r="AI212" s="366"/>
      <c r="AJ212" s="366"/>
      <c r="AK212" s="366"/>
      <c r="AL212" s="366"/>
      <c r="AM212" s="607"/>
      <c r="AN212" s="366"/>
      <c r="AO212" s="366"/>
      <c r="AP212" s="366"/>
      <c r="AQ212" s="366"/>
      <c r="AR212" s="619"/>
      <c r="AS212" s="617"/>
    </row>
    <row r="213" spans="1:45" ht="15.75">
      <c r="A213" s="190"/>
      <c r="B213" s="366"/>
      <c r="C213" s="366"/>
      <c r="D213" s="596"/>
      <c r="E213" s="596"/>
      <c r="F213" s="366"/>
      <c r="G213" s="366"/>
      <c r="H213" s="366"/>
      <c r="I213" s="366"/>
      <c r="J213" s="366"/>
      <c r="K213" s="366"/>
      <c r="L213" s="366"/>
      <c r="M213" s="366"/>
      <c r="N213" s="366"/>
      <c r="O213" s="366"/>
      <c r="P213" s="611"/>
      <c r="Q213" s="614"/>
      <c r="R213" s="588"/>
      <c r="S213" s="188"/>
      <c r="T213" s="366"/>
      <c r="U213" s="366"/>
      <c r="V213" s="366"/>
      <c r="W213" s="366"/>
      <c r="X213" s="366"/>
      <c r="Y213" s="366"/>
      <c r="Z213" s="366"/>
      <c r="AA213" s="366"/>
      <c r="AB213" s="366"/>
      <c r="AC213" s="366"/>
      <c r="AD213" s="366"/>
      <c r="AE213" s="366"/>
      <c r="AF213" s="366"/>
      <c r="AG213" s="366"/>
      <c r="AH213" s="366"/>
      <c r="AI213" s="366"/>
      <c r="AJ213" s="366"/>
      <c r="AK213" s="366"/>
      <c r="AL213" s="366"/>
      <c r="AM213" s="607"/>
      <c r="AN213" s="366"/>
      <c r="AO213" s="366"/>
      <c r="AP213" s="366"/>
      <c r="AQ213" s="366"/>
      <c r="AR213" s="619"/>
      <c r="AS213" s="617"/>
    </row>
    <row r="214" spans="1:45" ht="15.75">
      <c r="A214" s="190"/>
      <c r="B214" s="366"/>
      <c r="C214" s="366"/>
      <c r="D214" s="596"/>
      <c r="E214" s="596"/>
      <c r="F214" s="366"/>
      <c r="G214" s="366"/>
      <c r="H214" s="366"/>
      <c r="I214" s="366"/>
      <c r="J214" s="366"/>
      <c r="K214" s="366"/>
      <c r="L214" s="366"/>
      <c r="M214" s="366"/>
      <c r="N214" s="366"/>
      <c r="O214" s="366"/>
      <c r="P214" s="611"/>
      <c r="Q214" s="614"/>
      <c r="R214" s="588"/>
      <c r="S214" s="188"/>
      <c r="T214" s="366"/>
      <c r="U214" s="366"/>
      <c r="V214" s="366"/>
      <c r="W214" s="366"/>
      <c r="X214" s="366"/>
      <c r="Y214" s="366"/>
      <c r="Z214" s="366"/>
      <c r="AA214" s="366"/>
      <c r="AB214" s="366"/>
      <c r="AC214" s="366"/>
      <c r="AD214" s="366"/>
      <c r="AE214" s="366"/>
      <c r="AF214" s="366"/>
      <c r="AG214" s="366"/>
      <c r="AH214" s="366"/>
      <c r="AI214" s="366"/>
      <c r="AJ214" s="366"/>
      <c r="AK214" s="366"/>
      <c r="AL214" s="366"/>
      <c r="AM214" s="607"/>
      <c r="AN214" s="366"/>
      <c r="AO214" s="366"/>
      <c r="AP214" s="366"/>
      <c r="AQ214" s="366"/>
      <c r="AR214" s="619"/>
      <c r="AS214" s="617"/>
    </row>
    <row r="215" spans="1:45" ht="15.75">
      <c r="A215" s="190"/>
      <c r="B215" s="366"/>
      <c r="C215" s="366"/>
      <c r="D215" s="596"/>
      <c r="E215" s="596"/>
      <c r="F215" s="366"/>
      <c r="G215" s="366"/>
      <c r="H215" s="366"/>
      <c r="I215" s="366"/>
      <c r="J215" s="366"/>
      <c r="K215" s="366"/>
      <c r="L215" s="366"/>
      <c r="M215" s="366"/>
      <c r="N215" s="366"/>
      <c r="O215" s="366"/>
      <c r="P215" s="611"/>
      <c r="Q215" s="614"/>
      <c r="R215" s="588"/>
      <c r="S215" s="188"/>
      <c r="T215" s="366"/>
      <c r="U215" s="366"/>
      <c r="V215" s="366"/>
      <c r="W215" s="366"/>
      <c r="X215" s="366"/>
      <c r="Y215" s="366"/>
      <c r="Z215" s="366"/>
      <c r="AA215" s="366"/>
      <c r="AB215" s="366"/>
      <c r="AC215" s="366"/>
      <c r="AD215" s="366"/>
      <c r="AE215" s="366"/>
      <c r="AF215" s="366"/>
      <c r="AG215" s="366"/>
      <c r="AH215" s="366"/>
      <c r="AI215" s="366"/>
      <c r="AJ215" s="366"/>
      <c r="AK215" s="366"/>
      <c r="AL215" s="366"/>
      <c r="AM215" s="607"/>
      <c r="AN215" s="366"/>
      <c r="AO215" s="366"/>
      <c r="AP215" s="366"/>
      <c r="AQ215" s="366"/>
      <c r="AR215" s="619"/>
      <c r="AS215" s="617"/>
    </row>
    <row r="216" spans="1:45" ht="15.75">
      <c r="A216" s="190"/>
      <c r="B216" s="366"/>
      <c r="C216" s="366"/>
      <c r="D216" s="596"/>
      <c r="E216" s="596"/>
      <c r="F216" s="366"/>
      <c r="G216" s="366"/>
      <c r="H216" s="366"/>
      <c r="I216" s="366"/>
      <c r="J216" s="366"/>
      <c r="K216" s="366"/>
      <c r="L216" s="366"/>
      <c r="M216" s="366"/>
      <c r="N216" s="366"/>
      <c r="O216" s="366"/>
      <c r="P216" s="611"/>
      <c r="Q216" s="614"/>
      <c r="R216" s="588"/>
      <c r="S216" s="188"/>
      <c r="T216" s="366"/>
      <c r="U216" s="366"/>
      <c r="V216" s="366"/>
      <c r="W216" s="366"/>
      <c r="X216" s="366"/>
      <c r="Y216" s="366"/>
      <c r="Z216" s="366"/>
      <c r="AA216" s="366"/>
      <c r="AB216" s="366"/>
      <c r="AC216" s="366"/>
      <c r="AD216" s="366"/>
      <c r="AE216" s="366"/>
      <c r="AF216" s="366"/>
      <c r="AG216" s="366"/>
      <c r="AH216" s="366"/>
      <c r="AI216" s="366"/>
      <c r="AJ216" s="366"/>
      <c r="AK216" s="366"/>
      <c r="AL216" s="366"/>
      <c r="AM216" s="607"/>
      <c r="AN216" s="366"/>
      <c r="AO216" s="366"/>
      <c r="AP216" s="366"/>
      <c r="AQ216" s="366"/>
      <c r="AR216" s="619"/>
      <c r="AS216" s="617"/>
    </row>
    <row r="217" spans="1:45" ht="15.75">
      <c r="A217" s="190"/>
      <c r="B217" s="366"/>
      <c r="C217" s="366"/>
      <c r="D217" s="596"/>
      <c r="E217" s="596"/>
      <c r="F217" s="366"/>
      <c r="G217" s="366"/>
      <c r="H217" s="366"/>
      <c r="I217" s="366"/>
      <c r="J217" s="366"/>
      <c r="K217" s="366"/>
      <c r="L217" s="366"/>
      <c r="M217" s="366"/>
      <c r="N217" s="366"/>
      <c r="O217" s="366"/>
      <c r="P217" s="611"/>
      <c r="Q217" s="614"/>
      <c r="R217" s="588"/>
      <c r="S217" s="188"/>
      <c r="T217" s="366"/>
      <c r="U217" s="366"/>
      <c r="V217" s="366"/>
      <c r="W217" s="366"/>
      <c r="X217" s="366"/>
      <c r="Y217" s="366"/>
      <c r="Z217" s="366"/>
      <c r="AA217" s="366"/>
      <c r="AB217" s="366"/>
      <c r="AC217" s="366"/>
      <c r="AD217" s="366"/>
      <c r="AE217" s="366"/>
      <c r="AF217" s="366"/>
      <c r="AG217" s="366"/>
      <c r="AH217" s="366"/>
      <c r="AI217" s="366"/>
      <c r="AJ217" s="366"/>
      <c r="AK217" s="366"/>
      <c r="AL217" s="366"/>
      <c r="AM217" s="607"/>
      <c r="AN217" s="366"/>
      <c r="AO217" s="366"/>
      <c r="AP217" s="366"/>
      <c r="AQ217" s="366"/>
      <c r="AR217" s="619"/>
      <c r="AS217" s="617"/>
    </row>
    <row r="218" spans="1:45" ht="15.75">
      <c r="A218" s="190"/>
      <c r="B218" s="366"/>
      <c r="C218" s="366"/>
      <c r="D218" s="596"/>
      <c r="E218" s="596"/>
      <c r="F218" s="366"/>
      <c r="G218" s="366"/>
      <c r="H218" s="366"/>
      <c r="I218" s="366"/>
      <c r="J218" s="366"/>
      <c r="K218" s="366"/>
      <c r="L218" s="366"/>
      <c r="M218" s="366"/>
      <c r="N218" s="366"/>
      <c r="O218" s="366"/>
      <c r="P218" s="611"/>
      <c r="Q218" s="614"/>
      <c r="R218" s="588"/>
      <c r="S218" s="188"/>
      <c r="T218" s="366"/>
      <c r="U218" s="366"/>
      <c r="V218" s="366"/>
      <c r="W218" s="366"/>
      <c r="X218" s="366"/>
      <c r="Y218" s="366"/>
      <c r="Z218" s="366"/>
      <c r="AA218" s="366"/>
      <c r="AB218" s="366"/>
      <c r="AC218" s="366"/>
      <c r="AD218" s="366"/>
      <c r="AE218" s="366"/>
      <c r="AF218" s="366"/>
      <c r="AG218" s="366"/>
      <c r="AH218" s="366"/>
      <c r="AI218" s="366"/>
      <c r="AJ218" s="366"/>
      <c r="AK218" s="366"/>
      <c r="AL218" s="366"/>
      <c r="AM218" s="607"/>
      <c r="AN218" s="366"/>
      <c r="AO218" s="366"/>
      <c r="AP218" s="366"/>
      <c r="AQ218" s="366"/>
      <c r="AR218" s="619"/>
      <c r="AS218" s="617"/>
    </row>
    <row r="219" spans="1:45" ht="15.75">
      <c r="A219" s="190"/>
      <c r="B219" s="366"/>
      <c r="C219" s="366"/>
      <c r="D219" s="596"/>
      <c r="E219" s="596"/>
      <c r="F219" s="366"/>
      <c r="G219" s="366"/>
      <c r="H219" s="366"/>
      <c r="I219" s="366"/>
      <c r="J219" s="366"/>
      <c r="K219" s="366"/>
      <c r="L219" s="366"/>
      <c r="M219" s="366"/>
      <c r="N219" s="366"/>
      <c r="O219" s="366"/>
      <c r="P219" s="611"/>
      <c r="Q219" s="614"/>
      <c r="R219" s="588"/>
      <c r="S219" s="188"/>
      <c r="T219" s="366"/>
      <c r="U219" s="366"/>
      <c r="V219" s="366"/>
      <c r="W219" s="366"/>
      <c r="X219" s="366"/>
      <c r="Y219" s="366"/>
      <c r="Z219" s="366"/>
      <c r="AA219" s="366"/>
      <c r="AB219" s="366"/>
      <c r="AC219" s="366"/>
      <c r="AD219" s="366"/>
      <c r="AE219" s="366"/>
      <c r="AF219" s="366"/>
      <c r="AG219" s="366"/>
      <c r="AH219" s="366"/>
      <c r="AI219" s="366"/>
      <c r="AJ219" s="366"/>
      <c r="AK219" s="366"/>
      <c r="AL219" s="366"/>
      <c r="AM219" s="607"/>
      <c r="AN219" s="366"/>
      <c r="AO219" s="366"/>
      <c r="AP219" s="366"/>
      <c r="AQ219" s="366"/>
      <c r="AR219" s="619"/>
      <c r="AS219" s="617"/>
    </row>
    <row r="220" spans="1:45" ht="15.75">
      <c r="A220" s="190"/>
      <c r="B220" s="366"/>
      <c r="C220" s="366"/>
      <c r="D220" s="596"/>
      <c r="E220" s="596"/>
      <c r="F220" s="366"/>
      <c r="G220" s="366"/>
      <c r="H220" s="366"/>
      <c r="I220" s="366"/>
      <c r="J220" s="366"/>
      <c r="K220" s="366"/>
      <c r="L220" s="366"/>
      <c r="M220" s="366"/>
      <c r="N220" s="366"/>
      <c r="O220" s="366"/>
      <c r="P220" s="611"/>
      <c r="Q220" s="614"/>
      <c r="R220" s="588"/>
      <c r="S220" s="188"/>
      <c r="T220" s="366"/>
      <c r="U220" s="366"/>
      <c r="V220" s="366"/>
      <c r="W220" s="366"/>
      <c r="X220" s="366"/>
      <c r="Y220" s="366"/>
      <c r="Z220" s="366"/>
      <c r="AA220" s="366"/>
      <c r="AB220" s="366"/>
      <c r="AC220" s="366"/>
      <c r="AD220" s="366"/>
      <c r="AE220" s="366"/>
      <c r="AF220" s="366"/>
      <c r="AG220" s="366"/>
      <c r="AH220" s="366"/>
      <c r="AI220" s="366"/>
      <c r="AJ220" s="366"/>
      <c r="AK220" s="366"/>
      <c r="AL220" s="366"/>
      <c r="AM220" s="607"/>
      <c r="AN220" s="366"/>
      <c r="AO220" s="366"/>
      <c r="AP220" s="366"/>
      <c r="AQ220" s="366"/>
      <c r="AR220" s="619"/>
      <c r="AS220" s="617"/>
    </row>
    <row r="221" spans="1:45" ht="15.75">
      <c r="A221" s="190"/>
      <c r="B221" s="366"/>
      <c r="C221" s="366"/>
      <c r="D221" s="596"/>
      <c r="E221" s="596"/>
      <c r="F221" s="366"/>
      <c r="G221" s="366"/>
      <c r="H221" s="366"/>
      <c r="I221" s="366"/>
      <c r="J221" s="366"/>
      <c r="K221" s="366"/>
      <c r="L221" s="366"/>
      <c r="M221" s="366"/>
      <c r="N221" s="366"/>
      <c r="O221" s="366"/>
      <c r="P221" s="611"/>
      <c r="Q221" s="614"/>
      <c r="R221" s="588"/>
      <c r="S221" s="188"/>
      <c r="T221" s="366"/>
      <c r="U221" s="366"/>
      <c r="V221" s="366"/>
      <c r="W221" s="366"/>
      <c r="X221" s="366"/>
      <c r="Y221" s="366"/>
      <c r="Z221" s="366"/>
      <c r="AA221" s="366"/>
      <c r="AB221" s="366"/>
      <c r="AC221" s="366"/>
      <c r="AD221" s="366"/>
      <c r="AE221" s="366"/>
      <c r="AF221" s="366"/>
      <c r="AG221" s="366"/>
      <c r="AH221" s="366"/>
      <c r="AI221" s="366"/>
      <c r="AJ221" s="366"/>
      <c r="AK221" s="366"/>
      <c r="AL221" s="366"/>
      <c r="AM221" s="607"/>
      <c r="AN221" s="366"/>
      <c r="AO221" s="366"/>
      <c r="AP221" s="366"/>
      <c r="AQ221" s="366"/>
      <c r="AR221" s="619"/>
      <c r="AS221" s="617"/>
    </row>
    <row r="222" spans="1:45" ht="15.75">
      <c r="A222" s="190"/>
      <c r="B222" s="366"/>
      <c r="C222" s="366"/>
      <c r="D222" s="596"/>
      <c r="E222" s="596"/>
      <c r="F222" s="366"/>
      <c r="G222" s="366"/>
      <c r="H222" s="366"/>
      <c r="I222" s="366"/>
      <c r="J222" s="366"/>
      <c r="K222" s="366"/>
      <c r="L222" s="366"/>
      <c r="M222" s="366"/>
      <c r="N222" s="366"/>
      <c r="O222" s="366"/>
      <c r="P222" s="611"/>
      <c r="Q222" s="614"/>
      <c r="R222" s="588"/>
      <c r="S222" s="188"/>
      <c r="T222" s="366"/>
      <c r="U222" s="366"/>
      <c r="V222" s="366"/>
      <c r="W222" s="366"/>
      <c r="X222" s="366"/>
      <c r="Y222" s="366"/>
      <c r="Z222" s="366"/>
      <c r="AA222" s="366"/>
      <c r="AB222" s="366"/>
      <c r="AC222" s="366"/>
      <c r="AD222" s="366"/>
      <c r="AE222" s="366"/>
      <c r="AF222" s="366"/>
      <c r="AG222" s="366"/>
      <c r="AH222" s="366"/>
      <c r="AI222" s="366"/>
      <c r="AJ222" s="366"/>
      <c r="AK222" s="366"/>
      <c r="AL222" s="366"/>
      <c r="AM222" s="607"/>
      <c r="AN222" s="366"/>
      <c r="AO222" s="366"/>
      <c r="AP222" s="366"/>
      <c r="AQ222" s="366"/>
      <c r="AR222" s="619"/>
      <c r="AS222" s="617"/>
    </row>
    <row r="223" spans="1:45" ht="15.75">
      <c r="A223" s="190"/>
      <c r="B223" s="366"/>
      <c r="C223" s="366"/>
      <c r="D223" s="596"/>
      <c r="E223" s="596"/>
      <c r="F223" s="366"/>
      <c r="G223" s="366"/>
      <c r="H223" s="366"/>
      <c r="I223" s="366"/>
      <c r="J223" s="366"/>
      <c r="K223" s="366"/>
      <c r="L223" s="366"/>
      <c r="M223" s="366"/>
      <c r="N223" s="366"/>
      <c r="O223" s="366"/>
      <c r="P223" s="611"/>
      <c r="Q223" s="614"/>
      <c r="R223" s="588"/>
      <c r="S223" s="188"/>
      <c r="T223" s="366"/>
      <c r="U223" s="366"/>
      <c r="V223" s="366"/>
      <c r="W223" s="366"/>
      <c r="X223" s="366"/>
      <c r="Y223" s="366"/>
      <c r="Z223" s="366"/>
      <c r="AA223" s="366"/>
      <c r="AB223" s="366"/>
      <c r="AC223" s="366"/>
      <c r="AD223" s="366"/>
      <c r="AE223" s="366"/>
      <c r="AF223" s="366"/>
      <c r="AG223" s="366"/>
      <c r="AH223" s="366"/>
      <c r="AI223" s="366"/>
      <c r="AJ223" s="366"/>
      <c r="AK223" s="366"/>
      <c r="AL223" s="366"/>
      <c r="AM223" s="607"/>
      <c r="AN223" s="366"/>
      <c r="AO223" s="366"/>
      <c r="AP223" s="366"/>
      <c r="AQ223" s="366"/>
      <c r="AR223" s="619"/>
      <c r="AS223" s="617"/>
    </row>
    <row r="224" spans="1:45" ht="15.75">
      <c r="A224" s="190"/>
      <c r="B224" s="366"/>
      <c r="C224" s="366"/>
      <c r="D224" s="596"/>
      <c r="E224" s="596"/>
      <c r="F224" s="366"/>
      <c r="G224" s="366"/>
      <c r="H224" s="366"/>
      <c r="I224" s="366"/>
      <c r="J224" s="366"/>
      <c r="K224" s="366"/>
      <c r="L224" s="366"/>
      <c r="M224" s="366"/>
      <c r="N224" s="366"/>
      <c r="O224" s="366"/>
      <c r="P224" s="611"/>
      <c r="Q224" s="614"/>
      <c r="R224" s="588"/>
      <c r="S224" s="188"/>
      <c r="T224" s="366"/>
      <c r="U224" s="366"/>
      <c r="V224" s="366"/>
      <c r="W224" s="366"/>
      <c r="X224" s="366"/>
      <c r="Y224" s="366"/>
      <c r="Z224" s="366"/>
      <c r="AA224" s="366"/>
      <c r="AB224" s="366"/>
      <c r="AC224" s="366"/>
      <c r="AD224" s="366"/>
      <c r="AE224" s="366"/>
      <c r="AF224" s="366"/>
      <c r="AG224" s="366"/>
      <c r="AH224" s="366"/>
      <c r="AI224" s="366"/>
      <c r="AJ224" s="366"/>
      <c r="AK224" s="366"/>
      <c r="AL224" s="366"/>
      <c r="AM224" s="607"/>
      <c r="AN224" s="366"/>
      <c r="AO224" s="366"/>
      <c r="AP224" s="366"/>
      <c r="AQ224" s="366"/>
      <c r="AR224" s="619"/>
      <c r="AS224" s="617"/>
    </row>
    <row r="225" spans="1:45" ht="15.75">
      <c r="A225" s="190"/>
      <c r="B225" s="366"/>
      <c r="C225" s="366"/>
      <c r="D225" s="596"/>
      <c r="E225" s="596"/>
      <c r="F225" s="366"/>
      <c r="G225" s="366"/>
      <c r="H225" s="366"/>
      <c r="I225" s="366"/>
      <c r="J225" s="366"/>
      <c r="K225" s="366"/>
      <c r="L225" s="366"/>
      <c r="M225" s="366"/>
      <c r="N225" s="366"/>
      <c r="O225" s="366"/>
      <c r="P225" s="611"/>
      <c r="Q225" s="614"/>
      <c r="R225" s="588"/>
      <c r="S225" s="188"/>
      <c r="T225" s="366"/>
      <c r="U225" s="366"/>
      <c r="V225" s="366"/>
      <c r="W225" s="366"/>
      <c r="X225" s="366"/>
      <c r="Y225" s="366"/>
      <c r="Z225" s="366"/>
      <c r="AA225" s="366"/>
      <c r="AB225" s="366"/>
      <c r="AC225" s="366"/>
      <c r="AD225" s="366"/>
      <c r="AE225" s="366"/>
      <c r="AF225" s="366"/>
      <c r="AG225" s="366"/>
      <c r="AH225" s="366"/>
      <c r="AI225" s="366"/>
      <c r="AJ225" s="366"/>
      <c r="AK225" s="366"/>
      <c r="AL225" s="366"/>
      <c r="AM225" s="607"/>
      <c r="AN225" s="366"/>
      <c r="AO225" s="366"/>
      <c r="AP225" s="366"/>
      <c r="AQ225" s="366"/>
      <c r="AR225" s="619"/>
      <c r="AS225" s="617"/>
    </row>
    <row r="226" spans="1:45" ht="15.75">
      <c r="A226" s="190"/>
      <c r="B226" s="366"/>
      <c r="C226" s="366"/>
      <c r="D226" s="596"/>
      <c r="E226" s="596"/>
      <c r="F226" s="366"/>
      <c r="G226" s="366"/>
      <c r="H226" s="366"/>
      <c r="I226" s="366"/>
      <c r="J226" s="366"/>
      <c r="K226" s="366"/>
      <c r="L226" s="366"/>
      <c r="M226" s="366"/>
      <c r="N226" s="366"/>
      <c r="O226" s="366"/>
      <c r="P226" s="611"/>
      <c r="Q226" s="614"/>
      <c r="R226" s="588"/>
      <c r="S226" s="188"/>
      <c r="T226" s="366"/>
      <c r="U226" s="366"/>
      <c r="V226" s="366"/>
      <c r="W226" s="366"/>
      <c r="X226" s="366"/>
      <c r="Y226" s="366"/>
      <c r="Z226" s="366"/>
      <c r="AA226" s="366"/>
      <c r="AB226" s="366"/>
      <c r="AC226" s="366"/>
      <c r="AD226" s="366"/>
      <c r="AE226" s="366"/>
      <c r="AF226" s="366"/>
      <c r="AG226" s="366"/>
      <c r="AH226" s="366"/>
      <c r="AI226" s="366"/>
      <c r="AJ226" s="366"/>
      <c r="AK226" s="366"/>
      <c r="AL226" s="366"/>
      <c r="AM226" s="607"/>
      <c r="AN226" s="366"/>
      <c r="AO226" s="366"/>
      <c r="AP226" s="366"/>
      <c r="AQ226" s="366"/>
      <c r="AR226" s="619"/>
      <c r="AS226" s="617"/>
    </row>
    <row r="227" spans="1:45" ht="15.75">
      <c r="A227" s="190"/>
      <c r="B227" s="366"/>
      <c r="C227" s="366"/>
      <c r="D227" s="596"/>
      <c r="E227" s="596"/>
      <c r="F227" s="366"/>
      <c r="G227" s="366"/>
      <c r="H227" s="366"/>
      <c r="I227" s="366"/>
      <c r="J227" s="366"/>
      <c r="K227" s="366"/>
      <c r="L227" s="366"/>
      <c r="M227" s="366"/>
      <c r="N227" s="366"/>
      <c r="O227" s="366"/>
      <c r="P227" s="611"/>
      <c r="Q227" s="614"/>
      <c r="R227" s="588"/>
      <c r="S227" s="188"/>
      <c r="T227" s="366"/>
      <c r="U227" s="366"/>
      <c r="V227" s="366"/>
      <c r="W227" s="366"/>
      <c r="X227" s="366"/>
      <c r="Y227" s="366"/>
      <c r="Z227" s="366"/>
      <c r="AA227" s="366"/>
      <c r="AB227" s="366"/>
      <c r="AC227" s="366"/>
      <c r="AD227" s="366"/>
      <c r="AE227" s="366"/>
      <c r="AF227" s="366"/>
      <c r="AG227" s="366"/>
      <c r="AH227" s="366"/>
      <c r="AI227" s="366"/>
      <c r="AJ227" s="366"/>
      <c r="AK227" s="366"/>
      <c r="AL227" s="366"/>
      <c r="AM227" s="607"/>
      <c r="AN227" s="366"/>
      <c r="AO227" s="366"/>
      <c r="AP227" s="366"/>
      <c r="AQ227" s="366"/>
      <c r="AR227" s="619"/>
      <c r="AS227" s="617"/>
    </row>
    <row r="228" spans="1:45" ht="15.75">
      <c r="A228" s="190"/>
      <c r="B228" s="366"/>
      <c r="C228" s="366"/>
      <c r="D228" s="596"/>
      <c r="E228" s="596"/>
      <c r="F228" s="366"/>
      <c r="G228" s="366"/>
      <c r="H228" s="366"/>
      <c r="I228" s="366"/>
      <c r="J228" s="366"/>
      <c r="K228" s="366"/>
      <c r="L228" s="366"/>
      <c r="M228" s="366"/>
      <c r="N228" s="366"/>
      <c r="O228" s="366"/>
      <c r="P228" s="611"/>
      <c r="Q228" s="614"/>
      <c r="R228" s="588"/>
      <c r="S228" s="188"/>
      <c r="T228" s="366"/>
      <c r="U228" s="366"/>
      <c r="V228" s="366"/>
      <c r="W228" s="366"/>
      <c r="X228" s="366"/>
      <c r="Y228" s="366"/>
      <c r="Z228" s="366"/>
      <c r="AA228" s="366"/>
      <c r="AB228" s="366"/>
      <c r="AC228" s="366"/>
      <c r="AD228" s="366"/>
      <c r="AE228" s="366"/>
      <c r="AF228" s="366"/>
      <c r="AG228" s="366"/>
      <c r="AH228" s="366"/>
      <c r="AI228" s="366"/>
      <c r="AJ228" s="366"/>
      <c r="AK228" s="366"/>
      <c r="AL228" s="366"/>
      <c r="AM228" s="607"/>
      <c r="AN228" s="366"/>
      <c r="AO228" s="366"/>
      <c r="AP228" s="366"/>
      <c r="AQ228" s="366"/>
      <c r="AR228" s="619"/>
      <c r="AS228" s="617"/>
    </row>
    <row r="229" spans="1:45" ht="15.75">
      <c r="A229" s="190"/>
      <c r="B229" s="366"/>
      <c r="C229" s="366"/>
      <c r="D229" s="596"/>
      <c r="E229" s="596"/>
      <c r="F229" s="366"/>
      <c r="G229" s="366"/>
      <c r="H229" s="366"/>
      <c r="I229" s="366"/>
      <c r="J229" s="366"/>
      <c r="K229" s="366"/>
      <c r="L229" s="366"/>
      <c r="M229" s="366"/>
      <c r="N229" s="366"/>
      <c r="O229" s="366"/>
      <c r="P229" s="611"/>
      <c r="Q229" s="614"/>
      <c r="R229" s="588"/>
      <c r="S229" s="188"/>
      <c r="T229" s="366"/>
      <c r="U229" s="366"/>
      <c r="V229" s="366"/>
      <c r="W229" s="366"/>
      <c r="X229" s="366"/>
      <c r="Y229" s="366"/>
      <c r="Z229" s="366"/>
      <c r="AA229" s="366"/>
      <c r="AB229" s="366"/>
      <c r="AC229" s="366"/>
      <c r="AD229" s="366"/>
      <c r="AE229" s="366"/>
      <c r="AF229" s="366"/>
      <c r="AG229" s="366"/>
      <c r="AH229" s="366"/>
      <c r="AI229" s="366"/>
      <c r="AJ229" s="366"/>
      <c r="AK229" s="366"/>
      <c r="AL229" s="366"/>
      <c r="AM229" s="607"/>
      <c r="AN229" s="366"/>
      <c r="AO229" s="366"/>
      <c r="AP229" s="366"/>
      <c r="AQ229" s="366"/>
      <c r="AR229" s="619"/>
      <c r="AS229" s="617"/>
    </row>
    <row r="230" spans="1:45" ht="15.75">
      <c r="A230" s="190"/>
      <c r="B230" s="366"/>
      <c r="C230" s="366"/>
      <c r="D230" s="596"/>
      <c r="E230" s="596"/>
      <c r="F230" s="366"/>
      <c r="G230" s="366"/>
      <c r="H230" s="366"/>
      <c r="I230" s="366"/>
      <c r="J230" s="366"/>
      <c r="K230" s="366"/>
      <c r="L230" s="366"/>
      <c r="M230" s="366"/>
      <c r="N230" s="366"/>
      <c r="O230" s="366"/>
      <c r="P230" s="611"/>
      <c r="Q230" s="614"/>
      <c r="R230" s="588"/>
      <c r="S230" s="188"/>
      <c r="T230" s="366"/>
      <c r="U230" s="366"/>
      <c r="V230" s="366"/>
      <c r="W230" s="366"/>
      <c r="X230" s="366"/>
      <c r="Y230" s="366"/>
      <c r="Z230" s="366"/>
      <c r="AA230" s="366"/>
      <c r="AB230" s="366"/>
      <c r="AC230" s="366"/>
      <c r="AD230" s="366"/>
      <c r="AE230" s="366"/>
      <c r="AF230" s="366"/>
      <c r="AG230" s="366"/>
      <c r="AH230" s="366"/>
      <c r="AI230" s="366"/>
      <c r="AJ230" s="366"/>
      <c r="AK230" s="366"/>
      <c r="AL230" s="366"/>
      <c r="AM230" s="607"/>
      <c r="AN230" s="366"/>
      <c r="AO230" s="366"/>
      <c r="AP230" s="366"/>
      <c r="AQ230" s="366"/>
      <c r="AR230" s="619"/>
      <c r="AS230" s="617"/>
    </row>
    <row r="231" spans="1:45" ht="15.75">
      <c r="A231" s="190"/>
      <c r="B231" s="366"/>
      <c r="C231" s="366"/>
      <c r="D231" s="596"/>
      <c r="E231" s="596"/>
      <c r="F231" s="366"/>
      <c r="G231" s="366"/>
      <c r="H231" s="366"/>
      <c r="I231" s="366"/>
      <c r="J231" s="366"/>
      <c r="K231" s="366"/>
      <c r="L231" s="366"/>
      <c r="M231" s="366"/>
      <c r="N231" s="366"/>
      <c r="O231" s="366"/>
      <c r="P231" s="611"/>
      <c r="Q231" s="614"/>
      <c r="R231" s="588"/>
      <c r="S231" s="188"/>
      <c r="T231" s="366"/>
      <c r="U231" s="366"/>
      <c r="V231" s="366"/>
      <c r="W231" s="366"/>
      <c r="X231" s="366"/>
      <c r="Y231" s="366"/>
      <c r="Z231" s="366"/>
      <c r="AA231" s="366"/>
      <c r="AB231" s="366"/>
      <c r="AC231" s="366"/>
      <c r="AD231" s="366"/>
      <c r="AE231" s="366"/>
      <c r="AF231" s="366"/>
      <c r="AG231" s="366"/>
      <c r="AH231" s="366"/>
      <c r="AI231" s="366"/>
      <c r="AJ231" s="366"/>
      <c r="AK231" s="366"/>
      <c r="AL231" s="366"/>
      <c r="AM231" s="607"/>
      <c r="AN231" s="366"/>
      <c r="AO231" s="366"/>
      <c r="AP231" s="366"/>
      <c r="AQ231" s="366"/>
      <c r="AR231" s="619"/>
      <c r="AS231" s="617"/>
    </row>
    <row r="232" spans="1:45" ht="15.75">
      <c r="A232" s="190"/>
      <c r="B232" s="366"/>
      <c r="C232" s="366"/>
      <c r="D232" s="596"/>
      <c r="E232" s="596"/>
      <c r="F232" s="366"/>
      <c r="G232" s="366"/>
      <c r="H232" s="366"/>
      <c r="I232" s="366"/>
      <c r="J232" s="366"/>
      <c r="K232" s="366"/>
      <c r="L232" s="366"/>
      <c r="M232" s="366"/>
      <c r="N232" s="366"/>
      <c r="O232" s="366"/>
      <c r="P232" s="611"/>
      <c r="Q232" s="614"/>
      <c r="R232" s="588"/>
      <c r="S232" s="188"/>
      <c r="T232" s="366"/>
      <c r="U232" s="366"/>
      <c r="V232" s="366"/>
      <c r="W232" s="366"/>
      <c r="X232" s="366"/>
      <c r="Y232" s="366"/>
      <c r="Z232" s="366"/>
      <c r="AA232" s="366"/>
      <c r="AB232" s="366"/>
      <c r="AC232" s="366"/>
      <c r="AD232" s="366"/>
      <c r="AE232" s="366"/>
      <c r="AF232" s="366"/>
      <c r="AG232" s="366"/>
      <c r="AH232" s="366"/>
      <c r="AI232" s="366"/>
      <c r="AJ232" s="366"/>
      <c r="AK232" s="366"/>
      <c r="AL232" s="366"/>
      <c r="AM232" s="607"/>
      <c r="AN232" s="366"/>
      <c r="AO232" s="366"/>
      <c r="AP232" s="366"/>
      <c r="AQ232" s="366"/>
      <c r="AR232" s="619"/>
      <c r="AS232" s="617"/>
    </row>
    <row r="233" spans="1:45" ht="15.75">
      <c r="A233" s="190"/>
      <c r="B233" s="366"/>
      <c r="C233" s="366"/>
      <c r="D233" s="596"/>
      <c r="E233" s="596"/>
      <c r="F233" s="366"/>
      <c r="G233" s="366"/>
      <c r="H233" s="366"/>
      <c r="I233" s="366"/>
      <c r="J233" s="366"/>
      <c r="K233" s="366"/>
      <c r="L233" s="366"/>
      <c r="M233" s="366"/>
      <c r="N233" s="366"/>
      <c r="O233" s="366"/>
      <c r="P233" s="611"/>
      <c r="Q233" s="614"/>
      <c r="R233" s="588"/>
      <c r="S233" s="188"/>
      <c r="T233" s="366"/>
      <c r="U233" s="366"/>
      <c r="V233" s="366"/>
      <c r="W233" s="366"/>
      <c r="X233" s="366"/>
      <c r="Y233" s="366"/>
      <c r="Z233" s="366"/>
      <c r="AA233" s="366"/>
      <c r="AB233" s="366"/>
      <c r="AC233" s="366"/>
      <c r="AD233" s="366"/>
      <c r="AE233" s="366"/>
      <c r="AF233" s="366"/>
      <c r="AG233" s="366"/>
      <c r="AH233" s="366"/>
      <c r="AI233" s="366"/>
      <c r="AJ233" s="366"/>
      <c r="AK233" s="366"/>
      <c r="AL233" s="366"/>
      <c r="AM233" s="607"/>
      <c r="AN233" s="366"/>
      <c r="AO233" s="366"/>
      <c r="AP233" s="366"/>
      <c r="AQ233" s="366"/>
      <c r="AR233" s="619"/>
      <c r="AS233" s="617"/>
    </row>
    <row r="234" spans="1:45" ht="15.75">
      <c r="A234" s="190"/>
      <c r="B234" s="366"/>
      <c r="C234" s="366"/>
      <c r="D234" s="596"/>
      <c r="E234" s="596"/>
      <c r="F234" s="366"/>
      <c r="G234" s="366"/>
      <c r="H234" s="366"/>
      <c r="I234" s="366"/>
      <c r="J234" s="366"/>
      <c r="K234" s="366"/>
      <c r="L234" s="366"/>
      <c r="M234" s="366"/>
      <c r="N234" s="366"/>
      <c r="O234" s="366"/>
      <c r="P234" s="611"/>
      <c r="Q234" s="614"/>
      <c r="R234" s="588"/>
      <c r="S234" s="188"/>
      <c r="T234" s="366"/>
      <c r="U234" s="366"/>
      <c r="V234" s="366"/>
      <c r="W234" s="366"/>
      <c r="X234" s="366"/>
      <c r="Y234" s="366"/>
      <c r="Z234" s="366"/>
      <c r="AA234" s="366"/>
      <c r="AB234" s="366"/>
      <c r="AC234" s="366"/>
      <c r="AD234" s="366"/>
      <c r="AE234" s="366"/>
      <c r="AF234" s="366"/>
      <c r="AG234" s="366"/>
      <c r="AH234" s="366"/>
      <c r="AI234" s="366"/>
      <c r="AJ234" s="366"/>
      <c r="AK234" s="366"/>
      <c r="AL234" s="366"/>
      <c r="AM234" s="607"/>
      <c r="AN234" s="366"/>
      <c r="AO234" s="366"/>
      <c r="AP234" s="366"/>
      <c r="AQ234" s="366"/>
      <c r="AR234" s="619"/>
      <c r="AS234" s="617"/>
    </row>
    <row r="235" spans="1:45" ht="15.75">
      <c r="A235" s="190"/>
      <c r="B235" s="366"/>
      <c r="C235" s="366"/>
      <c r="D235" s="596"/>
      <c r="E235" s="596"/>
      <c r="F235" s="366"/>
      <c r="G235" s="366"/>
      <c r="H235" s="366"/>
      <c r="I235" s="366"/>
      <c r="J235" s="366"/>
      <c r="K235" s="366"/>
      <c r="L235" s="366"/>
      <c r="M235" s="366"/>
      <c r="N235" s="366"/>
      <c r="O235" s="366"/>
      <c r="P235" s="611"/>
      <c r="Q235" s="614"/>
      <c r="R235" s="588"/>
      <c r="S235" s="188"/>
      <c r="T235" s="366"/>
      <c r="U235" s="366"/>
      <c r="V235" s="366"/>
      <c r="W235" s="366"/>
      <c r="X235" s="366"/>
      <c r="Y235" s="366"/>
      <c r="Z235" s="366"/>
      <c r="AA235" s="366"/>
      <c r="AB235" s="366"/>
      <c r="AC235" s="366"/>
      <c r="AD235" s="366"/>
      <c r="AE235" s="366"/>
      <c r="AF235" s="366"/>
      <c r="AG235" s="366"/>
      <c r="AH235" s="366"/>
      <c r="AI235" s="366"/>
      <c r="AJ235" s="366"/>
      <c r="AK235" s="366"/>
      <c r="AL235" s="366"/>
      <c r="AM235" s="607"/>
      <c r="AN235" s="366"/>
      <c r="AO235" s="366"/>
      <c r="AP235" s="366"/>
      <c r="AQ235" s="366"/>
      <c r="AR235" s="619"/>
      <c r="AS235" s="617"/>
    </row>
    <row r="236" spans="1:45" ht="15.75">
      <c r="A236" s="190"/>
      <c r="B236" s="366"/>
      <c r="C236" s="366"/>
      <c r="D236" s="596"/>
      <c r="E236" s="596"/>
      <c r="F236" s="366"/>
      <c r="G236" s="366"/>
      <c r="H236" s="366"/>
      <c r="I236" s="366"/>
      <c r="J236" s="366"/>
      <c r="K236" s="366"/>
      <c r="L236" s="366"/>
      <c r="M236" s="366"/>
      <c r="N236" s="366"/>
      <c r="O236" s="366"/>
      <c r="P236" s="611"/>
      <c r="Q236" s="614"/>
      <c r="R236" s="588"/>
      <c r="S236" s="188"/>
      <c r="T236" s="366"/>
      <c r="U236" s="366"/>
      <c r="V236" s="366"/>
      <c r="W236" s="366"/>
      <c r="X236" s="366"/>
      <c r="Y236" s="366"/>
      <c r="Z236" s="366"/>
      <c r="AA236" s="366"/>
      <c r="AB236" s="366"/>
      <c r="AC236" s="366"/>
      <c r="AD236" s="366"/>
      <c r="AE236" s="366"/>
      <c r="AF236" s="366"/>
      <c r="AG236" s="366"/>
      <c r="AH236" s="366"/>
      <c r="AI236" s="366"/>
      <c r="AJ236" s="366"/>
      <c r="AK236" s="366"/>
      <c r="AL236" s="366"/>
      <c r="AM236" s="607"/>
      <c r="AN236" s="366"/>
      <c r="AO236" s="366"/>
      <c r="AP236" s="366"/>
      <c r="AQ236" s="366"/>
      <c r="AR236" s="619"/>
      <c r="AS236" s="617"/>
    </row>
    <row r="237" spans="1:45" ht="15.75">
      <c r="A237" s="190"/>
      <c r="B237" s="366"/>
      <c r="C237" s="366"/>
      <c r="D237" s="596"/>
      <c r="E237" s="596"/>
      <c r="F237" s="366"/>
      <c r="G237" s="366"/>
      <c r="H237" s="366"/>
      <c r="I237" s="366"/>
      <c r="J237" s="366"/>
      <c r="K237" s="366"/>
      <c r="L237" s="366"/>
      <c r="M237" s="366"/>
      <c r="N237" s="366"/>
      <c r="O237" s="366"/>
      <c r="P237" s="611"/>
      <c r="Q237" s="614"/>
      <c r="R237" s="588"/>
      <c r="S237" s="188"/>
      <c r="T237" s="366"/>
      <c r="U237" s="366"/>
      <c r="V237" s="366"/>
      <c r="W237" s="366"/>
      <c r="X237" s="366"/>
      <c r="Y237" s="366"/>
      <c r="Z237" s="366"/>
      <c r="AA237" s="366"/>
      <c r="AB237" s="366"/>
      <c r="AC237" s="366"/>
      <c r="AD237" s="366"/>
      <c r="AE237" s="366"/>
      <c r="AF237" s="366"/>
      <c r="AG237" s="366"/>
      <c r="AH237" s="366"/>
      <c r="AI237" s="366"/>
      <c r="AJ237" s="366"/>
      <c r="AK237" s="366"/>
      <c r="AL237" s="366"/>
      <c r="AM237" s="607"/>
      <c r="AN237" s="366"/>
      <c r="AO237" s="366"/>
      <c r="AP237" s="366"/>
      <c r="AQ237" s="366"/>
      <c r="AR237" s="619"/>
      <c r="AS237" s="617"/>
    </row>
    <row r="238" spans="1:45" ht="15.75">
      <c r="A238" s="190"/>
      <c r="B238" s="366"/>
      <c r="C238" s="366"/>
      <c r="D238" s="596"/>
      <c r="E238" s="596"/>
      <c r="F238" s="366"/>
      <c r="G238" s="366"/>
      <c r="H238" s="366"/>
      <c r="I238" s="366"/>
      <c r="J238" s="366"/>
      <c r="K238" s="366"/>
      <c r="L238" s="366"/>
      <c r="M238" s="366"/>
      <c r="N238" s="366"/>
      <c r="O238" s="366"/>
      <c r="P238" s="611"/>
      <c r="Q238" s="614"/>
      <c r="R238" s="588"/>
      <c r="S238" s="188"/>
      <c r="T238" s="366"/>
      <c r="U238" s="366"/>
      <c r="V238" s="366"/>
      <c r="W238" s="366"/>
      <c r="X238" s="366"/>
      <c r="Y238" s="366"/>
      <c r="Z238" s="366"/>
      <c r="AA238" s="366"/>
      <c r="AB238" s="366"/>
      <c r="AC238" s="366"/>
      <c r="AD238" s="366"/>
      <c r="AE238" s="366"/>
      <c r="AF238" s="366"/>
      <c r="AG238" s="366"/>
      <c r="AH238" s="366"/>
      <c r="AI238" s="366"/>
      <c r="AJ238" s="366"/>
      <c r="AK238" s="366"/>
      <c r="AL238" s="366"/>
      <c r="AM238" s="607"/>
      <c r="AN238" s="366"/>
      <c r="AO238" s="366"/>
      <c r="AP238" s="366"/>
      <c r="AQ238" s="366"/>
      <c r="AR238" s="619"/>
      <c r="AS238" s="617"/>
    </row>
    <row r="239" spans="1:45" ht="15.75">
      <c r="A239" s="190"/>
      <c r="B239" s="366"/>
      <c r="C239" s="366"/>
      <c r="D239" s="596"/>
      <c r="E239" s="596"/>
      <c r="F239" s="366"/>
      <c r="G239" s="366"/>
      <c r="H239" s="366"/>
      <c r="I239" s="366"/>
      <c r="J239" s="366"/>
      <c r="K239" s="366"/>
      <c r="L239" s="366"/>
      <c r="M239" s="366"/>
      <c r="N239" s="366"/>
      <c r="O239" s="366"/>
      <c r="P239" s="611"/>
      <c r="Q239" s="614"/>
      <c r="R239" s="588"/>
      <c r="S239" s="188"/>
      <c r="T239" s="366"/>
      <c r="U239" s="366"/>
      <c r="V239" s="366"/>
      <c r="W239" s="366"/>
      <c r="X239" s="366"/>
      <c r="Y239" s="366"/>
      <c r="Z239" s="366"/>
      <c r="AA239" s="366"/>
      <c r="AB239" s="366"/>
      <c r="AC239" s="366"/>
      <c r="AD239" s="366"/>
      <c r="AE239" s="366"/>
      <c r="AF239" s="366"/>
      <c r="AG239" s="366"/>
      <c r="AH239" s="366"/>
      <c r="AI239" s="366"/>
      <c r="AJ239" s="366"/>
      <c r="AK239" s="366"/>
      <c r="AL239" s="366"/>
      <c r="AM239" s="607"/>
      <c r="AN239" s="366"/>
      <c r="AO239" s="366"/>
      <c r="AP239" s="366"/>
      <c r="AQ239" s="366"/>
      <c r="AR239" s="619"/>
      <c r="AS239" s="617"/>
    </row>
    <row r="240" spans="1:45" ht="15.75">
      <c r="A240" s="190"/>
      <c r="B240" s="366"/>
      <c r="C240" s="366"/>
      <c r="D240" s="596"/>
      <c r="E240" s="596"/>
      <c r="F240" s="366"/>
      <c r="G240" s="366"/>
      <c r="H240" s="366"/>
      <c r="I240" s="366"/>
      <c r="J240" s="366"/>
      <c r="K240" s="366"/>
      <c r="L240" s="366"/>
      <c r="M240" s="366"/>
      <c r="N240" s="366"/>
      <c r="O240" s="366"/>
      <c r="P240" s="611"/>
      <c r="Q240" s="614"/>
      <c r="R240" s="588"/>
      <c r="S240" s="188"/>
      <c r="T240" s="366"/>
      <c r="U240" s="366"/>
      <c r="V240" s="366"/>
      <c r="W240" s="366"/>
      <c r="X240" s="366"/>
      <c r="Y240" s="366"/>
      <c r="Z240" s="366"/>
      <c r="AA240" s="366"/>
      <c r="AB240" s="366"/>
      <c r="AC240" s="366"/>
      <c r="AD240" s="366"/>
      <c r="AE240" s="366"/>
      <c r="AF240" s="366"/>
      <c r="AG240" s="366"/>
      <c r="AH240" s="366"/>
      <c r="AI240" s="366"/>
      <c r="AJ240" s="366"/>
      <c r="AK240" s="366"/>
      <c r="AL240" s="366"/>
      <c r="AM240" s="607"/>
      <c r="AN240" s="366"/>
      <c r="AO240" s="366"/>
      <c r="AP240" s="366"/>
      <c r="AQ240" s="366"/>
      <c r="AR240" s="619"/>
      <c r="AS240" s="617"/>
    </row>
    <row r="241" spans="1:45" ht="15.75">
      <c r="A241" s="190"/>
      <c r="B241" s="366"/>
      <c r="C241" s="366"/>
      <c r="D241" s="596"/>
      <c r="E241" s="596"/>
      <c r="F241" s="366"/>
      <c r="G241" s="366"/>
      <c r="H241" s="366"/>
      <c r="I241" s="366"/>
      <c r="J241" s="366"/>
      <c r="K241" s="366"/>
      <c r="L241" s="366"/>
      <c r="M241" s="366"/>
      <c r="N241" s="366"/>
      <c r="O241" s="366"/>
      <c r="P241" s="611"/>
      <c r="Q241" s="614"/>
      <c r="R241" s="588"/>
      <c r="S241" s="188"/>
      <c r="T241" s="366"/>
      <c r="U241" s="366"/>
      <c r="V241" s="366"/>
      <c r="W241" s="366"/>
      <c r="X241" s="366"/>
      <c r="Y241" s="366"/>
      <c r="Z241" s="366"/>
      <c r="AA241" s="366"/>
      <c r="AB241" s="366"/>
      <c r="AC241" s="366"/>
      <c r="AD241" s="366"/>
      <c r="AE241" s="366"/>
      <c r="AF241" s="366"/>
      <c r="AG241" s="366"/>
      <c r="AH241" s="366"/>
      <c r="AI241" s="366"/>
      <c r="AJ241" s="366"/>
      <c r="AK241" s="366"/>
      <c r="AL241" s="366"/>
      <c r="AM241" s="607"/>
      <c r="AN241" s="366"/>
      <c r="AO241" s="366"/>
      <c r="AP241" s="366"/>
      <c r="AQ241" s="366"/>
      <c r="AR241" s="619"/>
      <c r="AS241" s="617"/>
    </row>
    <row r="242" spans="1:45" ht="15.75">
      <c r="A242" s="190"/>
      <c r="B242" s="366"/>
      <c r="C242" s="366"/>
      <c r="D242" s="596"/>
      <c r="E242" s="596"/>
      <c r="F242" s="366"/>
      <c r="G242" s="366"/>
      <c r="H242" s="366"/>
      <c r="I242" s="366"/>
      <c r="J242" s="366"/>
      <c r="K242" s="366"/>
      <c r="L242" s="366"/>
      <c r="M242" s="366"/>
      <c r="N242" s="366"/>
      <c r="O242" s="366"/>
      <c r="P242" s="611"/>
      <c r="Q242" s="614"/>
      <c r="R242" s="588"/>
      <c r="S242" s="188"/>
      <c r="T242" s="366"/>
      <c r="U242" s="366"/>
      <c r="V242" s="366"/>
      <c r="W242" s="366"/>
      <c r="X242" s="366"/>
      <c r="Y242" s="366"/>
      <c r="Z242" s="366"/>
      <c r="AA242" s="366"/>
      <c r="AB242" s="366"/>
      <c r="AC242" s="366"/>
      <c r="AD242" s="366"/>
      <c r="AE242" s="366"/>
      <c r="AF242" s="366"/>
      <c r="AG242" s="366"/>
      <c r="AH242" s="366"/>
      <c r="AI242" s="366"/>
      <c r="AJ242" s="366"/>
      <c r="AK242" s="366"/>
      <c r="AL242" s="366"/>
      <c r="AM242" s="607"/>
      <c r="AN242" s="366"/>
      <c r="AO242" s="366"/>
      <c r="AP242" s="366"/>
      <c r="AQ242" s="366"/>
      <c r="AR242" s="619"/>
      <c r="AS242" s="617"/>
    </row>
    <row r="243" spans="1:45" ht="15.75">
      <c r="A243" s="190"/>
      <c r="B243" s="366"/>
      <c r="C243" s="366"/>
      <c r="D243" s="596"/>
      <c r="E243" s="596"/>
      <c r="F243" s="366"/>
      <c r="G243" s="366"/>
      <c r="H243" s="366"/>
      <c r="I243" s="366"/>
      <c r="J243" s="366"/>
      <c r="K243" s="366"/>
      <c r="L243" s="366"/>
      <c r="M243" s="366"/>
      <c r="N243" s="366"/>
      <c r="O243" s="366"/>
      <c r="P243" s="611"/>
      <c r="Q243" s="614"/>
      <c r="R243" s="588"/>
      <c r="S243" s="188"/>
      <c r="T243" s="366"/>
      <c r="U243" s="366"/>
      <c r="V243" s="366"/>
      <c r="W243" s="366"/>
      <c r="X243" s="366"/>
      <c r="Y243" s="366"/>
      <c r="Z243" s="366"/>
      <c r="AA243" s="366"/>
      <c r="AB243" s="366"/>
      <c r="AC243" s="366"/>
      <c r="AD243" s="366"/>
      <c r="AE243" s="366"/>
      <c r="AF243" s="366"/>
      <c r="AG243" s="366"/>
      <c r="AH243" s="366"/>
      <c r="AI243" s="366"/>
      <c r="AJ243" s="366"/>
      <c r="AK243" s="366"/>
      <c r="AL243" s="366"/>
      <c r="AM243" s="607"/>
      <c r="AN243" s="366"/>
      <c r="AO243" s="366"/>
      <c r="AP243" s="366"/>
      <c r="AQ243" s="366"/>
      <c r="AR243" s="619"/>
      <c r="AS243" s="617"/>
    </row>
    <row r="244" spans="1:45" ht="15.75">
      <c r="A244" s="190"/>
      <c r="B244" s="366"/>
      <c r="C244" s="366"/>
      <c r="D244" s="596"/>
      <c r="E244" s="596"/>
      <c r="F244" s="366"/>
      <c r="G244" s="366"/>
      <c r="H244" s="366"/>
      <c r="I244" s="366"/>
      <c r="J244" s="366"/>
      <c r="K244" s="366"/>
      <c r="L244" s="366"/>
      <c r="M244" s="366"/>
      <c r="N244" s="366"/>
      <c r="O244" s="366"/>
      <c r="P244" s="611"/>
      <c r="Q244" s="614"/>
      <c r="R244" s="588"/>
      <c r="S244" s="188"/>
      <c r="T244" s="366"/>
      <c r="U244" s="366"/>
      <c r="V244" s="366"/>
      <c r="W244" s="366"/>
      <c r="X244" s="366"/>
      <c r="Y244" s="366"/>
      <c r="Z244" s="366"/>
      <c r="AA244" s="366"/>
      <c r="AB244" s="366"/>
      <c r="AC244" s="366"/>
      <c r="AD244" s="366"/>
      <c r="AE244" s="366"/>
      <c r="AF244" s="366"/>
      <c r="AG244" s="366"/>
      <c r="AH244" s="366"/>
      <c r="AI244" s="366"/>
      <c r="AJ244" s="366"/>
      <c r="AK244" s="366"/>
      <c r="AL244" s="366"/>
      <c r="AM244" s="607"/>
      <c r="AN244" s="366"/>
      <c r="AO244" s="366"/>
      <c r="AP244" s="366"/>
      <c r="AQ244" s="366"/>
      <c r="AR244" s="619"/>
      <c r="AS244" s="617"/>
    </row>
    <row r="245" spans="1:45" ht="15.75">
      <c r="A245" s="190"/>
      <c r="B245" s="366"/>
      <c r="C245" s="366"/>
      <c r="D245" s="596"/>
      <c r="E245" s="596"/>
      <c r="F245" s="366"/>
      <c r="G245" s="366"/>
      <c r="H245" s="366"/>
      <c r="I245" s="366"/>
      <c r="J245" s="366"/>
      <c r="K245" s="366"/>
      <c r="L245" s="366"/>
      <c r="M245" s="366"/>
      <c r="N245" s="366"/>
      <c r="O245" s="366"/>
      <c r="P245" s="611"/>
      <c r="Q245" s="614"/>
      <c r="R245" s="588"/>
      <c r="S245" s="188"/>
      <c r="T245" s="366"/>
      <c r="U245" s="366"/>
      <c r="V245" s="366"/>
      <c r="W245" s="366"/>
      <c r="X245" s="366"/>
      <c r="Y245" s="366"/>
      <c r="Z245" s="366"/>
      <c r="AA245" s="366"/>
      <c r="AB245" s="366"/>
      <c r="AC245" s="366"/>
      <c r="AD245" s="366"/>
      <c r="AE245" s="366"/>
      <c r="AF245" s="366"/>
      <c r="AG245" s="366"/>
      <c r="AH245" s="366"/>
      <c r="AI245" s="366"/>
      <c r="AJ245" s="366"/>
      <c r="AK245" s="366"/>
      <c r="AL245" s="366"/>
      <c r="AM245" s="607"/>
      <c r="AN245" s="366"/>
      <c r="AO245" s="366"/>
      <c r="AP245" s="366"/>
      <c r="AQ245" s="366"/>
      <c r="AR245" s="619"/>
      <c r="AS245" s="617"/>
    </row>
    <row r="246" spans="1:45" ht="15.75">
      <c r="A246" s="190"/>
      <c r="B246" s="366"/>
      <c r="C246" s="366"/>
      <c r="D246" s="596"/>
      <c r="E246" s="596"/>
      <c r="F246" s="366"/>
      <c r="G246" s="366"/>
      <c r="H246" s="366"/>
      <c r="I246" s="366"/>
      <c r="J246" s="366"/>
      <c r="K246" s="366"/>
      <c r="L246" s="366"/>
      <c r="M246" s="366"/>
      <c r="N246" s="366"/>
      <c r="O246" s="366"/>
      <c r="P246" s="611"/>
      <c r="Q246" s="614"/>
      <c r="R246" s="588"/>
      <c r="S246" s="188"/>
      <c r="T246" s="366"/>
      <c r="U246" s="366"/>
      <c r="V246" s="366"/>
      <c r="W246" s="366"/>
      <c r="X246" s="366"/>
      <c r="Y246" s="366"/>
      <c r="Z246" s="366"/>
      <c r="AA246" s="366"/>
      <c r="AB246" s="366"/>
      <c r="AC246" s="366"/>
      <c r="AD246" s="366"/>
      <c r="AE246" s="366"/>
      <c r="AF246" s="366"/>
      <c r="AG246" s="366"/>
      <c r="AH246" s="366"/>
      <c r="AI246" s="366"/>
      <c r="AJ246" s="366"/>
      <c r="AK246" s="366"/>
      <c r="AL246" s="366"/>
      <c r="AM246" s="607"/>
      <c r="AN246" s="366"/>
      <c r="AO246" s="366"/>
      <c r="AP246" s="366"/>
      <c r="AQ246" s="366"/>
      <c r="AR246" s="619"/>
      <c r="AS246" s="617"/>
    </row>
    <row r="247" spans="1:45" ht="15.75">
      <c r="A247" s="190"/>
      <c r="B247" s="366"/>
      <c r="C247" s="366"/>
      <c r="D247" s="596"/>
      <c r="E247" s="596"/>
      <c r="F247" s="366"/>
      <c r="G247" s="366"/>
      <c r="H247" s="366"/>
      <c r="I247" s="366"/>
      <c r="J247" s="366"/>
      <c r="K247" s="366"/>
      <c r="L247" s="366"/>
      <c r="M247" s="366"/>
      <c r="N247" s="366"/>
      <c r="O247" s="366"/>
      <c r="P247" s="611"/>
      <c r="Q247" s="614"/>
      <c r="R247" s="588"/>
      <c r="S247" s="188"/>
      <c r="T247" s="366"/>
      <c r="U247" s="366"/>
      <c r="V247" s="366"/>
      <c r="W247" s="366"/>
      <c r="X247" s="366"/>
      <c r="Y247" s="366"/>
      <c r="Z247" s="366"/>
      <c r="AA247" s="366"/>
      <c r="AB247" s="366"/>
      <c r="AC247" s="366"/>
      <c r="AD247" s="366"/>
      <c r="AE247" s="366"/>
      <c r="AF247" s="366"/>
      <c r="AG247" s="366"/>
      <c r="AH247" s="366"/>
      <c r="AI247" s="366"/>
      <c r="AJ247" s="366"/>
      <c r="AK247" s="366"/>
      <c r="AL247" s="366"/>
      <c r="AM247" s="607"/>
      <c r="AN247" s="366"/>
      <c r="AO247" s="366"/>
      <c r="AP247" s="366"/>
      <c r="AQ247" s="366"/>
      <c r="AR247" s="619"/>
      <c r="AS247" s="617"/>
    </row>
    <row r="248" spans="1:45" ht="15.75">
      <c r="A248" s="190"/>
      <c r="B248" s="366"/>
      <c r="C248" s="366"/>
      <c r="D248" s="596"/>
      <c r="E248" s="596"/>
      <c r="F248" s="366"/>
      <c r="G248" s="366"/>
      <c r="H248" s="366"/>
      <c r="I248" s="366"/>
      <c r="J248" s="366"/>
      <c r="K248" s="366"/>
      <c r="L248" s="366"/>
      <c r="M248" s="366"/>
      <c r="N248" s="366"/>
      <c r="O248" s="366"/>
      <c r="P248" s="611"/>
      <c r="Q248" s="614"/>
      <c r="R248" s="588"/>
      <c r="S248" s="188"/>
      <c r="T248" s="366"/>
      <c r="U248" s="366"/>
      <c r="V248" s="366"/>
      <c r="W248" s="366"/>
      <c r="X248" s="366"/>
      <c r="Y248" s="366"/>
      <c r="Z248" s="366"/>
      <c r="AA248" s="366"/>
      <c r="AB248" s="366"/>
      <c r="AC248" s="366"/>
      <c r="AD248" s="366"/>
      <c r="AE248" s="366"/>
      <c r="AF248" s="366"/>
      <c r="AG248" s="366"/>
      <c r="AH248" s="366"/>
      <c r="AI248" s="366"/>
      <c r="AJ248" s="366"/>
      <c r="AK248" s="366"/>
      <c r="AL248" s="366"/>
      <c r="AM248" s="607"/>
      <c r="AN248" s="366"/>
      <c r="AO248" s="366"/>
      <c r="AP248" s="366"/>
      <c r="AQ248" s="366"/>
      <c r="AR248" s="619"/>
      <c r="AS248" s="617"/>
    </row>
    <row r="249" spans="1:45" ht="15.75">
      <c r="A249" s="190"/>
      <c r="B249" s="366"/>
      <c r="C249" s="366"/>
      <c r="D249" s="596"/>
      <c r="E249" s="596"/>
      <c r="F249" s="366"/>
      <c r="G249" s="366"/>
      <c r="H249" s="366"/>
      <c r="I249" s="366"/>
      <c r="J249" s="366"/>
      <c r="K249" s="366"/>
      <c r="L249" s="366"/>
      <c r="M249" s="366"/>
      <c r="N249" s="366"/>
      <c r="O249" s="366"/>
      <c r="P249" s="611"/>
      <c r="Q249" s="614"/>
      <c r="R249" s="588"/>
      <c r="S249" s="188"/>
      <c r="T249" s="366"/>
      <c r="U249" s="366"/>
      <c r="V249" s="366"/>
      <c r="W249" s="366"/>
      <c r="X249" s="366"/>
      <c r="Y249" s="366"/>
      <c r="Z249" s="366"/>
      <c r="AA249" s="366"/>
      <c r="AB249" s="366"/>
      <c r="AC249" s="366"/>
      <c r="AD249" s="366"/>
      <c r="AE249" s="366"/>
      <c r="AF249" s="366"/>
      <c r="AG249" s="366"/>
      <c r="AH249" s="366"/>
      <c r="AI249" s="366"/>
      <c r="AJ249" s="366"/>
      <c r="AK249" s="366"/>
      <c r="AL249" s="366"/>
      <c r="AM249" s="607"/>
      <c r="AN249" s="366"/>
      <c r="AO249" s="366"/>
      <c r="AP249" s="366"/>
      <c r="AQ249" s="366"/>
      <c r="AR249" s="619"/>
      <c r="AS249" s="617"/>
    </row>
    <row r="250" spans="1:45" ht="15.75">
      <c r="A250" s="190"/>
      <c r="B250" s="366"/>
      <c r="C250" s="366"/>
      <c r="D250" s="596"/>
      <c r="E250" s="596"/>
      <c r="F250" s="366"/>
      <c r="G250" s="366"/>
      <c r="H250" s="366"/>
      <c r="I250" s="366"/>
      <c r="J250" s="366"/>
      <c r="K250" s="366"/>
      <c r="L250" s="366"/>
      <c r="M250" s="366"/>
      <c r="N250" s="366"/>
      <c r="O250" s="366"/>
      <c r="P250" s="611"/>
      <c r="Q250" s="614"/>
      <c r="R250" s="588"/>
      <c r="S250" s="188"/>
      <c r="T250" s="366"/>
      <c r="U250" s="366"/>
      <c r="V250" s="366"/>
      <c r="W250" s="366"/>
      <c r="X250" s="366"/>
      <c r="Y250" s="366"/>
      <c r="Z250" s="366"/>
      <c r="AA250" s="366"/>
      <c r="AB250" s="366"/>
      <c r="AC250" s="366"/>
      <c r="AD250" s="366"/>
      <c r="AE250" s="366"/>
      <c r="AF250" s="366"/>
      <c r="AG250" s="366"/>
      <c r="AH250" s="366"/>
      <c r="AI250" s="366"/>
      <c r="AJ250" s="366"/>
      <c r="AK250" s="366"/>
      <c r="AL250" s="366"/>
      <c r="AM250" s="607"/>
      <c r="AN250" s="366"/>
      <c r="AO250" s="366"/>
      <c r="AP250" s="366"/>
      <c r="AQ250" s="366"/>
      <c r="AR250" s="619"/>
      <c r="AS250" s="617"/>
    </row>
    <row r="251" spans="1:45" ht="15.75">
      <c r="A251" s="190"/>
      <c r="B251" s="366"/>
      <c r="C251" s="366"/>
      <c r="D251" s="596"/>
      <c r="E251" s="596"/>
      <c r="F251" s="366"/>
      <c r="G251" s="366"/>
      <c r="H251" s="366"/>
      <c r="I251" s="366"/>
      <c r="J251" s="366"/>
      <c r="K251" s="366"/>
      <c r="L251" s="366"/>
      <c r="M251" s="366"/>
      <c r="N251" s="366"/>
      <c r="O251" s="366"/>
      <c r="P251" s="611"/>
      <c r="Q251" s="614"/>
      <c r="R251" s="588"/>
      <c r="S251" s="188"/>
      <c r="T251" s="366"/>
      <c r="U251" s="366"/>
      <c r="V251" s="366"/>
      <c r="W251" s="366"/>
      <c r="X251" s="366"/>
      <c r="Y251" s="366"/>
      <c r="Z251" s="366"/>
      <c r="AA251" s="366"/>
      <c r="AB251" s="366"/>
      <c r="AC251" s="366"/>
      <c r="AD251" s="366"/>
      <c r="AE251" s="366"/>
      <c r="AF251" s="366"/>
      <c r="AG251" s="366"/>
      <c r="AH251" s="366"/>
      <c r="AI251" s="366"/>
      <c r="AJ251" s="366"/>
      <c r="AK251" s="366"/>
      <c r="AL251" s="366"/>
      <c r="AM251" s="607"/>
      <c r="AN251" s="366"/>
      <c r="AO251" s="366"/>
      <c r="AP251" s="366"/>
      <c r="AQ251" s="366"/>
      <c r="AR251" s="619"/>
      <c r="AS251" s="617"/>
    </row>
    <row r="252" spans="1:45" ht="15.75">
      <c r="A252" s="190"/>
      <c r="B252" s="366"/>
      <c r="C252" s="366"/>
      <c r="D252" s="596"/>
      <c r="E252" s="596"/>
      <c r="F252" s="366"/>
      <c r="G252" s="366"/>
      <c r="H252" s="366"/>
      <c r="I252" s="366"/>
      <c r="J252" s="366"/>
      <c r="K252" s="366"/>
      <c r="L252" s="366"/>
      <c r="M252" s="366"/>
      <c r="N252" s="366"/>
      <c r="O252" s="366"/>
      <c r="P252" s="611"/>
      <c r="Q252" s="614"/>
      <c r="R252" s="588"/>
      <c r="S252" s="188"/>
      <c r="T252" s="366"/>
      <c r="U252" s="366"/>
      <c r="V252" s="366"/>
      <c r="W252" s="366"/>
      <c r="X252" s="366"/>
      <c r="Y252" s="366"/>
      <c r="Z252" s="366"/>
      <c r="AA252" s="366"/>
      <c r="AB252" s="366"/>
      <c r="AC252" s="366"/>
      <c r="AD252" s="366"/>
      <c r="AE252" s="366"/>
      <c r="AF252" s="366"/>
      <c r="AG252" s="366"/>
      <c r="AH252" s="366"/>
      <c r="AI252" s="366"/>
      <c r="AJ252" s="366"/>
      <c r="AK252" s="366"/>
      <c r="AL252" s="366"/>
      <c r="AM252" s="607"/>
      <c r="AN252" s="366"/>
      <c r="AO252" s="366"/>
      <c r="AP252" s="366"/>
      <c r="AQ252" s="366"/>
      <c r="AR252" s="619"/>
      <c r="AS252" s="617"/>
    </row>
    <row r="253" spans="1:45" ht="15.75">
      <c r="A253" s="190"/>
      <c r="B253" s="366"/>
      <c r="C253" s="366"/>
      <c r="D253" s="596"/>
      <c r="E253" s="596"/>
      <c r="F253" s="366"/>
      <c r="G253" s="366"/>
      <c r="H253" s="366"/>
      <c r="I253" s="366"/>
      <c r="J253" s="366"/>
      <c r="K253" s="366"/>
      <c r="L253" s="366"/>
      <c r="M253" s="366"/>
      <c r="N253" s="366"/>
      <c r="O253" s="366"/>
      <c r="P253" s="611"/>
      <c r="Q253" s="614"/>
      <c r="R253" s="588"/>
      <c r="S253" s="188"/>
      <c r="T253" s="366"/>
      <c r="U253" s="366"/>
      <c r="V253" s="366"/>
      <c r="W253" s="366"/>
      <c r="X253" s="366"/>
      <c r="Y253" s="366"/>
      <c r="Z253" s="366"/>
      <c r="AA253" s="366"/>
      <c r="AB253" s="366"/>
      <c r="AC253" s="366"/>
      <c r="AD253" s="366"/>
      <c r="AE253" s="366"/>
      <c r="AF253" s="366"/>
      <c r="AG253" s="366"/>
      <c r="AH253" s="366"/>
      <c r="AI253" s="366"/>
      <c r="AJ253" s="366"/>
      <c r="AK253" s="366"/>
      <c r="AL253" s="366"/>
      <c r="AM253" s="607"/>
      <c r="AN253" s="366"/>
      <c r="AO253" s="366"/>
      <c r="AP253" s="366"/>
      <c r="AQ253" s="366"/>
      <c r="AR253" s="619"/>
      <c r="AS253" s="617"/>
    </row>
    <row r="254" spans="1:45" ht="15.75">
      <c r="A254" s="190"/>
      <c r="B254" s="366"/>
      <c r="C254" s="366"/>
      <c r="D254" s="596"/>
      <c r="E254" s="596"/>
      <c r="F254" s="366"/>
      <c r="G254" s="366"/>
      <c r="H254" s="366"/>
      <c r="I254" s="366"/>
      <c r="J254" s="366"/>
      <c r="K254" s="366"/>
      <c r="L254" s="366"/>
      <c r="M254" s="366"/>
      <c r="N254" s="366"/>
      <c r="O254" s="366"/>
      <c r="P254" s="611"/>
      <c r="Q254" s="614"/>
      <c r="R254" s="588"/>
      <c r="S254" s="188"/>
      <c r="T254" s="366"/>
      <c r="U254" s="366"/>
      <c r="V254" s="366"/>
      <c r="W254" s="366"/>
      <c r="X254" s="366"/>
      <c r="Y254" s="366"/>
      <c r="Z254" s="366"/>
      <c r="AA254" s="366"/>
      <c r="AB254" s="366"/>
      <c r="AC254" s="366"/>
      <c r="AD254" s="366"/>
      <c r="AE254" s="366"/>
      <c r="AF254" s="366"/>
      <c r="AG254" s="366"/>
      <c r="AH254" s="366"/>
      <c r="AI254" s="366"/>
      <c r="AJ254" s="366"/>
      <c r="AK254" s="366"/>
      <c r="AL254" s="366"/>
      <c r="AM254" s="607"/>
      <c r="AN254" s="366"/>
      <c r="AO254" s="366"/>
      <c r="AP254" s="366"/>
      <c r="AQ254" s="366"/>
      <c r="AR254" s="619"/>
      <c r="AS254" s="617"/>
    </row>
    <row r="255" spans="1:45" ht="15.75">
      <c r="A255" s="190"/>
      <c r="B255" s="366"/>
      <c r="C255" s="366"/>
      <c r="D255" s="596"/>
      <c r="E255" s="596"/>
      <c r="F255" s="366"/>
      <c r="G255" s="366"/>
      <c r="H255" s="366"/>
      <c r="I255" s="366"/>
      <c r="J255" s="366"/>
      <c r="K255" s="366"/>
      <c r="L255" s="366"/>
      <c r="M255" s="366"/>
      <c r="N255" s="366"/>
      <c r="O255" s="366"/>
      <c r="P255" s="611"/>
      <c r="Q255" s="614"/>
      <c r="R255" s="588"/>
      <c r="S255" s="188"/>
      <c r="T255" s="366"/>
      <c r="U255" s="366"/>
      <c r="V255" s="366"/>
      <c r="W255" s="366"/>
      <c r="X255" s="366"/>
      <c r="Y255" s="366"/>
      <c r="Z255" s="366"/>
      <c r="AA255" s="366"/>
      <c r="AB255" s="366"/>
      <c r="AC255" s="366"/>
      <c r="AD255" s="366"/>
      <c r="AE255" s="366"/>
      <c r="AF255" s="366"/>
      <c r="AG255" s="366"/>
      <c r="AH255" s="366"/>
      <c r="AI255" s="366"/>
      <c r="AJ255" s="366"/>
      <c r="AK255" s="366"/>
      <c r="AL255" s="366"/>
      <c r="AM255" s="607"/>
      <c r="AN255" s="366"/>
      <c r="AO255" s="366"/>
      <c r="AP255" s="366"/>
      <c r="AQ255" s="366"/>
      <c r="AR255" s="619"/>
      <c r="AS255" s="617"/>
    </row>
    <row r="256" spans="1:45" ht="15.75">
      <c r="A256" s="190"/>
      <c r="B256" s="366"/>
      <c r="C256" s="366"/>
      <c r="D256" s="596"/>
      <c r="E256" s="596"/>
      <c r="F256" s="366"/>
      <c r="G256" s="366"/>
      <c r="H256" s="366"/>
      <c r="I256" s="366"/>
      <c r="J256" s="366"/>
      <c r="K256" s="366"/>
      <c r="L256" s="366"/>
      <c r="M256" s="366"/>
      <c r="N256" s="366"/>
      <c r="O256" s="366"/>
      <c r="P256" s="611"/>
      <c r="Q256" s="614"/>
      <c r="R256" s="588"/>
      <c r="S256" s="188"/>
      <c r="T256" s="366"/>
      <c r="U256" s="366"/>
      <c r="V256" s="366"/>
      <c r="W256" s="366"/>
      <c r="X256" s="366"/>
      <c r="Y256" s="366"/>
      <c r="Z256" s="366"/>
      <c r="AA256" s="366"/>
      <c r="AB256" s="366"/>
      <c r="AC256" s="366"/>
      <c r="AD256" s="366"/>
      <c r="AE256" s="366"/>
      <c r="AF256" s="366"/>
      <c r="AG256" s="366"/>
      <c r="AH256" s="366"/>
      <c r="AI256" s="366"/>
      <c r="AJ256" s="366"/>
      <c r="AK256" s="366"/>
      <c r="AL256" s="366"/>
      <c r="AM256" s="607"/>
      <c r="AN256" s="366"/>
      <c r="AO256" s="366"/>
      <c r="AP256" s="366"/>
      <c r="AQ256" s="366"/>
      <c r="AR256" s="619"/>
      <c r="AS256" s="617"/>
    </row>
    <row r="257" spans="1:45" ht="15.75">
      <c r="A257" s="190"/>
      <c r="B257" s="366"/>
      <c r="C257" s="366"/>
      <c r="D257" s="596"/>
      <c r="E257" s="596"/>
      <c r="F257" s="366"/>
      <c r="G257" s="366"/>
      <c r="H257" s="366"/>
      <c r="I257" s="366"/>
      <c r="J257" s="366"/>
      <c r="K257" s="366"/>
      <c r="L257" s="366"/>
      <c r="M257" s="366"/>
      <c r="N257" s="366"/>
      <c r="O257" s="366"/>
      <c r="P257" s="611"/>
      <c r="Q257" s="614"/>
      <c r="R257" s="588"/>
      <c r="S257" s="188"/>
      <c r="T257" s="366"/>
      <c r="U257" s="366"/>
      <c r="V257" s="366"/>
      <c r="W257" s="366"/>
      <c r="X257" s="366"/>
      <c r="Y257" s="366"/>
      <c r="Z257" s="366"/>
      <c r="AA257" s="366"/>
      <c r="AB257" s="366"/>
      <c r="AC257" s="366"/>
      <c r="AD257" s="366"/>
      <c r="AE257" s="366"/>
      <c r="AF257" s="366"/>
      <c r="AG257" s="366"/>
      <c r="AH257" s="366"/>
      <c r="AI257" s="366"/>
      <c r="AJ257" s="366"/>
      <c r="AK257" s="366"/>
      <c r="AL257" s="366"/>
      <c r="AM257" s="607"/>
      <c r="AN257" s="366"/>
      <c r="AO257" s="366"/>
      <c r="AP257" s="366"/>
      <c r="AQ257" s="366"/>
      <c r="AR257" s="619"/>
      <c r="AS257" s="617"/>
    </row>
    <row r="258" spans="1:45" ht="15.75">
      <c r="A258" s="190"/>
      <c r="B258" s="366"/>
      <c r="C258" s="366"/>
      <c r="D258" s="596"/>
      <c r="E258" s="596"/>
      <c r="F258" s="366"/>
      <c r="G258" s="366"/>
      <c r="H258" s="366"/>
      <c r="I258" s="366"/>
      <c r="J258" s="366"/>
      <c r="K258" s="366"/>
      <c r="L258" s="366"/>
      <c r="M258" s="366"/>
      <c r="N258" s="366"/>
      <c r="O258" s="366"/>
      <c r="P258" s="611"/>
      <c r="Q258" s="614"/>
      <c r="R258" s="588"/>
      <c r="S258" s="188"/>
      <c r="T258" s="366"/>
      <c r="U258" s="366"/>
      <c r="V258" s="366"/>
      <c r="W258" s="366"/>
      <c r="X258" s="366"/>
      <c r="Y258" s="366"/>
      <c r="Z258" s="366"/>
      <c r="AA258" s="366"/>
      <c r="AB258" s="366"/>
      <c r="AC258" s="366"/>
      <c r="AD258" s="366"/>
      <c r="AE258" s="366"/>
      <c r="AF258" s="366"/>
      <c r="AG258" s="366"/>
      <c r="AH258" s="366"/>
      <c r="AI258" s="366"/>
      <c r="AJ258" s="366"/>
      <c r="AK258" s="366"/>
      <c r="AL258" s="366"/>
      <c r="AM258" s="607"/>
      <c r="AN258" s="366"/>
      <c r="AO258" s="366"/>
      <c r="AP258" s="366"/>
      <c r="AQ258" s="366"/>
      <c r="AR258" s="619"/>
      <c r="AS258" s="617"/>
    </row>
    <row r="259" spans="1:45" ht="15.75">
      <c r="A259" s="190"/>
      <c r="B259" s="366"/>
      <c r="C259" s="366"/>
      <c r="D259" s="596"/>
      <c r="E259" s="596"/>
      <c r="F259" s="366"/>
      <c r="G259" s="366"/>
      <c r="H259" s="366"/>
      <c r="I259" s="366"/>
      <c r="J259" s="366"/>
      <c r="K259" s="366"/>
      <c r="L259" s="366"/>
      <c r="M259" s="366"/>
      <c r="N259" s="366"/>
      <c r="O259" s="366"/>
      <c r="P259" s="611"/>
      <c r="Q259" s="614"/>
      <c r="R259" s="588"/>
      <c r="S259" s="188"/>
      <c r="T259" s="366"/>
      <c r="U259" s="366"/>
      <c r="V259" s="366"/>
      <c r="W259" s="366"/>
      <c r="X259" s="366"/>
      <c r="Y259" s="366"/>
      <c r="Z259" s="366"/>
      <c r="AA259" s="366"/>
      <c r="AB259" s="366"/>
      <c r="AC259" s="366"/>
      <c r="AD259" s="366"/>
      <c r="AE259" s="366"/>
      <c r="AF259" s="366"/>
      <c r="AG259" s="366"/>
      <c r="AH259" s="366"/>
      <c r="AI259" s="366"/>
      <c r="AJ259" s="366"/>
      <c r="AK259" s="366"/>
      <c r="AL259" s="366"/>
      <c r="AM259" s="607"/>
      <c r="AN259" s="366"/>
      <c r="AO259" s="366"/>
      <c r="AP259" s="366"/>
      <c r="AQ259" s="366"/>
      <c r="AR259" s="619"/>
      <c r="AS259" s="617"/>
    </row>
    <row r="260" spans="1:45" ht="15.75">
      <c r="A260" s="190"/>
      <c r="B260" s="366"/>
      <c r="C260" s="366"/>
      <c r="D260" s="596"/>
      <c r="E260" s="596"/>
      <c r="F260" s="366"/>
      <c r="G260" s="366"/>
      <c r="H260" s="366"/>
      <c r="I260" s="366"/>
      <c r="J260" s="366"/>
      <c r="K260" s="366"/>
      <c r="L260" s="366"/>
      <c r="M260" s="366"/>
      <c r="N260" s="366"/>
      <c r="O260" s="366"/>
      <c r="P260" s="611"/>
      <c r="Q260" s="614"/>
      <c r="R260" s="588"/>
      <c r="S260" s="188"/>
      <c r="T260" s="366"/>
      <c r="U260" s="366"/>
      <c r="V260" s="366"/>
      <c r="W260" s="366"/>
      <c r="X260" s="366"/>
      <c r="Y260" s="366"/>
      <c r="Z260" s="366"/>
      <c r="AA260" s="366"/>
      <c r="AB260" s="366"/>
      <c r="AC260" s="366"/>
      <c r="AD260" s="366"/>
      <c r="AE260" s="366"/>
      <c r="AF260" s="366"/>
      <c r="AG260" s="366"/>
      <c r="AH260" s="366"/>
      <c r="AI260" s="366"/>
      <c r="AJ260" s="366"/>
      <c r="AK260" s="366"/>
      <c r="AL260" s="366"/>
      <c r="AM260" s="607"/>
      <c r="AN260" s="366"/>
      <c r="AO260" s="366"/>
      <c r="AP260" s="366"/>
      <c r="AQ260" s="366"/>
      <c r="AR260" s="619"/>
      <c r="AS260" s="617"/>
    </row>
    <row r="261" spans="1:45" ht="15.75">
      <c r="A261" s="190"/>
      <c r="B261" s="366"/>
      <c r="C261" s="366"/>
      <c r="D261" s="596"/>
      <c r="E261" s="596"/>
      <c r="F261" s="366"/>
      <c r="G261" s="366"/>
      <c r="H261" s="366"/>
      <c r="I261" s="366"/>
      <c r="J261" s="366"/>
      <c r="K261" s="366"/>
      <c r="L261" s="366"/>
      <c r="M261" s="366"/>
      <c r="N261" s="366"/>
      <c r="O261" s="366"/>
      <c r="P261" s="611"/>
      <c r="Q261" s="614"/>
      <c r="R261" s="588"/>
      <c r="S261" s="188"/>
      <c r="T261" s="366"/>
      <c r="U261" s="366"/>
      <c r="V261" s="366"/>
      <c r="W261" s="366"/>
      <c r="X261" s="366"/>
      <c r="Y261" s="366"/>
      <c r="Z261" s="366"/>
      <c r="AA261" s="366"/>
      <c r="AB261" s="366"/>
      <c r="AC261" s="366"/>
      <c r="AD261" s="366"/>
      <c r="AE261" s="366"/>
      <c r="AF261" s="366"/>
      <c r="AG261" s="366"/>
      <c r="AH261" s="366"/>
      <c r="AI261" s="366"/>
      <c r="AJ261" s="366"/>
      <c r="AK261" s="366"/>
      <c r="AL261" s="366"/>
      <c r="AM261" s="607"/>
      <c r="AN261" s="366"/>
      <c r="AO261" s="366"/>
      <c r="AP261" s="366"/>
      <c r="AQ261" s="366"/>
      <c r="AR261" s="619"/>
      <c r="AS261" s="617"/>
    </row>
    <row r="262" spans="1:45" ht="15.75">
      <c r="A262" s="190"/>
      <c r="B262" s="366"/>
      <c r="C262" s="366"/>
      <c r="D262" s="596"/>
      <c r="E262" s="596"/>
      <c r="F262" s="366"/>
      <c r="G262" s="366"/>
      <c r="H262" s="366"/>
      <c r="I262" s="366"/>
      <c r="J262" s="366"/>
      <c r="K262" s="366"/>
      <c r="L262" s="366"/>
      <c r="M262" s="366"/>
      <c r="N262" s="366"/>
      <c r="O262" s="366"/>
      <c r="P262" s="611"/>
      <c r="Q262" s="614"/>
      <c r="R262" s="588"/>
      <c r="S262" s="188"/>
      <c r="T262" s="366"/>
      <c r="U262" s="366"/>
      <c r="V262" s="366"/>
      <c r="W262" s="366"/>
      <c r="X262" s="366"/>
      <c r="Y262" s="366"/>
      <c r="Z262" s="366"/>
      <c r="AA262" s="366"/>
      <c r="AB262" s="366"/>
      <c r="AC262" s="366"/>
      <c r="AD262" s="366"/>
      <c r="AE262" s="366"/>
      <c r="AF262" s="366"/>
      <c r="AG262" s="366"/>
      <c r="AH262" s="366"/>
      <c r="AI262" s="366"/>
      <c r="AJ262" s="366"/>
      <c r="AK262" s="366"/>
      <c r="AL262" s="366"/>
      <c r="AM262" s="607"/>
      <c r="AN262" s="366"/>
      <c r="AO262" s="366"/>
      <c r="AP262" s="366"/>
      <c r="AQ262" s="366"/>
      <c r="AR262" s="619"/>
      <c r="AS262" s="617"/>
    </row>
    <row r="263" spans="1:45" ht="15.75">
      <c r="A263" s="190"/>
      <c r="B263" s="366"/>
      <c r="C263" s="366"/>
      <c r="D263" s="596"/>
      <c r="E263" s="596"/>
      <c r="F263" s="366"/>
      <c r="G263" s="366"/>
      <c r="H263" s="366"/>
      <c r="I263" s="366"/>
      <c r="J263" s="366"/>
      <c r="K263" s="366"/>
      <c r="L263" s="366"/>
      <c r="M263" s="366"/>
      <c r="N263" s="366"/>
      <c r="O263" s="366"/>
      <c r="P263" s="611"/>
      <c r="Q263" s="614"/>
      <c r="R263" s="588"/>
      <c r="S263" s="188"/>
      <c r="T263" s="366"/>
      <c r="U263" s="366"/>
      <c r="V263" s="366"/>
      <c r="W263" s="366"/>
      <c r="X263" s="366"/>
      <c r="Y263" s="366"/>
      <c r="Z263" s="366"/>
      <c r="AA263" s="366"/>
      <c r="AB263" s="366"/>
      <c r="AC263" s="366"/>
      <c r="AD263" s="366"/>
      <c r="AE263" s="366"/>
      <c r="AF263" s="366"/>
      <c r="AG263" s="366"/>
      <c r="AH263" s="366"/>
      <c r="AI263" s="366"/>
      <c r="AJ263" s="366"/>
      <c r="AK263" s="366"/>
      <c r="AL263" s="366"/>
      <c r="AM263" s="607"/>
      <c r="AN263" s="366"/>
      <c r="AO263" s="366"/>
      <c r="AP263" s="366"/>
      <c r="AQ263" s="366"/>
      <c r="AR263" s="619"/>
      <c r="AS263" s="617"/>
    </row>
    <row r="264" spans="1:45" ht="15.75">
      <c r="A264" s="190"/>
      <c r="B264" s="366"/>
      <c r="C264" s="366"/>
      <c r="D264" s="596"/>
      <c r="E264" s="596"/>
      <c r="F264" s="366"/>
      <c r="G264" s="366"/>
      <c r="H264" s="366"/>
      <c r="I264" s="366"/>
      <c r="J264" s="366"/>
      <c r="K264" s="366"/>
      <c r="L264" s="366"/>
      <c r="M264" s="366"/>
      <c r="N264" s="366"/>
      <c r="O264" s="366"/>
      <c r="P264" s="611"/>
      <c r="Q264" s="614"/>
      <c r="R264" s="588"/>
      <c r="S264" s="188"/>
      <c r="T264" s="366"/>
      <c r="U264" s="366"/>
      <c r="V264" s="366"/>
      <c r="W264" s="366"/>
      <c r="X264" s="366"/>
      <c r="Y264" s="366"/>
      <c r="Z264" s="366"/>
      <c r="AA264" s="366"/>
      <c r="AB264" s="366"/>
      <c r="AC264" s="366"/>
      <c r="AD264" s="366"/>
      <c r="AE264" s="366"/>
      <c r="AF264" s="366"/>
      <c r="AG264" s="366"/>
      <c r="AH264" s="366"/>
      <c r="AI264" s="366"/>
      <c r="AJ264" s="366"/>
      <c r="AK264" s="366"/>
      <c r="AL264" s="366"/>
      <c r="AM264" s="607"/>
      <c r="AN264" s="366"/>
      <c r="AO264" s="366"/>
      <c r="AP264" s="366"/>
      <c r="AQ264" s="366"/>
      <c r="AR264" s="619"/>
      <c r="AS264" s="617"/>
    </row>
    <row r="265" spans="1:45" ht="15.75">
      <c r="A265" s="190"/>
      <c r="B265" s="366"/>
      <c r="C265" s="366"/>
      <c r="D265" s="596"/>
      <c r="E265" s="596"/>
      <c r="F265" s="366"/>
      <c r="G265" s="366"/>
      <c r="H265" s="366"/>
      <c r="I265" s="366"/>
      <c r="J265" s="366"/>
      <c r="K265" s="366"/>
      <c r="L265" s="366"/>
      <c r="M265" s="366"/>
      <c r="N265" s="366"/>
      <c r="O265" s="366"/>
      <c r="P265" s="611"/>
      <c r="Q265" s="614"/>
      <c r="R265" s="588"/>
      <c r="S265" s="188"/>
      <c r="T265" s="366"/>
      <c r="U265" s="366"/>
      <c r="V265" s="366"/>
      <c r="W265" s="366"/>
      <c r="X265" s="366"/>
      <c r="Y265" s="366"/>
      <c r="Z265" s="366"/>
      <c r="AA265" s="366"/>
      <c r="AB265" s="366"/>
      <c r="AC265" s="366"/>
      <c r="AD265" s="366"/>
      <c r="AE265" s="366"/>
      <c r="AF265" s="366"/>
      <c r="AG265" s="366"/>
      <c r="AH265" s="366"/>
      <c r="AI265" s="366"/>
      <c r="AJ265" s="366"/>
      <c r="AK265" s="366"/>
      <c r="AL265" s="366"/>
      <c r="AM265" s="607"/>
      <c r="AN265" s="366"/>
      <c r="AO265" s="366"/>
      <c r="AP265" s="366"/>
      <c r="AQ265" s="366"/>
      <c r="AR265" s="619"/>
      <c r="AS265" s="617"/>
    </row>
    <row r="266" spans="1:45" ht="15.75">
      <c r="A266" s="190"/>
      <c r="B266" s="366"/>
      <c r="C266" s="366"/>
      <c r="D266" s="596"/>
      <c r="E266" s="596"/>
      <c r="F266" s="366"/>
      <c r="G266" s="366"/>
      <c r="H266" s="366"/>
      <c r="I266" s="366"/>
      <c r="J266" s="366"/>
      <c r="K266" s="366"/>
      <c r="L266" s="366"/>
      <c r="M266" s="366"/>
      <c r="N266" s="366"/>
      <c r="O266" s="366"/>
      <c r="P266" s="611"/>
      <c r="Q266" s="614"/>
      <c r="R266" s="588"/>
      <c r="S266" s="188"/>
      <c r="T266" s="366"/>
      <c r="U266" s="366"/>
      <c r="V266" s="366"/>
      <c r="W266" s="366"/>
      <c r="X266" s="366"/>
      <c r="Y266" s="366"/>
      <c r="Z266" s="366"/>
      <c r="AA266" s="366"/>
      <c r="AB266" s="366"/>
      <c r="AC266" s="366"/>
      <c r="AD266" s="366"/>
      <c r="AE266" s="366"/>
      <c r="AF266" s="366"/>
      <c r="AG266" s="366"/>
      <c r="AH266" s="366"/>
      <c r="AI266" s="366"/>
      <c r="AJ266" s="366"/>
      <c r="AK266" s="366"/>
      <c r="AL266" s="366"/>
      <c r="AM266" s="607"/>
      <c r="AN266" s="366"/>
      <c r="AO266" s="366"/>
      <c r="AP266" s="366"/>
      <c r="AQ266" s="366"/>
      <c r="AR266" s="619"/>
      <c r="AS266" s="617"/>
    </row>
    <row r="267" spans="1:45" ht="15.75">
      <c r="A267" s="190"/>
      <c r="B267" s="366"/>
      <c r="C267" s="366"/>
      <c r="D267" s="596"/>
      <c r="E267" s="596"/>
      <c r="F267" s="366"/>
      <c r="G267" s="366"/>
      <c r="H267" s="366"/>
      <c r="I267" s="366"/>
      <c r="J267" s="366"/>
      <c r="K267" s="366"/>
      <c r="L267" s="366"/>
      <c r="M267" s="366"/>
      <c r="N267" s="366"/>
      <c r="O267" s="366"/>
      <c r="P267" s="611"/>
      <c r="Q267" s="614"/>
      <c r="R267" s="588"/>
      <c r="S267" s="188"/>
      <c r="T267" s="366"/>
      <c r="U267" s="366"/>
      <c r="V267" s="366"/>
      <c r="W267" s="366"/>
      <c r="X267" s="366"/>
      <c r="Y267" s="366"/>
      <c r="Z267" s="366"/>
      <c r="AA267" s="366"/>
      <c r="AB267" s="366"/>
      <c r="AC267" s="366"/>
      <c r="AD267" s="366"/>
      <c r="AE267" s="366"/>
      <c r="AF267" s="366"/>
      <c r="AG267" s="366"/>
      <c r="AH267" s="366"/>
      <c r="AI267" s="366"/>
      <c r="AJ267" s="366"/>
      <c r="AK267" s="366"/>
      <c r="AL267" s="366"/>
      <c r="AM267" s="607"/>
      <c r="AN267" s="366"/>
      <c r="AO267" s="366"/>
      <c r="AP267" s="366"/>
      <c r="AQ267" s="366"/>
      <c r="AR267" s="619"/>
      <c r="AS267" s="617"/>
    </row>
    <row r="268" spans="1:45" ht="15.75">
      <c r="A268" s="190"/>
      <c r="B268" s="366"/>
      <c r="C268" s="366"/>
      <c r="D268" s="596"/>
      <c r="E268" s="596"/>
      <c r="F268" s="366"/>
      <c r="G268" s="366"/>
      <c r="H268" s="366"/>
      <c r="I268" s="366"/>
      <c r="J268" s="366"/>
      <c r="K268" s="366"/>
      <c r="L268" s="366"/>
      <c r="M268" s="366"/>
      <c r="N268" s="366"/>
      <c r="O268" s="366"/>
      <c r="P268" s="611"/>
      <c r="Q268" s="614"/>
      <c r="R268" s="588"/>
      <c r="S268" s="188"/>
      <c r="T268" s="366"/>
      <c r="U268" s="366"/>
      <c r="V268" s="366"/>
      <c r="W268" s="366"/>
      <c r="X268" s="366"/>
      <c r="Y268" s="366"/>
      <c r="Z268" s="366"/>
      <c r="AA268" s="366"/>
      <c r="AB268" s="366"/>
      <c r="AC268" s="366"/>
      <c r="AD268" s="366"/>
      <c r="AE268" s="366"/>
      <c r="AF268" s="366"/>
      <c r="AG268" s="366"/>
      <c r="AH268" s="366"/>
      <c r="AI268" s="366"/>
      <c r="AJ268" s="366"/>
      <c r="AK268" s="366"/>
      <c r="AL268" s="366"/>
      <c r="AM268" s="607"/>
      <c r="AN268" s="366"/>
      <c r="AO268" s="366"/>
      <c r="AP268" s="366"/>
      <c r="AQ268" s="366"/>
      <c r="AR268" s="619"/>
      <c r="AS268" s="617"/>
    </row>
    <row r="269" spans="1:45" ht="15.75">
      <c r="A269" s="190"/>
      <c r="B269" s="366"/>
      <c r="C269" s="366"/>
      <c r="D269" s="596"/>
      <c r="E269" s="596"/>
      <c r="F269" s="366"/>
      <c r="G269" s="366"/>
      <c r="H269" s="366"/>
      <c r="I269" s="366"/>
      <c r="J269" s="366"/>
      <c r="K269" s="366"/>
      <c r="L269" s="366"/>
      <c r="M269" s="366"/>
      <c r="N269" s="366"/>
      <c r="O269" s="366"/>
      <c r="P269" s="611"/>
      <c r="Q269" s="614"/>
      <c r="R269" s="588"/>
      <c r="S269" s="188"/>
      <c r="T269" s="366"/>
      <c r="U269" s="366"/>
      <c r="V269" s="366"/>
      <c r="W269" s="366"/>
      <c r="X269" s="366"/>
      <c r="Y269" s="366"/>
      <c r="Z269" s="366"/>
      <c r="AA269" s="366"/>
      <c r="AB269" s="366"/>
      <c r="AC269" s="366"/>
      <c r="AD269" s="366"/>
      <c r="AE269" s="366"/>
      <c r="AF269" s="366"/>
      <c r="AG269" s="366"/>
      <c r="AH269" s="366"/>
      <c r="AI269" s="366"/>
      <c r="AJ269" s="366"/>
      <c r="AK269" s="366"/>
      <c r="AL269" s="366"/>
      <c r="AM269" s="607"/>
      <c r="AN269" s="366"/>
      <c r="AO269" s="366"/>
      <c r="AP269" s="366"/>
      <c r="AQ269" s="366"/>
      <c r="AR269" s="619"/>
      <c r="AS269" s="617"/>
    </row>
    <row r="270" spans="1:45" ht="15.75">
      <c r="A270" s="190"/>
      <c r="B270" s="366"/>
      <c r="C270" s="366"/>
      <c r="D270" s="596"/>
      <c r="E270" s="596"/>
      <c r="F270" s="366"/>
      <c r="G270" s="366"/>
      <c r="H270" s="366"/>
      <c r="I270" s="366"/>
      <c r="J270" s="366"/>
      <c r="K270" s="366"/>
      <c r="L270" s="366"/>
      <c r="M270" s="366"/>
      <c r="N270" s="366"/>
      <c r="O270" s="366"/>
      <c r="P270" s="611"/>
      <c r="Q270" s="614"/>
      <c r="R270" s="588"/>
      <c r="S270" s="188"/>
      <c r="T270" s="366"/>
      <c r="U270" s="366"/>
      <c r="V270" s="366"/>
      <c r="W270" s="366"/>
      <c r="X270" s="366"/>
      <c r="Y270" s="366"/>
      <c r="Z270" s="366"/>
      <c r="AA270" s="366"/>
      <c r="AB270" s="366"/>
      <c r="AC270" s="366"/>
      <c r="AD270" s="366"/>
      <c r="AE270" s="366"/>
      <c r="AF270" s="366"/>
      <c r="AG270" s="366"/>
      <c r="AH270" s="366"/>
      <c r="AI270" s="366"/>
      <c r="AJ270" s="366"/>
      <c r="AK270" s="366"/>
      <c r="AL270" s="366"/>
      <c r="AM270" s="607"/>
      <c r="AN270" s="366"/>
      <c r="AO270" s="366"/>
      <c r="AP270" s="366"/>
      <c r="AQ270" s="366"/>
      <c r="AR270" s="619"/>
      <c r="AS270" s="617"/>
    </row>
    <row r="271" spans="1:45" ht="15.75">
      <c r="A271" s="190"/>
      <c r="B271" s="366"/>
      <c r="C271" s="366"/>
      <c r="D271" s="596"/>
      <c r="E271" s="596"/>
      <c r="F271" s="366"/>
      <c r="G271" s="366"/>
      <c r="H271" s="366"/>
      <c r="I271" s="366"/>
      <c r="J271" s="366"/>
      <c r="K271" s="366"/>
      <c r="L271" s="366"/>
      <c r="M271" s="366"/>
      <c r="N271" s="366"/>
      <c r="O271" s="366"/>
      <c r="P271" s="611"/>
      <c r="Q271" s="614"/>
      <c r="R271" s="588"/>
      <c r="S271" s="188"/>
      <c r="T271" s="366"/>
      <c r="U271" s="366"/>
      <c r="V271" s="366"/>
      <c r="W271" s="366"/>
      <c r="X271" s="366"/>
      <c r="Y271" s="366"/>
      <c r="Z271" s="366"/>
      <c r="AA271" s="366"/>
      <c r="AB271" s="366"/>
      <c r="AC271" s="366"/>
      <c r="AD271" s="366"/>
      <c r="AE271" s="366"/>
      <c r="AF271" s="366"/>
      <c r="AG271" s="366"/>
      <c r="AH271" s="366"/>
      <c r="AI271" s="366"/>
      <c r="AJ271" s="366"/>
      <c r="AK271" s="366"/>
      <c r="AL271" s="366"/>
      <c r="AM271" s="607"/>
      <c r="AN271" s="366"/>
      <c r="AO271" s="366"/>
      <c r="AP271" s="366"/>
      <c r="AQ271" s="366"/>
      <c r="AR271" s="619"/>
      <c r="AS271" s="617"/>
    </row>
    <row r="272" spans="1:45" ht="15.75">
      <c r="A272" s="190"/>
      <c r="B272" s="366"/>
      <c r="C272" s="366"/>
      <c r="D272" s="596"/>
      <c r="E272" s="596"/>
      <c r="F272" s="366"/>
      <c r="G272" s="366"/>
      <c r="H272" s="366"/>
      <c r="I272" s="366"/>
      <c r="J272" s="366"/>
      <c r="K272" s="366"/>
      <c r="L272" s="366"/>
      <c r="M272" s="366"/>
      <c r="N272" s="366"/>
      <c r="O272" s="366"/>
      <c r="P272" s="611"/>
      <c r="Q272" s="614"/>
      <c r="R272" s="588"/>
      <c r="S272" s="188"/>
      <c r="T272" s="366"/>
      <c r="U272" s="366"/>
      <c r="V272" s="366"/>
      <c r="W272" s="366"/>
      <c r="X272" s="366"/>
      <c r="Y272" s="366"/>
      <c r="Z272" s="366"/>
      <c r="AA272" s="366"/>
      <c r="AB272" s="366"/>
      <c r="AC272" s="366"/>
      <c r="AD272" s="366"/>
      <c r="AE272" s="366"/>
      <c r="AF272" s="366"/>
      <c r="AG272" s="366"/>
      <c r="AH272" s="366"/>
      <c r="AI272" s="366"/>
      <c r="AJ272" s="366"/>
      <c r="AK272" s="366"/>
      <c r="AL272" s="366"/>
      <c r="AM272" s="607"/>
      <c r="AN272" s="366"/>
      <c r="AO272" s="366"/>
      <c r="AP272" s="366"/>
      <c r="AQ272" s="366"/>
      <c r="AR272" s="619"/>
      <c r="AS272" s="617"/>
    </row>
    <row r="273" spans="1:45" ht="15.75">
      <c r="A273" s="190"/>
      <c r="B273" s="366"/>
      <c r="C273" s="366"/>
      <c r="D273" s="596"/>
      <c r="E273" s="596"/>
      <c r="F273" s="366"/>
      <c r="G273" s="366"/>
      <c r="H273" s="366"/>
      <c r="I273" s="366"/>
      <c r="J273" s="366"/>
      <c r="K273" s="366"/>
      <c r="L273" s="366"/>
      <c r="M273" s="366"/>
      <c r="N273" s="366"/>
      <c r="O273" s="366"/>
      <c r="P273" s="611"/>
      <c r="Q273" s="614"/>
      <c r="R273" s="588"/>
      <c r="S273" s="188"/>
      <c r="T273" s="366"/>
      <c r="U273" s="366"/>
      <c r="V273" s="366"/>
      <c r="W273" s="366"/>
      <c r="X273" s="366"/>
      <c r="Y273" s="366"/>
      <c r="Z273" s="366"/>
      <c r="AA273" s="366"/>
      <c r="AB273" s="366"/>
      <c r="AC273" s="366"/>
      <c r="AD273" s="366"/>
      <c r="AE273" s="366"/>
      <c r="AF273" s="366"/>
      <c r="AG273" s="366"/>
      <c r="AH273" s="366"/>
      <c r="AI273" s="366"/>
      <c r="AJ273" s="366"/>
      <c r="AK273" s="366"/>
      <c r="AL273" s="366"/>
      <c r="AM273" s="607"/>
      <c r="AN273" s="366"/>
      <c r="AO273" s="366"/>
      <c r="AP273" s="366"/>
      <c r="AQ273" s="366"/>
      <c r="AR273" s="619"/>
      <c r="AS273" s="617"/>
    </row>
    <row r="274" spans="1:45" ht="15.75">
      <c r="A274" s="190"/>
      <c r="B274" s="366"/>
      <c r="C274" s="366"/>
      <c r="D274" s="596"/>
      <c r="E274" s="596"/>
      <c r="F274" s="366"/>
      <c r="G274" s="366"/>
      <c r="H274" s="366"/>
      <c r="I274" s="366"/>
      <c r="J274" s="366"/>
      <c r="K274" s="366"/>
      <c r="L274" s="366"/>
      <c r="M274" s="366"/>
      <c r="N274" s="366"/>
      <c r="O274" s="366"/>
      <c r="P274" s="611"/>
      <c r="Q274" s="614"/>
      <c r="R274" s="588"/>
      <c r="S274" s="188"/>
      <c r="T274" s="366"/>
      <c r="U274" s="366"/>
      <c r="V274" s="366"/>
      <c r="W274" s="366"/>
      <c r="X274" s="366"/>
      <c r="Y274" s="366"/>
      <c r="Z274" s="366"/>
      <c r="AA274" s="366"/>
      <c r="AB274" s="366"/>
      <c r="AC274" s="366"/>
      <c r="AD274" s="366"/>
      <c r="AE274" s="366"/>
      <c r="AF274" s="366"/>
      <c r="AG274" s="366"/>
      <c r="AH274" s="366"/>
      <c r="AI274" s="366"/>
      <c r="AJ274" s="366"/>
      <c r="AK274" s="366"/>
      <c r="AL274" s="366"/>
      <c r="AM274" s="607"/>
      <c r="AN274" s="366"/>
      <c r="AO274" s="366"/>
      <c r="AP274" s="366"/>
      <c r="AQ274" s="366"/>
      <c r="AR274" s="619"/>
      <c r="AS274" s="617"/>
    </row>
    <row r="275" spans="1:45" ht="15.75">
      <c r="A275" s="190"/>
      <c r="B275" s="366"/>
      <c r="C275" s="366"/>
      <c r="D275" s="596"/>
      <c r="E275" s="596"/>
      <c r="F275" s="366"/>
      <c r="G275" s="366"/>
      <c r="H275" s="366"/>
      <c r="I275" s="366"/>
      <c r="J275" s="366"/>
      <c r="K275" s="366"/>
      <c r="L275" s="366"/>
      <c r="M275" s="366"/>
      <c r="N275" s="366"/>
      <c r="O275" s="366"/>
      <c r="P275" s="611"/>
      <c r="Q275" s="614"/>
      <c r="R275" s="588"/>
      <c r="S275" s="188"/>
      <c r="T275" s="366"/>
      <c r="U275" s="366"/>
      <c r="V275" s="366"/>
      <c r="W275" s="366"/>
      <c r="X275" s="366"/>
      <c r="Y275" s="366"/>
      <c r="Z275" s="366"/>
      <c r="AA275" s="366"/>
      <c r="AB275" s="366"/>
      <c r="AC275" s="366"/>
      <c r="AD275" s="366"/>
      <c r="AE275" s="366"/>
      <c r="AF275" s="366"/>
      <c r="AG275" s="366"/>
      <c r="AH275" s="366"/>
      <c r="AI275" s="366"/>
      <c r="AJ275" s="366"/>
      <c r="AK275" s="366"/>
      <c r="AL275" s="366"/>
      <c r="AM275" s="607"/>
      <c r="AN275" s="366"/>
      <c r="AO275" s="366"/>
      <c r="AP275" s="366"/>
      <c r="AQ275" s="366"/>
      <c r="AR275" s="619"/>
      <c r="AS275" s="617"/>
    </row>
    <row r="276" spans="1:45" ht="15.75">
      <c r="A276" s="190"/>
      <c r="B276" s="366"/>
      <c r="C276" s="366"/>
      <c r="D276" s="596"/>
      <c r="E276" s="596"/>
      <c r="F276" s="366"/>
      <c r="G276" s="366"/>
      <c r="H276" s="366"/>
      <c r="I276" s="366"/>
      <c r="J276" s="366"/>
      <c r="K276" s="366"/>
      <c r="L276" s="366"/>
      <c r="M276" s="366"/>
      <c r="N276" s="366"/>
      <c r="O276" s="366"/>
      <c r="P276" s="611"/>
      <c r="Q276" s="614"/>
      <c r="R276" s="588"/>
      <c r="S276" s="188"/>
      <c r="T276" s="366"/>
      <c r="U276" s="366"/>
      <c r="V276" s="366"/>
      <c r="W276" s="366"/>
      <c r="X276" s="366"/>
      <c r="Y276" s="366"/>
      <c r="Z276" s="366"/>
      <c r="AA276" s="366"/>
      <c r="AB276" s="366"/>
      <c r="AC276" s="366"/>
      <c r="AD276" s="366"/>
      <c r="AE276" s="366"/>
      <c r="AF276" s="366"/>
      <c r="AG276" s="366"/>
      <c r="AH276" s="366"/>
      <c r="AI276" s="366"/>
      <c r="AJ276" s="366"/>
      <c r="AK276" s="366"/>
      <c r="AL276" s="366"/>
      <c r="AM276" s="607"/>
      <c r="AN276" s="366"/>
      <c r="AO276" s="366"/>
      <c r="AP276" s="366"/>
      <c r="AQ276" s="366"/>
      <c r="AR276" s="619"/>
      <c r="AS276" s="617"/>
    </row>
    <row r="277" spans="1:45" ht="15.75">
      <c r="A277" s="190"/>
      <c r="B277" s="366"/>
      <c r="C277" s="366"/>
      <c r="D277" s="596"/>
      <c r="E277" s="596"/>
      <c r="F277" s="366"/>
      <c r="G277" s="366"/>
      <c r="H277" s="366"/>
      <c r="I277" s="366"/>
      <c r="J277" s="366"/>
      <c r="K277" s="366"/>
      <c r="L277" s="366"/>
      <c r="M277" s="366"/>
      <c r="N277" s="366"/>
      <c r="O277" s="366"/>
      <c r="P277" s="611"/>
      <c r="Q277" s="614"/>
      <c r="R277" s="588"/>
      <c r="S277" s="188"/>
      <c r="T277" s="366"/>
      <c r="U277" s="366"/>
      <c r="V277" s="366"/>
      <c r="W277" s="366"/>
      <c r="X277" s="366"/>
      <c r="Y277" s="366"/>
      <c r="Z277" s="366"/>
      <c r="AA277" s="366"/>
      <c r="AB277" s="366"/>
      <c r="AC277" s="366"/>
      <c r="AD277" s="366"/>
      <c r="AE277" s="366"/>
      <c r="AF277" s="366"/>
      <c r="AG277" s="366"/>
      <c r="AH277" s="366"/>
      <c r="AI277" s="366"/>
      <c r="AJ277" s="366"/>
      <c r="AK277" s="366"/>
      <c r="AL277" s="366"/>
      <c r="AM277" s="607"/>
      <c r="AN277" s="366"/>
      <c r="AO277" s="366"/>
      <c r="AP277" s="366"/>
      <c r="AQ277" s="366"/>
      <c r="AR277" s="619"/>
      <c r="AS277" s="617"/>
    </row>
    <row r="278" spans="1:45" ht="15.75">
      <c r="A278" s="190"/>
      <c r="B278" s="366"/>
      <c r="C278" s="366"/>
      <c r="D278" s="596"/>
      <c r="E278" s="596"/>
      <c r="F278" s="366"/>
      <c r="G278" s="366"/>
      <c r="H278" s="366"/>
      <c r="I278" s="366"/>
      <c r="J278" s="366"/>
      <c r="K278" s="366"/>
      <c r="L278" s="366"/>
      <c r="M278" s="366"/>
      <c r="N278" s="366"/>
      <c r="O278" s="366"/>
      <c r="P278" s="611"/>
      <c r="Q278" s="614"/>
      <c r="R278" s="588"/>
      <c r="S278" s="188"/>
      <c r="T278" s="366"/>
      <c r="U278" s="366"/>
      <c r="V278" s="366"/>
      <c r="W278" s="366"/>
      <c r="X278" s="366"/>
      <c r="Y278" s="366"/>
      <c r="Z278" s="366"/>
      <c r="AA278" s="366"/>
      <c r="AB278" s="366"/>
      <c r="AC278" s="366"/>
      <c r="AD278" s="366"/>
      <c r="AE278" s="366"/>
      <c r="AF278" s="366"/>
      <c r="AG278" s="366"/>
      <c r="AH278" s="366"/>
      <c r="AI278" s="366"/>
      <c r="AJ278" s="366"/>
      <c r="AK278" s="366"/>
      <c r="AL278" s="366"/>
      <c r="AM278" s="607"/>
      <c r="AN278" s="366"/>
      <c r="AO278" s="366"/>
      <c r="AP278" s="366"/>
      <c r="AQ278" s="366"/>
      <c r="AR278" s="619"/>
      <c r="AS278" s="617"/>
    </row>
    <row r="279" spans="1:45" ht="15.75">
      <c r="A279" s="190"/>
      <c r="B279" s="366"/>
      <c r="C279" s="366"/>
      <c r="D279" s="596"/>
      <c r="E279" s="596"/>
      <c r="F279" s="366"/>
      <c r="G279" s="366"/>
      <c r="H279" s="366"/>
      <c r="I279" s="366"/>
      <c r="J279" s="366"/>
      <c r="K279" s="366"/>
      <c r="L279" s="366"/>
      <c r="M279" s="366"/>
      <c r="N279" s="366"/>
      <c r="O279" s="366"/>
      <c r="P279" s="611"/>
      <c r="Q279" s="614"/>
      <c r="R279" s="588"/>
      <c r="S279" s="188"/>
      <c r="T279" s="366"/>
      <c r="U279" s="366"/>
      <c r="V279" s="366"/>
      <c r="W279" s="366"/>
      <c r="X279" s="366"/>
      <c r="Y279" s="366"/>
      <c r="Z279" s="366"/>
      <c r="AA279" s="366"/>
      <c r="AB279" s="366"/>
      <c r="AC279" s="366"/>
      <c r="AD279" s="366"/>
      <c r="AE279" s="366"/>
      <c r="AF279" s="366"/>
      <c r="AG279" s="366"/>
      <c r="AH279" s="366"/>
      <c r="AI279" s="366"/>
      <c r="AJ279" s="366"/>
      <c r="AK279" s="366"/>
      <c r="AL279" s="366"/>
      <c r="AM279" s="607"/>
      <c r="AN279" s="366"/>
      <c r="AO279" s="366"/>
      <c r="AP279" s="366"/>
      <c r="AQ279" s="366"/>
      <c r="AR279" s="619"/>
      <c r="AS279" s="617"/>
    </row>
    <row r="280" spans="1:45" ht="15.75">
      <c r="A280" s="190"/>
      <c r="B280" s="366"/>
      <c r="C280" s="366"/>
      <c r="D280" s="596"/>
      <c r="E280" s="596"/>
      <c r="F280" s="366"/>
      <c r="G280" s="366"/>
      <c r="H280" s="366"/>
      <c r="I280" s="366"/>
      <c r="J280" s="366"/>
      <c r="K280" s="366"/>
      <c r="L280" s="366"/>
      <c r="M280" s="366"/>
      <c r="N280" s="366"/>
      <c r="O280" s="366"/>
      <c r="P280" s="611"/>
      <c r="Q280" s="614"/>
      <c r="R280" s="588"/>
      <c r="S280" s="188"/>
      <c r="T280" s="366"/>
      <c r="U280" s="366"/>
      <c r="V280" s="366"/>
      <c r="W280" s="366"/>
      <c r="X280" s="366"/>
      <c r="Y280" s="366"/>
      <c r="Z280" s="366"/>
      <c r="AA280" s="366"/>
      <c r="AB280" s="366"/>
      <c r="AC280" s="366"/>
      <c r="AD280" s="366"/>
      <c r="AE280" s="366"/>
      <c r="AF280" s="366"/>
      <c r="AG280" s="366"/>
      <c r="AH280" s="366"/>
      <c r="AI280" s="366"/>
      <c r="AJ280" s="366"/>
      <c r="AK280" s="366"/>
      <c r="AL280" s="366"/>
      <c r="AM280" s="607"/>
      <c r="AN280" s="366"/>
      <c r="AO280" s="366"/>
      <c r="AP280" s="366"/>
      <c r="AQ280" s="366"/>
      <c r="AR280" s="619"/>
      <c r="AS280" s="617"/>
    </row>
    <row r="281" spans="1:45" ht="15.75">
      <c r="A281" s="190"/>
      <c r="B281" s="366"/>
      <c r="C281" s="366"/>
      <c r="D281" s="596"/>
      <c r="E281" s="596"/>
      <c r="F281" s="366"/>
      <c r="G281" s="366"/>
      <c r="H281" s="366"/>
      <c r="I281" s="366"/>
      <c r="J281" s="366"/>
      <c r="K281" s="366"/>
      <c r="L281" s="366"/>
      <c r="M281" s="366"/>
      <c r="N281" s="366"/>
      <c r="O281" s="366"/>
      <c r="P281" s="611"/>
      <c r="Q281" s="614"/>
      <c r="R281" s="588"/>
      <c r="S281" s="188"/>
      <c r="T281" s="366"/>
      <c r="U281" s="366"/>
      <c r="V281" s="366"/>
      <c r="W281" s="366"/>
      <c r="X281" s="366"/>
      <c r="Y281" s="366"/>
      <c r="Z281" s="366"/>
      <c r="AA281" s="366"/>
      <c r="AB281" s="366"/>
      <c r="AC281" s="366"/>
      <c r="AD281" s="366"/>
      <c r="AE281" s="366"/>
      <c r="AF281" s="366"/>
      <c r="AG281" s="366"/>
      <c r="AH281" s="366"/>
      <c r="AI281" s="366"/>
      <c r="AJ281" s="366"/>
      <c r="AK281" s="366"/>
      <c r="AL281" s="366"/>
      <c r="AM281" s="607"/>
      <c r="AN281" s="366"/>
      <c r="AO281" s="366"/>
      <c r="AP281" s="366"/>
      <c r="AQ281" s="366"/>
      <c r="AR281" s="619"/>
      <c r="AS281" s="617"/>
    </row>
    <row r="282" spans="1:45" ht="15.75">
      <c r="A282" s="190"/>
      <c r="B282" s="366"/>
      <c r="C282" s="366"/>
      <c r="D282" s="596"/>
      <c r="E282" s="596"/>
      <c r="F282" s="366"/>
      <c r="G282" s="366"/>
      <c r="H282" s="366"/>
      <c r="I282" s="366"/>
      <c r="J282" s="366"/>
      <c r="K282" s="366"/>
      <c r="L282" s="366"/>
      <c r="M282" s="366"/>
      <c r="N282" s="366"/>
      <c r="O282" s="366"/>
      <c r="P282" s="611"/>
      <c r="Q282" s="614"/>
      <c r="R282" s="588"/>
      <c r="S282" s="188"/>
      <c r="T282" s="366"/>
      <c r="U282" s="366"/>
      <c r="V282" s="366"/>
      <c r="W282" s="366"/>
      <c r="X282" s="366"/>
      <c r="Y282" s="366"/>
      <c r="Z282" s="366"/>
      <c r="AA282" s="366"/>
      <c r="AB282" s="366"/>
      <c r="AC282" s="366"/>
      <c r="AD282" s="366"/>
      <c r="AE282" s="366"/>
      <c r="AF282" s="366"/>
      <c r="AG282" s="366"/>
      <c r="AH282" s="366"/>
      <c r="AI282" s="366"/>
      <c r="AJ282" s="366"/>
      <c r="AK282" s="366"/>
      <c r="AL282" s="366"/>
      <c r="AM282" s="607"/>
      <c r="AN282" s="366"/>
      <c r="AO282" s="366"/>
      <c r="AP282" s="366"/>
      <c r="AQ282" s="366"/>
      <c r="AR282" s="619"/>
      <c r="AS282" s="617"/>
    </row>
    <row r="283" spans="1:45" ht="15.75">
      <c r="A283" s="190"/>
      <c r="B283" s="366"/>
      <c r="C283" s="366"/>
      <c r="D283" s="596"/>
      <c r="E283" s="596"/>
      <c r="F283" s="366"/>
      <c r="G283" s="366"/>
      <c r="H283" s="366"/>
      <c r="I283" s="366"/>
      <c r="J283" s="366"/>
      <c r="K283" s="366"/>
      <c r="L283" s="366"/>
      <c r="M283" s="366"/>
      <c r="N283" s="366"/>
      <c r="O283" s="366"/>
      <c r="P283" s="611"/>
      <c r="Q283" s="614"/>
      <c r="R283" s="588"/>
      <c r="S283" s="188"/>
      <c r="T283" s="366"/>
      <c r="U283" s="366"/>
      <c r="V283" s="366"/>
      <c r="W283" s="366"/>
      <c r="X283" s="366"/>
      <c r="Y283" s="366"/>
      <c r="Z283" s="366"/>
      <c r="AA283" s="366"/>
      <c r="AB283" s="366"/>
      <c r="AC283" s="366"/>
      <c r="AD283" s="366"/>
      <c r="AE283" s="366"/>
      <c r="AF283" s="366"/>
      <c r="AG283" s="366"/>
      <c r="AH283" s="366"/>
      <c r="AI283" s="366"/>
      <c r="AJ283" s="366"/>
      <c r="AK283" s="366"/>
      <c r="AL283" s="366"/>
      <c r="AM283" s="607"/>
      <c r="AN283" s="366"/>
      <c r="AO283" s="366"/>
      <c r="AP283" s="366"/>
      <c r="AQ283" s="366"/>
      <c r="AR283" s="619"/>
      <c r="AS283" s="617"/>
    </row>
    <row r="284" spans="1:45" ht="15.75">
      <c r="A284" s="190"/>
      <c r="B284" s="366"/>
      <c r="C284" s="366"/>
      <c r="D284" s="596"/>
      <c r="E284" s="596"/>
      <c r="F284" s="366"/>
      <c r="G284" s="366"/>
      <c r="H284" s="366"/>
      <c r="I284" s="366"/>
      <c r="J284" s="366"/>
      <c r="K284" s="366"/>
      <c r="L284" s="366"/>
      <c r="M284" s="366"/>
      <c r="N284" s="366"/>
      <c r="O284" s="366"/>
      <c r="P284" s="611"/>
      <c r="Q284" s="614"/>
      <c r="R284" s="588"/>
      <c r="S284" s="188"/>
      <c r="T284" s="366"/>
      <c r="U284" s="366"/>
      <c r="V284" s="366"/>
      <c r="W284" s="366"/>
      <c r="X284" s="366"/>
      <c r="Y284" s="366"/>
      <c r="Z284" s="366"/>
      <c r="AA284" s="366"/>
      <c r="AB284" s="366"/>
      <c r="AC284" s="366"/>
      <c r="AD284" s="366"/>
      <c r="AE284" s="366"/>
      <c r="AF284" s="366"/>
      <c r="AG284" s="366"/>
      <c r="AH284" s="366"/>
      <c r="AI284" s="366"/>
      <c r="AJ284" s="366"/>
      <c r="AK284" s="366"/>
      <c r="AL284" s="366"/>
      <c r="AM284" s="607"/>
      <c r="AN284" s="366"/>
      <c r="AO284" s="366"/>
      <c r="AP284" s="366"/>
      <c r="AQ284" s="366"/>
      <c r="AR284" s="619"/>
      <c r="AS284" s="617"/>
    </row>
    <row r="285" spans="1:45" ht="15.75">
      <c r="A285" s="190"/>
      <c r="B285" s="366"/>
      <c r="C285" s="366"/>
      <c r="D285" s="596"/>
      <c r="E285" s="596"/>
      <c r="F285" s="366"/>
      <c r="G285" s="366"/>
      <c r="H285" s="366"/>
      <c r="I285" s="366"/>
      <c r="J285" s="366"/>
      <c r="K285" s="366"/>
      <c r="L285" s="366"/>
      <c r="M285" s="366"/>
      <c r="N285" s="366"/>
      <c r="O285" s="366"/>
      <c r="P285" s="611"/>
      <c r="Q285" s="614"/>
      <c r="R285" s="588"/>
      <c r="S285" s="188"/>
      <c r="T285" s="366"/>
      <c r="U285" s="366"/>
      <c r="V285" s="366"/>
      <c r="W285" s="366"/>
      <c r="X285" s="366"/>
      <c r="Y285" s="366"/>
      <c r="Z285" s="366"/>
      <c r="AA285" s="366"/>
      <c r="AB285" s="366"/>
      <c r="AC285" s="366"/>
      <c r="AD285" s="366"/>
      <c r="AE285" s="366"/>
      <c r="AF285" s="366"/>
      <c r="AG285" s="366"/>
      <c r="AH285" s="366"/>
      <c r="AI285" s="366"/>
      <c r="AJ285" s="366"/>
      <c r="AK285" s="366"/>
      <c r="AL285" s="366"/>
      <c r="AM285" s="607"/>
      <c r="AN285" s="366"/>
      <c r="AO285" s="366"/>
      <c r="AP285" s="366"/>
      <c r="AQ285" s="366"/>
      <c r="AR285" s="619"/>
      <c r="AS285" s="617"/>
    </row>
    <row r="286" spans="1:45" ht="15.75">
      <c r="A286" s="190"/>
      <c r="B286" s="366"/>
      <c r="C286" s="366"/>
      <c r="D286" s="596"/>
      <c r="E286" s="596"/>
      <c r="F286" s="366"/>
      <c r="G286" s="366"/>
      <c r="H286" s="366"/>
      <c r="I286" s="366"/>
      <c r="J286" s="366"/>
      <c r="K286" s="366"/>
      <c r="L286" s="366"/>
      <c r="M286" s="366"/>
      <c r="N286" s="366"/>
      <c r="O286" s="366"/>
      <c r="P286" s="611"/>
      <c r="Q286" s="614"/>
      <c r="R286" s="588"/>
      <c r="S286" s="188"/>
      <c r="T286" s="366"/>
      <c r="U286" s="366"/>
      <c r="V286" s="366"/>
      <c r="W286" s="366"/>
      <c r="X286" s="366"/>
      <c r="Y286" s="366"/>
      <c r="Z286" s="366"/>
      <c r="AA286" s="366"/>
      <c r="AB286" s="366"/>
      <c r="AC286" s="366"/>
      <c r="AD286" s="366"/>
      <c r="AE286" s="366"/>
      <c r="AF286" s="366"/>
      <c r="AG286" s="366"/>
      <c r="AH286" s="366"/>
      <c r="AI286" s="366"/>
      <c r="AJ286" s="366"/>
      <c r="AK286" s="366"/>
      <c r="AL286" s="366"/>
      <c r="AM286" s="607"/>
      <c r="AN286" s="366"/>
      <c r="AO286" s="366"/>
      <c r="AP286" s="366"/>
      <c r="AQ286" s="366"/>
      <c r="AR286" s="619"/>
      <c r="AS286" s="617"/>
    </row>
    <row r="287" spans="1:45" ht="15.75">
      <c r="A287" s="190"/>
      <c r="B287" s="366"/>
      <c r="C287" s="366"/>
      <c r="D287" s="596"/>
      <c r="E287" s="596"/>
      <c r="F287" s="366"/>
      <c r="G287" s="366"/>
      <c r="H287" s="366"/>
      <c r="I287" s="366"/>
      <c r="J287" s="366"/>
      <c r="K287" s="366"/>
      <c r="L287" s="366"/>
      <c r="M287" s="366"/>
      <c r="N287" s="366"/>
      <c r="O287" s="366"/>
      <c r="P287" s="611"/>
      <c r="Q287" s="614"/>
      <c r="R287" s="588"/>
      <c r="S287" s="188"/>
      <c r="T287" s="366"/>
      <c r="U287" s="366"/>
      <c r="V287" s="366"/>
      <c r="W287" s="366"/>
      <c r="X287" s="366"/>
      <c r="Y287" s="366"/>
      <c r="Z287" s="366"/>
      <c r="AA287" s="366"/>
      <c r="AB287" s="366"/>
      <c r="AC287" s="366"/>
      <c r="AD287" s="366"/>
      <c r="AE287" s="366"/>
      <c r="AF287" s="366"/>
      <c r="AG287" s="366"/>
      <c r="AH287" s="366"/>
      <c r="AI287" s="366"/>
      <c r="AJ287" s="366"/>
      <c r="AK287" s="366"/>
      <c r="AL287" s="366"/>
      <c r="AM287" s="607"/>
      <c r="AN287" s="366"/>
      <c r="AO287" s="366"/>
      <c r="AP287" s="366"/>
      <c r="AQ287" s="366"/>
      <c r="AR287" s="619"/>
      <c r="AS287" s="617"/>
    </row>
    <row r="288" spans="1:45" ht="15.75">
      <c r="A288" s="190"/>
      <c r="B288" s="366"/>
      <c r="C288" s="366"/>
      <c r="D288" s="596"/>
      <c r="E288" s="596"/>
      <c r="F288" s="366"/>
      <c r="G288" s="366"/>
      <c r="H288" s="366"/>
      <c r="I288" s="366"/>
      <c r="J288" s="366"/>
      <c r="K288" s="366"/>
      <c r="L288" s="366"/>
      <c r="M288" s="366"/>
      <c r="N288" s="366"/>
      <c r="O288" s="366"/>
      <c r="P288" s="611"/>
      <c r="Q288" s="614"/>
      <c r="R288" s="588"/>
      <c r="S288" s="188"/>
      <c r="T288" s="366"/>
      <c r="U288" s="366"/>
      <c r="V288" s="366"/>
      <c r="W288" s="366"/>
      <c r="X288" s="366"/>
      <c r="Y288" s="366"/>
      <c r="Z288" s="366"/>
      <c r="AA288" s="366"/>
      <c r="AB288" s="366"/>
      <c r="AC288" s="366"/>
      <c r="AD288" s="366"/>
      <c r="AE288" s="366"/>
      <c r="AF288" s="366"/>
      <c r="AG288" s="366"/>
      <c r="AH288" s="366"/>
      <c r="AI288" s="366"/>
      <c r="AJ288" s="366"/>
      <c r="AK288" s="366"/>
      <c r="AL288" s="366"/>
      <c r="AM288" s="607"/>
      <c r="AN288" s="366"/>
      <c r="AO288" s="366"/>
      <c r="AP288" s="366"/>
      <c r="AQ288" s="366"/>
      <c r="AR288" s="619"/>
      <c r="AS288" s="617"/>
    </row>
    <row r="289" spans="1:45" ht="15.75">
      <c r="A289" s="190"/>
      <c r="B289" s="366"/>
      <c r="C289" s="366"/>
      <c r="D289" s="596"/>
      <c r="E289" s="596"/>
      <c r="F289" s="366"/>
      <c r="G289" s="366"/>
      <c r="H289" s="366"/>
      <c r="I289" s="366"/>
      <c r="J289" s="366"/>
      <c r="K289" s="366"/>
      <c r="L289" s="366"/>
      <c r="M289" s="366"/>
      <c r="N289" s="366"/>
      <c r="O289" s="366"/>
      <c r="P289" s="611"/>
      <c r="Q289" s="614"/>
      <c r="R289" s="588"/>
      <c r="S289" s="188"/>
      <c r="T289" s="366"/>
      <c r="U289" s="366"/>
      <c r="V289" s="366"/>
      <c r="W289" s="366"/>
      <c r="X289" s="366"/>
      <c r="Y289" s="366"/>
      <c r="Z289" s="366"/>
      <c r="AA289" s="366"/>
      <c r="AB289" s="366"/>
      <c r="AC289" s="366"/>
      <c r="AD289" s="366"/>
      <c r="AE289" s="366"/>
      <c r="AF289" s="366"/>
      <c r="AG289" s="366"/>
      <c r="AH289" s="366"/>
      <c r="AI289" s="366"/>
      <c r="AJ289" s="366"/>
      <c r="AK289" s="366"/>
      <c r="AL289" s="366"/>
      <c r="AM289" s="607"/>
      <c r="AN289" s="366"/>
      <c r="AO289" s="366"/>
      <c r="AP289" s="366"/>
      <c r="AQ289" s="366"/>
      <c r="AR289" s="619"/>
      <c r="AS289" s="617"/>
    </row>
    <row r="290" spans="1:45" ht="15.75">
      <c r="A290" s="190"/>
      <c r="B290" s="366"/>
      <c r="C290" s="366"/>
      <c r="D290" s="596"/>
      <c r="E290" s="596"/>
      <c r="F290" s="366"/>
      <c r="G290" s="366"/>
      <c r="H290" s="366"/>
      <c r="I290" s="366"/>
      <c r="J290" s="366"/>
      <c r="K290" s="366"/>
      <c r="L290" s="366"/>
      <c r="M290" s="366"/>
      <c r="N290" s="366"/>
      <c r="O290" s="366"/>
      <c r="P290" s="611"/>
      <c r="Q290" s="614"/>
      <c r="R290" s="588"/>
      <c r="S290" s="188"/>
      <c r="T290" s="366"/>
      <c r="U290" s="366"/>
      <c r="V290" s="366"/>
      <c r="W290" s="366"/>
      <c r="X290" s="366"/>
      <c r="Y290" s="366"/>
      <c r="Z290" s="366"/>
      <c r="AA290" s="366"/>
      <c r="AB290" s="366"/>
      <c r="AC290" s="366"/>
      <c r="AD290" s="366"/>
      <c r="AE290" s="366"/>
      <c r="AF290" s="366"/>
      <c r="AG290" s="366"/>
      <c r="AH290" s="366"/>
      <c r="AI290" s="366"/>
      <c r="AJ290" s="366"/>
      <c r="AK290" s="366"/>
      <c r="AL290" s="366"/>
      <c r="AM290" s="607"/>
      <c r="AN290" s="366"/>
      <c r="AO290" s="366"/>
      <c r="AP290" s="366"/>
      <c r="AQ290" s="366"/>
      <c r="AR290" s="619"/>
      <c r="AS290" s="617"/>
    </row>
    <row r="291" spans="1:45" ht="15.75">
      <c r="A291" s="190"/>
      <c r="B291" s="366"/>
      <c r="C291" s="366"/>
      <c r="D291" s="596"/>
      <c r="E291" s="596"/>
      <c r="F291" s="366"/>
      <c r="G291" s="366"/>
      <c r="H291" s="366"/>
      <c r="I291" s="366"/>
      <c r="J291" s="366"/>
      <c r="K291" s="366"/>
      <c r="L291" s="366"/>
      <c r="M291" s="366"/>
      <c r="N291" s="366"/>
      <c r="O291" s="366"/>
      <c r="P291" s="611"/>
      <c r="Q291" s="614"/>
      <c r="R291" s="588"/>
      <c r="S291" s="188"/>
      <c r="T291" s="366"/>
      <c r="U291" s="366"/>
      <c r="V291" s="366"/>
      <c r="W291" s="366"/>
      <c r="X291" s="366"/>
      <c r="Y291" s="366"/>
      <c r="Z291" s="366"/>
      <c r="AA291" s="366"/>
      <c r="AB291" s="366"/>
      <c r="AC291" s="366"/>
      <c r="AD291" s="366"/>
      <c r="AE291" s="366"/>
      <c r="AF291" s="366"/>
      <c r="AG291" s="366"/>
      <c r="AH291" s="366"/>
      <c r="AI291" s="366"/>
      <c r="AJ291" s="366"/>
      <c r="AK291" s="366"/>
      <c r="AL291" s="366"/>
      <c r="AM291" s="607"/>
      <c r="AN291" s="366"/>
      <c r="AO291" s="366"/>
      <c r="AP291" s="366"/>
      <c r="AQ291" s="366"/>
      <c r="AR291" s="619"/>
      <c r="AS291" s="617"/>
    </row>
    <row r="292" spans="1:45" ht="15.75">
      <c r="A292" s="190"/>
      <c r="B292" s="366"/>
      <c r="C292" s="366"/>
      <c r="D292" s="596"/>
      <c r="E292" s="596"/>
      <c r="F292" s="366"/>
      <c r="G292" s="366"/>
      <c r="H292" s="366"/>
      <c r="I292" s="366"/>
      <c r="J292" s="366"/>
      <c r="K292" s="366"/>
      <c r="L292" s="366"/>
      <c r="M292" s="366"/>
      <c r="N292" s="366"/>
      <c r="O292" s="366"/>
      <c r="P292" s="611"/>
      <c r="Q292" s="614"/>
      <c r="R292" s="588"/>
      <c r="S292" s="188"/>
      <c r="T292" s="366"/>
      <c r="U292" s="366"/>
      <c r="V292" s="366"/>
      <c r="W292" s="366"/>
      <c r="X292" s="366"/>
      <c r="Y292" s="366"/>
      <c r="Z292" s="366"/>
      <c r="AA292" s="366"/>
      <c r="AB292" s="366"/>
      <c r="AC292" s="366"/>
      <c r="AD292" s="366"/>
      <c r="AE292" s="366"/>
      <c r="AF292" s="366"/>
      <c r="AG292" s="366"/>
      <c r="AH292" s="366"/>
      <c r="AI292" s="366"/>
      <c r="AJ292" s="366"/>
      <c r="AK292" s="366"/>
      <c r="AL292" s="366"/>
      <c r="AM292" s="607"/>
      <c r="AN292" s="366"/>
      <c r="AO292" s="366"/>
      <c r="AP292" s="366"/>
      <c r="AQ292" s="366"/>
      <c r="AR292" s="619"/>
      <c r="AS292" s="617"/>
    </row>
    <row r="293" spans="1:45" ht="15.75">
      <c r="A293" s="190"/>
      <c r="B293" s="366"/>
      <c r="C293" s="366"/>
      <c r="D293" s="596"/>
      <c r="E293" s="596"/>
      <c r="F293" s="366"/>
      <c r="G293" s="366"/>
      <c r="H293" s="366"/>
      <c r="I293" s="366"/>
      <c r="J293" s="366"/>
      <c r="K293" s="366"/>
      <c r="L293" s="366"/>
      <c r="M293" s="366"/>
      <c r="N293" s="366"/>
      <c r="O293" s="366"/>
      <c r="P293" s="611"/>
      <c r="Q293" s="614"/>
      <c r="R293" s="588"/>
      <c r="S293" s="188"/>
      <c r="T293" s="366"/>
      <c r="U293" s="366"/>
      <c r="V293" s="366"/>
      <c r="W293" s="366"/>
      <c r="X293" s="366"/>
      <c r="Y293" s="366"/>
      <c r="Z293" s="366"/>
      <c r="AA293" s="366"/>
      <c r="AB293" s="366"/>
      <c r="AC293" s="366"/>
      <c r="AD293" s="366"/>
      <c r="AE293" s="366"/>
      <c r="AF293" s="366"/>
      <c r="AG293" s="366"/>
      <c r="AH293" s="366"/>
      <c r="AI293" s="366"/>
      <c r="AJ293" s="366"/>
      <c r="AK293" s="366"/>
      <c r="AL293" s="366"/>
      <c r="AM293" s="607"/>
      <c r="AN293" s="366"/>
      <c r="AO293" s="366"/>
      <c r="AP293" s="366"/>
      <c r="AQ293" s="366"/>
      <c r="AR293" s="619"/>
      <c r="AS293" s="617"/>
    </row>
    <row r="294" spans="1:45" ht="15.75">
      <c r="A294" s="190"/>
      <c r="B294" s="366"/>
      <c r="C294" s="366"/>
      <c r="D294" s="596"/>
      <c r="E294" s="596"/>
      <c r="F294" s="366"/>
      <c r="G294" s="366"/>
      <c r="H294" s="366"/>
      <c r="I294" s="366"/>
      <c r="J294" s="366"/>
      <c r="K294" s="366"/>
      <c r="L294" s="366"/>
      <c r="M294" s="366"/>
      <c r="N294" s="366"/>
      <c r="O294" s="366"/>
      <c r="P294" s="611"/>
      <c r="Q294" s="614"/>
      <c r="R294" s="588"/>
      <c r="S294" s="188"/>
      <c r="T294" s="366"/>
      <c r="U294" s="366"/>
      <c r="V294" s="366"/>
      <c r="W294" s="366"/>
      <c r="X294" s="366"/>
      <c r="Y294" s="366"/>
      <c r="Z294" s="366"/>
      <c r="AA294" s="366"/>
      <c r="AB294" s="366"/>
      <c r="AC294" s="366"/>
      <c r="AD294" s="366"/>
      <c r="AE294" s="366"/>
      <c r="AF294" s="366"/>
      <c r="AG294" s="366"/>
      <c r="AH294" s="366"/>
      <c r="AI294" s="366"/>
      <c r="AJ294" s="366"/>
      <c r="AK294" s="366"/>
      <c r="AL294" s="366"/>
      <c r="AM294" s="607"/>
      <c r="AN294" s="366"/>
      <c r="AO294" s="366"/>
      <c r="AP294" s="366"/>
      <c r="AQ294" s="366"/>
      <c r="AR294" s="619"/>
      <c r="AS294" s="617"/>
    </row>
    <row r="295" spans="1:45" ht="15.75">
      <c r="A295" s="190"/>
      <c r="B295" s="366"/>
      <c r="C295" s="366"/>
      <c r="D295" s="596"/>
      <c r="E295" s="596"/>
      <c r="F295" s="366"/>
      <c r="G295" s="366"/>
      <c r="H295" s="366"/>
      <c r="I295" s="366"/>
      <c r="J295" s="366"/>
      <c r="K295" s="366"/>
      <c r="L295" s="366"/>
      <c r="M295" s="366"/>
      <c r="N295" s="366"/>
      <c r="O295" s="366"/>
      <c r="P295" s="611"/>
      <c r="Q295" s="614"/>
      <c r="R295" s="588"/>
      <c r="S295" s="188"/>
      <c r="T295" s="366"/>
      <c r="U295" s="366"/>
      <c r="V295" s="366"/>
      <c r="W295" s="366"/>
      <c r="X295" s="366"/>
      <c r="Y295" s="366"/>
      <c r="Z295" s="366"/>
      <c r="AA295" s="366"/>
      <c r="AB295" s="366"/>
      <c r="AC295" s="366"/>
      <c r="AD295" s="366"/>
      <c r="AE295" s="366"/>
      <c r="AF295" s="366"/>
      <c r="AG295" s="366"/>
      <c r="AH295" s="366"/>
      <c r="AI295" s="366"/>
      <c r="AJ295" s="366"/>
      <c r="AK295" s="366"/>
      <c r="AL295" s="366"/>
      <c r="AM295" s="607"/>
      <c r="AN295" s="366"/>
      <c r="AO295" s="366"/>
      <c r="AP295" s="366"/>
      <c r="AQ295" s="366"/>
      <c r="AR295" s="619"/>
      <c r="AS295" s="617"/>
    </row>
    <row r="296" spans="1:45" ht="15.75">
      <c r="A296" s="190"/>
      <c r="B296" s="366"/>
      <c r="C296" s="366"/>
      <c r="D296" s="596"/>
      <c r="E296" s="596"/>
      <c r="F296" s="366"/>
      <c r="G296" s="366"/>
      <c r="H296" s="366"/>
      <c r="I296" s="366"/>
      <c r="J296" s="366"/>
      <c r="K296" s="366"/>
      <c r="L296" s="366"/>
      <c r="M296" s="366"/>
      <c r="N296" s="366"/>
      <c r="O296" s="366"/>
      <c r="P296" s="611"/>
      <c r="Q296" s="614"/>
      <c r="R296" s="588"/>
      <c r="S296" s="188"/>
      <c r="T296" s="366"/>
      <c r="U296" s="366"/>
      <c r="V296" s="366"/>
      <c r="W296" s="366"/>
      <c r="X296" s="366"/>
      <c r="Y296" s="366"/>
      <c r="Z296" s="366"/>
      <c r="AA296" s="366"/>
      <c r="AB296" s="366"/>
      <c r="AC296" s="366"/>
      <c r="AD296" s="366"/>
      <c r="AE296" s="366"/>
      <c r="AF296" s="366"/>
      <c r="AG296" s="366"/>
      <c r="AH296" s="366"/>
      <c r="AI296" s="366"/>
      <c r="AJ296" s="366"/>
      <c r="AK296" s="366"/>
      <c r="AL296" s="366"/>
      <c r="AM296" s="607"/>
      <c r="AN296" s="366"/>
      <c r="AO296" s="366"/>
      <c r="AP296" s="366"/>
      <c r="AQ296" s="366"/>
      <c r="AR296" s="619"/>
      <c r="AS296" s="617"/>
    </row>
    <row r="297" spans="1:45" ht="15.75">
      <c r="A297" s="190"/>
      <c r="B297" s="366"/>
      <c r="C297" s="366"/>
      <c r="D297" s="596"/>
      <c r="E297" s="596"/>
      <c r="F297" s="366"/>
      <c r="G297" s="366"/>
      <c r="H297" s="366"/>
      <c r="I297" s="366"/>
      <c r="J297" s="366"/>
      <c r="K297" s="366"/>
      <c r="L297" s="366"/>
      <c r="M297" s="366"/>
      <c r="N297" s="366"/>
      <c r="O297" s="366"/>
      <c r="P297" s="611"/>
      <c r="Q297" s="614"/>
      <c r="R297" s="588"/>
      <c r="S297" s="188"/>
      <c r="T297" s="366"/>
      <c r="U297" s="366"/>
      <c r="V297" s="366"/>
      <c r="W297" s="366"/>
      <c r="X297" s="366"/>
      <c r="Y297" s="366"/>
      <c r="Z297" s="366"/>
      <c r="AA297" s="366"/>
      <c r="AB297" s="366"/>
      <c r="AC297" s="366"/>
      <c r="AD297" s="366"/>
      <c r="AE297" s="366"/>
      <c r="AF297" s="366"/>
      <c r="AG297" s="366"/>
      <c r="AH297" s="366"/>
      <c r="AI297" s="366"/>
      <c r="AJ297" s="366"/>
      <c r="AK297" s="366"/>
      <c r="AL297" s="366"/>
      <c r="AM297" s="607"/>
      <c r="AN297" s="366"/>
      <c r="AO297" s="366"/>
      <c r="AP297" s="366"/>
      <c r="AQ297" s="366"/>
      <c r="AR297" s="619"/>
      <c r="AS297" s="617"/>
    </row>
    <row r="298" spans="1:45" ht="15.75">
      <c r="A298" s="190"/>
      <c r="B298" s="366"/>
      <c r="C298" s="366"/>
      <c r="D298" s="596"/>
      <c r="E298" s="596"/>
      <c r="F298" s="366"/>
      <c r="G298" s="366"/>
      <c r="H298" s="366"/>
      <c r="I298" s="366"/>
      <c r="J298" s="366"/>
      <c r="K298" s="366"/>
      <c r="L298" s="366"/>
      <c r="M298" s="366"/>
      <c r="N298" s="366"/>
      <c r="O298" s="366"/>
      <c r="P298" s="611"/>
      <c r="Q298" s="614"/>
      <c r="R298" s="588"/>
      <c r="S298" s="188"/>
      <c r="T298" s="366"/>
      <c r="U298" s="366"/>
      <c r="V298" s="366"/>
      <c r="W298" s="366"/>
      <c r="X298" s="366"/>
      <c r="Y298" s="366"/>
      <c r="Z298" s="366"/>
      <c r="AA298" s="366"/>
      <c r="AB298" s="366"/>
      <c r="AC298" s="366"/>
      <c r="AD298" s="366"/>
      <c r="AE298" s="366"/>
      <c r="AF298" s="366"/>
      <c r="AG298" s="366"/>
      <c r="AH298" s="366"/>
      <c r="AI298" s="366"/>
      <c r="AJ298" s="366"/>
      <c r="AK298" s="366"/>
      <c r="AL298" s="366"/>
      <c r="AM298" s="607"/>
      <c r="AN298" s="366"/>
      <c r="AO298" s="366"/>
      <c r="AP298" s="366"/>
      <c r="AQ298" s="366"/>
      <c r="AR298" s="619"/>
      <c r="AS298" s="617"/>
    </row>
    <row r="299" spans="1:45" ht="15.75">
      <c r="A299" s="190"/>
      <c r="B299" s="366"/>
      <c r="C299" s="366"/>
      <c r="D299" s="596"/>
      <c r="E299" s="596"/>
      <c r="F299" s="366"/>
      <c r="G299" s="366"/>
      <c r="H299" s="366"/>
      <c r="I299" s="366"/>
      <c r="J299" s="366"/>
      <c r="K299" s="366"/>
      <c r="L299" s="366"/>
      <c r="M299" s="366"/>
      <c r="N299" s="366"/>
      <c r="O299" s="366"/>
      <c r="P299" s="611"/>
      <c r="Q299" s="614"/>
      <c r="R299" s="588"/>
      <c r="S299" s="188"/>
      <c r="T299" s="366"/>
      <c r="U299" s="366"/>
      <c r="V299" s="366"/>
      <c r="W299" s="366"/>
      <c r="X299" s="366"/>
      <c r="Y299" s="366"/>
      <c r="Z299" s="366"/>
      <c r="AA299" s="366"/>
      <c r="AB299" s="366"/>
      <c r="AC299" s="366"/>
      <c r="AD299" s="366"/>
      <c r="AE299" s="366"/>
      <c r="AF299" s="366"/>
      <c r="AG299" s="366"/>
      <c r="AH299" s="366"/>
      <c r="AI299" s="366"/>
      <c r="AJ299" s="366"/>
      <c r="AK299" s="366"/>
      <c r="AL299" s="366"/>
      <c r="AM299" s="607"/>
      <c r="AN299" s="366"/>
      <c r="AO299" s="366"/>
      <c r="AP299" s="366"/>
      <c r="AQ299" s="366"/>
      <c r="AR299" s="619"/>
      <c r="AS299" s="617"/>
    </row>
    <row r="300" spans="1:45" ht="15.75">
      <c r="A300" s="190"/>
      <c r="B300" s="366"/>
      <c r="C300" s="366"/>
      <c r="D300" s="596"/>
      <c r="E300" s="596"/>
      <c r="F300" s="366"/>
      <c r="G300" s="366"/>
      <c r="H300" s="366"/>
      <c r="I300" s="366"/>
      <c r="J300" s="366"/>
      <c r="K300" s="366"/>
      <c r="L300" s="366"/>
      <c r="M300" s="366"/>
      <c r="N300" s="366"/>
      <c r="O300" s="366"/>
      <c r="P300" s="611"/>
      <c r="Q300" s="614"/>
      <c r="R300" s="588"/>
      <c r="S300" s="188"/>
      <c r="T300" s="366"/>
      <c r="U300" s="366"/>
      <c r="V300" s="366"/>
      <c r="W300" s="366"/>
      <c r="X300" s="366"/>
      <c r="Y300" s="366"/>
      <c r="Z300" s="366"/>
      <c r="AA300" s="366"/>
      <c r="AB300" s="366"/>
      <c r="AC300" s="366"/>
      <c r="AD300" s="366"/>
      <c r="AE300" s="366"/>
      <c r="AF300" s="366"/>
      <c r="AG300" s="366"/>
      <c r="AH300" s="366"/>
      <c r="AI300" s="366"/>
      <c r="AJ300" s="366"/>
      <c r="AK300" s="366"/>
      <c r="AL300" s="366"/>
      <c r="AM300" s="607"/>
      <c r="AN300" s="366"/>
      <c r="AO300" s="366"/>
      <c r="AP300" s="366"/>
      <c r="AQ300" s="366"/>
      <c r="AR300" s="619"/>
      <c r="AS300" s="617"/>
    </row>
    <row r="301" spans="1:45" ht="15.75">
      <c r="A301" s="190"/>
      <c r="B301" s="366"/>
      <c r="C301" s="366"/>
      <c r="D301" s="596"/>
      <c r="E301" s="596"/>
      <c r="F301" s="366"/>
      <c r="G301" s="366"/>
      <c r="H301" s="366"/>
      <c r="I301" s="366"/>
      <c r="J301" s="366"/>
      <c r="K301" s="366"/>
      <c r="L301" s="366"/>
      <c r="M301" s="366"/>
      <c r="N301" s="366"/>
      <c r="O301" s="366"/>
      <c r="P301" s="611"/>
      <c r="Q301" s="614"/>
      <c r="R301" s="588"/>
      <c r="S301" s="188"/>
      <c r="T301" s="366"/>
      <c r="U301" s="366"/>
      <c r="V301" s="366"/>
      <c r="W301" s="366"/>
      <c r="X301" s="366"/>
      <c r="Y301" s="366"/>
      <c r="Z301" s="366"/>
      <c r="AA301" s="366"/>
      <c r="AB301" s="366"/>
      <c r="AC301" s="366"/>
      <c r="AD301" s="366"/>
      <c r="AE301" s="366"/>
      <c r="AF301" s="366"/>
      <c r="AG301" s="366"/>
      <c r="AH301" s="366"/>
      <c r="AI301" s="366"/>
      <c r="AJ301" s="366"/>
      <c r="AK301" s="366"/>
      <c r="AL301" s="366"/>
      <c r="AM301" s="607"/>
      <c r="AN301" s="366"/>
      <c r="AO301" s="366"/>
      <c r="AP301" s="366"/>
      <c r="AQ301" s="366"/>
      <c r="AR301" s="619"/>
      <c r="AS301" s="617"/>
    </row>
    <row r="302" spans="1:45" ht="15.75">
      <c r="A302" s="190"/>
      <c r="B302" s="366"/>
      <c r="C302" s="366"/>
      <c r="D302" s="596"/>
      <c r="E302" s="596"/>
      <c r="F302" s="366"/>
      <c r="G302" s="366"/>
      <c r="H302" s="366"/>
      <c r="I302" s="366"/>
      <c r="J302" s="366"/>
      <c r="K302" s="366"/>
      <c r="L302" s="366"/>
      <c r="M302" s="366"/>
      <c r="N302" s="366"/>
      <c r="O302" s="366"/>
      <c r="P302" s="611"/>
      <c r="Q302" s="614"/>
      <c r="R302" s="588"/>
      <c r="S302" s="188"/>
      <c r="T302" s="366"/>
      <c r="U302" s="366"/>
      <c r="V302" s="366"/>
      <c r="W302" s="366"/>
      <c r="X302" s="366"/>
      <c r="Y302" s="366"/>
      <c r="Z302" s="366"/>
      <c r="AA302" s="366"/>
      <c r="AB302" s="366"/>
      <c r="AC302" s="366"/>
      <c r="AD302" s="366"/>
      <c r="AE302" s="366"/>
      <c r="AF302" s="366"/>
      <c r="AG302" s="366"/>
      <c r="AH302" s="366"/>
      <c r="AI302" s="366"/>
      <c r="AJ302" s="366"/>
      <c r="AK302" s="366"/>
      <c r="AL302" s="366"/>
      <c r="AM302" s="607"/>
      <c r="AN302" s="366"/>
      <c r="AO302" s="366"/>
      <c r="AP302" s="366"/>
      <c r="AQ302" s="366"/>
      <c r="AR302" s="619"/>
      <c r="AS302" s="617"/>
    </row>
    <row r="303" spans="1:45" ht="15.75">
      <c r="A303" s="190"/>
      <c r="B303" s="366"/>
      <c r="C303" s="366"/>
      <c r="D303" s="596"/>
      <c r="E303" s="596"/>
      <c r="F303" s="366"/>
      <c r="G303" s="366"/>
      <c r="H303" s="366"/>
      <c r="I303" s="366"/>
      <c r="J303" s="366"/>
      <c r="K303" s="366"/>
      <c r="L303" s="366"/>
      <c r="M303" s="366"/>
      <c r="N303" s="366"/>
      <c r="O303" s="366"/>
      <c r="P303" s="611"/>
      <c r="Q303" s="614"/>
      <c r="R303" s="588"/>
      <c r="S303" s="188"/>
      <c r="T303" s="366"/>
      <c r="U303" s="366"/>
      <c r="V303" s="366"/>
      <c r="W303" s="366"/>
      <c r="X303" s="366"/>
      <c r="Y303" s="366"/>
      <c r="Z303" s="366"/>
      <c r="AA303" s="366"/>
      <c r="AB303" s="366"/>
      <c r="AC303" s="366"/>
      <c r="AD303" s="366"/>
      <c r="AE303" s="366"/>
      <c r="AF303" s="366"/>
      <c r="AG303" s="366"/>
      <c r="AH303" s="366"/>
      <c r="AI303" s="366"/>
      <c r="AJ303" s="366"/>
      <c r="AK303" s="366"/>
      <c r="AL303" s="366"/>
      <c r="AM303" s="607"/>
      <c r="AN303" s="366"/>
      <c r="AO303" s="366"/>
      <c r="AP303" s="366"/>
      <c r="AQ303" s="366"/>
      <c r="AR303" s="619"/>
      <c r="AS303" s="617"/>
    </row>
    <row r="304" spans="1:45" ht="15.75">
      <c r="A304" s="190"/>
      <c r="B304" s="366"/>
      <c r="C304" s="366"/>
      <c r="D304" s="596"/>
      <c r="E304" s="596"/>
      <c r="F304" s="366"/>
      <c r="G304" s="366"/>
      <c r="H304" s="366"/>
      <c r="I304" s="366"/>
      <c r="J304" s="366"/>
      <c r="K304" s="366"/>
      <c r="L304" s="366"/>
      <c r="M304" s="366"/>
      <c r="N304" s="366"/>
      <c r="O304" s="366"/>
      <c r="P304" s="611"/>
      <c r="Q304" s="614"/>
      <c r="R304" s="588"/>
      <c r="S304" s="188"/>
      <c r="T304" s="366"/>
      <c r="U304" s="366"/>
      <c r="V304" s="366"/>
      <c r="W304" s="366"/>
      <c r="X304" s="366"/>
      <c r="Y304" s="366"/>
      <c r="Z304" s="366"/>
      <c r="AA304" s="366"/>
      <c r="AB304" s="366"/>
      <c r="AC304" s="366"/>
      <c r="AD304" s="366"/>
      <c r="AE304" s="366"/>
      <c r="AF304" s="366"/>
      <c r="AG304" s="366"/>
      <c r="AH304" s="366"/>
      <c r="AI304" s="366"/>
      <c r="AJ304" s="366"/>
      <c r="AK304" s="366"/>
      <c r="AL304" s="366"/>
      <c r="AM304" s="607"/>
      <c r="AN304" s="366"/>
      <c r="AO304" s="366"/>
      <c r="AP304" s="366"/>
      <c r="AQ304" s="366"/>
      <c r="AR304" s="619"/>
      <c r="AS304" s="617"/>
    </row>
    <row r="305" spans="1:45" ht="15.75">
      <c r="A305" s="190"/>
      <c r="B305" s="366"/>
      <c r="C305" s="366"/>
      <c r="D305" s="596"/>
      <c r="E305" s="596"/>
      <c r="F305" s="366"/>
      <c r="G305" s="366"/>
      <c r="H305" s="366"/>
      <c r="I305" s="366"/>
      <c r="J305" s="366"/>
      <c r="K305" s="366"/>
      <c r="L305" s="366"/>
      <c r="M305" s="366"/>
      <c r="N305" s="366"/>
      <c r="O305" s="366"/>
      <c r="P305" s="611"/>
      <c r="Q305" s="614"/>
      <c r="R305" s="588"/>
      <c r="S305" s="188"/>
      <c r="T305" s="366"/>
      <c r="U305" s="366"/>
      <c r="V305" s="366"/>
      <c r="W305" s="366"/>
      <c r="X305" s="366"/>
      <c r="Y305" s="366"/>
      <c r="Z305" s="366"/>
      <c r="AA305" s="366"/>
      <c r="AB305" s="366"/>
      <c r="AC305" s="366"/>
      <c r="AD305" s="366"/>
      <c r="AE305" s="366"/>
      <c r="AF305" s="366"/>
      <c r="AG305" s="366"/>
      <c r="AH305" s="366"/>
      <c r="AI305" s="366"/>
      <c r="AJ305" s="366"/>
      <c r="AK305" s="366"/>
      <c r="AL305" s="366"/>
      <c r="AM305" s="607"/>
      <c r="AN305" s="366"/>
      <c r="AO305" s="366"/>
      <c r="AP305" s="366"/>
      <c r="AQ305" s="366"/>
      <c r="AR305" s="619"/>
      <c r="AS305" s="617"/>
    </row>
    <row r="306" spans="1:45" ht="15.75">
      <c r="A306" s="190"/>
      <c r="B306" s="366"/>
      <c r="C306" s="366"/>
      <c r="D306" s="596"/>
      <c r="E306" s="596"/>
      <c r="F306" s="366"/>
      <c r="G306" s="366"/>
      <c r="H306" s="366"/>
      <c r="I306" s="366"/>
      <c r="J306" s="366"/>
      <c r="K306" s="366"/>
      <c r="L306" s="366"/>
      <c r="M306" s="366"/>
      <c r="N306" s="366"/>
      <c r="O306" s="366"/>
      <c r="P306" s="611"/>
      <c r="Q306" s="614"/>
      <c r="R306" s="588"/>
      <c r="S306" s="188"/>
      <c r="T306" s="366"/>
      <c r="U306" s="366"/>
      <c r="V306" s="366"/>
      <c r="W306" s="366"/>
      <c r="X306" s="366"/>
      <c r="Y306" s="366"/>
      <c r="Z306" s="366"/>
      <c r="AA306" s="366"/>
      <c r="AB306" s="366"/>
      <c r="AC306" s="366"/>
      <c r="AD306" s="366"/>
      <c r="AE306" s="366"/>
      <c r="AF306" s="366"/>
      <c r="AG306" s="366"/>
      <c r="AH306" s="366"/>
      <c r="AI306" s="366"/>
      <c r="AJ306" s="366"/>
      <c r="AK306" s="366"/>
      <c r="AL306" s="366"/>
      <c r="AM306" s="607"/>
      <c r="AN306" s="366"/>
      <c r="AO306" s="366"/>
      <c r="AP306" s="366"/>
      <c r="AQ306" s="366"/>
      <c r="AR306" s="619"/>
      <c r="AS306" s="617"/>
    </row>
    <row r="307" spans="1:45" ht="15.75">
      <c r="A307" s="190"/>
      <c r="B307" s="366"/>
      <c r="C307" s="366"/>
      <c r="D307" s="596"/>
      <c r="E307" s="596"/>
      <c r="F307" s="366"/>
      <c r="G307" s="366"/>
      <c r="H307" s="366"/>
      <c r="I307" s="366"/>
      <c r="J307" s="366"/>
      <c r="K307" s="366"/>
      <c r="L307" s="366"/>
      <c r="M307" s="366"/>
      <c r="N307" s="366"/>
      <c r="O307" s="366"/>
      <c r="P307" s="611"/>
      <c r="Q307" s="614"/>
      <c r="R307" s="588"/>
      <c r="S307" s="188"/>
      <c r="T307" s="366"/>
      <c r="U307" s="366"/>
      <c r="V307" s="366"/>
      <c r="W307" s="366"/>
      <c r="X307" s="366"/>
      <c r="Y307" s="366"/>
      <c r="Z307" s="366"/>
      <c r="AA307" s="366"/>
      <c r="AB307" s="366"/>
      <c r="AC307" s="366"/>
      <c r="AD307" s="366"/>
      <c r="AE307" s="366"/>
      <c r="AF307" s="366"/>
      <c r="AG307" s="366"/>
      <c r="AH307" s="366"/>
      <c r="AI307" s="366"/>
      <c r="AJ307" s="366"/>
      <c r="AK307" s="366"/>
      <c r="AL307" s="366"/>
      <c r="AM307" s="607"/>
      <c r="AN307" s="366"/>
      <c r="AO307" s="366"/>
      <c r="AP307" s="366"/>
      <c r="AQ307" s="366"/>
      <c r="AR307" s="619"/>
      <c r="AS307" s="617"/>
    </row>
    <row r="308" spans="1:45" ht="15.75">
      <c r="A308" s="190"/>
      <c r="B308" s="366"/>
      <c r="C308" s="366"/>
      <c r="D308" s="596"/>
      <c r="E308" s="596"/>
      <c r="F308" s="366"/>
      <c r="G308" s="366"/>
      <c r="H308" s="366"/>
      <c r="I308" s="366"/>
      <c r="J308" s="366"/>
      <c r="K308" s="366"/>
      <c r="L308" s="366"/>
      <c r="M308" s="366"/>
      <c r="N308" s="366"/>
      <c r="O308" s="366"/>
      <c r="P308" s="611"/>
      <c r="Q308" s="614"/>
      <c r="R308" s="588"/>
      <c r="S308" s="188"/>
      <c r="T308" s="366"/>
      <c r="U308" s="366"/>
      <c r="V308" s="366"/>
      <c r="W308" s="366"/>
      <c r="X308" s="366"/>
      <c r="Y308" s="366"/>
      <c r="Z308" s="366"/>
      <c r="AA308" s="366"/>
      <c r="AB308" s="366"/>
      <c r="AC308" s="366"/>
      <c r="AD308" s="366"/>
      <c r="AE308" s="366"/>
      <c r="AF308" s="366"/>
      <c r="AG308" s="366"/>
      <c r="AH308" s="366"/>
      <c r="AI308" s="366"/>
      <c r="AJ308" s="366"/>
      <c r="AK308" s="366"/>
      <c r="AL308" s="366"/>
      <c r="AM308" s="607"/>
      <c r="AN308" s="366"/>
      <c r="AO308" s="366"/>
      <c r="AP308" s="366"/>
      <c r="AQ308" s="366"/>
      <c r="AR308" s="619"/>
      <c r="AS308" s="617"/>
    </row>
    <row r="309" spans="1:45" ht="15.75">
      <c r="A309" s="190"/>
      <c r="B309" s="366"/>
      <c r="C309" s="366"/>
      <c r="D309" s="596"/>
      <c r="E309" s="596"/>
      <c r="F309" s="366"/>
      <c r="G309" s="366"/>
      <c r="H309" s="366"/>
      <c r="I309" s="366"/>
      <c r="J309" s="366"/>
      <c r="K309" s="366"/>
      <c r="L309" s="366"/>
      <c r="M309" s="366"/>
      <c r="N309" s="366"/>
      <c r="O309" s="366"/>
      <c r="P309" s="611"/>
      <c r="Q309" s="614"/>
      <c r="R309" s="588"/>
      <c r="S309" s="188"/>
      <c r="T309" s="366"/>
      <c r="U309" s="366"/>
      <c r="V309" s="366"/>
      <c r="W309" s="366"/>
      <c r="X309" s="366"/>
      <c r="Y309" s="366"/>
      <c r="Z309" s="366"/>
      <c r="AA309" s="366"/>
      <c r="AB309" s="366"/>
      <c r="AC309" s="366"/>
      <c r="AD309" s="366"/>
      <c r="AE309" s="366"/>
      <c r="AF309" s="366"/>
      <c r="AG309" s="366"/>
      <c r="AH309" s="366"/>
      <c r="AI309" s="366"/>
      <c r="AJ309" s="366"/>
      <c r="AK309" s="366"/>
      <c r="AL309" s="366"/>
      <c r="AM309" s="607"/>
      <c r="AN309" s="366"/>
      <c r="AO309" s="366"/>
      <c r="AP309" s="366"/>
      <c r="AQ309" s="366"/>
      <c r="AR309" s="619"/>
      <c r="AS309" s="617"/>
    </row>
    <row r="310" spans="1:45" ht="15.75">
      <c r="A310" s="190"/>
      <c r="B310" s="366"/>
      <c r="C310" s="366"/>
      <c r="D310" s="596"/>
      <c r="E310" s="596"/>
      <c r="F310" s="366"/>
      <c r="G310" s="366"/>
      <c r="H310" s="366"/>
      <c r="I310" s="366"/>
      <c r="J310" s="366"/>
      <c r="K310" s="366"/>
      <c r="L310" s="366"/>
      <c r="M310" s="366"/>
      <c r="N310" s="366"/>
      <c r="O310" s="366"/>
      <c r="P310" s="611"/>
      <c r="Q310" s="614"/>
      <c r="R310" s="588"/>
      <c r="S310" s="188"/>
      <c r="T310" s="366"/>
      <c r="U310" s="366"/>
      <c r="V310" s="366"/>
      <c r="W310" s="366"/>
      <c r="X310" s="366"/>
      <c r="Y310" s="366"/>
      <c r="Z310" s="366"/>
      <c r="AA310" s="366"/>
      <c r="AB310" s="366"/>
      <c r="AC310" s="366"/>
      <c r="AD310" s="366"/>
      <c r="AE310" s="366"/>
      <c r="AF310" s="366"/>
      <c r="AG310" s="366"/>
      <c r="AH310" s="366"/>
      <c r="AI310" s="366"/>
      <c r="AJ310" s="366"/>
      <c r="AK310" s="366"/>
      <c r="AL310" s="366"/>
      <c r="AM310" s="607"/>
      <c r="AN310" s="366"/>
      <c r="AO310" s="366"/>
      <c r="AP310" s="366"/>
      <c r="AQ310" s="366"/>
      <c r="AR310" s="619"/>
      <c r="AS310" s="617"/>
    </row>
    <row r="311" spans="1:45" ht="15.75">
      <c r="A311" s="190"/>
      <c r="B311" s="366"/>
      <c r="C311" s="366"/>
      <c r="D311" s="596"/>
      <c r="E311" s="596"/>
      <c r="F311" s="366"/>
      <c r="G311" s="366"/>
      <c r="H311" s="366"/>
      <c r="I311" s="366"/>
      <c r="J311" s="366"/>
      <c r="K311" s="366"/>
      <c r="L311" s="366"/>
      <c r="M311" s="366"/>
      <c r="N311" s="366"/>
      <c r="O311" s="366"/>
      <c r="P311" s="611"/>
      <c r="Q311" s="614"/>
      <c r="R311" s="588"/>
      <c r="S311" s="188"/>
      <c r="T311" s="366"/>
      <c r="U311" s="366"/>
      <c r="V311" s="366"/>
      <c r="W311" s="366"/>
      <c r="X311" s="366"/>
      <c r="Y311" s="366"/>
      <c r="Z311" s="366"/>
      <c r="AA311" s="366"/>
      <c r="AB311" s="366"/>
      <c r="AC311" s="366"/>
      <c r="AD311" s="366"/>
      <c r="AE311" s="366"/>
      <c r="AF311" s="366"/>
      <c r="AG311" s="366"/>
      <c r="AH311" s="366"/>
      <c r="AI311" s="366"/>
      <c r="AJ311" s="366"/>
      <c r="AK311" s="366"/>
      <c r="AL311" s="366"/>
      <c r="AM311" s="607"/>
      <c r="AN311" s="366"/>
      <c r="AO311" s="366"/>
      <c r="AP311" s="366"/>
      <c r="AQ311" s="366"/>
      <c r="AR311" s="619"/>
      <c r="AS311" s="617"/>
    </row>
    <row r="312" spans="1:45" ht="15.75">
      <c r="A312" s="190"/>
      <c r="B312" s="366"/>
      <c r="C312" s="366"/>
      <c r="D312" s="596"/>
      <c r="E312" s="596"/>
      <c r="F312" s="366"/>
      <c r="G312" s="366"/>
      <c r="H312" s="366"/>
      <c r="I312" s="366"/>
      <c r="J312" s="366"/>
      <c r="K312" s="366"/>
      <c r="L312" s="366"/>
      <c r="M312" s="366"/>
      <c r="N312" s="366"/>
      <c r="O312" s="366"/>
      <c r="P312" s="611"/>
      <c r="Q312" s="614"/>
      <c r="R312" s="588"/>
      <c r="S312" s="188"/>
      <c r="T312" s="366"/>
      <c r="U312" s="366"/>
      <c r="V312" s="366"/>
      <c r="W312" s="366"/>
      <c r="X312" s="366"/>
      <c r="Y312" s="366"/>
      <c r="Z312" s="366"/>
      <c r="AA312" s="366"/>
      <c r="AB312" s="366"/>
      <c r="AC312" s="366"/>
      <c r="AD312" s="366"/>
      <c r="AE312" s="366"/>
      <c r="AF312" s="366"/>
      <c r="AG312" s="366"/>
      <c r="AH312" s="366"/>
      <c r="AI312" s="366"/>
      <c r="AJ312" s="366"/>
      <c r="AK312" s="366"/>
      <c r="AL312" s="366"/>
      <c r="AM312" s="607"/>
      <c r="AN312" s="366"/>
      <c r="AO312" s="366"/>
      <c r="AP312" s="366"/>
      <c r="AQ312" s="366"/>
      <c r="AR312" s="619"/>
      <c r="AS312" s="617"/>
    </row>
    <row r="313" spans="1:45" ht="15.75">
      <c r="A313" s="190"/>
      <c r="B313" s="366"/>
      <c r="C313" s="366"/>
      <c r="D313" s="596"/>
      <c r="E313" s="596"/>
      <c r="F313" s="366"/>
      <c r="G313" s="366"/>
      <c r="H313" s="366"/>
      <c r="I313" s="366"/>
      <c r="J313" s="366"/>
      <c r="K313" s="366"/>
      <c r="L313" s="366"/>
      <c r="M313" s="366"/>
      <c r="N313" s="366"/>
      <c r="O313" s="366"/>
      <c r="P313" s="611"/>
      <c r="Q313" s="614"/>
      <c r="R313" s="588"/>
      <c r="S313" s="188"/>
      <c r="T313" s="366"/>
      <c r="U313" s="366"/>
      <c r="V313" s="366"/>
      <c r="W313" s="366"/>
      <c r="X313" s="366"/>
      <c r="Y313" s="366"/>
      <c r="Z313" s="366"/>
      <c r="AA313" s="366"/>
      <c r="AB313" s="366"/>
      <c r="AC313" s="366"/>
      <c r="AD313" s="366"/>
      <c r="AE313" s="366"/>
      <c r="AF313" s="366"/>
      <c r="AG313" s="366"/>
      <c r="AH313" s="366"/>
      <c r="AI313" s="366"/>
      <c r="AJ313" s="366"/>
      <c r="AK313" s="366"/>
      <c r="AL313" s="366"/>
      <c r="AM313" s="607"/>
      <c r="AN313" s="366"/>
      <c r="AO313" s="366"/>
      <c r="AP313" s="366"/>
      <c r="AQ313" s="366"/>
      <c r="AR313" s="619"/>
      <c r="AS313" s="617"/>
    </row>
    <row r="314" spans="1:45" ht="15.75">
      <c r="A314" s="190"/>
      <c r="B314" s="366"/>
      <c r="C314" s="366"/>
      <c r="D314" s="596"/>
      <c r="E314" s="596"/>
      <c r="F314" s="366"/>
      <c r="G314" s="366"/>
      <c r="H314" s="366"/>
      <c r="I314" s="366"/>
      <c r="J314" s="366"/>
      <c r="K314" s="366"/>
      <c r="L314" s="366"/>
      <c r="M314" s="366"/>
      <c r="N314" s="366"/>
      <c r="O314" s="366"/>
      <c r="P314" s="611"/>
      <c r="Q314" s="614"/>
      <c r="R314" s="588"/>
      <c r="S314" s="188"/>
      <c r="T314" s="366"/>
      <c r="U314" s="366"/>
      <c r="V314" s="366"/>
      <c r="W314" s="366"/>
      <c r="X314" s="366"/>
      <c r="Y314" s="366"/>
      <c r="Z314" s="366"/>
      <c r="AA314" s="366"/>
      <c r="AB314" s="366"/>
      <c r="AC314" s="366"/>
      <c r="AD314" s="366"/>
      <c r="AE314" s="366"/>
      <c r="AF314" s="366"/>
      <c r="AG314" s="366"/>
      <c r="AH314" s="366"/>
      <c r="AI314" s="366"/>
      <c r="AJ314" s="366"/>
      <c r="AK314" s="366"/>
      <c r="AL314" s="366"/>
      <c r="AM314" s="607"/>
      <c r="AN314" s="366"/>
      <c r="AO314" s="366"/>
      <c r="AP314" s="366"/>
      <c r="AQ314" s="366"/>
      <c r="AR314" s="619"/>
      <c r="AS314" s="617"/>
    </row>
    <row r="315" spans="1:45" ht="15.75">
      <c r="A315" s="190"/>
      <c r="B315" s="366"/>
      <c r="C315" s="366"/>
      <c r="D315" s="596"/>
      <c r="E315" s="596"/>
      <c r="F315" s="366"/>
      <c r="G315" s="366"/>
      <c r="H315" s="366"/>
      <c r="I315" s="366"/>
      <c r="J315" s="366"/>
      <c r="K315" s="366"/>
      <c r="L315" s="366"/>
      <c r="M315" s="366"/>
      <c r="N315" s="366"/>
      <c r="O315" s="366"/>
      <c r="P315" s="611"/>
      <c r="Q315" s="614"/>
      <c r="R315" s="588"/>
      <c r="S315" s="188"/>
      <c r="T315" s="366"/>
      <c r="U315" s="366"/>
      <c r="V315" s="366"/>
      <c r="W315" s="366"/>
      <c r="X315" s="366"/>
      <c r="Y315" s="366"/>
      <c r="Z315" s="366"/>
      <c r="AA315" s="366"/>
      <c r="AB315" s="366"/>
      <c r="AC315" s="366"/>
      <c r="AD315" s="366"/>
      <c r="AE315" s="366"/>
      <c r="AF315" s="366"/>
      <c r="AG315" s="366"/>
      <c r="AH315" s="366"/>
      <c r="AI315" s="366"/>
      <c r="AJ315" s="366"/>
      <c r="AK315" s="366"/>
      <c r="AL315" s="366"/>
      <c r="AM315" s="607"/>
      <c r="AN315" s="366"/>
      <c r="AO315" s="366"/>
      <c r="AP315" s="366"/>
      <c r="AQ315" s="366"/>
      <c r="AR315" s="619"/>
      <c r="AS315" s="617"/>
    </row>
    <row r="316" spans="1:45" ht="15.75">
      <c r="A316" s="190"/>
      <c r="B316" s="366"/>
      <c r="C316" s="366"/>
      <c r="D316" s="596"/>
      <c r="E316" s="596"/>
      <c r="F316" s="366"/>
      <c r="G316" s="366"/>
      <c r="H316" s="366"/>
      <c r="I316" s="366"/>
      <c r="J316" s="366"/>
      <c r="K316" s="366"/>
      <c r="L316" s="366"/>
      <c r="M316" s="366"/>
      <c r="N316" s="366"/>
      <c r="O316" s="366"/>
      <c r="P316" s="611"/>
      <c r="Q316" s="614"/>
      <c r="R316" s="588"/>
      <c r="S316" s="188"/>
      <c r="T316" s="366"/>
      <c r="U316" s="366"/>
      <c r="V316" s="366"/>
      <c r="W316" s="366"/>
      <c r="X316" s="366"/>
      <c r="Y316" s="366"/>
      <c r="Z316" s="366"/>
      <c r="AA316" s="366"/>
      <c r="AB316" s="366"/>
      <c r="AC316" s="366"/>
      <c r="AD316" s="366"/>
      <c r="AE316" s="366"/>
      <c r="AF316" s="366"/>
      <c r="AG316" s="366"/>
      <c r="AH316" s="366"/>
      <c r="AI316" s="366"/>
      <c r="AJ316" s="366"/>
      <c r="AK316" s="366"/>
      <c r="AL316" s="366"/>
      <c r="AM316" s="607"/>
      <c r="AN316" s="366"/>
      <c r="AO316" s="366"/>
      <c r="AP316" s="366"/>
      <c r="AQ316" s="366"/>
      <c r="AR316" s="619"/>
      <c r="AS316" s="617"/>
    </row>
    <row r="317" spans="1:45" ht="15.75">
      <c r="A317" s="190"/>
      <c r="B317" s="366"/>
      <c r="C317" s="366"/>
      <c r="D317" s="596"/>
      <c r="E317" s="596"/>
      <c r="F317" s="366"/>
      <c r="G317" s="366"/>
      <c r="H317" s="366"/>
      <c r="I317" s="366"/>
      <c r="J317" s="366"/>
      <c r="K317" s="366"/>
      <c r="L317" s="366"/>
      <c r="M317" s="366"/>
      <c r="N317" s="366"/>
      <c r="O317" s="366"/>
      <c r="P317" s="611"/>
      <c r="Q317" s="614"/>
      <c r="R317" s="588"/>
      <c r="S317" s="188"/>
      <c r="T317" s="366"/>
      <c r="U317" s="366"/>
      <c r="V317" s="366"/>
      <c r="W317" s="366"/>
      <c r="X317" s="366"/>
      <c r="Y317" s="366"/>
      <c r="Z317" s="366"/>
      <c r="AA317" s="366"/>
      <c r="AB317" s="366"/>
      <c r="AC317" s="366"/>
      <c r="AD317" s="366"/>
      <c r="AE317" s="366"/>
      <c r="AF317" s="366"/>
      <c r="AG317" s="366"/>
      <c r="AH317" s="366"/>
      <c r="AI317" s="366"/>
      <c r="AJ317" s="366"/>
      <c r="AK317" s="366"/>
      <c r="AL317" s="366"/>
      <c r="AM317" s="607"/>
      <c r="AN317" s="366"/>
      <c r="AO317" s="366"/>
      <c r="AP317" s="366"/>
      <c r="AQ317" s="366"/>
      <c r="AR317" s="619"/>
      <c r="AS317" s="617"/>
    </row>
    <row r="318" spans="1:45" ht="15.75">
      <c r="A318" s="190"/>
      <c r="B318" s="366"/>
      <c r="C318" s="366"/>
      <c r="D318" s="596"/>
      <c r="E318" s="596"/>
      <c r="F318" s="366"/>
      <c r="G318" s="366"/>
      <c r="H318" s="366"/>
      <c r="I318" s="366"/>
      <c r="J318" s="366"/>
      <c r="K318" s="366"/>
      <c r="L318" s="366"/>
      <c r="M318" s="366"/>
      <c r="N318" s="366"/>
      <c r="O318" s="366"/>
      <c r="P318" s="611"/>
      <c r="Q318" s="614"/>
      <c r="R318" s="588"/>
      <c r="S318" s="188"/>
      <c r="T318" s="366"/>
      <c r="U318" s="366"/>
      <c r="V318" s="366"/>
      <c r="W318" s="366"/>
      <c r="X318" s="366"/>
      <c r="Y318" s="366"/>
      <c r="Z318" s="366"/>
      <c r="AA318" s="366"/>
      <c r="AB318" s="366"/>
      <c r="AC318" s="366"/>
      <c r="AD318" s="366"/>
      <c r="AE318" s="366"/>
      <c r="AF318" s="366"/>
      <c r="AG318" s="366"/>
      <c r="AH318" s="366"/>
      <c r="AI318" s="366"/>
      <c r="AJ318" s="366"/>
      <c r="AK318" s="366"/>
      <c r="AL318" s="366"/>
      <c r="AM318" s="607"/>
      <c r="AN318" s="366"/>
      <c r="AO318" s="366"/>
      <c r="AP318" s="366"/>
      <c r="AQ318" s="366"/>
      <c r="AR318" s="619"/>
      <c r="AS318" s="617"/>
    </row>
    <row r="319" spans="1:45" ht="15.75">
      <c r="A319" s="190"/>
      <c r="B319" s="366"/>
      <c r="C319" s="366"/>
      <c r="D319" s="596"/>
      <c r="E319" s="596"/>
      <c r="F319" s="366"/>
      <c r="G319" s="366"/>
      <c r="H319" s="366"/>
      <c r="I319" s="366"/>
      <c r="J319" s="366"/>
      <c r="K319" s="366"/>
      <c r="L319" s="366"/>
      <c r="M319" s="366"/>
      <c r="N319" s="366"/>
      <c r="O319" s="366"/>
      <c r="P319" s="611"/>
      <c r="Q319" s="614"/>
      <c r="R319" s="588"/>
      <c r="S319" s="188"/>
      <c r="T319" s="366"/>
      <c r="U319" s="366"/>
      <c r="V319" s="366"/>
      <c r="W319" s="366"/>
      <c r="X319" s="366"/>
      <c r="Y319" s="366"/>
      <c r="Z319" s="366"/>
      <c r="AA319" s="366"/>
      <c r="AB319" s="366"/>
      <c r="AC319" s="366"/>
      <c r="AD319" s="366"/>
      <c r="AE319" s="366"/>
      <c r="AF319" s="366"/>
      <c r="AG319" s="366"/>
      <c r="AH319" s="366"/>
      <c r="AI319" s="366"/>
      <c r="AJ319" s="366"/>
      <c r="AK319" s="366"/>
      <c r="AL319" s="366"/>
      <c r="AM319" s="607"/>
      <c r="AN319" s="366"/>
      <c r="AO319" s="366"/>
      <c r="AP319" s="366"/>
      <c r="AQ319" s="366"/>
      <c r="AR319" s="619"/>
      <c r="AS319" s="617"/>
    </row>
    <row r="320" spans="1:45" ht="15.75">
      <c r="A320" s="190"/>
      <c r="B320" s="366"/>
      <c r="C320" s="366"/>
      <c r="D320" s="596"/>
      <c r="E320" s="596"/>
      <c r="F320" s="366"/>
      <c r="G320" s="366"/>
      <c r="H320" s="366"/>
      <c r="I320" s="366"/>
      <c r="J320" s="366"/>
      <c r="K320" s="366"/>
      <c r="L320" s="366"/>
      <c r="M320" s="366"/>
      <c r="N320" s="366"/>
      <c r="O320" s="366"/>
      <c r="P320" s="611"/>
      <c r="Q320" s="614"/>
      <c r="R320" s="588"/>
      <c r="S320" s="188"/>
      <c r="T320" s="366"/>
      <c r="U320" s="366"/>
      <c r="V320" s="366"/>
      <c r="W320" s="366"/>
      <c r="X320" s="366"/>
      <c r="Y320" s="366"/>
      <c r="Z320" s="366"/>
      <c r="AA320" s="366"/>
      <c r="AB320" s="366"/>
      <c r="AC320" s="366"/>
      <c r="AD320" s="366"/>
      <c r="AE320" s="366"/>
      <c r="AF320" s="366"/>
      <c r="AG320" s="366"/>
      <c r="AH320" s="366"/>
      <c r="AI320" s="366"/>
      <c r="AJ320" s="366"/>
      <c r="AK320" s="366"/>
      <c r="AL320" s="366"/>
      <c r="AM320" s="607"/>
      <c r="AN320" s="366"/>
      <c r="AO320" s="366"/>
      <c r="AP320" s="366"/>
      <c r="AQ320" s="366"/>
      <c r="AR320" s="619"/>
      <c r="AS320" s="617"/>
    </row>
    <row r="321" spans="1:45" ht="15.75">
      <c r="A321" s="190"/>
      <c r="B321" s="366"/>
      <c r="C321" s="366"/>
      <c r="D321" s="596"/>
      <c r="E321" s="596"/>
      <c r="F321" s="366"/>
      <c r="G321" s="366"/>
      <c r="H321" s="366"/>
      <c r="I321" s="366"/>
      <c r="J321" s="366"/>
      <c r="K321" s="366"/>
      <c r="L321" s="366"/>
      <c r="M321" s="366"/>
      <c r="N321" s="366"/>
      <c r="O321" s="366"/>
      <c r="P321" s="611"/>
      <c r="Q321" s="614"/>
      <c r="R321" s="588"/>
      <c r="S321" s="188"/>
      <c r="T321" s="366"/>
      <c r="U321" s="366"/>
      <c r="V321" s="366"/>
      <c r="W321" s="366"/>
      <c r="X321" s="366"/>
      <c r="Y321" s="366"/>
      <c r="Z321" s="366"/>
      <c r="AA321" s="366"/>
      <c r="AB321" s="366"/>
      <c r="AC321" s="366"/>
      <c r="AD321" s="366"/>
      <c r="AE321" s="366"/>
      <c r="AF321" s="366"/>
      <c r="AG321" s="366"/>
      <c r="AH321" s="366"/>
      <c r="AI321" s="366"/>
      <c r="AJ321" s="366"/>
      <c r="AK321" s="366"/>
      <c r="AL321" s="366"/>
      <c r="AM321" s="607"/>
      <c r="AN321" s="366"/>
      <c r="AO321" s="366"/>
      <c r="AP321" s="366"/>
      <c r="AQ321" s="366"/>
      <c r="AR321" s="619"/>
      <c r="AS321" s="617"/>
    </row>
    <row r="322" spans="1:45" ht="15.75">
      <c r="A322" s="190"/>
      <c r="B322" s="366"/>
      <c r="C322" s="366"/>
      <c r="D322" s="596"/>
      <c r="E322" s="596"/>
      <c r="F322" s="366"/>
      <c r="G322" s="366"/>
      <c r="H322" s="366"/>
      <c r="I322" s="366"/>
      <c r="J322" s="366"/>
      <c r="K322" s="366"/>
      <c r="L322" s="366"/>
      <c r="M322" s="366"/>
      <c r="N322" s="366"/>
      <c r="O322" s="366"/>
      <c r="P322" s="611"/>
      <c r="Q322" s="614"/>
      <c r="R322" s="588"/>
      <c r="S322" s="188"/>
      <c r="T322" s="366"/>
      <c r="U322" s="366"/>
      <c r="V322" s="366"/>
      <c r="W322" s="366"/>
      <c r="X322" s="366"/>
      <c r="Y322" s="366"/>
      <c r="Z322" s="366"/>
      <c r="AA322" s="366"/>
      <c r="AB322" s="366"/>
      <c r="AC322" s="366"/>
      <c r="AD322" s="366"/>
      <c r="AE322" s="366"/>
      <c r="AF322" s="366"/>
      <c r="AG322" s="366"/>
      <c r="AH322" s="366"/>
      <c r="AI322" s="366"/>
      <c r="AJ322" s="366"/>
      <c r="AK322" s="366"/>
      <c r="AL322" s="366"/>
      <c r="AM322" s="607"/>
      <c r="AN322" s="366"/>
      <c r="AO322" s="366"/>
      <c r="AP322" s="366"/>
      <c r="AQ322" s="366"/>
      <c r="AR322" s="619"/>
      <c r="AS322" s="617"/>
    </row>
    <row r="323" spans="1:45" ht="15.75">
      <c r="A323" s="190"/>
      <c r="B323" s="366"/>
      <c r="C323" s="366"/>
      <c r="D323" s="596"/>
      <c r="E323" s="596"/>
      <c r="F323" s="366"/>
      <c r="G323" s="366"/>
      <c r="H323" s="366"/>
      <c r="I323" s="366"/>
      <c r="J323" s="366"/>
      <c r="K323" s="366"/>
      <c r="L323" s="366"/>
      <c r="M323" s="366"/>
      <c r="N323" s="366"/>
      <c r="O323" s="366"/>
      <c r="P323" s="611"/>
      <c r="Q323" s="614"/>
      <c r="R323" s="588"/>
      <c r="S323" s="188"/>
      <c r="T323" s="366"/>
      <c r="U323" s="366"/>
      <c r="V323" s="366"/>
      <c r="W323" s="366"/>
      <c r="X323" s="366"/>
      <c r="Y323" s="366"/>
      <c r="Z323" s="366"/>
      <c r="AA323" s="366"/>
      <c r="AB323" s="366"/>
      <c r="AC323" s="366"/>
      <c r="AD323" s="366"/>
      <c r="AE323" s="366"/>
      <c r="AF323" s="366"/>
      <c r="AG323" s="366"/>
      <c r="AH323" s="366"/>
      <c r="AI323" s="366"/>
      <c r="AJ323" s="366"/>
      <c r="AK323" s="366"/>
      <c r="AL323" s="366"/>
      <c r="AM323" s="607"/>
      <c r="AN323" s="366"/>
      <c r="AO323" s="366"/>
      <c r="AP323" s="366"/>
      <c r="AQ323" s="366"/>
      <c r="AR323" s="619"/>
      <c r="AS323" s="617"/>
    </row>
    <row r="324" spans="1:45" ht="15.75">
      <c r="A324" s="190"/>
      <c r="B324" s="366"/>
      <c r="C324" s="366"/>
      <c r="D324" s="596"/>
      <c r="E324" s="596"/>
      <c r="F324" s="366"/>
      <c r="G324" s="366"/>
      <c r="H324" s="366"/>
      <c r="I324" s="366"/>
      <c r="J324" s="366"/>
      <c r="K324" s="366"/>
      <c r="L324" s="366"/>
      <c r="M324" s="366"/>
      <c r="N324" s="366"/>
      <c r="O324" s="366"/>
      <c r="P324" s="611"/>
      <c r="Q324" s="614"/>
      <c r="R324" s="588"/>
      <c r="S324" s="188"/>
      <c r="T324" s="366"/>
      <c r="U324" s="366"/>
      <c r="V324" s="366"/>
      <c r="W324" s="366"/>
      <c r="X324" s="366"/>
      <c r="Y324" s="366"/>
      <c r="Z324" s="366"/>
      <c r="AA324" s="366"/>
      <c r="AB324" s="366"/>
      <c r="AC324" s="366"/>
      <c r="AD324" s="366"/>
      <c r="AE324" s="366"/>
      <c r="AF324" s="366"/>
      <c r="AG324" s="366"/>
      <c r="AH324" s="366"/>
      <c r="AI324" s="366"/>
      <c r="AJ324" s="366"/>
      <c r="AK324" s="366"/>
      <c r="AL324" s="366"/>
      <c r="AM324" s="607"/>
      <c r="AN324" s="366"/>
      <c r="AO324" s="366"/>
      <c r="AP324" s="366"/>
      <c r="AQ324" s="366"/>
      <c r="AR324" s="619"/>
      <c r="AS324" s="617"/>
    </row>
    <row r="325" spans="1:45" ht="15.75">
      <c r="A325" s="190"/>
      <c r="B325" s="366"/>
      <c r="C325" s="366"/>
      <c r="D325" s="596"/>
      <c r="E325" s="596"/>
      <c r="F325" s="366"/>
      <c r="G325" s="366"/>
      <c r="H325" s="366"/>
      <c r="I325" s="366"/>
      <c r="J325" s="366"/>
      <c r="K325" s="366"/>
      <c r="L325" s="366"/>
      <c r="M325" s="366"/>
      <c r="N325" s="366"/>
      <c r="O325" s="366"/>
      <c r="P325" s="611"/>
      <c r="Q325" s="614"/>
      <c r="R325" s="588"/>
      <c r="S325" s="188"/>
      <c r="T325" s="366"/>
      <c r="U325" s="366"/>
      <c r="V325" s="366"/>
      <c r="W325" s="366"/>
      <c r="X325" s="366"/>
      <c r="Y325" s="366"/>
      <c r="Z325" s="366"/>
      <c r="AA325" s="366"/>
      <c r="AB325" s="366"/>
      <c r="AC325" s="366"/>
      <c r="AD325" s="366"/>
      <c r="AE325" s="366"/>
      <c r="AF325" s="366"/>
      <c r="AG325" s="366"/>
      <c r="AH325" s="366"/>
      <c r="AI325" s="366"/>
      <c r="AJ325" s="366"/>
      <c r="AK325" s="366"/>
      <c r="AL325" s="366"/>
      <c r="AM325" s="607"/>
      <c r="AN325" s="366"/>
      <c r="AO325" s="366"/>
      <c r="AP325" s="366"/>
      <c r="AQ325" s="366"/>
      <c r="AR325" s="619"/>
      <c r="AS325" s="617"/>
    </row>
    <row r="326" spans="1:45" ht="15.75">
      <c r="A326" s="190"/>
      <c r="B326" s="366"/>
      <c r="C326" s="366"/>
      <c r="D326" s="596"/>
      <c r="E326" s="596"/>
      <c r="F326" s="366"/>
      <c r="G326" s="366"/>
      <c r="H326" s="366"/>
      <c r="I326" s="366"/>
      <c r="J326" s="366"/>
      <c r="K326" s="366"/>
      <c r="L326" s="366"/>
      <c r="M326" s="366"/>
      <c r="N326" s="366"/>
      <c r="O326" s="366"/>
      <c r="P326" s="611"/>
      <c r="Q326" s="614"/>
      <c r="R326" s="588"/>
      <c r="S326" s="188"/>
      <c r="T326" s="366"/>
      <c r="U326" s="366"/>
      <c r="V326" s="366"/>
      <c r="W326" s="366"/>
      <c r="X326" s="366"/>
      <c r="Y326" s="366"/>
      <c r="Z326" s="366"/>
      <c r="AA326" s="366"/>
      <c r="AB326" s="366"/>
      <c r="AC326" s="366"/>
      <c r="AD326" s="366"/>
      <c r="AE326" s="366"/>
      <c r="AF326" s="366"/>
      <c r="AG326" s="366"/>
      <c r="AH326" s="366"/>
      <c r="AI326" s="366"/>
      <c r="AJ326" s="366"/>
      <c r="AK326" s="366"/>
      <c r="AL326" s="366"/>
      <c r="AM326" s="607"/>
      <c r="AN326" s="366"/>
      <c r="AO326" s="366"/>
      <c r="AP326" s="366"/>
      <c r="AQ326" s="366"/>
      <c r="AR326" s="619"/>
      <c r="AS326" s="617"/>
    </row>
    <row r="327" spans="1:45" ht="15.75">
      <c r="A327" s="190"/>
      <c r="B327" s="366"/>
      <c r="C327" s="366"/>
      <c r="D327" s="596"/>
      <c r="E327" s="596"/>
      <c r="F327" s="366"/>
      <c r="G327" s="366"/>
      <c r="H327" s="366"/>
      <c r="I327" s="366"/>
      <c r="J327" s="366"/>
      <c r="K327" s="366"/>
      <c r="L327" s="366"/>
      <c r="M327" s="366"/>
      <c r="N327" s="366"/>
      <c r="O327" s="366"/>
      <c r="P327" s="611"/>
      <c r="Q327" s="614"/>
      <c r="R327" s="588"/>
      <c r="S327" s="188"/>
      <c r="T327" s="366"/>
      <c r="U327" s="366"/>
      <c r="V327" s="366"/>
      <c r="W327" s="366"/>
      <c r="X327" s="366"/>
      <c r="Y327" s="366"/>
      <c r="Z327" s="366"/>
      <c r="AA327" s="366"/>
      <c r="AB327" s="366"/>
      <c r="AC327" s="366"/>
      <c r="AD327" s="366"/>
      <c r="AE327" s="366"/>
      <c r="AF327" s="366"/>
      <c r="AG327" s="366"/>
      <c r="AH327" s="366"/>
      <c r="AI327" s="366"/>
      <c r="AJ327" s="366"/>
      <c r="AK327" s="366"/>
      <c r="AL327" s="366"/>
      <c r="AM327" s="607"/>
      <c r="AN327" s="366"/>
      <c r="AO327" s="366"/>
      <c r="AP327" s="366"/>
      <c r="AQ327" s="366"/>
      <c r="AR327" s="619"/>
      <c r="AS327" s="617"/>
    </row>
    <row r="328" spans="1:45" ht="15.75">
      <c r="A328" s="190"/>
      <c r="B328" s="366"/>
      <c r="C328" s="366"/>
      <c r="D328" s="596"/>
      <c r="E328" s="596"/>
      <c r="F328" s="366"/>
      <c r="G328" s="366"/>
      <c r="H328" s="366"/>
      <c r="I328" s="366"/>
      <c r="J328" s="366"/>
      <c r="K328" s="366"/>
      <c r="L328" s="366"/>
      <c r="M328" s="366"/>
      <c r="N328" s="366"/>
      <c r="O328" s="366"/>
      <c r="P328" s="611"/>
      <c r="Q328" s="614"/>
      <c r="R328" s="588"/>
      <c r="S328" s="188"/>
      <c r="T328" s="366"/>
      <c r="U328" s="366"/>
      <c r="V328" s="366"/>
      <c r="W328" s="366"/>
      <c r="X328" s="366"/>
      <c r="Y328" s="366"/>
      <c r="Z328" s="366"/>
      <c r="AA328" s="366"/>
      <c r="AB328" s="366"/>
      <c r="AC328" s="366"/>
      <c r="AD328" s="366"/>
      <c r="AE328" s="366"/>
      <c r="AF328" s="366"/>
      <c r="AG328" s="366"/>
      <c r="AH328" s="366"/>
      <c r="AI328" s="366"/>
      <c r="AJ328" s="366"/>
      <c r="AK328" s="366"/>
      <c r="AL328" s="366"/>
      <c r="AM328" s="607"/>
      <c r="AN328" s="366"/>
      <c r="AO328" s="366"/>
      <c r="AP328" s="366"/>
      <c r="AQ328" s="366"/>
      <c r="AR328" s="619"/>
      <c r="AS328" s="617"/>
    </row>
    <row r="329" spans="1:45" ht="15.75">
      <c r="A329" s="190"/>
      <c r="B329" s="366"/>
      <c r="C329" s="366"/>
      <c r="D329" s="596"/>
      <c r="E329" s="596"/>
      <c r="F329" s="366"/>
      <c r="G329" s="366"/>
      <c r="H329" s="366"/>
      <c r="I329" s="366"/>
      <c r="J329" s="366"/>
      <c r="K329" s="366"/>
      <c r="L329" s="366"/>
      <c r="M329" s="366"/>
      <c r="N329" s="366"/>
      <c r="O329" s="366"/>
      <c r="P329" s="611"/>
      <c r="Q329" s="614"/>
      <c r="R329" s="588"/>
      <c r="S329" s="188"/>
      <c r="T329" s="366"/>
      <c r="U329" s="366"/>
      <c r="V329" s="366"/>
      <c r="W329" s="366"/>
      <c r="X329" s="366"/>
      <c r="Y329" s="366"/>
      <c r="Z329" s="366"/>
      <c r="AA329" s="366"/>
      <c r="AB329" s="366"/>
      <c r="AC329" s="366"/>
      <c r="AD329" s="366"/>
      <c r="AE329" s="366"/>
      <c r="AF329" s="366"/>
      <c r="AG329" s="366"/>
      <c r="AH329" s="366"/>
      <c r="AI329" s="366"/>
      <c r="AJ329" s="366"/>
      <c r="AK329" s="366"/>
      <c r="AL329" s="366"/>
      <c r="AM329" s="607"/>
      <c r="AN329" s="366"/>
      <c r="AO329" s="366"/>
      <c r="AP329" s="366"/>
      <c r="AQ329" s="366"/>
      <c r="AR329" s="619"/>
      <c r="AS329" s="617"/>
    </row>
    <row r="330" spans="1:45" ht="15.75">
      <c r="A330" s="190"/>
      <c r="B330" s="366"/>
      <c r="C330" s="366"/>
      <c r="D330" s="596"/>
      <c r="E330" s="596"/>
      <c r="F330" s="366"/>
      <c r="G330" s="366"/>
      <c r="H330" s="366"/>
      <c r="I330" s="366"/>
      <c r="J330" s="366"/>
      <c r="K330" s="366"/>
      <c r="L330" s="366"/>
      <c r="M330" s="366"/>
      <c r="N330" s="366"/>
      <c r="O330" s="366"/>
      <c r="P330" s="611"/>
      <c r="Q330" s="614"/>
      <c r="R330" s="588"/>
      <c r="S330" s="188"/>
      <c r="T330" s="366"/>
      <c r="U330" s="366"/>
      <c r="V330" s="366"/>
      <c r="W330" s="366"/>
      <c r="X330" s="366"/>
      <c r="Y330" s="366"/>
      <c r="Z330" s="366"/>
      <c r="AA330" s="366"/>
      <c r="AB330" s="366"/>
      <c r="AC330" s="366"/>
      <c r="AD330" s="366"/>
      <c r="AE330" s="366"/>
      <c r="AF330" s="366"/>
      <c r="AG330" s="366"/>
      <c r="AH330" s="366"/>
      <c r="AI330" s="366"/>
      <c r="AJ330" s="366"/>
      <c r="AK330" s="366"/>
      <c r="AL330" s="366"/>
      <c r="AM330" s="607"/>
      <c r="AN330" s="366"/>
      <c r="AO330" s="366"/>
      <c r="AP330" s="366"/>
      <c r="AQ330" s="366"/>
      <c r="AR330" s="619"/>
      <c r="AS330" s="617"/>
    </row>
    <row r="331" spans="1:45" ht="15.75">
      <c r="A331" s="190"/>
      <c r="B331" s="366"/>
      <c r="C331" s="366"/>
      <c r="D331" s="596"/>
      <c r="E331" s="596"/>
      <c r="F331" s="366"/>
      <c r="G331" s="366"/>
      <c r="H331" s="366"/>
      <c r="I331" s="366"/>
      <c r="J331" s="366"/>
      <c r="K331" s="366"/>
      <c r="L331" s="366"/>
      <c r="M331" s="366"/>
      <c r="N331" s="366"/>
      <c r="O331" s="366"/>
      <c r="P331" s="611"/>
      <c r="Q331" s="614"/>
      <c r="R331" s="588"/>
      <c r="S331" s="188"/>
      <c r="T331" s="366"/>
      <c r="U331" s="366"/>
      <c r="V331" s="366"/>
      <c r="W331" s="366"/>
      <c r="X331" s="366"/>
      <c r="Y331" s="366"/>
      <c r="Z331" s="366"/>
      <c r="AA331" s="366"/>
      <c r="AB331" s="366"/>
      <c r="AC331" s="366"/>
      <c r="AD331" s="366"/>
      <c r="AE331" s="366"/>
      <c r="AF331" s="366"/>
      <c r="AG331" s="366"/>
      <c r="AH331" s="366"/>
      <c r="AI331" s="366"/>
      <c r="AJ331" s="366"/>
      <c r="AK331" s="366"/>
      <c r="AL331" s="366"/>
      <c r="AM331" s="607"/>
      <c r="AN331" s="366"/>
      <c r="AO331" s="366"/>
      <c r="AP331" s="366"/>
      <c r="AQ331" s="366"/>
      <c r="AR331" s="619"/>
      <c r="AS331" s="617"/>
    </row>
    <row r="332" spans="1:45" ht="15.75">
      <c r="A332" s="190"/>
      <c r="B332" s="366"/>
      <c r="C332" s="366"/>
      <c r="D332" s="596"/>
      <c r="E332" s="596"/>
      <c r="F332" s="366"/>
      <c r="G332" s="366"/>
      <c r="H332" s="366"/>
      <c r="I332" s="366"/>
      <c r="J332" s="366"/>
      <c r="K332" s="366"/>
      <c r="L332" s="366"/>
      <c r="M332" s="366"/>
      <c r="N332" s="366"/>
      <c r="O332" s="366"/>
      <c r="P332" s="611"/>
      <c r="Q332" s="614"/>
      <c r="R332" s="588"/>
      <c r="S332" s="188"/>
      <c r="T332" s="366"/>
      <c r="U332" s="366"/>
      <c r="V332" s="366"/>
      <c r="W332" s="366"/>
      <c r="X332" s="366"/>
      <c r="Y332" s="366"/>
      <c r="Z332" s="366"/>
      <c r="AA332" s="366"/>
      <c r="AB332" s="366"/>
      <c r="AC332" s="366"/>
      <c r="AD332" s="366"/>
      <c r="AE332" s="366"/>
      <c r="AF332" s="366"/>
      <c r="AG332" s="366"/>
      <c r="AH332" s="366"/>
      <c r="AI332" s="366"/>
      <c r="AJ332" s="366"/>
      <c r="AK332" s="366"/>
      <c r="AL332" s="366"/>
      <c r="AM332" s="607"/>
      <c r="AN332" s="366"/>
      <c r="AO332" s="366"/>
      <c r="AP332" s="366"/>
      <c r="AQ332" s="366"/>
      <c r="AR332" s="619"/>
      <c r="AS332" s="617"/>
    </row>
    <row r="333" spans="1:45" ht="15.75">
      <c r="A333" s="190"/>
      <c r="B333" s="366"/>
      <c r="C333" s="366"/>
      <c r="D333" s="596"/>
      <c r="E333" s="596"/>
      <c r="F333" s="366"/>
      <c r="G333" s="366"/>
      <c r="H333" s="366"/>
      <c r="I333" s="366"/>
      <c r="J333" s="366"/>
      <c r="K333" s="366"/>
      <c r="L333" s="366"/>
      <c r="M333" s="366"/>
      <c r="N333" s="366"/>
      <c r="O333" s="366"/>
      <c r="P333" s="611"/>
      <c r="Q333" s="614"/>
      <c r="R333" s="588"/>
      <c r="S333" s="188"/>
      <c r="T333" s="366"/>
      <c r="U333" s="366"/>
      <c r="V333" s="366"/>
      <c r="W333" s="366"/>
      <c r="X333" s="366"/>
      <c r="Y333" s="366"/>
      <c r="Z333" s="366"/>
      <c r="AA333" s="366"/>
      <c r="AB333" s="366"/>
      <c r="AC333" s="366"/>
      <c r="AD333" s="366"/>
      <c r="AE333" s="366"/>
      <c r="AF333" s="366"/>
      <c r="AG333" s="366"/>
      <c r="AH333" s="366"/>
      <c r="AI333" s="366"/>
      <c r="AJ333" s="366"/>
      <c r="AK333" s="366"/>
      <c r="AL333" s="366"/>
      <c r="AM333" s="607"/>
      <c r="AN333" s="366"/>
      <c r="AO333" s="366"/>
      <c r="AP333" s="366"/>
      <c r="AQ333" s="366"/>
      <c r="AR333" s="619"/>
      <c r="AS333" s="617"/>
    </row>
    <row r="334" spans="1:45" ht="15.75">
      <c r="A334" s="190"/>
      <c r="B334" s="366"/>
      <c r="C334" s="366"/>
      <c r="D334" s="596"/>
      <c r="E334" s="596"/>
      <c r="F334" s="366"/>
      <c r="G334" s="366"/>
      <c r="H334" s="366"/>
      <c r="I334" s="366"/>
      <c r="J334" s="366"/>
      <c r="K334" s="366"/>
      <c r="L334" s="366"/>
      <c r="M334" s="366"/>
      <c r="N334" s="366"/>
      <c r="O334" s="366"/>
      <c r="P334" s="611"/>
      <c r="Q334" s="614"/>
      <c r="R334" s="588"/>
      <c r="S334" s="188"/>
      <c r="T334" s="366"/>
      <c r="U334" s="366"/>
      <c r="V334" s="366"/>
      <c r="W334" s="366"/>
      <c r="X334" s="366"/>
      <c r="Y334" s="366"/>
      <c r="Z334" s="366"/>
      <c r="AA334" s="366"/>
      <c r="AB334" s="366"/>
      <c r="AC334" s="366"/>
      <c r="AD334" s="366"/>
      <c r="AE334" s="366"/>
      <c r="AF334" s="366"/>
      <c r="AG334" s="366"/>
      <c r="AH334" s="366"/>
      <c r="AI334" s="366"/>
      <c r="AJ334" s="366"/>
      <c r="AK334" s="366"/>
      <c r="AL334" s="366"/>
      <c r="AM334" s="607"/>
      <c r="AN334" s="366"/>
      <c r="AO334" s="366"/>
      <c r="AP334" s="366"/>
      <c r="AQ334" s="366"/>
      <c r="AR334" s="619"/>
      <c r="AS334" s="617"/>
    </row>
    <row r="335" spans="1:45" ht="15.75">
      <c r="A335" s="190"/>
      <c r="B335" s="366"/>
      <c r="C335" s="366"/>
      <c r="D335" s="596"/>
      <c r="E335" s="596"/>
      <c r="F335" s="366"/>
      <c r="G335" s="366"/>
      <c r="H335" s="366"/>
      <c r="I335" s="366"/>
      <c r="J335" s="366"/>
      <c r="K335" s="366"/>
      <c r="L335" s="366"/>
      <c r="M335" s="366"/>
      <c r="N335" s="366"/>
      <c r="O335" s="366"/>
      <c r="P335" s="611"/>
      <c r="Q335" s="614"/>
      <c r="R335" s="588"/>
      <c r="S335" s="188"/>
      <c r="T335" s="366"/>
      <c r="U335" s="366"/>
      <c r="V335" s="366"/>
      <c r="W335" s="366"/>
      <c r="X335" s="366"/>
      <c r="Y335" s="366"/>
      <c r="Z335" s="366"/>
      <c r="AA335" s="366"/>
      <c r="AB335" s="366"/>
      <c r="AC335" s="366"/>
      <c r="AD335" s="366"/>
      <c r="AE335" s="366"/>
      <c r="AF335" s="366"/>
      <c r="AG335" s="366"/>
      <c r="AH335" s="366"/>
      <c r="AI335" s="366"/>
      <c r="AJ335" s="366"/>
      <c r="AK335" s="366"/>
      <c r="AL335" s="366"/>
      <c r="AM335" s="607"/>
      <c r="AN335" s="366"/>
      <c r="AO335" s="366"/>
      <c r="AP335" s="366"/>
      <c r="AQ335" s="366"/>
      <c r="AR335" s="619"/>
      <c r="AS335" s="617"/>
    </row>
    <row r="336" spans="1:45" ht="15.75">
      <c r="A336" s="190"/>
      <c r="B336" s="366"/>
      <c r="C336" s="366"/>
      <c r="D336" s="596"/>
      <c r="E336" s="596"/>
      <c r="F336" s="366"/>
      <c r="G336" s="366"/>
      <c r="H336" s="366"/>
      <c r="I336" s="366"/>
      <c r="J336" s="366"/>
      <c r="K336" s="366"/>
      <c r="L336" s="366"/>
      <c r="M336" s="366"/>
      <c r="N336" s="366"/>
      <c r="O336" s="366"/>
      <c r="P336" s="611"/>
      <c r="Q336" s="614"/>
      <c r="R336" s="588"/>
      <c r="S336" s="188"/>
      <c r="T336" s="366"/>
      <c r="U336" s="366"/>
      <c r="V336" s="366"/>
      <c r="W336" s="366"/>
      <c r="X336" s="366"/>
      <c r="Y336" s="366"/>
      <c r="Z336" s="366"/>
      <c r="AA336" s="366"/>
      <c r="AB336" s="366"/>
      <c r="AC336" s="366"/>
      <c r="AD336" s="366"/>
      <c r="AE336" s="366"/>
      <c r="AF336" s="366"/>
      <c r="AG336" s="366"/>
      <c r="AH336" s="366"/>
      <c r="AI336" s="366"/>
      <c r="AJ336" s="366"/>
      <c r="AK336" s="366"/>
      <c r="AL336" s="366"/>
      <c r="AM336" s="607"/>
      <c r="AN336" s="366"/>
      <c r="AO336" s="366"/>
      <c r="AP336" s="366"/>
      <c r="AQ336" s="366"/>
      <c r="AR336" s="619"/>
      <c r="AS336" s="617"/>
    </row>
    <row r="337" spans="1:45" ht="15.75">
      <c r="A337" s="190"/>
      <c r="B337" s="366"/>
      <c r="C337" s="366"/>
      <c r="D337" s="596"/>
      <c r="E337" s="596"/>
      <c r="F337" s="366"/>
      <c r="G337" s="366"/>
      <c r="H337" s="366"/>
      <c r="I337" s="366"/>
      <c r="J337" s="366"/>
      <c r="K337" s="366"/>
      <c r="L337" s="366"/>
      <c r="M337" s="366"/>
      <c r="N337" s="366"/>
      <c r="O337" s="366"/>
      <c r="P337" s="611"/>
      <c r="Q337" s="614"/>
      <c r="R337" s="588"/>
      <c r="S337" s="188"/>
      <c r="T337" s="366"/>
      <c r="U337" s="366"/>
      <c r="V337" s="366"/>
      <c r="W337" s="366"/>
      <c r="X337" s="366"/>
      <c r="Y337" s="366"/>
      <c r="Z337" s="366"/>
      <c r="AA337" s="366"/>
      <c r="AB337" s="366"/>
      <c r="AC337" s="366"/>
      <c r="AD337" s="366"/>
      <c r="AE337" s="366"/>
      <c r="AF337" s="366"/>
      <c r="AG337" s="366"/>
      <c r="AH337" s="366"/>
      <c r="AI337" s="366"/>
      <c r="AJ337" s="366"/>
      <c r="AK337" s="366"/>
      <c r="AL337" s="366"/>
      <c r="AM337" s="607"/>
      <c r="AN337" s="366"/>
      <c r="AO337" s="366"/>
      <c r="AP337" s="366"/>
      <c r="AQ337" s="366"/>
      <c r="AR337" s="619"/>
      <c r="AS337" s="617"/>
    </row>
    <row r="338" spans="1:45" ht="15.75">
      <c r="A338" s="190"/>
      <c r="B338" s="366"/>
      <c r="C338" s="366"/>
      <c r="D338" s="596"/>
      <c r="E338" s="596"/>
      <c r="F338" s="366"/>
      <c r="G338" s="366"/>
      <c r="H338" s="366"/>
      <c r="I338" s="366"/>
      <c r="J338" s="366"/>
      <c r="K338" s="366"/>
      <c r="L338" s="366"/>
      <c r="M338" s="366"/>
      <c r="N338" s="366"/>
      <c r="O338" s="366"/>
      <c r="P338" s="611"/>
      <c r="Q338" s="614"/>
      <c r="R338" s="588"/>
      <c r="S338" s="188"/>
      <c r="T338" s="366"/>
      <c r="U338" s="366"/>
      <c r="V338" s="366"/>
      <c r="W338" s="366"/>
      <c r="X338" s="366"/>
      <c r="Y338" s="366"/>
      <c r="Z338" s="366"/>
      <c r="AA338" s="366"/>
      <c r="AB338" s="366"/>
      <c r="AC338" s="366"/>
      <c r="AD338" s="366"/>
      <c r="AE338" s="366"/>
      <c r="AF338" s="366"/>
      <c r="AG338" s="366"/>
      <c r="AH338" s="366"/>
      <c r="AI338" s="366"/>
      <c r="AJ338" s="366"/>
      <c r="AK338" s="366"/>
      <c r="AL338" s="366"/>
      <c r="AM338" s="607"/>
      <c r="AN338" s="366"/>
      <c r="AO338" s="366"/>
      <c r="AP338" s="366"/>
      <c r="AQ338" s="366"/>
      <c r="AR338" s="619"/>
      <c r="AS338" s="617"/>
    </row>
    <row r="339" spans="1:45" ht="15.75">
      <c r="A339" s="190"/>
      <c r="B339" s="366"/>
      <c r="C339" s="366"/>
      <c r="D339" s="596"/>
      <c r="E339" s="596"/>
      <c r="F339" s="366"/>
      <c r="G339" s="366"/>
      <c r="H339" s="366"/>
      <c r="I339" s="366"/>
      <c r="J339" s="366"/>
      <c r="K339" s="366"/>
      <c r="L339" s="366"/>
      <c r="M339" s="366"/>
      <c r="N339" s="366"/>
      <c r="O339" s="366"/>
      <c r="P339" s="611"/>
      <c r="Q339" s="614"/>
      <c r="R339" s="588"/>
      <c r="S339" s="188"/>
      <c r="T339" s="366"/>
      <c r="U339" s="366"/>
      <c r="V339" s="366"/>
      <c r="W339" s="366"/>
      <c r="X339" s="366"/>
      <c r="Y339" s="366"/>
      <c r="Z339" s="366"/>
      <c r="AA339" s="366"/>
      <c r="AB339" s="366"/>
      <c r="AC339" s="366"/>
      <c r="AD339" s="366"/>
      <c r="AE339" s="366"/>
      <c r="AF339" s="366"/>
      <c r="AG339" s="366"/>
      <c r="AH339" s="366"/>
      <c r="AI339" s="366"/>
      <c r="AJ339" s="366"/>
      <c r="AK339" s="366"/>
      <c r="AL339" s="366"/>
      <c r="AM339" s="607"/>
      <c r="AN339" s="366"/>
      <c r="AO339" s="366"/>
      <c r="AP339" s="366"/>
      <c r="AQ339" s="366"/>
      <c r="AR339" s="619"/>
      <c r="AS339" s="617"/>
    </row>
    <row r="340" spans="1:45" ht="15.75">
      <c r="A340" s="190"/>
      <c r="B340" s="366"/>
      <c r="C340" s="366"/>
      <c r="D340" s="596"/>
      <c r="E340" s="596"/>
      <c r="F340" s="366"/>
      <c r="G340" s="366"/>
      <c r="H340" s="366"/>
      <c r="I340" s="366"/>
      <c r="J340" s="366"/>
      <c r="K340" s="366"/>
      <c r="L340" s="366"/>
      <c r="M340" s="366"/>
      <c r="N340" s="366"/>
      <c r="O340" s="366"/>
      <c r="P340" s="611"/>
      <c r="Q340" s="614"/>
      <c r="R340" s="588"/>
      <c r="S340" s="188"/>
      <c r="T340" s="366"/>
      <c r="U340" s="366"/>
      <c r="V340" s="366"/>
      <c r="W340" s="366"/>
      <c r="X340" s="366"/>
      <c r="Y340" s="366"/>
      <c r="Z340" s="366"/>
      <c r="AA340" s="366"/>
      <c r="AB340" s="366"/>
      <c r="AC340" s="366"/>
      <c r="AD340" s="366"/>
      <c r="AE340" s="366"/>
      <c r="AF340" s="366"/>
      <c r="AG340" s="366"/>
      <c r="AH340" s="366"/>
      <c r="AI340" s="366"/>
      <c r="AJ340" s="366"/>
      <c r="AK340" s="366"/>
      <c r="AL340" s="366"/>
      <c r="AM340" s="607"/>
      <c r="AN340" s="366"/>
      <c r="AO340" s="366"/>
      <c r="AP340" s="366"/>
      <c r="AQ340" s="366"/>
      <c r="AR340" s="619"/>
      <c r="AS340" s="617"/>
    </row>
    <row r="341" spans="1:45" ht="15.75">
      <c r="A341" s="190"/>
      <c r="B341" s="366"/>
      <c r="C341" s="366"/>
      <c r="D341" s="596"/>
      <c r="E341" s="596"/>
      <c r="F341" s="366"/>
      <c r="G341" s="366"/>
      <c r="H341" s="366"/>
      <c r="I341" s="366"/>
      <c r="J341" s="366"/>
      <c r="K341" s="366"/>
      <c r="L341" s="366"/>
      <c r="M341" s="366"/>
      <c r="N341" s="366"/>
      <c r="O341" s="366"/>
      <c r="P341" s="611"/>
      <c r="Q341" s="614"/>
      <c r="R341" s="588"/>
      <c r="S341" s="188"/>
      <c r="T341" s="366"/>
      <c r="U341" s="366"/>
      <c r="V341" s="366"/>
      <c r="W341" s="366"/>
      <c r="X341" s="366"/>
      <c r="Y341" s="366"/>
      <c r="Z341" s="366"/>
      <c r="AA341" s="366"/>
      <c r="AB341" s="366"/>
      <c r="AC341" s="366"/>
      <c r="AD341" s="366"/>
      <c r="AE341" s="366"/>
      <c r="AF341" s="366"/>
      <c r="AG341" s="366"/>
      <c r="AH341" s="366"/>
      <c r="AI341" s="366"/>
      <c r="AJ341" s="366"/>
      <c r="AK341" s="366"/>
      <c r="AL341" s="366"/>
      <c r="AM341" s="607"/>
      <c r="AN341" s="366"/>
      <c r="AO341" s="366"/>
      <c r="AP341" s="366"/>
      <c r="AQ341" s="366"/>
      <c r="AR341" s="619"/>
      <c r="AS341" s="617"/>
    </row>
    <row r="342" spans="1:45" ht="15.75">
      <c r="A342" s="190"/>
      <c r="B342" s="366"/>
      <c r="C342" s="366"/>
      <c r="D342" s="596"/>
      <c r="E342" s="596"/>
      <c r="F342" s="366"/>
      <c r="G342" s="366"/>
      <c r="H342" s="366"/>
      <c r="I342" s="366"/>
      <c r="J342" s="366"/>
      <c r="K342" s="366"/>
      <c r="L342" s="366"/>
      <c r="M342" s="366"/>
      <c r="N342" s="366"/>
      <c r="O342" s="366"/>
      <c r="P342" s="611"/>
      <c r="Q342" s="614"/>
      <c r="R342" s="588"/>
      <c r="S342" s="188"/>
      <c r="T342" s="366"/>
      <c r="U342" s="366"/>
      <c r="V342" s="366"/>
      <c r="W342" s="366"/>
      <c r="X342" s="366"/>
      <c r="Y342" s="366"/>
      <c r="Z342" s="366"/>
      <c r="AA342" s="366"/>
      <c r="AB342" s="366"/>
      <c r="AC342" s="366"/>
      <c r="AD342" s="366"/>
      <c r="AE342" s="366"/>
      <c r="AF342" s="366"/>
      <c r="AG342" s="366"/>
      <c r="AH342" s="366"/>
      <c r="AI342" s="366"/>
      <c r="AJ342" s="366"/>
      <c r="AK342" s="366"/>
      <c r="AL342" s="366"/>
      <c r="AM342" s="607"/>
      <c r="AN342" s="366"/>
      <c r="AO342" s="366"/>
      <c r="AP342" s="366"/>
      <c r="AQ342" s="366"/>
      <c r="AR342" s="619"/>
      <c r="AS342" s="617"/>
    </row>
    <row r="343" spans="1:45" ht="15.75">
      <c r="A343" s="190"/>
      <c r="B343" s="366"/>
      <c r="C343" s="366"/>
      <c r="D343" s="596"/>
      <c r="E343" s="596"/>
      <c r="F343" s="366"/>
      <c r="G343" s="366"/>
      <c r="H343" s="366"/>
      <c r="I343" s="366"/>
      <c r="J343" s="366"/>
      <c r="K343" s="366"/>
      <c r="L343" s="366"/>
      <c r="M343" s="366"/>
      <c r="N343" s="366"/>
      <c r="O343" s="366"/>
      <c r="P343" s="611"/>
      <c r="Q343" s="614"/>
      <c r="R343" s="588"/>
      <c r="S343" s="188"/>
      <c r="T343" s="366"/>
      <c r="U343" s="366"/>
      <c r="V343" s="366"/>
      <c r="W343" s="366"/>
      <c r="X343" s="366"/>
      <c r="Y343" s="366"/>
      <c r="Z343" s="366"/>
      <c r="AA343" s="366"/>
      <c r="AB343" s="366"/>
      <c r="AC343" s="366"/>
      <c r="AD343" s="366"/>
      <c r="AE343" s="366"/>
      <c r="AF343" s="366"/>
      <c r="AG343" s="366"/>
      <c r="AH343" s="366"/>
      <c r="AI343" s="366"/>
      <c r="AJ343" s="366"/>
      <c r="AK343" s="366"/>
      <c r="AL343" s="366"/>
      <c r="AM343" s="607"/>
      <c r="AN343" s="366"/>
      <c r="AO343" s="366"/>
      <c r="AP343" s="366"/>
      <c r="AQ343" s="366"/>
      <c r="AR343" s="619"/>
      <c r="AS343" s="617"/>
    </row>
    <row r="344" spans="1:45" ht="15.75">
      <c r="A344" s="190"/>
      <c r="B344" s="366"/>
      <c r="C344" s="366"/>
      <c r="D344" s="596"/>
      <c r="E344" s="596"/>
      <c r="F344" s="366"/>
      <c r="G344" s="366"/>
      <c r="H344" s="366"/>
      <c r="I344" s="366"/>
      <c r="J344" s="366"/>
      <c r="K344" s="366"/>
      <c r="L344" s="366"/>
      <c r="M344" s="366"/>
      <c r="N344" s="366"/>
      <c r="O344" s="366"/>
      <c r="P344" s="611"/>
      <c r="Q344" s="614"/>
      <c r="R344" s="588"/>
      <c r="S344" s="188"/>
      <c r="T344" s="366"/>
      <c r="U344" s="366"/>
      <c r="V344" s="366"/>
      <c r="W344" s="366"/>
      <c r="X344" s="366"/>
      <c r="Y344" s="366"/>
      <c r="Z344" s="366"/>
      <c r="AA344" s="366"/>
      <c r="AB344" s="366"/>
      <c r="AC344" s="366"/>
      <c r="AD344" s="366"/>
      <c r="AE344" s="366"/>
      <c r="AF344" s="366"/>
      <c r="AG344" s="366"/>
      <c r="AH344" s="366"/>
      <c r="AI344" s="366"/>
      <c r="AJ344" s="366"/>
      <c r="AK344" s="366"/>
      <c r="AL344" s="366"/>
      <c r="AM344" s="607"/>
      <c r="AN344" s="366"/>
      <c r="AO344" s="366"/>
      <c r="AP344" s="366"/>
      <c r="AQ344" s="366"/>
      <c r="AR344" s="619"/>
      <c r="AS344" s="617"/>
    </row>
    <row r="345" spans="1:45" ht="15.75">
      <c r="A345" s="190"/>
      <c r="B345" s="366"/>
      <c r="C345" s="366"/>
      <c r="D345" s="596"/>
      <c r="E345" s="596"/>
      <c r="F345" s="366"/>
      <c r="G345" s="366"/>
      <c r="H345" s="366"/>
      <c r="I345" s="366"/>
      <c r="J345" s="366"/>
      <c r="K345" s="366"/>
      <c r="L345" s="366"/>
      <c r="M345" s="366"/>
      <c r="N345" s="366"/>
      <c r="O345" s="366"/>
      <c r="P345" s="611"/>
      <c r="Q345" s="614"/>
      <c r="R345" s="588"/>
      <c r="S345" s="188"/>
      <c r="T345" s="366"/>
      <c r="U345" s="366"/>
      <c r="V345" s="366"/>
      <c r="W345" s="366"/>
      <c r="X345" s="366"/>
      <c r="Y345" s="366"/>
      <c r="Z345" s="366"/>
      <c r="AA345" s="366"/>
      <c r="AB345" s="366"/>
      <c r="AC345" s="366"/>
      <c r="AD345" s="366"/>
      <c r="AE345" s="366"/>
      <c r="AF345" s="366"/>
      <c r="AG345" s="366"/>
      <c r="AH345" s="366"/>
      <c r="AI345" s="366"/>
      <c r="AJ345" s="366"/>
      <c r="AK345" s="366"/>
      <c r="AL345" s="366"/>
      <c r="AM345" s="607"/>
      <c r="AN345" s="366"/>
      <c r="AO345" s="366"/>
      <c r="AP345" s="366"/>
      <c r="AQ345" s="366"/>
      <c r="AR345" s="619"/>
      <c r="AS345" s="617"/>
    </row>
    <row r="346" spans="1:45" ht="15.75">
      <c r="A346" s="190"/>
      <c r="B346" s="366"/>
      <c r="C346" s="366"/>
      <c r="D346" s="596"/>
      <c r="E346" s="596"/>
      <c r="F346" s="366"/>
      <c r="G346" s="366"/>
      <c r="H346" s="366"/>
      <c r="I346" s="366"/>
      <c r="J346" s="366"/>
      <c r="K346" s="366"/>
      <c r="L346" s="366"/>
      <c r="M346" s="366"/>
      <c r="N346" s="366"/>
      <c r="O346" s="366"/>
      <c r="P346" s="611"/>
      <c r="Q346" s="614"/>
      <c r="R346" s="588"/>
      <c r="S346" s="188"/>
      <c r="T346" s="366"/>
      <c r="U346" s="366"/>
      <c r="V346" s="366"/>
      <c r="W346" s="366"/>
      <c r="X346" s="366"/>
      <c r="Y346" s="366"/>
      <c r="Z346" s="366"/>
      <c r="AA346" s="366"/>
      <c r="AB346" s="366"/>
      <c r="AC346" s="366"/>
      <c r="AD346" s="366"/>
      <c r="AE346" s="366"/>
      <c r="AF346" s="366"/>
      <c r="AG346" s="366"/>
      <c r="AH346" s="366"/>
      <c r="AI346" s="366"/>
      <c r="AJ346" s="366"/>
      <c r="AK346" s="366"/>
      <c r="AL346" s="366"/>
      <c r="AM346" s="607"/>
      <c r="AN346" s="366"/>
      <c r="AO346" s="366"/>
      <c r="AP346" s="366"/>
      <c r="AQ346" s="366"/>
      <c r="AR346" s="619"/>
      <c r="AS346" s="617"/>
    </row>
    <row r="347" spans="1:45" ht="15.75">
      <c r="A347" s="190"/>
      <c r="B347" s="366"/>
      <c r="C347" s="366"/>
      <c r="D347" s="596"/>
      <c r="E347" s="596"/>
      <c r="F347" s="366"/>
      <c r="G347" s="366"/>
      <c r="H347" s="366"/>
      <c r="I347" s="366"/>
      <c r="J347" s="366"/>
      <c r="K347" s="366"/>
      <c r="L347" s="366"/>
      <c r="M347" s="366"/>
      <c r="N347" s="366"/>
      <c r="O347" s="366"/>
      <c r="P347" s="611"/>
      <c r="Q347" s="614"/>
      <c r="R347" s="588"/>
      <c r="S347" s="188"/>
      <c r="T347" s="366"/>
      <c r="U347" s="366"/>
      <c r="V347" s="366"/>
      <c r="W347" s="366"/>
      <c r="X347" s="366"/>
      <c r="Y347" s="366"/>
      <c r="Z347" s="366"/>
      <c r="AA347" s="366"/>
      <c r="AB347" s="366"/>
      <c r="AC347" s="366"/>
      <c r="AD347" s="366"/>
      <c r="AE347" s="366"/>
      <c r="AF347" s="366"/>
      <c r="AG347" s="366"/>
      <c r="AH347" s="366"/>
      <c r="AI347" s="366"/>
      <c r="AJ347" s="366"/>
      <c r="AK347" s="366"/>
      <c r="AL347" s="366"/>
      <c r="AM347" s="607"/>
      <c r="AN347" s="366"/>
      <c r="AO347" s="366"/>
      <c r="AP347" s="366"/>
      <c r="AQ347" s="366"/>
      <c r="AR347" s="619"/>
      <c r="AS347" s="617"/>
    </row>
    <row r="348" spans="1:45" ht="15.75">
      <c r="A348" s="190"/>
      <c r="B348" s="366"/>
      <c r="C348" s="366"/>
      <c r="D348" s="596"/>
      <c r="E348" s="596"/>
      <c r="F348" s="366"/>
      <c r="G348" s="366"/>
      <c r="H348" s="366"/>
      <c r="I348" s="366"/>
      <c r="J348" s="366"/>
      <c r="K348" s="366"/>
      <c r="L348" s="366"/>
      <c r="M348" s="366"/>
      <c r="N348" s="366"/>
      <c r="O348" s="366"/>
      <c r="P348" s="611"/>
      <c r="Q348" s="614"/>
      <c r="R348" s="588"/>
      <c r="S348" s="188"/>
      <c r="T348" s="366"/>
      <c r="U348" s="366"/>
      <c r="V348" s="366"/>
      <c r="W348" s="366"/>
      <c r="X348" s="366"/>
      <c r="Y348" s="366"/>
      <c r="Z348" s="366"/>
      <c r="AA348" s="366"/>
      <c r="AB348" s="366"/>
      <c r="AC348" s="366"/>
      <c r="AD348" s="366"/>
      <c r="AE348" s="366"/>
      <c r="AF348" s="366"/>
      <c r="AG348" s="366"/>
      <c r="AH348" s="366"/>
      <c r="AI348" s="366"/>
      <c r="AJ348" s="366"/>
      <c r="AK348" s="366"/>
      <c r="AL348" s="366"/>
      <c r="AM348" s="607"/>
      <c r="AN348" s="366"/>
      <c r="AO348" s="366"/>
      <c r="AP348" s="366"/>
      <c r="AQ348" s="366"/>
      <c r="AR348" s="619"/>
      <c r="AS348" s="617"/>
    </row>
    <row r="349" spans="1:45" ht="15.75">
      <c r="A349" s="190"/>
      <c r="B349" s="366"/>
      <c r="C349" s="366"/>
      <c r="D349" s="596"/>
      <c r="E349" s="596"/>
      <c r="F349" s="366"/>
      <c r="G349" s="366"/>
      <c r="H349" s="366"/>
      <c r="I349" s="366"/>
      <c r="J349" s="366"/>
      <c r="K349" s="366"/>
      <c r="L349" s="366"/>
      <c r="M349" s="366"/>
      <c r="N349" s="366"/>
      <c r="O349" s="366"/>
      <c r="P349" s="611"/>
      <c r="Q349" s="614"/>
      <c r="R349" s="588"/>
      <c r="S349" s="188"/>
      <c r="T349" s="366"/>
      <c r="U349" s="366"/>
      <c r="V349" s="366"/>
      <c r="W349" s="366"/>
      <c r="X349" s="366"/>
      <c r="Y349" s="366"/>
      <c r="Z349" s="366"/>
      <c r="AA349" s="366"/>
      <c r="AB349" s="366"/>
      <c r="AC349" s="366"/>
      <c r="AD349" s="366"/>
      <c r="AE349" s="366"/>
      <c r="AF349" s="366"/>
      <c r="AG349" s="366"/>
      <c r="AH349" s="366"/>
      <c r="AI349" s="366"/>
      <c r="AJ349" s="366"/>
      <c r="AK349" s="366"/>
      <c r="AL349" s="366"/>
      <c r="AM349" s="607"/>
      <c r="AN349" s="366"/>
      <c r="AO349" s="366"/>
      <c r="AP349" s="366"/>
      <c r="AQ349" s="366"/>
      <c r="AR349" s="619"/>
      <c r="AS349" s="617"/>
    </row>
    <row r="350" spans="1:45" ht="15.75">
      <c r="A350" s="190"/>
      <c r="B350" s="366"/>
      <c r="C350" s="366"/>
      <c r="D350" s="596"/>
      <c r="E350" s="596"/>
      <c r="F350" s="366"/>
      <c r="G350" s="366"/>
      <c r="H350" s="366"/>
      <c r="I350" s="366"/>
      <c r="J350" s="366"/>
      <c r="K350" s="366"/>
      <c r="L350" s="366"/>
      <c r="M350" s="366"/>
      <c r="N350" s="366"/>
      <c r="O350" s="366"/>
      <c r="P350" s="611"/>
      <c r="Q350" s="614"/>
      <c r="R350" s="588"/>
      <c r="S350" s="188"/>
      <c r="T350" s="366"/>
      <c r="U350" s="366"/>
      <c r="V350" s="366"/>
      <c r="W350" s="366"/>
      <c r="X350" s="366"/>
      <c r="Y350" s="366"/>
      <c r="Z350" s="366"/>
      <c r="AA350" s="366"/>
      <c r="AB350" s="366"/>
      <c r="AC350" s="366"/>
      <c r="AD350" s="366"/>
      <c r="AE350" s="366"/>
      <c r="AF350" s="366"/>
      <c r="AG350" s="366"/>
      <c r="AH350" s="366"/>
      <c r="AI350" s="366"/>
      <c r="AJ350" s="366"/>
      <c r="AK350" s="366"/>
      <c r="AL350" s="366"/>
      <c r="AM350" s="607"/>
      <c r="AN350" s="366"/>
      <c r="AO350" s="366"/>
      <c r="AP350" s="366"/>
      <c r="AQ350" s="366"/>
      <c r="AR350" s="619"/>
      <c r="AS350" s="617"/>
    </row>
    <row r="351" spans="1:45" ht="15.75">
      <c r="A351" s="190"/>
      <c r="B351" s="366"/>
      <c r="C351" s="366"/>
      <c r="D351" s="596"/>
      <c r="E351" s="596"/>
      <c r="F351" s="366"/>
      <c r="G351" s="366"/>
      <c r="H351" s="366"/>
      <c r="I351" s="366"/>
      <c r="J351" s="366"/>
      <c r="K351" s="366"/>
      <c r="L351" s="366"/>
      <c r="M351" s="366"/>
      <c r="N351" s="366"/>
      <c r="O351" s="366"/>
      <c r="P351" s="611"/>
      <c r="Q351" s="614"/>
      <c r="R351" s="588"/>
      <c r="S351" s="188"/>
      <c r="T351" s="366"/>
      <c r="U351" s="366"/>
      <c r="V351" s="366"/>
      <c r="W351" s="366"/>
      <c r="X351" s="366"/>
      <c r="Y351" s="366"/>
      <c r="Z351" s="366"/>
      <c r="AA351" s="366"/>
      <c r="AB351" s="366"/>
      <c r="AC351" s="366"/>
      <c r="AD351" s="366"/>
      <c r="AE351" s="366"/>
      <c r="AF351" s="366"/>
      <c r="AG351" s="366"/>
      <c r="AH351" s="366"/>
      <c r="AI351" s="366"/>
      <c r="AJ351" s="366"/>
      <c r="AK351" s="366"/>
      <c r="AL351" s="366"/>
      <c r="AM351" s="607"/>
      <c r="AN351" s="366"/>
      <c r="AO351" s="366"/>
      <c r="AP351" s="366"/>
      <c r="AQ351" s="366"/>
      <c r="AR351" s="619"/>
      <c r="AS351" s="617"/>
    </row>
    <row r="352" spans="1:45" ht="15.75">
      <c r="A352" s="190"/>
      <c r="B352" s="366"/>
      <c r="C352" s="366"/>
      <c r="D352" s="596"/>
      <c r="E352" s="596"/>
      <c r="F352" s="366"/>
      <c r="G352" s="366"/>
      <c r="H352" s="366"/>
      <c r="I352" s="366"/>
      <c r="J352" s="366"/>
      <c r="K352" s="366"/>
      <c r="L352" s="366"/>
      <c r="M352" s="366"/>
      <c r="N352" s="366"/>
      <c r="O352" s="366"/>
      <c r="P352" s="611"/>
      <c r="Q352" s="614"/>
      <c r="R352" s="588"/>
      <c r="S352" s="188"/>
      <c r="T352" s="366"/>
      <c r="U352" s="366"/>
      <c r="V352" s="366"/>
      <c r="W352" s="366"/>
      <c r="X352" s="366"/>
      <c r="Y352" s="366"/>
      <c r="Z352" s="366"/>
      <c r="AA352" s="366"/>
      <c r="AB352" s="366"/>
      <c r="AC352" s="366"/>
      <c r="AD352" s="366"/>
      <c r="AE352" s="366"/>
      <c r="AF352" s="366"/>
      <c r="AG352" s="366"/>
      <c r="AH352" s="366"/>
      <c r="AI352" s="366"/>
      <c r="AJ352" s="366"/>
      <c r="AK352" s="366"/>
      <c r="AL352" s="366"/>
      <c r="AM352" s="607"/>
      <c r="AN352" s="366"/>
      <c r="AO352" s="366"/>
      <c r="AP352" s="366"/>
      <c r="AQ352" s="366"/>
      <c r="AR352" s="619"/>
      <c r="AS352" s="617"/>
    </row>
    <row r="353" spans="1:45" ht="15.75">
      <c r="A353" s="190"/>
      <c r="B353" s="366"/>
      <c r="C353" s="366"/>
      <c r="D353" s="596"/>
      <c r="E353" s="596"/>
      <c r="F353" s="366"/>
      <c r="G353" s="366"/>
      <c r="H353" s="366"/>
      <c r="I353" s="366"/>
      <c r="J353" s="366"/>
      <c r="K353" s="366"/>
      <c r="L353" s="366"/>
      <c r="M353" s="366"/>
      <c r="N353" s="366"/>
      <c r="O353" s="366"/>
      <c r="P353" s="611"/>
      <c r="Q353" s="614"/>
      <c r="R353" s="588"/>
      <c r="S353" s="188"/>
      <c r="T353" s="366"/>
      <c r="U353" s="366"/>
      <c r="V353" s="366"/>
      <c r="W353" s="366"/>
      <c r="X353" s="366"/>
      <c r="Y353" s="366"/>
      <c r="Z353" s="366"/>
      <c r="AA353" s="366"/>
      <c r="AB353" s="366"/>
      <c r="AC353" s="366"/>
      <c r="AD353" s="366"/>
      <c r="AE353" s="366"/>
      <c r="AF353" s="366"/>
      <c r="AG353" s="366"/>
      <c r="AH353" s="366"/>
      <c r="AI353" s="366"/>
      <c r="AJ353" s="366"/>
      <c r="AK353" s="366"/>
      <c r="AL353" s="366"/>
      <c r="AM353" s="607"/>
      <c r="AN353" s="366"/>
      <c r="AO353" s="366"/>
      <c r="AP353" s="366"/>
      <c r="AQ353" s="366"/>
      <c r="AR353" s="619"/>
      <c r="AS353" s="617"/>
    </row>
    <row r="354" spans="1:45" ht="15.75">
      <c r="A354" s="190"/>
      <c r="B354" s="366"/>
      <c r="C354" s="366"/>
      <c r="D354" s="596"/>
      <c r="E354" s="596"/>
      <c r="F354" s="366"/>
      <c r="G354" s="366"/>
      <c r="H354" s="366"/>
      <c r="I354" s="366"/>
      <c r="J354" s="366"/>
      <c r="K354" s="366"/>
      <c r="L354" s="366"/>
      <c r="M354" s="366"/>
      <c r="N354" s="366"/>
      <c r="O354" s="366"/>
      <c r="P354" s="611"/>
      <c r="Q354" s="614"/>
      <c r="R354" s="588"/>
      <c r="S354" s="188"/>
      <c r="T354" s="366"/>
      <c r="U354" s="366"/>
      <c r="V354" s="366"/>
      <c r="W354" s="366"/>
      <c r="X354" s="366"/>
      <c r="Y354" s="366"/>
      <c r="Z354" s="366"/>
      <c r="AA354" s="366"/>
      <c r="AB354" s="366"/>
      <c r="AC354" s="366"/>
      <c r="AD354" s="366"/>
      <c r="AE354" s="366"/>
      <c r="AF354" s="366"/>
      <c r="AG354" s="366"/>
      <c r="AH354" s="366"/>
      <c r="AI354" s="366"/>
      <c r="AJ354" s="366"/>
      <c r="AK354" s="366"/>
      <c r="AL354" s="366"/>
      <c r="AM354" s="607"/>
      <c r="AN354" s="366"/>
      <c r="AO354" s="366"/>
      <c r="AP354" s="366"/>
      <c r="AQ354" s="366"/>
      <c r="AR354" s="619"/>
      <c r="AS354" s="617"/>
    </row>
    <row r="355" spans="1:45" ht="15.75">
      <c r="A355" s="190"/>
      <c r="B355" s="366"/>
      <c r="C355" s="366"/>
      <c r="D355" s="596"/>
      <c r="E355" s="596"/>
      <c r="F355" s="366"/>
      <c r="G355" s="366"/>
      <c r="H355" s="366"/>
      <c r="I355" s="366"/>
      <c r="J355" s="366"/>
      <c r="K355" s="366"/>
      <c r="L355" s="366"/>
      <c r="M355" s="366"/>
      <c r="N355" s="366"/>
      <c r="O355" s="366"/>
      <c r="P355" s="611"/>
      <c r="Q355" s="614"/>
      <c r="R355" s="588"/>
      <c r="S355" s="188"/>
      <c r="T355" s="366"/>
      <c r="U355" s="366"/>
      <c r="V355" s="366"/>
      <c r="W355" s="366"/>
      <c r="X355" s="366"/>
      <c r="Y355" s="366"/>
      <c r="Z355" s="366"/>
      <c r="AA355" s="366"/>
      <c r="AB355" s="366"/>
      <c r="AC355" s="366"/>
      <c r="AD355" s="366"/>
      <c r="AE355" s="366"/>
      <c r="AF355" s="366"/>
      <c r="AG355" s="366"/>
      <c r="AH355" s="366"/>
      <c r="AI355" s="366"/>
      <c r="AJ355" s="366"/>
      <c r="AK355" s="366"/>
      <c r="AL355" s="366"/>
      <c r="AM355" s="607"/>
      <c r="AN355" s="366"/>
      <c r="AO355" s="366"/>
      <c r="AP355" s="366"/>
      <c r="AQ355" s="366"/>
      <c r="AR355" s="619"/>
      <c r="AS355" s="617"/>
    </row>
    <row r="356" spans="1:45" ht="15.75">
      <c r="A356" s="190"/>
      <c r="B356" s="366"/>
      <c r="C356" s="366"/>
      <c r="D356" s="596"/>
      <c r="E356" s="596"/>
      <c r="F356" s="366"/>
      <c r="G356" s="366"/>
      <c r="H356" s="366"/>
      <c r="I356" s="366"/>
      <c r="J356" s="366"/>
      <c r="K356" s="366"/>
      <c r="L356" s="366"/>
      <c r="M356" s="366"/>
      <c r="N356" s="366"/>
      <c r="O356" s="366"/>
      <c r="P356" s="611"/>
      <c r="Q356" s="614"/>
      <c r="R356" s="588"/>
      <c r="S356" s="188"/>
      <c r="T356" s="366"/>
      <c r="U356" s="366"/>
      <c r="V356" s="366"/>
      <c r="W356" s="366"/>
      <c r="X356" s="366"/>
      <c r="Y356" s="366"/>
      <c r="Z356" s="366"/>
      <c r="AA356" s="366"/>
      <c r="AB356" s="366"/>
      <c r="AC356" s="366"/>
      <c r="AD356" s="366"/>
      <c r="AE356" s="366"/>
      <c r="AF356" s="366"/>
      <c r="AG356" s="366"/>
      <c r="AH356" s="366"/>
      <c r="AI356" s="366"/>
      <c r="AJ356" s="366"/>
      <c r="AK356" s="366"/>
      <c r="AL356" s="366"/>
      <c r="AM356" s="607"/>
      <c r="AN356" s="366"/>
      <c r="AO356" s="366"/>
      <c r="AP356" s="366"/>
      <c r="AQ356" s="366"/>
      <c r="AR356" s="619"/>
      <c r="AS356" s="617"/>
    </row>
    <row r="357" spans="1:45" ht="15.75">
      <c r="A357" s="190"/>
      <c r="B357" s="366"/>
      <c r="C357" s="366"/>
      <c r="D357" s="596"/>
      <c r="E357" s="596"/>
      <c r="F357" s="366"/>
      <c r="G357" s="366"/>
      <c r="H357" s="366"/>
      <c r="I357" s="366"/>
      <c r="J357" s="366"/>
      <c r="K357" s="366"/>
      <c r="L357" s="366"/>
      <c r="M357" s="366"/>
      <c r="N357" s="366"/>
      <c r="O357" s="366"/>
      <c r="P357" s="611"/>
      <c r="Q357" s="614"/>
      <c r="R357" s="588"/>
      <c r="S357" s="188"/>
      <c r="T357" s="366"/>
      <c r="U357" s="366"/>
      <c r="V357" s="366"/>
      <c r="W357" s="366"/>
      <c r="X357" s="366"/>
      <c r="Y357" s="366"/>
      <c r="Z357" s="366"/>
      <c r="AA357" s="366"/>
      <c r="AB357" s="366"/>
      <c r="AC357" s="366"/>
      <c r="AD357" s="366"/>
      <c r="AE357" s="366"/>
      <c r="AF357" s="366"/>
      <c r="AG357" s="366"/>
      <c r="AH357" s="366"/>
      <c r="AI357" s="366"/>
      <c r="AJ357" s="366"/>
      <c r="AK357" s="366"/>
      <c r="AL357" s="366"/>
      <c r="AM357" s="607"/>
      <c r="AN357" s="366"/>
      <c r="AO357" s="366"/>
      <c r="AP357" s="366"/>
      <c r="AQ357" s="366"/>
      <c r="AR357" s="619"/>
      <c r="AS357" s="617"/>
    </row>
    <row r="358" spans="1:45" ht="15.75">
      <c r="A358" s="190"/>
      <c r="B358" s="366"/>
      <c r="C358" s="366"/>
      <c r="D358" s="596"/>
      <c r="E358" s="596"/>
      <c r="F358" s="366"/>
      <c r="G358" s="366"/>
      <c r="H358" s="366"/>
      <c r="I358" s="366"/>
      <c r="J358" s="366"/>
      <c r="K358" s="366"/>
      <c r="L358" s="366"/>
      <c r="M358" s="366"/>
      <c r="N358" s="366"/>
      <c r="O358" s="366"/>
      <c r="P358" s="611"/>
      <c r="Q358" s="614"/>
      <c r="R358" s="588"/>
      <c r="S358" s="188"/>
      <c r="T358" s="366"/>
      <c r="U358" s="366"/>
      <c r="V358" s="366"/>
      <c r="W358" s="366"/>
      <c r="X358" s="366"/>
      <c r="Y358" s="366"/>
      <c r="Z358" s="366"/>
      <c r="AA358" s="366"/>
      <c r="AB358" s="366"/>
      <c r="AC358" s="366"/>
      <c r="AD358" s="366"/>
      <c r="AE358" s="366"/>
      <c r="AF358" s="366"/>
      <c r="AG358" s="366"/>
      <c r="AH358" s="366"/>
      <c r="AI358" s="366"/>
      <c r="AJ358" s="366"/>
      <c r="AK358" s="366"/>
      <c r="AL358" s="366"/>
      <c r="AM358" s="607"/>
      <c r="AN358" s="366"/>
      <c r="AO358" s="366"/>
      <c r="AP358" s="366"/>
      <c r="AQ358" s="366"/>
      <c r="AR358" s="619"/>
      <c r="AS358" s="617"/>
    </row>
    <row r="359" spans="1:45" ht="15.75">
      <c r="A359" s="190"/>
      <c r="B359" s="366"/>
      <c r="C359" s="366"/>
      <c r="D359" s="596"/>
      <c r="E359" s="596"/>
      <c r="F359" s="366"/>
      <c r="G359" s="366"/>
      <c r="H359" s="366"/>
      <c r="I359" s="366"/>
      <c r="J359" s="366"/>
      <c r="K359" s="366"/>
      <c r="L359" s="366"/>
      <c r="M359" s="366"/>
      <c r="N359" s="366"/>
      <c r="O359" s="366"/>
      <c r="P359" s="611"/>
      <c r="Q359" s="614"/>
      <c r="R359" s="588"/>
      <c r="S359" s="188"/>
      <c r="T359" s="366"/>
      <c r="U359" s="366"/>
      <c r="V359" s="366"/>
      <c r="W359" s="366"/>
      <c r="X359" s="366"/>
      <c r="Y359" s="366"/>
      <c r="Z359" s="366"/>
      <c r="AA359" s="366"/>
      <c r="AB359" s="366"/>
      <c r="AC359" s="366"/>
      <c r="AD359" s="366"/>
      <c r="AE359" s="366"/>
      <c r="AF359" s="366"/>
      <c r="AG359" s="366"/>
      <c r="AH359" s="366"/>
      <c r="AI359" s="366"/>
      <c r="AJ359" s="366"/>
      <c r="AK359" s="366"/>
      <c r="AL359" s="366"/>
      <c r="AM359" s="607"/>
      <c r="AN359" s="366"/>
      <c r="AO359" s="366"/>
      <c r="AP359" s="366"/>
      <c r="AQ359" s="366"/>
      <c r="AR359" s="619"/>
      <c r="AS359" s="617"/>
    </row>
    <row r="360" spans="1:45" ht="15.75">
      <c r="A360" s="190"/>
      <c r="B360" s="366"/>
      <c r="C360" s="366"/>
      <c r="D360" s="596"/>
      <c r="E360" s="596"/>
      <c r="F360" s="366"/>
      <c r="G360" s="366"/>
      <c r="H360" s="366"/>
      <c r="I360" s="366"/>
      <c r="J360" s="366"/>
      <c r="K360" s="366"/>
      <c r="L360" s="366"/>
      <c r="M360" s="366"/>
      <c r="N360" s="366"/>
      <c r="O360" s="366"/>
      <c r="P360" s="611"/>
      <c r="Q360" s="614"/>
      <c r="R360" s="588"/>
      <c r="S360" s="188"/>
      <c r="T360" s="366"/>
      <c r="U360" s="366"/>
      <c r="V360" s="366"/>
      <c r="W360" s="366"/>
      <c r="X360" s="366"/>
      <c r="Y360" s="366"/>
      <c r="Z360" s="366"/>
      <c r="AA360" s="366"/>
      <c r="AB360" s="366"/>
      <c r="AC360" s="366"/>
      <c r="AD360" s="366"/>
      <c r="AE360" s="366"/>
      <c r="AF360" s="366"/>
      <c r="AG360" s="366"/>
      <c r="AH360" s="366"/>
      <c r="AI360" s="366"/>
      <c r="AJ360" s="366"/>
      <c r="AK360" s="366"/>
      <c r="AL360" s="366"/>
      <c r="AM360" s="607"/>
      <c r="AN360" s="366"/>
      <c r="AO360" s="366"/>
      <c r="AP360" s="366"/>
      <c r="AQ360" s="366"/>
      <c r="AR360" s="619"/>
      <c r="AS360" s="617"/>
    </row>
    <row r="361" spans="1:45" ht="15.75">
      <c r="A361" s="190"/>
      <c r="B361" s="366"/>
      <c r="C361" s="366"/>
      <c r="D361" s="596"/>
      <c r="E361" s="596"/>
      <c r="F361" s="366"/>
      <c r="G361" s="366"/>
      <c r="H361" s="366"/>
      <c r="I361" s="366"/>
      <c r="J361" s="366"/>
      <c r="K361" s="366"/>
      <c r="L361" s="366"/>
      <c r="M361" s="366"/>
      <c r="N361" s="366"/>
      <c r="O361" s="366"/>
      <c r="P361" s="611"/>
      <c r="Q361" s="614"/>
      <c r="R361" s="588"/>
      <c r="S361" s="188"/>
      <c r="T361" s="366"/>
      <c r="U361" s="366"/>
      <c r="V361" s="366"/>
      <c r="W361" s="366"/>
      <c r="X361" s="366"/>
      <c r="Y361" s="366"/>
      <c r="Z361" s="366"/>
      <c r="AA361" s="366"/>
      <c r="AB361" s="366"/>
      <c r="AC361" s="366"/>
      <c r="AD361" s="366"/>
      <c r="AE361" s="366"/>
      <c r="AF361" s="366"/>
      <c r="AG361" s="366"/>
      <c r="AH361" s="366"/>
      <c r="AI361" s="366"/>
      <c r="AJ361" s="366"/>
      <c r="AK361" s="366"/>
      <c r="AL361" s="366"/>
      <c r="AM361" s="607"/>
      <c r="AN361" s="366"/>
      <c r="AO361" s="366"/>
      <c r="AP361" s="366"/>
      <c r="AQ361" s="366"/>
      <c r="AR361" s="619"/>
      <c r="AS361" s="617"/>
    </row>
    <row r="362" spans="1:45" ht="15.75">
      <c r="A362" s="190"/>
      <c r="B362" s="366"/>
      <c r="C362" s="366"/>
      <c r="D362" s="596"/>
      <c r="E362" s="596"/>
      <c r="F362" s="366"/>
      <c r="G362" s="366"/>
      <c r="H362" s="366"/>
      <c r="I362" s="366"/>
      <c r="J362" s="366"/>
      <c r="K362" s="366"/>
      <c r="L362" s="366"/>
      <c r="M362" s="366"/>
      <c r="N362" s="366"/>
      <c r="O362" s="366"/>
      <c r="P362" s="611"/>
      <c r="Q362" s="614"/>
      <c r="R362" s="588"/>
      <c r="S362" s="188"/>
      <c r="T362" s="366"/>
      <c r="U362" s="366"/>
      <c r="V362" s="366"/>
      <c r="W362" s="366"/>
      <c r="X362" s="366"/>
      <c r="Y362" s="366"/>
      <c r="Z362" s="366"/>
      <c r="AA362" s="366"/>
      <c r="AB362" s="366"/>
      <c r="AC362" s="366"/>
      <c r="AD362" s="366"/>
      <c r="AE362" s="366"/>
      <c r="AF362" s="366"/>
      <c r="AG362" s="366"/>
      <c r="AH362" s="366"/>
      <c r="AI362" s="366"/>
      <c r="AJ362" s="366"/>
      <c r="AK362" s="366"/>
      <c r="AL362" s="366"/>
      <c r="AM362" s="607"/>
      <c r="AN362" s="366"/>
      <c r="AO362" s="366"/>
      <c r="AP362" s="366"/>
      <c r="AQ362" s="366"/>
      <c r="AR362" s="619"/>
      <c r="AS362" s="617"/>
    </row>
    <row r="363" spans="1:45" ht="15.75">
      <c r="A363" s="190"/>
      <c r="B363" s="366"/>
      <c r="C363" s="366"/>
      <c r="D363" s="596"/>
      <c r="E363" s="596"/>
      <c r="F363" s="366"/>
      <c r="G363" s="366"/>
      <c r="H363" s="366"/>
      <c r="I363" s="366"/>
      <c r="J363" s="366"/>
      <c r="K363" s="366"/>
      <c r="L363" s="366"/>
      <c r="M363" s="366"/>
      <c r="N363" s="366"/>
      <c r="O363" s="366"/>
      <c r="P363" s="611"/>
      <c r="Q363" s="614"/>
      <c r="R363" s="588"/>
      <c r="S363" s="188"/>
      <c r="T363" s="366"/>
      <c r="U363" s="366"/>
      <c r="V363" s="366"/>
      <c r="W363" s="366"/>
      <c r="X363" s="366"/>
      <c r="Y363" s="366"/>
      <c r="Z363" s="366"/>
      <c r="AA363" s="366"/>
      <c r="AB363" s="366"/>
      <c r="AC363" s="366"/>
      <c r="AD363" s="366"/>
      <c r="AE363" s="366"/>
      <c r="AF363" s="366"/>
      <c r="AG363" s="366"/>
      <c r="AH363" s="366"/>
      <c r="AI363" s="366"/>
      <c r="AJ363" s="366"/>
      <c r="AK363" s="366"/>
      <c r="AL363" s="366"/>
      <c r="AM363" s="607"/>
      <c r="AN363" s="366"/>
      <c r="AO363" s="366"/>
      <c r="AP363" s="366"/>
      <c r="AQ363" s="366"/>
      <c r="AR363" s="619"/>
      <c r="AS363" s="617"/>
    </row>
    <row r="364" spans="1:45" ht="15.75">
      <c r="A364" s="190"/>
      <c r="B364" s="366"/>
      <c r="C364" s="366"/>
      <c r="D364" s="596"/>
      <c r="E364" s="596"/>
      <c r="F364" s="366"/>
      <c r="G364" s="366"/>
      <c r="H364" s="366"/>
      <c r="I364" s="366"/>
      <c r="J364" s="366"/>
      <c r="K364" s="366"/>
      <c r="L364" s="366"/>
      <c r="M364" s="366"/>
      <c r="N364" s="366"/>
      <c r="O364" s="366"/>
      <c r="P364" s="611"/>
      <c r="Q364" s="614"/>
      <c r="R364" s="588"/>
      <c r="S364" s="188"/>
      <c r="T364" s="366"/>
      <c r="U364" s="366"/>
      <c r="V364" s="366"/>
      <c r="W364" s="366"/>
      <c r="X364" s="366"/>
      <c r="Y364" s="366"/>
      <c r="Z364" s="366"/>
      <c r="AA364" s="366"/>
      <c r="AB364" s="366"/>
      <c r="AC364" s="366"/>
      <c r="AD364" s="366"/>
      <c r="AE364" s="366"/>
      <c r="AF364" s="366"/>
      <c r="AG364" s="366"/>
      <c r="AH364" s="366"/>
      <c r="AI364" s="366"/>
      <c r="AJ364" s="366"/>
      <c r="AK364" s="366"/>
      <c r="AL364" s="366"/>
      <c r="AM364" s="607"/>
      <c r="AN364" s="366"/>
      <c r="AO364" s="366"/>
      <c r="AP364" s="366"/>
      <c r="AQ364" s="366"/>
      <c r="AR364" s="619"/>
      <c r="AS364" s="617"/>
    </row>
    <row r="365" spans="1:45" ht="15.75">
      <c r="A365" s="190"/>
      <c r="B365" s="366"/>
      <c r="C365" s="366"/>
      <c r="D365" s="596"/>
      <c r="E365" s="596"/>
      <c r="F365" s="366"/>
      <c r="G365" s="366"/>
      <c r="H365" s="366"/>
      <c r="I365" s="366"/>
      <c r="J365" s="366"/>
      <c r="K365" s="366"/>
      <c r="L365" s="366"/>
      <c r="M365" s="366"/>
      <c r="N365" s="366"/>
      <c r="O365" s="366"/>
      <c r="P365" s="611"/>
      <c r="Q365" s="614"/>
      <c r="R365" s="588"/>
      <c r="S365" s="188"/>
      <c r="T365" s="366"/>
      <c r="U365" s="366"/>
      <c r="V365" s="366"/>
      <c r="W365" s="366"/>
      <c r="X365" s="366"/>
      <c r="Y365" s="366"/>
      <c r="Z365" s="366"/>
      <c r="AA365" s="366"/>
      <c r="AB365" s="366"/>
      <c r="AC365" s="366"/>
      <c r="AD365" s="366"/>
      <c r="AE365" s="366"/>
      <c r="AF365" s="366"/>
      <c r="AG365" s="366"/>
      <c r="AH365" s="366"/>
      <c r="AI365" s="366"/>
      <c r="AJ365" s="366"/>
      <c r="AK365" s="366"/>
      <c r="AL365" s="366"/>
      <c r="AM365" s="607"/>
      <c r="AN365" s="366"/>
      <c r="AO365" s="366"/>
      <c r="AP365" s="366"/>
      <c r="AQ365" s="366"/>
      <c r="AR365" s="619"/>
      <c r="AS365" s="617"/>
    </row>
    <row r="366" spans="1:45" ht="15.75">
      <c r="A366" s="190"/>
      <c r="B366" s="366"/>
      <c r="C366" s="366"/>
      <c r="D366" s="596"/>
      <c r="E366" s="596"/>
      <c r="F366" s="366"/>
      <c r="G366" s="366"/>
      <c r="H366" s="366"/>
      <c r="I366" s="366"/>
      <c r="J366" s="366"/>
      <c r="K366" s="366"/>
      <c r="L366" s="366"/>
      <c r="M366" s="366"/>
      <c r="N366" s="366"/>
      <c r="O366" s="366"/>
      <c r="P366" s="611"/>
      <c r="Q366" s="614"/>
      <c r="R366" s="588"/>
      <c r="S366" s="188"/>
      <c r="T366" s="366"/>
      <c r="U366" s="366"/>
      <c r="V366" s="366"/>
      <c r="W366" s="366"/>
      <c r="X366" s="366"/>
      <c r="Y366" s="366"/>
      <c r="Z366" s="366"/>
      <c r="AA366" s="366"/>
      <c r="AB366" s="366"/>
      <c r="AC366" s="366"/>
      <c r="AD366" s="366"/>
      <c r="AE366" s="366"/>
      <c r="AF366" s="366"/>
      <c r="AG366" s="366"/>
      <c r="AH366" s="366"/>
      <c r="AI366" s="366"/>
      <c r="AJ366" s="366"/>
      <c r="AK366" s="366"/>
      <c r="AL366" s="366"/>
      <c r="AM366" s="607"/>
      <c r="AN366" s="366"/>
      <c r="AO366" s="366"/>
      <c r="AP366" s="366"/>
      <c r="AQ366" s="366"/>
      <c r="AR366" s="619"/>
      <c r="AS366" s="617"/>
    </row>
    <row r="367" spans="1:45" ht="15.75">
      <c r="A367" s="190"/>
      <c r="B367" s="366"/>
      <c r="C367" s="366"/>
      <c r="D367" s="596"/>
      <c r="E367" s="596"/>
      <c r="F367" s="366"/>
      <c r="G367" s="366"/>
      <c r="H367" s="366"/>
      <c r="I367" s="366"/>
      <c r="J367" s="366"/>
      <c r="K367" s="366"/>
      <c r="L367" s="366"/>
      <c r="M367" s="366"/>
      <c r="N367" s="366"/>
      <c r="O367" s="366"/>
      <c r="P367" s="611"/>
      <c r="Q367" s="614"/>
      <c r="R367" s="588"/>
      <c r="S367" s="188"/>
      <c r="T367" s="366"/>
      <c r="U367" s="366"/>
      <c r="V367" s="366"/>
      <c r="W367" s="366"/>
      <c r="X367" s="366"/>
      <c r="Y367" s="366"/>
      <c r="Z367" s="366"/>
      <c r="AA367" s="366"/>
      <c r="AB367" s="366"/>
      <c r="AC367" s="366"/>
      <c r="AD367" s="366"/>
      <c r="AE367" s="366"/>
      <c r="AF367" s="366"/>
      <c r="AG367" s="366"/>
      <c r="AH367" s="366"/>
      <c r="AI367" s="366"/>
      <c r="AJ367" s="366"/>
      <c r="AK367" s="366"/>
      <c r="AL367" s="366"/>
      <c r="AM367" s="607"/>
      <c r="AN367" s="366"/>
      <c r="AO367" s="366"/>
      <c r="AP367" s="366"/>
      <c r="AQ367" s="366"/>
      <c r="AR367" s="619"/>
      <c r="AS367" s="617"/>
    </row>
    <row r="368" spans="1:45" ht="15.75">
      <c r="A368" s="190"/>
      <c r="B368" s="366"/>
      <c r="C368" s="366"/>
      <c r="D368" s="596"/>
      <c r="E368" s="596"/>
      <c r="F368" s="366"/>
      <c r="G368" s="366"/>
      <c r="H368" s="366"/>
      <c r="I368" s="366"/>
      <c r="J368" s="366"/>
      <c r="K368" s="366"/>
      <c r="L368" s="366"/>
      <c r="M368" s="366"/>
      <c r="N368" s="366"/>
      <c r="O368" s="366"/>
      <c r="P368" s="611"/>
      <c r="Q368" s="614"/>
      <c r="R368" s="588"/>
      <c r="S368" s="188"/>
      <c r="T368" s="366"/>
      <c r="U368" s="366"/>
      <c r="V368" s="366"/>
      <c r="W368" s="366"/>
      <c r="X368" s="366"/>
      <c r="Y368" s="366"/>
      <c r="Z368" s="366"/>
      <c r="AA368" s="366"/>
      <c r="AB368" s="366"/>
      <c r="AC368" s="366"/>
      <c r="AD368" s="366"/>
      <c r="AE368" s="366"/>
      <c r="AF368" s="366"/>
      <c r="AG368" s="366"/>
      <c r="AH368" s="366"/>
      <c r="AI368" s="366"/>
      <c r="AJ368" s="366"/>
      <c r="AK368" s="366"/>
      <c r="AL368" s="366"/>
      <c r="AM368" s="607"/>
      <c r="AN368" s="366"/>
      <c r="AO368" s="366"/>
      <c r="AP368" s="366"/>
      <c r="AQ368" s="366"/>
      <c r="AR368" s="619"/>
      <c r="AS368" s="617"/>
    </row>
    <row r="369" spans="1:45" ht="15.75">
      <c r="A369" s="190"/>
      <c r="B369" s="366"/>
      <c r="C369" s="366"/>
      <c r="D369" s="596"/>
      <c r="E369" s="596"/>
      <c r="F369" s="366"/>
      <c r="G369" s="366"/>
      <c r="H369" s="366"/>
      <c r="I369" s="366"/>
      <c r="J369" s="366"/>
      <c r="K369" s="366"/>
      <c r="L369" s="366"/>
      <c r="M369" s="366"/>
      <c r="N369" s="366"/>
      <c r="O369" s="366"/>
      <c r="P369" s="611"/>
      <c r="Q369" s="614"/>
      <c r="R369" s="588"/>
      <c r="S369" s="188"/>
      <c r="T369" s="366"/>
      <c r="U369" s="366"/>
      <c r="V369" s="366"/>
      <c r="W369" s="366"/>
      <c r="X369" s="366"/>
      <c r="Y369" s="366"/>
      <c r="Z369" s="366"/>
      <c r="AA369" s="366"/>
      <c r="AB369" s="366"/>
      <c r="AC369" s="366"/>
      <c r="AD369" s="366"/>
      <c r="AE369" s="366"/>
      <c r="AF369" s="366"/>
      <c r="AG369" s="366"/>
      <c r="AH369" s="366"/>
      <c r="AI369" s="366"/>
      <c r="AJ369" s="366"/>
      <c r="AK369" s="366"/>
      <c r="AL369" s="366"/>
      <c r="AM369" s="607"/>
      <c r="AN369" s="366"/>
      <c r="AO369" s="366"/>
      <c r="AP369" s="366"/>
      <c r="AQ369" s="366"/>
      <c r="AR369" s="619"/>
      <c r="AS369" s="617"/>
    </row>
    <row r="370" spans="1:45" ht="15.75">
      <c r="A370" s="190"/>
      <c r="B370" s="366"/>
      <c r="C370" s="366"/>
      <c r="D370" s="596"/>
      <c r="E370" s="596"/>
      <c r="F370" s="366"/>
      <c r="G370" s="366"/>
      <c r="H370" s="366"/>
      <c r="I370" s="366"/>
      <c r="J370" s="366"/>
      <c r="K370" s="366"/>
      <c r="L370" s="366"/>
      <c r="M370" s="366"/>
      <c r="N370" s="366"/>
      <c r="O370" s="366"/>
      <c r="P370" s="611"/>
      <c r="Q370" s="614"/>
      <c r="R370" s="588"/>
      <c r="S370" s="188"/>
      <c r="T370" s="366"/>
      <c r="U370" s="366"/>
      <c r="V370" s="366"/>
      <c r="W370" s="366"/>
      <c r="X370" s="366"/>
      <c r="Y370" s="366"/>
      <c r="Z370" s="366"/>
      <c r="AA370" s="366"/>
      <c r="AB370" s="366"/>
      <c r="AC370" s="366"/>
      <c r="AD370" s="366"/>
      <c r="AE370" s="366"/>
      <c r="AF370" s="366"/>
      <c r="AG370" s="366"/>
      <c r="AH370" s="366"/>
      <c r="AI370" s="366"/>
      <c r="AJ370" s="366"/>
      <c r="AK370" s="366"/>
      <c r="AL370" s="366"/>
      <c r="AM370" s="607"/>
      <c r="AN370" s="366"/>
      <c r="AO370" s="366"/>
      <c r="AP370" s="366"/>
      <c r="AQ370" s="366"/>
      <c r="AR370" s="619"/>
      <c r="AS370" s="617"/>
    </row>
    <row r="371" spans="1:45" ht="15.75">
      <c r="A371" s="190"/>
      <c r="B371" s="366"/>
      <c r="C371" s="366"/>
      <c r="D371" s="596"/>
      <c r="E371" s="596"/>
      <c r="F371" s="366"/>
      <c r="G371" s="366"/>
      <c r="H371" s="366"/>
      <c r="I371" s="366"/>
      <c r="J371" s="366"/>
      <c r="K371" s="366"/>
      <c r="L371" s="366"/>
      <c r="M371" s="366"/>
      <c r="N371" s="366"/>
      <c r="O371" s="366"/>
      <c r="P371" s="611"/>
      <c r="Q371" s="614"/>
      <c r="R371" s="588"/>
      <c r="S371" s="188"/>
      <c r="T371" s="366"/>
      <c r="U371" s="366"/>
      <c r="V371" s="366"/>
      <c r="W371" s="366"/>
      <c r="X371" s="366"/>
      <c r="Y371" s="366"/>
      <c r="Z371" s="366"/>
      <c r="AA371" s="366"/>
      <c r="AB371" s="366"/>
      <c r="AC371" s="366"/>
      <c r="AD371" s="366"/>
      <c r="AE371" s="366"/>
      <c r="AF371" s="366"/>
      <c r="AG371" s="366"/>
      <c r="AH371" s="366"/>
      <c r="AI371" s="366"/>
      <c r="AJ371" s="366"/>
      <c r="AK371" s="366"/>
      <c r="AL371" s="366"/>
      <c r="AM371" s="607"/>
      <c r="AN371" s="366"/>
      <c r="AO371" s="366"/>
      <c r="AP371" s="366"/>
      <c r="AQ371" s="366"/>
      <c r="AR371" s="619"/>
      <c r="AS371" s="617"/>
    </row>
    <row r="372" spans="1:45" ht="15.75">
      <c r="A372" s="190"/>
      <c r="B372" s="366"/>
      <c r="C372" s="366"/>
      <c r="D372" s="596"/>
      <c r="E372" s="596"/>
      <c r="F372" s="366"/>
      <c r="G372" s="366"/>
      <c r="H372" s="366"/>
      <c r="I372" s="366"/>
      <c r="J372" s="366"/>
      <c r="K372" s="366"/>
      <c r="L372" s="366"/>
      <c r="M372" s="366"/>
      <c r="N372" s="366"/>
      <c r="O372" s="366"/>
      <c r="P372" s="611"/>
      <c r="Q372" s="614"/>
      <c r="R372" s="588"/>
      <c r="S372" s="188"/>
      <c r="T372" s="366"/>
      <c r="U372" s="366"/>
      <c r="V372" s="366"/>
      <c r="W372" s="366"/>
      <c r="X372" s="366"/>
      <c r="Y372" s="366"/>
      <c r="Z372" s="366"/>
      <c r="AA372" s="366"/>
      <c r="AB372" s="366"/>
      <c r="AC372" s="366"/>
      <c r="AD372" s="366"/>
      <c r="AE372" s="366"/>
      <c r="AF372" s="366"/>
      <c r="AG372" s="366"/>
      <c r="AH372" s="366"/>
      <c r="AI372" s="366"/>
      <c r="AJ372" s="366"/>
      <c r="AK372" s="366"/>
      <c r="AL372" s="366"/>
      <c r="AM372" s="607"/>
      <c r="AN372" s="366"/>
      <c r="AO372" s="366"/>
      <c r="AP372" s="366"/>
      <c r="AQ372" s="366"/>
      <c r="AR372" s="619"/>
      <c r="AS372" s="617"/>
    </row>
    <row r="373" spans="1:45" ht="15.75">
      <c r="A373" s="190"/>
      <c r="B373" s="366"/>
      <c r="C373" s="366"/>
      <c r="D373" s="596"/>
      <c r="E373" s="596"/>
      <c r="F373" s="366"/>
      <c r="G373" s="366"/>
      <c r="H373" s="366"/>
      <c r="I373" s="366"/>
      <c r="J373" s="366"/>
      <c r="K373" s="366"/>
      <c r="L373" s="366"/>
      <c r="M373" s="366"/>
      <c r="N373" s="366"/>
      <c r="O373" s="366"/>
      <c r="P373" s="611"/>
      <c r="Q373" s="614"/>
      <c r="R373" s="588"/>
      <c r="S373" s="188"/>
      <c r="T373" s="366"/>
      <c r="U373" s="366"/>
      <c r="V373" s="366"/>
      <c r="W373" s="366"/>
      <c r="X373" s="366"/>
      <c r="Y373" s="366"/>
      <c r="Z373" s="366"/>
      <c r="AA373" s="366"/>
      <c r="AB373" s="366"/>
      <c r="AC373" s="366"/>
      <c r="AD373" s="366"/>
      <c r="AE373" s="366"/>
      <c r="AF373" s="366"/>
      <c r="AG373" s="366"/>
      <c r="AH373" s="366"/>
      <c r="AI373" s="366"/>
      <c r="AJ373" s="366"/>
      <c r="AK373" s="366"/>
      <c r="AL373" s="366"/>
      <c r="AM373" s="607"/>
      <c r="AN373" s="366"/>
      <c r="AO373" s="366"/>
      <c r="AP373" s="366"/>
      <c r="AQ373" s="366"/>
      <c r="AR373" s="619"/>
      <c r="AS373" s="617"/>
    </row>
    <row r="374" spans="1:45" ht="15.75">
      <c r="A374" s="190"/>
      <c r="B374" s="366"/>
      <c r="C374" s="366"/>
      <c r="D374" s="596"/>
      <c r="E374" s="596"/>
      <c r="F374" s="366"/>
      <c r="G374" s="366"/>
      <c r="H374" s="366"/>
      <c r="I374" s="366"/>
      <c r="J374" s="366"/>
      <c r="K374" s="366"/>
      <c r="L374" s="366"/>
      <c r="M374" s="366"/>
      <c r="N374" s="366"/>
      <c r="O374" s="366"/>
      <c r="P374" s="611"/>
      <c r="Q374" s="614"/>
      <c r="R374" s="588"/>
      <c r="S374" s="188"/>
      <c r="T374" s="366"/>
      <c r="U374" s="366"/>
      <c r="V374" s="366"/>
      <c r="W374" s="366"/>
      <c r="X374" s="366"/>
      <c r="Y374" s="366"/>
      <c r="Z374" s="366"/>
      <c r="AA374" s="366"/>
      <c r="AB374" s="366"/>
      <c r="AC374" s="366"/>
      <c r="AD374" s="366"/>
      <c r="AE374" s="366"/>
      <c r="AF374" s="366"/>
      <c r="AG374" s="366"/>
      <c r="AH374" s="366"/>
      <c r="AI374" s="366"/>
      <c r="AJ374" s="366"/>
      <c r="AK374" s="366"/>
      <c r="AL374" s="366"/>
      <c r="AM374" s="607"/>
      <c r="AN374" s="366"/>
      <c r="AO374" s="366"/>
      <c r="AP374" s="366"/>
      <c r="AQ374" s="366"/>
      <c r="AR374" s="619"/>
      <c r="AS374" s="617"/>
    </row>
    <row r="375" spans="1:45" ht="15.75">
      <c r="A375" s="190"/>
      <c r="B375" s="366"/>
      <c r="C375" s="366"/>
      <c r="D375" s="596"/>
      <c r="E375" s="596"/>
      <c r="F375" s="366"/>
      <c r="G375" s="366"/>
      <c r="H375" s="366"/>
      <c r="I375" s="366"/>
      <c r="J375" s="366"/>
      <c r="K375" s="366"/>
      <c r="L375" s="366"/>
      <c r="M375" s="366"/>
      <c r="N375" s="366"/>
      <c r="O375" s="366"/>
      <c r="P375" s="611"/>
      <c r="Q375" s="614"/>
      <c r="R375" s="588"/>
      <c r="S375" s="188"/>
      <c r="T375" s="366"/>
      <c r="U375" s="366"/>
      <c r="V375" s="366"/>
      <c r="W375" s="366"/>
      <c r="X375" s="366"/>
      <c r="Y375" s="366"/>
      <c r="Z375" s="366"/>
      <c r="AA375" s="366"/>
      <c r="AB375" s="366"/>
      <c r="AC375" s="366"/>
      <c r="AD375" s="366"/>
      <c r="AE375" s="366"/>
      <c r="AF375" s="366"/>
      <c r="AG375" s="366"/>
      <c r="AH375" s="366"/>
      <c r="AI375" s="366"/>
      <c r="AJ375" s="366"/>
      <c r="AK375" s="366"/>
      <c r="AL375" s="366"/>
      <c r="AM375" s="607"/>
      <c r="AN375" s="366"/>
      <c r="AO375" s="366"/>
      <c r="AP375" s="366"/>
      <c r="AQ375" s="366"/>
      <c r="AR375" s="619"/>
      <c r="AS375" s="617"/>
    </row>
    <row r="376" spans="1:45" ht="15.75">
      <c r="A376" s="190"/>
      <c r="B376" s="366"/>
      <c r="C376" s="366"/>
      <c r="D376" s="596"/>
      <c r="E376" s="596"/>
      <c r="F376" s="366"/>
      <c r="G376" s="366"/>
      <c r="H376" s="366"/>
      <c r="I376" s="366"/>
      <c r="J376" s="366"/>
      <c r="K376" s="366"/>
      <c r="L376" s="366"/>
      <c r="M376" s="366"/>
      <c r="N376" s="366"/>
      <c r="O376" s="366"/>
      <c r="P376" s="611"/>
      <c r="Q376" s="614"/>
      <c r="R376" s="588"/>
      <c r="S376" s="188"/>
      <c r="T376" s="366"/>
      <c r="U376" s="366"/>
      <c r="V376" s="366"/>
      <c r="W376" s="366"/>
      <c r="X376" s="366"/>
      <c r="Y376" s="366"/>
      <c r="Z376" s="366"/>
      <c r="AA376" s="366"/>
      <c r="AB376" s="366"/>
      <c r="AC376" s="366"/>
      <c r="AD376" s="366"/>
      <c r="AE376" s="366"/>
      <c r="AF376" s="366"/>
      <c r="AG376" s="366"/>
      <c r="AH376" s="366"/>
      <c r="AI376" s="366"/>
      <c r="AJ376" s="366"/>
      <c r="AK376" s="366"/>
      <c r="AL376" s="366"/>
      <c r="AM376" s="607"/>
      <c r="AN376" s="366"/>
      <c r="AO376" s="366"/>
      <c r="AP376" s="366"/>
      <c r="AQ376" s="366"/>
      <c r="AR376" s="619"/>
      <c r="AS376" s="617"/>
    </row>
    <row r="377" spans="1:45" ht="15.75">
      <c r="A377" s="190"/>
      <c r="B377" s="366"/>
      <c r="C377" s="366"/>
      <c r="D377" s="596"/>
      <c r="E377" s="596"/>
      <c r="F377" s="366"/>
      <c r="G377" s="366"/>
      <c r="H377" s="366"/>
      <c r="I377" s="366"/>
      <c r="J377" s="366"/>
      <c r="K377" s="366"/>
      <c r="L377" s="366"/>
      <c r="M377" s="366"/>
      <c r="N377" s="366"/>
      <c r="O377" s="366"/>
      <c r="P377" s="611"/>
      <c r="Q377" s="614"/>
      <c r="R377" s="588"/>
      <c r="S377" s="188"/>
      <c r="T377" s="366"/>
      <c r="U377" s="366"/>
      <c r="V377" s="366"/>
      <c r="W377" s="366"/>
      <c r="X377" s="366"/>
      <c r="Y377" s="366"/>
      <c r="Z377" s="366"/>
      <c r="AA377" s="366"/>
      <c r="AB377" s="366"/>
      <c r="AC377" s="366"/>
      <c r="AD377" s="366"/>
      <c r="AE377" s="366"/>
      <c r="AF377" s="366"/>
      <c r="AG377" s="366"/>
      <c r="AH377" s="366"/>
      <c r="AI377" s="366"/>
      <c r="AJ377" s="366"/>
      <c r="AK377" s="366"/>
      <c r="AL377" s="366"/>
      <c r="AM377" s="607"/>
      <c r="AN377" s="366"/>
      <c r="AO377" s="366"/>
      <c r="AP377" s="366"/>
      <c r="AQ377" s="366"/>
      <c r="AR377" s="619"/>
      <c r="AS377" s="617"/>
    </row>
    <row r="378" spans="1:45" ht="15.75">
      <c r="A378" s="190"/>
      <c r="B378" s="366"/>
      <c r="C378" s="366"/>
      <c r="D378" s="596"/>
      <c r="E378" s="596"/>
      <c r="F378" s="366"/>
      <c r="G378" s="366"/>
      <c r="H378" s="366"/>
      <c r="I378" s="366"/>
      <c r="J378" s="366"/>
      <c r="K378" s="366"/>
      <c r="L378" s="366"/>
      <c r="M378" s="366"/>
      <c r="N378" s="366"/>
      <c r="O378" s="366"/>
      <c r="P378" s="611"/>
      <c r="Q378" s="614"/>
      <c r="R378" s="588"/>
      <c r="S378" s="188"/>
      <c r="T378" s="366"/>
      <c r="U378" s="366"/>
      <c r="V378" s="366"/>
      <c r="W378" s="366"/>
      <c r="X378" s="366"/>
      <c r="Y378" s="366"/>
      <c r="Z378" s="366"/>
      <c r="AA378" s="366"/>
      <c r="AB378" s="366"/>
      <c r="AC378" s="366"/>
      <c r="AD378" s="366"/>
      <c r="AE378" s="366"/>
      <c r="AF378" s="366"/>
      <c r="AG378" s="366"/>
      <c r="AH378" s="366"/>
      <c r="AI378" s="366"/>
      <c r="AJ378" s="366"/>
      <c r="AK378" s="366"/>
      <c r="AL378" s="366"/>
      <c r="AM378" s="607"/>
      <c r="AN378" s="366"/>
      <c r="AO378" s="366"/>
      <c r="AP378" s="366"/>
      <c r="AQ378" s="366"/>
      <c r="AR378" s="619"/>
      <c r="AS378" s="617"/>
    </row>
    <row r="379" spans="1:45" ht="15.75">
      <c r="A379" s="190"/>
      <c r="B379" s="366"/>
      <c r="C379" s="366"/>
      <c r="D379" s="596"/>
      <c r="E379" s="596"/>
      <c r="F379" s="366"/>
      <c r="G379" s="366"/>
      <c r="H379" s="366"/>
      <c r="I379" s="366"/>
      <c r="J379" s="366"/>
      <c r="K379" s="366"/>
      <c r="L379" s="366"/>
      <c r="M379" s="366"/>
      <c r="N379" s="366"/>
      <c r="O379" s="366"/>
      <c r="P379" s="611"/>
      <c r="Q379" s="614"/>
      <c r="R379" s="588"/>
      <c r="S379" s="188"/>
      <c r="T379" s="366"/>
      <c r="U379" s="366"/>
      <c r="V379" s="366"/>
      <c r="W379" s="366"/>
      <c r="X379" s="366"/>
      <c r="Y379" s="366"/>
      <c r="Z379" s="366"/>
      <c r="AA379" s="366"/>
      <c r="AB379" s="366"/>
      <c r="AC379" s="366"/>
      <c r="AD379" s="366"/>
      <c r="AE379" s="366"/>
      <c r="AF379" s="366"/>
      <c r="AG379" s="366"/>
      <c r="AH379" s="366"/>
      <c r="AI379" s="366"/>
      <c r="AJ379" s="366"/>
      <c r="AK379" s="366"/>
      <c r="AL379" s="366"/>
      <c r="AM379" s="607"/>
      <c r="AN379" s="366"/>
      <c r="AO379" s="366"/>
      <c r="AP379" s="366"/>
      <c r="AQ379" s="366"/>
      <c r="AR379" s="619"/>
      <c r="AS379" s="617"/>
    </row>
    <row r="380" spans="1:45" ht="15.75">
      <c r="A380" s="190"/>
      <c r="B380" s="366"/>
      <c r="C380" s="366"/>
      <c r="D380" s="596"/>
      <c r="E380" s="596"/>
      <c r="F380" s="366"/>
      <c r="G380" s="366"/>
      <c r="H380" s="366"/>
      <c r="I380" s="366"/>
      <c r="J380" s="366"/>
      <c r="K380" s="366"/>
      <c r="L380" s="366"/>
      <c r="M380" s="366"/>
      <c r="N380" s="366"/>
      <c r="O380" s="366"/>
      <c r="P380" s="611"/>
      <c r="Q380" s="614"/>
      <c r="R380" s="588"/>
      <c r="S380" s="188"/>
      <c r="T380" s="366"/>
      <c r="U380" s="366"/>
      <c r="V380" s="366"/>
      <c r="W380" s="366"/>
      <c r="X380" s="366"/>
      <c r="Y380" s="366"/>
      <c r="Z380" s="366"/>
      <c r="AA380" s="366"/>
      <c r="AB380" s="366"/>
      <c r="AC380" s="366"/>
      <c r="AD380" s="366"/>
      <c r="AE380" s="366"/>
      <c r="AF380" s="366"/>
      <c r="AG380" s="366"/>
      <c r="AH380" s="366"/>
      <c r="AI380" s="366"/>
      <c r="AJ380" s="366"/>
      <c r="AK380" s="366"/>
      <c r="AL380" s="366"/>
      <c r="AM380" s="607"/>
      <c r="AN380" s="366"/>
      <c r="AO380" s="366"/>
      <c r="AP380" s="366"/>
      <c r="AQ380" s="366"/>
      <c r="AR380" s="619"/>
      <c r="AS380" s="617"/>
    </row>
    <row r="381" spans="1:45" ht="15.75">
      <c r="A381" s="190"/>
      <c r="B381" s="366"/>
      <c r="C381" s="366"/>
      <c r="D381" s="596"/>
      <c r="E381" s="596"/>
      <c r="F381" s="366"/>
      <c r="G381" s="366"/>
      <c r="H381" s="366"/>
      <c r="I381" s="366"/>
      <c r="J381" s="366"/>
      <c r="K381" s="366"/>
      <c r="L381" s="366"/>
      <c r="M381" s="366"/>
      <c r="N381" s="366"/>
      <c r="O381" s="366"/>
      <c r="P381" s="611"/>
      <c r="Q381" s="614"/>
      <c r="R381" s="588"/>
      <c r="S381" s="188"/>
      <c r="T381" s="366"/>
      <c r="U381" s="366"/>
      <c r="V381" s="366"/>
      <c r="W381" s="366"/>
      <c r="X381" s="366"/>
      <c r="Y381" s="366"/>
      <c r="Z381" s="366"/>
      <c r="AA381" s="366"/>
      <c r="AB381" s="366"/>
      <c r="AC381" s="366"/>
      <c r="AD381" s="366"/>
      <c r="AE381" s="366"/>
      <c r="AF381" s="366"/>
      <c r="AG381" s="366"/>
      <c r="AH381" s="366"/>
      <c r="AI381" s="366"/>
      <c r="AJ381" s="366"/>
      <c r="AK381" s="366"/>
      <c r="AL381" s="366"/>
      <c r="AM381" s="607"/>
      <c r="AN381" s="366"/>
      <c r="AO381" s="366"/>
      <c r="AP381" s="366"/>
      <c r="AQ381" s="366"/>
      <c r="AR381" s="619"/>
      <c r="AS381" s="617"/>
    </row>
    <row r="382" spans="1:45" ht="15.75">
      <c r="A382" s="190"/>
      <c r="B382" s="366"/>
      <c r="C382" s="366"/>
      <c r="D382" s="596"/>
      <c r="E382" s="596"/>
      <c r="F382" s="366"/>
      <c r="G382" s="366"/>
      <c r="H382" s="366"/>
      <c r="I382" s="366"/>
      <c r="J382" s="366"/>
      <c r="K382" s="366"/>
      <c r="L382" s="366"/>
      <c r="M382" s="366"/>
      <c r="N382" s="366"/>
      <c r="O382" s="366"/>
      <c r="P382" s="611"/>
      <c r="Q382" s="614"/>
      <c r="R382" s="588"/>
      <c r="S382" s="188"/>
      <c r="T382" s="366"/>
      <c r="U382" s="366"/>
      <c r="V382" s="366"/>
      <c r="W382" s="366"/>
      <c r="X382" s="366"/>
      <c r="Y382" s="366"/>
      <c r="Z382" s="366"/>
      <c r="AA382" s="366"/>
      <c r="AB382" s="366"/>
      <c r="AC382" s="366"/>
      <c r="AD382" s="366"/>
      <c r="AE382" s="366"/>
      <c r="AF382" s="366"/>
      <c r="AG382" s="366"/>
      <c r="AH382" s="366"/>
      <c r="AI382" s="366"/>
      <c r="AJ382" s="366"/>
      <c r="AK382" s="366"/>
      <c r="AL382" s="366"/>
      <c r="AM382" s="607"/>
      <c r="AN382" s="366"/>
      <c r="AO382" s="366"/>
      <c r="AP382" s="366"/>
      <c r="AQ382" s="366"/>
      <c r="AR382" s="619"/>
      <c r="AS382" s="617"/>
    </row>
    <row r="383" spans="1:45" ht="15.75">
      <c r="A383" s="190"/>
      <c r="B383" s="366"/>
      <c r="C383" s="366"/>
      <c r="D383" s="596"/>
      <c r="E383" s="596"/>
      <c r="F383" s="366"/>
      <c r="G383" s="366"/>
      <c r="H383" s="366"/>
      <c r="I383" s="366"/>
      <c r="J383" s="366"/>
      <c r="K383" s="366"/>
      <c r="L383" s="366"/>
      <c r="M383" s="366"/>
      <c r="N383" s="366"/>
      <c r="O383" s="366"/>
      <c r="P383" s="611"/>
      <c r="Q383" s="614"/>
      <c r="R383" s="588"/>
      <c r="S383" s="188"/>
      <c r="T383" s="366"/>
      <c r="U383" s="366"/>
      <c r="V383" s="366"/>
      <c r="W383" s="366"/>
      <c r="X383" s="366"/>
      <c r="Y383" s="366"/>
      <c r="Z383" s="366"/>
      <c r="AA383" s="366"/>
      <c r="AB383" s="366"/>
      <c r="AC383" s="366"/>
      <c r="AD383" s="366"/>
      <c r="AE383" s="366"/>
      <c r="AF383" s="366"/>
      <c r="AG383" s="366"/>
      <c r="AH383" s="366"/>
      <c r="AI383" s="366"/>
      <c r="AJ383" s="366"/>
      <c r="AK383" s="366"/>
      <c r="AL383" s="366"/>
      <c r="AM383" s="607"/>
      <c r="AN383" s="366"/>
      <c r="AO383" s="366"/>
      <c r="AP383" s="366"/>
      <c r="AQ383" s="366"/>
      <c r="AR383" s="619"/>
      <c r="AS383" s="617"/>
    </row>
    <row r="384" spans="1:45" ht="15.75">
      <c r="A384" s="190"/>
      <c r="B384" s="366"/>
      <c r="C384" s="366"/>
      <c r="D384" s="596"/>
      <c r="E384" s="596"/>
      <c r="F384" s="366"/>
      <c r="G384" s="366"/>
      <c r="H384" s="366"/>
      <c r="I384" s="366"/>
      <c r="J384" s="366"/>
      <c r="K384" s="366"/>
      <c r="L384" s="366"/>
      <c r="M384" s="366"/>
      <c r="N384" s="366"/>
      <c r="O384" s="366"/>
      <c r="P384" s="611"/>
      <c r="Q384" s="614"/>
      <c r="R384" s="588"/>
      <c r="S384" s="188"/>
      <c r="T384" s="366"/>
      <c r="U384" s="366"/>
      <c r="V384" s="366"/>
      <c r="W384" s="366"/>
      <c r="X384" s="366"/>
      <c r="Y384" s="366"/>
      <c r="Z384" s="366"/>
      <c r="AA384" s="366"/>
      <c r="AB384" s="366"/>
      <c r="AC384" s="366"/>
      <c r="AD384" s="366"/>
      <c r="AE384" s="366"/>
      <c r="AF384" s="366"/>
      <c r="AG384" s="366"/>
      <c r="AH384" s="366"/>
      <c r="AI384" s="366"/>
      <c r="AJ384" s="366"/>
      <c r="AK384" s="366"/>
      <c r="AL384" s="366"/>
      <c r="AM384" s="607"/>
      <c r="AN384" s="366"/>
      <c r="AO384" s="366"/>
      <c r="AP384" s="366"/>
      <c r="AQ384" s="366"/>
      <c r="AR384" s="619"/>
      <c r="AS384" s="617"/>
    </row>
    <row r="385" spans="1:45" ht="15.75">
      <c r="A385" s="190"/>
      <c r="B385" s="366"/>
      <c r="C385" s="366"/>
      <c r="D385" s="596"/>
      <c r="E385" s="596"/>
      <c r="F385" s="366"/>
      <c r="G385" s="366"/>
      <c r="H385" s="366"/>
      <c r="I385" s="366"/>
      <c r="J385" s="366"/>
      <c r="K385" s="366"/>
      <c r="L385" s="366"/>
      <c r="M385" s="366"/>
      <c r="N385" s="366"/>
      <c r="O385" s="366"/>
      <c r="P385" s="611"/>
      <c r="Q385" s="614"/>
      <c r="R385" s="588"/>
      <c r="S385" s="188"/>
      <c r="T385" s="366"/>
      <c r="U385" s="366"/>
      <c r="V385" s="366"/>
      <c r="W385" s="366"/>
      <c r="X385" s="366"/>
      <c r="Y385" s="366"/>
      <c r="Z385" s="366"/>
      <c r="AA385" s="366"/>
      <c r="AB385" s="366"/>
      <c r="AC385" s="366"/>
      <c r="AD385" s="366"/>
      <c r="AE385" s="366"/>
      <c r="AF385" s="366"/>
      <c r="AG385" s="366"/>
      <c r="AH385" s="366"/>
      <c r="AI385" s="366"/>
      <c r="AJ385" s="366"/>
      <c r="AK385" s="366"/>
      <c r="AL385" s="366"/>
      <c r="AM385" s="607"/>
      <c r="AN385" s="366"/>
      <c r="AO385" s="366"/>
      <c r="AP385" s="366"/>
      <c r="AQ385" s="366"/>
      <c r="AR385" s="619"/>
      <c r="AS385" s="617"/>
    </row>
    <row r="386" spans="1:45" ht="15.75">
      <c r="A386" s="190"/>
      <c r="B386" s="366"/>
      <c r="C386" s="366"/>
      <c r="D386" s="596"/>
      <c r="E386" s="596"/>
      <c r="F386" s="366"/>
      <c r="G386" s="366"/>
      <c r="H386" s="366"/>
      <c r="I386" s="366"/>
      <c r="J386" s="366"/>
      <c r="K386" s="366"/>
      <c r="L386" s="366"/>
      <c r="M386" s="366"/>
      <c r="N386" s="366"/>
      <c r="O386" s="366"/>
      <c r="P386" s="611"/>
      <c r="Q386" s="614"/>
      <c r="R386" s="588"/>
      <c r="S386" s="188"/>
      <c r="T386" s="366"/>
      <c r="U386" s="366"/>
      <c r="V386" s="366"/>
      <c r="W386" s="366"/>
      <c r="X386" s="366"/>
      <c r="Y386" s="366"/>
      <c r="Z386" s="366"/>
      <c r="AA386" s="366"/>
      <c r="AB386" s="366"/>
      <c r="AC386" s="366"/>
      <c r="AD386" s="366"/>
      <c r="AE386" s="366"/>
      <c r="AF386" s="366"/>
      <c r="AG386" s="366"/>
      <c r="AH386" s="366"/>
      <c r="AI386" s="366"/>
      <c r="AJ386" s="366"/>
      <c r="AK386" s="366"/>
      <c r="AL386" s="366"/>
      <c r="AM386" s="607"/>
      <c r="AN386" s="366"/>
      <c r="AO386" s="366"/>
      <c r="AP386" s="366"/>
      <c r="AQ386" s="366"/>
      <c r="AR386" s="619"/>
      <c r="AS386" s="617"/>
    </row>
    <row r="387" spans="1:45" ht="15.75">
      <c r="A387" s="190"/>
      <c r="B387" s="366"/>
      <c r="C387" s="366"/>
      <c r="D387" s="596"/>
      <c r="E387" s="596"/>
      <c r="F387" s="366"/>
      <c r="G387" s="366"/>
      <c r="H387" s="366"/>
      <c r="I387" s="366"/>
      <c r="J387" s="366"/>
      <c r="K387" s="366"/>
      <c r="L387" s="366"/>
      <c r="M387" s="366"/>
      <c r="N387" s="366"/>
      <c r="O387" s="366"/>
      <c r="P387" s="611"/>
      <c r="Q387" s="614"/>
      <c r="R387" s="588"/>
      <c r="S387" s="188"/>
      <c r="T387" s="366"/>
      <c r="U387" s="366"/>
      <c r="V387" s="366"/>
      <c r="W387" s="366"/>
      <c r="X387" s="366"/>
      <c r="Y387" s="366"/>
      <c r="Z387" s="366"/>
      <c r="AA387" s="366"/>
      <c r="AB387" s="366"/>
      <c r="AC387" s="366"/>
      <c r="AD387" s="366"/>
      <c r="AE387" s="366"/>
      <c r="AF387" s="366"/>
      <c r="AG387" s="366"/>
      <c r="AH387" s="366"/>
      <c r="AI387" s="366"/>
      <c r="AJ387" s="366"/>
      <c r="AK387" s="366"/>
      <c r="AL387" s="366"/>
      <c r="AM387" s="607"/>
      <c r="AN387" s="366"/>
      <c r="AO387" s="366"/>
      <c r="AP387" s="366"/>
      <c r="AQ387" s="366"/>
      <c r="AR387" s="619"/>
      <c r="AS387" s="617"/>
    </row>
    <row r="388" spans="1:45" ht="15.75">
      <c r="A388" s="190"/>
      <c r="B388" s="366"/>
      <c r="C388" s="366"/>
      <c r="D388" s="596"/>
      <c r="E388" s="596"/>
      <c r="F388" s="366"/>
      <c r="G388" s="366"/>
      <c r="H388" s="366"/>
      <c r="I388" s="366"/>
      <c r="J388" s="366"/>
      <c r="K388" s="366"/>
      <c r="L388" s="366"/>
      <c r="M388" s="366"/>
      <c r="N388" s="366"/>
      <c r="O388" s="366"/>
      <c r="P388" s="611"/>
      <c r="Q388" s="614"/>
      <c r="R388" s="588"/>
      <c r="S388" s="188"/>
      <c r="T388" s="366"/>
      <c r="U388" s="366"/>
      <c r="V388" s="366"/>
      <c r="W388" s="366"/>
      <c r="X388" s="366"/>
      <c r="Y388" s="366"/>
      <c r="Z388" s="366"/>
      <c r="AA388" s="366"/>
      <c r="AB388" s="366"/>
      <c r="AC388" s="366"/>
      <c r="AD388" s="366"/>
      <c r="AE388" s="366"/>
      <c r="AF388" s="366"/>
      <c r="AG388" s="366"/>
      <c r="AH388" s="366"/>
      <c r="AI388" s="366"/>
      <c r="AJ388" s="366"/>
      <c r="AK388" s="366"/>
      <c r="AL388" s="366"/>
      <c r="AM388" s="607"/>
      <c r="AN388" s="366"/>
      <c r="AO388" s="366"/>
      <c r="AP388" s="366"/>
      <c r="AQ388" s="366"/>
      <c r="AR388" s="619"/>
      <c r="AS388" s="617"/>
    </row>
    <row r="389" spans="1:45" ht="15.75">
      <c r="A389" s="190"/>
      <c r="B389" s="366"/>
      <c r="C389" s="366"/>
      <c r="D389" s="596"/>
      <c r="E389" s="596"/>
      <c r="F389" s="366"/>
      <c r="G389" s="366"/>
      <c r="H389" s="366"/>
      <c r="I389" s="366"/>
      <c r="J389" s="366"/>
      <c r="K389" s="366"/>
      <c r="L389" s="366"/>
      <c r="M389" s="366"/>
      <c r="N389" s="366"/>
      <c r="O389" s="366"/>
      <c r="P389" s="611"/>
      <c r="Q389" s="614"/>
      <c r="R389" s="588"/>
      <c r="S389" s="188"/>
      <c r="T389" s="366"/>
      <c r="U389" s="366"/>
      <c r="V389" s="366"/>
      <c r="W389" s="366"/>
      <c r="X389" s="366"/>
      <c r="Y389" s="366"/>
      <c r="Z389" s="366"/>
      <c r="AA389" s="366"/>
      <c r="AB389" s="366"/>
      <c r="AC389" s="366"/>
      <c r="AD389" s="366"/>
      <c r="AE389" s="366"/>
      <c r="AF389" s="366"/>
      <c r="AG389" s="366"/>
      <c r="AH389" s="366"/>
      <c r="AI389" s="366"/>
      <c r="AJ389" s="366"/>
      <c r="AK389" s="366"/>
      <c r="AL389" s="366"/>
      <c r="AM389" s="607"/>
      <c r="AN389" s="366"/>
      <c r="AO389" s="366"/>
      <c r="AP389" s="366"/>
      <c r="AQ389" s="366"/>
      <c r="AR389" s="619"/>
      <c r="AS389" s="617"/>
    </row>
    <row r="390" spans="1:45" ht="15.75">
      <c r="A390" s="190"/>
      <c r="B390" s="366"/>
      <c r="C390" s="366"/>
      <c r="D390" s="596"/>
      <c r="E390" s="596"/>
      <c r="F390" s="366"/>
      <c r="G390" s="366"/>
      <c r="H390" s="366"/>
      <c r="I390" s="366"/>
      <c r="J390" s="366"/>
      <c r="K390" s="366"/>
      <c r="L390" s="366"/>
      <c r="M390" s="366"/>
      <c r="N390" s="366"/>
      <c r="O390" s="366"/>
      <c r="P390" s="611"/>
      <c r="Q390" s="614"/>
      <c r="R390" s="588"/>
      <c r="S390" s="188"/>
      <c r="T390" s="366"/>
      <c r="U390" s="366"/>
      <c r="V390" s="366"/>
      <c r="W390" s="366"/>
      <c r="X390" s="366"/>
      <c r="Y390" s="366"/>
      <c r="Z390" s="366"/>
      <c r="AA390" s="366"/>
      <c r="AB390" s="366"/>
      <c r="AC390" s="366"/>
      <c r="AD390" s="366"/>
      <c r="AE390" s="366"/>
      <c r="AF390" s="366"/>
      <c r="AG390" s="366"/>
      <c r="AH390" s="366"/>
      <c r="AI390" s="366"/>
      <c r="AJ390" s="366"/>
      <c r="AK390" s="366"/>
      <c r="AL390" s="366"/>
      <c r="AM390" s="607"/>
      <c r="AN390" s="366"/>
      <c r="AO390" s="366"/>
      <c r="AP390" s="366"/>
      <c r="AQ390" s="366"/>
      <c r="AR390" s="619"/>
      <c r="AS390" s="617"/>
    </row>
    <row r="391" spans="1:45" ht="15.75">
      <c r="A391" s="190"/>
      <c r="B391" s="366"/>
      <c r="C391" s="366"/>
      <c r="D391" s="596"/>
      <c r="E391" s="596"/>
      <c r="F391" s="366"/>
      <c r="G391" s="366"/>
      <c r="H391" s="366"/>
      <c r="I391" s="366"/>
      <c r="J391" s="366"/>
      <c r="K391" s="366"/>
      <c r="L391" s="366"/>
      <c r="M391" s="366"/>
      <c r="N391" s="366"/>
      <c r="O391" s="366"/>
      <c r="P391" s="611"/>
      <c r="Q391" s="614"/>
      <c r="R391" s="588"/>
      <c r="S391" s="188"/>
      <c r="T391" s="366"/>
      <c r="U391" s="366"/>
      <c r="V391" s="366"/>
      <c r="W391" s="366"/>
      <c r="X391" s="366"/>
      <c r="Y391" s="366"/>
      <c r="Z391" s="366"/>
      <c r="AA391" s="366"/>
      <c r="AB391" s="366"/>
      <c r="AC391" s="366"/>
      <c r="AD391" s="366"/>
      <c r="AE391" s="366"/>
      <c r="AF391" s="366"/>
      <c r="AG391" s="366"/>
      <c r="AH391" s="366"/>
      <c r="AI391" s="366"/>
      <c r="AJ391" s="366"/>
      <c r="AK391" s="366"/>
      <c r="AL391" s="366"/>
      <c r="AM391" s="607"/>
      <c r="AN391" s="366"/>
      <c r="AO391" s="366"/>
      <c r="AP391" s="366"/>
      <c r="AQ391" s="366"/>
      <c r="AR391" s="619"/>
      <c r="AS391" s="617"/>
    </row>
    <row r="392" spans="1:45" ht="15.75">
      <c r="A392" s="190"/>
      <c r="B392" s="366"/>
      <c r="C392" s="366"/>
      <c r="D392" s="596"/>
      <c r="E392" s="596"/>
      <c r="F392" s="366"/>
      <c r="G392" s="366"/>
      <c r="H392" s="366"/>
      <c r="I392" s="366"/>
      <c r="J392" s="366"/>
      <c r="K392" s="366"/>
      <c r="L392" s="366"/>
      <c r="M392" s="366"/>
      <c r="N392" s="366"/>
      <c r="O392" s="366"/>
      <c r="P392" s="611"/>
      <c r="Q392" s="614"/>
      <c r="R392" s="588"/>
      <c r="S392" s="188"/>
      <c r="T392" s="366"/>
      <c r="U392" s="366"/>
      <c r="V392" s="366"/>
      <c r="W392" s="366"/>
      <c r="X392" s="366"/>
      <c r="Y392" s="366"/>
      <c r="Z392" s="366"/>
      <c r="AA392" s="366"/>
      <c r="AB392" s="366"/>
      <c r="AC392" s="366"/>
      <c r="AD392" s="366"/>
      <c r="AE392" s="366"/>
      <c r="AF392" s="366"/>
      <c r="AG392" s="366"/>
      <c r="AH392" s="366"/>
      <c r="AI392" s="366"/>
      <c r="AJ392" s="366"/>
      <c r="AK392" s="366"/>
      <c r="AL392" s="366"/>
      <c r="AM392" s="607"/>
      <c r="AN392" s="366"/>
      <c r="AO392" s="366"/>
      <c r="AP392" s="366"/>
      <c r="AQ392" s="366"/>
      <c r="AR392" s="619"/>
      <c r="AS392" s="617"/>
    </row>
    <row r="393" spans="1:45" ht="15.75">
      <c r="A393" s="190"/>
      <c r="B393" s="366"/>
      <c r="C393" s="366"/>
      <c r="D393" s="596"/>
      <c r="E393" s="596"/>
      <c r="F393" s="366"/>
      <c r="G393" s="366"/>
      <c r="H393" s="366"/>
      <c r="I393" s="366"/>
      <c r="J393" s="366"/>
      <c r="K393" s="366"/>
      <c r="L393" s="366"/>
      <c r="M393" s="366"/>
      <c r="N393" s="366"/>
      <c r="O393" s="366"/>
      <c r="P393" s="611"/>
      <c r="Q393" s="614"/>
      <c r="R393" s="588"/>
      <c r="S393" s="188"/>
      <c r="T393" s="366"/>
      <c r="U393" s="366"/>
      <c r="V393" s="366"/>
      <c r="W393" s="366"/>
      <c r="X393" s="366"/>
      <c r="Y393" s="366"/>
      <c r="Z393" s="366"/>
      <c r="AA393" s="366"/>
      <c r="AB393" s="366"/>
      <c r="AC393" s="366"/>
      <c r="AD393" s="366"/>
      <c r="AE393" s="366"/>
      <c r="AF393" s="366"/>
      <c r="AG393" s="366"/>
      <c r="AH393" s="366"/>
      <c r="AI393" s="366"/>
      <c r="AJ393" s="366"/>
      <c r="AK393" s="366"/>
      <c r="AL393" s="366"/>
      <c r="AM393" s="607"/>
      <c r="AN393" s="366"/>
      <c r="AO393" s="366"/>
      <c r="AP393" s="366"/>
      <c r="AQ393" s="366"/>
      <c r="AR393" s="619"/>
      <c r="AS393" s="617"/>
    </row>
    <row r="394" spans="1:45" ht="15.75">
      <c r="A394" s="190"/>
      <c r="B394" s="366"/>
      <c r="C394" s="366"/>
      <c r="D394" s="596"/>
      <c r="E394" s="596"/>
      <c r="F394" s="366"/>
      <c r="G394" s="366"/>
      <c r="H394" s="366"/>
      <c r="I394" s="366"/>
      <c r="J394" s="366"/>
      <c r="K394" s="366"/>
      <c r="L394" s="366"/>
      <c r="M394" s="366"/>
      <c r="N394" s="366"/>
      <c r="O394" s="366"/>
      <c r="P394" s="611"/>
      <c r="Q394" s="614"/>
      <c r="R394" s="588"/>
      <c r="S394" s="188"/>
      <c r="T394" s="366"/>
      <c r="U394" s="366"/>
      <c r="V394" s="366"/>
      <c r="W394" s="366"/>
      <c r="X394" s="366"/>
      <c r="Y394" s="366"/>
      <c r="Z394" s="366"/>
      <c r="AA394" s="366"/>
      <c r="AB394" s="366"/>
      <c r="AC394" s="366"/>
      <c r="AD394" s="366"/>
      <c r="AE394" s="366"/>
      <c r="AF394" s="366"/>
      <c r="AG394" s="366"/>
      <c r="AH394" s="366"/>
      <c r="AI394" s="366"/>
      <c r="AJ394" s="366"/>
      <c r="AK394" s="366"/>
      <c r="AL394" s="366"/>
      <c r="AM394" s="607"/>
      <c r="AN394" s="366"/>
      <c r="AO394" s="366"/>
      <c r="AP394" s="366"/>
      <c r="AQ394" s="366"/>
      <c r="AR394" s="619"/>
      <c r="AS394" s="617"/>
    </row>
    <row r="395" spans="1:45" ht="15.75">
      <c r="A395" s="190"/>
      <c r="B395" s="366"/>
      <c r="C395" s="366"/>
      <c r="D395" s="596"/>
      <c r="E395" s="596"/>
      <c r="F395" s="366"/>
      <c r="G395" s="366"/>
      <c r="H395" s="366"/>
      <c r="I395" s="366"/>
      <c r="J395" s="366"/>
      <c r="K395" s="366"/>
      <c r="L395" s="366"/>
      <c r="M395" s="366"/>
      <c r="N395" s="366"/>
      <c r="O395" s="366"/>
      <c r="P395" s="611"/>
      <c r="Q395" s="614"/>
      <c r="R395" s="588"/>
      <c r="S395" s="188"/>
      <c r="T395" s="366"/>
      <c r="U395" s="366"/>
      <c r="V395" s="366"/>
      <c r="W395" s="366"/>
      <c r="X395" s="366"/>
      <c r="Y395" s="366"/>
      <c r="Z395" s="366"/>
      <c r="AA395" s="366"/>
      <c r="AB395" s="366"/>
      <c r="AC395" s="366"/>
      <c r="AD395" s="366"/>
      <c r="AE395" s="366"/>
      <c r="AF395" s="366"/>
      <c r="AG395" s="366"/>
      <c r="AH395" s="366"/>
      <c r="AI395" s="366"/>
      <c r="AJ395" s="366"/>
      <c r="AK395" s="366"/>
      <c r="AL395" s="366"/>
      <c r="AM395" s="607"/>
      <c r="AN395" s="366"/>
      <c r="AO395" s="366"/>
      <c r="AP395" s="366"/>
      <c r="AQ395" s="366"/>
      <c r="AR395" s="619"/>
      <c r="AS395" s="617"/>
    </row>
    <row r="396" spans="1:45" ht="15.75">
      <c r="A396" s="190"/>
      <c r="B396" s="366"/>
      <c r="C396" s="366"/>
      <c r="D396" s="596"/>
      <c r="E396" s="596"/>
      <c r="F396" s="366"/>
      <c r="G396" s="366"/>
      <c r="H396" s="366"/>
      <c r="I396" s="366"/>
      <c r="J396" s="366"/>
      <c r="K396" s="366"/>
      <c r="L396" s="366"/>
      <c r="M396" s="366"/>
      <c r="N396" s="366"/>
      <c r="O396" s="366"/>
      <c r="P396" s="611"/>
      <c r="Q396" s="614"/>
      <c r="R396" s="588"/>
      <c r="S396" s="188"/>
      <c r="T396" s="366"/>
      <c r="U396" s="366"/>
      <c r="V396" s="366"/>
      <c r="W396" s="366"/>
      <c r="X396" s="366"/>
      <c r="Y396" s="366"/>
      <c r="Z396" s="366"/>
      <c r="AA396" s="366"/>
      <c r="AB396" s="366"/>
      <c r="AC396" s="366"/>
      <c r="AD396" s="366"/>
      <c r="AE396" s="366"/>
      <c r="AF396" s="366"/>
      <c r="AG396" s="366"/>
      <c r="AH396" s="366"/>
      <c r="AI396" s="366"/>
      <c r="AJ396" s="366"/>
      <c r="AK396" s="366"/>
      <c r="AL396" s="366"/>
      <c r="AM396" s="607"/>
      <c r="AN396" s="366"/>
      <c r="AO396" s="366"/>
      <c r="AP396" s="366"/>
      <c r="AQ396" s="366"/>
      <c r="AR396" s="619"/>
      <c r="AS396" s="617"/>
    </row>
    <row r="397" spans="1:45" ht="15.75">
      <c r="A397" s="190"/>
      <c r="B397" s="366"/>
      <c r="C397" s="366"/>
      <c r="D397" s="596"/>
      <c r="E397" s="596"/>
      <c r="F397" s="366"/>
      <c r="G397" s="366"/>
      <c r="H397" s="366"/>
      <c r="I397" s="366"/>
      <c r="J397" s="366"/>
      <c r="K397" s="366"/>
      <c r="L397" s="366"/>
      <c r="M397" s="366"/>
      <c r="N397" s="366"/>
      <c r="O397" s="366"/>
      <c r="P397" s="611"/>
      <c r="Q397" s="614"/>
      <c r="R397" s="588"/>
      <c r="S397" s="188"/>
      <c r="T397" s="366"/>
      <c r="U397" s="366"/>
      <c r="V397" s="366"/>
      <c r="W397" s="366"/>
      <c r="X397" s="366"/>
      <c r="Y397" s="366"/>
      <c r="Z397" s="366"/>
      <c r="AA397" s="366"/>
      <c r="AB397" s="366"/>
      <c r="AC397" s="366"/>
      <c r="AD397" s="366"/>
      <c r="AE397" s="366"/>
      <c r="AF397" s="366"/>
      <c r="AG397" s="366"/>
      <c r="AH397" s="366"/>
      <c r="AI397" s="366"/>
      <c r="AJ397" s="366"/>
      <c r="AK397" s="366"/>
      <c r="AL397" s="366"/>
      <c r="AM397" s="607"/>
      <c r="AN397" s="366"/>
      <c r="AO397" s="366"/>
      <c r="AP397" s="366"/>
      <c r="AQ397" s="366"/>
      <c r="AR397" s="619"/>
      <c r="AS397" s="617"/>
    </row>
    <row r="398" spans="1:45" ht="15.75">
      <c r="A398" s="190"/>
      <c r="B398" s="366"/>
      <c r="C398" s="366"/>
      <c r="D398" s="596"/>
      <c r="E398" s="596"/>
      <c r="F398" s="366"/>
      <c r="G398" s="366"/>
      <c r="H398" s="366"/>
      <c r="I398" s="366"/>
      <c r="J398" s="366"/>
      <c r="K398" s="366"/>
      <c r="L398" s="366"/>
      <c r="M398" s="366"/>
      <c r="N398" s="366"/>
      <c r="O398" s="366"/>
      <c r="P398" s="611"/>
      <c r="Q398" s="614"/>
      <c r="R398" s="588"/>
      <c r="S398" s="188"/>
      <c r="T398" s="366"/>
      <c r="U398" s="366"/>
      <c r="V398" s="366"/>
      <c r="W398" s="366"/>
      <c r="X398" s="366"/>
      <c r="Y398" s="366"/>
      <c r="Z398" s="366"/>
      <c r="AA398" s="366"/>
      <c r="AB398" s="366"/>
      <c r="AC398" s="366"/>
      <c r="AD398" s="366"/>
      <c r="AE398" s="366"/>
      <c r="AF398" s="366"/>
      <c r="AG398" s="366"/>
      <c r="AH398" s="366"/>
      <c r="AI398" s="366"/>
      <c r="AJ398" s="366"/>
      <c r="AK398" s="366"/>
      <c r="AL398" s="366"/>
      <c r="AM398" s="607"/>
      <c r="AN398" s="366"/>
      <c r="AO398" s="366"/>
      <c r="AP398" s="366"/>
      <c r="AQ398" s="366"/>
      <c r="AR398" s="619"/>
      <c r="AS398" s="617"/>
    </row>
    <row r="399" spans="1:45" ht="15.75">
      <c r="A399" s="190"/>
      <c r="B399" s="366"/>
      <c r="C399" s="366"/>
      <c r="D399" s="596"/>
      <c r="E399" s="596"/>
      <c r="F399" s="366"/>
      <c r="G399" s="366"/>
      <c r="H399" s="366"/>
      <c r="I399" s="366"/>
      <c r="J399" s="366"/>
      <c r="K399" s="366"/>
      <c r="L399" s="366"/>
      <c r="M399" s="366"/>
      <c r="N399" s="366"/>
      <c r="O399" s="366"/>
      <c r="P399" s="611"/>
      <c r="Q399" s="614"/>
      <c r="R399" s="588"/>
      <c r="S399" s="188"/>
      <c r="T399" s="366"/>
      <c r="U399" s="366"/>
      <c r="V399" s="366"/>
      <c r="W399" s="366"/>
      <c r="X399" s="366"/>
      <c r="Y399" s="366"/>
      <c r="Z399" s="366"/>
      <c r="AA399" s="366"/>
      <c r="AB399" s="366"/>
      <c r="AC399" s="366"/>
      <c r="AD399" s="366"/>
      <c r="AE399" s="366"/>
      <c r="AF399" s="366"/>
      <c r="AG399" s="366"/>
      <c r="AH399" s="366"/>
      <c r="AI399" s="366"/>
      <c r="AJ399" s="366"/>
      <c r="AK399" s="366"/>
      <c r="AL399" s="366"/>
      <c r="AM399" s="607"/>
      <c r="AN399" s="366"/>
      <c r="AO399" s="366"/>
      <c r="AP399" s="366"/>
      <c r="AQ399" s="366"/>
      <c r="AR399" s="619"/>
      <c r="AS399" s="617"/>
    </row>
    <row r="400" spans="1:45" ht="15.75">
      <c r="A400" s="190"/>
      <c r="B400" s="366"/>
      <c r="C400" s="366"/>
      <c r="D400" s="596"/>
      <c r="E400" s="596"/>
      <c r="F400" s="366"/>
      <c r="G400" s="366"/>
      <c r="H400" s="366"/>
      <c r="I400" s="366"/>
      <c r="J400" s="366"/>
      <c r="K400" s="366"/>
      <c r="L400" s="366"/>
      <c r="M400" s="366"/>
      <c r="N400" s="366"/>
      <c r="O400" s="366"/>
      <c r="P400" s="611"/>
      <c r="Q400" s="614"/>
      <c r="R400" s="588"/>
      <c r="S400" s="188"/>
      <c r="T400" s="366"/>
      <c r="U400" s="366"/>
      <c r="V400" s="366"/>
      <c r="W400" s="366"/>
      <c r="X400" s="366"/>
      <c r="Y400" s="366"/>
      <c r="Z400" s="366"/>
      <c r="AA400" s="366"/>
      <c r="AB400" s="366"/>
      <c r="AC400" s="366"/>
      <c r="AD400" s="366"/>
      <c r="AE400" s="366"/>
      <c r="AF400" s="366"/>
      <c r="AG400" s="366"/>
      <c r="AH400" s="366"/>
      <c r="AI400" s="366"/>
      <c r="AJ400" s="366"/>
      <c r="AK400" s="366"/>
      <c r="AL400" s="366"/>
      <c r="AM400" s="607"/>
      <c r="AN400" s="366"/>
      <c r="AO400" s="366"/>
      <c r="AP400" s="366"/>
      <c r="AQ400" s="366"/>
      <c r="AR400" s="619"/>
      <c r="AS400" s="617"/>
    </row>
    <row r="401" spans="1:45" ht="15.75">
      <c r="A401" s="190"/>
      <c r="B401" s="366"/>
      <c r="C401" s="366"/>
      <c r="D401" s="596"/>
      <c r="E401" s="596"/>
      <c r="F401" s="366"/>
      <c r="G401" s="366"/>
      <c r="H401" s="366"/>
      <c r="I401" s="366"/>
      <c r="J401" s="366"/>
      <c r="K401" s="366"/>
      <c r="L401" s="366"/>
      <c r="M401" s="366"/>
      <c r="N401" s="366"/>
      <c r="O401" s="366"/>
      <c r="P401" s="611"/>
      <c r="Q401" s="614"/>
      <c r="R401" s="588"/>
      <c r="S401" s="188"/>
      <c r="T401" s="366"/>
      <c r="U401" s="366"/>
      <c r="V401" s="366"/>
      <c r="W401" s="366"/>
      <c r="X401" s="366"/>
      <c r="Y401" s="366"/>
      <c r="Z401" s="366"/>
      <c r="AA401" s="366"/>
      <c r="AB401" s="366"/>
      <c r="AC401" s="366"/>
      <c r="AD401" s="366"/>
      <c r="AE401" s="366"/>
      <c r="AF401" s="366"/>
      <c r="AG401" s="366"/>
      <c r="AH401" s="366"/>
      <c r="AI401" s="366"/>
      <c r="AJ401" s="366"/>
      <c r="AK401" s="366"/>
      <c r="AL401" s="366"/>
      <c r="AM401" s="607"/>
      <c r="AN401" s="366"/>
      <c r="AO401" s="366"/>
      <c r="AP401" s="366"/>
      <c r="AQ401" s="366"/>
      <c r="AR401" s="619"/>
      <c r="AS401" s="617"/>
    </row>
    <row r="402" spans="1:45" ht="15.75">
      <c r="A402" s="190"/>
      <c r="B402" s="366"/>
      <c r="C402" s="366"/>
      <c r="D402" s="596"/>
      <c r="E402" s="596"/>
      <c r="F402" s="366"/>
      <c r="G402" s="366"/>
      <c r="H402" s="366"/>
      <c r="I402" s="366"/>
      <c r="J402" s="366"/>
      <c r="K402" s="366"/>
      <c r="L402" s="366"/>
      <c r="M402" s="366"/>
      <c r="N402" s="366"/>
      <c r="O402" s="366"/>
      <c r="P402" s="611"/>
      <c r="Q402" s="614"/>
      <c r="R402" s="588"/>
      <c r="S402" s="188"/>
      <c r="T402" s="366"/>
      <c r="U402" s="366"/>
      <c r="V402" s="366"/>
      <c r="W402" s="366"/>
      <c r="X402" s="366"/>
      <c r="Y402" s="366"/>
      <c r="Z402" s="366"/>
      <c r="AA402" s="366"/>
      <c r="AB402" s="366"/>
      <c r="AC402" s="366"/>
      <c r="AD402" s="366"/>
      <c r="AE402" s="366"/>
      <c r="AF402" s="366"/>
      <c r="AG402" s="366"/>
      <c r="AH402" s="366"/>
      <c r="AI402" s="366"/>
      <c r="AJ402" s="366"/>
      <c r="AK402" s="366"/>
      <c r="AL402" s="366"/>
      <c r="AM402" s="607"/>
      <c r="AN402" s="366"/>
      <c r="AO402" s="366"/>
      <c r="AP402" s="366"/>
      <c r="AQ402" s="366"/>
      <c r="AR402" s="619"/>
      <c r="AS402" s="617"/>
    </row>
    <row r="403" spans="1:45" ht="15.75">
      <c r="A403" s="190"/>
      <c r="B403" s="366"/>
      <c r="C403" s="366"/>
      <c r="D403" s="596"/>
      <c r="E403" s="596"/>
      <c r="F403" s="366"/>
      <c r="G403" s="366"/>
      <c r="H403" s="366"/>
      <c r="I403" s="366"/>
      <c r="J403" s="366"/>
      <c r="K403" s="366"/>
      <c r="L403" s="366"/>
      <c r="M403" s="366"/>
      <c r="N403" s="366"/>
      <c r="O403" s="366"/>
      <c r="P403" s="611"/>
      <c r="Q403" s="614"/>
      <c r="R403" s="588"/>
      <c r="S403" s="188"/>
      <c r="T403" s="366"/>
      <c r="U403" s="366"/>
      <c r="V403" s="366"/>
      <c r="W403" s="366"/>
      <c r="X403" s="366"/>
      <c r="Y403" s="366"/>
      <c r="Z403" s="366"/>
      <c r="AA403" s="366"/>
      <c r="AB403" s="366"/>
      <c r="AC403" s="366"/>
      <c r="AD403" s="366"/>
      <c r="AE403" s="366"/>
      <c r="AF403" s="366"/>
      <c r="AG403" s="366"/>
      <c r="AH403" s="366"/>
      <c r="AI403" s="366"/>
      <c r="AJ403" s="366"/>
      <c r="AK403" s="366"/>
      <c r="AL403" s="366"/>
      <c r="AM403" s="607"/>
      <c r="AN403" s="366"/>
      <c r="AO403" s="366"/>
      <c r="AP403" s="366"/>
      <c r="AQ403" s="366"/>
      <c r="AR403" s="619"/>
      <c r="AS403" s="617"/>
    </row>
    <row r="404" spans="1:45" ht="15.75">
      <c r="A404" s="190"/>
      <c r="B404" s="366"/>
      <c r="C404" s="366"/>
      <c r="D404" s="596"/>
      <c r="E404" s="596"/>
      <c r="F404" s="366"/>
      <c r="G404" s="366"/>
      <c r="H404" s="366"/>
      <c r="I404" s="366"/>
      <c r="J404" s="366"/>
      <c r="K404" s="366"/>
      <c r="L404" s="366"/>
      <c r="M404" s="366"/>
      <c r="N404" s="366"/>
      <c r="O404" s="366"/>
      <c r="P404" s="611"/>
      <c r="Q404" s="614"/>
      <c r="R404" s="588"/>
      <c r="S404" s="188"/>
      <c r="T404" s="366"/>
      <c r="U404" s="366"/>
      <c r="V404" s="366"/>
      <c r="W404" s="366"/>
      <c r="X404" s="366"/>
      <c r="Y404" s="366"/>
      <c r="Z404" s="366"/>
      <c r="AA404" s="366"/>
      <c r="AB404" s="366"/>
      <c r="AC404" s="366"/>
      <c r="AD404" s="366"/>
      <c r="AE404" s="366"/>
      <c r="AF404" s="366"/>
      <c r="AG404" s="366"/>
      <c r="AH404" s="366"/>
      <c r="AI404" s="366"/>
      <c r="AJ404" s="366"/>
      <c r="AK404" s="366"/>
      <c r="AL404" s="366"/>
      <c r="AM404" s="607"/>
      <c r="AN404" s="366"/>
      <c r="AO404" s="366"/>
      <c r="AP404" s="366"/>
      <c r="AQ404" s="366"/>
      <c r="AR404" s="619"/>
      <c r="AS404" s="617"/>
    </row>
    <row r="405" spans="1:45" ht="15.75">
      <c r="A405" s="190"/>
      <c r="B405" s="366"/>
      <c r="C405" s="366"/>
      <c r="D405" s="596"/>
      <c r="E405" s="596"/>
      <c r="F405" s="366"/>
      <c r="G405" s="366"/>
      <c r="H405" s="366"/>
      <c r="I405" s="366"/>
      <c r="J405" s="366"/>
      <c r="K405" s="366"/>
      <c r="L405" s="366"/>
      <c r="M405" s="366"/>
      <c r="N405" s="366"/>
      <c r="O405" s="366"/>
      <c r="P405" s="611"/>
      <c r="Q405" s="614"/>
      <c r="R405" s="588"/>
      <c r="S405" s="188"/>
      <c r="T405" s="366"/>
      <c r="U405" s="366"/>
      <c r="V405" s="366"/>
      <c r="W405" s="366"/>
      <c r="X405" s="366"/>
      <c r="Y405" s="366"/>
      <c r="Z405" s="366"/>
      <c r="AA405" s="366"/>
      <c r="AB405" s="366"/>
      <c r="AC405" s="366"/>
      <c r="AD405" s="366"/>
      <c r="AE405" s="366"/>
      <c r="AF405" s="366"/>
      <c r="AG405" s="366"/>
      <c r="AH405" s="366"/>
      <c r="AI405" s="366"/>
      <c r="AJ405" s="366"/>
      <c r="AK405" s="366"/>
      <c r="AL405" s="366"/>
      <c r="AM405" s="607"/>
      <c r="AN405" s="366"/>
      <c r="AO405" s="366"/>
      <c r="AP405" s="366"/>
      <c r="AQ405" s="366"/>
      <c r="AR405" s="619"/>
      <c r="AS405" s="617"/>
    </row>
    <row r="406" spans="1:45" ht="15.75">
      <c r="A406" s="190"/>
      <c r="B406" s="366"/>
      <c r="C406" s="366"/>
      <c r="D406" s="596"/>
      <c r="E406" s="596"/>
      <c r="F406" s="366"/>
      <c r="G406" s="366"/>
      <c r="H406" s="366"/>
      <c r="I406" s="366"/>
      <c r="J406" s="366"/>
      <c r="K406" s="366"/>
      <c r="L406" s="366"/>
      <c r="M406" s="366"/>
      <c r="N406" s="366"/>
      <c r="O406" s="366"/>
      <c r="P406" s="611"/>
      <c r="Q406" s="614"/>
      <c r="R406" s="588"/>
      <c r="S406" s="188"/>
      <c r="T406" s="366"/>
      <c r="U406" s="366"/>
      <c r="V406" s="366"/>
      <c r="W406" s="366"/>
      <c r="X406" s="366"/>
      <c r="Y406" s="366"/>
      <c r="Z406" s="366"/>
      <c r="AA406" s="366"/>
      <c r="AB406" s="366"/>
      <c r="AC406" s="366"/>
      <c r="AD406" s="366"/>
      <c r="AE406" s="366"/>
      <c r="AF406" s="366"/>
      <c r="AG406" s="366"/>
      <c r="AH406" s="366"/>
      <c r="AI406" s="366"/>
      <c r="AJ406" s="366"/>
      <c r="AK406" s="366"/>
      <c r="AL406" s="366"/>
      <c r="AM406" s="607"/>
      <c r="AN406" s="366"/>
      <c r="AO406" s="366"/>
      <c r="AP406" s="366"/>
      <c r="AQ406" s="366"/>
      <c r="AR406" s="619"/>
      <c r="AS406" s="617"/>
    </row>
    <row r="407" spans="1:45" ht="15.75">
      <c r="A407" s="190"/>
      <c r="B407" s="366"/>
      <c r="C407" s="366"/>
      <c r="D407" s="596"/>
      <c r="E407" s="596"/>
      <c r="F407" s="366"/>
      <c r="G407" s="366"/>
      <c r="H407" s="366"/>
      <c r="I407" s="366"/>
      <c r="J407" s="366"/>
      <c r="K407" s="366"/>
      <c r="L407" s="366"/>
      <c r="M407" s="366"/>
      <c r="N407" s="366"/>
      <c r="O407" s="366"/>
      <c r="P407" s="611"/>
      <c r="Q407" s="614"/>
      <c r="R407" s="588"/>
      <c r="S407" s="188"/>
      <c r="T407" s="366"/>
      <c r="U407" s="366"/>
      <c r="V407" s="366"/>
      <c r="W407" s="366"/>
      <c r="X407" s="366"/>
      <c r="Y407" s="366"/>
      <c r="Z407" s="366"/>
      <c r="AA407" s="366"/>
      <c r="AB407" s="366"/>
      <c r="AC407" s="366"/>
      <c r="AD407" s="366"/>
      <c r="AE407" s="366"/>
      <c r="AF407" s="366"/>
      <c r="AG407" s="366"/>
      <c r="AH407" s="366"/>
      <c r="AI407" s="366"/>
      <c r="AJ407" s="366"/>
      <c r="AK407" s="366"/>
      <c r="AL407" s="366"/>
      <c r="AM407" s="607"/>
      <c r="AN407" s="366"/>
      <c r="AO407" s="366"/>
      <c r="AP407" s="366"/>
      <c r="AQ407" s="366"/>
      <c r="AR407" s="619"/>
      <c r="AS407" s="617"/>
    </row>
    <row r="408" spans="1:45" ht="15.75">
      <c r="A408" s="190"/>
      <c r="B408" s="366"/>
      <c r="C408" s="366"/>
      <c r="D408" s="596"/>
      <c r="E408" s="596"/>
      <c r="F408" s="366"/>
      <c r="G408" s="366"/>
      <c r="H408" s="366"/>
      <c r="I408" s="366"/>
      <c r="J408" s="366"/>
      <c r="K408" s="366"/>
      <c r="L408" s="366"/>
      <c r="M408" s="366"/>
      <c r="N408" s="366"/>
      <c r="O408" s="366"/>
      <c r="P408" s="611"/>
      <c r="Q408" s="614"/>
      <c r="R408" s="588"/>
      <c r="S408" s="188"/>
      <c r="T408" s="366"/>
      <c r="U408" s="366"/>
      <c r="V408" s="366"/>
      <c r="W408" s="366"/>
      <c r="X408" s="366"/>
      <c r="Y408" s="366"/>
      <c r="Z408" s="366"/>
      <c r="AA408" s="366"/>
      <c r="AB408" s="366"/>
      <c r="AC408" s="366"/>
      <c r="AD408" s="366"/>
      <c r="AE408" s="366"/>
      <c r="AF408" s="366"/>
      <c r="AG408" s="366"/>
      <c r="AH408" s="366"/>
      <c r="AI408" s="366"/>
      <c r="AJ408" s="366"/>
      <c r="AK408" s="366"/>
      <c r="AL408" s="366"/>
      <c r="AM408" s="607"/>
      <c r="AN408" s="366"/>
      <c r="AO408" s="366"/>
      <c r="AP408" s="366"/>
      <c r="AQ408" s="366"/>
      <c r="AR408" s="619"/>
      <c r="AS408" s="617"/>
    </row>
    <row r="409" spans="1:45" ht="15.75">
      <c r="A409" s="190"/>
      <c r="B409" s="366"/>
      <c r="C409" s="366"/>
      <c r="D409" s="596"/>
      <c r="E409" s="596"/>
      <c r="F409" s="366"/>
      <c r="G409" s="366"/>
      <c r="H409" s="366"/>
      <c r="I409" s="366"/>
      <c r="J409" s="366"/>
      <c r="K409" s="366"/>
      <c r="L409" s="366"/>
      <c r="M409" s="366"/>
      <c r="N409" s="366"/>
      <c r="O409" s="366"/>
      <c r="P409" s="611"/>
      <c r="Q409" s="614"/>
      <c r="R409" s="588"/>
      <c r="S409" s="188"/>
      <c r="T409" s="366"/>
      <c r="U409" s="366"/>
      <c r="V409" s="366"/>
      <c r="W409" s="366"/>
      <c r="X409" s="366"/>
      <c r="Y409" s="366"/>
      <c r="Z409" s="366"/>
      <c r="AA409" s="366"/>
      <c r="AB409" s="366"/>
      <c r="AC409" s="366"/>
      <c r="AD409" s="366"/>
      <c r="AE409" s="366"/>
      <c r="AF409" s="366"/>
      <c r="AG409" s="366"/>
      <c r="AH409" s="366"/>
      <c r="AI409" s="366"/>
      <c r="AJ409" s="366"/>
      <c r="AK409" s="366"/>
      <c r="AL409" s="366"/>
      <c r="AM409" s="607"/>
      <c r="AN409" s="366"/>
      <c r="AO409" s="366"/>
      <c r="AP409" s="366"/>
      <c r="AQ409" s="366"/>
      <c r="AR409" s="619"/>
      <c r="AS409" s="617"/>
    </row>
    <row r="410" spans="1:45" ht="15.75">
      <c r="A410" s="190"/>
      <c r="B410" s="366"/>
      <c r="C410" s="366"/>
      <c r="D410" s="596"/>
      <c r="E410" s="596"/>
      <c r="F410" s="366"/>
      <c r="G410" s="366"/>
      <c r="H410" s="366"/>
      <c r="I410" s="366"/>
      <c r="J410" s="366"/>
      <c r="K410" s="366"/>
      <c r="L410" s="366"/>
      <c r="M410" s="366"/>
      <c r="N410" s="366"/>
      <c r="O410" s="366"/>
      <c r="P410" s="611"/>
      <c r="Q410" s="614"/>
      <c r="R410" s="588"/>
      <c r="S410" s="188"/>
      <c r="T410" s="366"/>
      <c r="U410" s="366"/>
      <c r="V410" s="366"/>
      <c r="W410" s="366"/>
      <c r="X410" s="366"/>
      <c r="Y410" s="366"/>
      <c r="Z410" s="366"/>
      <c r="AA410" s="366"/>
      <c r="AB410" s="366"/>
      <c r="AC410" s="366"/>
      <c r="AD410" s="366"/>
      <c r="AE410" s="366"/>
      <c r="AF410" s="366"/>
      <c r="AG410" s="366"/>
      <c r="AH410" s="366"/>
      <c r="AI410" s="366"/>
      <c r="AJ410" s="366"/>
      <c r="AK410" s="366"/>
      <c r="AL410" s="366"/>
      <c r="AM410" s="607"/>
      <c r="AN410" s="366"/>
      <c r="AO410" s="366"/>
      <c r="AP410" s="366"/>
      <c r="AQ410" s="366"/>
      <c r="AR410" s="619"/>
      <c r="AS410" s="617"/>
    </row>
    <row r="411" spans="1:45" ht="15.75">
      <c r="A411" s="190"/>
      <c r="B411" s="366"/>
      <c r="C411" s="366"/>
      <c r="D411" s="596"/>
      <c r="E411" s="596"/>
      <c r="F411" s="366"/>
      <c r="G411" s="366"/>
      <c r="H411" s="366"/>
      <c r="I411" s="366"/>
      <c r="J411" s="366"/>
      <c r="K411" s="366"/>
      <c r="L411" s="366"/>
      <c r="M411" s="366"/>
      <c r="N411" s="366"/>
      <c r="O411" s="366"/>
      <c r="P411" s="611"/>
      <c r="Q411" s="614"/>
      <c r="R411" s="588"/>
      <c r="S411" s="188"/>
      <c r="T411" s="366"/>
      <c r="U411" s="366"/>
      <c r="V411" s="366"/>
      <c r="W411" s="366"/>
      <c r="X411" s="366"/>
      <c r="Y411" s="366"/>
      <c r="Z411" s="366"/>
      <c r="AA411" s="366"/>
      <c r="AB411" s="366"/>
      <c r="AC411" s="366"/>
      <c r="AD411" s="366"/>
      <c r="AE411" s="366"/>
      <c r="AF411" s="366"/>
      <c r="AG411" s="366"/>
      <c r="AH411" s="366"/>
      <c r="AI411" s="366"/>
      <c r="AJ411" s="366"/>
      <c r="AK411" s="366"/>
      <c r="AL411" s="366"/>
      <c r="AM411" s="607"/>
      <c r="AN411" s="366"/>
      <c r="AO411" s="366"/>
      <c r="AP411" s="366"/>
      <c r="AQ411" s="366"/>
      <c r="AR411" s="619"/>
      <c r="AS411" s="617"/>
    </row>
    <row r="412" spans="1:45" ht="15.75">
      <c r="A412" s="190"/>
      <c r="B412" s="366"/>
      <c r="C412" s="366"/>
      <c r="D412" s="596"/>
      <c r="E412" s="596"/>
      <c r="F412" s="366"/>
      <c r="G412" s="366"/>
      <c r="H412" s="366"/>
      <c r="I412" s="366"/>
      <c r="J412" s="366"/>
      <c r="K412" s="366"/>
      <c r="L412" s="366"/>
      <c r="M412" s="366"/>
      <c r="N412" s="366"/>
      <c r="O412" s="366"/>
      <c r="P412" s="611"/>
      <c r="Q412" s="614"/>
      <c r="R412" s="588"/>
      <c r="S412" s="188"/>
      <c r="T412" s="366"/>
      <c r="U412" s="366"/>
      <c r="V412" s="366"/>
      <c r="W412" s="366"/>
      <c r="X412" s="366"/>
      <c r="Y412" s="366"/>
      <c r="Z412" s="366"/>
      <c r="AA412" s="366"/>
      <c r="AB412" s="366"/>
      <c r="AC412" s="366"/>
      <c r="AD412" s="366"/>
      <c r="AE412" s="366"/>
      <c r="AF412" s="366"/>
      <c r="AG412" s="366"/>
      <c r="AH412" s="366"/>
      <c r="AI412" s="366"/>
      <c r="AJ412" s="366"/>
      <c r="AK412" s="366"/>
      <c r="AL412" s="366"/>
      <c r="AM412" s="607"/>
      <c r="AN412" s="366"/>
      <c r="AO412" s="366"/>
      <c r="AP412" s="366"/>
      <c r="AQ412" s="366"/>
      <c r="AR412" s="619"/>
      <c r="AS412" s="617"/>
    </row>
    <row r="413" spans="1:45" ht="15.75">
      <c r="A413" s="190"/>
      <c r="B413" s="366"/>
      <c r="C413" s="366"/>
      <c r="D413" s="596"/>
      <c r="E413" s="596"/>
      <c r="F413" s="366"/>
      <c r="G413" s="366"/>
      <c r="H413" s="366"/>
      <c r="I413" s="366"/>
      <c r="J413" s="366"/>
      <c r="K413" s="366"/>
      <c r="L413" s="366"/>
      <c r="M413" s="366"/>
      <c r="N413" s="366"/>
      <c r="O413" s="366"/>
      <c r="P413" s="611"/>
      <c r="Q413" s="614"/>
      <c r="R413" s="588"/>
      <c r="S413" s="188"/>
      <c r="T413" s="366"/>
      <c r="U413" s="366"/>
      <c r="V413" s="366"/>
      <c r="W413" s="366"/>
      <c r="X413" s="366"/>
      <c r="Y413" s="366"/>
      <c r="Z413" s="366"/>
      <c r="AA413" s="366"/>
      <c r="AB413" s="366"/>
      <c r="AC413" s="366"/>
      <c r="AD413" s="366"/>
      <c r="AE413" s="366"/>
      <c r="AF413" s="366"/>
      <c r="AG413" s="366"/>
      <c r="AH413" s="366"/>
      <c r="AI413" s="366"/>
      <c r="AJ413" s="366"/>
      <c r="AK413" s="366"/>
      <c r="AL413" s="366"/>
      <c r="AM413" s="607"/>
      <c r="AN413" s="366"/>
      <c r="AO413" s="366"/>
      <c r="AP413" s="366"/>
      <c r="AQ413" s="366"/>
      <c r="AR413" s="619"/>
      <c r="AS413" s="617"/>
    </row>
    <row r="414" spans="1:45" ht="15.75">
      <c r="A414" s="190"/>
      <c r="B414" s="366"/>
      <c r="C414" s="366"/>
      <c r="D414" s="596"/>
      <c r="E414" s="596"/>
      <c r="F414" s="366"/>
      <c r="G414" s="366"/>
      <c r="H414" s="366"/>
      <c r="I414" s="366"/>
      <c r="J414" s="366"/>
      <c r="K414" s="366"/>
      <c r="L414" s="366"/>
      <c r="M414" s="366"/>
      <c r="N414" s="366"/>
      <c r="O414" s="366"/>
      <c r="P414" s="611"/>
      <c r="Q414" s="614"/>
      <c r="R414" s="588"/>
      <c r="S414" s="188"/>
      <c r="T414" s="366"/>
      <c r="U414" s="366"/>
      <c r="V414" s="366"/>
      <c r="W414" s="366"/>
      <c r="X414" s="366"/>
      <c r="Y414" s="366"/>
      <c r="Z414" s="366"/>
      <c r="AA414" s="366"/>
      <c r="AB414" s="366"/>
      <c r="AC414" s="366"/>
      <c r="AD414" s="366"/>
      <c r="AE414" s="366"/>
      <c r="AF414" s="366"/>
      <c r="AG414" s="366"/>
      <c r="AH414" s="366"/>
      <c r="AI414" s="366"/>
      <c r="AJ414" s="366"/>
      <c r="AK414" s="366"/>
      <c r="AL414" s="366"/>
      <c r="AM414" s="607"/>
      <c r="AN414" s="366"/>
      <c r="AO414" s="366"/>
      <c r="AP414" s="366"/>
      <c r="AQ414" s="366"/>
      <c r="AR414" s="619"/>
      <c r="AS414" s="617"/>
    </row>
    <row r="415" spans="1:45" ht="15.75">
      <c r="A415" s="190"/>
      <c r="B415" s="366"/>
      <c r="C415" s="366"/>
      <c r="D415" s="596"/>
      <c r="E415" s="596"/>
      <c r="F415" s="366"/>
      <c r="G415" s="366"/>
      <c r="H415" s="366"/>
      <c r="I415" s="366"/>
      <c r="J415" s="366"/>
      <c r="K415" s="366"/>
      <c r="L415" s="366"/>
      <c r="M415" s="366"/>
      <c r="N415" s="366"/>
      <c r="O415" s="366"/>
      <c r="P415" s="611"/>
      <c r="Q415" s="614"/>
      <c r="R415" s="588"/>
      <c r="S415" s="188"/>
      <c r="T415" s="366"/>
      <c r="U415" s="366"/>
      <c r="V415" s="366"/>
      <c r="W415" s="366"/>
      <c r="X415" s="366"/>
      <c r="Y415" s="366"/>
      <c r="Z415" s="366"/>
      <c r="AA415" s="366"/>
      <c r="AB415" s="366"/>
      <c r="AC415" s="366"/>
      <c r="AD415" s="366"/>
      <c r="AE415" s="366"/>
      <c r="AF415" s="366"/>
      <c r="AG415" s="366"/>
      <c r="AH415" s="366"/>
      <c r="AI415" s="366"/>
      <c r="AJ415" s="366"/>
      <c r="AK415" s="366"/>
      <c r="AL415" s="366"/>
      <c r="AM415" s="607"/>
      <c r="AN415" s="366"/>
      <c r="AO415" s="366"/>
      <c r="AP415" s="366"/>
      <c r="AQ415" s="366"/>
      <c r="AR415" s="619"/>
      <c r="AS415" s="617"/>
    </row>
    <row r="416" spans="1:45" ht="15.75">
      <c r="A416" s="190"/>
      <c r="B416" s="366"/>
      <c r="C416" s="366"/>
      <c r="D416" s="596"/>
      <c r="E416" s="596"/>
      <c r="F416" s="366"/>
      <c r="G416" s="366"/>
      <c r="H416" s="366"/>
      <c r="I416" s="366"/>
      <c r="J416" s="366"/>
      <c r="K416" s="366"/>
      <c r="L416" s="366"/>
      <c r="M416" s="366"/>
      <c r="N416" s="366"/>
      <c r="O416" s="366"/>
      <c r="P416" s="611"/>
      <c r="Q416" s="614"/>
      <c r="R416" s="588"/>
      <c r="S416" s="188"/>
      <c r="T416" s="366"/>
      <c r="U416" s="366"/>
      <c r="V416" s="366"/>
      <c r="W416" s="366"/>
      <c r="X416" s="366"/>
      <c r="Y416" s="366"/>
      <c r="Z416" s="366"/>
      <c r="AA416" s="366"/>
      <c r="AB416" s="366"/>
      <c r="AC416" s="366"/>
      <c r="AD416" s="366"/>
      <c r="AE416" s="366"/>
      <c r="AF416" s="366"/>
      <c r="AG416" s="366"/>
      <c r="AH416" s="366"/>
      <c r="AI416" s="366"/>
      <c r="AJ416" s="366"/>
      <c r="AK416" s="366"/>
      <c r="AL416" s="366"/>
      <c r="AM416" s="607"/>
      <c r="AN416" s="366"/>
      <c r="AO416" s="366"/>
      <c r="AP416" s="366"/>
      <c r="AQ416" s="366"/>
      <c r="AR416" s="619"/>
      <c r="AS416" s="617"/>
    </row>
    <row r="417" spans="1:45" ht="15.75">
      <c r="A417" s="190"/>
      <c r="B417" s="366"/>
      <c r="C417" s="366"/>
      <c r="D417" s="596"/>
      <c r="E417" s="596"/>
      <c r="F417" s="366"/>
      <c r="G417" s="366"/>
      <c r="H417" s="366"/>
      <c r="I417" s="366"/>
      <c r="J417" s="366"/>
      <c r="K417" s="366"/>
      <c r="L417" s="366"/>
      <c r="M417" s="366"/>
      <c r="N417" s="366"/>
      <c r="O417" s="366"/>
      <c r="P417" s="611"/>
      <c r="Q417" s="614"/>
      <c r="R417" s="588"/>
      <c r="S417" s="188"/>
      <c r="T417" s="366"/>
      <c r="U417" s="366"/>
      <c r="V417" s="366"/>
      <c r="W417" s="366"/>
      <c r="X417" s="366"/>
      <c r="Y417" s="366"/>
      <c r="Z417" s="366"/>
      <c r="AA417" s="366"/>
      <c r="AB417" s="366"/>
      <c r="AC417" s="366"/>
      <c r="AD417" s="366"/>
      <c r="AE417" s="366"/>
      <c r="AF417" s="366"/>
      <c r="AG417" s="366"/>
      <c r="AH417" s="366"/>
      <c r="AI417" s="366"/>
      <c r="AJ417" s="366"/>
      <c r="AK417" s="366"/>
      <c r="AL417" s="366"/>
      <c r="AM417" s="607"/>
      <c r="AN417" s="366"/>
      <c r="AO417" s="366"/>
      <c r="AP417" s="366"/>
      <c r="AQ417" s="366"/>
      <c r="AR417" s="619"/>
      <c r="AS417" s="617"/>
    </row>
    <row r="418" spans="1:45" ht="15.75">
      <c r="A418" s="190"/>
      <c r="B418" s="366"/>
      <c r="C418" s="366"/>
      <c r="D418" s="596"/>
      <c r="E418" s="596"/>
      <c r="F418" s="366"/>
      <c r="G418" s="366"/>
      <c r="H418" s="366"/>
      <c r="I418" s="366"/>
      <c r="J418" s="366"/>
      <c r="K418" s="366"/>
      <c r="L418" s="366"/>
      <c r="M418" s="366"/>
      <c r="N418" s="366"/>
      <c r="O418" s="366"/>
      <c r="P418" s="611"/>
      <c r="Q418" s="614"/>
      <c r="R418" s="588"/>
      <c r="S418" s="188"/>
      <c r="T418" s="366"/>
      <c r="U418" s="366"/>
      <c r="V418" s="366"/>
      <c r="W418" s="366"/>
      <c r="X418" s="366"/>
      <c r="Y418" s="366"/>
      <c r="Z418" s="366"/>
      <c r="AA418" s="366"/>
      <c r="AB418" s="366"/>
      <c r="AC418" s="366"/>
      <c r="AD418" s="366"/>
      <c r="AE418" s="366"/>
      <c r="AF418" s="366"/>
      <c r="AG418" s="366"/>
      <c r="AH418" s="366"/>
      <c r="AI418" s="366"/>
      <c r="AJ418" s="366"/>
      <c r="AK418" s="366"/>
      <c r="AL418" s="366"/>
      <c r="AM418" s="607"/>
      <c r="AN418" s="366"/>
      <c r="AO418" s="366"/>
      <c r="AP418" s="366"/>
      <c r="AQ418" s="366"/>
      <c r="AR418" s="619"/>
      <c r="AS418" s="617"/>
    </row>
    <row r="419" spans="1:45" ht="15.75">
      <c r="A419" s="190"/>
      <c r="B419" s="366"/>
      <c r="C419" s="366"/>
      <c r="D419" s="596"/>
      <c r="E419" s="596"/>
      <c r="F419" s="366"/>
      <c r="G419" s="366"/>
      <c r="H419" s="366"/>
      <c r="I419" s="366"/>
      <c r="J419" s="366"/>
      <c r="K419" s="366"/>
      <c r="L419" s="366"/>
      <c r="M419" s="366"/>
      <c r="N419" s="366"/>
      <c r="O419" s="366"/>
      <c r="P419" s="611"/>
      <c r="Q419" s="614"/>
      <c r="R419" s="588"/>
      <c r="S419" s="188"/>
      <c r="T419" s="366"/>
      <c r="U419" s="366"/>
      <c r="V419" s="366"/>
      <c r="W419" s="366"/>
      <c r="X419" s="366"/>
      <c r="Y419" s="366"/>
      <c r="Z419" s="366"/>
      <c r="AA419" s="366"/>
      <c r="AB419" s="366"/>
      <c r="AC419" s="366"/>
      <c r="AD419" s="366"/>
      <c r="AE419" s="366"/>
      <c r="AF419" s="366"/>
      <c r="AG419" s="366"/>
      <c r="AH419" s="366"/>
      <c r="AI419" s="366"/>
      <c r="AJ419" s="366"/>
      <c r="AK419" s="366"/>
      <c r="AL419" s="366"/>
      <c r="AM419" s="607"/>
      <c r="AN419" s="366"/>
      <c r="AO419" s="366"/>
      <c r="AP419" s="366"/>
      <c r="AQ419" s="366"/>
      <c r="AR419" s="619"/>
      <c r="AS419" s="617"/>
    </row>
    <row r="420" spans="1:45" ht="15.75">
      <c r="A420" s="190"/>
      <c r="B420" s="366"/>
      <c r="C420" s="366"/>
      <c r="D420" s="596"/>
      <c r="E420" s="596"/>
      <c r="F420" s="366"/>
      <c r="G420" s="366"/>
      <c r="H420" s="366"/>
      <c r="I420" s="366"/>
      <c r="J420" s="366"/>
      <c r="K420" s="366"/>
      <c r="L420" s="366"/>
      <c r="M420" s="366"/>
      <c r="N420" s="366"/>
      <c r="O420" s="366"/>
      <c r="P420" s="611"/>
      <c r="Q420" s="614"/>
      <c r="R420" s="588"/>
      <c r="S420" s="188"/>
      <c r="T420" s="366"/>
      <c r="U420" s="366"/>
      <c r="V420" s="366"/>
      <c r="W420" s="366"/>
      <c r="X420" s="366"/>
      <c r="Y420" s="366"/>
      <c r="Z420" s="366"/>
      <c r="AA420" s="366"/>
      <c r="AB420" s="366"/>
      <c r="AC420" s="366"/>
      <c r="AD420" s="366"/>
      <c r="AE420" s="366"/>
      <c r="AF420" s="366"/>
      <c r="AG420" s="366"/>
      <c r="AH420" s="366"/>
      <c r="AI420" s="366"/>
      <c r="AJ420" s="366"/>
      <c r="AK420" s="366"/>
      <c r="AL420" s="366"/>
      <c r="AM420" s="607"/>
      <c r="AN420" s="366"/>
      <c r="AO420" s="366"/>
      <c r="AP420" s="366"/>
      <c r="AQ420" s="366"/>
      <c r="AR420" s="619"/>
      <c r="AS420" s="617"/>
    </row>
    <row r="421" spans="1:45" ht="15.75">
      <c r="A421" s="190"/>
      <c r="B421" s="366"/>
      <c r="C421" s="366"/>
      <c r="D421" s="596"/>
      <c r="E421" s="596"/>
      <c r="F421" s="366"/>
      <c r="G421" s="366"/>
      <c r="H421" s="366"/>
      <c r="I421" s="366"/>
      <c r="J421" s="366"/>
      <c r="K421" s="366"/>
      <c r="L421" s="366"/>
      <c r="M421" s="366"/>
      <c r="N421" s="366"/>
      <c r="O421" s="366"/>
      <c r="P421" s="611"/>
      <c r="Q421" s="614"/>
      <c r="R421" s="588"/>
      <c r="S421" s="188"/>
      <c r="T421" s="366"/>
      <c r="U421" s="366"/>
      <c r="V421" s="366"/>
      <c r="W421" s="366"/>
      <c r="X421" s="366"/>
      <c r="Y421" s="366"/>
      <c r="Z421" s="366"/>
      <c r="AA421" s="366"/>
      <c r="AB421" s="366"/>
      <c r="AC421" s="366"/>
      <c r="AD421" s="366"/>
      <c r="AE421" s="366"/>
      <c r="AF421" s="366"/>
      <c r="AG421" s="366"/>
      <c r="AH421" s="366"/>
      <c r="AI421" s="366"/>
      <c r="AJ421" s="366"/>
      <c r="AK421" s="366"/>
      <c r="AL421" s="366"/>
      <c r="AM421" s="607"/>
      <c r="AN421" s="366"/>
      <c r="AO421" s="366"/>
      <c r="AP421" s="366"/>
      <c r="AQ421" s="366"/>
      <c r="AR421" s="619"/>
      <c r="AS421" s="617"/>
    </row>
    <row r="422" spans="1:45" ht="15.75">
      <c r="A422" s="190"/>
      <c r="B422" s="366"/>
      <c r="C422" s="366"/>
      <c r="D422" s="596"/>
      <c r="E422" s="596"/>
      <c r="F422" s="366"/>
      <c r="G422" s="366"/>
      <c r="H422" s="366"/>
      <c r="I422" s="366"/>
      <c r="J422" s="366"/>
      <c r="K422" s="366"/>
      <c r="L422" s="366"/>
      <c r="M422" s="366"/>
      <c r="N422" s="366"/>
      <c r="O422" s="366"/>
      <c r="P422" s="611"/>
      <c r="Q422" s="614"/>
      <c r="R422" s="588"/>
      <c r="S422" s="188"/>
      <c r="T422" s="366"/>
      <c r="U422" s="366"/>
      <c r="V422" s="366"/>
      <c r="W422" s="366"/>
      <c r="X422" s="366"/>
      <c r="Y422" s="366"/>
      <c r="Z422" s="366"/>
      <c r="AA422" s="366"/>
      <c r="AB422" s="366"/>
      <c r="AC422" s="366"/>
      <c r="AD422" s="366"/>
      <c r="AE422" s="366"/>
      <c r="AF422" s="366"/>
      <c r="AG422" s="366"/>
      <c r="AH422" s="366"/>
      <c r="AI422" s="366"/>
      <c r="AJ422" s="366"/>
      <c r="AK422" s="366"/>
      <c r="AL422" s="366"/>
      <c r="AM422" s="607"/>
      <c r="AN422" s="366"/>
      <c r="AO422" s="366"/>
      <c r="AP422" s="366"/>
      <c r="AQ422" s="366"/>
      <c r="AR422" s="619"/>
      <c r="AS422" s="617"/>
    </row>
    <row r="423" spans="1:45" ht="15.75">
      <c r="A423" s="190"/>
      <c r="B423" s="366"/>
      <c r="C423" s="366"/>
      <c r="D423" s="596"/>
      <c r="E423" s="596"/>
      <c r="F423" s="366"/>
      <c r="G423" s="366"/>
      <c r="H423" s="366"/>
      <c r="I423" s="366"/>
      <c r="J423" s="366"/>
      <c r="K423" s="366"/>
      <c r="L423" s="366"/>
      <c r="M423" s="366"/>
      <c r="N423" s="366"/>
      <c r="O423" s="366"/>
      <c r="P423" s="611"/>
      <c r="Q423" s="614"/>
      <c r="R423" s="588"/>
      <c r="S423" s="188"/>
      <c r="T423" s="366"/>
      <c r="U423" s="366"/>
      <c r="V423" s="366"/>
      <c r="W423" s="366"/>
      <c r="X423" s="366"/>
      <c r="Y423" s="366"/>
      <c r="Z423" s="366"/>
      <c r="AA423" s="366"/>
      <c r="AB423" s="366"/>
      <c r="AC423" s="366"/>
      <c r="AD423" s="366"/>
      <c r="AE423" s="366"/>
      <c r="AF423" s="366"/>
      <c r="AG423" s="366"/>
      <c r="AH423" s="366"/>
      <c r="AI423" s="366"/>
      <c r="AJ423" s="366"/>
      <c r="AK423" s="366"/>
      <c r="AL423" s="366"/>
      <c r="AM423" s="607"/>
      <c r="AN423" s="366"/>
      <c r="AO423" s="366"/>
      <c r="AP423" s="366"/>
      <c r="AQ423" s="366"/>
      <c r="AR423" s="619"/>
      <c r="AS423" s="617"/>
    </row>
    <row r="424" spans="1:45" ht="15.75">
      <c r="A424" s="190"/>
      <c r="B424" s="366"/>
      <c r="C424" s="366"/>
      <c r="D424" s="596"/>
      <c r="E424" s="596"/>
      <c r="F424" s="366"/>
      <c r="G424" s="366"/>
      <c r="H424" s="366"/>
      <c r="I424" s="366"/>
      <c r="J424" s="366"/>
      <c r="K424" s="366"/>
      <c r="L424" s="366"/>
      <c r="M424" s="366"/>
      <c r="N424" s="366"/>
      <c r="O424" s="366"/>
      <c r="P424" s="611"/>
      <c r="Q424" s="614"/>
      <c r="R424" s="588"/>
      <c r="S424" s="188"/>
      <c r="T424" s="366"/>
      <c r="U424" s="366"/>
      <c r="V424" s="366"/>
      <c r="W424" s="366"/>
      <c r="X424" s="366"/>
      <c r="Y424" s="366"/>
      <c r="Z424" s="366"/>
      <c r="AA424" s="366"/>
      <c r="AB424" s="366"/>
      <c r="AC424" s="366"/>
      <c r="AD424" s="366"/>
      <c r="AE424" s="366"/>
      <c r="AF424" s="366"/>
      <c r="AG424" s="366"/>
      <c r="AH424" s="366"/>
      <c r="AI424" s="366"/>
      <c r="AJ424" s="366"/>
      <c r="AK424" s="366"/>
      <c r="AL424" s="366"/>
      <c r="AM424" s="607"/>
      <c r="AN424" s="366"/>
      <c r="AO424" s="366"/>
      <c r="AP424" s="366"/>
      <c r="AQ424" s="366"/>
      <c r="AR424" s="619"/>
      <c r="AS424" s="617"/>
    </row>
    <row r="425" spans="1:45" ht="15.75">
      <c r="A425" s="190"/>
      <c r="B425" s="366"/>
      <c r="C425" s="366"/>
      <c r="D425" s="596"/>
      <c r="E425" s="596"/>
      <c r="F425" s="366"/>
      <c r="G425" s="366"/>
      <c r="H425" s="366"/>
      <c r="I425" s="366"/>
      <c r="J425" s="366"/>
      <c r="K425" s="366"/>
      <c r="L425" s="366"/>
      <c r="M425" s="366"/>
      <c r="N425" s="366"/>
      <c r="O425" s="366"/>
      <c r="P425" s="611"/>
      <c r="Q425" s="614"/>
      <c r="R425" s="588"/>
      <c r="S425" s="188"/>
      <c r="T425" s="366"/>
      <c r="U425" s="366"/>
      <c r="V425" s="366"/>
      <c r="W425" s="366"/>
      <c r="X425" s="366"/>
      <c r="Y425" s="366"/>
      <c r="Z425" s="366"/>
      <c r="AA425" s="366"/>
      <c r="AB425" s="366"/>
      <c r="AC425" s="366"/>
      <c r="AD425" s="366"/>
      <c r="AE425" s="366"/>
      <c r="AF425" s="366"/>
      <c r="AG425" s="366"/>
      <c r="AH425" s="366"/>
      <c r="AI425" s="366"/>
      <c r="AJ425" s="366"/>
      <c r="AK425" s="366"/>
      <c r="AL425" s="366"/>
      <c r="AM425" s="607"/>
      <c r="AN425" s="366"/>
      <c r="AO425" s="366"/>
      <c r="AP425" s="366"/>
      <c r="AQ425" s="366"/>
      <c r="AR425" s="619"/>
      <c r="AS425" s="617"/>
    </row>
    <row r="426" spans="1:45" ht="15.75">
      <c r="A426" s="190"/>
      <c r="B426" s="366"/>
      <c r="C426" s="366"/>
      <c r="D426" s="596"/>
      <c r="E426" s="596"/>
      <c r="F426" s="366"/>
      <c r="G426" s="366"/>
      <c r="H426" s="366"/>
      <c r="I426" s="366"/>
      <c r="J426" s="366"/>
      <c r="K426" s="366"/>
      <c r="L426" s="366"/>
      <c r="M426" s="366"/>
      <c r="N426" s="366"/>
      <c r="O426" s="366"/>
      <c r="P426" s="611"/>
      <c r="Q426" s="614"/>
      <c r="R426" s="588"/>
      <c r="S426" s="188"/>
      <c r="T426" s="366"/>
      <c r="U426" s="366"/>
      <c r="V426" s="366"/>
      <c r="W426" s="366"/>
      <c r="X426" s="366"/>
      <c r="Y426" s="366"/>
      <c r="Z426" s="366"/>
      <c r="AA426" s="366"/>
      <c r="AB426" s="366"/>
      <c r="AC426" s="366"/>
      <c r="AD426" s="366"/>
      <c r="AE426" s="366"/>
      <c r="AF426" s="366"/>
      <c r="AG426" s="366"/>
      <c r="AH426" s="366"/>
      <c r="AI426" s="366"/>
      <c r="AJ426" s="366"/>
      <c r="AK426" s="366"/>
      <c r="AL426" s="366"/>
      <c r="AM426" s="607"/>
      <c r="AN426" s="366"/>
      <c r="AO426" s="366"/>
      <c r="AP426" s="366"/>
      <c r="AQ426" s="366"/>
      <c r="AR426" s="619"/>
      <c r="AS426" s="617"/>
    </row>
    <row r="427" spans="1:45" ht="15.75">
      <c r="A427" s="190"/>
      <c r="B427" s="366"/>
      <c r="C427" s="366"/>
      <c r="D427" s="596"/>
      <c r="E427" s="596"/>
      <c r="F427" s="366"/>
      <c r="G427" s="366"/>
      <c r="H427" s="366"/>
      <c r="I427" s="366"/>
      <c r="J427" s="366"/>
      <c r="K427" s="366"/>
      <c r="L427" s="366"/>
      <c r="M427" s="366"/>
      <c r="N427" s="366"/>
      <c r="O427" s="366"/>
      <c r="P427" s="611"/>
      <c r="Q427" s="614"/>
      <c r="R427" s="588"/>
      <c r="S427" s="188"/>
      <c r="T427" s="366"/>
      <c r="U427" s="366"/>
      <c r="V427" s="366"/>
      <c r="W427" s="366"/>
      <c r="X427" s="366"/>
      <c r="Y427" s="366"/>
      <c r="Z427" s="366"/>
      <c r="AA427" s="366"/>
      <c r="AB427" s="366"/>
      <c r="AC427" s="366"/>
      <c r="AD427" s="366"/>
      <c r="AE427" s="366"/>
      <c r="AF427" s="366"/>
      <c r="AG427" s="366"/>
      <c r="AH427" s="366"/>
      <c r="AI427" s="366"/>
      <c r="AJ427" s="366"/>
      <c r="AK427" s="366"/>
      <c r="AL427" s="366"/>
      <c r="AM427" s="607"/>
      <c r="AN427" s="366"/>
      <c r="AO427" s="366"/>
      <c r="AP427" s="366"/>
      <c r="AQ427" s="366"/>
      <c r="AR427" s="619"/>
      <c r="AS427" s="617"/>
    </row>
    <row r="428" spans="1:45" ht="15.75">
      <c r="A428" s="190"/>
      <c r="B428" s="366"/>
      <c r="C428" s="366"/>
      <c r="D428" s="596"/>
      <c r="E428" s="596"/>
      <c r="F428" s="366"/>
      <c r="G428" s="366"/>
      <c r="H428" s="366"/>
      <c r="I428" s="366"/>
      <c r="J428" s="366"/>
      <c r="K428" s="366"/>
      <c r="L428" s="366"/>
      <c r="M428" s="366"/>
      <c r="N428" s="366"/>
      <c r="O428" s="366"/>
      <c r="P428" s="611"/>
      <c r="Q428" s="614"/>
      <c r="R428" s="588"/>
      <c r="S428" s="188"/>
      <c r="T428" s="366"/>
      <c r="U428" s="366"/>
      <c r="V428" s="366"/>
      <c r="W428" s="366"/>
      <c r="X428" s="366"/>
      <c r="Y428" s="366"/>
      <c r="Z428" s="366"/>
      <c r="AA428" s="366"/>
      <c r="AB428" s="366"/>
      <c r="AC428" s="366"/>
      <c r="AD428" s="366"/>
      <c r="AE428" s="366"/>
      <c r="AF428" s="366"/>
      <c r="AG428" s="366"/>
      <c r="AH428" s="366"/>
      <c r="AI428" s="366"/>
      <c r="AJ428" s="366"/>
      <c r="AK428" s="366"/>
      <c r="AL428" s="366"/>
      <c r="AM428" s="607"/>
      <c r="AN428" s="366"/>
      <c r="AO428" s="366"/>
      <c r="AP428" s="366"/>
      <c r="AQ428" s="366"/>
      <c r="AR428" s="619"/>
      <c r="AS428" s="617"/>
    </row>
    <row r="429" spans="1:45" ht="15.75">
      <c r="A429" s="190"/>
      <c r="B429" s="366"/>
      <c r="C429" s="366"/>
      <c r="D429" s="596"/>
      <c r="E429" s="596"/>
      <c r="F429" s="366"/>
      <c r="G429" s="366"/>
      <c r="H429" s="366"/>
      <c r="I429" s="366"/>
      <c r="J429" s="366"/>
      <c r="K429" s="366"/>
      <c r="L429" s="366"/>
      <c r="M429" s="366"/>
      <c r="N429" s="366"/>
      <c r="O429" s="366"/>
      <c r="P429" s="611"/>
      <c r="Q429" s="614"/>
      <c r="R429" s="588"/>
      <c r="S429" s="188"/>
      <c r="T429" s="366"/>
      <c r="U429" s="366"/>
      <c r="V429" s="366"/>
      <c r="W429" s="366"/>
      <c r="X429" s="366"/>
      <c r="Y429" s="366"/>
      <c r="Z429" s="366"/>
      <c r="AA429" s="366"/>
      <c r="AB429" s="366"/>
      <c r="AC429" s="366"/>
      <c r="AD429" s="366"/>
      <c r="AE429" s="366"/>
      <c r="AF429" s="366"/>
      <c r="AG429" s="366"/>
      <c r="AH429" s="366"/>
      <c r="AI429" s="366"/>
      <c r="AJ429" s="366"/>
      <c r="AK429" s="366"/>
      <c r="AL429" s="366"/>
      <c r="AM429" s="607"/>
      <c r="AN429" s="366"/>
      <c r="AO429" s="366"/>
      <c r="AP429" s="366"/>
      <c r="AQ429" s="366"/>
      <c r="AR429" s="619"/>
      <c r="AS429" s="617"/>
    </row>
    <row r="430" spans="1:45" ht="15.75">
      <c r="A430" s="190"/>
      <c r="B430" s="366"/>
      <c r="C430" s="366"/>
      <c r="D430" s="596"/>
      <c r="E430" s="596"/>
      <c r="F430" s="366"/>
      <c r="G430" s="366"/>
      <c r="H430" s="366"/>
      <c r="I430" s="366"/>
      <c r="J430" s="366"/>
      <c r="K430" s="366"/>
      <c r="L430" s="366"/>
      <c r="M430" s="366"/>
      <c r="N430" s="366"/>
      <c r="O430" s="366"/>
      <c r="P430" s="611"/>
      <c r="Q430" s="614"/>
      <c r="R430" s="588"/>
      <c r="S430" s="188"/>
      <c r="T430" s="366"/>
      <c r="U430" s="366"/>
      <c r="V430" s="366"/>
      <c r="W430" s="366"/>
      <c r="X430" s="366"/>
      <c r="Y430" s="366"/>
      <c r="Z430" s="366"/>
      <c r="AA430" s="366"/>
      <c r="AB430" s="366"/>
      <c r="AC430" s="366"/>
      <c r="AD430" s="366"/>
      <c r="AE430" s="366"/>
      <c r="AF430" s="366"/>
      <c r="AG430" s="366"/>
      <c r="AH430" s="366"/>
      <c r="AI430" s="366"/>
      <c r="AJ430" s="366"/>
      <c r="AK430" s="366"/>
      <c r="AL430" s="366"/>
      <c r="AM430" s="607"/>
      <c r="AN430" s="366"/>
      <c r="AO430" s="366"/>
      <c r="AP430" s="366"/>
      <c r="AQ430" s="366"/>
      <c r="AR430" s="619"/>
      <c r="AS430" s="617"/>
    </row>
    <row r="431" spans="1:45" ht="15.75">
      <c r="A431" s="190"/>
      <c r="B431" s="366"/>
      <c r="C431" s="366"/>
      <c r="D431" s="596"/>
      <c r="E431" s="596"/>
      <c r="F431" s="366"/>
      <c r="G431" s="366"/>
      <c r="H431" s="366"/>
      <c r="I431" s="366"/>
      <c r="J431" s="366"/>
      <c r="K431" s="366"/>
      <c r="L431" s="366"/>
      <c r="M431" s="366"/>
      <c r="N431" s="366"/>
      <c r="O431" s="366"/>
      <c r="P431" s="611"/>
      <c r="Q431" s="614"/>
      <c r="R431" s="588"/>
      <c r="S431" s="188"/>
      <c r="T431" s="366"/>
      <c r="U431" s="366"/>
      <c r="V431" s="366"/>
      <c r="W431" s="366"/>
      <c r="X431" s="366"/>
      <c r="Y431" s="366"/>
      <c r="Z431" s="366"/>
      <c r="AA431" s="366"/>
      <c r="AB431" s="366"/>
      <c r="AC431" s="366"/>
      <c r="AD431" s="366"/>
      <c r="AE431" s="366"/>
      <c r="AF431" s="366"/>
      <c r="AG431" s="366"/>
      <c r="AH431" s="366"/>
      <c r="AI431" s="366"/>
      <c r="AJ431" s="366"/>
      <c r="AK431" s="366"/>
      <c r="AL431" s="366"/>
      <c r="AM431" s="607"/>
      <c r="AN431" s="366"/>
      <c r="AO431" s="366"/>
      <c r="AP431" s="366"/>
      <c r="AQ431" s="366"/>
      <c r="AR431" s="619"/>
      <c r="AS431" s="617"/>
    </row>
    <row r="432" spans="1:45" ht="15.75">
      <c r="A432" s="190"/>
      <c r="B432" s="366"/>
      <c r="C432" s="366"/>
      <c r="D432" s="596"/>
      <c r="E432" s="596"/>
      <c r="F432" s="366"/>
      <c r="G432" s="366"/>
      <c r="H432" s="366"/>
      <c r="I432" s="366"/>
      <c r="J432" s="366"/>
      <c r="K432" s="366"/>
      <c r="L432" s="366"/>
      <c r="M432" s="366"/>
      <c r="N432" s="366"/>
      <c r="O432" s="366"/>
      <c r="P432" s="611"/>
      <c r="Q432" s="614"/>
      <c r="R432" s="588"/>
      <c r="S432" s="188"/>
      <c r="T432" s="366"/>
      <c r="U432" s="366"/>
      <c r="V432" s="366"/>
      <c r="W432" s="366"/>
      <c r="X432" s="366"/>
      <c r="Y432" s="366"/>
      <c r="Z432" s="366"/>
      <c r="AA432" s="366"/>
      <c r="AB432" s="366"/>
      <c r="AC432" s="366"/>
      <c r="AD432" s="366"/>
      <c r="AE432" s="366"/>
      <c r="AF432" s="366"/>
      <c r="AG432" s="366"/>
      <c r="AH432" s="366"/>
      <c r="AI432" s="366"/>
      <c r="AJ432" s="366"/>
      <c r="AK432" s="366"/>
      <c r="AL432" s="366"/>
      <c r="AM432" s="607"/>
      <c r="AN432" s="366"/>
      <c r="AO432" s="366"/>
      <c r="AP432" s="366"/>
      <c r="AQ432" s="366"/>
      <c r="AR432" s="619"/>
      <c r="AS432" s="617"/>
    </row>
    <row r="433" spans="1:45" ht="15.75">
      <c r="A433" s="190"/>
      <c r="B433" s="366"/>
      <c r="C433" s="366"/>
      <c r="D433" s="596"/>
      <c r="E433" s="596"/>
      <c r="F433" s="366"/>
      <c r="G433" s="366"/>
      <c r="H433" s="366"/>
      <c r="I433" s="366"/>
      <c r="J433" s="366"/>
      <c r="K433" s="366"/>
      <c r="L433" s="366"/>
      <c r="M433" s="366"/>
      <c r="N433" s="366"/>
      <c r="O433" s="366"/>
      <c r="P433" s="611"/>
      <c r="Q433" s="614"/>
      <c r="R433" s="588"/>
      <c r="S433" s="188"/>
      <c r="T433" s="366"/>
      <c r="U433" s="366"/>
      <c r="V433" s="366"/>
      <c r="W433" s="366"/>
      <c r="X433" s="366"/>
      <c r="Y433" s="366"/>
      <c r="Z433" s="366"/>
      <c r="AA433" s="366"/>
      <c r="AB433" s="366"/>
      <c r="AC433" s="366"/>
      <c r="AD433" s="366"/>
      <c r="AE433" s="366"/>
      <c r="AF433" s="366"/>
      <c r="AG433" s="366"/>
      <c r="AH433" s="366"/>
      <c r="AI433" s="366"/>
      <c r="AJ433" s="366"/>
      <c r="AK433" s="366"/>
      <c r="AL433" s="366"/>
      <c r="AM433" s="607"/>
      <c r="AN433" s="366"/>
      <c r="AO433" s="366"/>
      <c r="AP433" s="366"/>
      <c r="AQ433" s="366"/>
      <c r="AR433" s="619"/>
      <c r="AS433" s="617"/>
    </row>
    <row r="434" spans="1:45" ht="15.75">
      <c r="A434" s="190"/>
      <c r="B434" s="366"/>
      <c r="C434" s="366"/>
      <c r="D434" s="596"/>
      <c r="E434" s="596"/>
      <c r="F434" s="366"/>
      <c r="G434" s="366"/>
      <c r="H434" s="366"/>
      <c r="I434" s="366"/>
      <c r="J434" s="366"/>
      <c r="K434" s="366"/>
      <c r="L434" s="366"/>
      <c r="M434" s="366"/>
      <c r="N434" s="366"/>
      <c r="O434" s="366"/>
      <c r="P434" s="611"/>
      <c r="Q434" s="614"/>
      <c r="R434" s="588"/>
      <c r="S434" s="188"/>
      <c r="T434" s="366"/>
      <c r="U434" s="366"/>
      <c r="V434" s="366"/>
      <c r="W434" s="366"/>
      <c r="X434" s="366"/>
      <c r="Y434" s="366"/>
      <c r="Z434" s="366"/>
      <c r="AA434" s="366"/>
      <c r="AB434" s="366"/>
      <c r="AC434" s="366"/>
      <c r="AD434" s="366"/>
      <c r="AE434" s="366"/>
      <c r="AF434" s="366"/>
      <c r="AG434" s="366"/>
      <c r="AH434" s="366"/>
      <c r="AI434" s="366"/>
      <c r="AJ434" s="366"/>
      <c r="AK434" s="366"/>
      <c r="AL434" s="366"/>
      <c r="AM434" s="607"/>
      <c r="AN434" s="366"/>
      <c r="AO434" s="366"/>
      <c r="AP434" s="366"/>
      <c r="AQ434" s="366"/>
      <c r="AR434" s="619"/>
      <c r="AS434" s="617"/>
    </row>
    <row r="435" spans="1:45" ht="15.75">
      <c r="A435" s="190"/>
      <c r="B435" s="366"/>
      <c r="C435" s="366"/>
      <c r="D435" s="596"/>
      <c r="E435" s="596"/>
      <c r="F435" s="366"/>
      <c r="G435" s="366"/>
      <c r="H435" s="366"/>
      <c r="I435" s="366"/>
      <c r="J435" s="366"/>
      <c r="K435" s="366"/>
      <c r="L435" s="366"/>
      <c r="M435" s="366"/>
      <c r="N435" s="366"/>
      <c r="O435" s="366"/>
      <c r="P435" s="611"/>
      <c r="Q435" s="614"/>
      <c r="R435" s="588"/>
      <c r="S435" s="188"/>
      <c r="T435" s="366"/>
      <c r="U435" s="366"/>
      <c r="V435" s="366"/>
      <c r="W435" s="366"/>
      <c r="X435" s="366"/>
      <c r="Y435" s="366"/>
      <c r="Z435" s="366"/>
      <c r="AA435" s="366"/>
      <c r="AB435" s="366"/>
      <c r="AC435" s="366"/>
      <c r="AD435" s="366"/>
      <c r="AE435" s="366"/>
      <c r="AF435" s="366"/>
      <c r="AG435" s="366"/>
      <c r="AH435" s="366"/>
      <c r="AI435" s="366"/>
      <c r="AJ435" s="366"/>
      <c r="AK435" s="366"/>
      <c r="AL435" s="366"/>
      <c r="AM435" s="607"/>
      <c r="AN435" s="366"/>
      <c r="AO435" s="366"/>
      <c r="AP435" s="366"/>
      <c r="AQ435" s="366"/>
      <c r="AR435" s="619"/>
      <c r="AS435" s="617"/>
    </row>
    <row r="436" spans="1:45" ht="15.75">
      <c r="A436" s="190"/>
      <c r="B436" s="366"/>
      <c r="C436" s="366"/>
      <c r="D436" s="596"/>
      <c r="E436" s="596"/>
      <c r="F436" s="366"/>
      <c r="G436" s="366"/>
      <c r="H436" s="366"/>
      <c r="I436" s="366"/>
      <c r="J436" s="366"/>
      <c r="K436" s="366"/>
      <c r="L436" s="366"/>
      <c r="M436" s="366"/>
      <c r="N436" s="366"/>
      <c r="O436" s="366"/>
      <c r="P436" s="611"/>
      <c r="Q436" s="614"/>
      <c r="R436" s="588"/>
      <c r="S436" s="188"/>
      <c r="T436" s="366"/>
      <c r="U436" s="366"/>
      <c r="V436" s="366"/>
      <c r="W436" s="366"/>
      <c r="X436" s="366"/>
      <c r="Y436" s="366"/>
      <c r="Z436" s="366"/>
      <c r="AA436" s="366"/>
      <c r="AB436" s="366"/>
      <c r="AC436" s="366"/>
      <c r="AD436" s="366"/>
      <c r="AE436" s="366"/>
      <c r="AF436" s="366"/>
      <c r="AG436" s="366"/>
      <c r="AH436" s="366"/>
      <c r="AI436" s="366"/>
      <c r="AJ436" s="366"/>
      <c r="AK436" s="366"/>
      <c r="AL436" s="366"/>
      <c r="AM436" s="607"/>
      <c r="AN436" s="366"/>
      <c r="AO436" s="366"/>
      <c r="AP436" s="366"/>
      <c r="AQ436" s="366"/>
      <c r="AR436" s="619"/>
      <c r="AS436" s="617"/>
    </row>
    <row r="437" spans="1:45" ht="15.75">
      <c r="A437" s="190"/>
      <c r="B437" s="366"/>
      <c r="C437" s="366"/>
      <c r="D437" s="596"/>
      <c r="E437" s="596"/>
      <c r="F437" s="366"/>
      <c r="G437" s="366"/>
      <c r="H437" s="366"/>
      <c r="I437" s="366"/>
      <c r="J437" s="366"/>
      <c r="K437" s="366"/>
      <c r="L437" s="366"/>
      <c r="M437" s="366"/>
      <c r="N437" s="366"/>
      <c r="O437" s="366"/>
      <c r="P437" s="611"/>
      <c r="Q437" s="614"/>
      <c r="R437" s="588"/>
      <c r="S437" s="188"/>
      <c r="T437" s="366"/>
      <c r="U437" s="366"/>
      <c r="V437" s="366"/>
      <c r="W437" s="366"/>
      <c r="X437" s="366"/>
      <c r="Y437" s="366"/>
      <c r="Z437" s="366"/>
      <c r="AA437" s="366"/>
      <c r="AB437" s="366"/>
      <c r="AC437" s="366"/>
      <c r="AD437" s="366"/>
      <c r="AE437" s="366"/>
      <c r="AF437" s="366"/>
      <c r="AG437" s="366"/>
      <c r="AH437" s="366"/>
      <c r="AI437" s="366"/>
      <c r="AJ437" s="366"/>
      <c r="AK437" s="366"/>
      <c r="AL437" s="366"/>
      <c r="AM437" s="607"/>
      <c r="AN437" s="366"/>
      <c r="AO437" s="366"/>
      <c r="AP437" s="366"/>
      <c r="AQ437" s="366"/>
      <c r="AR437" s="619"/>
      <c r="AS437" s="617"/>
    </row>
    <row r="438" spans="1:45" ht="15.75">
      <c r="A438" s="190"/>
      <c r="B438" s="366"/>
      <c r="C438" s="366"/>
      <c r="D438" s="596"/>
      <c r="E438" s="596"/>
      <c r="F438" s="366"/>
      <c r="G438" s="366"/>
      <c r="H438" s="366"/>
      <c r="I438" s="366"/>
      <c r="J438" s="366"/>
      <c r="K438" s="366"/>
      <c r="L438" s="366"/>
      <c r="M438" s="366"/>
      <c r="N438" s="366"/>
      <c r="O438" s="366"/>
      <c r="P438" s="611"/>
      <c r="Q438" s="614"/>
      <c r="R438" s="588"/>
      <c r="S438" s="188"/>
      <c r="T438" s="366"/>
      <c r="U438" s="366"/>
      <c r="V438" s="366"/>
      <c r="W438" s="366"/>
      <c r="X438" s="366"/>
      <c r="Y438" s="366"/>
      <c r="Z438" s="366"/>
      <c r="AA438" s="366"/>
      <c r="AB438" s="366"/>
      <c r="AC438" s="366"/>
      <c r="AD438" s="366"/>
      <c r="AE438" s="366"/>
      <c r="AF438" s="366"/>
      <c r="AG438" s="366"/>
      <c r="AH438" s="366"/>
      <c r="AI438" s="366"/>
      <c r="AJ438" s="366"/>
      <c r="AK438" s="366"/>
      <c r="AL438" s="366"/>
      <c r="AM438" s="607"/>
      <c r="AN438" s="366"/>
      <c r="AO438" s="366"/>
      <c r="AP438" s="366"/>
      <c r="AQ438" s="366"/>
      <c r="AR438" s="619"/>
      <c r="AS438" s="617"/>
    </row>
    <row r="439" spans="1:45" ht="15.75">
      <c r="A439" s="190"/>
      <c r="B439" s="366"/>
      <c r="C439" s="366"/>
      <c r="D439" s="596"/>
      <c r="E439" s="596"/>
      <c r="F439" s="366"/>
      <c r="G439" s="366"/>
      <c r="H439" s="366"/>
      <c r="I439" s="366"/>
      <c r="J439" s="366"/>
      <c r="K439" s="366"/>
      <c r="L439" s="366"/>
      <c r="M439" s="366"/>
      <c r="N439" s="366"/>
      <c r="O439" s="366"/>
      <c r="P439" s="611"/>
      <c r="Q439" s="614"/>
      <c r="R439" s="588"/>
      <c r="S439" s="188"/>
      <c r="T439" s="366"/>
      <c r="U439" s="366"/>
      <c r="V439" s="366"/>
      <c r="W439" s="366"/>
      <c r="X439" s="366"/>
      <c r="Y439" s="366"/>
      <c r="Z439" s="366"/>
      <c r="AA439" s="366"/>
      <c r="AB439" s="366"/>
      <c r="AC439" s="366"/>
      <c r="AD439" s="366"/>
      <c r="AE439" s="366"/>
      <c r="AF439" s="366"/>
      <c r="AG439" s="366"/>
      <c r="AH439" s="366"/>
      <c r="AI439" s="366"/>
      <c r="AJ439" s="366"/>
      <c r="AK439" s="366"/>
      <c r="AL439" s="366"/>
      <c r="AM439" s="607"/>
      <c r="AN439" s="366"/>
      <c r="AO439" s="366"/>
      <c r="AP439" s="366"/>
      <c r="AQ439" s="366"/>
      <c r="AR439" s="619"/>
      <c r="AS439" s="617"/>
    </row>
    <row r="440" spans="1:45" ht="15.75">
      <c r="A440" s="190"/>
      <c r="B440" s="366"/>
      <c r="C440" s="366"/>
      <c r="D440" s="596"/>
      <c r="E440" s="596"/>
      <c r="F440" s="366"/>
      <c r="G440" s="366"/>
      <c r="H440" s="366"/>
      <c r="I440" s="366"/>
      <c r="J440" s="366"/>
      <c r="K440" s="366"/>
      <c r="L440" s="366"/>
      <c r="M440" s="366"/>
      <c r="N440" s="366"/>
      <c r="O440" s="366"/>
      <c r="P440" s="611"/>
      <c r="Q440" s="614"/>
      <c r="R440" s="588"/>
      <c r="S440" s="188"/>
      <c r="T440" s="366"/>
      <c r="U440" s="366"/>
      <c r="V440" s="366"/>
      <c r="W440" s="366"/>
      <c r="X440" s="366"/>
      <c r="Y440" s="366"/>
      <c r="Z440" s="366"/>
      <c r="AA440" s="366"/>
      <c r="AB440" s="366"/>
      <c r="AC440" s="366"/>
      <c r="AD440" s="366"/>
      <c r="AE440" s="366"/>
      <c r="AF440" s="366"/>
      <c r="AG440" s="366"/>
      <c r="AH440" s="366"/>
      <c r="AI440" s="366"/>
      <c r="AJ440" s="366"/>
      <c r="AK440" s="366"/>
      <c r="AL440" s="366"/>
      <c r="AM440" s="607"/>
      <c r="AN440" s="366"/>
      <c r="AO440" s="366"/>
      <c r="AP440" s="366"/>
      <c r="AQ440" s="366"/>
      <c r="AR440" s="619"/>
      <c r="AS440" s="617"/>
    </row>
    <row r="441" spans="1:45" ht="15.75">
      <c r="A441" s="190"/>
      <c r="B441" s="366"/>
      <c r="C441" s="366"/>
      <c r="D441" s="596"/>
      <c r="E441" s="596"/>
      <c r="F441" s="366"/>
      <c r="G441" s="366"/>
      <c r="H441" s="366"/>
      <c r="I441" s="366"/>
      <c r="J441" s="366"/>
      <c r="K441" s="366"/>
      <c r="L441" s="366"/>
      <c r="M441" s="366"/>
      <c r="N441" s="366"/>
      <c r="O441" s="366"/>
      <c r="P441" s="611"/>
      <c r="Q441" s="614"/>
      <c r="R441" s="588"/>
      <c r="S441" s="188"/>
      <c r="T441" s="366"/>
      <c r="U441" s="366"/>
      <c r="V441" s="366"/>
      <c r="W441" s="366"/>
      <c r="X441" s="366"/>
      <c r="Y441" s="366"/>
      <c r="Z441" s="366"/>
      <c r="AA441" s="366"/>
      <c r="AB441" s="366"/>
      <c r="AC441" s="366"/>
      <c r="AD441" s="366"/>
      <c r="AE441" s="366"/>
      <c r="AF441" s="366"/>
      <c r="AG441" s="366"/>
      <c r="AH441" s="366"/>
      <c r="AI441" s="366"/>
      <c r="AJ441" s="366"/>
      <c r="AK441" s="366"/>
      <c r="AL441" s="366"/>
      <c r="AM441" s="607"/>
      <c r="AN441" s="366"/>
      <c r="AO441" s="366"/>
      <c r="AP441" s="366"/>
      <c r="AQ441" s="366"/>
      <c r="AR441" s="619"/>
      <c r="AS441" s="617"/>
    </row>
    <row r="442" spans="1:45" ht="15.75">
      <c r="A442" s="190"/>
      <c r="B442" s="366"/>
      <c r="C442" s="366"/>
      <c r="D442" s="596"/>
      <c r="E442" s="596"/>
      <c r="F442" s="366"/>
      <c r="G442" s="366"/>
      <c r="H442" s="366"/>
      <c r="I442" s="366"/>
      <c r="J442" s="366"/>
      <c r="K442" s="366"/>
      <c r="L442" s="366"/>
      <c r="M442" s="366"/>
      <c r="N442" s="366"/>
      <c r="O442" s="366"/>
      <c r="P442" s="611"/>
      <c r="Q442" s="614"/>
      <c r="R442" s="588"/>
      <c r="S442" s="188"/>
      <c r="T442" s="366"/>
      <c r="U442" s="366"/>
      <c r="V442" s="366"/>
      <c r="W442" s="366"/>
      <c r="X442" s="366"/>
      <c r="Y442" s="366"/>
      <c r="Z442" s="366"/>
      <c r="AA442" s="366"/>
      <c r="AB442" s="366"/>
      <c r="AC442" s="366"/>
      <c r="AD442" s="366"/>
      <c r="AE442" s="366"/>
      <c r="AF442" s="366"/>
      <c r="AG442" s="366"/>
      <c r="AH442" s="366"/>
      <c r="AI442" s="366"/>
      <c r="AJ442" s="366"/>
      <c r="AK442" s="366"/>
      <c r="AL442" s="366"/>
      <c r="AM442" s="607"/>
      <c r="AN442" s="366"/>
      <c r="AO442" s="366"/>
      <c r="AP442" s="366"/>
      <c r="AQ442" s="366"/>
      <c r="AR442" s="619"/>
      <c r="AS442" s="617"/>
    </row>
    <row r="443" spans="1:45" ht="15.75">
      <c r="A443" s="190"/>
      <c r="B443" s="366"/>
      <c r="C443" s="366"/>
      <c r="D443" s="596"/>
      <c r="E443" s="596"/>
      <c r="F443" s="366"/>
      <c r="G443" s="366"/>
      <c r="H443" s="366"/>
      <c r="I443" s="366"/>
      <c r="J443" s="366"/>
      <c r="K443" s="366"/>
      <c r="L443" s="366"/>
      <c r="M443" s="366"/>
      <c r="N443" s="366"/>
      <c r="O443" s="366"/>
      <c r="P443" s="611"/>
      <c r="Q443" s="614"/>
      <c r="R443" s="588"/>
      <c r="S443" s="188"/>
      <c r="T443" s="366"/>
      <c r="U443" s="366"/>
      <c r="V443" s="366"/>
      <c r="W443" s="366"/>
      <c r="X443" s="366"/>
      <c r="Y443" s="366"/>
      <c r="Z443" s="366"/>
      <c r="AA443" s="366"/>
      <c r="AB443" s="366"/>
      <c r="AC443" s="366"/>
      <c r="AD443" s="366"/>
      <c r="AE443" s="366"/>
      <c r="AF443" s="366"/>
      <c r="AG443" s="366"/>
      <c r="AH443" s="366"/>
      <c r="AI443" s="366"/>
      <c r="AJ443" s="366"/>
      <c r="AK443" s="366"/>
      <c r="AL443" s="366"/>
      <c r="AM443" s="607"/>
      <c r="AN443" s="366"/>
      <c r="AO443" s="366"/>
      <c r="AP443" s="366"/>
      <c r="AQ443" s="366"/>
      <c r="AR443" s="619"/>
      <c r="AS443" s="617"/>
    </row>
    <row r="444" spans="1:45" ht="15.75">
      <c r="A444" s="190"/>
      <c r="B444" s="366"/>
      <c r="C444" s="366"/>
      <c r="D444" s="596"/>
      <c r="E444" s="596"/>
      <c r="F444" s="366"/>
      <c r="G444" s="366"/>
      <c r="H444" s="366"/>
      <c r="I444" s="366"/>
      <c r="J444" s="366"/>
      <c r="K444" s="366"/>
      <c r="L444" s="366"/>
      <c r="M444" s="366"/>
      <c r="N444" s="366"/>
      <c r="O444" s="366"/>
      <c r="P444" s="611"/>
      <c r="Q444" s="614"/>
      <c r="R444" s="588"/>
      <c r="S444" s="188"/>
      <c r="T444" s="366"/>
      <c r="U444" s="366"/>
      <c r="V444" s="366"/>
      <c r="W444" s="366"/>
      <c r="X444" s="366"/>
      <c r="Y444" s="366"/>
      <c r="Z444" s="366"/>
      <c r="AA444" s="366"/>
      <c r="AB444" s="366"/>
      <c r="AC444" s="366"/>
      <c r="AD444" s="366"/>
      <c r="AE444" s="366"/>
      <c r="AF444" s="366"/>
      <c r="AG444" s="366"/>
      <c r="AH444" s="366"/>
      <c r="AI444" s="366"/>
      <c r="AJ444" s="366"/>
      <c r="AK444" s="366"/>
      <c r="AL444" s="366"/>
      <c r="AM444" s="607"/>
      <c r="AN444" s="366"/>
      <c r="AO444" s="366"/>
      <c r="AP444" s="366"/>
      <c r="AQ444" s="366"/>
      <c r="AR444" s="619"/>
      <c r="AS444" s="617"/>
    </row>
    <row r="445" spans="1:45" ht="15.75">
      <c r="A445" s="190"/>
      <c r="B445" s="366"/>
      <c r="C445" s="366"/>
      <c r="D445" s="596"/>
      <c r="E445" s="596"/>
      <c r="F445" s="366"/>
      <c r="G445" s="366"/>
      <c r="H445" s="366"/>
      <c r="I445" s="366"/>
      <c r="J445" s="366"/>
      <c r="K445" s="366"/>
      <c r="L445" s="366"/>
      <c r="M445" s="366"/>
      <c r="N445" s="366"/>
      <c r="O445" s="366"/>
      <c r="P445" s="611"/>
      <c r="Q445" s="614"/>
      <c r="R445" s="588"/>
      <c r="S445" s="188"/>
      <c r="T445" s="366"/>
      <c r="U445" s="366"/>
      <c r="V445" s="366"/>
      <c r="W445" s="366"/>
      <c r="X445" s="366"/>
      <c r="Y445" s="366"/>
      <c r="Z445" s="366"/>
      <c r="AA445" s="366"/>
      <c r="AB445" s="366"/>
      <c r="AC445" s="366"/>
      <c r="AD445" s="366"/>
      <c r="AE445" s="366"/>
      <c r="AF445" s="366"/>
      <c r="AG445" s="366"/>
      <c r="AH445" s="366"/>
      <c r="AI445" s="366"/>
      <c r="AJ445" s="366"/>
      <c r="AK445" s="366"/>
      <c r="AL445" s="366"/>
      <c r="AM445" s="607"/>
      <c r="AN445" s="366"/>
      <c r="AO445" s="366"/>
      <c r="AP445" s="366"/>
      <c r="AQ445" s="366"/>
      <c r="AR445" s="619"/>
      <c r="AS445" s="617"/>
    </row>
    <row r="446" spans="1:45" ht="15.75">
      <c r="A446" s="190"/>
      <c r="B446" s="366"/>
      <c r="C446" s="366"/>
      <c r="D446" s="596"/>
      <c r="E446" s="596"/>
      <c r="F446" s="366"/>
      <c r="G446" s="366"/>
      <c r="H446" s="366"/>
      <c r="I446" s="366"/>
      <c r="J446" s="366"/>
      <c r="K446" s="366"/>
      <c r="L446" s="366"/>
      <c r="M446" s="366"/>
      <c r="N446" s="366"/>
      <c r="O446" s="366"/>
      <c r="P446" s="611"/>
      <c r="Q446" s="614"/>
      <c r="R446" s="588"/>
      <c r="S446" s="188"/>
      <c r="T446" s="366"/>
      <c r="U446" s="366"/>
      <c r="V446" s="366"/>
      <c r="W446" s="366"/>
      <c r="X446" s="366"/>
      <c r="Y446" s="366"/>
      <c r="Z446" s="366"/>
      <c r="AA446" s="366"/>
      <c r="AB446" s="366"/>
      <c r="AC446" s="366"/>
      <c r="AD446" s="366"/>
      <c r="AE446" s="366"/>
      <c r="AF446" s="366"/>
      <c r="AG446" s="366"/>
      <c r="AH446" s="366"/>
      <c r="AI446" s="366"/>
      <c r="AJ446" s="366"/>
      <c r="AK446" s="366"/>
      <c r="AL446" s="366"/>
      <c r="AM446" s="607"/>
      <c r="AN446" s="366"/>
      <c r="AO446" s="366"/>
      <c r="AP446" s="366"/>
      <c r="AQ446" s="366"/>
      <c r="AR446" s="619"/>
      <c r="AS446" s="617"/>
    </row>
    <row r="447" spans="1:45" ht="15.75">
      <c r="A447" s="190"/>
      <c r="B447" s="366"/>
      <c r="C447" s="366"/>
      <c r="D447" s="596"/>
      <c r="E447" s="596"/>
      <c r="F447" s="366"/>
      <c r="G447" s="366"/>
      <c r="H447" s="366"/>
      <c r="I447" s="366"/>
      <c r="J447" s="366"/>
      <c r="K447" s="366"/>
      <c r="L447" s="366"/>
      <c r="M447" s="366"/>
      <c r="N447" s="366"/>
      <c r="O447" s="366"/>
      <c r="P447" s="611"/>
      <c r="Q447" s="614"/>
      <c r="R447" s="588"/>
      <c r="S447" s="188"/>
      <c r="T447" s="366"/>
      <c r="U447" s="366"/>
      <c r="V447" s="366"/>
      <c r="W447" s="366"/>
      <c r="X447" s="366"/>
      <c r="Y447" s="366"/>
      <c r="Z447" s="366"/>
      <c r="AA447" s="366"/>
      <c r="AB447" s="366"/>
      <c r="AC447" s="366"/>
      <c r="AD447" s="366"/>
      <c r="AE447" s="366"/>
      <c r="AF447" s="366"/>
      <c r="AG447" s="366"/>
      <c r="AH447" s="366"/>
      <c r="AI447" s="366"/>
      <c r="AJ447" s="366"/>
      <c r="AK447" s="366"/>
      <c r="AL447" s="366"/>
      <c r="AM447" s="607"/>
      <c r="AN447" s="366"/>
      <c r="AO447" s="366"/>
      <c r="AP447" s="366"/>
      <c r="AQ447" s="366"/>
      <c r="AR447" s="619"/>
      <c r="AS447" s="617"/>
    </row>
    <row r="448" spans="1:45" ht="15.75">
      <c r="A448" s="190"/>
      <c r="B448" s="366"/>
      <c r="C448" s="366"/>
      <c r="D448" s="596"/>
      <c r="E448" s="596"/>
      <c r="F448" s="366"/>
      <c r="G448" s="366"/>
      <c r="H448" s="366"/>
      <c r="I448" s="366"/>
      <c r="J448" s="366"/>
      <c r="K448" s="366"/>
      <c r="L448" s="366"/>
      <c r="M448" s="366"/>
      <c r="N448" s="366"/>
      <c r="O448" s="366"/>
      <c r="P448" s="611"/>
      <c r="Q448" s="614"/>
      <c r="R448" s="588"/>
      <c r="S448" s="188"/>
      <c r="T448" s="366"/>
      <c r="U448" s="366"/>
      <c r="V448" s="366"/>
      <c r="W448" s="366"/>
      <c r="X448" s="366"/>
      <c r="Y448" s="366"/>
      <c r="Z448" s="366"/>
      <c r="AA448" s="366"/>
      <c r="AB448" s="366"/>
      <c r="AC448" s="366"/>
      <c r="AD448" s="366"/>
      <c r="AE448" s="366"/>
      <c r="AF448" s="366"/>
      <c r="AG448" s="366"/>
      <c r="AH448" s="366"/>
      <c r="AI448" s="366"/>
      <c r="AJ448" s="366"/>
      <c r="AK448" s="366"/>
      <c r="AL448" s="366"/>
      <c r="AM448" s="607"/>
      <c r="AN448" s="366"/>
      <c r="AO448" s="366"/>
      <c r="AP448" s="366"/>
      <c r="AQ448" s="366"/>
      <c r="AR448" s="619"/>
      <c r="AS448" s="617"/>
    </row>
    <row r="449" spans="1:45" ht="15.75">
      <c r="A449" s="190"/>
      <c r="B449" s="366"/>
      <c r="C449" s="366"/>
      <c r="D449" s="596"/>
      <c r="E449" s="596"/>
      <c r="F449" s="366"/>
      <c r="G449" s="366"/>
      <c r="H449" s="366"/>
      <c r="I449" s="366"/>
      <c r="J449" s="366"/>
      <c r="K449" s="366"/>
      <c r="L449" s="366"/>
      <c r="M449" s="366"/>
      <c r="N449" s="366"/>
      <c r="O449" s="366"/>
      <c r="P449" s="611"/>
      <c r="Q449" s="614"/>
      <c r="R449" s="588"/>
      <c r="S449" s="188"/>
      <c r="T449" s="366"/>
      <c r="U449" s="366"/>
      <c r="V449" s="366"/>
      <c r="W449" s="366"/>
      <c r="X449" s="366"/>
      <c r="Y449" s="366"/>
      <c r="Z449" s="366"/>
      <c r="AA449" s="366"/>
      <c r="AB449" s="366"/>
      <c r="AC449" s="366"/>
      <c r="AD449" s="366"/>
      <c r="AE449" s="366"/>
      <c r="AF449" s="366"/>
      <c r="AG449" s="366"/>
      <c r="AH449" s="366"/>
      <c r="AI449" s="366"/>
      <c r="AJ449" s="366"/>
      <c r="AK449" s="366"/>
      <c r="AL449" s="366"/>
      <c r="AM449" s="607"/>
      <c r="AN449" s="366"/>
      <c r="AO449" s="366"/>
      <c r="AP449" s="366"/>
      <c r="AQ449" s="366"/>
      <c r="AR449" s="619"/>
      <c r="AS449" s="617"/>
    </row>
    <row r="450" spans="1:45" ht="15.75">
      <c r="A450" s="190"/>
      <c r="B450" s="366"/>
      <c r="C450" s="366"/>
      <c r="D450" s="596"/>
      <c r="E450" s="596"/>
      <c r="F450" s="366"/>
      <c r="G450" s="366"/>
      <c r="H450" s="366"/>
      <c r="I450" s="366"/>
      <c r="J450" s="366"/>
      <c r="K450" s="366"/>
      <c r="L450" s="366"/>
      <c r="M450" s="366"/>
      <c r="N450" s="366"/>
      <c r="O450" s="366"/>
      <c r="P450" s="611"/>
      <c r="Q450" s="614"/>
      <c r="R450" s="588"/>
      <c r="S450" s="188"/>
      <c r="T450" s="366"/>
      <c r="U450" s="366"/>
      <c r="V450" s="366"/>
      <c r="W450" s="366"/>
      <c r="X450" s="366"/>
      <c r="Y450" s="366"/>
      <c r="Z450" s="366"/>
      <c r="AA450" s="366"/>
      <c r="AB450" s="366"/>
      <c r="AC450" s="366"/>
      <c r="AD450" s="366"/>
      <c r="AE450" s="366"/>
      <c r="AF450" s="366"/>
      <c r="AG450" s="366"/>
      <c r="AH450" s="366"/>
      <c r="AI450" s="366"/>
      <c r="AJ450" s="366"/>
      <c r="AK450" s="366"/>
      <c r="AL450" s="366"/>
      <c r="AM450" s="607"/>
      <c r="AN450" s="366"/>
      <c r="AO450" s="366"/>
      <c r="AP450" s="366"/>
      <c r="AQ450" s="366"/>
      <c r="AR450" s="619"/>
      <c r="AS450" s="617"/>
    </row>
    <row r="451" spans="1:45" ht="15.75">
      <c r="A451" s="190"/>
      <c r="B451" s="366"/>
      <c r="C451" s="366"/>
      <c r="D451" s="596"/>
      <c r="E451" s="596"/>
      <c r="F451" s="366"/>
      <c r="G451" s="366"/>
      <c r="H451" s="366"/>
      <c r="I451" s="366"/>
      <c r="J451" s="366"/>
      <c r="K451" s="366"/>
      <c r="L451" s="366"/>
      <c r="M451" s="366"/>
      <c r="N451" s="366"/>
      <c r="O451" s="366"/>
      <c r="P451" s="611"/>
      <c r="Q451" s="614"/>
      <c r="R451" s="588"/>
      <c r="S451" s="188"/>
      <c r="T451" s="366"/>
      <c r="U451" s="366"/>
      <c r="V451" s="366"/>
      <c r="W451" s="366"/>
      <c r="X451" s="366"/>
      <c r="Y451" s="366"/>
      <c r="Z451" s="366"/>
      <c r="AA451" s="366"/>
      <c r="AB451" s="366"/>
      <c r="AC451" s="366"/>
      <c r="AD451" s="366"/>
      <c r="AE451" s="366"/>
      <c r="AF451" s="366"/>
      <c r="AG451" s="366"/>
      <c r="AH451" s="366"/>
      <c r="AI451" s="366"/>
      <c r="AJ451" s="366"/>
      <c r="AK451" s="366"/>
      <c r="AL451" s="366"/>
      <c r="AM451" s="607"/>
      <c r="AN451" s="366"/>
      <c r="AO451" s="366"/>
      <c r="AP451" s="366"/>
      <c r="AQ451" s="366"/>
      <c r="AR451" s="619"/>
      <c r="AS451" s="617"/>
    </row>
    <row r="452" spans="1:45" ht="15.75">
      <c r="A452" s="190"/>
      <c r="B452" s="366"/>
      <c r="C452" s="366"/>
      <c r="D452" s="596"/>
      <c r="E452" s="596"/>
      <c r="F452" s="366"/>
      <c r="G452" s="366"/>
      <c r="H452" s="366"/>
      <c r="I452" s="366"/>
      <c r="J452" s="366"/>
      <c r="K452" s="366"/>
      <c r="L452" s="366"/>
      <c r="M452" s="366"/>
      <c r="N452" s="366"/>
      <c r="O452" s="366"/>
      <c r="P452" s="611"/>
      <c r="Q452" s="614"/>
      <c r="R452" s="588"/>
      <c r="S452" s="188"/>
      <c r="T452" s="366"/>
      <c r="U452" s="366"/>
      <c r="V452" s="366"/>
      <c r="W452" s="366"/>
      <c r="X452" s="366"/>
      <c r="Y452" s="366"/>
      <c r="Z452" s="366"/>
      <c r="AA452" s="366"/>
      <c r="AB452" s="366"/>
      <c r="AC452" s="366"/>
      <c r="AD452" s="366"/>
      <c r="AE452" s="366"/>
      <c r="AF452" s="366"/>
      <c r="AG452" s="366"/>
      <c r="AH452" s="366"/>
      <c r="AI452" s="366"/>
      <c r="AJ452" s="366"/>
      <c r="AK452" s="366"/>
      <c r="AL452" s="366"/>
      <c r="AM452" s="607"/>
      <c r="AN452" s="366"/>
      <c r="AO452" s="366"/>
      <c r="AP452" s="366"/>
      <c r="AQ452" s="366"/>
      <c r="AR452" s="619"/>
      <c r="AS452" s="617"/>
    </row>
    <row r="453" spans="1:45" ht="15.75">
      <c r="A453" s="190"/>
      <c r="B453" s="366"/>
      <c r="C453" s="366"/>
      <c r="D453" s="596"/>
      <c r="E453" s="596"/>
      <c r="F453" s="366"/>
      <c r="G453" s="366"/>
      <c r="H453" s="366"/>
      <c r="I453" s="366"/>
      <c r="J453" s="366"/>
      <c r="K453" s="366"/>
      <c r="L453" s="366"/>
      <c r="M453" s="366"/>
      <c r="N453" s="366"/>
      <c r="O453" s="366"/>
      <c r="P453" s="611"/>
      <c r="Q453" s="614"/>
      <c r="R453" s="588"/>
      <c r="S453" s="188"/>
      <c r="T453" s="366"/>
      <c r="U453" s="366"/>
      <c r="V453" s="366"/>
      <c r="W453" s="366"/>
      <c r="X453" s="366"/>
      <c r="Y453" s="366"/>
      <c r="Z453" s="366"/>
      <c r="AA453" s="366"/>
      <c r="AB453" s="366"/>
      <c r="AC453" s="366"/>
      <c r="AD453" s="366"/>
      <c r="AE453" s="366"/>
      <c r="AF453" s="366"/>
      <c r="AG453" s="366"/>
      <c r="AH453" s="366"/>
      <c r="AI453" s="366"/>
      <c r="AJ453" s="366"/>
      <c r="AK453" s="366"/>
      <c r="AL453" s="366"/>
      <c r="AM453" s="607"/>
      <c r="AN453" s="366"/>
      <c r="AO453" s="366"/>
      <c r="AP453" s="366"/>
      <c r="AQ453" s="366"/>
      <c r="AR453" s="619"/>
      <c r="AS453" s="617"/>
    </row>
    <row r="454" spans="1:45" ht="15.75">
      <c r="A454" s="190"/>
      <c r="B454" s="366"/>
      <c r="C454" s="366"/>
      <c r="D454" s="596"/>
      <c r="E454" s="596"/>
      <c r="F454" s="366"/>
      <c r="G454" s="366"/>
      <c r="H454" s="366"/>
      <c r="I454" s="366"/>
      <c r="J454" s="366"/>
      <c r="K454" s="366"/>
      <c r="L454" s="366"/>
      <c r="M454" s="366"/>
      <c r="N454" s="366"/>
      <c r="O454" s="366"/>
      <c r="P454" s="611"/>
      <c r="Q454" s="614"/>
      <c r="R454" s="588"/>
      <c r="S454" s="188"/>
      <c r="T454" s="366"/>
      <c r="U454" s="366"/>
      <c r="V454" s="366"/>
      <c r="W454" s="366"/>
      <c r="X454" s="366"/>
      <c r="Y454" s="366"/>
      <c r="Z454" s="366"/>
      <c r="AA454" s="366"/>
      <c r="AB454" s="366"/>
      <c r="AC454" s="366"/>
      <c r="AD454" s="366"/>
      <c r="AE454" s="366"/>
      <c r="AF454" s="366"/>
      <c r="AG454" s="366"/>
      <c r="AH454" s="366"/>
      <c r="AI454" s="366"/>
      <c r="AJ454" s="366"/>
      <c r="AK454" s="366"/>
      <c r="AL454" s="366"/>
      <c r="AM454" s="607"/>
      <c r="AN454" s="366"/>
      <c r="AO454" s="366"/>
      <c r="AP454" s="366"/>
      <c r="AQ454" s="366"/>
      <c r="AR454" s="619"/>
      <c r="AS454" s="617"/>
    </row>
    <row r="455" spans="1:45" ht="15.75">
      <c r="A455" s="190"/>
      <c r="B455" s="366"/>
      <c r="C455" s="366"/>
      <c r="D455" s="596"/>
      <c r="E455" s="596"/>
      <c r="F455" s="366"/>
      <c r="G455" s="366"/>
      <c r="H455" s="366"/>
      <c r="I455" s="366"/>
      <c r="J455" s="366"/>
      <c r="K455" s="366"/>
      <c r="L455" s="366"/>
      <c r="M455" s="366"/>
      <c r="N455" s="366"/>
      <c r="O455" s="366"/>
      <c r="P455" s="611"/>
      <c r="Q455" s="614"/>
      <c r="R455" s="588"/>
      <c r="S455" s="188"/>
      <c r="T455" s="366"/>
      <c r="U455" s="366"/>
      <c r="V455" s="366"/>
      <c r="W455" s="366"/>
      <c r="X455" s="366"/>
      <c r="Y455" s="366"/>
      <c r="Z455" s="366"/>
      <c r="AA455" s="366"/>
      <c r="AB455" s="366"/>
      <c r="AC455" s="366"/>
      <c r="AD455" s="366"/>
      <c r="AE455" s="366"/>
      <c r="AF455" s="366"/>
      <c r="AG455" s="366"/>
      <c r="AH455" s="366"/>
      <c r="AI455" s="366"/>
      <c r="AJ455" s="366"/>
      <c r="AK455" s="366"/>
      <c r="AL455" s="366"/>
      <c r="AM455" s="607"/>
      <c r="AN455" s="366"/>
      <c r="AO455" s="366"/>
      <c r="AP455" s="366"/>
      <c r="AQ455" s="366"/>
      <c r="AR455" s="619"/>
      <c r="AS455" s="617"/>
    </row>
    <row r="456" spans="1:45" ht="15.75">
      <c r="A456" s="190"/>
      <c r="B456" s="366"/>
      <c r="C456" s="366"/>
      <c r="D456" s="596"/>
      <c r="E456" s="596"/>
      <c r="F456" s="366"/>
      <c r="G456" s="366"/>
      <c r="H456" s="366"/>
      <c r="I456" s="366"/>
      <c r="J456" s="366"/>
      <c r="K456" s="366"/>
      <c r="L456" s="366"/>
      <c r="M456" s="366"/>
      <c r="N456" s="366"/>
      <c r="O456" s="366"/>
      <c r="P456" s="611"/>
      <c r="Q456" s="614"/>
      <c r="R456" s="588"/>
      <c r="S456" s="188"/>
      <c r="T456" s="366"/>
      <c r="U456" s="366"/>
      <c r="V456" s="366"/>
      <c r="W456" s="366"/>
      <c r="X456" s="366"/>
      <c r="Y456" s="366"/>
      <c r="Z456" s="366"/>
      <c r="AA456" s="366"/>
      <c r="AB456" s="366"/>
      <c r="AC456" s="366"/>
      <c r="AD456" s="366"/>
      <c r="AE456" s="366"/>
      <c r="AF456" s="366"/>
      <c r="AG456" s="366"/>
      <c r="AH456" s="366"/>
      <c r="AI456" s="366"/>
      <c r="AJ456" s="366"/>
      <c r="AK456" s="366"/>
      <c r="AL456" s="366"/>
      <c r="AM456" s="607"/>
      <c r="AN456" s="366"/>
      <c r="AO456" s="366"/>
      <c r="AP456" s="366"/>
      <c r="AQ456" s="366"/>
      <c r="AR456" s="619"/>
      <c r="AS456" s="617"/>
    </row>
    <row r="457" spans="1:45" ht="15.75">
      <c r="A457" s="190"/>
      <c r="B457" s="366"/>
      <c r="C457" s="366"/>
      <c r="D457" s="596"/>
      <c r="E457" s="596"/>
      <c r="F457" s="366"/>
      <c r="G457" s="366"/>
      <c r="H457" s="366"/>
      <c r="I457" s="366"/>
      <c r="J457" s="366"/>
      <c r="K457" s="366"/>
      <c r="L457" s="366"/>
      <c r="M457" s="366"/>
      <c r="N457" s="366"/>
      <c r="O457" s="366"/>
      <c r="P457" s="611"/>
      <c r="Q457" s="614"/>
      <c r="R457" s="588"/>
      <c r="S457" s="188"/>
      <c r="T457" s="366"/>
      <c r="U457" s="366"/>
      <c r="V457" s="366"/>
      <c r="W457" s="366"/>
      <c r="X457" s="366"/>
      <c r="Y457" s="366"/>
      <c r="Z457" s="366"/>
      <c r="AA457" s="366"/>
      <c r="AB457" s="366"/>
      <c r="AC457" s="366"/>
      <c r="AD457" s="366"/>
      <c r="AE457" s="366"/>
      <c r="AF457" s="366"/>
      <c r="AG457" s="366"/>
      <c r="AH457" s="366"/>
      <c r="AI457" s="366"/>
      <c r="AJ457" s="366"/>
      <c r="AK457" s="366"/>
      <c r="AL457" s="366"/>
      <c r="AM457" s="607"/>
      <c r="AN457" s="366"/>
      <c r="AO457" s="366"/>
      <c r="AP457" s="366"/>
      <c r="AQ457" s="366"/>
      <c r="AR457" s="619"/>
      <c r="AS457" s="617"/>
    </row>
    <row r="458" spans="1:45" ht="15.75">
      <c r="A458" s="190"/>
      <c r="B458" s="366"/>
      <c r="C458" s="366"/>
      <c r="D458" s="596"/>
      <c r="E458" s="596"/>
      <c r="F458" s="366"/>
      <c r="G458" s="366"/>
      <c r="H458" s="366"/>
      <c r="I458" s="366"/>
      <c r="J458" s="366"/>
      <c r="K458" s="366"/>
      <c r="L458" s="366"/>
      <c r="M458" s="366"/>
      <c r="N458" s="366"/>
      <c r="O458" s="366"/>
      <c r="P458" s="611"/>
      <c r="Q458" s="614"/>
      <c r="R458" s="588"/>
      <c r="S458" s="188"/>
      <c r="T458" s="366"/>
      <c r="U458" s="366"/>
      <c r="V458" s="366"/>
      <c r="W458" s="366"/>
      <c r="X458" s="366"/>
      <c r="Y458" s="366"/>
      <c r="Z458" s="366"/>
      <c r="AA458" s="366"/>
      <c r="AB458" s="366"/>
      <c r="AC458" s="366"/>
      <c r="AD458" s="366"/>
      <c r="AE458" s="366"/>
      <c r="AF458" s="366"/>
      <c r="AG458" s="366"/>
      <c r="AH458" s="366"/>
      <c r="AI458" s="366"/>
      <c r="AJ458" s="366"/>
      <c r="AK458" s="366"/>
      <c r="AL458" s="366"/>
      <c r="AM458" s="607"/>
      <c r="AN458" s="366"/>
      <c r="AO458" s="366"/>
      <c r="AP458" s="366"/>
      <c r="AQ458" s="366"/>
      <c r="AR458" s="619"/>
      <c r="AS458" s="617"/>
    </row>
    <row r="459" spans="1:45" ht="15.75">
      <c r="A459" s="190"/>
      <c r="B459" s="366"/>
      <c r="C459" s="366"/>
      <c r="D459" s="596"/>
      <c r="E459" s="596"/>
      <c r="F459" s="366"/>
      <c r="G459" s="366"/>
      <c r="H459" s="366"/>
      <c r="I459" s="366"/>
      <c r="J459" s="366"/>
      <c r="K459" s="366"/>
      <c r="L459" s="366"/>
      <c r="M459" s="366"/>
      <c r="N459" s="366"/>
      <c r="O459" s="366"/>
      <c r="P459" s="611"/>
      <c r="Q459" s="614"/>
      <c r="R459" s="588"/>
      <c r="S459" s="188"/>
      <c r="T459" s="366"/>
      <c r="U459" s="366"/>
      <c r="V459" s="366"/>
      <c r="W459" s="366"/>
      <c r="X459" s="366"/>
      <c r="Y459" s="366"/>
      <c r="Z459" s="366"/>
      <c r="AA459" s="366"/>
      <c r="AB459" s="366"/>
      <c r="AC459" s="366"/>
      <c r="AD459" s="366"/>
      <c r="AE459" s="366"/>
      <c r="AF459" s="366"/>
      <c r="AG459" s="366"/>
      <c r="AH459" s="366"/>
      <c r="AI459" s="366"/>
      <c r="AJ459" s="366"/>
      <c r="AK459" s="366"/>
      <c r="AL459" s="366"/>
      <c r="AM459" s="607"/>
      <c r="AN459" s="366"/>
      <c r="AO459" s="366"/>
      <c r="AP459" s="366"/>
      <c r="AQ459" s="366"/>
      <c r="AR459" s="619"/>
      <c r="AS459" s="617"/>
    </row>
    <row r="460" spans="1:45" ht="15.75">
      <c r="A460" s="190"/>
      <c r="B460" s="366"/>
      <c r="C460" s="366"/>
      <c r="D460" s="596"/>
      <c r="E460" s="596"/>
      <c r="F460" s="366"/>
      <c r="G460" s="366"/>
      <c r="H460" s="366"/>
      <c r="I460" s="366"/>
      <c r="J460" s="366"/>
      <c r="K460" s="366"/>
      <c r="L460" s="366"/>
      <c r="M460" s="366"/>
      <c r="N460" s="366"/>
      <c r="O460" s="366"/>
      <c r="P460" s="611"/>
      <c r="Q460" s="614"/>
      <c r="R460" s="588"/>
      <c r="S460" s="188"/>
      <c r="T460" s="366"/>
      <c r="U460" s="366"/>
      <c r="V460" s="366"/>
      <c r="W460" s="366"/>
      <c r="X460" s="366"/>
      <c r="Y460" s="366"/>
      <c r="Z460" s="366"/>
      <c r="AA460" s="366"/>
      <c r="AB460" s="366"/>
      <c r="AC460" s="366"/>
      <c r="AD460" s="366"/>
      <c r="AE460" s="366"/>
      <c r="AF460" s="366"/>
      <c r="AG460" s="366"/>
      <c r="AH460" s="366"/>
      <c r="AI460" s="366"/>
      <c r="AJ460" s="366"/>
      <c r="AK460" s="366"/>
      <c r="AL460" s="366"/>
      <c r="AM460" s="607"/>
      <c r="AN460" s="366"/>
      <c r="AO460" s="366"/>
      <c r="AP460" s="366"/>
      <c r="AQ460" s="366"/>
      <c r="AR460" s="619"/>
      <c r="AS460" s="617"/>
    </row>
    <row r="461" spans="1:45" ht="15.75">
      <c r="A461" s="190"/>
      <c r="B461" s="366"/>
      <c r="C461" s="366"/>
      <c r="D461" s="596"/>
      <c r="E461" s="596"/>
      <c r="F461" s="366"/>
      <c r="G461" s="366"/>
      <c r="H461" s="366"/>
      <c r="I461" s="366"/>
      <c r="J461" s="366"/>
      <c r="K461" s="366"/>
      <c r="L461" s="366"/>
      <c r="M461" s="366"/>
      <c r="N461" s="366"/>
      <c r="O461" s="366"/>
      <c r="P461" s="611"/>
      <c r="Q461" s="614"/>
      <c r="R461" s="588"/>
      <c r="S461" s="188"/>
      <c r="T461" s="366"/>
      <c r="U461" s="366"/>
      <c r="V461" s="366"/>
      <c r="W461" s="366"/>
      <c r="X461" s="366"/>
      <c r="Y461" s="366"/>
      <c r="Z461" s="366"/>
      <c r="AA461" s="366"/>
      <c r="AB461" s="366"/>
      <c r="AC461" s="366"/>
      <c r="AD461" s="366"/>
      <c r="AE461" s="366"/>
      <c r="AF461" s="366"/>
      <c r="AG461" s="366"/>
      <c r="AH461" s="366"/>
      <c r="AI461" s="366"/>
      <c r="AJ461" s="366"/>
      <c r="AK461" s="366"/>
      <c r="AL461" s="366"/>
      <c r="AM461" s="607"/>
      <c r="AN461" s="366"/>
      <c r="AO461" s="366"/>
      <c r="AP461" s="366"/>
      <c r="AQ461" s="366"/>
      <c r="AR461" s="619"/>
      <c r="AS461" s="617"/>
    </row>
    <row r="462" spans="1:45" ht="15.75">
      <c r="A462" s="190"/>
      <c r="B462" s="366"/>
      <c r="C462" s="366"/>
      <c r="D462" s="596"/>
      <c r="E462" s="596"/>
      <c r="F462" s="366"/>
      <c r="G462" s="366"/>
      <c r="H462" s="366"/>
      <c r="I462" s="366"/>
      <c r="J462" s="366"/>
      <c r="K462" s="366"/>
      <c r="L462" s="366"/>
      <c r="M462" s="366"/>
      <c r="N462" s="366"/>
      <c r="O462" s="366"/>
      <c r="P462" s="611"/>
      <c r="Q462" s="614"/>
      <c r="R462" s="588"/>
      <c r="S462" s="188"/>
      <c r="T462" s="366"/>
      <c r="U462" s="366"/>
      <c r="V462" s="366"/>
      <c r="W462" s="366"/>
      <c r="X462" s="366"/>
      <c r="Y462" s="366"/>
      <c r="Z462" s="366"/>
      <c r="AA462" s="366"/>
      <c r="AB462" s="366"/>
      <c r="AC462" s="366"/>
      <c r="AD462" s="366"/>
      <c r="AE462" s="366"/>
      <c r="AF462" s="366"/>
      <c r="AG462" s="366"/>
      <c r="AH462" s="366"/>
      <c r="AI462" s="366"/>
      <c r="AJ462" s="366"/>
      <c r="AK462" s="366"/>
      <c r="AL462" s="366"/>
      <c r="AM462" s="607"/>
      <c r="AN462" s="366"/>
      <c r="AO462" s="366"/>
      <c r="AP462" s="366"/>
      <c r="AQ462" s="366"/>
      <c r="AR462" s="619"/>
      <c r="AS462" s="617"/>
    </row>
    <row r="463" spans="1:45" ht="15.75">
      <c r="A463" s="190"/>
      <c r="B463" s="366"/>
      <c r="C463" s="366"/>
      <c r="D463" s="596"/>
      <c r="E463" s="596"/>
      <c r="F463" s="366"/>
      <c r="G463" s="366"/>
      <c r="H463" s="366"/>
      <c r="I463" s="366"/>
      <c r="J463" s="366"/>
      <c r="K463" s="366"/>
      <c r="L463" s="366"/>
      <c r="M463" s="366"/>
      <c r="N463" s="366"/>
      <c r="O463" s="366"/>
      <c r="P463" s="611"/>
      <c r="Q463" s="614"/>
      <c r="R463" s="588"/>
      <c r="S463" s="188"/>
      <c r="T463" s="366"/>
      <c r="U463" s="366"/>
      <c r="V463" s="366"/>
      <c r="W463" s="366"/>
      <c r="X463" s="366"/>
      <c r="Y463" s="366"/>
      <c r="Z463" s="366"/>
      <c r="AA463" s="366"/>
      <c r="AB463" s="366"/>
      <c r="AC463" s="366"/>
      <c r="AD463" s="366"/>
      <c r="AE463" s="366"/>
      <c r="AF463" s="366"/>
      <c r="AG463" s="366"/>
      <c r="AH463" s="366"/>
      <c r="AI463" s="366"/>
      <c r="AJ463" s="366"/>
      <c r="AK463" s="366"/>
      <c r="AL463" s="366"/>
      <c r="AM463" s="607"/>
      <c r="AN463" s="366"/>
      <c r="AO463" s="366"/>
      <c r="AP463" s="366"/>
      <c r="AQ463" s="366"/>
      <c r="AR463" s="619"/>
      <c r="AS463" s="617"/>
    </row>
    <row r="464" spans="1:45" ht="15.75">
      <c r="A464" s="190"/>
      <c r="B464" s="366"/>
      <c r="C464" s="366"/>
      <c r="D464" s="596"/>
      <c r="E464" s="596"/>
      <c r="F464" s="366"/>
      <c r="G464" s="366"/>
      <c r="H464" s="366"/>
      <c r="I464" s="366"/>
      <c r="J464" s="366"/>
      <c r="K464" s="366"/>
      <c r="L464" s="366"/>
      <c r="M464" s="366"/>
      <c r="N464" s="366"/>
      <c r="O464" s="366"/>
      <c r="P464" s="611"/>
      <c r="Q464" s="614"/>
      <c r="R464" s="588"/>
      <c r="S464" s="188"/>
      <c r="T464" s="366"/>
      <c r="U464" s="366"/>
      <c r="V464" s="366"/>
      <c r="W464" s="366"/>
      <c r="X464" s="366"/>
      <c r="Y464" s="366"/>
      <c r="Z464" s="366"/>
      <c r="AA464" s="366"/>
      <c r="AB464" s="366"/>
      <c r="AC464" s="366"/>
      <c r="AD464" s="366"/>
      <c r="AE464" s="366"/>
      <c r="AF464" s="366"/>
      <c r="AG464" s="366"/>
      <c r="AH464" s="366"/>
      <c r="AI464" s="366"/>
      <c r="AJ464" s="366"/>
      <c r="AK464" s="366"/>
      <c r="AL464" s="366"/>
      <c r="AM464" s="607"/>
      <c r="AN464" s="366"/>
      <c r="AO464" s="366"/>
      <c r="AP464" s="366"/>
      <c r="AQ464" s="366"/>
      <c r="AR464" s="619"/>
      <c r="AS464" s="617"/>
    </row>
    <row r="465" spans="1:45" ht="15.75">
      <c r="A465" s="190"/>
      <c r="B465" s="366"/>
      <c r="C465" s="366"/>
      <c r="D465" s="596"/>
      <c r="E465" s="596"/>
      <c r="F465" s="366"/>
      <c r="G465" s="366"/>
      <c r="H465" s="366"/>
      <c r="I465" s="366"/>
      <c r="J465" s="366"/>
      <c r="K465" s="366"/>
      <c r="L465" s="366"/>
      <c r="M465" s="366"/>
      <c r="N465" s="366"/>
      <c r="O465" s="366"/>
      <c r="P465" s="611"/>
      <c r="Q465" s="614"/>
      <c r="R465" s="588"/>
      <c r="S465" s="188"/>
      <c r="T465" s="366"/>
      <c r="U465" s="366"/>
      <c r="V465" s="366"/>
      <c r="W465" s="366"/>
      <c r="X465" s="366"/>
      <c r="Y465" s="366"/>
      <c r="Z465" s="366"/>
      <c r="AA465" s="366"/>
      <c r="AB465" s="366"/>
      <c r="AC465" s="366"/>
      <c r="AD465" s="366"/>
      <c r="AE465" s="366"/>
      <c r="AF465" s="366"/>
      <c r="AG465" s="366"/>
      <c r="AH465" s="366"/>
      <c r="AI465" s="366"/>
      <c r="AJ465" s="366"/>
      <c r="AK465" s="366"/>
      <c r="AL465" s="366"/>
      <c r="AM465" s="607"/>
      <c r="AN465" s="366"/>
      <c r="AO465" s="366"/>
      <c r="AP465" s="366"/>
      <c r="AQ465" s="366"/>
      <c r="AR465" s="619"/>
      <c r="AS465" s="617"/>
    </row>
    <row r="466" spans="1:45" ht="15.75">
      <c r="A466" s="190"/>
      <c r="B466" s="366"/>
      <c r="C466" s="366"/>
      <c r="D466" s="596"/>
      <c r="E466" s="596"/>
      <c r="F466" s="366"/>
      <c r="G466" s="366"/>
      <c r="H466" s="366"/>
      <c r="I466" s="366"/>
      <c r="J466" s="366"/>
      <c r="K466" s="366"/>
      <c r="L466" s="366"/>
      <c r="M466" s="366"/>
      <c r="N466" s="366"/>
      <c r="O466" s="366"/>
      <c r="P466" s="611"/>
      <c r="Q466" s="614"/>
      <c r="R466" s="588"/>
      <c r="S466" s="188"/>
      <c r="T466" s="366"/>
      <c r="U466" s="366"/>
      <c r="V466" s="366"/>
      <c r="W466" s="366"/>
      <c r="X466" s="366"/>
      <c r="Y466" s="366"/>
      <c r="Z466" s="366"/>
      <c r="AA466" s="366"/>
      <c r="AB466" s="366"/>
      <c r="AC466" s="366"/>
      <c r="AD466" s="366"/>
      <c r="AE466" s="366"/>
      <c r="AF466" s="366"/>
      <c r="AG466" s="366"/>
      <c r="AH466" s="366"/>
      <c r="AI466" s="366"/>
      <c r="AJ466" s="366"/>
      <c r="AK466" s="366"/>
      <c r="AL466" s="366"/>
      <c r="AM466" s="607"/>
      <c r="AN466" s="366"/>
      <c r="AO466" s="366"/>
      <c r="AP466" s="366"/>
      <c r="AQ466" s="366"/>
      <c r="AR466" s="619"/>
      <c r="AS466" s="617"/>
    </row>
    <row r="467" spans="1:45" ht="15.75">
      <c r="A467" s="190"/>
      <c r="B467" s="366"/>
      <c r="C467" s="366"/>
      <c r="D467" s="596"/>
      <c r="E467" s="596"/>
      <c r="F467" s="366"/>
      <c r="G467" s="366"/>
      <c r="H467" s="366"/>
      <c r="I467" s="366"/>
      <c r="J467" s="366"/>
      <c r="K467" s="366"/>
      <c r="L467" s="366"/>
      <c r="M467" s="366"/>
      <c r="N467" s="366"/>
      <c r="O467" s="366"/>
      <c r="P467" s="611"/>
      <c r="Q467" s="614"/>
      <c r="R467" s="588"/>
      <c r="S467" s="188"/>
      <c r="T467" s="366"/>
      <c r="U467" s="366"/>
      <c r="V467" s="366"/>
      <c r="W467" s="366"/>
      <c r="X467" s="366"/>
      <c r="Y467" s="366"/>
      <c r="Z467" s="366"/>
      <c r="AA467" s="366"/>
      <c r="AB467" s="366"/>
      <c r="AC467" s="366"/>
      <c r="AD467" s="366"/>
      <c r="AE467" s="366"/>
      <c r="AF467" s="366"/>
      <c r="AG467" s="366"/>
      <c r="AH467" s="366"/>
      <c r="AI467" s="366"/>
      <c r="AJ467" s="366"/>
      <c r="AK467" s="366"/>
      <c r="AL467" s="366"/>
      <c r="AM467" s="607"/>
      <c r="AN467" s="366"/>
      <c r="AO467" s="366"/>
      <c r="AP467" s="366"/>
      <c r="AQ467" s="366"/>
      <c r="AR467" s="619"/>
      <c r="AS467" s="617"/>
    </row>
    <row r="468" spans="1:45" ht="15.75">
      <c r="A468" s="190"/>
      <c r="B468" s="366"/>
      <c r="C468" s="366"/>
      <c r="D468" s="596"/>
      <c r="E468" s="596"/>
      <c r="F468" s="366"/>
      <c r="G468" s="366"/>
      <c r="H468" s="366"/>
      <c r="I468" s="366"/>
      <c r="J468" s="366"/>
      <c r="K468" s="366"/>
      <c r="L468" s="366"/>
      <c r="M468" s="366"/>
      <c r="N468" s="366"/>
      <c r="O468" s="366"/>
      <c r="P468" s="611"/>
      <c r="Q468" s="614"/>
      <c r="R468" s="588"/>
      <c r="S468" s="188"/>
      <c r="T468" s="366"/>
      <c r="U468" s="366"/>
      <c r="V468" s="366"/>
      <c r="W468" s="366"/>
      <c r="X468" s="366"/>
      <c r="Y468" s="366"/>
      <c r="Z468" s="366"/>
      <c r="AA468" s="366"/>
      <c r="AB468" s="366"/>
      <c r="AC468" s="366"/>
      <c r="AD468" s="366"/>
      <c r="AE468" s="366"/>
      <c r="AF468" s="366"/>
      <c r="AG468" s="366"/>
      <c r="AH468" s="366"/>
      <c r="AI468" s="366"/>
      <c r="AJ468" s="366"/>
      <c r="AK468" s="366"/>
      <c r="AL468" s="366"/>
      <c r="AM468" s="607"/>
      <c r="AN468" s="366"/>
      <c r="AO468" s="366"/>
      <c r="AP468" s="366"/>
      <c r="AQ468" s="366"/>
      <c r="AR468" s="619"/>
      <c r="AS468" s="617"/>
    </row>
    <row r="469" spans="1:45" ht="15.75">
      <c r="A469" s="190"/>
      <c r="B469" s="366"/>
      <c r="C469" s="366"/>
      <c r="D469" s="596"/>
      <c r="E469" s="596"/>
      <c r="F469" s="366"/>
      <c r="G469" s="366"/>
      <c r="H469" s="366"/>
      <c r="I469" s="366"/>
      <c r="J469" s="366"/>
      <c r="K469" s="366"/>
      <c r="L469" s="366"/>
      <c r="M469" s="366"/>
      <c r="N469" s="366"/>
      <c r="O469" s="366"/>
      <c r="P469" s="611"/>
      <c r="Q469" s="614"/>
      <c r="R469" s="588"/>
      <c r="S469" s="188"/>
      <c r="T469" s="366"/>
      <c r="U469" s="366"/>
      <c r="V469" s="366"/>
      <c r="W469" s="366"/>
      <c r="X469" s="366"/>
      <c r="Y469" s="366"/>
      <c r="Z469" s="366"/>
      <c r="AA469" s="366"/>
      <c r="AB469" s="366"/>
      <c r="AC469" s="366"/>
      <c r="AD469" s="366"/>
      <c r="AE469" s="366"/>
      <c r="AF469" s="366"/>
      <c r="AG469" s="366"/>
      <c r="AH469" s="366"/>
      <c r="AI469" s="366"/>
      <c r="AJ469" s="366"/>
      <c r="AK469" s="366"/>
      <c r="AL469" s="366"/>
      <c r="AM469" s="607"/>
      <c r="AN469" s="366"/>
      <c r="AO469" s="366"/>
      <c r="AP469" s="366"/>
      <c r="AQ469" s="366"/>
      <c r="AR469" s="619"/>
      <c r="AS469" s="617"/>
    </row>
    <row r="470" spans="1:45" ht="15.75">
      <c r="A470" s="190"/>
      <c r="B470" s="366"/>
      <c r="C470" s="366"/>
      <c r="D470" s="596"/>
      <c r="E470" s="596"/>
      <c r="F470" s="366"/>
      <c r="G470" s="366"/>
      <c r="H470" s="366"/>
      <c r="I470" s="366"/>
      <c r="J470" s="366"/>
      <c r="K470" s="366"/>
      <c r="L470" s="366"/>
      <c r="M470" s="366"/>
      <c r="N470" s="366"/>
      <c r="O470" s="366"/>
      <c r="P470" s="611"/>
      <c r="Q470" s="614"/>
      <c r="R470" s="588"/>
      <c r="S470" s="188"/>
      <c r="T470" s="366"/>
      <c r="U470" s="366"/>
      <c r="V470" s="366"/>
      <c r="W470" s="366"/>
      <c r="X470" s="366"/>
      <c r="Y470" s="366"/>
      <c r="Z470" s="366"/>
      <c r="AA470" s="366"/>
      <c r="AB470" s="366"/>
      <c r="AC470" s="366"/>
      <c r="AD470" s="366"/>
      <c r="AE470" s="366"/>
      <c r="AF470" s="366"/>
      <c r="AG470" s="366"/>
      <c r="AH470" s="366"/>
      <c r="AI470" s="366"/>
      <c r="AJ470" s="366"/>
      <c r="AK470" s="366"/>
      <c r="AL470" s="366"/>
      <c r="AM470" s="607"/>
      <c r="AN470" s="366"/>
      <c r="AO470" s="366"/>
      <c r="AP470" s="366"/>
      <c r="AQ470" s="366"/>
      <c r="AR470" s="619"/>
      <c r="AS470" s="617"/>
    </row>
    <row r="471" spans="1:45" ht="15.75">
      <c r="A471" s="190"/>
      <c r="B471" s="366"/>
      <c r="C471" s="366"/>
      <c r="D471" s="596"/>
      <c r="E471" s="596"/>
      <c r="F471" s="366"/>
      <c r="G471" s="366"/>
      <c r="H471" s="366"/>
      <c r="I471" s="366"/>
      <c r="J471" s="366"/>
      <c r="K471" s="366"/>
      <c r="L471" s="366"/>
      <c r="M471" s="366"/>
      <c r="N471" s="366"/>
      <c r="O471" s="366"/>
      <c r="P471" s="611"/>
      <c r="Q471" s="614"/>
      <c r="R471" s="588"/>
      <c r="S471" s="188"/>
      <c r="T471" s="366"/>
      <c r="U471" s="366"/>
      <c r="V471" s="366"/>
      <c r="W471" s="366"/>
      <c r="X471" s="366"/>
      <c r="Y471" s="366"/>
      <c r="Z471" s="366"/>
      <c r="AA471" s="366"/>
      <c r="AB471" s="366"/>
      <c r="AC471" s="366"/>
      <c r="AD471" s="366"/>
      <c r="AE471" s="366"/>
      <c r="AF471" s="366"/>
      <c r="AG471" s="366"/>
      <c r="AH471" s="366"/>
      <c r="AI471" s="366"/>
      <c r="AJ471" s="366"/>
      <c r="AK471" s="366"/>
      <c r="AL471" s="366"/>
      <c r="AM471" s="607"/>
      <c r="AN471" s="366"/>
      <c r="AO471" s="366"/>
      <c r="AP471" s="366"/>
      <c r="AQ471" s="366"/>
      <c r="AR471" s="619"/>
      <c r="AS471" s="617"/>
    </row>
    <row r="472" spans="1:45" ht="15.75">
      <c r="A472" s="190"/>
      <c r="B472" s="366"/>
      <c r="C472" s="366"/>
      <c r="D472" s="596"/>
      <c r="E472" s="596"/>
      <c r="F472" s="366"/>
      <c r="G472" s="366"/>
      <c r="H472" s="366"/>
      <c r="I472" s="366"/>
      <c r="J472" s="366"/>
      <c r="K472" s="366"/>
      <c r="L472" s="366"/>
      <c r="M472" s="366"/>
      <c r="N472" s="366"/>
      <c r="O472" s="366"/>
      <c r="P472" s="611"/>
      <c r="Q472" s="614"/>
      <c r="R472" s="588"/>
      <c r="S472" s="188"/>
      <c r="T472" s="366"/>
      <c r="U472" s="366"/>
      <c r="V472" s="366"/>
      <c r="W472" s="366"/>
      <c r="X472" s="366"/>
      <c r="Y472" s="366"/>
      <c r="Z472" s="366"/>
      <c r="AA472" s="366"/>
      <c r="AB472" s="366"/>
      <c r="AC472" s="366"/>
      <c r="AD472" s="366"/>
      <c r="AE472" s="366"/>
      <c r="AF472" s="366"/>
      <c r="AG472" s="366"/>
      <c r="AH472" s="366"/>
      <c r="AI472" s="366"/>
      <c r="AJ472" s="366"/>
      <c r="AK472" s="366"/>
      <c r="AL472" s="366"/>
      <c r="AM472" s="607"/>
      <c r="AN472" s="366"/>
      <c r="AO472" s="366"/>
      <c r="AP472" s="366"/>
      <c r="AQ472" s="366"/>
      <c r="AR472" s="619"/>
      <c r="AS472" s="617"/>
    </row>
    <row r="473" spans="1:45" ht="15.75">
      <c r="A473" s="190"/>
      <c r="B473" s="366"/>
      <c r="C473" s="366"/>
      <c r="D473" s="596"/>
      <c r="E473" s="596"/>
      <c r="F473" s="366"/>
      <c r="G473" s="366"/>
      <c r="H473" s="366"/>
      <c r="I473" s="366"/>
      <c r="J473" s="366"/>
      <c r="K473" s="366"/>
      <c r="L473" s="366"/>
      <c r="M473" s="366"/>
      <c r="N473" s="366"/>
      <c r="O473" s="366"/>
      <c r="P473" s="611"/>
      <c r="Q473" s="614"/>
      <c r="R473" s="588"/>
      <c r="S473" s="188"/>
      <c r="T473" s="366"/>
      <c r="U473" s="366"/>
      <c r="V473" s="366"/>
      <c r="W473" s="366"/>
      <c r="X473" s="366"/>
      <c r="Y473" s="366"/>
      <c r="Z473" s="366"/>
      <c r="AA473" s="366"/>
      <c r="AB473" s="366"/>
      <c r="AC473" s="366"/>
      <c r="AD473" s="366"/>
      <c r="AE473" s="366"/>
      <c r="AF473" s="366"/>
      <c r="AG473" s="366"/>
      <c r="AH473" s="366"/>
      <c r="AI473" s="366"/>
      <c r="AJ473" s="366"/>
      <c r="AK473" s="366"/>
      <c r="AL473" s="366"/>
      <c r="AM473" s="607"/>
      <c r="AN473" s="366"/>
      <c r="AO473" s="366"/>
      <c r="AP473" s="366"/>
      <c r="AQ473" s="366"/>
      <c r="AR473" s="619"/>
      <c r="AS473" s="617"/>
    </row>
    <row r="474" spans="1:45" ht="15.75">
      <c r="A474" s="190"/>
      <c r="B474" s="366"/>
      <c r="C474" s="366"/>
      <c r="D474" s="596"/>
      <c r="E474" s="596"/>
      <c r="F474" s="366"/>
      <c r="G474" s="366"/>
      <c r="H474" s="366"/>
      <c r="I474" s="366"/>
      <c r="J474" s="366"/>
      <c r="K474" s="366"/>
      <c r="L474" s="366"/>
      <c r="M474" s="366"/>
      <c r="N474" s="366"/>
      <c r="O474" s="366"/>
      <c r="P474" s="611"/>
      <c r="Q474" s="614"/>
      <c r="R474" s="588"/>
      <c r="S474" s="188"/>
      <c r="T474" s="366"/>
      <c r="U474" s="366"/>
      <c r="V474" s="366"/>
      <c r="W474" s="366"/>
      <c r="X474" s="366"/>
      <c r="Y474" s="366"/>
      <c r="Z474" s="366"/>
      <c r="AA474" s="366"/>
      <c r="AB474" s="366"/>
      <c r="AC474" s="366"/>
      <c r="AD474" s="366"/>
      <c r="AE474" s="366"/>
      <c r="AF474" s="366"/>
      <c r="AG474" s="366"/>
      <c r="AH474" s="366"/>
      <c r="AI474" s="366"/>
      <c r="AJ474" s="366"/>
      <c r="AK474" s="366"/>
      <c r="AL474" s="366"/>
      <c r="AM474" s="607"/>
      <c r="AN474" s="366"/>
      <c r="AO474" s="366"/>
      <c r="AP474" s="366"/>
      <c r="AQ474" s="366"/>
      <c r="AR474" s="619"/>
      <c r="AS474" s="617"/>
    </row>
    <row r="475" spans="1:45" ht="15.75">
      <c r="A475" s="190"/>
      <c r="B475" s="366"/>
      <c r="C475" s="366"/>
      <c r="D475" s="596"/>
      <c r="E475" s="596"/>
      <c r="F475" s="366"/>
      <c r="G475" s="366"/>
      <c r="H475" s="366"/>
      <c r="I475" s="366"/>
      <c r="J475" s="366"/>
      <c r="K475" s="366"/>
      <c r="L475" s="366"/>
      <c r="M475" s="366"/>
      <c r="N475" s="366"/>
      <c r="O475" s="366"/>
      <c r="P475" s="611"/>
      <c r="Q475" s="614"/>
      <c r="R475" s="588"/>
      <c r="S475" s="188"/>
      <c r="T475" s="366"/>
      <c r="U475" s="366"/>
      <c r="V475" s="366"/>
      <c r="W475" s="366"/>
      <c r="X475" s="366"/>
      <c r="Y475" s="366"/>
      <c r="Z475" s="366"/>
      <c r="AA475" s="366"/>
      <c r="AB475" s="366"/>
      <c r="AC475" s="366"/>
      <c r="AD475" s="366"/>
      <c r="AE475" s="366"/>
      <c r="AF475" s="366"/>
      <c r="AG475" s="366"/>
      <c r="AH475" s="366"/>
      <c r="AI475" s="366"/>
      <c r="AJ475" s="366"/>
      <c r="AK475" s="366"/>
      <c r="AL475" s="366"/>
      <c r="AM475" s="607"/>
      <c r="AN475" s="366"/>
      <c r="AO475" s="366"/>
      <c r="AP475" s="366"/>
      <c r="AQ475" s="366"/>
      <c r="AR475" s="619"/>
      <c r="AS475" s="617"/>
    </row>
    <row r="476" spans="1:45" ht="15.75">
      <c r="A476" s="190"/>
      <c r="B476" s="366"/>
      <c r="C476" s="366"/>
      <c r="D476" s="596"/>
      <c r="E476" s="596"/>
      <c r="F476" s="366"/>
      <c r="G476" s="366"/>
      <c r="H476" s="366"/>
      <c r="I476" s="366"/>
      <c r="J476" s="366"/>
      <c r="K476" s="366"/>
      <c r="L476" s="366"/>
      <c r="M476" s="366"/>
      <c r="N476" s="366"/>
      <c r="O476" s="366"/>
      <c r="P476" s="611"/>
      <c r="Q476" s="614"/>
      <c r="R476" s="588"/>
      <c r="S476" s="188"/>
      <c r="T476" s="366"/>
      <c r="U476" s="366"/>
      <c r="V476" s="366"/>
      <c r="W476" s="366"/>
      <c r="X476" s="366"/>
      <c r="Y476" s="366"/>
      <c r="Z476" s="366"/>
      <c r="AA476" s="366"/>
      <c r="AB476" s="366"/>
      <c r="AC476" s="366"/>
      <c r="AD476" s="366"/>
      <c r="AE476" s="366"/>
      <c r="AF476" s="366"/>
      <c r="AG476" s="366"/>
      <c r="AH476" s="366"/>
      <c r="AI476" s="366"/>
      <c r="AJ476" s="366"/>
      <c r="AK476" s="366"/>
      <c r="AL476" s="366"/>
      <c r="AM476" s="607"/>
      <c r="AN476" s="366"/>
      <c r="AO476" s="366"/>
      <c r="AP476" s="366"/>
      <c r="AQ476" s="366"/>
      <c r="AR476" s="619"/>
      <c r="AS476" s="617"/>
    </row>
    <row r="477" spans="1:45" ht="15.75">
      <c r="A477" s="190"/>
      <c r="B477" s="366"/>
      <c r="C477" s="366"/>
      <c r="D477" s="596"/>
      <c r="E477" s="596"/>
      <c r="F477" s="366"/>
      <c r="G477" s="366"/>
      <c r="H477" s="366"/>
      <c r="I477" s="366"/>
      <c r="J477" s="366"/>
      <c r="K477" s="366"/>
      <c r="L477" s="366"/>
      <c r="M477" s="366"/>
      <c r="N477" s="366"/>
      <c r="O477" s="366"/>
      <c r="P477" s="611"/>
      <c r="Q477" s="614"/>
      <c r="R477" s="588"/>
      <c r="S477" s="188"/>
      <c r="T477" s="366"/>
      <c r="U477" s="366"/>
      <c r="V477" s="366"/>
      <c r="W477" s="366"/>
      <c r="X477" s="366"/>
      <c r="Y477" s="366"/>
      <c r="Z477" s="366"/>
      <c r="AA477" s="366"/>
      <c r="AB477" s="366"/>
      <c r="AC477" s="366"/>
      <c r="AD477" s="366"/>
      <c r="AE477" s="366"/>
      <c r="AF477" s="366"/>
      <c r="AG477" s="366"/>
      <c r="AH477" s="366"/>
      <c r="AI477" s="366"/>
      <c r="AJ477" s="366"/>
      <c r="AK477" s="366"/>
      <c r="AL477" s="366"/>
      <c r="AM477" s="607"/>
      <c r="AN477" s="366"/>
      <c r="AO477" s="366"/>
      <c r="AP477" s="366"/>
      <c r="AQ477" s="366"/>
      <c r="AR477" s="619"/>
      <c r="AS477" s="617"/>
    </row>
    <row r="478" spans="1:45" ht="15.75">
      <c r="A478" s="190"/>
      <c r="B478" s="366"/>
      <c r="C478" s="366"/>
      <c r="D478" s="596"/>
      <c r="E478" s="596"/>
      <c r="F478" s="366"/>
      <c r="G478" s="366"/>
      <c r="H478" s="366"/>
      <c r="I478" s="366"/>
      <c r="J478" s="366"/>
      <c r="K478" s="366"/>
      <c r="L478" s="366"/>
      <c r="M478" s="366"/>
      <c r="N478" s="366"/>
      <c r="O478" s="366"/>
      <c r="P478" s="611"/>
      <c r="Q478" s="614"/>
      <c r="R478" s="588"/>
      <c r="S478" s="188"/>
      <c r="T478" s="366"/>
      <c r="U478" s="366"/>
      <c r="V478" s="366"/>
      <c r="W478" s="366"/>
      <c r="X478" s="366"/>
      <c r="Y478" s="366"/>
      <c r="Z478" s="366"/>
      <c r="AA478" s="366"/>
      <c r="AB478" s="366"/>
      <c r="AC478" s="366"/>
      <c r="AD478" s="366"/>
      <c r="AE478" s="366"/>
      <c r="AF478" s="366"/>
      <c r="AG478" s="366"/>
      <c r="AH478" s="366"/>
      <c r="AI478" s="366"/>
      <c r="AJ478" s="366"/>
      <c r="AK478" s="366"/>
      <c r="AL478" s="366"/>
      <c r="AM478" s="607"/>
      <c r="AN478" s="366"/>
      <c r="AO478" s="366"/>
      <c r="AP478" s="366"/>
      <c r="AQ478" s="366"/>
      <c r="AR478" s="619"/>
      <c r="AS478" s="617"/>
    </row>
    <row r="479" spans="1:45" ht="15.75">
      <c r="A479" s="190"/>
      <c r="B479" s="366"/>
      <c r="C479" s="366"/>
      <c r="D479" s="596"/>
      <c r="E479" s="596"/>
      <c r="F479" s="366"/>
      <c r="G479" s="366"/>
      <c r="H479" s="366"/>
      <c r="I479" s="366"/>
      <c r="J479" s="366"/>
      <c r="K479" s="366"/>
      <c r="L479" s="366"/>
      <c r="M479" s="366"/>
      <c r="N479" s="366"/>
      <c r="O479" s="366"/>
      <c r="P479" s="611"/>
      <c r="Q479" s="614"/>
      <c r="R479" s="588"/>
      <c r="S479" s="188"/>
      <c r="T479" s="366"/>
      <c r="U479" s="366"/>
      <c r="V479" s="366"/>
      <c r="W479" s="366"/>
      <c r="X479" s="366"/>
      <c r="Y479" s="366"/>
      <c r="Z479" s="366"/>
      <c r="AA479" s="366"/>
      <c r="AB479" s="366"/>
      <c r="AC479" s="366"/>
      <c r="AD479" s="366"/>
      <c r="AE479" s="366"/>
      <c r="AF479" s="366"/>
      <c r="AG479" s="366"/>
      <c r="AH479" s="366"/>
      <c r="AI479" s="366"/>
      <c r="AJ479" s="366"/>
      <c r="AK479" s="366"/>
      <c r="AL479" s="366"/>
      <c r="AM479" s="607"/>
      <c r="AN479" s="366"/>
      <c r="AO479" s="366"/>
      <c r="AP479" s="366"/>
      <c r="AQ479" s="366"/>
      <c r="AR479" s="619"/>
      <c r="AS479" s="617"/>
    </row>
    <row r="480" spans="1:45" ht="15.75">
      <c r="A480" s="190"/>
      <c r="B480" s="366"/>
      <c r="C480" s="366"/>
      <c r="D480" s="596"/>
      <c r="E480" s="596"/>
      <c r="F480" s="366"/>
      <c r="G480" s="366"/>
      <c r="H480" s="366"/>
      <c r="I480" s="366"/>
      <c r="J480" s="366"/>
      <c r="K480" s="366"/>
      <c r="L480" s="366"/>
      <c r="M480" s="366"/>
      <c r="N480" s="366"/>
      <c r="O480" s="366"/>
      <c r="P480" s="611"/>
      <c r="Q480" s="614"/>
      <c r="R480" s="588"/>
      <c r="S480" s="188"/>
      <c r="T480" s="366"/>
      <c r="U480" s="366"/>
      <c r="V480" s="366"/>
      <c r="W480" s="366"/>
      <c r="X480" s="366"/>
      <c r="Y480" s="366"/>
      <c r="Z480" s="366"/>
      <c r="AA480" s="366"/>
      <c r="AB480" s="366"/>
      <c r="AC480" s="366"/>
      <c r="AD480" s="366"/>
      <c r="AE480" s="366"/>
      <c r="AF480" s="366"/>
      <c r="AG480" s="366"/>
      <c r="AH480" s="366"/>
      <c r="AI480" s="366"/>
      <c r="AJ480" s="366"/>
      <c r="AK480" s="366"/>
      <c r="AL480" s="366"/>
      <c r="AM480" s="607"/>
      <c r="AN480" s="366"/>
      <c r="AO480" s="366"/>
      <c r="AP480" s="366"/>
      <c r="AQ480" s="366"/>
      <c r="AR480" s="619"/>
      <c r="AS480" s="617"/>
    </row>
    <row r="481" spans="1:45" ht="15.75">
      <c r="A481" s="190"/>
      <c r="B481" s="366"/>
      <c r="C481" s="366"/>
      <c r="D481" s="596"/>
      <c r="E481" s="596"/>
      <c r="F481" s="366"/>
      <c r="G481" s="366"/>
      <c r="H481" s="366"/>
      <c r="I481" s="366"/>
      <c r="J481" s="366"/>
      <c r="K481" s="366"/>
      <c r="L481" s="366"/>
      <c r="M481" s="366"/>
      <c r="N481" s="366"/>
      <c r="O481" s="366"/>
      <c r="P481" s="611"/>
      <c r="Q481" s="614"/>
      <c r="R481" s="588"/>
      <c r="S481" s="188"/>
      <c r="T481" s="366"/>
      <c r="U481" s="366"/>
      <c r="V481" s="366"/>
      <c r="W481" s="366"/>
      <c r="X481" s="366"/>
      <c r="Y481" s="366"/>
      <c r="Z481" s="366"/>
      <c r="AA481" s="366"/>
      <c r="AB481" s="366"/>
      <c r="AC481" s="366"/>
      <c r="AD481" s="366"/>
      <c r="AE481" s="366"/>
      <c r="AF481" s="366"/>
      <c r="AG481" s="366"/>
      <c r="AH481" s="366"/>
      <c r="AI481" s="366"/>
      <c r="AJ481" s="366"/>
      <c r="AK481" s="366"/>
      <c r="AL481" s="366"/>
      <c r="AM481" s="607"/>
      <c r="AN481" s="366"/>
      <c r="AO481" s="366"/>
      <c r="AP481" s="366"/>
      <c r="AQ481" s="366"/>
      <c r="AR481" s="619"/>
      <c r="AS481" s="617"/>
    </row>
    <row r="482" spans="1:45" ht="15.75">
      <c r="A482" s="190"/>
      <c r="B482" s="366"/>
      <c r="C482" s="366"/>
      <c r="D482" s="596"/>
      <c r="E482" s="596"/>
      <c r="F482" s="366"/>
      <c r="G482" s="366"/>
      <c r="H482" s="366"/>
      <c r="I482" s="366"/>
      <c r="J482" s="366"/>
      <c r="K482" s="366"/>
      <c r="L482" s="366"/>
      <c r="M482" s="366"/>
      <c r="N482" s="366"/>
      <c r="O482" s="366"/>
      <c r="P482" s="611"/>
      <c r="Q482" s="614"/>
      <c r="R482" s="588"/>
      <c r="S482" s="188"/>
      <c r="T482" s="366"/>
      <c r="U482" s="366"/>
      <c r="V482" s="366"/>
      <c r="W482" s="366"/>
      <c r="X482" s="366"/>
      <c r="Y482" s="366"/>
      <c r="Z482" s="366"/>
      <c r="AA482" s="366"/>
      <c r="AB482" s="366"/>
      <c r="AC482" s="366"/>
      <c r="AD482" s="366"/>
      <c r="AE482" s="366"/>
      <c r="AF482" s="366"/>
      <c r="AG482" s="366"/>
      <c r="AH482" s="366"/>
      <c r="AI482" s="366"/>
      <c r="AJ482" s="366"/>
      <c r="AK482" s="366"/>
      <c r="AL482" s="366"/>
      <c r="AM482" s="607"/>
      <c r="AN482" s="366"/>
      <c r="AO482" s="366"/>
      <c r="AP482" s="366"/>
      <c r="AQ482" s="366"/>
      <c r="AR482" s="619"/>
      <c r="AS482" s="617"/>
    </row>
    <row r="483" spans="1:45" ht="15.75">
      <c r="A483" s="190"/>
      <c r="B483" s="366"/>
      <c r="C483" s="366"/>
      <c r="D483" s="596"/>
      <c r="E483" s="596"/>
      <c r="F483" s="366"/>
      <c r="G483" s="366"/>
      <c r="H483" s="366"/>
      <c r="I483" s="366"/>
      <c r="J483" s="366"/>
      <c r="K483" s="366"/>
      <c r="L483" s="366"/>
      <c r="M483" s="366"/>
      <c r="N483" s="366"/>
      <c r="O483" s="366"/>
      <c r="P483" s="611"/>
      <c r="Q483" s="614"/>
      <c r="R483" s="588"/>
      <c r="S483" s="188"/>
      <c r="T483" s="366"/>
      <c r="U483" s="366"/>
      <c r="V483" s="366"/>
      <c r="W483" s="366"/>
      <c r="X483" s="366"/>
      <c r="Y483" s="366"/>
      <c r="Z483" s="366"/>
      <c r="AA483" s="366"/>
      <c r="AB483" s="366"/>
      <c r="AC483" s="366"/>
      <c r="AD483" s="366"/>
      <c r="AE483" s="366"/>
      <c r="AF483" s="366"/>
      <c r="AG483" s="366"/>
      <c r="AH483" s="366"/>
      <c r="AI483" s="366"/>
      <c r="AJ483" s="366"/>
      <c r="AK483" s="366"/>
      <c r="AL483" s="366"/>
      <c r="AM483" s="607"/>
      <c r="AN483" s="366"/>
      <c r="AO483" s="366"/>
      <c r="AP483" s="366"/>
      <c r="AQ483" s="366"/>
      <c r="AR483" s="619"/>
      <c r="AS483" s="617"/>
    </row>
    <row r="484" spans="1:45" ht="15.75">
      <c r="A484" s="190"/>
      <c r="B484" s="366"/>
      <c r="C484" s="366"/>
      <c r="D484" s="596"/>
      <c r="E484" s="596"/>
      <c r="F484" s="366"/>
      <c r="G484" s="366"/>
      <c r="H484" s="366"/>
      <c r="I484" s="366"/>
      <c r="J484" s="366"/>
      <c r="K484" s="366"/>
      <c r="L484" s="366"/>
      <c r="M484" s="366"/>
      <c r="N484" s="366"/>
      <c r="O484" s="366"/>
      <c r="P484" s="611"/>
      <c r="Q484" s="614"/>
      <c r="R484" s="588"/>
      <c r="S484" s="188"/>
      <c r="T484" s="366"/>
      <c r="U484" s="366"/>
      <c r="V484" s="366"/>
      <c r="W484" s="366"/>
      <c r="X484" s="366"/>
      <c r="Y484" s="366"/>
      <c r="Z484" s="366"/>
      <c r="AA484" s="366"/>
      <c r="AB484" s="366"/>
      <c r="AC484" s="366"/>
      <c r="AD484" s="366"/>
      <c r="AE484" s="366"/>
      <c r="AF484" s="366"/>
      <c r="AG484" s="366"/>
      <c r="AH484" s="366"/>
      <c r="AI484" s="366"/>
      <c r="AJ484" s="366"/>
      <c r="AK484" s="366"/>
      <c r="AL484" s="366"/>
      <c r="AM484" s="607"/>
      <c r="AN484" s="366"/>
      <c r="AO484" s="366"/>
      <c r="AP484" s="366"/>
      <c r="AQ484" s="366"/>
      <c r="AR484" s="619"/>
      <c r="AS484" s="617"/>
    </row>
    <row r="485" spans="1:45" ht="15.75">
      <c r="A485" s="190"/>
      <c r="B485" s="366"/>
      <c r="C485" s="366"/>
      <c r="D485" s="596"/>
      <c r="E485" s="596"/>
      <c r="F485" s="366"/>
      <c r="G485" s="366"/>
      <c r="H485" s="366"/>
      <c r="I485" s="366"/>
      <c r="J485" s="366"/>
      <c r="K485" s="366"/>
      <c r="L485" s="366"/>
      <c r="M485" s="366"/>
      <c r="N485" s="366"/>
      <c r="O485" s="366"/>
      <c r="P485" s="611"/>
      <c r="Q485" s="614"/>
      <c r="R485" s="588"/>
      <c r="S485" s="188"/>
      <c r="T485" s="366"/>
      <c r="U485" s="366"/>
      <c r="V485" s="366"/>
      <c r="W485" s="366"/>
      <c r="X485" s="366"/>
      <c r="Y485" s="366"/>
      <c r="Z485" s="366"/>
      <c r="AA485" s="366"/>
      <c r="AB485" s="366"/>
      <c r="AC485" s="366"/>
      <c r="AD485" s="366"/>
      <c r="AE485" s="366"/>
      <c r="AF485" s="366"/>
      <c r="AG485" s="366"/>
      <c r="AH485" s="366"/>
      <c r="AI485" s="366"/>
      <c r="AJ485" s="366"/>
      <c r="AK485" s="366"/>
      <c r="AL485" s="366"/>
      <c r="AM485" s="607"/>
      <c r="AN485" s="366"/>
      <c r="AO485" s="366"/>
      <c r="AP485" s="366"/>
      <c r="AQ485" s="366"/>
      <c r="AR485" s="619"/>
      <c r="AS485" s="617"/>
    </row>
    <row r="486" spans="1:45" ht="15.75">
      <c r="A486" s="190"/>
      <c r="B486" s="366"/>
      <c r="C486" s="366"/>
      <c r="D486" s="596"/>
      <c r="E486" s="596"/>
      <c r="F486" s="366"/>
      <c r="G486" s="366"/>
      <c r="H486" s="366"/>
      <c r="I486" s="366"/>
      <c r="J486" s="366"/>
      <c r="K486" s="366"/>
      <c r="L486" s="366"/>
      <c r="M486" s="366"/>
      <c r="N486" s="366"/>
      <c r="O486" s="366"/>
      <c r="P486" s="611"/>
      <c r="Q486" s="614"/>
      <c r="R486" s="588"/>
      <c r="S486" s="188"/>
      <c r="T486" s="366"/>
      <c r="U486" s="366"/>
      <c r="V486" s="366"/>
      <c r="W486" s="366"/>
      <c r="X486" s="366"/>
      <c r="Y486" s="366"/>
      <c r="Z486" s="366"/>
      <c r="AA486" s="366"/>
      <c r="AB486" s="366"/>
      <c r="AC486" s="366"/>
      <c r="AD486" s="366"/>
      <c r="AE486" s="366"/>
      <c r="AF486" s="366"/>
      <c r="AG486" s="366"/>
      <c r="AH486" s="366"/>
      <c r="AI486" s="366"/>
      <c r="AJ486" s="366"/>
      <c r="AK486" s="366"/>
      <c r="AL486" s="366"/>
      <c r="AM486" s="607"/>
      <c r="AN486" s="366"/>
      <c r="AO486" s="366"/>
      <c r="AP486" s="366"/>
      <c r="AQ486" s="366"/>
      <c r="AR486" s="619"/>
      <c r="AS486" s="617"/>
    </row>
    <row r="487" spans="1:45" ht="15.75">
      <c r="A487" s="190"/>
      <c r="B487" s="366"/>
      <c r="C487" s="366"/>
      <c r="D487" s="596"/>
      <c r="E487" s="596"/>
      <c r="F487" s="366"/>
      <c r="G487" s="366"/>
      <c r="H487" s="366"/>
      <c r="I487" s="366"/>
      <c r="J487" s="366"/>
      <c r="K487" s="366"/>
      <c r="L487" s="366"/>
      <c r="M487" s="366"/>
      <c r="N487" s="366"/>
      <c r="O487" s="366"/>
      <c r="P487" s="611"/>
      <c r="Q487" s="614"/>
      <c r="R487" s="588"/>
      <c r="S487" s="188"/>
      <c r="T487" s="366"/>
      <c r="U487" s="366"/>
      <c r="V487" s="366"/>
      <c r="W487" s="366"/>
      <c r="X487" s="366"/>
      <c r="Y487" s="366"/>
      <c r="Z487" s="366"/>
      <c r="AA487" s="366"/>
      <c r="AB487" s="366"/>
      <c r="AC487" s="366"/>
      <c r="AD487" s="366"/>
      <c r="AE487" s="366"/>
      <c r="AF487" s="366"/>
      <c r="AG487" s="366"/>
      <c r="AH487" s="366"/>
      <c r="AI487" s="366"/>
      <c r="AJ487" s="366"/>
      <c r="AK487" s="366"/>
      <c r="AL487" s="366"/>
      <c r="AM487" s="607"/>
      <c r="AN487" s="366"/>
      <c r="AO487" s="366"/>
      <c r="AP487" s="366"/>
      <c r="AQ487" s="366"/>
      <c r="AR487" s="619"/>
      <c r="AS487" s="617"/>
    </row>
    <row r="488" spans="1:45" ht="15.75">
      <c r="A488" s="190"/>
      <c r="B488" s="366"/>
      <c r="C488" s="366"/>
      <c r="D488" s="596"/>
      <c r="E488" s="596"/>
      <c r="F488" s="366"/>
      <c r="G488" s="366"/>
      <c r="H488" s="366"/>
      <c r="I488" s="366"/>
      <c r="J488" s="366"/>
      <c r="K488" s="366"/>
      <c r="L488" s="366"/>
      <c r="M488" s="366"/>
      <c r="N488" s="366"/>
      <c r="O488" s="366"/>
      <c r="P488" s="611"/>
      <c r="Q488" s="614"/>
      <c r="R488" s="588"/>
      <c r="S488" s="188"/>
      <c r="T488" s="366"/>
      <c r="U488" s="366"/>
      <c r="V488" s="366"/>
      <c r="W488" s="366"/>
      <c r="X488" s="366"/>
      <c r="Y488" s="366"/>
      <c r="Z488" s="366"/>
      <c r="AA488" s="366"/>
      <c r="AB488" s="366"/>
      <c r="AC488" s="366"/>
      <c r="AD488" s="366"/>
      <c r="AE488" s="366"/>
      <c r="AF488" s="366"/>
      <c r="AG488" s="366"/>
      <c r="AH488" s="366"/>
      <c r="AI488" s="366"/>
      <c r="AJ488" s="366"/>
      <c r="AK488" s="366"/>
      <c r="AL488" s="366"/>
      <c r="AM488" s="607"/>
      <c r="AN488" s="366"/>
      <c r="AO488" s="366"/>
      <c r="AP488" s="366"/>
      <c r="AQ488" s="366"/>
      <c r="AR488" s="619"/>
      <c r="AS488" s="617"/>
    </row>
    <row r="489" spans="1:45" ht="15.75">
      <c r="A489" s="190"/>
      <c r="B489" s="366"/>
      <c r="C489" s="366"/>
      <c r="D489" s="596"/>
      <c r="E489" s="596"/>
      <c r="F489" s="366"/>
      <c r="G489" s="366"/>
      <c r="H489" s="366"/>
      <c r="I489" s="366"/>
      <c r="J489" s="366"/>
      <c r="K489" s="366"/>
      <c r="L489" s="366"/>
      <c r="M489" s="366"/>
      <c r="N489" s="366"/>
      <c r="O489" s="366"/>
      <c r="P489" s="611"/>
      <c r="Q489" s="614"/>
      <c r="R489" s="588"/>
      <c r="S489" s="188"/>
      <c r="T489" s="366"/>
      <c r="U489" s="366"/>
      <c r="V489" s="366"/>
      <c r="W489" s="366"/>
      <c r="X489" s="366"/>
      <c r="Y489" s="366"/>
      <c r="Z489" s="366"/>
      <c r="AA489" s="366"/>
      <c r="AB489" s="366"/>
      <c r="AC489" s="366"/>
      <c r="AD489" s="366"/>
      <c r="AE489" s="366"/>
      <c r="AF489" s="366"/>
      <c r="AG489" s="366"/>
      <c r="AH489" s="366"/>
      <c r="AI489" s="366"/>
      <c r="AJ489" s="366"/>
      <c r="AK489" s="366"/>
      <c r="AL489" s="366"/>
      <c r="AM489" s="607"/>
      <c r="AN489" s="366"/>
      <c r="AO489" s="366"/>
      <c r="AP489" s="366"/>
      <c r="AQ489" s="366"/>
      <c r="AR489" s="619"/>
      <c r="AS489" s="617"/>
    </row>
    <row r="490" spans="1:45" ht="15.75">
      <c r="A490" s="190"/>
      <c r="B490" s="366"/>
      <c r="C490" s="366"/>
      <c r="D490" s="596"/>
      <c r="E490" s="596"/>
      <c r="F490" s="366"/>
      <c r="G490" s="366"/>
      <c r="H490" s="366"/>
      <c r="I490" s="366"/>
      <c r="J490" s="366"/>
      <c r="K490" s="366"/>
      <c r="L490" s="366"/>
      <c r="M490" s="366"/>
      <c r="N490" s="366"/>
      <c r="O490" s="366"/>
      <c r="P490" s="611"/>
      <c r="Q490" s="614"/>
      <c r="R490" s="588"/>
      <c r="S490" s="188"/>
      <c r="T490" s="366"/>
      <c r="U490" s="366"/>
      <c r="V490" s="366"/>
      <c r="W490" s="366"/>
      <c r="X490" s="366"/>
      <c r="Y490" s="366"/>
      <c r="Z490" s="366"/>
      <c r="AA490" s="366"/>
      <c r="AB490" s="366"/>
      <c r="AC490" s="366"/>
      <c r="AD490" s="366"/>
      <c r="AE490" s="366"/>
      <c r="AF490" s="366"/>
      <c r="AG490" s="366"/>
      <c r="AH490" s="366"/>
      <c r="AI490" s="366"/>
      <c r="AJ490" s="366"/>
      <c r="AK490" s="366"/>
      <c r="AL490" s="366"/>
      <c r="AM490" s="607"/>
      <c r="AN490" s="366"/>
      <c r="AO490" s="366"/>
      <c r="AP490" s="366"/>
      <c r="AQ490" s="366"/>
      <c r="AR490" s="619"/>
      <c r="AS490" s="617"/>
    </row>
    <row r="491" spans="1:45" ht="15.75">
      <c r="A491" s="190"/>
      <c r="B491" s="366"/>
      <c r="C491" s="366"/>
      <c r="D491" s="596"/>
      <c r="E491" s="596"/>
      <c r="F491" s="366"/>
      <c r="G491" s="366"/>
      <c r="H491" s="366"/>
      <c r="I491" s="366"/>
      <c r="J491" s="366"/>
      <c r="K491" s="366"/>
      <c r="L491" s="366"/>
      <c r="M491" s="366"/>
      <c r="N491" s="366"/>
      <c r="O491" s="366"/>
      <c r="P491" s="611"/>
      <c r="Q491" s="614"/>
      <c r="R491" s="588"/>
      <c r="S491" s="188"/>
      <c r="T491" s="366"/>
      <c r="U491" s="366"/>
      <c r="V491" s="366"/>
      <c r="W491" s="366"/>
      <c r="X491" s="366"/>
      <c r="Y491" s="366"/>
      <c r="Z491" s="366"/>
      <c r="AA491" s="366"/>
      <c r="AB491" s="366"/>
      <c r="AC491" s="366"/>
      <c r="AD491" s="366"/>
      <c r="AE491" s="366"/>
      <c r="AF491" s="366"/>
      <c r="AG491" s="366"/>
      <c r="AH491" s="366"/>
      <c r="AI491" s="366"/>
      <c r="AJ491" s="366"/>
      <c r="AK491" s="366"/>
      <c r="AL491" s="366"/>
      <c r="AM491" s="607"/>
      <c r="AN491" s="366"/>
      <c r="AO491" s="366"/>
      <c r="AP491" s="366"/>
      <c r="AQ491" s="366"/>
      <c r="AR491" s="619"/>
      <c r="AS491" s="617"/>
    </row>
    <row r="492" spans="1:45" ht="15.75">
      <c r="A492" s="190"/>
      <c r="B492" s="366"/>
      <c r="C492" s="366"/>
      <c r="D492" s="596"/>
      <c r="E492" s="596"/>
      <c r="F492" s="366"/>
      <c r="G492" s="366"/>
      <c r="H492" s="366"/>
      <c r="I492" s="366"/>
      <c r="J492" s="366"/>
      <c r="K492" s="366"/>
      <c r="L492" s="366"/>
      <c r="M492" s="366"/>
      <c r="N492" s="366"/>
      <c r="O492" s="366"/>
      <c r="P492" s="611"/>
      <c r="Q492" s="614"/>
      <c r="R492" s="588"/>
      <c r="S492" s="188"/>
      <c r="T492" s="366"/>
      <c r="U492" s="366"/>
      <c r="V492" s="366"/>
      <c r="W492" s="366"/>
      <c r="X492" s="366"/>
      <c r="Y492" s="366"/>
      <c r="Z492" s="366"/>
      <c r="AA492" s="366"/>
      <c r="AB492" s="366"/>
      <c r="AC492" s="366"/>
      <c r="AD492" s="366"/>
      <c r="AE492" s="366"/>
      <c r="AF492" s="366"/>
      <c r="AG492" s="366"/>
      <c r="AH492" s="366"/>
      <c r="AI492" s="366"/>
      <c r="AJ492" s="366"/>
      <c r="AK492" s="366"/>
      <c r="AL492" s="366"/>
      <c r="AM492" s="607"/>
      <c r="AN492" s="366"/>
      <c r="AO492" s="366"/>
      <c r="AP492" s="366"/>
      <c r="AQ492" s="366"/>
      <c r="AR492" s="619"/>
      <c r="AS492" s="617"/>
    </row>
    <row r="493" spans="1:45" ht="15.75">
      <c r="A493" s="190"/>
      <c r="B493" s="366"/>
      <c r="C493" s="366"/>
      <c r="D493" s="596"/>
      <c r="E493" s="596"/>
      <c r="F493" s="366"/>
      <c r="G493" s="366"/>
      <c r="H493" s="366"/>
      <c r="I493" s="366"/>
      <c r="J493" s="366"/>
      <c r="K493" s="366"/>
      <c r="L493" s="366"/>
      <c r="M493" s="366"/>
      <c r="N493" s="366"/>
      <c r="O493" s="366"/>
      <c r="P493" s="611"/>
      <c r="Q493" s="614"/>
      <c r="R493" s="588"/>
      <c r="S493" s="188"/>
      <c r="T493" s="366"/>
      <c r="U493" s="366"/>
      <c r="V493" s="366"/>
      <c r="W493" s="366"/>
      <c r="X493" s="366"/>
      <c r="Y493" s="366"/>
      <c r="Z493" s="366"/>
      <c r="AA493" s="366"/>
      <c r="AB493" s="366"/>
      <c r="AC493" s="366"/>
      <c r="AD493" s="366"/>
      <c r="AE493" s="366"/>
      <c r="AF493" s="366"/>
      <c r="AG493" s="366"/>
      <c r="AH493" s="366"/>
      <c r="AI493" s="366"/>
      <c r="AJ493" s="366"/>
      <c r="AK493" s="366"/>
      <c r="AL493" s="366"/>
      <c r="AM493" s="607"/>
      <c r="AN493" s="366"/>
      <c r="AO493" s="366"/>
      <c r="AP493" s="366"/>
      <c r="AQ493" s="366"/>
      <c r="AR493" s="619"/>
      <c r="AS493" s="617"/>
    </row>
    <row r="494" spans="1:45" ht="15.75">
      <c r="A494" s="190"/>
      <c r="B494" s="366"/>
      <c r="C494" s="366"/>
      <c r="D494" s="596"/>
      <c r="E494" s="596"/>
      <c r="F494" s="366"/>
      <c r="G494" s="366"/>
      <c r="H494" s="366"/>
      <c r="I494" s="366"/>
      <c r="J494" s="366"/>
      <c r="K494" s="366"/>
      <c r="L494" s="366"/>
      <c r="M494" s="366"/>
      <c r="N494" s="366"/>
      <c r="O494" s="366"/>
      <c r="P494" s="611"/>
      <c r="Q494" s="614"/>
      <c r="R494" s="588"/>
      <c r="S494" s="188"/>
      <c r="T494" s="366"/>
      <c r="U494" s="366"/>
      <c r="V494" s="366"/>
      <c r="W494" s="366"/>
      <c r="X494" s="366"/>
      <c r="Y494" s="366"/>
      <c r="Z494" s="366"/>
      <c r="AA494" s="366"/>
      <c r="AB494" s="366"/>
      <c r="AC494" s="366"/>
      <c r="AD494" s="366"/>
      <c r="AE494" s="366"/>
      <c r="AF494" s="366"/>
      <c r="AG494" s="366"/>
      <c r="AH494" s="366"/>
      <c r="AI494" s="366"/>
      <c r="AJ494" s="366"/>
      <c r="AK494" s="366"/>
      <c r="AL494" s="366"/>
      <c r="AM494" s="607"/>
      <c r="AN494" s="366"/>
      <c r="AO494" s="366"/>
      <c r="AP494" s="366"/>
      <c r="AQ494" s="366"/>
      <c r="AR494" s="619"/>
      <c r="AS494" s="617"/>
    </row>
    <row r="495" spans="1:45" ht="15.75">
      <c r="A495" s="190"/>
      <c r="B495" s="366"/>
      <c r="C495" s="366"/>
      <c r="D495" s="596"/>
      <c r="E495" s="596"/>
      <c r="F495" s="366"/>
      <c r="G495" s="366"/>
      <c r="H495" s="366"/>
      <c r="I495" s="366"/>
      <c r="J495" s="366"/>
      <c r="K495" s="366"/>
      <c r="L495" s="366"/>
      <c r="M495" s="366"/>
      <c r="N495" s="366"/>
      <c r="O495" s="366"/>
      <c r="P495" s="611"/>
      <c r="Q495" s="614"/>
      <c r="R495" s="588"/>
      <c r="S495" s="188"/>
      <c r="T495" s="366"/>
      <c r="U495" s="366"/>
      <c r="V495" s="366"/>
      <c r="W495" s="366"/>
      <c r="X495" s="366"/>
      <c r="Y495" s="366"/>
      <c r="Z495" s="366"/>
      <c r="AA495" s="366"/>
      <c r="AB495" s="366"/>
      <c r="AC495" s="366"/>
      <c r="AD495" s="366"/>
      <c r="AE495" s="366"/>
      <c r="AF495" s="366"/>
      <c r="AG495" s="366"/>
      <c r="AH495" s="366"/>
      <c r="AI495" s="366"/>
      <c r="AJ495" s="366"/>
      <c r="AK495" s="366"/>
      <c r="AL495" s="366"/>
      <c r="AM495" s="607"/>
      <c r="AN495" s="366"/>
      <c r="AO495" s="366"/>
      <c r="AP495" s="366"/>
      <c r="AQ495" s="366"/>
      <c r="AR495" s="619"/>
      <c r="AS495" s="617"/>
    </row>
    <row r="496" spans="1:45" ht="15.75">
      <c r="A496" s="190"/>
      <c r="B496" s="366"/>
      <c r="C496" s="366"/>
      <c r="D496" s="596"/>
      <c r="E496" s="596"/>
      <c r="F496" s="366"/>
      <c r="G496" s="366"/>
      <c r="H496" s="366"/>
      <c r="I496" s="366"/>
      <c r="J496" s="366"/>
      <c r="K496" s="366"/>
      <c r="L496" s="366"/>
      <c r="M496" s="366"/>
      <c r="N496" s="366"/>
      <c r="O496" s="366"/>
      <c r="P496" s="611"/>
      <c r="Q496" s="614"/>
      <c r="R496" s="588"/>
      <c r="S496" s="188"/>
      <c r="T496" s="366"/>
      <c r="U496" s="366"/>
      <c r="V496" s="366"/>
      <c r="W496" s="366"/>
      <c r="X496" s="366"/>
      <c r="Y496" s="366"/>
      <c r="Z496" s="366"/>
      <c r="AA496" s="366"/>
      <c r="AB496" s="366"/>
      <c r="AC496" s="366"/>
      <c r="AD496" s="366"/>
      <c r="AE496" s="366"/>
      <c r="AF496" s="366"/>
      <c r="AG496" s="366"/>
      <c r="AH496" s="366"/>
      <c r="AI496" s="366"/>
      <c r="AJ496" s="366"/>
      <c r="AK496" s="366"/>
      <c r="AL496" s="366"/>
      <c r="AM496" s="607"/>
      <c r="AN496" s="366"/>
      <c r="AO496" s="366"/>
      <c r="AP496" s="366"/>
      <c r="AQ496" s="366"/>
      <c r="AR496" s="619"/>
      <c r="AS496" s="617"/>
    </row>
    <row r="497" spans="1:45" ht="15.75">
      <c r="A497" s="190"/>
      <c r="B497" s="366"/>
      <c r="C497" s="366"/>
      <c r="D497" s="596"/>
      <c r="E497" s="596"/>
      <c r="F497" s="366"/>
      <c r="G497" s="366"/>
      <c r="H497" s="366"/>
      <c r="I497" s="366"/>
      <c r="J497" s="366"/>
      <c r="K497" s="366"/>
      <c r="L497" s="366"/>
      <c r="M497" s="366"/>
      <c r="N497" s="366"/>
      <c r="O497" s="366"/>
      <c r="P497" s="611"/>
      <c r="Q497" s="614"/>
      <c r="R497" s="588"/>
      <c r="S497" s="188"/>
      <c r="T497" s="366"/>
      <c r="U497" s="366"/>
      <c r="V497" s="366"/>
      <c r="W497" s="366"/>
      <c r="X497" s="366"/>
      <c r="Y497" s="366"/>
      <c r="Z497" s="366"/>
      <c r="AA497" s="366"/>
      <c r="AB497" s="366"/>
      <c r="AC497" s="366"/>
      <c r="AD497" s="366"/>
      <c r="AE497" s="366"/>
      <c r="AF497" s="366"/>
      <c r="AG497" s="366"/>
      <c r="AH497" s="366"/>
      <c r="AI497" s="366"/>
      <c r="AJ497" s="366"/>
      <c r="AK497" s="366"/>
      <c r="AL497" s="366"/>
      <c r="AM497" s="607"/>
      <c r="AN497" s="366"/>
      <c r="AO497" s="366"/>
      <c r="AP497" s="366"/>
      <c r="AQ497" s="366"/>
      <c r="AR497" s="619"/>
      <c r="AS497" s="617"/>
    </row>
    <row r="498" spans="1:45" ht="15.75">
      <c r="A498" s="190"/>
      <c r="B498" s="366"/>
      <c r="C498" s="366"/>
      <c r="D498" s="596"/>
      <c r="E498" s="596"/>
      <c r="F498" s="366"/>
      <c r="G498" s="366"/>
      <c r="H498" s="366"/>
      <c r="I498" s="366"/>
      <c r="J498" s="366"/>
      <c r="K498" s="366"/>
      <c r="L498" s="366"/>
      <c r="M498" s="366"/>
      <c r="N498" s="366"/>
      <c r="O498" s="366"/>
      <c r="P498" s="611"/>
      <c r="Q498" s="614"/>
      <c r="R498" s="588"/>
      <c r="S498" s="188"/>
      <c r="T498" s="366"/>
      <c r="U498" s="366"/>
      <c r="V498" s="366"/>
      <c r="W498" s="366"/>
      <c r="X498" s="366"/>
      <c r="Y498" s="366"/>
      <c r="Z498" s="366"/>
      <c r="AA498" s="366"/>
      <c r="AB498" s="366"/>
      <c r="AC498" s="366"/>
      <c r="AD498" s="366"/>
      <c r="AE498" s="366"/>
      <c r="AF498" s="366"/>
      <c r="AG498" s="366"/>
      <c r="AH498" s="366"/>
      <c r="AI498" s="366"/>
      <c r="AJ498" s="366"/>
      <c r="AK498" s="366"/>
      <c r="AL498" s="366"/>
      <c r="AM498" s="607"/>
      <c r="AN498" s="366"/>
      <c r="AO498" s="366"/>
      <c r="AP498" s="366"/>
      <c r="AQ498" s="366"/>
      <c r="AR498" s="619"/>
      <c r="AS498" s="617"/>
    </row>
    <row r="499" spans="1:45" ht="15.75">
      <c r="A499" s="190"/>
      <c r="B499" s="366"/>
      <c r="C499" s="366"/>
      <c r="D499" s="596"/>
      <c r="E499" s="596"/>
      <c r="F499" s="366"/>
      <c r="G499" s="366"/>
      <c r="H499" s="366"/>
      <c r="I499" s="366"/>
      <c r="J499" s="366"/>
      <c r="K499" s="366"/>
      <c r="L499" s="366"/>
      <c r="M499" s="366"/>
      <c r="N499" s="366"/>
      <c r="O499" s="366"/>
      <c r="P499" s="611"/>
      <c r="Q499" s="614"/>
      <c r="R499" s="588"/>
      <c r="S499" s="188"/>
      <c r="T499" s="366"/>
      <c r="U499" s="366"/>
      <c r="V499" s="366"/>
      <c r="W499" s="366"/>
      <c r="X499" s="366"/>
      <c r="Y499" s="366"/>
      <c r="Z499" s="366"/>
      <c r="AA499" s="366"/>
      <c r="AB499" s="366"/>
      <c r="AC499" s="366"/>
      <c r="AD499" s="366"/>
      <c r="AE499" s="366"/>
      <c r="AF499" s="366"/>
      <c r="AG499" s="366"/>
      <c r="AH499" s="366"/>
      <c r="AI499" s="366"/>
      <c r="AJ499" s="366"/>
      <c r="AK499" s="366"/>
      <c r="AL499" s="366"/>
      <c r="AM499" s="607"/>
      <c r="AN499" s="366"/>
      <c r="AO499" s="366"/>
      <c r="AP499" s="366"/>
      <c r="AQ499" s="366"/>
      <c r="AR499" s="619"/>
      <c r="AS499" s="617"/>
    </row>
    <row r="500" spans="1:45" ht="15.75">
      <c r="A500" s="190"/>
      <c r="B500" s="366"/>
      <c r="C500" s="366"/>
      <c r="D500" s="596"/>
      <c r="E500" s="596"/>
      <c r="F500" s="366"/>
      <c r="G500" s="366"/>
      <c r="H500" s="366"/>
      <c r="I500" s="366"/>
      <c r="J500" s="366"/>
      <c r="K500" s="366"/>
      <c r="L500" s="366"/>
      <c r="M500" s="366"/>
      <c r="N500" s="366"/>
      <c r="O500" s="366"/>
      <c r="P500" s="611"/>
      <c r="Q500" s="614"/>
      <c r="R500" s="588"/>
      <c r="S500" s="188"/>
      <c r="T500" s="366"/>
      <c r="U500" s="366"/>
      <c r="V500" s="366"/>
      <c r="W500" s="366"/>
      <c r="X500" s="366"/>
      <c r="Y500" s="366"/>
      <c r="Z500" s="366"/>
      <c r="AA500" s="366"/>
      <c r="AB500" s="366"/>
      <c r="AC500" s="366"/>
      <c r="AD500" s="366"/>
      <c r="AE500" s="366"/>
      <c r="AF500" s="366"/>
      <c r="AG500" s="366"/>
      <c r="AH500" s="366"/>
      <c r="AI500" s="366"/>
      <c r="AJ500" s="366"/>
      <c r="AK500" s="366"/>
      <c r="AL500" s="366"/>
      <c r="AM500" s="607"/>
      <c r="AN500" s="366"/>
      <c r="AO500" s="366"/>
      <c r="AP500" s="366"/>
      <c r="AQ500" s="366"/>
      <c r="AR500" s="619"/>
      <c r="AS500" s="617"/>
    </row>
    <row r="501" spans="1:45" ht="15.75">
      <c r="A501" s="190"/>
      <c r="B501" s="366"/>
      <c r="C501" s="366"/>
      <c r="D501" s="596"/>
      <c r="E501" s="596"/>
      <c r="F501" s="366"/>
      <c r="G501" s="366"/>
      <c r="H501" s="366"/>
      <c r="I501" s="366"/>
      <c r="J501" s="366"/>
      <c r="K501" s="366"/>
      <c r="L501" s="366"/>
      <c r="M501" s="366"/>
      <c r="N501" s="366"/>
      <c r="O501" s="366"/>
      <c r="P501" s="611"/>
      <c r="Q501" s="614"/>
      <c r="R501" s="588"/>
      <c r="S501" s="188"/>
      <c r="T501" s="366"/>
      <c r="U501" s="366"/>
      <c r="V501" s="366"/>
      <c r="W501" s="366"/>
      <c r="X501" s="366"/>
      <c r="Y501" s="366"/>
      <c r="Z501" s="366"/>
      <c r="AA501" s="366"/>
      <c r="AB501" s="366"/>
      <c r="AC501" s="366"/>
      <c r="AD501" s="366"/>
      <c r="AE501" s="366"/>
      <c r="AF501" s="366"/>
      <c r="AG501" s="366"/>
      <c r="AH501" s="366"/>
      <c r="AI501" s="366"/>
      <c r="AJ501" s="366"/>
      <c r="AK501" s="366"/>
      <c r="AL501" s="366"/>
      <c r="AM501" s="607"/>
      <c r="AN501" s="366"/>
      <c r="AO501" s="366"/>
      <c r="AP501" s="366"/>
      <c r="AQ501" s="366"/>
      <c r="AR501" s="619"/>
      <c r="AS501" s="617"/>
    </row>
    <row r="502" spans="1:45" ht="15.75">
      <c r="A502" s="190"/>
      <c r="B502" s="366"/>
      <c r="C502" s="366"/>
      <c r="D502" s="596"/>
      <c r="E502" s="596"/>
      <c r="F502" s="366"/>
      <c r="G502" s="366"/>
      <c r="H502" s="366"/>
      <c r="I502" s="366"/>
      <c r="J502" s="366"/>
      <c r="K502" s="366"/>
      <c r="L502" s="366"/>
      <c r="M502" s="366"/>
      <c r="N502" s="366"/>
      <c r="O502" s="366"/>
      <c r="P502" s="611"/>
      <c r="Q502" s="614"/>
      <c r="R502" s="588"/>
      <c r="S502" s="188"/>
      <c r="T502" s="366"/>
      <c r="U502" s="366"/>
      <c r="V502" s="366"/>
      <c r="W502" s="366"/>
      <c r="X502" s="366"/>
      <c r="Y502" s="366"/>
      <c r="Z502" s="366"/>
      <c r="AA502" s="366"/>
      <c r="AB502" s="366"/>
      <c r="AC502" s="366"/>
      <c r="AD502" s="366"/>
      <c r="AE502" s="366"/>
      <c r="AF502" s="366"/>
      <c r="AG502" s="366"/>
      <c r="AH502" s="366"/>
      <c r="AI502" s="366"/>
      <c r="AJ502" s="366"/>
      <c r="AK502" s="366"/>
      <c r="AL502" s="366"/>
      <c r="AM502" s="607"/>
      <c r="AN502" s="366"/>
      <c r="AO502" s="366"/>
      <c r="AP502" s="366"/>
      <c r="AQ502" s="366"/>
      <c r="AR502" s="619"/>
      <c r="AS502" s="617"/>
    </row>
    <row r="503" spans="1:45" ht="15.75">
      <c r="A503" s="190"/>
      <c r="B503" s="366"/>
      <c r="C503" s="366"/>
      <c r="D503" s="596"/>
      <c r="E503" s="596"/>
      <c r="F503" s="366"/>
      <c r="G503" s="366"/>
      <c r="H503" s="366"/>
      <c r="I503" s="366"/>
      <c r="J503" s="366"/>
      <c r="K503" s="366"/>
      <c r="L503" s="366"/>
      <c r="M503" s="366"/>
      <c r="N503" s="366"/>
      <c r="O503" s="366"/>
      <c r="P503" s="611"/>
      <c r="Q503" s="614"/>
      <c r="R503" s="588"/>
      <c r="S503" s="188"/>
      <c r="T503" s="366"/>
      <c r="U503" s="366"/>
      <c r="V503" s="366"/>
      <c r="W503" s="366"/>
      <c r="X503" s="366"/>
      <c r="Y503" s="366"/>
      <c r="Z503" s="366"/>
      <c r="AA503" s="366"/>
      <c r="AB503" s="366"/>
      <c r="AC503" s="366"/>
      <c r="AD503" s="366"/>
      <c r="AE503" s="366"/>
      <c r="AF503" s="366"/>
      <c r="AG503" s="366"/>
      <c r="AH503" s="366"/>
      <c r="AI503" s="366"/>
      <c r="AJ503" s="366"/>
      <c r="AK503" s="366"/>
      <c r="AL503" s="366"/>
      <c r="AM503" s="607"/>
      <c r="AN503" s="366"/>
      <c r="AO503" s="366"/>
      <c r="AP503" s="366"/>
      <c r="AQ503" s="366"/>
      <c r="AR503" s="619"/>
      <c r="AS503" s="617"/>
    </row>
    <row r="504" spans="1:45" ht="15.75">
      <c r="A504" s="190"/>
      <c r="B504" s="366"/>
      <c r="C504" s="366"/>
      <c r="D504" s="596"/>
      <c r="E504" s="596"/>
      <c r="F504" s="366"/>
      <c r="G504" s="366"/>
      <c r="H504" s="366"/>
      <c r="I504" s="366"/>
      <c r="J504" s="366"/>
      <c r="K504" s="366"/>
      <c r="L504" s="366"/>
      <c r="M504" s="366"/>
      <c r="N504" s="366"/>
      <c r="O504" s="366"/>
      <c r="P504" s="611"/>
      <c r="Q504" s="614"/>
      <c r="R504" s="588"/>
      <c r="S504" s="188"/>
      <c r="T504" s="366"/>
      <c r="U504" s="366"/>
      <c r="V504" s="366"/>
      <c r="W504" s="366"/>
      <c r="X504" s="366"/>
      <c r="Y504" s="366"/>
      <c r="Z504" s="366"/>
      <c r="AA504" s="366"/>
      <c r="AB504" s="366"/>
      <c r="AC504" s="366"/>
      <c r="AD504" s="366"/>
      <c r="AE504" s="366"/>
      <c r="AF504" s="366"/>
      <c r="AG504" s="366"/>
      <c r="AH504" s="366"/>
      <c r="AI504" s="366"/>
      <c r="AJ504" s="366"/>
      <c r="AK504" s="366"/>
      <c r="AL504" s="366"/>
      <c r="AM504" s="607"/>
      <c r="AN504" s="366"/>
      <c r="AO504" s="366"/>
      <c r="AP504" s="366"/>
      <c r="AQ504" s="366"/>
      <c r="AR504" s="619"/>
      <c r="AS504" s="617"/>
    </row>
    <row r="505" spans="1:45" ht="15.75">
      <c r="A505" s="190"/>
      <c r="B505" s="366"/>
      <c r="C505" s="366"/>
      <c r="D505" s="596"/>
      <c r="E505" s="596"/>
      <c r="F505" s="366"/>
      <c r="G505" s="366"/>
      <c r="H505" s="366"/>
      <c r="I505" s="366"/>
      <c r="J505" s="366"/>
      <c r="K505" s="366"/>
      <c r="L505" s="366"/>
      <c r="M505" s="366"/>
      <c r="N505" s="366"/>
      <c r="O505" s="366"/>
      <c r="P505" s="611"/>
      <c r="Q505" s="614"/>
      <c r="R505" s="588"/>
      <c r="S505" s="188"/>
      <c r="T505" s="366"/>
      <c r="U505" s="366"/>
      <c r="V505" s="366"/>
      <c r="W505" s="366"/>
      <c r="X505" s="366"/>
      <c r="Y505" s="366"/>
      <c r="Z505" s="366"/>
      <c r="AA505" s="366"/>
      <c r="AB505" s="366"/>
      <c r="AC505" s="366"/>
      <c r="AD505" s="366"/>
      <c r="AE505" s="366"/>
      <c r="AF505" s="366"/>
      <c r="AG505" s="366"/>
      <c r="AH505" s="366"/>
      <c r="AI505" s="366"/>
      <c r="AJ505" s="366"/>
      <c r="AK505" s="366"/>
      <c r="AL505" s="366"/>
      <c r="AM505" s="607"/>
      <c r="AN505" s="366"/>
      <c r="AO505" s="366"/>
      <c r="AP505" s="366"/>
      <c r="AQ505" s="366"/>
      <c r="AR505" s="619"/>
      <c r="AS505" s="617"/>
    </row>
    <row r="506" spans="1:45" ht="15.75">
      <c r="A506" s="190"/>
      <c r="B506" s="366"/>
      <c r="C506" s="366"/>
      <c r="D506" s="596"/>
      <c r="E506" s="596"/>
      <c r="F506" s="366"/>
      <c r="G506" s="366"/>
      <c r="H506" s="366"/>
      <c r="I506" s="366"/>
      <c r="J506" s="366"/>
      <c r="K506" s="366"/>
      <c r="L506" s="366"/>
      <c r="M506" s="366"/>
      <c r="N506" s="366"/>
      <c r="O506" s="366"/>
      <c r="P506" s="611"/>
      <c r="Q506" s="614"/>
      <c r="R506" s="588"/>
      <c r="S506" s="188"/>
      <c r="T506" s="366"/>
      <c r="U506" s="366"/>
      <c r="V506" s="366"/>
      <c r="W506" s="366"/>
      <c r="X506" s="366"/>
      <c r="Y506" s="366"/>
      <c r="Z506" s="366"/>
      <c r="AA506" s="366"/>
      <c r="AB506" s="366"/>
      <c r="AC506" s="366"/>
      <c r="AD506" s="366"/>
      <c r="AE506" s="366"/>
      <c r="AF506" s="366"/>
      <c r="AG506" s="366"/>
      <c r="AH506" s="366"/>
      <c r="AI506" s="366"/>
      <c r="AJ506" s="366"/>
      <c r="AK506" s="366"/>
      <c r="AL506" s="366"/>
      <c r="AM506" s="607"/>
      <c r="AN506" s="366"/>
      <c r="AO506" s="366"/>
      <c r="AP506" s="366"/>
      <c r="AQ506" s="366"/>
      <c r="AR506" s="619"/>
      <c r="AS506" s="617"/>
    </row>
    <row r="507" spans="1:45" ht="15.75">
      <c r="A507" s="190"/>
      <c r="B507" s="366"/>
      <c r="C507" s="366"/>
      <c r="D507" s="596"/>
      <c r="E507" s="596"/>
      <c r="F507" s="366"/>
      <c r="G507" s="366"/>
      <c r="H507" s="366"/>
      <c r="I507" s="366"/>
      <c r="J507" s="366"/>
      <c r="K507" s="366"/>
      <c r="L507" s="366"/>
      <c r="M507" s="366"/>
      <c r="N507" s="366"/>
      <c r="O507" s="366"/>
      <c r="P507" s="611"/>
      <c r="Q507" s="614"/>
      <c r="R507" s="588"/>
      <c r="S507" s="188"/>
      <c r="T507" s="366"/>
      <c r="U507" s="366"/>
      <c r="V507" s="366"/>
      <c r="W507" s="366"/>
      <c r="X507" s="366"/>
      <c r="Y507" s="366"/>
      <c r="Z507" s="366"/>
      <c r="AA507" s="366"/>
      <c r="AB507" s="366"/>
      <c r="AC507" s="366"/>
      <c r="AD507" s="366"/>
      <c r="AE507" s="366"/>
      <c r="AF507" s="366"/>
      <c r="AG507" s="366"/>
      <c r="AH507" s="366"/>
      <c r="AI507" s="366"/>
      <c r="AJ507" s="366"/>
      <c r="AK507" s="366"/>
      <c r="AL507" s="366"/>
      <c r="AM507" s="607"/>
      <c r="AN507" s="366"/>
      <c r="AO507" s="366"/>
      <c r="AP507" s="366"/>
      <c r="AQ507" s="366"/>
      <c r="AR507" s="619"/>
      <c r="AS507" s="617"/>
    </row>
    <row r="508" spans="1:45" ht="15.75">
      <c r="A508" s="190"/>
      <c r="B508" s="366"/>
      <c r="C508" s="366"/>
      <c r="D508" s="596"/>
      <c r="E508" s="596"/>
      <c r="F508" s="366"/>
      <c r="G508" s="366"/>
      <c r="H508" s="366"/>
      <c r="I508" s="366"/>
      <c r="J508" s="366"/>
      <c r="K508" s="366"/>
      <c r="L508" s="366"/>
      <c r="M508" s="366"/>
      <c r="N508" s="366"/>
      <c r="O508" s="366"/>
      <c r="P508" s="611"/>
      <c r="Q508" s="614"/>
      <c r="R508" s="588"/>
      <c r="S508" s="188"/>
      <c r="T508" s="366"/>
      <c r="U508" s="366"/>
      <c r="V508" s="366"/>
      <c r="W508" s="366"/>
      <c r="X508" s="366"/>
      <c r="Y508" s="366"/>
      <c r="Z508" s="366"/>
      <c r="AA508" s="366"/>
      <c r="AB508" s="366"/>
      <c r="AC508" s="366"/>
      <c r="AD508" s="366"/>
      <c r="AE508" s="366"/>
      <c r="AF508" s="366"/>
      <c r="AG508" s="366"/>
      <c r="AH508" s="366"/>
      <c r="AI508" s="366"/>
      <c r="AJ508" s="366"/>
      <c r="AK508" s="366"/>
      <c r="AL508" s="366"/>
      <c r="AM508" s="607"/>
      <c r="AN508" s="366"/>
      <c r="AO508" s="366"/>
      <c r="AP508" s="366"/>
      <c r="AQ508" s="366"/>
      <c r="AR508" s="619"/>
      <c r="AS508" s="617"/>
    </row>
    <row r="509" spans="1:45" ht="15.75">
      <c r="A509" s="190"/>
      <c r="B509" s="366"/>
      <c r="C509" s="366"/>
      <c r="D509" s="596"/>
      <c r="E509" s="596"/>
      <c r="F509" s="366"/>
      <c r="G509" s="366"/>
      <c r="H509" s="366"/>
      <c r="I509" s="366"/>
      <c r="J509" s="366"/>
      <c r="K509" s="366"/>
      <c r="L509" s="366"/>
      <c r="M509" s="366"/>
      <c r="N509" s="366"/>
      <c r="O509" s="366"/>
      <c r="P509" s="611"/>
      <c r="Q509" s="614"/>
      <c r="R509" s="588"/>
      <c r="S509" s="188"/>
      <c r="T509" s="366"/>
      <c r="U509" s="366"/>
      <c r="V509" s="366"/>
      <c r="W509" s="366"/>
      <c r="X509" s="366"/>
      <c r="Y509" s="366"/>
      <c r="Z509" s="366"/>
      <c r="AA509" s="366"/>
      <c r="AB509" s="366"/>
      <c r="AC509" s="366"/>
      <c r="AD509" s="366"/>
      <c r="AE509" s="366"/>
      <c r="AF509" s="366"/>
      <c r="AG509" s="366"/>
      <c r="AH509" s="366"/>
      <c r="AI509" s="366"/>
      <c r="AJ509" s="366"/>
      <c r="AK509" s="366"/>
      <c r="AL509" s="366"/>
      <c r="AM509" s="607"/>
      <c r="AN509" s="366"/>
      <c r="AO509" s="366"/>
      <c r="AP509" s="366"/>
      <c r="AQ509" s="366"/>
      <c r="AR509" s="619"/>
      <c r="AS509" s="617"/>
    </row>
    <row r="510" spans="1:45" ht="15.75">
      <c r="A510" s="190"/>
      <c r="B510" s="366"/>
      <c r="C510" s="366"/>
      <c r="D510" s="596"/>
      <c r="E510" s="596"/>
      <c r="F510" s="366"/>
      <c r="G510" s="366"/>
      <c r="H510" s="366"/>
      <c r="I510" s="366"/>
      <c r="J510" s="366"/>
      <c r="K510" s="366"/>
      <c r="L510" s="366"/>
      <c r="M510" s="366"/>
      <c r="N510" s="366"/>
      <c r="O510" s="366"/>
      <c r="P510" s="611"/>
      <c r="Q510" s="614"/>
      <c r="R510" s="588"/>
      <c r="S510" s="188"/>
      <c r="T510" s="366"/>
      <c r="U510" s="366"/>
      <c r="V510" s="366"/>
      <c r="W510" s="366"/>
      <c r="X510" s="366"/>
      <c r="Y510" s="366"/>
      <c r="Z510" s="366"/>
      <c r="AA510" s="366"/>
      <c r="AB510" s="366"/>
      <c r="AC510" s="366"/>
      <c r="AD510" s="366"/>
      <c r="AE510" s="366"/>
      <c r="AF510" s="366"/>
      <c r="AG510" s="366"/>
      <c r="AH510" s="366"/>
      <c r="AI510" s="366"/>
      <c r="AJ510" s="366"/>
      <c r="AK510" s="366"/>
      <c r="AL510" s="366"/>
      <c r="AM510" s="607"/>
      <c r="AN510" s="366"/>
      <c r="AO510" s="366"/>
      <c r="AP510" s="366"/>
      <c r="AQ510" s="366"/>
      <c r="AR510" s="619"/>
      <c r="AS510" s="617"/>
    </row>
    <row r="511" spans="1:45" ht="15.75">
      <c r="A511" s="190"/>
      <c r="B511" s="366"/>
      <c r="C511" s="366"/>
      <c r="D511" s="596"/>
      <c r="E511" s="596"/>
      <c r="F511" s="366"/>
      <c r="G511" s="366"/>
      <c r="H511" s="366"/>
      <c r="I511" s="366"/>
      <c r="J511" s="366"/>
      <c r="K511" s="366"/>
      <c r="L511" s="366"/>
      <c r="M511" s="366"/>
      <c r="N511" s="366"/>
      <c r="O511" s="366"/>
      <c r="P511" s="611"/>
      <c r="Q511" s="614"/>
      <c r="R511" s="588"/>
      <c r="S511" s="188"/>
      <c r="T511" s="366"/>
      <c r="U511" s="366"/>
      <c r="V511" s="366"/>
      <c r="W511" s="366"/>
      <c r="X511" s="366"/>
      <c r="Y511" s="366"/>
      <c r="Z511" s="366"/>
      <c r="AA511" s="366"/>
      <c r="AB511" s="366"/>
      <c r="AC511" s="366"/>
      <c r="AD511" s="366"/>
      <c r="AE511" s="366"/>
      <c r="AF511" s="366"/>
      <c r="AG511" s="366"/>
      <c r="AH511" s="366"/>
      <c r="AI511" s="366"/>
      <c r="AJ511" s="366"/>
      <c r="AK511" s="366"/>
      <c r="AL511" s="366"/>
      <c r="AM511" s="607"/>
      <c r="AN511" s="366"/>
      <c r="AO511" s="366"/>
      <c r="AP511" s="366"/>
      <c r="AQ511" s="366"/>
      <c r="AR511" s="619"/>
      <c r="AS511" s="617"/>
    </row>
    <row r="512" spans="1:45" ht="15.75">
      <c r="A512" s="190"/>
      <c r="B512" s="366"/>
      <c r="C512" s="366"/>
      <c r="D512" s="596"/>
      <c r="E512" s="596"/>
      <c r="F512" s="366"/>
      <c r="G512" s="366"/>
      <c r="H512" s="366"/>
      <c r="I512" s="366"/>
      <c r="J512" s="366"/>
      <c r="K512" s="366"/>
      <c r="L512" s="366"/>
      <c r="M512" s="366"/>
      <c r="N512" s="366"/>
      <c r="O512" s="366"/>
      <c r="P512" s="611"/>
      <c r="Q512" s="614"/>
      <c r="R512" s="588"/>
      <c r="S512" s="188"/>
      <c r="T512" s="366"/>
      <c r="U512" s="366"/>
      <c r="V512" s="366"/>
      <c r="W512" s="366"/>
      <c r="X512" s="366"/>
      <c r="Y512" s="366"/>
      <c r="Z512" s="366"/>
      <c r="AA512" s="366"/>
      <c r="AB512" s="366"/>
      <c r="AC512" s="366"/>
      <c r="AD512" s="366"/>
      <c r="AE512" s="366"/>
      <c r="AF512" s="366"/>
      <c r="AG512" s="366"/>
      <c r="AH512" s="366"/>
      <c r="AI512" s="366"/>
      <c r="AJ512" s="366"/>
      <c r="AK512" s="366"/>
      <c r="AL512" s="366"/>
      <c r="AM512" s="607"/>
      <c r="AN512" s="366"/>
      <c r="AO512" s="366"/>
      <c r="AP512" s="366"/>
      <c r="AQ512" s="366"/>
      <c r="AR512" s="619"/>
      <c r="AS512" s="617"/>
    </row>
    <row r="513" spans="1:45" ht="15.75">
      <c r="A513" s="190"/>
      <c r="B513" s="366"/>
      <c r="C513" s="366"/>
      <c r="D513" s="596"/>
      <c r="E513" s="596"/>
      <c r="F513" s="366"/>
      <c r="G513" s="366"/>
      <c r="H513" s="366"/>
      <c r="I513" s="366"/>
      <c r="J513" s="366"/>
      <c r="K513" s="366"/>
      <c r="L513" s="366"/>
      <c r="M513" s="366"/>
      <c r="N513" s="366"/>
      <c r="O513" s="366"/>
      <c r="P513" s="611"/>
      <c r="Q513" s="614"/>
      <c r="R513" s="588"/>
      <c r="S513" s="188"/>
      <c r="T513" s="366"/>
      <c r="U513" s="366"/>
      <c r="V513" s="366"/>
      <c r="W513" s="366"/>
      <c r="X513" s="366"/>
      <c r="Y513" s="366"/>
      <c r="Z513" s="366"/>
      <c r="AA513" s="366"/>
      <c r="AB513" s="366"/>
      <c r="AC513" s="366"/>
      <c r="AD513" s="366"/>
      <c r="AE513" s="366"/>
      <c r="AF513" s="366"/>
      <c r="AG513" s="366"/>
      <c r="AH513" s="366"/>
      <c r="AI513" s="366"/>
      <c r="AJ513" s="366"/>
      <c r="AK513" s="366"/>
      <c r="AL513" s="366"/>
      <c r="AM513" s="607"/>
      <c r="AN513" s="366"/>
      <c r="AO513" s="366"/>
      <c r="AP513" s="366"/>
      <c r="AQ513" s="366"/>
      <c r="AR513" s="619"/>
      <c r="AS513" s="617"/>
    </row>
    <row r="514" spans="1:45" ht="15.75">
      <c r="A514" s="190"/>
      <c r="B514" s="366"/>
      <c r="C514" s="366"/>
      <c r="D514" s="596"/>
      <c r="E514" s="596"/>
      <c r="F514" s="366"/>
      <c r="G514" s="366"/>
      <c r="H514" s="366"/>
      <c r="I514" s="366"/>
      <c r="J514" s="366"/>
      <c r="K514" s="366"/>
      <c r="L514" s="366"/>
      <c r="M514" s="366"/>
      <c r="N514" s="366"/>
      <c r="O514" s="366"/>
      <c r="P514" s="611"/>
      <c r="Q514" s="614"/>
      <c r="R514" s="588"/>
      <c r="S514" s="188"/>
      <c r="T514" s="366"/>
      <c r="U514" s="366"/>
      <c r="V514" s="366"/>
      <c r="W514" s="366"/>
      <c r="X514" s="366"/>
      <c r="Y514" s="366"/>
      <c r="Z514" s="366"/>
      <c r="AA514" s="366"/>
      <c r="AB514" s="366"/>
      <c r="AC514" s="366"/>
      <c r="AD514" s="366"/>
      <c r="AE514" s="366"/>
      <c r="AF514" s="366"/>
      <c r="AG514" s="366"/>
      <c r="AH514" s="366"/>
      <c r="AI514" s="366"/>
      <c r="AJ514" s="366"/>
      <c r="AK514" s="366"/>
      <c r="AL514" s="366"/>
      <c r="AM514" s="607"/>
      <c r="AN514" s="366"/>
      <c r="AO514" s="366"/>
      <c r="AP514" s="366"/>
      <c r="AQ514" s="366"/>
      <c r="AR514" s="619"/>
      <c r="AS514" s="617"/>
    </row>
    <row r="515" spans="1:45" ht="15.75">
      <c r="A515" s="190"/>
      <c r="B515" s="366"/>
      <c r="C515" s="366"/>
      <c r="D515" s="596"/>
      <c r="E515" s="596"/>
      <c r="F515" s="366"/>
      <c r="G515" s="366"/>
      <c r="H515" s="366"/>
      <c r="I515" s="366"/>
      <c r="J515" s="366"/>
      <c r="K515" s="366"/>
      <c r="L515" s="366"/>
      <c r="M515" s="366"/>
      <c r="N515" s="366"/>
      <c r="O515" s="366"/>
      <c r="P515" s="611"/>
      <c r="Q515" s="614"/>
      <c r="R515" s="588"/>
      <c r="S515" s="188"/>
      <c r="T515" s="366"/>
      <c r="U515" s="366"/>
      <c r="V515" s="366"/>
      <c r="W515" s="366"/>
      <c r="X515" s="366"/>
      <c r="Y515" s="366"/>
      <c r="Z515" s="366"/>
      <c r="AA515" s="366"/>
      <c r="AB515" s="366"/>
      <c r="AC515" s="366"/>
      <c r="AD515" s="366"/>
      <c r="AE515" s="366"/>
      <c r="AF515" s="366"/>
      <c r="AG515" s="366"/>
      <c r="AH515" s="366"/>
      <c r="AI515" s="366"/>
      <c r="AJ515" s="366"/>
      <c r="AK515" s="366"/>
      <c r="AL515" s="366"/>
      <c r="AM515" s="607"/>
      <c r="AN515" s="366"/>
      <c r="AO515" s="366"/>
      <c r="AP515" s="366"/>
      <c r="AQ515" s="366"/>
      <c r="AR515" s="619"/>
      <c r="AS515" s="617"/>
    </row>
    <row r="516" spans="1:45" ht="15.75">
      <c r="A516" s="190"/>
      <c r="B516" s="366"/>
      <c r="C516" s="366"/>
      <c r="D516" s="596"/>
      <c r="E516" s="596"/>
      <c r="F516" s="366"/>
      <c r="G516" s="366"/>
      <c r="H516" s="366"/>
      <c r="I516" s="366"/>
      <c r="J516" s="366"/>
      <c r="K516" s="366"/>
      <c r="L516" s="366"/>
      <c r="M516" s="366"/>
      <c r="N516" s="366"/>
      <c r="O516" s="366"/>
      <c r="P516" s="611"/>
      <c r="Q516" s="614"/>
      <c r="R516" s="588"/>
      <c r="S516" s="188"/>
      <c r="T516" s="366"/>
      <c r="U516" s="366"/>
      <c r="V516" s="366"/>
      <c r="W516" s="366"/>
      <c r="X516" s="366"/>
      <c r="Y516" s="366"/>
      <c r="Z516" s="366"/>
      <c r="AA516" s="366"/>
      <c r="AB516" s="366"/>
      <c r="AC516" s="366"/>
      <c r="AD516" s="366"/>
      <c r="AE516" s="366"/>
      <c r="AF516" s="366"/>
      <c r="AG516" s="366"/>
      <c r="AH516" s="366"/>
      <c r="AI516" s="366"/>
      <c r="AJ516" s="366"/>
      <c r="AK516" s="366"/>
      <c r="AL516" s="366"/>
      <c r="AM516" s="607"/>
      <c r="AN516" s="366"/>
      <c r="AO516" s="366"/>
      <c r="AP516" s="366"/>
      <c r="AQ516" s="366"/>
      <c r="AR516" s="619"/>
      <c r="AS516" s="617"/>
    </row>
    <row r="517" spans="1:45" ht="15.75">
      <c r="A517" s="190"/>
      <c r="B517" s="366"/>
      <c r="C517" s="366"/>
      <c r="D517" s="596"/>
      <c r="E517" s="596"/>
      <c r="F517" s="366"/>
      <c r="G517" s="366"/>
      <c r="H517" s="366"/>
      <c r="I517" s="366"/>
      <c r="J517" s="366"/>
      <c r="K517" s="366"/>
      <c r="L517" s="366"/>
      <c r="M517" s="366"/>
      <c r="N517" s="366"/>
      <c r="O517" s="366"/>
      <c r="P517" s="611"/>
      <c r="Q517" s="614"/>
      <c r="R517" s="588"/>
      <c r="S517" s="188"/>
      <c r="T517" s="366"/>
      <c r="U517" s="366"/>
      <c r="V517" s="366"/>
      <c r="W517" s="366"/>
      <c r="X517" s="366"/>
      <c r="Y517" s="366"/>
      <c r="Z517" s="366"/>
      <c r="AA517" s="366"/>
      <c r="AB517" s="366"/>
      <c r="AC517" s="366"/>
      <c r="AD517" s="366"/>
      <c r="AE517" s="366"/>
      <c r="AF517" s="366"/>
      <c r="AG517" s="366"/>
      <c r="AH517" s="366"/>
      <c r="AI517" s="366"/>
      <c r="AJ517" s="366"/>
      <c r="AK517" s="366"/>
      <c r="AL517" s="366"/>
      <c r="AM517" s="607"/>
      <c r="AN517" s="366"/>
      <c r="AO517" s="366"/>
      <c r="AP517" s="366"/>
      <c r="AQ517" s="366"/>
      <c r="AR517" s="619"/>
      <c r="AS517" s="617"/>
    </row>
    <row r="518" spans="1:45" ht="15.75">
      <c r="A518" s="190"/>
      <c r="B518" s="366"/>
      <c r="C518" s="366"/>
      <c r="D518" s="596"/>
      <c r="E518" s="596"/>
      <c r="F518" s="366"/>
      <c r="G518" s="366"/>
      <c r="H518" s="366"/>
      <c r="I518" s="366"/>
      <c r="J518" s="366"/>
      <c r="K518" s="366"/>
      <c r="L518" s="366"/>
      <c r="M518" s="366"/>
      <c r="N518" s="366"/>
      <c r="O518" s="366"/>
      <c r="P518" s="611"/>
      <c r="Q518" s="614"/>
      <c r="R518" s="588"/>
      <c r="S518" s="188"/>
      <c r="T518" s="366"/>
      <c r="U518" s="366"/>
      <c r="V518" s="366"/>
      <c r="W518" s="366"/>
      <c r="X518" s="366"/>
      <c r="Y518" s="366"/>
      <c r="Z518" s="366"/>
      <c r="AA518" s="366"/>
      <c r="AB518" s="366"/>
      <c r="AC518" s="366"/>
      <c r="AD518" s="366"/>
      <c r="AE518" s="366"/>
      <c r="AF518" s="366"/>
      <c r="AG518" s="366"/>
      <c r="AH518" s="366"/>
      <c r="AI518" s="366"/>
      <c r="AJ518" s="366"/>
      <c r="AK518" s="366"/>
      <c r="AL518" s="366"/>
      <c r="AM518" s="607"/>
      <c r="AN518" s="366"/>
      <c r="AO518" s="366"/>
      <c r="AP518" s="366"/>
      <c r="AQ518" s="366"/>
      <c r="AR518" s="619"/>
      <c r="AS518" s="617"/>
    </row>
    <row r="519" spans="1:45" ht="15.75">
      <c r="A519" s="190"/>
      <c r="B519" s="366"/>
      <c r="C519" s="366"/>
      <c r="D519" s="596"/>
      <c r="E519" s="596"/>
      <c r="F519" s="366"/>
      <c r="G519" s="366"/>
      <c r="H519" s="366"/>
      <c r="I519" s="366"/>
      <c r="J519" s="366"/>
      <c r="K519" s="366"/>
      <c r="L519" s="366"/>
      <c r="M519" s="366"/>
      <c r="N519" s="366"/>
      <c r="O519" s="366"/>
      <c r="P519" s="611"/>
      <c r="Q519" s="614"/>
      <c r="R519" s="588"/>
      <c r="S519" s="188"/>
      <c r="T519" s="366"/>
      <c r="U519" s="366"/>
      <c r="V519" s="366"/>
      <c r="W519" s="366"/>
      <c r="X519" s="366"/>
      <c r="Y519" s="366"/>
      <c r="Z519" s="366"/>
      <c r="AA519" s="366"/>
      <c r="AB519" s="366"/>
      <c r="AC519" s="366"/>
      <c r="AD519" s="366"/>
      <c r="AE519" s="366"/>
      <c r="AF519" s="366"/>
      <c r="AG519" s="366"/>
      <c r="AH519" s="366"/>
      <c r="AI519" s="366"/>
      <c r="AJ519" s="366"/>
      <c r="AK519" s="366"/>
      <c r="AL519" s="366"/>
      <c r="AM519" s="607"/>
      <c r="AN519" s="366"/>
      <c r="AO519" s="366"/>
      <c r="AP519" s="366"/>
      <c r="AQ519" s="366"/>
      <c r="AR519" s="619"/>
      <c r="AS519" s="617"/>
    </row>
    <row r="520" spans="1:45" ht="15.75">
      <c r="A520" s="190"/>
      <c r="B520" s="366"/>
      <c r="C520" s="366"/>
      <c r="D520" s="596"/>
      <c r="E520" s="596"/>
      <c r="F520" s="366"/>
      <c r="G520" s="366"/>
      <c r="H520" s="366"/>
      <c r="I520" s="366"/>
      <c r="J520" s="366"/>
      <c r="K520" s="366"/>
      <c r="L520" s="366"/>
      <c r="M520" s="366"/>
      <c r="N520" s="366"/>
      <c r="O520" s="366"/>
      <c r="P520" s="611"/>
      <c r="Q520" s="614"/>
      <c r="R520" s="588"/>
      <c r="S520" s="188"/>
      <c r="T520" s="366"/>
      <c r="U520" s="366"/>
      <c r="V520" s="366"/>
      <c r="W520" s="366"/>
      <c r="X520" s="366"/>
      <c r="Y520" s="366"/>
      <c r="Z520" s="366"/>
      <c r="AA520" s="366"/>
      <c r="AB520" s="366"/>
      <c r="AC520" s="366"/>
      <c r="AD520" s="366"/>
      <c r="AE520" s="366"/>
      <c r="AF520" s="366"/>
      <c r="AG520" s="366"/>
      <c r="AH520" s="366"/>
      <c r="AI520" s="366"/>
      <c r="AJ520" s="366"/>
      <c r="AK520" s="366"/>
      <c r="AL520" s="366"/>
      <c r="AM520" s="607"/>
      <c r="AN520" s="366"/>
      <c r="AO520" s="366"/>
      <c r="AP520" s="366"/>
      <c r="AQ520" s="366"/>
      <c r="AR520" s="619"/>
      <c r="AS520" s="617"/>
    </row>
    <row r="521" spans="1:45" ht="15.75">
      <c r="A521" s="190"/>
      <c r="B521" s="366"/>
      <c r="C521" s="366"/>
      <c r="D521" s="596"/>
      <c r="E521" s="596"/>
      <c r="F521" s="366"/>
      <c r="G521" s="366"/>
      <c r="H521" s="366"/>
      <c r="I521" s="366"/>
      <c r="J521" s="366"/>
      <c r="K521" s="366"/>
      <c r="L521" s="366"/>
      <c r="M521" s="366"/>
      <c r="N521" s="366"/>
      <c r="O521" s="366"/>
      <c r="P521" s="611"/>
      <c r="Q521" s="614"/>
      <c r="R521" s="588"/>
      <c r="S521" s="188"/>
      <c r="T521" s="366"/>
      <c r="U521" s="366"/>
      <c r="V521" s="366"/>
      <c r="W521" s="366"/>
      <c r="X521" s="366"/>
      <c r="Y521" s="366"/>
      <c r="Z521" s="366"/>
      <c r="AA521" s="366"/>
      <c r="AB521" s="366"/>
      <c r="AC521" s="366"/>
      <c r="AD521" s="366"/>
      <c r="AE521" s="366"/>
      <c r="AF521" s="366"/>
      <c r="AG521" s="366"/>
      <c r="AH521" s="366"/>
      <c r="AI521" s="366"/>
      <c r="AJ521" s="366"/>
      <c r="AK521" s="366"/>
      <c r="AL521" s="366"/>
      <c r="AM521" s="607"/>
      <c r="AN521" s="366"/>
      <c r="AO521" s="366"/>
      <c r="AP521" s="366"/>
      <c r="AQ521" s="366"/>
      <c r="AR521" s="619"/>
      <c r="AS521" s="617"/>
    </row>
    <row r="522" spans="1:45" ht="15.75">
      <c r="A522" s="190"/>
      <c r="B522" s="366"/>
      <c r="C522" s="366"/>
      <c r="D522" s="596"/>
      <c r="E522" s="596"/>
      <c r="F522" s="366"/>
      <c r="G522" s="366"/>
      <c r="H522" s="366"/>
      <c r="I522" s="366"/>
      <c r="J522" s="366"/>
      <c r="K522" s="366"/>
      <c r="L522" s="366"/>
      <c r="M522" s="366"/>
      <c r="N522" s="366"/>
      <c r="O522" s="366"/>
      <c r="P522" s="611"/>
      <c r="Q522" s="614"/>
      <c r="R522" s="588"/>
      <c r="S522" s="188"/>
      <c r="T522" s="366"/>
      <c r="U522" s="366"/>
      <c r="V522" s="366"/>
      <c r="W522" s="366"/>
      <c r="X522" s="366"/>
      <c r="Y522" s="366"/>
      <c r="Z522" s="366"/>
      <c r="AA522" s="366"/>
      <c r="AB522" s="366"/>
      <c r="AC522" s="366"/>
      <c r="AD522" s="366"/>
      <c r="AE522" s="366"/>
      <c r="AF522" s="366"/>
      <c r="AG522" s="366"/>
      <c r="AH522" s="366"/>
      <c r="AI522" s="366"/>
      <c r="AJ522" s="366"/>
      <c r="AK522" s="366"/>
      <c r="AL522" s="366"/>
      <c r="AM522" s="607"/>
      <c r="AN522" s="366"/>
      <c r="AO522" s="366"/>
      <c r="AP522" s="366"/>
      <c r="AQ522" s="366"/>
      <c r="AR522" s="619"/>
      <c r="AS522" s="617"/>
    </row>
    <row r="523" spans="1:45" ht="15.75">
      <c r="A523" s="190"/>
      <c r="B523" s="366"/>
      <c r="C523" s="366"/>
      <c r="D523" s="596"/>
      <c r="E523" s="596"/>
      <c r="F523" s="366"/>
      <c r="G523" s="366"/>
      <c r="H523" s="366"/>
      <c r="I523" s="366"/>
      <c r="J523" s="366"/>
      <c r="K523" s="366"/>
      <c r="L523" s="366"/>
      <c r="M523" s="366"/>
      <c r="N523" s="366"/>
      <c r="O523" s="366"/>
      <c r="P523" s="611"/>
      <c r="Q523" s="614"/>
      <c r="R523" s="588"/>
      <c r="S523" s="188"/>
      <c r="T523" s="366"/>
      <c r="U523" s="366"/>
      <c r="V523" s="366"/>
      <c r="W523" s="366"/>
      <c r="X523" s="366"/>
      <c r="Y523" s="366"/>
      <c r="Z523" s="366"/>
      <c r="AA523" s="366"/>
      <c r="AB523" s="366"/>
      <c r="AC523" s="366"/>
      <c r="AD523" s="366"/>
      <c r="AE523" s="366"/>
      <c r="AF523" s="366"/>
      <c r="AG523" s="366"/>
      <c r="AH523" s="366"/>
      <c r="AI523" s="366"/>
      <c r="AJ523" s="366"/>
      <c r="AK523" s="366"/>
      <c r="AL523" s="366"/>
      <c r="AM523" s="607"/>
      <c r="AN523" s="366"/>
      <c r="AO523" s="366"/>
      <c r="AP523" s="366"/>
      <c r="AQ523" s="366"/>
      <c r="AR523" s="619"/>
      <c r="AS523" s="617"/>
    </row>
    <row r="524" spans="1:45" ht="15.75">
      <c r="A524" s="190"/>
      <c r="B524" s="366"/>
      <c r="C524" s="366"/>
      <c r="D524" s="596"/>
      <c r="E524" s="596"/>
      <c r="F524" s="366"/>
      <c r="G524" s="366"/>
      <c r="H524" s="366"/>
      <c r="I524" s="366"/>
      <c r="J524" s="366"/>
      <c r="K524" s="366"/>
      <c r="L524" s="366"/>
      <c r="M524" s="366"/>
      <c r="N524" s="366"/>
      <c r="O524" s="366"/>
      <c r="P524" s="611"/>
      <c r="Q524" s="614"/>
      <c r="R524" s="588"/>
      <c r="S524" s="188"/>
      <c r="T524" s="366"/>
      <c r="U524" s="366"/>
      <c r="V524" s="366"/>
      <c r="W524" s="366"/>
      <c r="X524" s="366"/>
      <c r="Y524" s="366"/>
      <c r="Z524" s="366"/>
      <c r="AA524" s="366"/>
      <c r="AB524" s="366"/>
      <c r="AC524" s="366"/>
      <c r="AD524" s="366"/>
      <c r="AE524" s="366"/>
      <c r="AF524" s="366"/>
      <c r="AG524" s="366"/>
      <c r="AH524" s="366"/>
      <c r="AI524" s="366"/>
      <c r="AJ524" s="366"/>
      <c r="AK524" s="366"/>
      <c r="AL524" s="366"/>
      <c r="AM524" s="607"/>
      <c r="AN524" s="366"/>
      <c r="AO524" s="366"/>
      <c r="AP524" s="366"/>
      <c r="AQ524" s="366"/>
      <c r="AR524" s="619"/>
      <c r="AS524" s="617"/>
    </row>
    <row r="525" spans="1:45" ht="15.75">
      <c r="A525" s="190"/>
      <c r="B525" s="366"/>
      <c r="C525" s="366"/>
      <c r="D525" s="596"/>
      <c r="E525" s="596"/>
      <c r="F525" s="366"/>
      <c r="G525" s="366"/>
      <c r="H525" s="366"/>
      <c r="I525" s="366"/>
      <c r="J525" s="366"/>
      <c r="K525" s="366"/>
      <c r="L525" s="366"/>
      <c r="M525" s="366"/>
      <c r="N525" s="366"/>
      <c r="O525" s="366"/>
      <c r="P525" s="611"/>
      <c r="Q525" s="614"/>
      <c r="R525" s="588"/>
      <c r="S525" s="188"/>
      <c r="T525" s="366"/>
      <c r="U525" s="366"/>
      <c r="V525" s="366"/>
      <c r="W525" s="366"/>
      <c r="X525" s="366"/>
      <c r="Y525" s="366"/>
      <c r="Z525" s="366"/>
      <c r="AA525" s="366"/>
      <c r="AB525" s="366"/>
      <c r="AC525" s="366"/>
      <c r="AD525" s="366"/>
      <c r="AE525" s="366"/>
      <c r="AF525" s="366"/>
      <c r="AG525" s="366"/>
      <c r="AH525" s="366"/>
      <c r="AI525" s="366"/>
      <c r="AJ525" s="366"/>
      <c r="AK525" s="366"/>
      <c r="AL525" s="366"/>
      <c r="AM525" s="607"/>
      <c r="AN525" s="366"/>
      <c r="AO525" s="366"/>
      <c r="AP525" s="366"/>
      <c r="AQ525" s="366"/>
      <c r="AR525" s="619"/>
      <c r="AS525" s="617"/>
    </row>
    <row r="526" spans="1:45" ht="15.75">
      <c r="A526" s="190"/>
      <c r="B526" s="366"/>
      <c r="C526" s="366"/>
      <c r="D526" s="596"/>
      <c r="E526" s="596"/>
      <c r="F526" s="366"/>
      <c r="G526" s="366"/>
      <c r="H526" s="366"/>
      <c r="I526" s="366"/>
      <c r="J526" s="366"/>
      <c r="K526" s="366"/>
      <c r="L526" s="366"/>
      <c r="M526" s="366"/>
      <c r="N526" s="366"/>
      <c r="O526" s="366"/>
      <c r="P526" s="611"/>
      <c r="Q526" s="614"/>
      <c r="R526" s="588"/>
      <c r="S526" s="188"/>
      <c r="T526" s="366"/>
      <c r="U526" s="366"/>
      <c r="V526" s="366"/>
      <c r="W526" s="366"/>
      <c r="X526" s="366"/>
      <c r="Y526" s="366"/>
      <c r="Z526" s="366"/>
      <c r="AA526" s="366"/>
      <c r="AB526" s="366"/>
      <c r="AC526" s="366"/>
      <c r="AD526" s="366"/>
      <c r="AE526" s="366"/>
      <c r="AF526" s="366"/>
      <c r="AG526" s="366"/>
      <c r="AH526" s="366"/>
      <c r="AI526" s="366"/>
      <c r="AJ526" s="366"/>
      <c r="AK526" s="366"/>
      <c r="AL526" s="366"/>
      <c r="AM526" s="607"/>
      <c r="AN526" s="366"/>
      <c r="AO526" s="366"/>
      <c r="AP526" s="366"/>
      <c r="AQ526" s="366"/>
      <c r="AR526" s="619"/>
      <c r="AS526" s="617"/>
    </row>
    <row r="527" spans="1:45" ht="15.75">
      <c r="A527" s="190"/>
      <c r="B527" s="366"/>
      <c r="C527" s="366"/>
      <c r="D527" s="596"/>
      <c r="E527" s="596"/>
      <c r="F527" s="366"/>
      <c r="G527" s="366"/>
      <c r="H527" s="366"/>
      <c r="I527" s="366"/>
      <c r="J527" s="366"/>
      <c r="K527" s="366"/>
      <c r="L527" s="366"/>
      <c r="M527" s="366"/>
      <c r="N527" s="366"/>
      <c r="O527" s="366"/>
      <c r="P527" s="611"/>
      <c r="Q527" s="614"/>
      <c r="R527" s="588"/>
      <c r="S527" s="188"/>
      <c r="T527" s="366"/>
      <c r="U527" s="366"/>
      <c r="V527" s="366"/>
      <c r="W527" s="366"/>
      <c r="X527" s="366"/>
      <c r="Y527" s="366"/>
      <c r="Z527" s="366"/>
      <c r="AA527" s="366"/>
      <c r="AB527" s="366"/>
      <c r="AC527" s="366"/>
      <c r="AD527" s="366"/>
      <c r="AE527" s="366"/>
      <c r="AF527" s="366"/>
      <c r="AG527" s="366"/>
      <c r="AH527" s="366"/>
      <c r="AI527" s="366"/>
      <c r="AJ527" s="366"/>
      <c r="AK527" s="366"/>
      <c r="AL527" s="366"/>
      <c r="AM527" s="607"/>
      <c r="AN527" s="366"/>
      <c r="AO527" s="366"/>
      <c r="AP527" s="366"/>
      <c r="AQ527" s="366"/>
      <c r="AR527" s="619"/>
      <c r="AS527" s="617"/>
    </row>
    <row r="528" spans="1:45" ht="15.75">
      <c r="A528" s="190"/>
      <c r="B528" s="366"/>
      <c r="C528" s="366"/>
      <c r="D528" s="596"/>
      <c r="E528" s="596"/>
      <c r="F528" s="366"/>
      <c r="G528" s="366"/>
      <c r="H528" s="366"/>
      <c r="I528" s="366"/>
      <c r="J528" s="366"/>
      <c r="K528" s="366"/>
      <c r="L528" s="366"/>
      <c r="M528" s="366"/>
      <c r="N528" s="366"/>
      <c r="O528" s="366"/>
      <c r="P528" s="611"/>
      <c r="Q528" s="614"/>
      <c r="R528" s="588"/>
      <c r="S528" s="188"/>
      <c r="T528" s="366"/>
      <c r="U528" s="366"/>
      <c r="V528" s="366"/>
      <c r="W528" s="366"/>
      <c r="X528" s="366"/>
      <c r="Y528" s="366"/>
      <c r="Z528" s="366"/>
      <c r="AA528" s="366"/>
      <c r="AB528" s="366"/>
      <c r="AC528" s="366"/>
      <c r="AD528" s="366"/>
      <c r="AE528" s="366"/>
      <c r="AF528" s="366"/>
      <c r="AG528" s="366"/>
      <c r="AH528" s="366"/>
      <c r="AI528" s="366"/>
      <c r="AJ528" s="366"/>
      <c r="AK528" s="366"/>
      <c r="AL528" s="366"/>
      <c r="AM528" s="607"/>
      <c r="AN528" s="366"/>
      <c r="AO528" s="366"/>
      <c r="AP528" s="366"/>
      <c r="AQ528" s="366"/>
      <c r="AR528" s="619"/>
      <c r="AS528" s="617"/>
    </row>
    <row r="529" spans="1:45" ht="15.75">
      <c r="A529" s="190"/>
      <c r="B529" s="366"/>
      <c r="C529" s="366"/>
      <c r="D529" s="596"/>
      <c r="E529" s="596"/>
      <c r="F529" s="366"/>
      <c r="G529" s="366"/>
      <c r="H529" s="366"/>
      <c r="I529" s="366"/>
      <c r="J529" s="366"/>
      <c r="K529" s="366"/>
      <c r="L529" s="366"/>
      <c r="M529" s="366"/>
      <c r="N529" s="366"/>
      <c r="O529" s="366"/>
      <c r="P529" s="611"/>
      <c r="Q529" s="614"/>
      <c r="R529" s="588"/>
      <c r="S529" s="188"/>
      <c r="T529" s="366"/>
      <c r="U529" s="366"/>
      <c r="V529" s="366"/>
      <c r="W529" s="366"/>
      <c r="X529" s="366"/>
      <c r="Y529" s="366"/>
      <c r="Z529" s="366"/>
      <c r="AA529" s="366"/>
      <c r="AB529" s="366"/>
      <c r="AC529" s="366"/>
      <c r="AD529" s="366"/>
      <c r="AE529" s="366"/>
      <c r="AF529" s="366"/>
      <c r="AG529" s="366"/>
      <c r="AH529" s="366"/>
      <c r="AI529" s="366"/>
      <c r="AJ529" s="366"/>
      <c r="AK529" s="366"/>
      <c r="AL529" s="366"/>
      <c r="AM529" s="607"/>
      <c r="AN529" s="366"/>
      <c r="AO529" s="366"/>
      <c r="AP529" s="366"/>
      <c r="AQ529" s="366"/>
      <c r="AR529" s="619"/>
      <c r="AS529" s="617"/>
    </row>
    <row r="530" spans="1:45" ht="15.75">
      <c r="A530" s="190"/>
      <c r="B530" s="366"/>
      <c r="C530" s="366"/>
      <c r="D530" s="596"/>
      <c r="E530" s="596"/>
      <c r="F530" s="366"/>
      <c r="G530" s="366"/>
      <c r="H530" s="366"/>
      <c r="I530" s="366"/>
      <c r="J530" s="366"/>
      <c r="K530" s="366"/>
      <c r="L530" s="366"/>
      <c r="M530" s="366"/>
      <c r="N530" s="366"/>
      <c r="O530" s="366"/>
      <c r="P530" s="611"/>
      <c r="Q530" s="614"/>
      <c r="R530" s="588"/>
      <c r="S530" s="188"/>
      <c r="T530" s="366"/>
      <c r="U530" s="366"/>
      <c r="V530" s="366"/>
      <c r="W530" s="366"/>
      <c r="X530" s="366"/>
      <c r="Y530" s="366"/>
      <c r="Z530" s="366"/>
      <c r="AA530" s="366"/>
      <c r="AB530" s="366"/>
      <c r="AC530" s="366"/>
      <c r="AD530" s="366"/>
      <c r="AE530" s="366"/>
      <c r="AF530" s="366"/>
      <c r="AG530" s="366"/>
      <c r="AH530" s="366"/>
      <c r="AI530" s="366"/>
      <c r="AJ530" s="366"/>
      <c r="AK530" s="366"/>
      <c r="AL530" s="366"/>
      <c r="AM530" s="607"/>
      <c r="AN530" s="366"/>
      <c r="AO530" s="366"/>
      <c r="AP530" s="366"/>
      <c r="AQ530" s="366"/>
      <c r="AR530" s="619"/>
      <c r="AS530" s="617"/>
    </row>
    <row r="531" spans="1:45" ht="15.75">
      <c r="A531" s="190"/>
      <c r="B531" s="366"/>
      <c r="C531" s="366"/>
      <c r="D531" s="596"/>
      <c r="E531" s="596"/>
      <c r="F531" s="366"/>
      <c r="G531" s="366"/>
      <c r="H531" s="366"/>
      <c r="I531" s="366"/>
      <c r="J531" s="366"/>
      <c r="K531" s="366"/>
      <c r="L531" s="366"/>
      <c r="M531" s="366"/>
      <c r="N531" s="366"/>
      <c r="O531" s="366"/>
      <c r="P531" s="611"/>
      <c r="Q531" s="614"/>
      <c r="R531" s="588"/>
      <c r="S531" s="188"/>
      <c r="T531" s="366"/>
      <c r="U531" s="366"/>
      <c r="V531" s="366"/>
      <c r="W531" s="366"/>
      <c r="X531" s="366"/>
      <c r="Y531" s="366"/>
      <c r="Z531" s="366"/>
      <c r="AA531" s="366"/>
      <c r="AB531" s="366"/>
      <c r="AC531" s="366"/>
      <c r="AD531" s="366"/>
      <c r="AE531" s="366"/>
      <c r="AF531" s="366"/>
      <c r="AG531" s="366"/>
      <c r="AH531" s="366"/>
      <c r="AI531" s="366"/>
      <c r="AJ531" s="366"/>
      <c r="AK531" s="366"/>
      <c r="AL531" s="366"/>
      <c r="AM531" s="607"/>
      <c r="AN531" s="366"/>
      <c r="AO531" s="366"/>
      <c r="AP531" s="366"/>
      <c r="AQ531" s="366"/>
      <c r="AR531" s="619"/>
      <c r="AS531" s="617"/>
    </row>
    <row r="532" spans="1:45" ht="15.75">
      <c r="A532" s="190"/>
      <c r="B532" s="366"/>
      <c r="C532" s="366"/>
      <c r="D532" s="596"/>
      <c r="E532" s="596"/>
      <c r="F532" s="366"/>
      <c r="G532" s="366"/>
      <c r="H532" s="366"/>
      <c r="I532" s="366"/>
      <c r="J532" s="366"/>
      <c r="K532" s="366"/>
      <c r="L532" s="366"/>
      <c r="M532" s="366"/>
      <c r="N532" s="366"/>
      <c r="O532" s="366"/>
      <c r="P532" s="611"/>
      <c r="Q532" s="614"/>
      <c r="R532" s="588"/>
      <c r="S532" s="188"/>
      <c r="T532" s="366"/>
      <c r="U532" s="366"/>
      <c r="V532" s="366"/>
      <c r="W532" s="366"/>
      <c r="X532" s="366"/>
      <c r="Y532" s="366"/>
      <c r="Z532" s="366"/>
      <c r="AA532" s="366"/>
      <c r="AB532" s="366"/>
      <c r="AC532" s="366"/>
      <c r="AD532" s="366"/>
      <c r="AE532" s="366"/>
      <c r="AF532" s="366"/>
      <c r="AG532" s="366"/>
      <c r="AH532" s="366"/>
      <c r="AI532" s="366"/>
      <c r="AJ532" s="366"/>
      <c r="AK532" s="366"/>
      <c r="AL532" s="366"/>
      <c r="AM532" s="607"/>
      <c r="AN532" s="366"/>
      <c r="AO532" s="366"/>
      <c r="AP532" s="366"/>
      <c r="AQ532" s="366"/>
      <c r="AR532" s="619"/>
      <c r="AS532" s="617"/>
    </row>
    <row r="533" spans="1:45" ht="15.75">
      <c r="A533" s="190"/>
      <c r="B533" s="366"/>
      <c r="C533" s="366"/>
      <c r="D533" s="596"/>
      <c r="E533" s="596"/>
      <c r="F533" s="366"/>
      <c r="G533" s="366"/>
      <c r="H533" s="366"/>
      <c r="I533" s="366"/>
      <c r="J533" s="366"/>
      <c r="K533" s="366"/>
      <c r="L533" s="366"/>
      <c r="M533" s="366"/>
      <c r="N533" s="366"/>
      <c r="O533" s="366"/>
      <c r="P533" s="611"/>
      <c r="Q533" s="614"/>
      <c r="R533" s="588"/>
      <c r="S533" s="188"/>
      <c r="T533" s="366"/>
      <c r="U533" s="366"/>
      <c r="V533" s="366"/>
      <c r="W533" s="366"/>
      <c r="X533" s="366"/>
      <c r="Y533" s="366"/>
      <c r="Z533" s="366"/>
      <c r="AA533" s="366"/>
      <c r="AB533" s="366"/>
      <c r="AC533" s="366"/>
      <c r="AD533" s="366"/>
      <c r="AE533" s="366"/>
      <c r="AF533" s="366"/>
      <c r="AG533" s="366"/>
      <c r="AH533" s="366"/>
      <c r="AI533" s="366"/>
      <c r="AJ533" s="366"/>
      <c r="AK533" s="366"/>
      <c r="AL533" s="366"/>
      <c r="AM533" s="607"/>
      <c r="AN533" s="366"/>
      <c r="AO533" s="366"/>
      <c r="AP533" s="366"/>
      <c r="AQ533" s="366"/>
      <c r="AR533" s="619"/>
      <c r="AS533" s="617"/>
    </row>
    <row r="534" spans="1:45" ht="15.75">
      <c r="A534" s="190"/>
      <c r="B534" s="366"/>
      <c r="C534" s="366"/>
      <c r="D534" s="596"/>
      <c r="E534" s="596"/>
      <c r="F534" s="366"/>
      <c r="G534" s="366"/>
      <c r="H534" s="366"/>
      <c r="I534" s="366"/>
      <c r="J534" s="366"/>
      <c r="K534" s="366"/>
      <c r="L534" s="366"/>
      <c r="M534" s="366"/>
      <c r="N534" s="366"/>
      <c r="O534" s="366"/>
      <c r="P534" s="611"/>
      <c r="Q534" s="614"/>
      <c r="R534" s="588"/>
      <c r="S534" s="188"/>
      <c r="T534" s="366"/>
      <c r="U534" s="366"/>
      <c r="V534" s="366"/>
      <c r="W534" s="366"/>
      <c r="X534" s="366"/>
      <c r="Y534" s="366"/>
      <c r="Z534" s="366"/>
      <c r="AA534" s="366"/>
      <c r="AB534" s="366"/>
      <c r="AC534" s="366"/>
      <c r="AD534" s="366"/>
      <c r="AE534" s="366"/>
      <c r="AF534" s="366"/>
      <c r="AG534" s="366"/>
      <c r="AH534" s="366"/>
      <c r="AI534" s="366"/>
      <c r="AJ534" s="366"/>
      <c r="AK534" s="366"/>
      <c r="AL534" s="366"/>
      <c r="AM534" s="607"/>
      <c r="AN534" s="366"/>
      <c r="AO534" s="366"/>
      <c r="AP534" s="366"/>
      <c r="AQ534" s="366"/>
      <c r="AR534" s="619"/>
      <c r="AS534" s="617"/>
    </row>
    <row r="535" spans="1:45" ht="15.75">
      <c r="A535" s="190"/>
      <c r="B535" s="366"/>
      <c r="C535" s="366"/>
      <c r="D535" s="596"/>
      <c r="E535" s="596"/>
      <c r="F535" s="366"/>
      <c r="G535" s="366"/>
      <c r="H535" s="366"/>
      <c r="I535" s="366"/>
      <c r="J535" s="366"/>
      <c r="K535" s="366"/>
      <c r="L535" s="366"/>
      <c r="M535" s="366"/>
      <c r="N535" s="366"/>
      <c r="O535" s="366"/>
      <c r="P535" s="611"/>
      <c r="Q535" s="614"/>
      <c r="R535" s="588"/>
      <c r="S535" s="188"/>
      <c r="T535" s="366"/>
      <c r="U535" s="366"/>
      <c r="V535" s="366"/>
      <c r="W535" s="366"/>
      <c r="X535" s="366"/>
      <c r="Y535" s="366"/>
      <c r="Z535" s="366"/>
      <c r="AA535" s="366"/>
      <c r="AB535" s="366"/>
      <c r="AC535" s="366"/>
      <c r="AD535" s="366"/>
      <c r="AE535" s="366"/>
      <c r="AF535" s="366"/>
      <c r="AG535" s="366"/>
      <c r="AH535" s="366"/>
      <c r="AI535" s="366"/>
      <c r="AJ535" s="366"/>
      <c r="AK535" s="366"/>
      <c r="AL535" s="366"/>
      <c r="AM535" s="607"/>
      <c r="AN535" s="366"/>
      <c r="AO535" s="366"/>
      <c r="AP535" s="366"/>
      <c r="AQ535" s="366"/>
      <c r="AR535" s="619"/>
      <c r="AS535" s="617"/>
    </row>
    <row r="536" spans="1:45" ht="15.75">
      <c r="A536" s="190"/>
      <c r="B536" s="366"/>
      <c r="C536" s="366"/>
      <c r="D536" s="596"/>
      <c r="E536" s="596"/>
      <c r="F536" s="366"/>
      <c r="G536" s="366"/>
      <c r="H536" s="366"/>
      <c r="I536" s="366"/>
      <c r="J536" s="366"/>
      <c r="K536" s="366"/>
      <c r="L536" s="366"/>
      <c r="M536" s="366"/>
      <c r="N536" s="366"/>
      <c r="O536" s="366"/>
      <c r="P536" s="611"/>
      <c r="Q536" s="614"/>
      <c r="R536" s="588"/>
      <c r="S536" s="188"/>
      <c r="T536" s="366"/>
      <c r="U536" s="366"/>
      <c r="V536" s="366"/>
      <c r="W536" s="366"/>
      <c r="X536" s="366"/>
      <c r="Y536" s="366"/>
      <c r="Z536" s="366"/>
      <c r="AA536" s="366"/>
      <c r="AB536" s="366"/>
      <c r="AC536" s="366"/>
      <c r="AD536" s="366"/>
      <c r="AE536" s="366"/>
      <c r="AF536" s="366"/>
      <c r="AG536" s="366"/>
      <c r="AH536" s="366"/>
      <c r="AI536" s="366"/>
      <c r="AJ536" s="366"/>
      <c r="AK536" s="366"/>
      <c r="AL536" s="366"/>
      <c r="AM536" s="607"/>
      <c r="AN536" s="366"/>
      <c r="AO536" s="366"/>
      <c r="AP536" s="366"/>
      <c r="AQ536" s="366"/>
      <c r="AR536" s="619"/>
      <c r="AS536" s="617"/>
    </row>
    <row r="537" spans="1:45" ht="15.75">
      <c r="A537" s="190"/>
      <c r="B537" s="366"/>
      <c r="C537" s="366"/>
      <c r="D537" s="596"/>
      <c r="E537" s="596"/>
      <c r="F537" s="366"/>
      <c r="G537" s="366"/>
      <c r="H537" s="366"/>
      <c r="I537" s="366"/>
      <c r="J537" s="366"/>
      <c r="K537" s="366"/>
      <c r="L537" s="366"/>
      <c r="M537" s="366"/>
      <c r="N537" s="366"/>
      <c r="O537" s="366"/>
      <c r="P537" s="611"/>
      <c r="Q537" s="614"/>
      <c r="R537" s="588"/>
      <c r="S537" s="188"/>
      <c r="T537" s="366"/>
      <c r="U537" s="366"/>
      <c r="V537" s="366"/>
      <c r="W537" s="366"/>
      <c r="X537" s="366"/>
      <c r="Y537" s="366"/>
      <c r="Z537" s="366"/>
      <c r="AA537" s="366"/>
      <c r="AB537" s="366"/>
      <c r="AC537" s="366"/>
      <c r="AD537" s="366"/>
      <c r="AE537" s="366"/>
      <c r="AF537" s="366"/>
      <c r="AG537" s="366"/>
      <c r="AH537" s="366"/>
      <c r="AI537" s="366"/>
      <c r="AJ537" s="366"/>
      <c r="AK537" s="366"/>
      <c r="AL537" s="366"/>
      <c r="AM537" s="607"/>
      <c r="AN537" s="366"/>
      <c r="AO537" s="366"/>
      <c r="AP537" s="366"/>
      <c r="AQ537" s="366"/>
      <c r="AR537" s="619"/>
      <c r="AS537" s="617"/>
    </row>
    <row r="538" spans="1:45" ht="15.75">
      <c r="A538" s="190"/>
      <c r="B538" s="366"/>
      <c r="C538" s="366"/>
      <c r="D538" s="596"/>
      <c r="E538" s="596"/>
      <c r="F538" s="366"/>
      <c r="G538" s="366"/>
      <c r="H538" s="366"/>
      <c r="I538" s="366"/>
      <c r="J538" s="366"/>
      <c r="K538" s="366"/>
      <c r="L538" s="366"/>
      <c r="M538" s="366"/>
      <c r="N538" s="366"/>
      <c r="O538" s="366"/>
      <c r="P538" s="611"/>
      <c r="Q538" s="614"/>
      <c r="R538" s="588"/>
      <c r="S538" s="188"/>
      <c r="T538" s="366"/>
      <c r="U538" s="366"/>
      <c r="V538" s="366"/>
      <c r="W538" s="366"/>
      <c r="X538" s="366"/>
      <c r="Y538" s="366"/>
      <c r="Z538" s="366"/>
      <c r="AA538" s="366"/>
      <c r="AB538" s="366"/>
      <c r="AC538" s="366"/>
      <c r="AD538" s="366"/>
      <c r="AE538" s="366"/>
      <c r="AF538" s="366"/>
      <c r="AG538" s="366"/>
      <c r="AH538" s="366"/>
      <c r="AI538" s="366"/>
      <c r="AJ538" s="366"/>
      <c r="AK538" s="366"/>
      <c r="AL538" s="366"/>
      <c r="AM538" s="607"/>
      <c r="AN538" s="366"/>
      <c r="AO538" s="366"/>
      <c r="AP538" s="366"/>
      <c r="AQ538" s="366"/>
      <c r="AR538" s="619"/>
      <c r="AS538" s="617"/>
    </row>
    <row r="539" spans="1:45" ht="15.75">
      <c r="A539" s="190"/>
      <c r="B539" s="366"/>
      <c r="C539" s="366"/>
      <c r="D539" s="596"/>
      <c r="E539" s="596"/>
      <c r="F539" s="366"/>
      <c r="G539" s="366"/>
      <c r="H539" s="366"/>
      <c r="I539" s="366"/>
      <c r="J539" s="366"/>
      <c r="K539" s="366"/>
      <c r="L539" s="366"/>
      <c r="M539" s="366"/>
      <c r="N539" s="366"/>
      <c r="O539" s="366"/>
      <c r="P539" s="611"/>
      <c r="Q539" s="614"/>
      <c r="R539" s="588"/>
      <c r="S539" s="188"/>
      <c r="T539" s="366"/>
      <c r="U539" s="366"/>
      <c r="V539" s="366"/>
      <c r="W539" s="366"/>
      <c r="X539" s="366"/>
      <c r="Y539" s="366"/>
      <c r="Z539" s="366"/>
      <c r="AA539" s="366"/>
      <c r="AB539" s="366"/>
      <c r="AC539" s="366"/>
      <c r="AD539" s="366"/>
      <c r="AE539" s="366"/>
      <c r="AF539" s="366"/>
      <c r="AG539" s="366"/>
      <c r="AH539" s="366"/>
      <c r="AI539" s="366"/>
      <c r="AJ539" s="366"/>
      <c r="AK539" s="366"/>
      <c r="AL539" s="366"/>
      <c r="AM539" s="607"/>
      <c r="AN539" s="366"/>
      <c r="AO539" s="366"/>
      <c r="AP539" s="366"/>
      <c r="AQ539" s="366"/>
      <c r="AR539" s="619"/>
      <c r="AS539" s="617"/>
    </row>
    <row r="540" spans="1:45" ht="15.75">
      <c r="A540" s="190"/>
      <c r="B540" s="366"/>
      <c r="C540" s="366"/>
      <c r="D540" s="596"/>
      <c r="E540" s="596"/>
      <c r="F540" s="366"/>
      <c r="G540" s="366"/>
      <c r="H540" s="366"/>
      <c r="I540" s="366"/>
      <c r="J540" s="366"/>
      <c r="K540" s="366"/>
      <c r="L540" s="366"/>
      <c r="M540" s="366"/>
      <c r="N540" s="366"/>
      <c r="O540" s="366"/>
      <c r="P540" s="611"/>
      <c r="Q540" s="614"/>
      <c r="R540" s="588"/>
      <c r="S540" s="188"/>
      <c r="T540" s="366"/>
      <c r="U540" s="366"/>
      <c r="V540" s="366"/>
      <c r="W540" s="366"/>
      <c r="X540" s="366"/>
      <c r="Y540" s="366"/>
      <c r="Z540" s="366"/>
      <c r="AA540" s="366"/>
      <c r="AB540" s="366"/>
      <c r="AC540" s="366"/>
      <c r="AD540" s="366"/>
      <c r="AE540" s="366"/>
      <c r="AF540" s="366"/>
      <c r="AG540" s="366"/>
      <c r="AH540" s="366"/>
      <c r="AI540" s="366"/>
      <c r="AJ540" s="366"/>
      <c r="AK540" s="366"/>
      <c r="AL540" s="366"/>
      <c r="AM540" s="607"/>
      <c r="AN540" s="366"/>
      <c r="AO540" s="366"/>
      <c r="AP540" s="366"/>
      <c r="AQ540" s="366"/>
      <c r="AR540" s="619"/>
      <c r="AS540" s="617"/>
    </row>
    <row r="541" spans="1:45" ht="15.75">
      <c r="A541" s="190"/>
      <c r="B541" s="366"/>
      <c r="C541" s="366"/>
      <c r="D541" s="596"/>
      <c r="E541" s="596"/>
      <c r="F541" s="366"/>
      <c r="G541" s="366"/>
      <c r="H541" s="366"/>
      <c r="I541" s="366"/>
      <c r="J541" s="366"/>
      <c r="K541" s="366"/>
      <c r="L541" s="366"/>
      <c r="M541" s="366"/>
      <c r="N541" s="366"/>
      <c r="O541" s="366"/>
      <c r="P541" s="611"/>
      <c r="Q541" s="614"/>
      <c r="R541" s="588"/>
      <c r="S541" s="188"/>
      <c r="T541" s="366"/>
      <c r="U541" s="366"/>
      <c r="V541" s="366"/>
      <c r="W541" s="366"/>
      <c r="X541" s="366"/>
      <c r="Y541" s="366"/>
      <c r="Z541" s="366"/>
      <c r="AA541" s="366"/>
      <c r="AB541" s="366"/>
      <c r="AC541" s="366"/>
      <c r="AD541" s="366"/>
      <c r="AE541" s="366"/>
      <c r="AF541" s="366"/>
      <c r="AG541" s="366"/>
      <c r="AH541" s="366"/>
      <c r="AI541" s="366"/>
      <c r="AJ541" s="366"/>
      <c r="AK541" s="366"/>
      <c r="AL541" s="366"/>
      <c r="AM541" s="607"/>
      <c r="AN541" s="366"/>
      <c r="AO541" s="366"/>
      <c r="AP541" s="366"/>
      <c r="AQ541" s="366"/>
      <c r="AR541" s="619"/>
      <c r="AS541" s="617"/>
    </row>
    <row r="542" spans="1:45" ht="15.75">
      <c r="A542" s="190"/>
      <c r="B542" s="366"/>
      <c r="C542" s="366"/>
      <c r="D542" s="596"/>
      <c r="E542" s="596"/>
      <c r="F542" s="366"/>
      <c r="G542" s="366"/>
      <c r="H542" s="366"/>
      <c r="I542" s="366"/>
      <c r="J542" s="366"/>
      <c r="K542" s="366"/>
      <c r="L542" s="366"/>
      <c r="M542" s="366"/>
      <c r="N542" s="366"/>
      <c r="O542" s="366"/>
      <c r="P542" s="611"/>
      <c r="Q542" s="614"/>
      <c r="R542" s="588"/>
      <c r="S542" s="188"/>
      <c r="T542" s="366"/>
      <c r="U542" s="366"/>
      <c r="V542" s="366"/>
      <c r="W542" s="366"/>
      <c r="X542" s="366"/>
      <c r="Y542" s="366"/>
      <c r="Z542" s="366"/>
      <c r="AA542" s="366"/>
      <c r="AB542" s="366"/>
      <c r="AC542" s="366"/>
      <c r="AD542" s="366"/>
      <c r="AE542" s="366"/>
      <c r="AF542" s="366"/>
      <c r="AG542" s="366"/>
      <c r="AH542" s="366"/>
      <c r="AI542" s="366"/>
      <c r="AJ542" s="366"/>
      <c r="AK542" s="366"/>
      <c r="AL542" s="366"/>
      <c r="AM542" s="607"/>
      <c r="AN542" s="366"/>
      <c r="AO542" s="366"/>
      <c r="AP542" s="366"/>
      <c r="AQ542" s="366"/>
      <c r="AR542" s="619"/>
      <c r="AS542" s="617"/>
    </row>
    <row r="543" spans="1:45" ht="15.75">
      <c r="A543" s="190"/>
      <c r="B543" s="366"/>
      <c r="C543" s="366"/>
      <c r="D543" s="596"/>
      <c r="E543" s="596"/>
      <c r="F543" s="366"/>
      <c r="G543" s="366"/>
      <c r="H543" s="366"/>
      <c r="I543" s="366"/>
      <c r="J543" s="366"/>
      <c r="K543" s="366"/>
      <c r="L543" s="366"/>
      <c r="M543" s="366"/>
      <c r="N543" s="366"/>
      <c r="O543" s="366"/>
      <c r="P543" s="611"/>
      <c r="Q543" s="614"/>
      <c r="R543" s="588"/>
      <c r="S543" s="188"/>
      <c r="T543" s="366"/>
      <c r="U543" s="366"/>
      <c r="V543" s="366"/>
      <c r="W543" s="366"/>
      <c r="X543" s="366"/>
      <c r="Y543" s="366"/>
      <c r="Z543" s="366"/>
      <c r="AA543" s="366"/>
      <c r="AB543" s="366"/>
      <c r="AC543" s="366"/>
      <c r="AD543" s="366"/>
      <c r="AE543" s="366"/>
      <c r="AF543" s="366"/>
      <c r="AG543" s="366"/>
      <c r="AH543" s="366"/>
      <c r="AI543" s="366"/>
      <c r="AJ543" s="366"/>
      <c r="AK543" s="366"/>
      <c r="AL543" s="366"/>
      <c r="AM543" s="607"/>
      <c r="AN543" s="366"/>
      <c r="AO543" s="366"/>
      <c r="AP543" s="366"/>
      <c r="AQ543" s="366"/>
      <c r="AR543" s="619"/>
      <c r="AS543" s="617"/>
    </row>
    <row r="544" spans="1:45" ht="15.75">
      <c r="A544" s="190"/>
      <c r="B544" s="366"/>
      <c r="C544" s="366"/>
      <c r="D544" s="596"/>
      <c r="E544" s="596"/>
      <c r="F544" s="366"/>
      <c r="G544" s="366"/>
      <c r="H544" s="366"/>
      <c r="I544" s="366"/>
      <c r="J544" s="366"/>
      <c r="K544" s="366"/>
      <c r="L544" s="366"/>
      <c r="M544" s="366"/>
      <c r="N544" s="366"/>
      <c r="O544" s="366"/>
      <c r="P544" s="611"/>
      <c r="Q544" s="614"/>
      <c r="R544" s="588"/>
      <c r="S544" s="188"/>
      <c r="T544" s="366"/>
      <c r="U544" s="366"/>
      <c r="V544" s="366"/>
      <c r="W544" s="366"/>
      <c r="X544" s="366"/>
      <c r="Y544" s="366"/>
      <c r="Z544" s="366"/>
      <c r="AA544" s="366"/>
      <c r="AB544" s="366"/>
      <c r="AC544" s="366"/>
      <c r="AD544" s="366"/>
      <c r="AE544" s="366"/>
      <c r="AF544" s="366"/>
      <c r="AG544" s="366"/>
      <c r="AH544" s="366"/>
      <c r="AI544" s="366"/>
      <c r="AJ544" s="366"/>
      <c r="AK544" s="366"/>
      <c r="AL544" s="366"/>
      <c r="AM544" s="607"/>
      <c r="AN544" s="366"/>
      <c r="AO544" s="366"/>
      <c r="AP544" s="366"/>
      <c r="AQ544" s="366"/>
      <c r="AR544" s="619"/>
      <c r="AS544" s="617"/>
    </row>
    <row r="545" spans="1:45" ht="15.75">
      <c r="A545" s="190"/>
      <c r="B545" s="366"/>
      <c r="C545" s="366"/>
      <c r="D545" s="596"/>
      <c r="E545" s="596"/>
      <c r="F545" s="366"/>
      <c r="G545" s="366"/>
      <c r="H545" s="366"/>
      <c r="I545" s="366"/>
      <c r="J545" s="366"/>
      <c r="K545" s="366"/>
      <c r="L545" s="366"/>
      <c r="M545" s="366"/>
      <c r="N545" s="366"/>
      <c r="O545" s="366"/>
      <c r="P545" s="611"/>
      <c r="Q545" s="614"/>
      <c r="R545" s="588"/>
      <c r="S545" s="188"/>
      <c r="T545" s="366"/>
      <c r="U545" s="366"/>
      <c r="V545" s="366"/>
      <c r="W545" s="366"/>
      <c r="X545" s="366"/>
      <c r="Y545" s="366"/>
      <c r="Z545" s="366"/>
      <c r="AA545" s="366"/>
      <c r="AB545" s="366"/>
      <c r="AC545" s="366"/>
      <c r="AD545" s="366"/>
      <c r="AE545" s="366"/>
      <c r="AF545" s="366"/>
      <c r="AG545" s="366"/>
      <c r="AH545" s="366"/>
      <c r="AI545" s="366"/>
      <c r="AJ545" s="366"/>
      <c r="AK545" s="366"/>
      <c r="AL545" s="366"/>
      <c r="AM545" s="607"/>
      <c r="AN545" s="366"/>
      <c r="AO545" s="366"/>
      <c r="AP545" s="366"/>
      <c r="AQ545" s="366"/>
      <c r="AR545" s="619"/>
      <c r="AS545" s="617"/>
    </row>
    <row r="546" spans="1:45" ht="15.75">
      <c r="A546" s="190"/>
      <c r="B546" s="366"/>
      <c r="C546" s="366"/>
      <c r="D546" s="596"/>
      <c r="E546" s="596"/>
      <c r="F546" s="366"/>
      <c r="G546" s="366"/>
      <c r="H546" s="366"/>
      <c r="I546" s="366"/>
      <c r="J546" s="366"/>
      <c r="K546" s="366"/>
      <c r="L546" s="366"/>
      <c r="M546" s="366"/>
      <c r="N546" s="366"/>
      <c r="O546" s="366"/>
      <c r="P546" s="611"/>
      <c r="Q546" s="614"/>
      <c r="R546" s="588"/>
      <c r="S546" s="188"/>
      <c r="T546" s="366"/>
      <c r="U546" s="366"/>
      <c r="V546" s="366"/>
      <c r="W546" s="366"/>
      <c r="X546" s="366"/>
      <c r="Y546" s="366"/>
      <c r="Z546" s="366"/>
      <c r="AA546" s="366"/>
      <c r="AB546" s="366"/>
      <c r="AC546" s="366"/>
      <c r="AD546" s="366"/>
      <c r="AE546" s="366"/>
      <c r="AF546" s="366"/>
      <c r="AG546" s="366"/>
      <c r="AH546" s="366"/>
      <c r="AI546" s="366"/>
      <c r="AJ546" s="366"/>
      <c r="AK546" s="366"/>
      <c r="AL546" s="366"/>
      <c r="AM546" s="607"/>
      <c r="AN546" s="366"/>
      <c r="AO546" s="366"/>
      <c r="AP546" s="366"/>
      <c r="AQ546" s="366"/>
      <c r="AR546" s="619"/>
      <c r="AS546" s="617"/>
    </row>
    <row r="547" spans="1:45" ht="15.75">
      <c r="A547" s="190"/>
      <c r="B547" s="366"/>
      <c r="C547" s="366"/>
      <c r="D547" s="596"/>
      <c r="E547" s="596"/>
      <c r="F547" s="366"/>
      <c r="G547" s="366"/>
      <c r="H547" s="366"/>
      <c r="I547" s="366"/>
      <c r="J547" s="366"/>
      <c r="K547" s="366"/>
      <c r="L547" s="366"/>
      <c r="M547" s="366"/>
      <c r="N547" s="366"/>
      <c r="O547" s="366"/>
      <c r="P547" s="611"/>
      <c r="Q547" s="614"/>
      <c r="R547" s="588"/>
      <c r="S547" s="188"/>
      <c r="T547" s="366"/>
      <c r="U547" s="366"/>
      <c r="V547" s="366"/>
      <c r="W547" s="366"/>
      <c r="X547" s="366"/>
      <c r="Y547" s="366"/>
      <c r="Z547" s="366"/>
      <c r="AA547" s="366"/>
      <c r="AB547" s="366"/>
      <c r="AC547" s="366"/>
      <c r="AD547" s="366"/>
      <c r="AE547" s="366"/>
      <c r="AF547" s="366"/>
      <c r="AG547" s="366"/>
      <c r="AH547" s="366"/>
      <c r="AI547" s="366"/>
      <c r="AJ547" s="366"/>
      <c r="AK547" s="366"/>
      <c r="AL547" s="366"/>
      <c r="AM547" s="607"/>
      <c r="AN547" s="366"/>
      <c r="AO547" s="366"/>
      <c r="AP547" s="366"/>
      <c r="AQ547" s="366"/>
      <c r="AR547" s="619"/>
      <c r="AS547" s="617"/>
    </row>
    <row r="548" spans="1:45" ht="15.75">
      <c r="A548" s="190"/>
      <c r="B548" s="366"/>
      <c r="C548" s="366"/>
      <c r="D548" s="596"/>
      <c r="E548" s="596"/>
      <c r="F548" s="366"/>
      <c r="G548" s="366"/>
      <c r="H548" s="366"/>
      <c r="I548" s="366"/>
      <c r="J548" s="366"/>
      <c r="K548" s="366"/>
      <c r="L548" s="366"/>
      <c r="M548" s="366"/>
      <c r="N548" s="366"/>
      <c r="O548" s="366"/>
      <c r="P548" s="611"/>
      <c r="Q548" s="614"/>
      <c r="R548" s="588"/>
      <c r="S548" s="188"/>
      <c r="T548" s="366"/>
      <c r="U548" s="366"/>
      <c r="V548" s="366"/>
      <c r="W548" s="366"/>
      <c r="X548" s="366"/>
      <c r="Y548" s="366"/>
      <c r="Z548" s="366"/>
      <c r="AA548" s="366"/>
      <c r="AB548" s="366"/>
      <c r="AC548" s="366"/>
      <c r="AD548" s="366"/>
      <c r="AE548" s="366"/>
      <c r="AF548" s="366"/>
      <c r="AG548" s="366"/>
      <c r="AH548" s="366"/>
      <c r="AI548" s="366"/>
      <c r="AJ548" s="366"/>
      <c r="AK548" s="366"/>
      <c r="AL548" s="366"/>
      <c r="AM548" s="607"/>
      <c r="AN548" s="366"/>
      <c r="AO548" s="366"/>
      <c r="AP548" s="366"/>
      <c r="AQ548" s="366"/>
      <c r="AR548" s="619"/>
      <c r="AS548" s="617"/>
    </row>
    <row r="549" spans="1:45" ht="15.75">
      <c r="A549" s="190"/>
      <c r="B549" s="366"/>
      <c r="C549" s="366"/>
      <c r="D549" s="596"/>
      <c r="E549" s="596"/>
      <c r="F549" s="366"/>
      <c r="G549" s="366"/>
      <c r="H549" s="366"/>
      <c r="I549" s="366"/>
      <c r="J549" s="366"/>
      <c r="K549" s="366"/>
      <c r="L549" s="366"/>
      <c r="M549" s="366"/>
      <c r="N549" s="366"/>
      <c r="O549" s="366"/>
      <c r="P549" s="611"/>
      <c r="Q549" s="614"/>
      <c r="R549" s="588"/>
      <c r="S549" s="188"/>
      <c r="T549" s="366"/>
      <c r="U549" s="366"/>
      <c r="V549" s="366"/>
      <c r="W549" s="366"/>
      <c r="X549" s="366"/>
      <c r="Y549" s="366"/>
      <c r="Z549" s="366"/>
      <c r="AA549" s="366"/>
      <c r="AB549" s="366"/>
      <c r="AC549" s="366"/>
      <c r="AD549" s="366"/>
      <c r="AE549" s="366"/>
      <c r="AF549" s="366"/>
      <c r="AG549" s="366"/>
      <c r="AH549" s="366"/>
      <c r="AI549" s="366"/>
      <c r="AJ549" s="366"/>
      <c r="AK549" s="366"/>
      <c r="AL549" s="366"/>
      <c r="AM549" s="607"/>
      <c r="AN549" s="366"/>
      <c r="AO549" s="366"/>
      <c r="AP549" s="366"/>
      <c r="AQ549" s="366"/>
      <c r="AR549" s="619"/>
      <c r="AS549" s="617"/>
    </row>
    <row r="550" spans="1:45" ht="15.75">
      <c r="A550" s="190"/>
      <c r="B550" s="366"/>
      <c r="C550" s="366"/>
      <c r="D550" s="596"/>
      <c r="E550" s="596"/>
      <c r="F550" s="366"/>
      <c r="G550" s="366"/>
      <c r="H550" s="366"/>
      <c r="I550" s="366"/>
      <c r="J550" s="366"/>
      <c r="K550" s="366"/>
      <c r="L550" s="366"/>
      <c r="M550" s="366"/>
      <c r="N550" s="366"/>
      <c r="O550" s="366"/>
      <c r="P550" s="611"/>
      <c r="Q550" s="614"/>
      <c r="R550" s="588"/>
      <c r="S550" s="188"/>
      <c r="T550" s="366"/>
      <c r="U550" s="366"/>
      <c r="V550" s="366"/>
      <c r="W550" s="366"/>
      <c r="X550" s="366"/>
      <c r="Y550" s="366"/>
      <c r="Z550" s="366"/>
      <c r="AA550" s="366"/>
      <c r="AB550" s="366"/>
      <c r="AC550" s="366"/>
      <c r="AD550" s="366"/>
      <c r="AE550" s="366"/>
      <c r="AF550" s="366"/>
      <c r="AG550" s="366"/>
      <c r="AH550" s="366"/>
      <c r="AI550" s="366"/>
      <c r="AJ550" s="366"/>
      <c r="AK550" s="366"/>
      <c r="AL550" s="366"/>
      <c r="AM550" s="607"/>
      <c r="AN550" s="366"/>
      <c r="AO550" s="366"/>
      <c r="AP550" s="366"/>
      <c r="AQ550" s="366"/>
      <c r="AR550" s="619"/>
      <c r="AS550" s="617"/>
    </row>
    <row r="551" spans="1:45" ht="15.75">
      <c r="A551" s="190"/>
      <c r="B551" s="366"/>
      <c r="C551" s="366"/>
      <c r="D551" s="596"/>
      <c r="E551" s="596"/>
      <c r="F551" s="366"/>
      <c r="G551" s="366"/>
      <c r="H551" s="366"/>
      <c r="I551" s="366"/>
      <c r="J551" s="366"/>
      <c r="K551" s="366"/>
      <c r="L551" s="366"/>
      <c r="M551" s="366"/>
      <c r="N551" s="366"/>
      <c r="O551" s="366"/>
      <c r="P551" s="611"/>
      <c r="Q551" s="614"/>
      <c r="R551" s="588"/>
      <c r="S551" s="188"/>
      <c r="T551" s="366"/>
      <c r="U551" s="366"/>
      <c r="V551" s="366"/>
      <c r="W551" s="366"/>
      <c r="X551" s="366"/>
      <c r="Y551" s="366"/>
      <c r="Z551" s="366"/>
      <c r="AA551" s="366"/>
      <c r="AB551" s="366"/>
      <c r="AC551" s="366"/>
      <c r="AD551" s="366"/>
      <c r="AE551" s="366"/>
      <c r="AF551" s="366"/>
      <c r="AG551" s="366"/>
      <c r="AH551" s="366"/>
      <c r="AI551" s="366"/>
      <c r="AJ551" s="366"/>
      <c r="AK551" s="366"/>
      <c r="AL551" s="366"/>
      <c r="AM551" s="607"/>
      <c r="AN551" s="366"/>
      <c r="AO551" s="366"/>
      <c r="AP551" s="366"/>
      <c r="AQ551" s="366"/>
      <c r="AR551" s="619"/>
      <c r="AS551" s="617"/>
    </row>
    <row r="552" spans="1:45" ht="15.75">
      <c r="A552" s="190"/>
      <c r="B552" s="366"/>
      <c r="C552" s="366"/>
      <c r="D552" s="596"/>
      <c r="E552" s="596"/>
      <c r="F552" s="366"/>
      <c r="G552" s="366"/>
      <c r="H552" s="366"/>
      <c r="I552" s="366"/>
      <c r="J552" s="366"/>
      <c r="K552" s="366"/>
      <c r="L552" s="366"/>
      <c r="M552" s="366"/>
      <c r="N552" s="366"/>
      <c r="O552" s="366"/>
      <c r="P552" s="611"/>
      <c r="Q552" s="614"/>
      <c r="R552" s="588"/>
      <c r="S552" s="188"/>
      <c r="T552" s="366"/>
      <c r="U552" s="366"/>
      <c r="V552" s="366"/>
      <c r="W552" s="366"/>
      <c r="X552" s="366"/>
      <c r="Y552" s="366"/>
      <c r="Z552" s="366"/>
      <c r="AA552" s="366"/>
      <c r="AB552" s="366"/>
      <c r="AC552" s="366"/>
      <c r="AD552" s="366"/>
      <c r="AE552" s="366"/>
      <c r="AF552" s="366"/>
      <c r="AG552" s="366"/>
      <c r="AH552" s="366"/>
      <c r="AI552" s="366"/>
      <c r="AJ552" s="366"/>
      <c r="AK552" s="366"/>
      <c r="AL552" s="366"/>
      <c r="AM552" s="607"/>
      <c r="AN552" s="366"/>
      <c r="AO552" s="366"/>
      <c r="AP552" s="366"/>
      <c r="AQ552" s="366"/>
      <c r="AR552" s="619"/>
      <c r="AS552" s="617"/>
    </row>
    <row r="553" spans="1:45" ht="15.75">
      <c r="A553" s="190"/>
      <c r="B553" s="366"/>
      <c r="C553" s="366"/>
      <c r="D553" s="596"/>
      <c r="E553" s="596"/>
      <c r="F553" s="366"/>
      <c r="G553" s="366"/>
      <c r="H553" s="366"/>
      <c r="I553" s="366"/>
      <c r="J553" s="366"/>
      <c r="K553" s="366"/>
      <c r="L553" s="366"/>
      <c r="M553" s="366"/>
      <c r="N553" s="366"/>
      <c r="O553" s="366"/>
      <c r="P553" s="611"/>
      <c r="Q553" s="614"/>
      <c r="R553" s="588"/>
      <c r="S553" s="188"/>
      <c r="T553" s="366"/>
      <c r="U553" s="366"/>
      <c r="V553" s="366"/>
      <c r="W553" s="366"/>
      <c r="X553" s="366"/>
      <c r="Y553" s="366"/>
      <c r="Z553" s="366"/>
      <c r="AA553" s="366"/>
      <c r="AB553" s="366"/>
      <c r="AC553" s="366"/>
      <c r="AD553" s="366"/>
      <c r="AE553" s="366"/>
      <c r="AF553" s="366"/>
      <c r="AG553" s="366"/>
      <c r="AH553" s="366"/>
      <c r="AI553" s="366"/>
      <c r="AJ553" s="366"/>
      <c r="AK553" s="366"/>
      <c r="AL553" s="366"/>
      <c r="AM553" s="607"/>
      <c r="AN553" s="366"/>
      <c r="AO553" s="366"/>
      <c r="AP553" s="366"/>
      <c r="AQ553" s="366"/>
      <c r="AR553" s="619"/>
      <c r="AS553" s="617"/>
    </row>
    <row r="554" spans="1:45" ht="15.75">
      <c r="A554" s="190"/>
      <c r="B554" s="366"/>
      <c r="C554" s="366"/>
      <c r="D554" s="596"/>
      <c r="E554" s="596"/>
      <c r="F554" s="366"/>
      <c r="G554" s="366"/>
      <c r="H554" s="366"/>
      <c r="I554" s="366"/>
      <c r="J554" s="366"/>
      <c r="K554" s="366"/>
      <c r="L554" s="366"/>
      <c r="M554" s="366"/>
      <c r="N554" s="366"/>
      <c r="O554" s="366"/>
      <c r="P554" s="611"/>
      <c r="Q554" s="614"/>
      <c r="R554" s="588"/>
      <c r="S554" s="188"/>
      <c r="T554" s="366"/>
      <c r="U554" s="366"/>
      <c r="V554" s="366"/>
      <c r="W554" s="366"/>
      <c r="X554" s="366"/>
      <c r="Y554" s="366"/>
      <c r="Z554" s="366"/>
      <c r="AA554" s="366"/>
      <c r="AB554" s="366"/>
      <c r="AC554" s="366"/>
      <c r="AD554" s="366"/>
      <c r="AE554" s="366"/>
      <c r="AF554" s="366"/>
      <c r="AG554" s="366"/>
      <c r="AH554" s="366"/>
      <c r="AI554" s="366"/>
      <c r="AJ554" s="366"/>
      <c r="AK554" s="366"/>
      <c r="AL554" s="366"/>
      <c r="AM554" s="607"/>
      <c r="AN554" s="366"/>
      <c r="AO554" s="366"/>
      <c r="AP554" s="366"/>
      <c r="AQ554" s="366"/>
      <c r="AR554" s="619"/>
      <c r="AS554" s="617"/>
    </row>
    <row r="555" spans="1:45" ht="15.75">
      <c r="A555" s="190"/>
      <c r="B555" s="366"/>
      <c r="C555" s="366"/>
      <c r="D555" s="596"/>
      <c r="E555" s="596"/>
      <c r="F555" s="366"/>
      <c r="G555" s="366"/>
      <c r="H555" s="366"/>
      <c r="I555" s="366"/>
      <c r="J555" s="366"/>
      <c r="K555" s="366"/>
      <c r="L555" s="366"/>
      <c r="M555" s="366"/>
      <c r="N555" s="366"/>
      <c r="O555" s="366"/>
      <c r="P555" s="611"/>
      <c r="Q555" s="614"/>
      <c r="R555" s="588"/>
      <c r="S555" s="188"/>
      <c r="T555" s="366"/>
      <c r="U555" s="366"/>
      <c r="V555" s="366"/>
      <c r="W555" s="366"/>
      <c r="X555" s="366"/>
      <c r="Y555" s="366"/>
      <c r="Z555" s="366"/>
      <c r="AA555" s="366"/>
      <c r="AB555" s="366"/>
      <c r="AC555" s="366"/>
      <c r="AD555" s="366"/>
      <c r="AE555" s="366"/>
      <c r="AF555" s="366"/>
      <c r="AG555" s="366"/>
      <c r="AH555" s="366"/>
      <c r="AI555" s="366"/>
      <c r="AJ555" s="366"/>
      <c r="AK555" s="366"/>
      <c r="AL555" s="366"/>
      <c r="AM555" s="607"/>
      <c r="AN555" s="366"/>
      <c r="AO555" s="366"/>
      <c r="AP555" s="366"/>
      <c r="AQ555" s="366"/>
      <c r="AR555" s="619"/>
      <c r="AS555" s="617"/>
    </row>
    <row r="556" spans="1:45" ht="15.75">
      <c r="A556" s="190"/>
      <c r="B556" s="366"/>
      <c r="C556" s="366"/>
      <c r="D556" s="596"/>
      <c r="E556" s="596"/>
      <c r="F556" s="366"/>
      <c r="G556" s="366"/>
      <c r="H556" s="366"/>
      <c r="I556" s="366"/>
      <c r="J556" s="366"/>
      <c r="K556" s="366"/>
      <c r="L556" s="366"/>
      <c r="M556" s="366"/>
      <c r="N556" s="366"/>
      <c r="O556" s="366"/>
      <c r="P556" s="611"/>
      <c r="Q556" s="614"/>
      <c r="R556" s="588"/>
      <c r="S556" s="188"/>
      <c r="T556" s="366"/>
      <c r="U556" s="366"/>
      <c r="V556" s="366"/>
      <c r="W556" s="366"/>
      <c r="X556" s="366"/>
      <c r="Y556" s="366"/>
      <c r="Z556" s="366"/>
      <c r="AA556" s="366"/>
      <c r="AB556" s="366"/>
      <c r="AC556" s="366"/>
      <c r="AD556" s="366"/>
      <c r="AE556" s="366"/>
      <c r="AF556" s="366"/>
      <c r="AG556" s="366"/>
      <c r="AH556" s="366"/>
      <c r="AI556" s="366"/>
      <c r="AJ556" s="366"/>
      <c r="AK556" s="366"/>
      <c r="AL556" s="366"/>
      <c r="AM556" s="607"/>
      <c r="AN556" s="366"/>
      <c r="AO556" s="366"/>
      <c r="AP556" s="366"/>
      <c r="AQ556" s="366"/>
      <c r="AR556" s="619"/>
      <c r="AS556" s="617"/>
    </row>
    <row r="557" spans="1:45" ht="15.75">
      <c r="A557" s="190"/>
      <c r="B557" s="366"/>
      <c r="C557" s="366"/>
      <c r="D557" s="596"/>
      <c r="E557" s="596"/>
      <c r="F557" s="366"/>
      <c r="G557" s="366"/>
      <c r="H557" s="366"/>
      <c r="I557" s="366"/>
      <c r="J557" s="366"/>
      <c r="K557" s="366"/>
      <c r="L557" s="366"/>
      <c r="M557" s="366"/>
      <c r="N557" s="366"/>
      <c r="O557" s="366"/>
      <c r="P557" s="611"/>
      <c r="Q557" s="614"/>
      <c r="R557" s="588"/>
      <c r="S557" s="188"/>
      <c r="T557" s="366"/>
      <c r="U557" s="366"/>
      <c r="V557" s="366"/>
      <c r="W557" s="366"/>
      <c r="X557" s="366"/>
      <c r="Y557" s="366"/>
      <c r="Z557" s="366"/>
      <c r="AA557" s="366"/>
      <c r="AB557" s="366"/>
      <c r="AC557" s="366"/>
      <c r="AD557" s="366"/>
      <c r="AE557" s="366"/>
      <c r="AF557" s="366"/>
      <c r="AG557" s="366"/>
      <c r="AH557" s="366"/>
      <c r="AI557" s="366"/>
      <c r="AJ557" s="366"/>
      <c r="AK557" s="366"/>
      <c r="AL557" s="366"/>
      <c r="AM557" s="607"/>
      <c r="AN557" s="366"/>
      <c r="AO557" s="366"/>
      <c r="AP557" s="366"/>
      <c r="AQ557" s="366"/>
      <c r="AR557" s="619"/>
      <c r="AS557" s="617"/>
    </row>
    <row r="558" spans="1:45" ht="15.75">
      <c r="A558" s="190"/>
      <c r="B558" s="366"/>
      <c r="C558" s="366"/>
      <c r="D558" s="596"/>
      <c r="E558" s="596"/>
      <c r="F558" s="366"/>
      <c r="G558" s="366"/>
      <c r="H558" s="366"/>
      <c r="I558" s="366"/>
      <c r="J558" s="366"/>
      <c r="K558" s="366"/>
      <c r="L558" s="366"/>
      <c r="M558" s="366"/>
      <c r="N558" s="366"/>
      <c r="O558" s="366"/>
      <c r="P558" s="611"/>
      <c r="Q558" s="614"/>
      <c r="R558" s="588"/>
      <c r="S558" s="188"/>
      <c r="T558" s="366"/>
      <c r="U558" s="366"/>
      <c r="V558" s="366"/>
      <c r="W558" s="366"/>
      <c r="X558" s="366"/>
      <c r="Y558" s="366"/>
      <c r="Z558" s="366"/>
      <c r="AA558" s="366"/>
      <c r="AB558" s="366"/>
      <c r="AC558" s="366"/>
      <c r="AD558" s="366"/>
      <c r="AE558" s="366"/>
      <c r="AF558" s="366"/>
      <c r="AG558" s="366"/>
      <c r="AH558" s="366"/>
      <c r="AI558" s="366"/>
      <c r="AJ558" s="366"/>
      <c r="AK558" s="366"/>
      <c r="AL558" s="366"/>
      <c r="AM558" s="607"/>
      <c r="AN558" s="366"/>
      <c r="AO558" s="366"/>
      <c r="AP558" s="366"/>
      <c r="AQ558" s="366"/>
      <c r="AR558" s="619"/>
      <c r="AS558" s="617"/>
    </row>
    <row r="559" spans="1:45" ht="15.75">
      <c r="A559" s="190"/>
      <c r="B559" s="366"/>
      <c r="C559" s="366"/>
      <c r="D559" s="596"/>
      <c r="E559" s="596"/>
      <c r="F559" s="366"/>
      <c r="G559" s="366"/>
      <c r="H559" s="366"/>
      <c r="I559" s="366"/>
      <c r="J559" s="366"/>
      <c r="K559" s="366"/>
      <c r="L559" s="366"/>
      <c r="M559" s="366"/>
      <c r="N559" s="366"/>
      <c r="O559" s="366"/>
      <c r="P559" s="611"/>
      <c r="Q559" s="614"/>
      <c r="R559" s="588"/>
      <c r="S559" s="188"/>
      <c r="T559" s="366"/>
      <c r="U559" s="366"/>
      <c r="V559" s="366"/>
      <c r="W559" s="366"/>
      <c r="X559" s="366"/>
      <c r="Y559" s="366"/>
      <c r="Z559" s="366"/>
      <c r="AA559" s="366"/>
      <c r="AB559" s="366"/>
      <c r="AC559" s="366"/>
      <c r="AD559" s="366"/>
      <c r="AE559" s="366"/>
      <c r="AF559" s="366"/>
      <c r="AG559" s="366"/>
      <c r="AH559" s="366"/>
      <c r="AI559" s="366"/>
      <c r="AJ559" s="366"/>
      <c r="AK559" s="366"/>
      <c r="AL559" s="366"/>
      <c r="AM559" s="607"/>
      <c r="AN559" s="366"/>
      <c r="AO559" s="366"/>
      <c r="AP559" s="366"/>
      <c r="AQ559" s="366"/>
      <c r="AR559" s="619"/>
      <c r="AS559" s="617"/>
    </row>
    <row r="560" spans="1:45" ht="15.75">
      <c r="A560" s="190"/>
      <c r="B560" s="366"/>
      <c r="C560" s="366"/>
      <c r="D560" s="596"/>
      <c r="E560" s="596"/>
      <c r="F560" s="366"/>
      <c r="G560" s="366"/>
      <c r="H560" s="366"/>
      <c r="I560" s="366"/>
      <c r="J560" s="366"/>
      <c r="K560" s="366"/>
      <c r="L560" s="366"/>
      <c r="M560" s="366"/>
      <c r="N560" s="366"/>
      <c r="O560" s="366"/>
      <c r="P560" s="611"/>
      <c r="Q560" s="614"/>
      <c r="R560" s="588"/>
      <c r="S560" s="188"/>
      <c r="T560" s="366"/>
      <c r="U560" s="366"/>
      <c r="V560" s="366"/>
      <c r="W560" s="366"/>
      <c r="X560" s="366"/>
      <c r="Y560" s="366"/>
      <c r="Z560" s="366"/>
      <c r="AA560" s="366"/>
      <c r="AB560" s="366"/>
      <c r="AC560" s="366"/>
      <c r="AD560" s="366"/>
      <c r="AE560" s="366"/>
      <c r="AF560" s="366"/>
      <c r="AG560" s="366"/>
      <c r="AH560" s="366"/>
      <c r="AI560" s="366"/>
      <c r="AJ560" s="366"/>
      <c r="AK560" s="366"/>
      <c r="AL560" s="366"/>
      <c r="AM560" s="607"/>
      <c r="AN560" s="366"/>
      <c r="AO560" s="366"/>
      <c r="AP560" s="366"/>
      <c r="AQ560" s="366"/>
      <c r="AR560" s="619"/>
      <c r="AS560" s="617"/>
    </row>
    <row r="561" spans="1:45" ht="15.75">
      <c r="A561" s="190"/>
      <c r="B561" s="366"/>
      <c r="C561" s="366"/>
      <c r="D561" s="596"/>
      <c r="E561" s="596"/>
      <c r="F561" s="366"/>
      <c r="G561" s="366"/>
      <c r="H561" s="366"/>
      <c r="I561" s="366"/>
      <c r="J561" s="366"/>
      <c r="K561" s="366"/>
      <c r="L561" s="366"/>
      <c r="M561" s="366"/>
      <c r="N561" s="366"/>
      <c r="O561" s="366"/>
      <c r="P561" s="611"/>
      <c r="Q561" s="614"/>
      <c r="R561" s="588"/>
      <c r="S561" s="188"/>
      <c r="T561" s="366"/>
      <c r="U561" s="366"/>
      <c r="V561" s="366"/>
      <c r="W561" s="366"/>
      <c r="X561" s="366"/>
      <c r="Y561" s="366"/>
      <c r="Z561" s="366"/>
      <c r="AA561" s="366"/>
      <c r="AB561" s="366"/>
      <c r="AC561" s="366"/>
      <c r="AD561" s="366"/>
      <c r="AE561" s="366"/>
      <c r="AF561" s="366"/>
      <c r="AG561" s="366"/>
      <c r="AH561" s="366"/>
      <c r="AI561" s="366"/>
      <c r="AJ561" s="366"/>
      <c r="AK561" s="366"/>
      <c r="AL561" s="366"/>
      <c r="AM561" s="607"/>
      <c r="AN561" s="366"/>
      <c r="AO561" s="366"/>
      <c r="AP561" s="366"/>
      <c r="AQ561" s="366"/>
      <c r="AR561" s="619"/>
      <c r="AS561" s="617"/>
    </row>
    <row r="562" spans="1:45" ht="15.75">
      <c r="A562" s="190"/>
      <c r="B562" s="366"/>
      <c r="C562" s="366"/>
      <c r="D562" s="596"/>
      <c r="E562" s="596"/>
      <c r="F562" s="366"/>
      <c r="G562" s="366"/>
      <c r="H562" s="366"/>
      <c r="I562" s="366"/>
      <c r="J562" s="366"/>
      <c r="K562" s="366"/>
      <c r="L562" s="366"/>
      <c r="M562" s="366"/>
      <c r="N562" s="366"/>
      <c r="O562" s="366"/>
      <c r="P562" s="611"/>
      <c r="Q562" s="614"/>
      <c r="R562" s="588"/>
      <c r="S562" s="188"/>
      <c r="T562" s="366"/>
      <c r="U562" s="366"/>
      <c r="V562" s="366"/>
      <c r="W562" s="366"/>
      <c r="X562" s="366"/>
      <c r="Y562" s="366"/>
      <c r="Z562" s="366"/>
      <c r="AA562" s="366"/>
      <c r="AB562" s="366"/>
      <c r="AC562" s="366"/>
      <c r="AD562" s="366"/>
      <c r="AE562" s="366"/>
      <c r="AF562" s="366"/>
      <c r="AG562" s="366"/>
      <c r="AH562" s="366"/>
      <c r="AI562" s="366"/>
      <c r="AJ562" s="366"/>
      <c r="AK562" s="366"/>
      <c r="AL562" s="366"/>
      <c r="AM562" s="607"/>
      <c r="AN562" s="366"/>
      <c r="AO562" s="366"/>
      <c r="AP562" s="366"/>
      <c r="AQ562" s="366"/>
      <c r="AR562" s="619"/>
      <c r="AS562" s="617"/>
    </row>
    <row r="563" spans="1:45" ht="15.75">
      <c r="A563" s="190"/>
      <c r="B563" s="366"/>
      <c r="C563" s="366"/>
      <c r="D563" s="596"/>
      <c r="E563" s="596"/>
      <c r="F563" s="366"/>
      <c r="G563" s="366"/>
      <c r="H563" s="366"/>
      <c r="I563" s="366"/>
      <c r="J563" s="366"/>
      <c r="K563" s="366"/>
      <c r="L563" s="366"/>
      <c r="M563" s="366"/>
      <c r="N563" s="366"/>
      <c r="O563" s="366"/>
      <c r="P563" s="611"/>
      <c r="Q563" s="614"/>
      <c r="R563" s="588"/>
      <c r="S563" s="188"/>
      <c r="T563" s="366"/>
      <c r="U563" s="366"/>
      <c r="V563" s="366"/>
      <c r="W563" s="366"/>
      <c r="X563" s="366"/>
      <c r="Y563" s="366"/>
      <c r="Z563" s="366"/>
      <c r="AA563" s="366"/>
      <c r="AB563" s="366"/>
      <c r="AC563" s="366"/>
      <c r="AD563" s="366"/>
      <c r="AE563" s="366"/>
      <c r="AF563" s="366"/>
      <c r="AG563" s="366"/>
      <c r="AH563" s="366"/>
      <c r="AI563" s="366"/>
      <c r="AJ563" s="366"/>
      <c r="AK563" s="366"/>
      <c r="AL563" s="366"/>
      <c r="AM563" s="607"/>
      <c r="AN563" s="366"/>
      <c r="AO563" s="366"/>
      <c r="AP563" s="366"/>
      <c r="AQ563" s="366"/>
      <c r="AR563" s="619"/>
      <c r="AS563" s="617"/>
    </row>
    <row r="564" spans="1:45" ht="15.75">
      <c r="A564" s="190"/>
      <c r="B564" s="366"/>
      <c r="C564" s="366"/>
      <c r="D564" s="596"/>
      <c r="E564" s="596"/>
      <c r="F564" s="366"/>
      <c r="G564" s="366"/>
      <c r="H564" s="366"/>
      <c r="I564" s="366"/>
      <c r="J564" s="366"/>
      <c r="K564" s="366"/>
      <c r="L564" s="366"/>
      <c r="M564" s="366"/>
      <c r="N564" s="366"/>
      <c r="O564" s="366"/>
      <c r="P564" s="611"/>
      <c r="Q564" s="614"/>
      <c r="R564" s="588"/>
      <c r="S564" s="188"/>
      <c r="T564" s="366"/>
      <c r="U564" s="366"/>
      <c r="V564" s="366"/>
      <c r="W564" s="366"/>
      <c r="X564" s="366"/>
      <c r="Y564" s="366"/>
      <c r="Z564" s="366"/>
      <c r="AA564" s="366"/>
      <c r="AB564" s="366"/>
      <c r="AC564" s="366"/>
      <c r="AD564" s="366"/>
      <c r="AE564" s="366"/>
      <c r="AF564" s="366"/>
      <c r="AG564" s="366"/>
      <c r="AH564" s="366"/>
      <c r="AI564" s="366"/>
      <c r="AJ564" s="366"/>
      <c r="AK564" s="366"/>
      <c r="AL564" s="366"/>
      <c r="AM564" s="607"/>
      <c r="AN564" s="366"/>
      <c r="AO564" s="366"/>
      <c r="AP564" s="366"/>
      <c r="AQ564" s="366"/>
      <c r="AR564" s="619"/>
      <c r="AS564" s="617"/>
    </row>
    <row r="565" spans="1:45" ht="15.75">
      <c r="A565" s="190"/>
      <c r="B565" s="366"/>
      <c r="C565" s="366"/>
      <c r="D565" s="596"/>
      <c r="E565" s="596"/>
      <c r="F565" s="366"/>
      <c r="G565" s="366"/>
      <c r="H565" s="366"/>
      <c r="I565" s="366"/>
      <c r="J565" s="366"/>
      <c r="K565" s="366"/>
      <c r="L565" s="366"/>
      <c r="M565" s="366"/>
      <c r="N565" s="366"/>
      <c r="O565" s="366"/>
      <c r="P565" s="611"/>
      <c r="Q565" s="614"/>
      <c r="R565" s="588"/>
      <c r="S565" s="188"/>
      <c r="T565" s="366"/>
      <c r="U565" s="366"/>
      <c r="V565" s="366"/>
      <c r="W565" s="366"/>
      <c r="X565" s="366"/>
      <c r="Y565" s="366"/>
      <c r="Z565" s="366"/>
      <c r="AA565" s="366"/>
      <c r="AB565" s="366"/>
      <c r="AC565" s="366"/>
      <c r="AD565" s="366"/>
      <c r="AE565" s="366"/>
      <c r="AF565" s="366"/>
      <c r="AG565" s="366"/>
      <c r="AH565" s="366"/>
      <c r="AI565" s="366"/>
      <c r="AJ565" s="366"/>
      <c r="AK565" s="366"/>
      <c r="AL565" s="366"/>
      <c r="AM565" s="607"/>
      <c r="AN565" s="366"/>
      <c r="AO565" s="366"/>
      <c r="AP565" s="366"/>
      <c r="AQ565" s="366"/>
      <c r="AR565" s="619"/>
      <c r="AS565" s="617"/>
    </row>
    <row r="566" spans="1:45" ht="15.75">
      <c r="A566" s="190"/>
      <c r="B566" s="366"/>
      <c r="C566" s="366"/>
      <c r="D566" s="596"/>
      <c r="E566" s="596"/>
      <c r="F566" s="366"/>
      <c r="G566" s="366"/>
      <c r="H566" s="366"/>
      <c r="I566" s="366"/>
      <c r="J566" s="366"/>
      <c r="K566" s="366"/>
      <c r="L566" s="366"/>
      <c r="M566" s="366"/>
      <c r="N566" s="366"/>
      <c r="O566" s="366"/>
      <c r="P566" s="611"/>
      <c r="Q566" s="614"/>
      <c r="R566" s="588"/>
      <c r="S566" s="188"/>
      <c r="T566" s="366"/>
      <c r="U566" s="366"/>
      <c r="V566" s="366"/>
      <c r="W566" s="366"/>
      <c r="X566" s="366"/>
      <c r="Y566" s="366"/>
      <c r="Z566" s="366"/>
      <c r="AA566" s="366"/>
      <c r="AB566" s="366"/>
      <c r="AC566" s="366"/>
      <c r="AD566" s="366"/>
      <c r="AE566" s="366"/>
      <c r="AF566" s="366"/>
      <c r="AG566" s="366"/>
      <c r="AH566" s="366"/>
      <c r="AI566" s="366"/>
      <c r="AJ566" s="366"/>
      <c r="AK566" s="366"/>
      <c r="AL566" s="366"/>
      <c r="AM566" s="607"/>
      <c r="AN566" s="366"/>
      <c r="AO566" s="366"/>
      <c r="AP566" s="366"/>
      <c r="AQ566" s="366"/>
      <c r="AR566" s="619"/>
      <c r="AS566" s="617"/>
    </row>
    <row r="567" spans="1:45" ht="15.75">
      <c r="A567" s="190"/>
      <c r="B567" s="366"/>
      <c r="C567" s="366"/>
      <c r="D567" s="596"/>
      <c r="E567" s="596"/>
      <c r="F567" s="366"/>
      <c r="G567" s="366"/>
      <c r="H567" s="366"/>
      <c r="I567" s="366"/>
      <c r="J567" s="366"/>
      <c r="K567" s="366"/>
      <c r="L567" s="366"/>
      <c r="M567" s="366"/>
      <c r="N567" s="366"/>
      <c r="O567" s="366"/>
      <c r="P567" s="611"/>
      <c r="Q567" s="614"/>
      <c r="R567" s="588"/>
      <c r="S567" s="188"/>
      <c r="T567" s="366"/>
      <c r="U567" s="366"/>
      <c r="V567" s="366"/>
      <c r="W567" s="366"/>
      <c r="X567" s="366"/>
      <c r="Y567" s="366"/>
      <c r="Z567" s="366"/>
      <c r="AA567" s="366"/>
      <c r="AB567" s="366"/>
      <c r="AC567" s="366"/>
      <c r="AD567" s="366"/>
      <c r="AE567" s="366"/>
      <c r="AF567" s="366"/>
      <c r="AG567" s="366"/>
      <c r="AH567" s="366"/>
      <c r="AI567" s="366"/>
      <c r="AJ567" s="366"/>
      <c r="AK567" s="366"/>
      <c r="AL567" s="366"/>
      <c r="AM567" s="607"/>
      <c r="AN567" s="366"/>
      <c r="AO567" s="366"/>
      <c r="AP567" s="366"/>
      <c r="AQ567" s="366"/>
      <c r="AR567" s="619"/>
      <c r="AS567" s="617"/>
    </row>
    <row r="568" spans="1:45" ht="15.75">
      <c r="A568" s="190"/>
      <c r="B568" s="366"/>
      <c r="C568" s="366"/>
      <c r="D568" s="596"/>
      <c r="E568" s="596"/>
      <c r="F568" s="366"/>
      <c r="G568" s="366"/>
      <c r="H568" s="366"/>
      <c r="I568" s="366"/>
      <c r="J568" s="366"/>
      <c r="K568" s="366"/>
      <c r="L568" s="366"/>
      <c r="M568" s="366"/>
      <c r="N568" s="366"/>
      <c r="O568" s="366"/>
      <c r="P568" s="611"/>
      <c r="Q568" s="614"/>
      <c r="R568" s="588"/>
      <c r="S568" s="188"/>
      <c r="T568" s="366"/>
      <c r="U568" s="366"/>
      <c r="V568" s="366"/>
      <c r="W568" s="366"/>
      <c r="X568" s="366"/>
      <c r="Y568" s="366"/>
      <c r="Z568" s="366"/>
      <c r="AA568" s="366"/>
      <c r="AB568" s="366"/>
      <c r="AC568" s="366"/>
      <c r="AD568" s="366"/>
      <c r="AE568" s="366"/>
      <c r="AF568" s="366"/>
      <c r="AG568" s="366"/>
      <c r="AH568" s="366"/>
      <c r="AI568" s="366"/>
      <c r="AJ568" s="366"/>
      <c r="AK568" s="366"/>
      <c r="AL568" s="366"/>
      <c r="AM568" s="607"/>
      <c r="AN568" s="366"/>
      <c r="AO568" s="366"/>
      <c r="AP568" s="366"/>
      <c r="AQ568" s="366"/>
      <c r="AR568" s="619"/>
      <c r="AS568" s="617"/>
    </row>
    <row r="569" spans="1:45" ht="15.75">
      <c r="A569" s="190"/>
      <c r="B569" s="366"/>
      <c r="C569" s="366"/>
      <c r="D569" s="596"/>
      <c r="E569" s="596"/>
      <c r="F569" s="366"/>
      <c r="G569" s="366"/>
      <c r="H569" s="366"/>
      <c r="I569" s="366"/>
      <c r="J569" s="366"/>
      <c r="K569" s="366"/>
      <c r="L569" s="366"/>
      <c r="M569" s="366"/>
      <c r="N569" s="366"/>
      <c r="O569" s="366"/>
      <c r="P569" s="611"/>
      <c r="Q569" s="614"/>
      <c r="R569" s="588"/>
      <c r="S569" s="188"/>
      <c r="T569" s="366"/>
      <c r="U569" s="366"/>
      <c r="V569" s="366"/>
      <c r="W569" s="366"/>
      <c r="X569" s="366"/>
      <c r="Y569" s="366"/>
      <c r="Z569" s="366"/>
      <c r="AA569" s="366"/>
      <c r="AB569" s="366"/>
      <c r="AC569" s="366"/>
      <c r="AD569" s="366"/>
      <c r="AE569" s="366"/>
      <c r="AF569" s="366"/>
      <c r="AG569" s="366"/>
      <c r="AH569" s="366"/>
      <c r="AI569" s="366"/>
      <c r="AJ569" s="366"/>
      <c r="AK569" s="366"/>
      <c r="AL569" s="366"/>
      <c r="AM569" s="607"/>
      <c r="AN569" s="366"/>
      <c r="AO569" s="366"/>
      <c r="AP569" s="366"/>
      <c r="AQ569" s="366"/>
      <c r="AR569" s="619"/>
      <c r="AS569" s="617"/>
    </row>
    <row r="570" spans="1:45" ht="15.75">
      <c r="A570" s="190"/>
      <c r="B570" s="366"/>
      <c r="C570" s="366"/>
      <c r="D570" s="596"/>
      <c r="E570" s="596"/>
      <c r="F570" s="366"/>
      <c r="G570" s="366"/>
      <c r="H570" s="366"/>
      <c r="I570" s="366"/>
      <c r="J570" s="366"/>
      <c r="K570" s="366"/>
      <c r="L570" s="366"/>
      <c r="M570" s="366"/>
      <c r="N570" s="366"/>
      <c r="O570" s="366"/>
      <c r="P570" s="611"/>
      <c r="Q570" s="614"/>
      <c r="R570" s="588"/>
      <c r="S570" s="188"/>
      <c r="T570" s="366"/>
      <c r="U570" s="366"/>
      <c r="V570" s="366"/>
      <c r="W570" s="366"/>
      <c r="X570" s="366"/>
      <c r="Y570" s="366"/>
      <c r="Z570" s="366"/>
      <c r="AA570" s="366"/>
      <c r="AB570" s="366"/>
      <c r="AC570" s="366"/>
      <c r="AD570" s="366"/>
      <c r="AE570" s="366"/>
      <c r="AF570" s="366"/>
      <c r="AG570" s="366"/>
      <c r="AH570" s="366"/>
      <c r="AI570" s="366"/>
      <c r="AJ570" s="366"/>
      <c r="AK570" s="366"/>
      <c r="AL570" s="366"/>
      <c r="AM570" s="607"/>
      <c r="AN570" s="366"/>
      <c r="AO570" s="366"/>
      <c r="AP570" s="366"/>
      <c r="AQ570" s="366"/>
      <c r="AR570" s="619"/>
      <c r="AS570" s="617"/>
    </row>
    <row r="571" spans="1:45" ht="15.75">
      <c r="A571" s="190"/>
      <c r="B571" s="366"/>
      <c r="C571" s="366"/>
      <c r="D571" s="596"/>
      <c r="E571" s="596"/>
      <c r="F571" s="366"/>
      <c r="G571" s="366"/>
      <c r="H571" s="366"/>
      <c r="I571" s="366"/>
      <c r="J571" s="366"/>
      <c r="K571" s="366"/>
      <c r="L571" s="366"/>
      <c r="M571" s="366"/>
      <c r="N571" s="366"/>
      <c r="O571" s="366"/>
      <c r="P571" s="611"/>
      <c r="Q571" s="614"/>
      <c r="R571" s="588"/>
      <c r="S571" s="188"/>
      <c r="T571" s="366"/>
      <c r="U571" s="366"/>
      <c r="V571" s="366"/>
      <c r="W571" s="366"/>
      <c r="X571" s="366"/>
      <c r="Y571" s="366"/>
      <c r="Z571" s="366"/>
      <c r="AA571" s="366"/>
      <c r="AB571" s="366"/>
      <c r="AC571" s="366"/>
      <c r="AD571" s="366"/>
      <c r="AE571" s="366"/>
      <c r="AF571" s="366"/>
      <c r="AG571" s="366"/>
      <c r="AH571" s="366"/>
      <c r="AI571" s="366"/>
      <c r="AJ571" s="366"/>
      <c r="AK571" s="366"/>
      <c r="AL571" s="366"/>
      <c r="AM571" s="607"/>
      <c r="AN571" s="366"/>
      <c r="AO571" s="366"/>
      <c r="AP571" s="366"/>
      <c r="AQ571" s="366"/>
      <c r="AR571" s="619"/>
      <c r="AS571" s="617"/>
    </row>
    <row r="572" spans="1:45" ht="15.75">
      <c r="A572" s="190"/>
      <c r="B572" s="366"/>
      <c r="C572" s="366"/>
      <c r="D572" s="596"/>
      <c r="E572" s="596"/>
      <c r="F572" s="366"/>
      <c r="G572" s="366"/>
      <c r="H572" s="366"/>
      <c r="I572" s="366"/>
      <c r="J572" s="366"/>
      <c r="K572" s="366"/>
      <c r="L572" s="366"/>
      <c r="M572" s="366"/>
      <c r="N572" s="366"/>
      <c r="O572" s="366"/>
      <c r="P572" s="611"/>
      <c r="Q572" s="614"/>
      <c r="R572" s="588"/>
      <c r="S572" s="188"/>
      <c r="T572" s="366"/>
      <c r="U572" s="366"/>
      <c r="V572" s="366"/>
      <c r="W572" s="366"/>
      <c r="X572" s="366"/>
      <c r="Y572" s="366"/>
      <c r="Z572" s="366"/>
      <c r="AA572" s="366"/>
      <c r="AB572" s="366"/>
      <c r="AC572" s="366"/>
      <c r="AD572" s="366"/>
      <c r="AE572" s="366"/>
      <c r="AF572" s="366"/>
      <c r="AG572" s="366"/>
      <c r="AH572" s="366"/>
      <c r="AI572" s="366"/>
      <c r="AJ572" s="366"/>
      <c r="AK572" s="366"/>
      <c r="AL572" s="366"/>
      <c r="AM572" s="607"/>
      <c r="AN572" s="366"/>
      <c r="AO572" s="366"/>
      <c r="AP572" s="366"/>
      <c r="AQ572" s="366"/>
      <c r="AR572" s="619"/>
      <c r="AS572" s="617"/>
    </row>
    <row r="573" spans="1:45" ht="15.75">
      <c r="A573" s="190"/>
      <c r="B573" s="366"/>
      <c r="C573" s="366"/>
      <c r="D573" s="596"/>
      <c r="E573" s="596"/>
      <c r="F573" s="366"/>
      <c r="G573" s="366"/>
      <c r="H573" s="366"/>
      <c r="I573" s="366"/>
      <c r="J573" s="366"/>
      <c r="K573" s="366"/>
      <c r="L573" s="366"/>
      <c r="M573" s="366"/>
      <c r="N573" s="366"/>
      <c r="O573" s="366"/>
      <c r="P573" s="611"/>
      <c r="Q573" s="614"/>
      <c r="R573" s="588"/>
      <c r="S573" s="188"/>
      <c r="T573" s="366"/>
      <c r="U573" s="366"/>
      <c r="V573" s="366"/>
      <c r="W573" s="366"/>
      <c r="X573" s="366"/>
      <c r="Y573" s="366"/>
      <c r="Z573" s="366"/>
      <c r="AA573" s="366"/>
      <c r="AB573" s="366"/>
      <c r="AC573" s="366"/>
      <c r="AD573" s="366"/>
      <c r="AE573" s="366"/>
      <c r="AF573" s="366"/>
      <c r="AG573" s="366"/>
      <c r="AH573" s="366"/>
      <c r="AI573" s="366"/>
      <c r="AJ573" s="366"/>
      <c r="AK573" s="366"/>
      <c r="AL573" s="366"/>
      <c r="AM573" s="607"/>
      <c r="AN573" s="366"/>
      <c r="AO573" s="366"/>
      <c r="AP573" s="366"/>
      <c r="AQ573" s="366"/>
      <c r="AR573" s="619"/>
      <c r="AS573" s="617"/>
    </row>
    <row r="574" spans="1:45" ht="15.75">
      <c r="A574" s="190"/>
      <c r="B574" s="366"/>
      <c r="C574" s="366"/>
      <c r="D574" s="596"/>
      <c r="E574" s="596"/>
      <c r="F574" s="366"/>
      <c r="G574" s="366"/>
      <c r="H574" s="366"/>
      <c r="I574" s="366"/>
      <c r="J574" s="366"/>
      <c r="K574" s="366"/>
      <c r="L574" s="366"/>
      <c r="M574" s="366"/>
      <c r="N574" s="366"/>
      <c r="O574" s="366"/>
      <c r="P574" s="611"/>
      <c r="Q574" s="614"/>
      <c r="R574" s="588"/>
      <c r="S574" s="188"/>
      <c r="T574" s="366"/>
      <c r="U574" s="366"/>
      <c r="V574" s="366"/>
      <c r="W574" s="366"/>
      <c r="X574" s="366"/>
      <c r="Y574" s="366"/>
      <c r="Z574" s="366"/>
      <c r="AA574" s="366"/>
      <c r="AB574" s="366"/>
      <c r="AC574" s="366"/>
      <c r="AD574" s="366"/>
      <c r="AE574" s="366"/>
      <c r="AF574" s="366"/>
      <c r="AG574" s="366"/>
      <c r="AH574" s="366"/>
      <c r="AI574" s="366"/>
      <c r="AJ574" s="366"/>
      <c r="AK574" s="366"/>
      <c r="AL574" s="366"/>
      <c r="AM574" s="607"/>
      <c r="AN574" s="366"/>
      <c r="AO574" s="366"/>
      <c r="AP574" s="366"/>
      <c r="AQ574" s="366"/>
      <c r="AR574" s="619"/>
      <c r="AS574" s="617"/>
    </row>
    <row r="575" spans="1:45" ht="15.75">
      <c r="A575" s="190"/>
      <c r="B575" s="366"/>
      <c r="C575" s="366"/>
      <c r="D575" s="596"/>
      <c r="E575" s="596"/>
      <c r="F575" s="366"/>
      <c r="G575" s="366"/>
      <c r="H575" s="366"/>
      <c r="I575" s="366"/>
      <c r="J575" s="366"/>
      <c r="K575" s="366"/>
      <c r="L575" s="366"/>
      <c r="M575" s="366"/>
      <c r="N575" s="366"/>
      <c r="O575" s="366"/>
      <c r="P575" s="611"/>
      <c r="Q575" s="614"/>
      <c r="R575" s="588"/>
      <c r="S575" s="188"/>
      <c r="T575" s="366"/>
      <c r="U575" s="366"/>
      <c r="V575" s="366"/>
      <c r="W575" s="366"/>
      <c r="X575" s="366"/>
      <c r="Y575" s="366"/>
      <c r="Z575" s="366"/>
      <c r="AA575" s="366"/>
      <c r="AB575" s="366"/>
      <c r="AC575" s="366"/>
      <c r="AD575" s="366"/>
      <c r="AE575" s="366"/>
      <c r="AF575" s="366"/>
      <c r="AG575" s="366"/>
      <c r="AH575" s="366"/>
      <c r="AI575" s="366"/>
      <c r="AJ575" s="366"/>
      <c r="AK575" s="366"/>
      <c r="AL575" s="366"/>
      <c r="AM575" s="607"/>
      <c r="AN575" s="366"/>
      <c r="AO575" s="366"/>
      <c r="AP575" s="366"/>
      <c r="AQ575" s="366"/>
      <c r="AR575" s="619"/>
      <c r="AS575" s="617"/>
    </row>
    <row r="576" spans="1:45" ht="15.75">
      <c r="A576" s="190"/>
      <c r="B576" s="366"/>
      <c r="C576" s="366"/>
      <c r="D576" s="596"/>
      <c r="E576" s="596"/>
      <c r="F576" s="366"/>
      <c r="G576" s="366"/>
      <c r="H576" s="366"/>
      <c r="I576" s="366"/>
      <c r="J576" s="366"/>
      <c r="K576" s="366"/>
      <c r="L576" s="366"/>
      <c r="M576" s="366"/>
      <c r="N576" s="366"/>
      <c r="O576" s="366"/>
      <c r="P576" s="611"/>
      <c r="Q576" s="614"/>
      <c r="R576" s="588"/>
      <c r="S576" s="188"/>
      <c r="T576" s="366"/>
      <c r="U576" s="366"/>
      <c r="V576" s="366"/>
      <c r="W576" s="366"/>
      <c r="X576" s="366"/>
      <c r="Y576" s="366"/>
      <c r="Z576" s="366"/>
      <c r="AA576" s="366"/>
      <c r="AB576" s="366"/>
      <c r="AC576" s="366"/>
      <c r="AD576" s="366"/>
      <c r="AE576" s="366"/>
      <c r="AF576" s="366"/>
      <c r="AG576" s="366"/>
      <c r="AH576" s="366"/>
      <c r="AI576" s="366"/>
      <c r="AJ576" s="366"/>
      <c r="AK576" s="366"/>
      <c r="AL576" s="366"/>
      <c r="AM576" s="607"/>
      <c r="AN576" s="366"/>
      <c r="AO576" s="366"/>
      <c r="AP576" s="366"/>
      <c r="AQ576" s="366"/>
      <c r="AR576" s="619"/>
      <c r="AS576" s="617"/>
    </row>
    <row r="577" spans="1:45" ht="15.75">
      <c r="A577" s="190"/>
      <c r="B577" s="366"/>
      <c r="C577" s="366"/>
      <c r="D577" s="596"/>
      <c r="E577" s="596"/>
      <c r="F577" s="366"/>
      <c r="G577" s="366"/>
      <c r="H577" s="366"/>
      <c r="I577" s="366"/>
      <c r="J577" s="366"/>
      <c r="K577" s="366"/>
      <c r="L577" s="366"/>
      <c r="M577" s="366"/>
      <c r="N577" s="366"/>
      <c r="O577" s="366"/>
      <c r="P577" s="611"/>
      <c r="Q577" s="614"/>
      <c r="R577" s="588"/>
      <c r="S577" s="188"/>
      <c r="T577" s="366"/>
      <c r="U577" s="366"/>
      <c r="V577" s="366"/>
      <c r="W577" s="366"/>
      <c r="X577" s="366"/>
      <c r="Y577" s="366"/>
      <c r="Z577" s="366"/>
      <c r="AA577" s="366"/>
      <c r="AB577" s="366"/>
      <c r="AC577" s="366"/>
      <c r="AD577" s="366"/>
      <c r="AE577" s="366"/>
      <c r="AF577" s="366"/>
      <c r="AG577" s="366"/>
      <c r="AH577" s="366"/>
      <c r="AI577" s="366"/>
      <c r="AJ577" s="366"/>
      <c r="AK577" s="366"/>
      <c r="AL577" s="366"/>
      <c r="AM577" s="607"/>
      <c r="AN577" s="366"/>
      <c r="AO577" s="366"/>
      <c r="AP577" s="366"/>
      <c r="AQ577" s="366"/>
      <c r="AR577" s="619"/>
      <c r="AS577" s="617"/>
    </row>
    <row r="578" spans="1:45" ht="15.75">
      <c r="A578" s="190"/>
      <c r="B578" s="366"/>
      <c r="C578" s="366"/>
      <c r="D578" s="596"/>
      <c r="E578" s="596"/>
      <c r="F578" s="366"/>
      <c r="G578" s="366"/>
      <c r="H578" s="366"/>
      <c r="I578" s="366"/>
      <c r="J578" s="366"/>
      <c r="K578" s="366"/>
      <c r="L578" s="366"/>
      <c r="M578" s="366"/>
      <c r="N578" s="366"/>
      <c r="O578" s="366"/>
      <c r="P578" s="611"/>
      <c r="Q578" s="614"/>
      <c r="R578" s="588"/>
      <c r="S578" s="188"/>
      <c r="T578" s="366"/>
      <c r="U578" s="366"/>
      <c r="V578" s="366"/>
      <c r="W578" s="366"/>
      <c r="X578" s="366"/>
      <c r="Y578" s="366"/>
      <c r="Z578" s="366"/>
      <c r="AA578" s="366"/>
      <c r="AB578" s="366"/>
      <c r="AC578" s="366"/>
      <c r="AD578" s="366"/>
      <c r="AE578" s="366"/>
      <c r="AF578" s="366"/>
      <c r="AG578" s="366"/>
      <c r="AH578" s="366"/>
      <c r="AI578" s="366"/>
      <c r="AJ578" s="366"/>
      <c r="AK578" s="366"/>
      <c r="AL578" s="366"/>
      <c r="AM578" s="607"/>
      <c r="AN578" s="366"/>
      <c r="AO578" s="366"/>
      <c r="AP578" s="366"/>
      <c r="AQ578" s="366"/>
      <c r="AR578" s="619"/>
      <c r="AS578" s="617"/>
    </row>
    <row r="579" spans="1:45" ht="15.75">
      <c r="A579" s="190"/>
      <c r="B579" s="366"/>
      <c r="C579" s="366"/>
      <c r="D579" s="596"/>
      <c r="E579" s="596"/>
      <c r="F579" s="366"/>
      <c r="G579" s="366"/>
      <c r="H579" s="366"/>
      <c r="I579" s="366"/>
      <c r="J579" s="366"/>
      <c r="K579" s="366"/>
      <c r="L579" s="366"/>
      <c r="M579" s="366"/>
      <c r="N579" s="366"/>
      <c r="O579" s="366"/>
      <c r="P579" s="611"/>
      <c r="Q579" s="614"/>
      <c r="R579" s="588"/>
      <c r="S579" s="188"/>
      <c r="T579" s="366"/>
      <c r="U579" s="366"/>
      <c r="V579" s="366"/>
      <c r="W579" s="366"/>
      <c r="X579" s="366"/>
      <c r="Y579" s="366"/>
      <c r="Z579" s="366"/>
      <c r="AA579" s="366"/>
      <c r="AB579" s="366"/>
      <c r="AC579" s="366"/>
      <c r="AD579" s="366"/>
      <c r="AE579" s="366"/>
      <c r="AF579" s="366"/>
      <c r="AG579" s="366"/>
      <c r="AH579" s="366"/>
      <c r="AI579" s="366"/>
      <c r="AJ579" s="366"/>
      <c r="AK579" s="366"/>
      <c r="AL579" s="366"/>
      <c r="AM579" s="607"/>
      <c r="AN579" s="366"/>
      <c r="AO579" s="366"/>
      <c r="AP579" s="366"/>
      <c r="AQ579" s="366"/>
      <c r="AR579" s="619"/>
      <c r="AS579" s="617"/>
    </row>
    <row r="580" spans="1:45" ht="15.75">
      <c r="A580" s="190"/>
      <c r="B580" s="366"/>
      <c r="C580" s="366"/>
      <c r="D580" s="596"/>
      <c r="E580" s="596"/>
      <c r="F580" s="366"/>
      <c r="G580" s="366"/>
      <c r="H580" s="366"/>
      <c r="I580" s="366"/>
      <c r="J580" s="366"/>
      <c r="K580" s="366"/>
      <c r="L580" s="366"/>
      <c r="M580" s="366"/>
      <c r="N580" s="366"/>
      <c r="O580" s="366"/>
      <c r="P580" s="611"/>
      <c r="Q580" s="614"/>
      <c r="R580" s="588"/>
      <c r="S580" s="188"/>
      <c r="T580" s="366"/>
      <c r="U580" s="366"/>
      <c r="V580" s="366"/>
      <c r="W580" s="366"/>
      <c r="X580" s="366"/>
      <c r="Y580" s="366"/>
      <c r="Z580" s="366"/>
      <c r="AA580" s="366"/>
      <c r="AB580" s="366"/>
      <c r="AC580" s="366"/>
      <c r="AD580" s="366"/>
      <c r="AE580" s="366"/>
      <c r="AF580" s="366"/>
      <c r="AG580" s="366"/>
      <c r="AH580" s="366"/>
      <c r="AI580" s="366"/>
      <c r="AJ580" s="366"/>
      <c r="AK580" s="366"/>
      <c r="AL580" s="366"/>
      <c r="AM580" s="607"/>
      <c r="AN580" s="366"/>
      <c r="AO580" s="366"/>
      <c r="AP580" s="366"/>
      <c r="AQ580" s="366"/>
      <c r="AR580" s="619"/>
      <c r="AS580" s="617"/>
    </row>
    <row r="581" spans="1:45" ht="15.75">
      <c r="A581" s="190"/>
      <c r="B581" s="366"/>
      <c r="C581" s="366"/>
      <c r="D581" s="596"/>
      <c r="E581" s="596"/>
      <c r="F581" s="366"/>
      <c r="G581" s="366"/>
      <c r="H581" s="366"/>
      <c r="I581" s="366"/>
      <c r="J581" s="366"/>
      <c r="K581" s="366"/>
      <c r="L581" s="366"/>
      <c r="M581" s="366"/>
      <c r="N581" s="366"/>
      <c r="O581" s="366"/>
      <c r="P581" s="611"/>
      <c r="Q581" s="614"/>
      <c r="R581" s="588"/>
      <c r="S581" s="188"/>
      <c r="T581" s="366"/>
      <c r="U581" s="366"/>
      <c r="V581" s="366"/>
      <c r="W581" s="366"/>
      <c r="X581" s="366"/>
      <c r="Y581" s="366"/>
      <c r="Z581" s="366"/>
      <c r="AA581" s="366"/>
      <c r="AB581" s="366"/>
      <c r="AC581" s="366"/>
      <c r="AD581" s="366"/>
      <c r="AE581" s="366"/>
      <c r="AF581" s="366"/>
      <c r="AG581" s="366"/>
      <c r="AH581" s="366"/>
      <c r="AI581" s="366"/>
      <c r="AJ581" s="366"/>
      <c r="AK581" s="366"/>
      <c r="AL581" s="366"/>
      <c r="AM581" s="607"/>
      <c r="AN581" s="366"/>
      <c r="AO581" s="366"/>
      <c r="AP581" s="366"/>
      <c r="AQ581" s="366"/>
      <c r="AR581" s="619"/>
      <c r="AS581" s="617"/>
    </row>
    <row r="582" spans="1:45" ht="15.75">
      <c r="A582" s="190"/>
      <c r="B582" s="366"/>
      <c r="C582" s="366"/>
      <c r="D582" s="596"/>
      <c r="E582" s="596"/>
      <c r="F582" s="366"/>
      <c r="G582" s="366"/>
      <c r="H582" s="366"/>
      <c r="I582" s="366"/>
      <c r="J582" s="366"/>
      <c r="K582" s="366"/>
      <c r="L582" s="366"/>
      <c r="M582" s="366"/>
      <c r="N582" s="366"/>
      <c r="O582" s="366"/>
      <c r="P582" s="611"/>
      <c r="Q582" s="614"/>
      <c r="R582" s="588"/>
      <c r="S582" s="188"/>
      <c r="T582" s="366"/>
      <c r="U582" s="366"/>
      <c r="V582" s="366"/>
      <c r="W582" s="366"/>
      <c r="X582" s="366"/>
      <c r="Y582" s="366"/>
      <c r="Z582" s="366"/>
      <c r="AA582" s="366"/>
      <c r="AB582" s="366"/>
      <c r="AC582" s="366"/>
      <c r="AD582" s="366"/>
      <c r="AE582" s="366"/>
      <c r="AF582" s="366"/>
      <c r="AG582" s="366"/>
      <c r="AH582" s="366"/>
      <c r="AI582" s="366"/>
      <c r="AJ582" s="366"/>
      <c r="AK582" s="366"/>
      <c r="AL582" s="366"/>
      <c r="AM582" s="607"/>
      <c r="AN582" s="366"/>
      <c r="AO582" s="366"/>
      <c r="AP582" s="366"/>
      <c r="AQ582" s="366"/>
      <c r="AR582" s="619"/>
      <c r="AS582" s="617"/>
    </row>
    <row r="583" spans="1:45" ht="15.75">
      <c r="A583" s="190"/>
      <c r="B583" s="366"/>
      <c r="C583" s="366"/>
      <c r="D583" s="596"/>
      <c r="E583" s="596"/>
      <c r="F583" s="366"/>
      <c r="G583" s="366"/>
      <c r="H583" s="366"/>
      <c r="I583" s="366"/>
      <c r="J583" s="366"/>
      <c r="K583" s="366"/>
      <c r="L583" s="366"/>
      <c r="M583" s="366"/>
      <c r="N583" s="366"/>
      <c r="O583" s="366"/>
      <c r="P583" s="611"/>
      <c r="Q583" s="614"/>
      <c r="R583" s="588"/>
      <c r="S583" s="188"/>
      <c r="T583" s="366"/>
      <c r="U583" s="366"/>
      <c r="V583" s="366"/>
      <c r="W583" s="366"/>
      <c r="X583" s="366"/>
      <c r="Y583" s="366"/>
      <c r="Z583" s="366"/>
      <c r="AA583" s="366"/>
      <c r="AB583" s="366"/>
      <c r="AC583" s="366"/>
      <c r="AD583" s="366"/>
      <c r="AE583" s="366"/>
      <c r="AF583" s="366"/>
      <c r="AG583" s="366"/>
      <c r="AH583" s="366"/>
      <c r="AI583" s="366"/>
      <c r="AJ583" s="366"/>
      <c r="AK583" s="366"/>
      <c r="AL583" s="366"/>
      <c r="AM583" s="607"/>
      <c r="AN583" s="366"/>
      <c r="AO583" s="366"/>
      <c r="AP583" s="366"/>
      <c r="AQ583" s="366"/>
      <c r="AR583" s="619"/>
      <c r="AS583" s="617"/>
    </row>
    <row r="584" spans="1:45" ht="15.75">
      <c r="A584" s="190"/>
      <c r="B584" s="366"/>
      <c r="C584" s="366"/>
      <c r="D584" s="596"/>
      <c r="E584" s="596"/>
      <c r="F584" s="366"/>
      <c r="G584" s="366"/>
      <c r="H584" s="366"/>
      <c r="I584" s="366"/>
      <c r="J584" s="366"/>
      <c r="K584" s="366"/>
      <c r="L584" s="366"/>
      <c r="M584" s="366"/>
      <c r="N584" s="366"/>
      <c r="O584" s="366"/>
      <c r="P584" s="611"/>
      <c r="Q584" s="614"/>
      <c r="R584" s="588"/>
      <c r="S584" s="188"/>
      <c r="T584" s="366"/>
      <c r="U584" s="366"/>
      <c r="V584" s="366"/>
      <c r="W584" s="366"/>
      <c r="X584" s="366"/>
      <c r="Y584" s="366"/>
      <c r="Z584" s="366"/>
      <c r="AA584" s="366"/>
      <c r="AB584" s="366"/>
      <c r="AC584" s="366"/>
      <c r="AD584" s="366"/>
      <c r="AE584" s="366"/>
      <c r="AF584" s="366"/>
      <c r="AG584" s="366"/>
      <c r="AH584" s="366"/>
      <c r="AI584" s="366"/>
      <c r="AJ584" s="366"/>
      <c r="AK584" s="366"/>
      <c r="AL584" s="366"/>
      <c r="AM584" s="607"/>
      <c r="AN584" s="366"/>
      <c r="AO584" s="366"/>
      <c r="AP584" s="366"/>
      <c r="AQ584" s="366"/>
      <c r="AR584" s="619"/>
      <c r="AS584" s="617"/>
    </row>
    <row r="585" spans="1:45" ht="15.75">
      <c r="A585" s="190"/>
      <c r="B585" s="366"/>
      <c r="C585" s="366"/>
      <c r="D585" s="596"/>
      <c r="E585" s="596"/>
      <c r="F585" s="366"/>
      <c r="G585" s="366"/>
      <c r="H585" s="366"/>
      <c r="I585" s="366"/>
      <c r="J585" s="366"/>
      <c r="K585" s="366"/>
      <c r="L585" s="366"/>
      <c r="M585" s="366"/>
      <c r="N585" s="366"/>
      <c r="O585" s="366"/>
      <c r="P585" s="611"/>
      <c r="Q585" s="614"/>
      <c r="R585" s="588"/>
      <c r="S585" s="188"/>
      <c r="T585" s="366"/>
      <c r="U585" s="366"/>
      <c r="V585" s="366"/>
      <c r="W585" s="366"/>
      <c r="X585" s="366"/>
      <c r="Y585" s="366"/>
      <c r="Z585" s="366"/>
      <c r="AA585" s="366"/>
      <c r="AB585" s="366"/>
      <c r="AC585" s="366"/>
      <c r="AD585" s="366"/>
      <c r="AE585" s="366"/>
      <c r="AF585" s="366"/>
      <c r="AG585" s="366"/>
      <c r="AH585" s="366"/>
      <c r="AI585" s="366"/>
      <c r="AJ585" s="366"/>
      <c r="AK585" s="366"/>
      <c r="AL585" s="366"/>
      <c r="AM585" s="607"/>
      <c r="AN585" s="366"/>
      <c r="AO585" s="366"/>
      <c r="AP585" s="366"/>
      <c r="AQ585" s="366"/>
      <c r="AR585" s="619"/>
      <c r="AS585" s="617"/>
    </row>
    <row r="586" spans="1:45" ht="15.75">
      <c r="A586" s="190"/>
      <c r="B586" s="366"/>
      <c r="C586" s="366"/>
      <c r="D586" s="596"/>
      <c r="E586" s="596"/>
      <c r="F586" s="366"/>
      <c r="G586" s="366"/>
      <c r="H586" s="366"/>
      <c r="I586" s="366"/>
      <c r="J586" s="366"/>
      <c r="K586" s="366"/>
      <c r="L586" s="366"/>
      <c r="M586" s="366"/>
      <c r="N586" s="366"/>
      <c r="O586" s="366"/>
      <c r="P586" s="611"/>
      <c r="Q586" s="614"/>
      <c r="R586" s="588"/>
      <c r="S586" s="188"/>
      <c r="T586" s="366"/>
      <c r="U586" s="366"/>
      <c r="V586" s="366"/>
      <c r="W586" s="366"/>
      <c r="X586" s="366"/>
      <c r="Y586" s="366"/>
      <c r="Z586" s="366"/>
      <c r="AA586" s="366"/>
      <c r="AB586" s="366"/>
      <c r="AC586" s="366"/>
      <c r="AD586" s="366"/>
      <c r="AE586" s="366"/>
      <c r="AF586" s="366"/>
      <c r="AG586" s="366"/>
      <c r="AH586" s="366"/>
      <c r="AI586" s="366"/>
      <c r="AJ586" s="366"/>
      <c r="AK586" s="366"/>
      <c r="AL586" s="366"/>
      <c r="AM586" s="607"/>
      <c r="AN586" s="366"/>
      <c r="AO586" s="366"/>
      <c r="AP586" s="366"/>
      <c r="AQ586" s="366"/>
      <c r="AR586" s="619"/>
      <c r="AS586" s="617"/>
    </row>
    <row r="587" spans="1:45" ht="15.75">
      <c r="A587" s="190"/>
      <c r="B587" s="190"/>
      <c r="C587" s="190"/>
      <c r="D587" s="596"/>
      <c r="E587" s="596"/>
      <c r="F587" s="190"/>
      <c r="G587" s="190"/>
      <c r="H587" s="190"/>
      <c r="I587" s="190"/>
      <c r="J587" s="190"/>
      <c r="K587" s="190"/>
      <c r="L587" s="190"/>
      <c r="M587" s="190"/>
      <c r="N587" s="190"/>
      <c r="O587" s="190"/>
      <c r="P587" s="612"/>
      <c r="Q587" s="615"/>
      <c r="R587" s="588"/>
      <c r="S587" s="188"/>
      <c r="T587" s="366"/>
      <c r="U587" s="366"/>
      <c r="V587" s="366"/>
      <c r="W587" s="366"/>
      <c r="X587" s="366"/>
      <c r="Y587" s="366"/>
      <c r="Z587" s="366"/>
      <c r="AA587" s="366"/>
      <c r="AB587" s="366"/>
      <c r="AC587" s="366"/>
      <c r="AD587" s="366"/>
      <c r="AE587" s="366"/>
      <c r="AF587" s="366"/>
      <c r="AG587" s="366"/>
      <c r="AH587" s="366"/>
      <c r="AI587" s="366"/>
      <c r="AJ587" s="366"/>
      <c r="AK587" s="366"/>
      <c r="AL587" s="366"/>
      <c r="AM587" s="607"/>
      <c r="AN587" s="366"/>
      <c r="AO587" s="366"/>
      <c r="AP587" s="366"/>
      <c r="AQ587" s="366"/>
      <c r="AR587" s="619"/>
      <c r="AS587" s="617"/>
    </row>
    <row r="588" spans="1:45" ht="15.75">
      <c r="A588" s="190"/>
      <c r="B588" s="190"/>
      <c r="C588" s="190"/>
      <c r="D588" s="596"/>
      <c r="E588" s="596"/>
      <c r="F588" s="190"/>
      <c r="G588" s="190"/>
      <c r="H588" s="190"/>
      <c r="I588" s="190"/>
      <c r="J588" s="190"/>
      <c r="K588" s="190"/>
      <c r="L588" s="190"/>
      <c r="M588" s="190"/>
      <c r="N588" s="190"/>
      <c r="O588" s="190"/>
      <c r="P588" s="612"/>
      <c r="Q588" s="615"/>
      <c r="R588" s="588"/>
      <c r="S588" s="188"/>
      <c r="T588" s="366"/>
      <c r="U588" s="366"/>
      <c r="V588" s="366"/>
      <c r="W588" s="366"/>
      <c r="X588" s="366"/>
      <c r="Y588" s="366"/>
      <c r="Z588" s="366"/>
      <c r="AA588" s="366"/>
      <c r="AB588" s="366"/>
      <c r="AC588" s="366"/>
      <c r="AD588" s="366"/>
      <c r="AE588" s="366"/>
      <c r="AF588" s="366"/>
      <c r="AG588" s="366"/>
      <c r="AH588" s="366"/>
      <c r="AI588" s="366"/>
      <c r="AJ588" s="366"/>
      <c r="AK588" s="366"/>
      <c r="AL588" s="366"/>
      <c r="AM588" s="607"/>
      <c r="AN588" s="366"/>
      <c r="AO588" s="366"/>
      <c r="AP588" s="366"/>
      <c r="AQ588" s="366"/>
      <c r="AR588" s="619"/>
      <c r="AS588" s="617"/>
    </row>
    <row r="589" spans="1:45" ht="15.75">
      <c r="A589" s="190"/>
      <c r="B589" s="190"/>
      <c r="C589" s="190"/>
      <c r="D589" s="596"/>
      <c r="E589" s="596"/>
      <c r="F589" s="190"/>
      <c r="G589" s="190"/>
      <c r="H589" s="190"/>
      <c r="I589" s="190"/>
      <c r="J589" s="190"/>
      <c r="K589" s="190"/>
      <c r="L589" s="190"/>
      <c r="M589" s="190"/>
      <c r="N589" s="190"/>
      <c r="O589" s="190"/>
      <c r="P589" s="612"/>
      <c r="Q589" s="615"/>
      <c r="R589" s="588"/>
      <c r="S589" s="188"/>
      <c r="T589" s="366"/>
      <c r="U589" s="366"/>
      <c r="V589" s="366"/>
      <c r="W589" s="366"/>
      <c r="X589" s="366"/>
      <c r="Y589" s="366"/>
      <c r="Z589" s="366"/>
      <c r="AA589" s="366"/>
      <c r="AB589" s="366"/>
      <c r="AC589" s="366"/>
      <c r="AD589" s="366"/>
      <c r="AE589" s="366"/>
      <c r="AF589" s="366"/>
      <c r="AG589" s="366"/>
      <c r="AH589" s="366"/>
      <c r="AI589" s="366"/>
      <c r="AJ589" s="366"/>
      <c r="AK589" s="366"/>
      <c r="AL589" s="366"/>
      <c r="AM589" s="607"/>
      <c r="AN589" s="366"/>
      <c r="AO589" s="366"/>
      <c r="AP589" s="366"/>
      <c r="AQ589" s="366"/>
      <c r="AR589" s="619"/>
      <c r="AS589" s="617"/>
    </row>
    <row r="590" spans="1:45" ht="15.75">
      <c r="A590" s="190"/>
      <c r="B590" s="190"/>
      <c r="C590" s="190"/>
      <c r="D590" s="596"/>
      <c r="E590" s="596"/>
      <c r="F590" s="190"/>
      <c r="G590" s="190"/>
      <c r="H590" s="190"/>
      <c r="I590" s="190"/>
      <c r="J590" s="190"/>
      <c r="K590" s="190"/>
      <c r="L590" s="190"/>
      <c r="M590" s="190"/>
      <c r="N590" s="190"/>
      <c r="O590" s="190"/>
      <c r="P590" s="612"/>
      <c r="Q590" s="615"/>
      <c r="R590" s="588"/>
      <c r="S590" s="188"/>
      <c r="T590" s="366"/>
      <c r="U590" s="366"/>
      <c r="V590" s="366"/>
      <c r="W590" s="366"/>
      <c r="X590" s="366"/>
      <c r="Y590" s="366"/>
      <c r="Z590" s="366"/>
      <c r="AA590" s="366"/>
      <c r="AB590" s="366"/>
      <c r="AC590" s="366"/>
      <c r="AD590" s="366"/>
      <c r="AE590" s="366"/>
      <c r="AF590" s="366"/>
      <c r="AG590" s="366"/>
      <c r="AH590" s="366"/>
      <c r="AI590" s="366"/>
      <c r="AJ590" s="366"/>
      <c r="AK590" s="366"/>
      <c r="AL590" s="366"/>
      <c r="AM590" s="607"/>
      <c r="AN590" s="366"/>
      <c r="AO590" s="366"/>
      <c r="AP590" s="366"/>
      <c r="AQ590" s="366"/>
      <c r="AR590" s="619"/>
      <c r="AS590" s="617"/>
    </row>
    <row r="591" spans="1:45" ht="15.75">
      <c r="A591" s="190"/>
      <c r="B591" s="190"/>
      <c r="C591" s="190"/>
      <c r="D591" s="596"/>
      <c r="E591" s="596"/>
      <c r="F591" s="190"/>
      <c r="G591" s="190"/>
      <c r="H591" s="190"/>
      <c r="I591" s="190"/>
      <c r="J591" s="190"/>
      <c r="K591" s="190"/>
      <c r="L591" s="190"/>
      <c r="M591" s="190"/>
      <c r="N591" s="190"/>
      <c r="O591" s="190"/>
      <c r="P591" s="612"/>
      <c r="Q591" s="615"/>
      <c r="R591" s="588"/>
      <c r="S591" s="188"/>
      <c r="T591" s="366"/>
      <c r="U591" s="366"/>
      <c r="V591" s="366"/>
      <c r="W591" s="366"/>
      <c r="X591" s="366"/>
      <c r="Y591" s="366"/>
      <c r="Z591" s="366"/>
      <c r="AA591" s="366"/>
      <c r="AB591" s="366"/>
      <c r="AC591" s="366"/>
      <c r="AD591" s="366"/>
      <c r="AE591" s="366"/>
      <c r="AF591" s="366"/>
      <c r="AG591" s="366"/>
      <c r="AH591" s="366"/>
      <c r="AI591" s="366"/>
      <c r="AJ591" s="366"/>
      <c r="AK591" s="366"/>
      <c r="AL591" s="366"/>
      <c r="AM591" s="607"/>
      <c r="AN591" s="366"/>
      <c r="AO591" s="366"/>
      <c r="AP591" s="366"/>
      <c r="AQ591" s="366"/>
      <c r="AR591" s="619"/>
      <c r="AS591" s="617"/>
    </row>
    <row r="592" spans="1:45" ht="15.75">
      <c r="A592" s="190"/>
      <c r="B592" s="190"/>
      <c r="C592" s="190"/>
      <c r="D592" s="596"/>
      <c r="E592" s="596"/>
      <c r="F592" s="190"/>
      <c r="G592" s="190"/>
      <c r="H592" s="190"/>
      <c r="I592" s="190"/>
      <c r="J592" s="190"/>
      <c r="K592" s="190"/>
      <c r="L592" s="190"/>
      <c r="M592" s="190"/>
      <c r="N592" s="190"/>
      <c r="O592" s="190"/>
      <c r="P592" s="612"/>
      <c r="Q592" s="615"/>
      <c r="R592" s="588"/>
      <c r="S592" s="188"/>
      <c r="T592" s="366"/>
      <c r="U592" s="366"/>
      <c r="V592" s="366"/>
      <c r="W592" s="366"/>
      <c r="X592" s="366"/>
      <c r="Y592" s="366"/>
      <c r="Z592" s="366"/>
      <c r="AA592" s="366"/>
      <c r="AB592" s="366"/>
      <c r="AC592" s="366"/>
      <c r="AD592" s="366"/>
      <c r="AE592" s="366"/>
      <c r="AF592" s="366"/>
      <c r="AG592" s="366"/>
      <c r="AH592" s="366"/>
      <c r="AI592" s="366"/>
      <c r="AJ592" s="366"/>
      <c r="AK592" s="366"/>
      <c r="AL592" s="366"/>
      <c r="AM592" s="607"/>
      <c r="AN592" s="366"/>
      <c r="AO592" s="366"/>
      <c r="AP592" s="366"/>
      <c r="AQ592" s="366"/>
      <c r="AR592" s="619"/>
      <c r="AS592" s="617"/>
    </row>
    <row r="593" spans="1:45" ht="15.75">
      <c r="A593" s="190"/>
      <c r="B593" s="190"/>
      <c r="C593" s="190"/>
      <c r="D593" s="596"/>
      <c r="E593" s="596"/>
      <c r="F593" s="190"/>
      <c r="G593" s="190"/>
      <c r="H593" s="190"/>
      <c r="I593" s="190"/>
      <c r="J593" s="190"/>
      <c r="K593" s="190"/>
      <c r="L593" s="190"/>
      <c r="M593" s="190"/>
      <c r="N593" s="190"/>
      <c r="O593" s="190"/>
      <c r="P593" s="612"/>
      <c r="Q593" s="615"/>
      <c r="R593" s="588"/>
      <c r="S593" s="188"/>
      <c r="T593" s="366"/>
      <c r="U593" s="366"/>
      <c r="V593" s="366"/>
      <c r="W593" s="366"/>
      <c r="X593" s="366"/>
      <c r="Y593" s="366"/>
      <c r="Z593" s="366"/>
      <c r="AA593" s="366"/>
      <c r="AB593" s="366"/>
      <c r="AC593" s="366"/>
      <c r="AD593" s="366"/>
      <c r="AE593" s="366"/>
      <c r="AF593" s="366"/>
      <c r="AG593" s="366"/>
      <c r="AH593" s="366"/>
      <c r="AI593" s="366"/>
      <c r="AJ593" s="366"/>
      <c r="AK593" s="366"/>
      <c r="AL593" s="366"/>
      <c r="AM593" s="607"/>
      <c r="AN593" s="366"/>
      <c r="AO593" s="366"/>
      <c r="AP593" s="366"/>
      <c r="AQ593" s="366"/>
      <c r="AR593" s="619"/>
      <c r="AS593" s="617"/>
    </row>
    <row r="594" spans="1:45" ht="15.75">
      <c r="A594" s="190"/>
      <c r="B594" s="190"/>
      <c r="C594" s="190"/>
      <c r="D594" s="596"/>
      <c r="E594" s="596"/>
      <c r="F594" s="190"/>
      <c r="G594" s="190"/>
      <c r="H594" s="190"/>
      <c r="I594" s="190"/>
      <c r="J594" s="190"/>
      <c r="K594" s="190"/>
      <c r="L594" s="190"/>
      <c r="M594" s="190"/>
      <c r="N594" s="190"/>
      <c r="O594" s="190"/>
      <c r="P594" s="612"/>
      <c r="Q594" s="615"/>
      <c r="R594" s="588"/>
      <c r="S594" s="188"/>
      <c r="T594" s="366"/>
      <c r="U594" s="366"/>
      <c r="V594" s="366"/>
      <c r="W594" s="366"/>
      <c r="X594" s="366"/>
      <c r="Y594" s="366"/>
      <c r="Z594" s="366"/>
      <c r="AA594" s="366"/>
      <c r="AB594" s="366"/>
      <c r="AC594" s="366"/>
      <c r="AD594" s="366"/>
      <c r="AE594" s="366"/>
      <c r="AF594" s="366"/>
      <c r="AG594" s="366"/>
      <c r="AH594" s="366"/>
      <c r="AI594" s="366"/>
      <c r="AJ594" s="366"/>
      <c r="AK594" s="366"/>
      <c r="AL594" s="366"/>
      <c r="AM594" s="607"/>
      <c r="AN594" s="366"/>
      <c r="AO594" s="366"/>
      <c r="AP594" s="366"/>
      <c r="AQ594" s="366"/>
      <c r="AR594" s="619"/>
      <c r="AS594" s="617"/>
    </row>
    <row r="595" spans="1:45" ht="15.75">
      <c r="A595" s="190"/>
      <c r="B595" s="190"/>
      <c r="C595" s="190"/>
      <c r="D595" s="596"/>
      <c r="E595" s="596"/>
      <c r="F595" s="190"/>
      <c r="G595" s="190"/>
      <c r="H595" s="190"/>
      <c r="I595" s="190"/>
      <c r="J595" s="190"/>
      <c r="K595" s="190"/>
      <c r="L595" s="190"/>
      <c r="M595" s="190"/>
      <c r="N595" s="190"/>
      <c r="O595" s="190"/>
      <c r="P595" s="612"/>
      <c r="Q595" s="615"/>
      <c r="R595" s="588"/>
      <c r="S595" s="188"/>
      <c r="T595" s="366"/>
      <c r="U595" s="366"/>
      <c r="V595" s="366"/>
      <c r="W595" s="366"/>
      <c r="X595" s="366"/>
      <c r="Y595" s="366"/>
      <c r="Z595" s="366"/>
      <c r="AA595" s="366"/>
      <c r="AB595" s="366"/>
      <c r="AC595" s="366"/>
      <c r="AD595" s="366"/>
      <c r="AE595" s="366"/>
      <c r="AF595" s="366"/>
      <c r="AG595" s="366"/>
      <c r="AH595" s="366"/>
      <c r="AI595" s="366"/>
      <c r="AJ595" s="366"/>
      <c r="AK595" s="366"/>
      <c r="AL595" s="366"/>
      <c r="AM595" s="607"/>
      <c r="AN595" s="366"/>
      <c r="AO595" s="366"/>
      <c r="AP595" s="366"/>
      <c r="AQ595" s="366"/>
      <c r="AR595" s="619"/>
      <c r="AS595" s="617"/>
    </row>
    <row r="596" spans="1:45" ht="15.75">
      <c r="A596" s="190"/>
      <c r="B596" s="190"/>
      <c r="C596" s="190"/>
      <c r="D596" s="596"/>
      <c r="E596" s="596"/>
      <c r="F596" s="190"/>
      <c r="G596" s="190"/>
      <c r="H596" s="190"/>
      <c r="I596" s="190"/>
      <c r="J596" s="190"/>
      <c r="K596" s="190"/>
      <c r="L596" s="190"/>
      <c r="M596" s="190"/>
      <c r="N596" s="190"/>
      <c r="O596" s="190"/>
      <c r="P596" s="612"/>
      <c r="Q596" s="615"/>
      <c r="R596" s="588"/>
      <c r="S596" s="188"/>
      <c r="T596" s="366"/>
      <c r="U596" s="366"/>
      <c r="V596" s="366"/>
      <c r="W596" s="366"/>
      <c r="X596" s="366"/>
      <c r="Y596" s="366"/>
      <c r="Z596" s="366"/>
      <c r="AA596" s="366"/>
      <c r="AB596" s="366"/>
      <c r="AC596" s="366"/>
      <c r="AD596" s="366"/>
      <c r="AE596" s="366"/>
      <c r="AF596" s="366"/>
      <c r="AG596" s="366"/>
      <c r="AH596" s="366"/>
      <c r="AI596" s="366"/>
      <c r="AJ596" s="366"/>
      <c r="AK596" s="366"/>
      <c r="AL596" s="366"/>
      <c r="AM596" s="607"/>
      <c r="AN596" s="366"/>
      <c r="AO596" s="366"/>
      <c r="AP596" s="366"/>
      <c r="AQ596" s="366"/>
      <c r="AR596" s="619"/>
      <c r="AS596" s="617"/>
    </row>
    <row r="597" spans="1:45" ht="15.75">
      <c r="A597" s="190"/>
      <c r="B597" s="190"/>
      <c r="C597" s="190"/>
      <c r="D597" s="596"/>
      <c r="E597" s="596"/>
      <c r="F597" s="190"/>
      <c r="G597" s="190"/>
      <c r="H597" s="190"/>
      <c r="I597" s="190"/>
      <c r="J597" s="190"/>
      <c r="K597" s="190"/>
      <c r="L597" s="190"/>
      <c r="M597" s="190"/>
      <c r="N597" s="190"/>
      <c r="O597" s="190"/>
      <c r="P597" s="612"/>
      <c r="Q597" s="615"/>
      <c r="R597" s="588"/>
      <c r="S597" s="188"/>
      <c r="T597" s="366"/>
      <c r="U597" s="366"/>
      <c r="V597" s="366"/>
      <c r="W597" s="366"/>
      <c r="X597" s="366"/>
      <c r="Y597" s="366"/>
      <c r="Z597" s="366"/>
      <c r="AA597" s="366"/>
      <c r="AB597" s="366"/>
      <c r="AC597" s="366"/>
      <c r="AD597" s="366"/>
      <c r="AE597" s="366"/>
      <c r="AF597" s="366"/>
      <c r="AG597" s="366"/>
      <c r="AH597" s="366"/>
      <c r="AI597" s="366"/>
      <c r="AJ597" s="366"/>
      <c r="AK597" s="366"/>
      <c r="AL597" s="366"/>
      <c r="AM597" s="607"/>
      <c r="AN597" s="366"/>
      <c r="AO597" s="366"/>
      <c r="AP597" s="366"/>
      <c r="AQ597" s="366"/>
      <c r="AR597" s="619"/>
      <c r="AS597" s="617"/>
    </row>
    <row r="598" spans="1:45" ht="15.75">
      <c r="A598" s="190"/>
      <c r="B598" s="190"/>
      <c r="C598" s="190"/>
      <c r="D598" s="596"/>
      <c r="E598" s="596"/>
      <c r="F598" s="190"/>
      <c r="G598" s="190"/>
      <c r="H598" s="190"/>
      <c r="I598" s="190"/>
      <c r="J598" s="190"/>
      <c r="K598" s="190"/>
      <c r="L598" s="190"/>
      <c r="M598" s="190"/>
      <c r="N598" s="190"/>
      <c r="O598" s="190"/>
      <c r="P598" s="612"/>
      <c r="Q598" s="615"/>
      <c r="R598" s="588"/>
      <c r="S598" s="188"/>
      <c r="T598" s="366"/>
      <c r="U598" s="366"/>
      <c r="V598" s="366"/>
      <c r="W598" s="366"/>
      <c r="X598" s="366"/>
      <c r="Y598" s="366"/>
      <c r="Z598" s="366"/>
      <c r="AA598" s="366"/>
      <c r="AB598" s="366"/>
      <c r="AC598" s="366"/>
      <c r="AD598" s="366"/>
      <c r="AE598" s="366"/>
      <c r="AF598" s="366"/>
      <c r="AG598" s="366"/>
      <c r="AH598" s="366"/>
      <c r="AI598" s="366"/>
      <c r="AJ598" s="366"/>
      <c r="AK598" s="366"/>
      <c r="AL598" s="366"/>
      <c r="AM598" s="607"/>
      <c r="AN598" s="366"/>
      <c r="AO598" s="366"/>
      <c r="AP598" s="366"/>
      <c r="AQ598" s="366"/>
      <c r="AR598" s="619"/>
      <c r="AS598" s="617"/>
    </row>
    <row r="599" spans="1:45" ht="15.75">
      <c r="A599" s="190"/>
      <c r="B599" s="190"/>
      <c r="C599" s="190"/>
      <c r="D599" s="596"/>
      <c r="E599" s="596"/>
      <c r="F599" s="190"/>
      <c r="G599" s="190"/>
      <c r="H599" s="190"/>
      <c r="I599" s="190"/>
      <c r="J599" s="190"/>
      <c r="K599" s="190"/>
      <c r="L599" s="190"/>
      <c r="M599" s="190"/>
      <c r="N599" s="190"/>
      <c r="O599" s="190"/>
      <c r="P599" s="612"/>
      <c r="Q599" s="615"/>
      <c r="R599" s="588"/>
      <c r="S599" s="188"/>
      <c r="T599" s="366"/>
      <c r="U599" s="366"/>
      <c r="V599" s="366"/>
      <c r="W599" s="366"/>
      <c r="X599" s="366"/>
      <c r="Y599" s="366"/>
      <c r="Z599" s="366"/>
      <c r="AA599" s="366"/>
      <c r="AB599" s="366"/>
      <c r="AC599" s="366"/>
      <c r="AD599" s="366"/>
      <c r="AE599" s="366"/>
      <c r="AF599" s="366"/>
      <c r="AG599" s="366"/>
      <c r="AH599" s="366"/>
      <c r="AI599" s="366"/>
      <c r="AJ599" s="366"/>
      <c r="AK599" s="366"/>
      <c r="AL599" s="366"/>
      <c r="AM599" s="607"/>
      <c r="AN599" s="366"/>
      <c r="AO599" s="366"/>
      <c r="AP599" s="366"/>
      <c r="AQ599" s="366"/>
      <c r="AR599" s="619"/>
      <c r="AS599" s="617"/>
    </row>
    <row r="600" spans="1:45" ht="15.75">
      <c r="A600" s="190"/>
      <c r="B600" s="190"/>
      <c r="C600" s="190"/>
      <c r="D600" s="596"/>
      <c r="E600" s="596"/>
      <c r="F600" s="190"/>
      <c r="G600" s="190"/>
      <c r="H600" s="190"/>
      <c r="I600" s="190"/>
      <c r="J600" s="190"/>
      <c r="K600" s="190"/>
      <c r="L600" s="190"/>
      <c r="M600" s="190"/>
      <c r="N600" s="190"/>
      <c r="O600" s="190"/>
      <c r="P600" s="612"/>
      <c r="Q600" s="615"/>
      <c r="R600" s="588"/>
      <c r="S600" s="188"/>
      <c r="T600" s="366"/>
      <c r="U600" s="366"/>
      <c r="V600" s="366"/>
      <c r="W600" s="366"/>
      <c r="X600" s="366"/>
      <c r="Y600" s="366"/>
      <c r="Z600" s="366"/>
      <c r="AA600" s="366"/>
      <c r="AB600" s="366"/>
      <c r="AC600" s="366"/>
      <c r="AD600" s="366"/>
      <c r="AE600" s="366"/>
      <c r="AF600" s="366"/>
      <c r="AG600" s="366"/>
      <c r="AH600" s="366"/>
      <c r="AI600" s="366"/>
      <c r="AJ600" s="366"/>
      <c r="AK600" s="366"/>
      <c r="AL600" s="366"/>
      <c r="AM600" s="607"/>
      <c r="AN600" s="366"/>
      <c r="AO600" s="366"/>
      <c r="AP600" s="366"/>
      <c r="AQ600" s="366"/>
      <c r="AR600" s="619"/>
      <c r="AS600" s="617"/>
    </row>
    <row r="601" spans="1:45" ht="15.75">
      <c r="A601" s="190"/>
      <c r="B601" s="190"/>
      <c r="C601" s="190"/>
      <c r="D601" s="596"/>
      <c r="E601" s="596"/>
      <c r="F601" s="190"/>
      <c r="G601" s="190"/>
      <c r="H601" s="190"/>
      <c r="I601" s="190"/>
      <c r="J601" s="190"/>
      <c r="K601" s="190"/>
      <c r="L601" s="190"/>
      <c r="M601" s="190"/>
      <c r="N601" s="190"/>
      <c r="O601" s="190"/>
      <c r="P601" s="612"/>
      <c r="Q601" s="615"/>
      <c r="R601" s="588"/>
      <c r="S601" s="188"/>
      <c r="T601" s="366"/>
      <c r="U601" s="366"/>
      <c r="V601" s="366"/>
      <c r="W601" s="366"/>
      <c r="X601" s="366"/>
      <c r="Y601" s="366"/>
      <c r="Z601" s="366"/>
      <c r="AA601" s="366"/>
      <c r="AB601" s="366"/>
      <c r="AC601" s="366"/>
      <c r="AD601" s="366"/>
      <c r="AE601" s="366"/>
      <c r="AF601" s="366"/>
      <c r="AG601" s="366"/>
      <c r="AH601" s="366"/>
      <c r="AI601" s="366"/>
      <c r="AJ601" s="366"/>
      <c r="AK601" s="366"/>
      <c r="AL601" s="366"/>
      <c r="AM601" s="607"/>
      <c r="AN601" s="366"/>
      <c r="AO601" s="366"/>
      <c r="AP601" s="366"/>
      <c r="AQ601" s="366"/>
      <c r="AR601" s="619"/>
      <c r="AS601" s="617"/>
    </row>
    <row r="602" spans="1:45" ht="15.75">
      <c r="A602" s="190"/>
      <c r="B602" s="190"/>
      <c r="C602" s="190"/>
      <c r="D602" s="596"/>
      <c r="E602" s="596"/>
      <c r="F602" s="190"/>
      <c r="G602" s="190"/>
      <c r="H602" s="190"/>
      <c r="I602" s="190"/>
      <c r="J602" s="190"/>
      <c r="K602" s="190"/>
      <c r="L602" s="190"/>
      <c r="M602" s="190"/>
      <c r="N602" s="190"/>
      <c r="O602" s="190"/>
      <c r="P602" s="612"/>
      <c r="Q602" s="615"/>
      <c r="R602" s="588"/>
      <c r="S602" s="188"/>
      <c r="T602" s="366"/>
      <c r="U602" s="366"/>
      <c r="V602" s="366"/>
      <c r="W602" s="366"/>
      <c r="X602" s="366"/>
      <c r="Y602" s="366"/>
      <c r="Z602" s="366"/>
      <c r="AA602" s="366"/>
      <c r="AB602" s="366"/>
      <c r="AC602" s="366"/>
      <c r="AD602" s="366"/>
      <c r="AE602" s="366"/>
      <c r="AF602" s="366"/>
      <c r="AG602" s="366"/>
      <c r="AH602" s="366"/>
      <c r="AI602" s="366"/>
      <c r="AJ602" s="366"/>
      <c r="AK602" s="366"/>
      <c r="AL602" s="366"/>
      <c r="AM602" s="607"/>
      <c r="AN602" s="366"/>
      <c r="AO602" s="366"/>
      <c r="AP602" s="366"/>
      <c r="AQ602" s="366"/>
      <c r="AR602" s="619"/>
      <c r="AS602" s="617"/>
    </row>
    <row r="603" spans="1:45" ht="15.75">
      <c r="A603" s="190"/>
      <c r="B603" s="190"/>
      <c r="C603" s="190"/>
      <c r="D603" s="596"/>
      <c r="E603" s="596"/>
      <c r="F603" s="190"/>
      <c r="G603" s="190"/>
      <c r="H603" s="190"/>
      <c r="I603" s="190"/>
      <c r="J603" s="190"/>
      <c r="K603" s="190"/>
      <c r="L603" s="190"/>
      <c r="M603" s="190"/>
      <c r="N603" s="190"/>
      <c r="O603" s="190"/>
      <c r="P603" s="612"/>
      <c r="Q603" s="615"/>
      <c r="R603" s="588"/>
      <c r="S603" s="188"/>
      <c r="T603" s="366"/>
      <c r="U603" s="366"/>
      <c r="V603" s="366"/>
      <c r="W603" s="366"/>
      <c r="X603" s="366"/>
      <c r="Y603" s="366"/>
      <c r="Z603" s="366"/>
      <c r="AA603" s="366"/>
      <c r="AB603" s="366"/>
      <c r="AC603" s="366"/>
      <c r="AD603" s="366"/>
      <c r="AE603" s="366"/>
      <c r="AF603" s="366"/>
      <c r="AG603" s="366"/>
      <c r="AH603" s="366"/>
      <c r="AI603" s="366"/>
      <c r="AJ603" s="366"/>
      <c r="AK603" s="366"/>
      <c r="AL603" s="366"/>
      <c r="AM603" s="607"/>
      <c r="AN603" s="366"/>
      <c r="AO603" s="366"/>
      <c r="AP603" s="366"/>
      <c r="AQ603" s="366"/>
      <c r="AR603" s="619"/>
      <c r="AS603" s="617"/>
    </row>
    <row r="604" spans="1:45" ht="15.75">
      <c r="A604" s="190"/>
      <c r="B604" s="190"/>
      <c r="C604" s="190"/>
      <c r="D604" s="596"/>
      <c r="E604" s="596"/>
      <c r="F604" s="190"/>
      <c r="G604" s="190"/>
      <c r="H604" s="190"/>
      <c r="I604" s="190"/>
      <c r="J604" s="190"/>
      <c r="K604" s="190"/>
      <c r="L604" s="190"/>
      <c r="M604" s="190"/>
      <c r="N604" s="190"/>
      <c r="O604" s="190"/>
      <c r="P604" s="612"/>
      <c r="Q604" s="615"/>
      <c r="R604" s="588"/>
      <c r="S604" s="188"/>
      <c r="T604" s="366"/>
      <c r="U604" s="366"/>
      <c r="V604" s="366"/>
      <c r="W604" s="366"/>
      <c r="X604" s="366"/>
      <c r="Y604" s="366"/>
      <c r="Z604" s="366"/>
      <c r="AA604" s="366"/>
      <c r="AB604" s="366"/>
      <c r="AC604" s="366"/>
      <c r="AD604" s="366"/>
      <c r="AE604" s="366"/>
      <c r="AF604" s="366"/>
      <c r="AG604" s="366"/>
      <c r="AH604" s="366"/>
      <c r="AI604" s="366"/>
      <c r="AJ604" s="366"/>
      <c r="AK604" s="366"/>
      <c r="AL604" s="366"/>
      <c r="AM604" s="607"/>
      <c r="AN604" s="366"/>
      <c r="AO604" s="366"/>
      <c r="AP604" s="366"/>
      <c r="AQ604" s="366"/>
      <c r="AR604" s="619"/>
      <c r="AS604" s="617"/>
    </row>
    <row r="605" spans="1:45" ht="15.75">
      <c r="A605" s="190"/>
      <c r="B605" s="190"/>
      <c r="C605" s="190"/>
      <c r="D605" s="596"/>
      <c r="E605" s="596"/>
      <c r="F605" s="190"/>
      <c r="G605" s="190"/>
      <c r="H605" s="190"/>
      <c r="I605" s="190"/>
      <c r="J605" s="190"/>
      <c r="K605" s="190"/>
      <c r="L605" s="190"/>
      <c r="M605" s="190"/>
      <c r="N605" s="190"/>
      <c r="O605" s="190"/>
      <c r="P605" s="612"/>
      <c r="Q605" s="615"/>
      <c r="R605" s="588"/>
      <c r="S605" s="188"/>
      <c r="T605" s="366"/>
      <c r="U605" s="366"/>
      <c r="V605" s="366"/>
      <c r="W605" s="366"/>
      <c r="X605" s="366"/>
      <c r="Y605" s="366"/>
      <c r="Z605" s="366"/>
      <c r="AA605" s="366"/>
      <c r="AB605" s="366"/>
      <c r="AC605" s="366"/>
      <c r="AD605" s="366"/>
      <c r="AE605" s="366"/>
      <c r="AF605" s="366"/>
      <c r="AG605" s="366"/>
      <c r="AH605" s="366"/>
      <c r="AI605" s="366"/>
      <c r="AJ605" s="366"/>
      <c r="AK605" s="366"/>
      <c r="AL605" s="366"/>
      <c r="AM605" s="607"/>
      <c r="AN605" s="366"/>
      <c r="AO605" s="366"/>
      <c r="AP605" s="366"/>
      <c r="AQ605" s="366"/>
      <c r="AR605" s="619"/>
      <c r="AS605" s="617"/>
    </row>
    <row r="606" spans="1:45" ht="15.75">
      <c r="A606" s="190"/>
      <c r="B606" s="190"/>
      <c r="C606" s="190"/>
      <c r="D606" s="596"/>
      <c r="E606" s="596"/>
      <c r="F606" s="190"/>
      <c r="G606" s="190"/>
      <c r="H606" s="190"/>
      <c r="I606" s="190"/>
      <c r="J606" s="190"/>
      <c r="K606" s="190"/>
      <c r="L606" s="190"/>
      <c r="M606" s="190"/>
      <c r="N606" s="190"/>
      <c r="O606" s="190"/>
      <c r="P606" s="612"/>
      <c r="Q606" s="615"/>
      <c r="R606" s="588"/>
      <c r="S606" s="188"/>
      <c r="T606" s="366"/>
      <c r="U606" s="366"/>
      <c r="V606" s="366"/>
      <c r="W606" s="366"/>
      <c r="X606" s="366"/>
      <c r="Y606" s="366"/>
      <c r="Z606" s="366"/>
      <c r="AA606" s="366"/>
      <c r="AB606" s="366"/>
      <c r="AC606" s="366"/>
      <c r="AD606" s="366"/>
      <c r="AE606" s="366"/>
      <c r="AF606" s="366"/>
      <c r="AG606" s="366"/>
      <c r="AH606" s="366"/>
      <c r="AI606" s="366"/>
      <c r="AJ606" s="366"/>
      <c r="AK606" s="366"/>
      <c r="AL606" s="366"/>
      <c r="AM606" s="607"/>
      <c r="AN606" s="366"/>
      <c r="AO606" s="366"/>
      <c r="AP606" s="366"/>
      <c r="AQ606" s="366"/>
      <c r="AR606" s="619"/>
      <c r="AS606" s="617"/>
    </row>
    <row r="607" spans="1:45" ht="15.75">
      <c r="A607" s="190"/>
      <c r="B607" s="190"/>
      <c r="C607" s="190"/>
      <c r="D607" s="596"/>
      <c r="E607" s="596"/>
      <c r="F607" s="190"/>
      <c r="G607" s="190"/>
      <c r="H607" s="190"/>
      <c r="I607" s="190"/>
      <c r="J607" s="190"/>
      <c r="K607" s="190"/>
      <c r="L607" s="190"/>
      <c r="M607" s="190"/>
      <c r="N607" s="190"/>
      <c r="O607" s="190"/>
      <c r="P607" s="612"/>
      <c r="Q607" s="615"/>
      <c r="R607" s="588"/>
      <c r="S607" s="188"/>
      <c r="T607" s="366"/>
      <c r="U607" s="366"/>
      <c r="V607" s="366"/>
      <c r="W607" s="366"/>
      <c r="X607" s="366"/>
      <c r="Y607" s="366"/>
      <c r="Z607" s="366"/>
      <c r="AA607" s="366"/>
      <c r="AB607" s="366"/>
      <c r="AC607" s="366"/>
      <c r="AD607" s="366"/>
      <c r="AE607" s="366"/>
      <c r="AF607" s="366"/>
      <c r="AG607" s="366"/>
      <c r="AH607" s="366"/>
      <c r="AI607" s="366"/>
      <c r="AJ607" s="366"/>
      <c r="AK607" s="366"/>
      <c r="AL607" s="366"/>
      <c r="AM607" s="607"/>
      <c r="AN607" s="366"/>
      <c r="AO607" s="366"/>
      <c r="AP607" s="366"/>
      <c r="AQ607" s="366"/>
      <c r="AR607" s="619"/>
      <c r="AS607" s="617"/>
    </row>
    <row r="608" spans="1:45" ht="15.75">
      <c r="A608" s="190"/>
      <c r="B608" s="190"/>
      <c r="C608" s="190"/>
      <c r="D608" s="596"/>
      <c r="E608" s="190"/>
      <c r="F608" s="190"/>
      <c r="G608" s="190"/>
      <c r="H608" s="190"/>
      <c r="I608" s="190"/>
      <c r="J608" s="190"/>
      <c r="K608" s="190"/>
      <c r="L608" s="190"/>
      <c r="M608" s="190"/>
      <c r="N608" s="190"/>
      <c r="O608" s="190"/>
      <c r="P608" s="612"/>
      <c r="Q608" s="615"/>
      <c r="R608" s="588"/>
      <c r="S608" s="188"/>
      <c r="T608" s="366"/>
      <c r="U608" s="366"/>
      <c r="V608" s="366"/>
      <c r="W608" s="366"/>
      <c r="X608" s="366"/>
      <c r="Y608" s="366"/>
      <c r="Z608" s="366"/>
      <c r="AA608" s="366"/>
      <c r="AB608" s="366"/>
      <c r="AC608" s="366"/>
      <c r="AD608" s="366"/>
      <c r="AE608" s="366"/>
      <c r="AF608" s="366"/>
      <c r="AG608" s="366"/>
      <c r="AH608" s="366"/>
      <c r="AI608" s="366"/>
      <c r="AJ608" s="366"/>
      <c r="AK608" s="366"/>
      <c r="AL608" s="366"/>
      <c r="AM608" s="607"/>
      <c r="AN608" s="366"/>
      <c r="AO608" s="366"/>
      <c r="AP608" s="366"/>
      <c r="AQ608" s="366"/>
      <c r="AR608" s="619"/>
      <c r="AS608" s="617"/>
    </row>
    <row r="609" spans="1:45" ht="15.75">
      <c r="A609" s="190"/>
      <c r="B609" s="190"/>
      <c r="C609" s="190"/>
      <c r="D609" s="596"/>
      <c r="E609" s="190"/>
      <c r="F609" s="190"/>
      <c r="G609" s="190"/>
      <c r="H609" s="190"/>
      <c r="I609" s="190"/>
      <c r="J609" s="190"/>
      <c r="K609" s="190"/>
      <c r="L609" s="190"/>
      <c r="M609" s="190"/>
      <c r="N609" s="190"/>
      <c r="O609" s="190"/>
      <c r="P609" s="612"/>
      <c r="Q609" s="615"/>
      <c r="R609" s="588"/>
      <c r="S609" s="188"/>
      <c r="T609" s="366"/>
      <c r="U609" s="366"/>
      <c r="V609" s="366"/>
      <c r="W609" s="366"/>
      <c r="X609" s="366"/>
      <c r="Y609" s="366"/>
      <c r="Z609" s="366"/>
      <c r="AA609" s="366"/>
      <c r="AB609" s="366"/>
      <c r="AC609" s="366"/>
      <c r="AD609" s="366"/>
      <c r="AE609" s="366"/>
      <c r="AF609" s="366"/>
      <c r="AG609" s="366"/>
      <c r="AH609" s="366"/>
      <c r="AI609" s="366"/>
      <c r="AJ609" s="366"/>
      <c r="AK609" s="366"/>
      <c r="AL609" s="366"/>
      <c r="AM609" s="607"/>
      <c r="AN609" s="366"/>
      <c r="AO609" s="366"/>
      <c r="AP609" s="366"/>
      <c r="AQ609" s="366"/>
      <c r="AR609" s="619"/>
      <c r="AS609" s="617"/>
    </row>
    <row r="610" spans="1:45" ht="15.75">
      <c r="A610" s="190"/>
      <c r="B610" s="190"/>
      <c r="C610" s="190"/>
      <c r="D610" s="596"/>
      <c r="E610" s="190"/>
      <c r="F610" s="190"/>
      <c r="G610" s="190"/>
      <c r="H610" s="190"/>
      <c r="I610" s="190"/>
      <c r="J610" s="190"/>
      <c r="K610" s="190"/>
      <c r="L610" s="190"/>
      <c r="M610" s="190"/>
      <c r="N610" s="190"/>
      <c r="O610" s="190"/>
      <c r="P610" s="612"/>
      <c r="Q610" s="615"/>
      <c r="R610" s="588"/>
      <c r="S610" s="188"/>
      <c r="T610" s="366"/>
      <c r="U610" s="366"/>
      <c r="V610" s="366"/>
      <c r="W610" s="366"/>
      <c r="X610" s="366"/>
      <c r="Y610" s="366"/>
      <c r="Z610" s="366"/>
      <c r="AA610" s="366"/>
      <c r="AB610" s="366"/>
      <c r="AC610" s="366"/>
      <c r="AD610" s="366"/>
      <c r="AE610" s="366"/>
      <c r="AF610" s="366"/>
      <c r="AG610" s="366"/>
      <c r="AH610" s="366"/>
      <c r="AI610" s="366"/>
      <c r="AJ610" s="366"/>
      <c r="AK610" s="366"/>
      <c r="AL610" s="366"/>
      <c r="AM610" s="607"/>
      <c r="AN610" s="366"/>
      <c r="AO610" s="366"/>
      <c r="AP610" s="366"/>
      <c r="AQ610" s="366"/>
      <c r="AR610" s="619"/>
      <c r="AS610" s="617"/>
    </row>
    <row r="611" spans="1:45" ht="15.75">
      <c r="A611" s="190"/>
      <c r="B611" s="190"/>
      <c r="C611" s="190"/>
      <c r="D611" s="596"/>
      <c r="E611" s="190"/>
      <c r="F611" s="190"/>
      <c r="G611" s="190"/>
      <c r="H611" s="190"/>
      <c r="I611" s="190"/>
      <c r="J611" s="190"/>
      <c r="K611" s="190"/>
      <c r="L611" s="190"/>
      <c r="M611" s="190"/>
      <c r="N611" s="190"/>
      <c r="O611" s="190"/>
      <c r="P611" s="612"/>
      <c r="Q611" s="615"/>
      <c r="R611" s="588"/>
      <c r="S611" s="188"/>
      <c r="T611" s="366"/>
      <c r="U611" s="366"/>
      <c r="V611" s="366"/>
      <c r="W611" s="366"/>
      <c r="X611" s="366"/>
      <c r="Y611" s="366"/>
      <c r="Z611" s="366"/>
      <c r="AA611" s="366"/>
      <c r="AB611" s="366"/>
      <c r="AC611" s="366"/>
      <c r="AD611" s="366"/>
      <c r="AE611" s="366"/>
      <c r="AF611" s="366"/>
      <c r="AG611" s="366"/>
      <c r="AH611" s="366"/>
      <c r="AI611" s="366"/>
      <c r="AJ611" s="366"/>
      <c r="AK611" s="366"/>
      <c r="AL611" s="366"/>
      <c r="AM611" s="607"/>
      <c r="AN611" s="366"/>
      <c r="AO611" s="366"/>
      <c r="AP611" s="366"/>
      <c r="AQ611" s="366"/>
      <c r="AR611" s="619"/>
      <c r="AS611" s="617"/>
    </row>
    <row r="612" spans="1:45" ht="15.75">
      <c r="A612" s="190"/>
      <c r="B612" s="190"/>
      <c r="C612" s="190"/>
      <c r="D612" s="596"/>
      <c r="E612" s="190"/>
      <c r="F612" s="190"/>
      <c r="G612" s="190"/>
      <c r="H612" s="190"/>
      <c r="I612" s="190"/>
      <c r="J612" s="190"/>
      <c r="K612" s="190"/>
      <c r="L612" s="190"/>
      <c r="M612" s="190"/>
      <c r="N612" s="190"/>
      <c r="O612" s="190"/>
      <c r="P612" s="612"/>
      <c r="Q612" s="615"/>
      <c r="R612" s="588"/>
      <c r="S612" s="188"/>
      <c r="T612" s="366"/>
      <c r="U612" s="366"/>
      <c r="V612" s="366"/>
      <c r="W612" s="366"/>
      <c r="X612" s="366"/>
      <c r="Y612" s="366"/>
      <c r="Z612" s="366"/>
      <c r="AA612" s="366"/>
      <c r="AB612" s="366"/>
      <c r="AC612" s="366"/>
      <c r="AD612" s="366"/>
      <c r="AE612" s="366"/>
      <c r="AF612" s="366"/>
      <c r="AG612" s="366"/>
      <c r="AH612" s="366"/>
      <c r="AI612" s="366"/>
      <c r="AJ612" s="366"/>
      <c r="AK612" s="366"/>
      <c r="AL612" s="366"/>
      <c r="AM612" s="607"/>
      <c r="AN612" s="366"/>
      <c r="AO612" s="366"/>
      <c r="AP612" s="366"/>
      <c r="AQ612" s="366"/>
      <c r="AR612" s="619"/>
      <c r="AS612" s="617"/>
    </row>
    <row r="613" spans="1:45" ht="15.75">
      <c r="A613" s="190"/>
      <c r="B613" s="190"/>
      <c r="C613" s="190"/>
      <c r="D613" s="596"/>
      <c r="E613" s="190"/>
      <c r="F613" s="190"/>
      <c r="G613" s="190"/>
      <c r="H613" s="190"/>
      <c r="I613" s="190"/>
      <c r="J613" s="190"/>
      <c r="K613" s="190"/>
      <c r="L613" s="190"/>
      <c r="M613" s="190"/>
      <c r="N613" s="190"/>
      <c r="O613" s="190"/>
      <c r="P613" s="612"/>
      <c r="Q613" s="615"/>
      <c r="R613" s="588"/>
      <c r="S613" s="188"/>
      <c r="T613" s="366"/>
      <c r="U613" s="366"/>
      <c r="V613" s="366"/>
      <c r="W613" s="366"/>
      <c r="X613" s="366"/>
      <c r="Y613" s="366"/>
      <c r="Z613" s="366"/>
      <c r="AA613" s="366"/>
      <c r="AB613" s="366"/>
      <c r="AC613" s="366"/>
      <c r="AD613" s="366"/>
      <c r="AE613" s="366"/>
      <c r="AF613" s="366"/>
      <c r="AG613" s="366"/>
      <c r="AH613" s="366"/>
      <c r="AI613" s="366"/>
      <c r="AJ613" s="366"/>
      <c r="AK613" s="366"/>
      <c r="AL613" s="366"/>
      <c r="AM613" s="607"/>
      <c r="AN613" s="366"/>
      <c r="AO613" s="366"/>
      <c r="AP613" s="366"/>
      <c r="AQ613" s="366"/>
      <c r="AR613" s="619"/>
      <c r="AS613" s="617"/>
    </row>
    <row r="614" spans="1:45" ht="15.75">
      <c r="A614" s="190"/>
      <c r="B614" s="190"/>
      <c r="C614" s="190"/>
      <c r="D614" s="596"/>
      <c r="E614" s="190"/>
      <c r="F614" s="190"/>
      <c r="G614" s="190"/>
      <c r="H614" s="190"/>
      <c r="I614" s="190"/>
      <c r="J614" s="190"/>
      <c r="K614" s="190"/>
      <c r="L614" s="190"/>
      <c r="M614" s="190"/>
      <c r="N614" s="190"/>
      <c r="O614" s="190"/>
      <c r="P614" s="612"/>
      <c r="Q614" s="615"/>
      <c r="R614" s="588"/>
      <c r="S614" s="188"/>
      <c r="T614" s="366"/>
      <c r="U614" s="366"/>
      <c r="V614" s="366"/>
      <c r="W614" s="366"/>
      <c r="X614" s="366"/>
      <c r="Y614" s="366"/>
      <c r="Z614" s="366"/>
      <c r="AA614" s="366"/>
      <c r="AB614" s="366"/>
      <c r="AC614" s="366"/>
      <c r="AD614" s="366"/>
      <c r="AE614" s="366"/>
      <c r="AF614" s="366"/>
      <c r="AG614" s="366"/>
      <c r="AH614" s="366"/>
      <c r="AI614" s="366"/>
      <c r="AJ614" s="366"/>
      <c r="AK614" s="366"/>
      <c r="AL614" s="366"/>
      <c r="AM614" s="607"/>
      <c r="AN614" s="366"/>
      <c r="AO614" s="366"/>
      <c r="AP614" s="366"/>
      <c r="AQ614" s="366"/>
      <c r="AR614" s="619"/>
      <c r="AS614" s="617"/>
    </row>
    <row r="615" spans="1:45" ht="15.75">
      <c r="A615" s="190"/>
      <c r="B615" s="190"/>
      <c r="C615" s="190"/>
      <c r="D615" s="596"/>
      <c r="E615" s="190"/>
      <c r="F615" s="190"/>
      <c r="G615" s="190"/>
      <c r="H615" s="190"/>
      <c r="I615" s="190"/>
      <c r="J615" s="190"/>
      <c r="K615" s="190"/>
      <c r="L615" s="190"/>
      <c r="M615" s="190"/>
      <c r="N615" s="190"/>
      <c r="O615" s="190"/>
      <c r="P615" s="612"/>
      <c r="Q615" s="615"/>
      <c r="R615" s="588"/>
      <c r="S615" s="188"/>
      <c r="T615" s="366"/>
      <c r="U615" s="366"/>
      <c r="V615" s="366"/>
      <c r="W615" s="366"/>
      <c r="X615" s="366"/>
      <c r="Y615" s="366"/>
      <c r="Z615" s="366"/>
      <c r="AA615" s="366"/>
      <c r="AB615" s="366"/>
      <c r="AC615" s="366"/>
      <c r="AD615" s="366"/>
      <c r="AE615" s="366"/>
      <c r="AF615" s="366"/>
      <c r="AG615" s="366"/>
      <c r="AH615" s="366"/>
      <c r="AI615" s="366"/>
      <c r="AJ615" s="366"/>
      <c r="AK615" s="366"/>
      <c r="AL615" s="366"/>
      <c r="AM615" s="607"/>
      <c r="AN615" s="366"/>
      <c r="AO615" s="366"/>
      <c r="AP615" s="366"/>
      <c r="AQ615" s="366"/>
      <c r="AR615" s="619"/>
      <c r="AS615" s="617"/>
    </row>
    <row r="616" spans="1:45" ht="15.75">
      <c r="A616" s="190"/>
      <c r="B616" s="190"/>
      <c r="C616" s="190"/>
      <c r="D616" s="596"/>
      <c r="E616" s="190"/>
      <c r="F616" s="190"/>
      <c r="G616" s="190"/>
      <c r="H616" s="190"/>
      <c r="I616" s="190"/>
      <c r="J616" s="190"/>
      <c r="K616" s="190"/>
      <c r="L616" s="190"/>
      <c r="M616" s="190"/>
      <c r="N616" s="190"/>
      <c r="O616" s="190"/>
      <c r="P616" s="612"/>
      <c r="Q616" s="615"/>
      <c r="R616" s="588"/>
      <c r="S616" s="188"/>
      <c r="T616" s="366"/>
      <c r="U616" s="366"/>
      <c r="V616" s="366"/>
      <c r="W616" s="366"/>
      <c r="X616" s="366"/>
      <c r="Y616" s="366"/>
      <c r="Z616" s="366"/>
      <c r="AA616" s="366"/>
      <c r="AB616" s="366"/>
      <c r="AC616" s="366"/>
      <c r="AD616" s="366"/>
      <c r="AE616" s="366"/>
      <c r="AF616" s="366"/>
      <c r="AG616" s="366"/>
      <c r="AH616" s="366"/>
      <c r="AI616" s="366"/>
      <c r="AJ616" s="366"/>
      <c r="AK616" s="366"/>
      <c r="AL616" s="366"/>
      <c r="AM616" s="607"/>
      <c r="AN616" s="366"/>
      <c r="AO616" s="366"/>
      <c r="AP616" s="366"/>
      <c r="AQ616" s="366"/>
      <c r="AR616" s="619"/>
      <c r="AS616" s="617"/>
    </row>
    <row r="617" spans="1:45" ht="15.75">
      <c r="A617" s="190"/>
      <c r="B617" s="190"/>
      <c r="C617" s="190"/>
      <c r="D617" s="596"/>
      <c r="E617" s="190"/>
      <c r="F617" s="190"/>
      <c r="G617" s="190"/>
      <c r="H617" s="190"/>
      <c r="I617" s="190"/>
      <c r="J617" s="190"/>
      <c r="K617" s="190"/>
      <c r="L617" s="190"/>
      <c r="M617" s="190"/>
      <c r="N617" s="190"/>
      <c r="O617" s="190"/>
      <c r="P617" s="612"/>
      <c r="Q617" s="615"/>
      <c r="R617" s="588"/>
      <c r="S617" s="188"/>
      <c r="T617" s="366"/>
      <c r="U617" s="366"/>
      <c r="V617" s="366"/>
      <c r="W617" s="366"/>
      <c r="X617" s="366"/>
      <c r="Y617" s="366"/>
      <c r="Z617" s="366"/>
      <c r="AA617" s="366"/>
      <c r="AB617" s="366"/>
      <c r="AC617" s="366"/>
      <c r="AD617" s="366"/>
      <c r="AE617" s="366"/>
      <c r="AF617" s="366"/>
      <c r="AG617" s="366"/>
      <c r="AH617" s="366"/>
      <c r="AI617" s="366"/>
      <c r="AJ617" s="366"/>
      <c r="AK617" s="366"/>
      <c r="AL617" s="366"/>
      <c r="AM617" s="607"/>
      <c r="AN617" s="366"/>
      <c r="AO617" s="366"/>
      <c r="AP617" s="366"/>
      <c r="AQ617" s="366"/>
      <c r="AR617" s="619"/>
      <c r="AS617" s="617"/>
    </row>
    <row r="618" spans="1:45" ht="15.75">
      <c r="A618" s="190"/>
      <c r="B618" s="190"/>
      <c r="C618" s="190"/>
      <c r="D618" s="596"/>
      <c r="E618" s="190"/>
      <c r="F618" s="190"/>
      <c r="G618" s="190"/>
      <c r="H618" s="190"/>
      <c r="I618" s="190"/>
      <c r="J618" s="190"/>
      <c r="K618" s="190"/>
      <c r="L618" s="190"/>
      <c r="M618" s="190"/>
      <c r="N618" s="190"/>
      <c r="O618" s="190"/>
      <c r="P618" s="612"/>
      <c r="Q618" s="615"/>
      <c r="R618" s="588"/>
      <c r="S618" s="188"/>
      <c r="T618" s="366"/>
      <c r="U618" s="366"/>
      <c r="V618" s="366"/>
      <c r="W618" s="366"/>
      <c r="X618" s="366"/>
      <c r="Y618" s="366"/>
      <c r="Z618" s="366"/>
      <c r="AA618" s="366"/>
      <c r="AB618" s="366"/>
      <c r="AC618" s="366"/>
      <c r="AD618" s="366"/>
      <c r="AE618" s="366"/>
      <c r="AF618" s="366"/>
      <c r="AG618" s="366"/>
      <c r="AH618" s="366"/>
      <c r="AI618" s="366"/>
      <c r="AJ618" s="366"/>
      <c r="AK618" s="366"/>
      <c r="AL618" s="366"/>
      <c r="AM618" s="607"/>
      <c r="AN618" s="366"/>
      <c r="AO618" s="366"/>
      <c r="AP618" s="366"/>
      <c r="AQ618" s="366"/>
      <c r="AR618" s="619"/>
      <c r="AS618" s="617"/>
    </row>
    <row r="619" spans="1:45" ht="15.75">
      <c r="A619" s="190"/>
      <c r="B619" s="190"/>
      <c r="C619" s="190"/>
      <c r="D619" s="596"/>
      <c r="E619" s="190"/>
      <c r="F619" s="190"/>
      <c r="G619" s="190"/>
      <c r="H619" s="190"/>
      <c r="I619" s="190"/>
      <c r="J619" s="190"/>
      <c r="K619" s="190"/>
      <c r="L619" s="190"/>
      <c r="M619" s="190"/>
      <c r="N619" s="190"/>
      <c r="O619" s="190"/>
      <c r="P619" s="612"/>
      <c r="Q619" s="615"/>
      <c r="R619" s="588"/>
      <c r="S619" s="188"/>
      <c r="T619" s="366"/>
      <c r="U619" s="366"/>
      <c r="V619" s="366"/>
      <c r="W619" s="366"/>
      <c r="X619" s="366"/>
      <c r="Y619" s="366"/>
      <c r="Z619" s="366"/>
      <c r="AA619" s="366"/>
      <c r="AB619" s="366"/>
      <c r="AC619" s="366"/>
      <c r="AD619" s="366"/>
      <c r="AE619" s="366"/>
      <c r="AF619" s="366"/>
      <c r="AG619" s="366"/>
      <c r="AH619" s="366"/>
      <c r="AI619" s="366"/>
      <c r="AJ619" s="366"/>
      <c r="AK619" s="366"/>
      <c r="AL619" s="366"/>
      <c r="AM619" s="607"/>
      <c r="AN619" s="366"/>
      <c r="AO619" s="366"/>
      <c r="AP619" s="366"/>
      <c r="AQ619" s="366"/>
      <c r="AR619" s="619"/>
      <c r="AS619" s="617"/>
    </row>
    <row r="620" spans="1:45" ht="15.75">
      <c r="A620" s="190"/>
      <c r="B620" s="190"/>
      <c r="C620" s="190"/>
      <c r="D620" s="596"/>
      <c r="E620" s="190"/>
      <c r="F620" s="190"/>
      <c r="G620" s="190"/>
      <c r="H620" s="190"/>
      <c r="I620" s="190"/>
      <c r="J620" s="190"/>
      <c r="K620" s="190"/>
      <c r="L620" s="190"/>
      <c r="M620" s="190"/>
      <c r="N620" s="190"/>
      <c r="O620" s="190"/>
      <c r="P620" s="612"/>
      <c r="Q620" s="615"/>
      <c r="R620" s="588"/>
      <c r="S620" s="188"/>
      <c r="T620" s="366"/>
      <c r="U620" s="366"/>
      <c r="V620" s="366"/>
      <c r="W620" s="366"/>
      <c r="X620" s="366"/>
      <c r="Y620" s="366"/>
      <c r="Z620" s="366"/>
      <c r="AA620" s="366"/>
      <c r="AB620" s="366"/>
      <c r="AC620" s="366"/>
      <c r="AD620" s="366"/>
      <c r="AE620" s="366"/>
      <c r="AF620" s="366"/>
      <c r="AG620" s="366"/>
      <c r="AH620" s="366"/>
      <c r="AI620" s="366"/>
      <c r="AJ620" s="366"/>
      <c r="AK620" s="366"/>
      <c r="AL620" s="366"/>
      <c r="AM620" s="607"/>
      <c r="AN620" s="366"/>
      <c r="AO620" s="366"/>
      <c r="AP620" s="366"/>
      <c r="AQ620" s="366"/>
      <c r="AR620" s="619"/>
      <c r="AS620" s="617"/>
    </row>
    <row r="621" spans="1:45" ht="15.75">
      <c r="A621" s="190"/>
      <c r="B621" s="190"/>
      <c r="C621" s="190"/>
      <c r="D621" s="596"/>
      <c r="E621" s="190"/>
      <c r="F621" s="190"/>
      <c r="G621" s="190"/>
      <c r="H621" s="190"/>
      <c r="I621" s="190"/>
      <c r="J621" s="190"/>
      <c r="K621" s="190"/>
      <c r="L621" s="190"/>
      <c r="M621" s="190"/>
      <c r="N621" s="190"/>
      <c r="O621" s="190"/>
      <c r="P621" s="612"/>
      <c r="Q621" s="615"/>
      <c r="R621" s="588"/>
      <c r="S621" s="188"/>
      <c r="T621" s="366"/>
      <c r="U621" s="366"/>
      <c r="V621" s="366"/>
      <c r="W621" s="366"/>
      <c r="X621" s="366"/>
      <c r="Y621" s="366"/>
      <c r="Z621" s="366"/>
      <c r="AA621" s="366"/>
      <c r="AB621" s="366"/>
      <c r="AC621" s="366"/>
      <c r="AD621" s="366"/>
      <c r="AE621" s="366"/>
      <c r="AF621" s="366"/>
      <c r="AG621" s="366"/>
      <c r="AH621" s="366"/>
      <c r="AI621" s="366"/>
      <c r="AJ621" s="366"/>
      <c r="AK621" s="366"/>
      <c r="AL621" s="366"/>
      <c r="AM621" s="607"/>
      <c r="AN621" s="366"/>
      <c r="AO621" s="366"/>
      <c r="AP621" s="366"/>
      <c r="AQ621" s="366"/>
      <c r="AR621" s="619"/>
      <c r="AS621" s="617"/>
    </row>
    <row r="622" spans="1:45" ht="15.75">
      <c r="A622" s="190"/>
      <c r="B622" s="190"/>
      <c r="C622" s="190"/>
      <c r="D622" s="596"/>
      <c r="E622" s="190"/>
      <c r="F622" s="190"/>
      <c r="G622" s="190"/>
      <c r="H622" s="190"/>
      <c r="I622" s="190"/>
      <c r="J622" s="190"/>
      <c r="K622" s="190"/>
      <c r="L622" s="190"/>
      <c r="M622" s="190"/>
      <c r="N622" s="190"/>
      <c r="O622" s="190"/>
      <c r="P622" s="612"/>
      <c r="Q622" s="615"/>
      <c r="R622" s="588"/>
      <c r="S622" s="188"/>
      <c r="T622" s="366"/>
      <c r="U622" s="366"/>
      <c r="V622" s="366"/>
      <c r="W622" s="366"/>
      <c r="X622" s="366"/>
      <c r="Y622" s="366"/>
      <c r="Z622" s="366"/>
      <c r="AA622" s="366"/>
      <c r="AB622" s="366"/>
      <c r="AC622" s="366"/>
      <c r="AD622" s="366"/>
      <c r="AE622" s="366"/>
      <c r="AF622" s="366"/>
      <c r="AG622" s="366"/>
      <c r="AH622" s="366"/>
      <c r="AI622" s="366"/>
      <c r="AJ622" s="366"/>
      <c r="AK622" s="366"/>
      <c r="AL622" s="366"/>
      <c r="AM622" s="607"/>
      <c r="AN622" s="366"/>
      <c r="AO622" s="366"/>
      <c r="AP622" s="366"/>
      <c r="AQ622" s="366"/>
      <c r="AR622" s="619"/>
      <c r="AS622" s="617"/>
    </row>
    <row r="623" spans="1:45" ht="15.75">
      <c r="A623" s="190"/>
      <c r="B623" s="190"/>
      <c r="C623" s="190"/>
      <c r="D623" s="596"/>
      <c r="E623" s="190"/>
      <c r="F623" s="190"/>
      <c r="G623" s="190"/>
      <c r="H623" s="190"/>
      <c r="I623" s="190"/>
      <c r="J623" s="190"/>
      <c r="K623" s="190"/>
      <c r="L623" s="190"/>
      <c r="M623" s="190"/>
      <c r="N623" s="190"/>
      <c r="O623" s="190"/>
      <c r="P623" s="612"/>
      <c r="Q623" s="615"/>
      <c r="R623" s="588"/>
      <c r="S623" s="188"/>
      <c r="T623" s="366"/>
      <c r="U623" s="366"/>
      <c r="V623" s="366"/>
      <c r="W623" s="366"/>
      <c r="X623" s="366"/>
      <c r="Y623" s="366"/>
      <c r="Z623" s="366"/>
      <c r="AA623" s="366"/>
      <c r="AB623" s="366"/>
      <c r="AC623" s="366"/>
      <c r="AD623" s="366"/>
      <c r="AE623" s="366"/>
      <c r="AF623" s="366"/>
      <c r="AG623" s="366"/>
      <c r="AH623" s="366"/>
      <c r="AI623" s="366"/>
      <c r="AJ623" s="366"/>
      <c r="AK623" s="366"/>
      <c r="AL623" s="366"/>
      <c r="AM623" s="607"/>
      <c r="AN623" s="366"/>
      <c r="AO623" s="366"/>
      <c r="AP623" s="366"/>
      <c r="AQ623" s="366"/>
      <c r="AR623" s="619"/>
      <c r="AS623" s="617"/>
    </row>
    <row r="624" spans="1:45" ht="15.75">
      <c r="A624" s="190"/>
      <c r="B624" s="190"/>
      <c r="C624" s="190"/>
      <c r="D624" s="596"/>
      <c r="E624" s="190"/>
      <c r="F624" s="190"/>
      <c r="G624" s="190"/>
      <c r="H624" s="190"/>
      <c r="I624" s="190"/>
      <c r="J624" s="190"/>
      <c r="K624" s="190"/>
      <c r="L624" s="190"/>
      <c r="M624" s="190"/>
      <c r="N624" s="190"/>
      <c r="O624" s="190"/>
      <c r="P624" s="612"/>
      <c r="Q624" s="615"/>
      <c r="R624" s="588"/>
      <c r="S624" s="188"/>
      <c r="T624" s="366"/>
      <c r="U624" s="366"/>
      <c r="V624" s="366"/>
      <c r="W624" s="366"/>
      <c r="X624" s="366"/>
      <c r="Y624" s="366"/>
      <c r="Z624" s="366"/>
      <c r="AA624" s="366"/>
      <c r="AB624" s="366"/>
      <c r="AC624" s="366"/>
      <c r="AD624" s="366"/>
      <c r="AE624" s="366"/>
      <c r="AF624" s="366"/>
      <c r="AG624" s="366"/>
      <c r="AH624" s="366"/>
      <c r="AI624" s="366"/>
      <c r="AJ624" s="366"/>
      <c r="AK624" s="366"/>
      <c r="AL624" s="366"/>
      <c r="AM624" s="607"/>
      <c r="AN624" s="366"/>
      <c r="AO624" s="366"/>
      <c r="AP624" s="366"/>
      <c r="AQ624" s="366"/>
      <c r="AR624" s="619"/>
      <c r="AS624" s="617"/>
    </row>
    <row r="625" spans="1:45" ht="15.75">
      <c r="A625" s="190"/>
      <c r="B625" s="190"/>
      <c r="C625" s="190"/>
      <c r="D625" s="596"/>
      <c r="E625" s="190"/>
      <c r="F625" s="190"/>
      <c r="G625" s="190"/>
      <c r="H625" s="190"/>
      <c r="I625" s="190"/>
      <c r="J625" s="190"/>
      <c r="K625" s="190"/>
      <c r="L625" s="190"/>
      <c r="M625" s="190"/>
      <c r="N625" s="190"/>
      <c r="O625" s="190"/>
      <c r="P625" s="612"/>
      <c r="Q625" s="615"/>
      <c r="R625" s="588"/>
      <c r="S625" s="188"/>
      <c r="T625" s="366"/>
      <c r="U625" s="366"/>
      <c r="V625" s="366"/>
      <c r="W625" s="366"/>
      <c r="X625" s="366"/>
      <c r="Y625" s="366"/>
      <c r="Z625" s="366"/>
      <c r="AA625" s="366"/>
      <c r="AB625" s="366"/>
      <c r="AC625" s="366"/>
      <c r="AD625" s="366"/>
      <c r="AE625" s="366"/>
      <c r="AF625" s="366"/>
      <c r="AG625" s="366"/>
      <c r="AH625" s="366"/>
      <c r="AI625" s="366"/>
      <c r="AJ625" s="366"/>
      <c r="AK625" s="366"/>
      <c r="AL625" s="366"/>
      <c r="AM625" s="607"/>
      <c r="AN625" s="366"/>
      <c r="AO625" s="366"/>
      <c r="AP625" s="366"/>
      <c r="AQ625" s="366"/>
      <c r="AR625" s="619"/>
      <c r="AS625" s="617"/>
    </row>
    <row r="626" spans="1:45" ht="15.75">
      <c r="A626" s="190"/>
      <c r="B626" s="190"/>
      <c r="C626" s="190"/>
      <c r="D626" s="596"/>
      <c r="E626" s="190"/>
      <c r="F626" s="190"/>
      <c r="G626" s="190"/>
      <c r="H626" s="190"/>
      <c r="I626" s="190"/>
      <c r="J626" s="190"/>
      <c r="K626" s="190"/>
      <c r="L626" s="190"/>
      <c r="M626" s="190"/>
      <c r="N626" s="190"/>
      <c r="O626" s="190"/>
      <c r="P626" s="612"/>
      <c r="Q626" s="615"/>
      <c r="R626" s="588"/>
      <c r="S626" s="188"/>
      <c r="T626" s="190"/>
      <c r="U626" s="190"/>
      <c r="V626" s="190"/>
      <c r="W626" s="190"/>
      <c r="X626" s="190"/>
      <c r="Y626" s="190"/>
      <c r="Z626" s="190"/>
      <c r="AA626" s="190"/>
      <c r="AB626" s="190"/>
      <c r="AC626" s="190"/>
      <c r="AD626" s="190"/>
      <c r="AE626" s="190"/>
      <c r="AF626" s="190"/>
      <c r="AG626" s="190"/>
      <c r="AH626" s="190"/>
      <c r="AI626" s="190"/>
      <c r="AJ626" s="190"/>
      <c r="AK626" s="190"/>
      <c r="AL626" s="190"/>
      <c r="AM626" s="603"/>
      <c r="AN626" s="190"/>
      <c r="AO626" s="190"/>
      <c r="AP626" s="190"/>
      <c r="AQ626" s="190"/>
      <c r="AR626" s="619"/>
      <c r="AS626" s="617"/>
    </row>
    <row r="627" spans="1:45" ht="15.75">
      <c r="A627" s="190"/>
      <c r="B627" s="190"/>
      <c r="C627" s="190"/>
      <c r="D627" s="596"/>
      <c r="E627" s="190"/>
      <c r="F627" s="190"/>
      <c r="G627" s="190"/>
      <c r="H627" s="190"/>
      <c r="I627" s="190"/>
      <c r="J627" s="190"/>
      <c r="K627" s="190"/>
      <c r="L627" s="190"/>
      <c r="M627" s="190"/>
      <c r="N627" s="190"/>
      <c r="O627" s="190"/>
      <c r="P627" s="612"/>
      <c r="Q627" s="615"/>
      <c r="R627" s="588"/>
      <c r="S627" s="188"/>
      <c r="T627" s="190"/>
      <c r="U627" s="190"/>
      <c r="V627" s="190"/>
      <c r="W627" s="190"/>
      <c r="X627" s="190"/>
      <c r="Y627" s="190"/>
      <c r="Z627" s="190"/>
      <c r="AA627" s="190"/>
      <c r="AB627" s="190"/>
      <c r="AC627" s="190"/>
      <c r="AD627" s="190"/>
      <c r="AE627" s="190"/>
      <c r="AF627" s="190"/>
      <c r="AG627" s="190"/>
      <c r="AH627" s="190"/>
      <c r="AI627" s="190"/>
      <c r="AJ627" s="190"/>
      <c r="AK627" s="190"/>
      <c r="AL627" s="190"/>
      <c r="AM627" s="603"/>
      <c r="AN627" s="190"/>
      <c r="AO627" s="190"/>
      <c r="AP627" s="190"/>
      <c r="AQ627" s="190"/>
      <c r="AR627" s="619"/>
      <c r="AS627" s="617"/>
    </row>
    <row r="628" spans="1:45" ht="15.75">
      <c r="A628" s="190"/>
      <c r="B628" s="190"/>
      <c r="C628" s="190"/>
      <c r="D628" s="596"/>
      <c r="E628" s="190"/>
      <c r="F628" s="190"/>
      <c r="G628" s="190"/>
      <c r="H628" s="190"/>
      <c r="I628" s="190"/>
      <c r="J628" s="190"/>
      <c r="K628" s="190"/>
      <c r="L628" s="190"/>
      <c r="M628" s="190"/>
      <c r="N628" s="190"/>
      <c r="O628" s="190"/>
      <c r="P628" s="612"/>
      <c r="Q628" s="615"/>
      <c r="R628" s="588"/>
      <c r="S628" s="188"/>
      <c r="T628" s="190"/>
      <c r="U628" s="190"/>
      <c r="V628" s="190"/>
      <c r="W628" s="190"/>
      <c r="X628" s="190"/>
      <c r="Y628" s="190"/>
      <c r="Z628" s="190"/>
      <c r="AA628" s="190"/>
      <c r="AB628" s="190"/>
      <c r="AC628" s="190"/>
      <c r="AD628" s="190"/>
      <c r="AE628" s="190"/>
      <c r="AF628" s="190"/>
      <c r="AG628" s="190"/>
      <c r="AH628" s="190"/>
      <c r="AI628" s="190"/>
      <c r="AJ628" s="190"/>
      <c r="AK628" s="190"/>
      <c r="AL628" s="190"/>
      <c r="AM628" s="603"/>
      <c r="AN628" s="190"/>
      <c r="AO628" s="190"/>
      <c r="AP628" s="190"/>
      <c r="AQ628" s="190"/>
      <c r="AR628" s="619"/>
      <c r="AS628" s="617"/>
    </row>
    <row r="629" spans="1:45" ht="15.75">
      <c r="A629" s="190"/>
      <c r="B629" s="190"/>
      <c r="C629" s="190"/>
      <c r="D629" s="596"/>
      <c r="E629" s="190"/>
      <c r="F629" s="190"/>
      <c r="G629" s="190"/>
      <c r="H629" s="190"/>
      <c r="I629" s="190"/>
      <c r="J629" s="190"/>
      <c r="K629" s="190"/>
      <c r="L629" s="190"/>
      <c r="M629" s="190"/>
      <c r="N629" s="190"/>
      <c r="O629" s="190"/>
      <c r="P629" s="612"/>
      <c r="Q629" s="615"/>
      <c r="R629" s="588"/>
      <c r="S629" s="188"/>
      <c r="T629" s="190"/>
      <c r="U629" s="190"/>
      <c r="V629" s="190"/>
      <c r="W629" s="190"/>
      <c r="X629" s="190"/>
      <c r="Y629" s="190"/>
      <c r="Z629" s="190"/>
      <c r="AA629" s="190"/>
      <c r="AB629" s="190"/>
      <c r="AC629" s="190"/>
      <c r="AD629" s="190"/>
      <c r="AE629" s="190"/>
      <c r="AF629" s="190"/>
      <c r="AG629" s="190"/>
      <c r="AH629" s="190"/>
      <c r="AI629" s="190"/>
      <c r="AJ629" s="190"/>
      <c r="AK629" s="190"/>
      <c r="AL629" s="190"/>
      <c r="AM629" s="603"/>
      <c r="AN629" s="190"/>
      <c r="AO629" s="190"/>
      <c r="AP629" s="190"/>
      <c r="AQ629" s="190"/>
      <c r="AR629" s="619"/>
      <c r="AS629" s="617"/>
    </row>
    <row r="630" spans="1:45" ht="15.75">
      <c r="A630" s="190"/>
      <c r="B630" s="190"/>
      <c r="C630" s="190"/>
      <c r="D630" s="596"/>
      <c r="E630" s="190"/>
      <c r="F630" s="190"/>
      <c r="G630" s="190"/>
      <c r="H630" s="190"/>
      <c r="I630" s="190"/>
      <c r="J630" s="190"/>
      <c r="K630" s="190"/>
      <c r="L630" s="190"/>
      <c r="M630" s="190"/>
      <c r="N630" s="190"/>
      <c r="O630" s="190"/>
      <c r="P630" s="612"/>
      <c r="Q630" s="615"/>
      <c r="R630" s="588"/>
      <c r="S630" s="188"/>
      <c r="T630" s="190"/>
      <c r="U630" s="190"/>
      <c r="V630" s="190"/>
      <c r="W630" s="190"/>
      <c r="X630" s="190"/>
      <c r="Y630" s="190"/>
      <c r="Z630" s="190"/>
      <c r="AA630" s="190"/>
      <c r="AB630" s="190"/>
      <c r="AC630" s="190"/>
      <c r="AD630" s="190"/>
      <c r="AE630" s="190"/>
      <c r="AF630" s="190"/>
      <c r="AG630" s="190"/>
      <c r="AH630" s="190"/>
      <c r="AI630" s="190"/>
      <c r="AJ630" s="190"/>
      <c r="AK630" s="190"/>
      <c r="AL630" s="190"/>
      <c r="AM630" s="603"/>
      <c r="AN630" s="190"/>
      <c r="AO630" s="190"/>
      <c r="AP630" s="190"/>
      <c r="AQ630" s="190"/>
      <c r="AR630" s="619"/>
      <c r="AS630" s="617"/>
    </row>
    <row r="631" spans="1:45" ht="15.75">
      <c r="A631" s="190"/>
      <c r="B631" s="190"/>
      <c r="C631" s="190"/>
      <c r="D631" s="596"/>
      <c r="E631" s="190"/>
      <c r="F631" s="190"/>
      <c r="G631" s="190"/>
      <c r="H631" s="190"/>
      <c r="I631" s="190"/>
      <c r="J631" s="190"/>
      <c r="K631" s="190"/>
      <c r="L631" s="190"/>
      <c r="M631" s="190"/>
      <c r="N631" s="190"/>
      <c r="O631" s="190"/>
      <c r="P631" s="612"/>
      <c r="Q631" s="615"/>
      <c r="R631" s="588"/>
      <c r="S631" s="188"/>
      <c r="T631" s="190"/>
      <c r="U631" s="190"/>
      <c r="V631" s="190"/>
      <c r="W631" s="190"/>
      <c r="X631" s="190"/>
      <c r="Y631" s="190"/>
      <c r="Z631" s="190"/>
      <c r="AA631" s="190"/>
      <c r="AB631" s="190"/>
      <c r="AC631" s="190"/>
      <c r="AD631" s="190"/>
      <c r="AE631" s="190"/>
      <c r="AF631" s="190"/>
      <c r="AG631" s="190"/>
      <c r="AH631" s="190"/>
      <c r="AI631" s="190"/>
      <c r="AJ631" s="190"/>
      <c r="AK631" s="190"/>
      <c r="AL631" s="190"/>
      <c r="AM631" s="603"/>
      <c r="AN631" s="190"/>
      <c r="AO631" s="190"/>
      <c r="AP631" s="190"/>
      <c r="AQ631" s="190"/>
      <c r="AR631" s="619"/>
      <c r="AS631" s="617"/>
    </row>
    <row r="632" spans="1:45" ht="15.75">
      <c r="A632" s="190"/>
      <c r="B632" s="190"/>
      <c r="C632" s="190"/>
      <c r="D632" s="596"/>
      <c r="E632" s="190"/>
      <c r="F632" s="190"/>
      <c r="G632" s="190"/>
      <c r="H632" s="190"/>
      <c r="I632" s="190"/>
      <c r="J632" s="190"/>
      <c r="K632" s="190"/>
      <c r="L632" s="190"/>
      <c r="M632" s="190"/>
      <c r="N632" s="190"/>
      <c r="O632" s="190"/>
      <c r="P632" s="612"/>
      <c r="Q632" s="615"/>
      <c r="R632" s="588"/>
      <c r="S632" s="188"/>
      <c r="T632" s="190"/>
      <c r="U632" s="190"/>
      <c r="V632" s="190"/>
      <c r="W632" s="190"/>
      <c r="X632" s="190"/>
      <c r="Y632" s="190"/>
      <c r="Z632" s="190"/>
      <c r="AA632" s="190"/>
      <c r="AB632" s="190"/>
      <c r="AC632" s="190"/>
      <c r="AD632" s="190"/>
      <c r="AE632" s="190"/>
      <c r="AF632" s="190"/>
      <c r="AG632" s="190"/>
      <c r="AH632" s="190"/>
      <c r="AI632" s="190"/>
      <c r="AJ632" s="190"/>
      <c r="AK632" s="190"/>
      <c r="AL632" s="190"/>
      <c r="AM632" s="603"/>
      <c r="AN632" s="190"/>
      <c r="AO632" s="190"/>
      <c r="AP632" s="190"/>
      <c r="AQ632" s="190"/>
      <c r="AR632" s="619"/>
      <c r="AS632" s="617"/>
    </row>
    <row r="633" spans="1:45" ht="15.75">
      <c r="A633" s="190"/>
      <c r="B633" s="190"/>
      <c r="C633" s="190"/>
      <c r="D633" s="596"/>
      <c r="E633" s="190"/>
      <c r="F633" s="190"/>
      <c r="G633" s="190"/>
      <c r="H633" s="190"/>
      <c r="I633" s="190"/>
      <c r="J633" s="190"/>
      <c r="K633" s="190"/>
      <c r="L633" s="190"/>
      <c r="M633" s="190"/>
      <c r="N633" s="190"/>
      <c r="O633" s="190"/>
      <c r="P633" s="612"/>
      <c r="Q633" s="615"/>
      <c r="R633" s="588"/>
      <c r="S633" s="188"/>
      <c r="T633" s="190"/>
      <c r="U633" s="190"/>
      <c r="V633" s="190"/>
      <c r="W633" s="190"/>
      <c r="X633" s="190"/>
      <c r="Y633" s="190"/>
      <c r="Z633" s="190"/>
      <c r="AA633" s="190"/>
      <c r="AB633" s="190"/>
      <c r="AC633" s="190"/>
      <c r="AD633" s="190"/>
      <c r="AE633" s="190"/>
      <c r="AF633" s="190"/>
      <c r="AG633" s="190"/>
      <c r="AH633" s="190"/>
      <c r="AI633" s="190"/>
      <c r="AJ633" s="190"/>
      <c r="AK633" s="190"/>
      <c r="AL633" s="190"/>
      <c r="AM633" s="603"/>
      <c r="AN633" s="190"/>
      <c r="AO633" s="190"/>
      <c r="AP633" s="190"/>
      <c r="AQ633" s="190"/>
      <c r="AR633" s="619"/>
      <c r="AS633" s="617"/>
    </row>
    <row r="634" spans="1:45" ht="15.75">
      <c r="A634" s="190"/>
      <c r="B634" s="190"/>
      <c r="C634" s="190"/>
      <c r="D634" s="596"/>
      <c r="E634" s="190"/>
      <c r="F634" s="190"/>
      <c r="G634" s="190"/>
      <c r="H634" s="190"/>
      <c r="I634" s="190"/>
      <c r="J634" s="190"/>
      <c r="K634" s="190"/>
      <c r="L634" s="190"/>
      <c r="M634" s="190"/>
      <c r="N634" s="190"/>
      <c r="O634" s="190"/>
      <c r="P634" s="612"/>
      <c r="Q634" s="615"/>
      <c r="R634" s="588"/>
      <c r="S634" s="188"/>
      <c r="T634" s="190"/>
      <c r="U634" s="190"/>
      <c r="V634" s="190"/>
      <c r="W634" s="190"/>
      <c r="X634" s="190"/>
      <c r="Y634" s="190"/>
      <c r="Z634" s="190"/>
      <c r="AA634" s="190"/>
      <c r="AB634" s="190"/>
      <c r="AC634" s="190"/>
      <c r="AD634" s="190"/>
      <c r="AE634" s="190"/>
      <c r="AF634" s="190"/>
      <c r="AG634" s="190"/>
      <c r="AH634" s="190"/>
      <c r="AI634" s="190"/>
      <c r="AJ634" s="190"/>
      <c r="AK634" s="190"/>
      <c r="AL634" s="190"/>
      <c r="AM634" s="603"/>
      <c r="AN634" s="190"/>
      <c r="AO634" s="190"/>
      <c r="AP634" s="190"/>
      <c r="AQ634" s="190"/>
      <c r="AR634" s="619"/>
      <c r="AS634" s="617"/>
    </row>
    <row r="635" spans="1:45" ht="15.75">
      <c r="A635" s="190"/>
      <c r="B635" s="190"/>
      <c r="C635" s="190"/>
      <c r="D635" s="596"/>
      <c r="E635" s="190"/>
      <c r="F635" s="190"/>
      <c r="G635" s="190"/>
      <c r="H635" s="190"/>
      <c r="I635" s="190"/>
      <c r="J635" s="190"/>
      <c r="K635" s="190"/>
      <c r="L635" s="190"/>
      <c r="M635" s="190"/>
      <c r="N635" s="190"/>
      <c r="O635" s="190"/>
      <c r="P635" s="612"/>
      <c r="Q635" s="615"/>
      <c r="R635" s="588"/>
      <c r="S635" s="188"/>
      <c r="T635" s="190"/>
      <c r="U635" s="190"/>
      <c r="V635" s="190"/>
      <c r="W635" s="190"/>
      <c r="X635" s="190"/>
      <c r="Y635" s="190"/>
      <c r="Z635" s="190"/>
      <c r="AA635" s="190"/>
      <c r="AB635" s="190"/>
      <c r="AC635" s="190"/>
      <c r="AD635" s="190"/>
      <c r="AE635" s="190"/>
      <c r="AF635" s="190"/>
      <c r="AG635" s="190"/>
      <c r="AH635" s="190"/>
      <c r="AI635" s="190"/>
      <c r="AJ635" s="190"/>
      <c r="AK635" s="190"/>
      <c r="AL635" s="190"/>
      <c r="AM635" s="603"/>
      <c r="AN635" s="190"/>
      <c r="AO635" s="190"/>
      <c r="AP635" s="190"/>
      <c r="AQ635" s="190"/>
      <c r="AR635" s="619"/>
      <c r="AS635" s="617"/>
    </row>
    <row r="636" spans="1:45" ht="15.75">
      <c r="A636" s="190"/>
      <c r="B636" s="190"/>
      <c r="C636" s="190"/>
      <c r="D636" s="596"/>
      <c r="E636" s="190"/>
      <c r="F636" s="190"/>
      <c r="G636" s="190"/>
      <c r="H636" s="190"/>
      <c r="I636" s="190"/>
      <c r="J636" s="190"/>
      <c r="K636" s="190"/>
      <c r="L636" s="190"/>
      <c r="M636" s="190"/>
      <c r="N636" s="190"/>
      <c r="O636" s="190"/>
      <c r="P636" s="612"/>
      <c r="Q636" s="615"/>
      <c r="R636" s="588"/>
      <c r="S636" s="188"/>
      <c r="T636" s="190"/>
      <c r="U636" s="190"/>
      <c r="V636" s="190"/>
      <c r="W636" s="190"/>
      <c r="X636" s="190"/>
      <c r="Y636" s="190"/>
      <c r="Z636" s="190"/>
      <c r="AA636" s="190"/>
      <c r="AB636" s="190"/>
      <c r="AC636" s="190"/>
      <c r="AD636" s="190"/>
      <c r="AE636" s="190"/>
      <c r="AF636" s="190"/>
      <c r="AG636" s="190"/>
      <c r="AH636" s="190"/>
      <c r="AI636" s="190"/>
      <c r="AJ636" s="190"/>
      <c r="AK636" s="190"/>
      <c r="AL636" s="190"/>
      <c r="AM636" s="603"/>
      <c r="AN636" s="190"/>
      <c r="AO636" s="190"/>
      <c r="AP636" s="190"/>
      <c r="AQ636" s="190"/>
      <c r="AR636" s="619"/>
      <c r="AS636" s="617"/>
    </row>
    <row r="637" spans="1:45" ht="15.75">
      <c r="A637" s="190"/>
      <c r="B637" s="190"/>
      <c r="C637" s="190"/>
      <c r="D637" s="596"/>
      <c r="E637" s="190"/>
      <c r="F637" s="190"/>
      <c r="G637" s="190"/>
      <c r="H637" s="190"/>
      <c r="I637" s="190"/>
      <c r="J637" s="190"/>
      <c r="K637" s="190"/>
      <c r="L637" s="190"/>
      <c r="M637" s="190"/>
      <c r="N637" s="190"/>
      <c r="O637" s="190"/>
      <c r="P637" s="612"/>
      <c r="Q637" s="615"/>
      <c r="R637" s="588"/>
      <c r="S637" s="188"/>
      <c r="T637" s="190"/>
      <c r="U637" s="190"/>
      <c r="V637" s="190"/>
      <c r="W637" s="190"/>
      <c r="X637" s="190"/>
      <c r="Y637" s="190"/>
      <c r="Z637" s="190"/>
      <c r="AA637" s="190"/>
      <c r="AB637" s="190"/>
      <c r="AC637" s="190"/>
      <c r="AD637" s="190"/>
      <c r="AE637" s="190"/>
      <c r="AF637" s="190"/>
      <c r="AG637" s="190"/>
      <c r="AH637" s="190"/>
      <c r="AI637" s="190"/>
      <c r="AJ637" s="190"/>
      <c r="AK637" s="190"/>
      <c r="AL637" s="190"/>
      <c r="AM637" s="603"/>
      <c r="AN637" s="190"/>
      <c r="AO637" s="190"/>
      <c r="AP637" s="190"/>
      <c r="AQ637" s="190"/>
      <c r="AR637" s="619"/>
      <c r="AS637" s="617"/>
    </row>
    <row r="638" spans="1:45" ht="15.75">
      <c r="A638" s="190"/>
      <c r="B638" s="190"/>
      <c r="C638" s="190"/>
      <c r="D638" s="596"/>
      <c r="E638" s="190"/>
      <c r="F638" s="190"/>
      <c r="G638" s="190"/>
      <c r="H638" s="190"/>
      <c r="I638" s="190"/>
      <c r="J638" s="190"/>
      <c r="K638" s="190"/>
      <c r="L638" s="190"/>
      <c r="M638" s="190"/>
      <c r="N638" s="190"/>
      <c r="O638" s="190"/>
      <c r="P638" s="612"/>
      <c r="Q638" s="615"/>
      <c r="R638" s="588"/>
      <c r="S638" s="188"/>
      <c r="T638" s="190"/>
      <c r="U638" s="190"/>
      <c r="V638" s="190"/>
      <c r="W638" s="190"/>
      <c r="X638" s="190"/>
      <c r="Y638" s="190"/>
      <c r="Z638" s="190"/>
      <c r="AA638" s="190"/>
      <c r="AB638" s="190"/>
      <c r="AC638" s="190"/>
      <c r="AD638" s="190"/>
      <c r="AE638" s="190"/>
      <c r="AF638" s="190"/>
      <c r="AG638" s="190"/>
      <c r="AH638" s="190"/>
      <c r="AI638" s="190"/>
      <c r="AJ638" s="190"/>
      <c r="AK638" s="190"/>
      <c r="AL638" s="190"/>
      <c r="AM638" s="603"/>
      <c r="AN638" s="190"/>
      <c r="AO638" s="190"/>
      <c r="AP638" s="190"/>
      <c r="AQ638" s="190"/>
      <c r="AR638" s="619"/>
      <c r="AS638" s="617"/>
    </row>
    <row r="639" spans="1:45" ht="15.75">
      <c r="A639" s="190"/>
      <c r="B639" s="190"/>
      <c r="C639" s="190"/>
      <c r="D639" s="596"/>
      <c r="E639" s="190"/>
      <c r="F639" s="190"/>
      <c r="G639" s="190"/>
      <c r="H639" s="190"/>
      <c r="I639" s="190"/>
      <c r="J639" s="190"/>
      <c r="K639" s="190"/>
      <c r="L639" s="190"/>
      <c r="M639" s="190"/>
      <c r="N639" s="190"/>
      <c r="O639" s="190"/>
      <c r="P639" s="612"/>
      <c r="Q639" s="615"/>
      <c r="R639" s="588"/>
      <c r="S639" s="188"/>
      <c r="T639" s="190"/>
      <c r="U639" s="190"/>
      <c r="V639" s="190"/>
      <c r="W639" s="190"/>
      <c r="X639" s="190"/>
      <c r="Y639" s="190"/>
      <c r="Z639" s="190"/>
      <c r="AA639" s="190"/>
      <c r="AB639" s="190"/>
      <c r="AC639" s="190"/>
      <c r="AD639" s="190"/>
      <c r="AE639" s="190"/>
      <c r="AF639" s="190"/>
      <c r="AG639" s="190"/>
      <c r="AH639" s="190"/>
      <c r="AI639" s="190"/>
      <c r="AJ639" s="190"/>
      <c r="AK639" s="190"/>
      <c r="AL639" s="190"/>
      <c r="AM639" s="603"/>
      <c r="AN639" s="190"/>
      <c r="AO639" s="190"/>
      <c r="AP639" s="190"/>
      <c r="AQ639" s="190"/>
      <c r="AR639" s="619"/>
      <c r="AS639" s="617"/>
    </row>
    <row r="640" spans="1:45" ht="15.75">
      <c r="A640" s="190"/>
      <c r="B640" s="190"/>
      <c r="C640" s="190"/>
      <c r="D640" s="596"/>
      <c r="E640" s="190"/>
      <c r="F640" s="190"/>
      <c r="G640" s="190"/>
      <c r="H640" s="190"/>
      <c r="I640" s="190"/>
      <c r="J640" s="190"/>
      <c r="K640" s="190"/>
      <c r="L640" s="190"/>
      <c r="M640" s="190"/>
      <c r="N640" s="190"/>
      <c r="O640" s="190"/>
      <c r="P640" s="612"/>
      <c r="Q640" s="615"/>
      <c r="R640" s="588"/>
      <c r="S640" s="188"/>
      <c r="T640" s="190"/>
      <c r="U640" s="190"/>
      <c r="V640" s="190"/>
      <c r="W640" s="190"/>
      <c r="X640" s="190"/>
      <c r="Y640" s="190"/>
      <c r="Z640" s="190"/>
      <c r="AA640" s="190"/>
      <c r="AB640" s="190"/>
      <c r="AC640" s="190"/>
      <c r="AD640" s="190"/>
      <c r="AE640" s="190"/>
      <c r="AF640" s="190"/>
      <c r="AG640" s="190"/>
      <c r="AH640" s="190"/>
      <c r="AI640" s="190"/>
      <c r="AJ640" s="190"/>
      <c r="AK640" s="190"/>
      <c r="AL640" s="190"/>
      <c r="AM640" s="603"/>
      <c r="AN640" s="190"/>
      <c r="AO640" s="190"/>
      <c r="AP640" s="190"/>
      <c r="AQ640" s="190"/>
      <c r="AR640" s="619"/>
      <c r="AS640" s="617"/>
    </row>
    <row r="641" spans="1:45" ht="15.75">
      <c r="A641" s="190"/>
      <c r="B641" s="190"/>
      <c r="C641" s="190"/>
      <c r="D641" s="596"/>
      <c r="E641" s="190"/>
      <c r="F641" s="190"/>
      <c r="G641" s="190"/>
      <c r="H641" s="190"/>
      <c r="I641" s="190"/>
      <c r="J641" s="190"/>
      <c r="K641" s="190"/>
      <c r="L641" s="190"/>
      <c r="M641" s="190"/>
      <c r="N641" s="190"/>
      <c r="O641" s="190"/>
      <c r="P641" s="612"/>
      <c r="Q641" s="615"/>
      <c r="R641" s="588"/>
      <c r="S641" s="188"/>
      <c r="T641" s="190"/>
      <c r="U641" s="190"/>
      <c r="V641" s="190"/>
      <c r="W641" s="190"/>
      <c r="X641" s="190"/>
      <c r="Y641" s="190"/>
      <c r="Z641" s="190"/>
      <c r="AA641" s="190"/>
      <c r="AB641" s="190"/>
      <c r="AC641" s="190"/>
      <c r="AD641" s="190"/>
      <c r="AE641" s="190"/>
      <c r="AF641" s="190"/>
      <c r="AG641" s="190"/>
      <c r="AH641" s="190"/>
      <c r="AI641" s="190"/>
      <c r="AJ641" s="190"/>
      <c r="AK641" s="190"/>
      <c r="AL641" s="190"/>
      <c r="AM641" s="603"/>
      <c r="AN641" s="190"/>
      <c r="AO641" s="190"/>
      <c r="AP641" s="190"/>
      <c r="AQ641" s="190"/>
      <c r="AR641" s="619"/>
      <c r="AS641" s="617"/>
    </row>
    <row r="642" spans="1:45" ht="15.75">
      <c r="A642" s="190"/>
      <c r="B642" s="190"/>
      <c r="C642" s="190"/>
      <c r="D642" s="596"/>
      <c r="E642" s="190"/>
      <c r="F642" s="190"/>
      <c r="G642" s="190"/>
      <c r="H642" s="190"/>
      <c r="I642" s="190"/>
      <c r="J642" s="190"/>
      <c r="K642" s="190"/>
      <c r="L642" s="190"/>
      <c r="M642" s="190"/>
      <c r="N642" s="190"/>
      <c r="O642" s="190"/>
      <c r="P642" s="612"/>
      <c r="Q642" s="615"/>
      <c r="R642" s="588"/>
      <c r="S642" s="188"/>
      <c r="T642" s="190"/>
      <c r="U642" s="190"/>
      <c r="V642" s="190"/>
      <c r="W642" s="190"/>
      <c r="X642" s="190"/>
      <c r="Y642" s="190"/>
      <c r="Z642" s="190"/>
      <c r="AA642" s="190"/>
      <c r="AB642" s="190"/>
      <c r="AC642" s="190"/>
      <c r="AD642" s="190"/>
      <c r="AE642" s="190"/>
      <c r="AF642" s="190"/>
      <c r="AG642" s="190"/>
      <c r="AH642" s="190"/>
      <c r="AI642" s="190"/>
      <c r="AJ642" s="190"/>
      <c r="AK642" s="190"/>
      <c r="AL642" s="190"/>
      <c r="AM642" s="603"/>
      <c r="AN642" s="190"/>
      <c r="AO642" s="190"/>
      <c r="AP642" s="190"/>
      <c r="AQ642" s="190"/>
      <c r="AR642" s="619"/>
      <c r="AS642" s="617"/>
    </row>
    <row r="643" spans="1:45" ht="15.75">
      <c r="A643" s="190"/>
      <c r="B643" s="190"/>
      <c r="C643" s="190"/>
      <c r="D643" s="596"/>
      <c r="E643" s="190"/>
      <c r="F643" s="190"/>
      <c r="G643" s="190"/>
      <c r="H643" s="190"/>
      <c r="I643" s="190"/>
      <c r="J643" s="190"/>
      <c r="K643" s="190"/>
      <c r="L643" s="190"/>
      <c r="M643" s="190"/>
      <c r="N643" s="190"/>
      <c r="O643" s="190"/>
      <c r="P643" s="612"/>
      <c r="Q643" s="615"/>
      <c r="R643" s="588"/>
      <c r="S643" s="188"/>
      <c r="T643" s="190"/>
      <c r="U643" s="190"/>
      <c r="V643" s="190"/>
      <c r="W643" s="190"/>
      <c r="X643" s="190"/>
      <c r="Y643" s="190"/>
      <c r="Z643" s="190"/>
      <c r="AA643" s="190"/>
      <c r="AB643" s="190"/>
      <c r="AC643" s="190"/>
      <c r="AD643" s="190"/>
      <c r="AE643" s="190"/>
      <c r="AF643" s="190"/>
      <c r="AG643" s="190"/>
      <c r="AH643" s="190"/>
      <c r="AI643" s="190"/>
      <c r="AJ643" s="190"/>
      <c r="AK643" s="190"/>
      <c r="AL643" s="190"/>
      <c r="AM643" s="603"/>
      <c r="AN643" s="190"/>
      <c r="AO643" s="190"/>
      <c r="AP643" s="190"/>
      <c r="AQ643" s="190"/>
      <c r="AR643" s="619"/>
      <c r="AS643" s="617"/>
    </row>
    <row r="644" spans="1:45" ht="15.75">
      <c r="A644" s="190"/>
      <c r="B644" s="190"/>
      <c r="C644" s="190"/>
      <c r="D644" s="596"/>
      <c r="E644" s="190"/>
      <c r="F644" s="190"/>
      <c r="G644" s="190"/>
      <c r="H644" s="190"/>
      <c r="I644" s="190"/>
      <c r="J644" s="190"/>
      <c r="K644" s="190"/>
      <c r="L644" s="190"/>
      <c r="M644" s="190"/>
      <c r="N644" s="190"/>
      <c r="O644" s="190"/>
      <c r="P644" s="612"/>
      <c r="Q644" s="615"/>
      <c r="R644" s="588"/>
      <c r="S644" s="188"/>
      <c r="T644" s="190"/>
      <c r="U644" s="190"/>
      <c r="V644" s="190"/>
      <c r="W644" s="190"/>
      <c r="X644" s="190"/>
      <c r="Y644" s="190"/>
      <c r="Z644" s="190"/>
      <c r="AA644" s="190"/>
      <c r="AB644" s="190"/>
      <c r="AC644" s="190"/>
      <c r="AD644" s="190"/>
      <c r="AE644" s="190"/>
      <c r="AF644" s="190"/>
      <c r="AG644" s="190"/>
      <c r="AH644" s="190"/>
      <c r="AI644" s="190"/>
      <c r="AJ644" s="190"/>
      <c r="AK644" s="190"/>
      <c r="AL644" s="190"/>
      <c r="AM644" s="603"/>
      <c r="AN644" s="190"/>
      <c r="AO644" s="190"/>
      <c r="AP644" s="190"/>
      <c r="AQ644" s="190"/>
      <c r="AR644" s="619"/>
      <c r="AS644" s="617"/>
    </row>
    <row r="645" spans="1:45" ht="15.75">
      <c r="A645" s="190"/>
      <c r="B645" s="190"/>
      <c r="C645" s="190"/>
      <c r="D645" s="596"/>
      <c r="E645" s="190"/>
      <c r="F645" s="190"/>
      <c r="G645" s="190"/>
      <c r="H645" s="190"/>
      <c r="I645" s="190"/>
      <c r="J645" s="190"/>
      <c r="K645" s="190"/>
      <c r="L645" s="190"/>
      <c r="M645" s="190"/>
      <c r="N645" s="190"/>
      <c r="O645" s="190"/>
      <c r="P645" s="612"/>
      <c r="Q645" s="615"/>
      <c r="R645" s="588"/>
      <c r="S645" s="188"/>
      <c r="T645" s="190"/>
      <c r="U645" s="190"/>
      <c r="V645" s="190"/>
      <c r="W645" s="190"/>
      <c r="X645" s="190"/>
      <c r="Y645" s="190"/>
      <c r="Z645" s="190"/>
      <c r="AA645" s="190"/>
      <c r="AB645" s="190"/>
      <c r="AC645" s="190"/>
      <c r="AD645" s="190"/>
      <c r="AE645" s="190"/>
      <c r="AF645" s="190"/>
      <c r="AG645" s="190"/>
      <c r="AH645" s="190"/>
      <c r="AI645" s="190"/>
      <c r="AJ645" s="190"/>
      <c r="AK645" s="190"/>
      <c r="AL645" s="190"/>
      <c r="AM645" s="603"/>
      <c r="AN645" s="190"/>
      <c r="AO645" s="190"/>
      <c r="AP645" s="190"/>
      <c r="AQ645" s="190"/>
      <c r="AR645" s="619"/>
      <c r="AS645" s="617"/>
    </row>
    <row r="646" spans="1:45" ht="15.75">
      <c r="A646" s="190"/>
      <c r="B646" s="190"/>
      <c r="C646" s="190"/>
      <c r="D646" s="596"/>
      <c r="E646" s="190"/>
      <c r="F646" s="190"/>
      <c r="G646" s="190"/>
      <c r="H646" s="190"/>
      <c r="I646" s="190"/>
      <c r="J646" s="190"/>
      <c r="K646" s="190"/>
      <c r="L646" s="190"/>
      <c r="M646" s="190"/>
      <c r="N646" s="190"/>
      <c r="O646" s="190"/>
      <c r="P646" s="612"/>
      <c r="Q646" s="615"/>
      <c r="R646" s="588"/>
      <c r="S646" s="188"/>
      <c r="T646" s="190"/>
      <c r="U646" s="190"/>
      <c r="V646" s="190"/>
      <c r="W646" s="190"/>
      <c r="X646" s="190"/>
      <c r="Y646" s="190"/>
      <c r="Z646" s="190"/>
      <c r="AA646" s="190"/>
      <c r="AB646" s="190"/>
      <c r="AC646" s="190"/>
      <c r="AD646" s="190"/>
      <c r="AE646" s="190"/>
      <c r="AF646" s="190"/>
      <c r="AG646" s="190"/>
      <c r="AH646" s="190"/>
      <c r="AI646" s="190"/>
      <c r="AJ646" s="190"/>
      <c r="AK646" s="190"/>
      <c r="AL646" s="190"/>
      <c r="AM646" s="603"/>
      <c r="AN646" s="190"/>
      <c r="AO646" s="190"/>
      <c r="AP646" s="190"/>
      <c r="AQ646" s="190"/>
      <c r="AR646" s="619"/>
      <c r="AS646" s="617"/>
    </row>
    <row r="647" spans="1:45" ht="15.75">
      <c r="A647" s="190"/>
      <c r="B647" s="190"/>
      <c r="C647" s="190"/>
      <c r="D647" s="596"/>
      <c r="E647" s="190"/>
      <c r="F647" s="190"/>
      <c r="G647" s="190"/>
      <c r="H647" s="190"/>
      <c r="I647" s="190"/>
      <c r="J647" s="190"/>
      <c r="K647" s="190"/>
      <c r="L647" s="190"/>
      <c r="M647" s="190"/>
      <c r="N647" s="190"/>
      <c r="O647" s="190"/>
      <c r="P647" s="612"/>
      <c r="Q647" s="615"/>
      <c r="R647" s="588"/>
      <c r="S647" s="188"/>
      <c r="T647" s="190"/>
      <c r="U647" s="190"/>
      <c r="V647" s="190"/>
      <c r="W647" s="190"/>
      <c r="X647" s="190"/>
      <c r="Y647" s="190"/>
      <c r="Z647" s="190"/>
      <c r="AA647" s="190"/>
      <c r="AB647" s="190"/>
      <c r="AC647" s="190"/>
      <c r="AD647" s="190"/>
      <c r="AE647" s="190"/>
      <c r="AF647" s="190"/>
      <c r="AG647" s="190"/>
      <c r="AH647" s="190"/>
      <c r="AI647" s="190"/>
      <c r="AJ647" s="190"/>
      <c r="AK647" s="190"/>
      <c r="AL647" s="190"/>
      <c r="AM647" s="603"/>
      <c r="AN647" s="190"/>
      <c r="AO647" s="190"/>
      <c r="AP647" s="190"/>
      <c r="AQ647" s="190"/>
      <c r="AR647" s="619"/>
      <c r="AS647" s="617"/>
    </row>
    <row r="648" spans="1:45" ht="15.75">
      <c r="A648" s="190"/>
      <c r="B648" s="190"/>
      <c r="C648" s="190"/>
      <c r="D648" s="596"/>
      <c r="E648" s="190"/>
      <c r="F648" s="190"/>
      <c r="G648" s="190"/>
      <c r="H648" s="190"/>
      <c r="I648" s="190"/>
      <c r="J648" s="190"/>
      <c r="K648" s="190"/>
      <c r="L648" s="190"/>
      <c r="M648" s="190"/>
      <c r="N648" s="190"/>
      <c r="O648" s="190"/>
      <c r="P648" s="612"/>
      <c r="Q648" s="615"/>
      <c r="R648" s="588"/>
      <c r="S648" s="188"/>
      <c r="T648" s="190"/>
      <c r="U648" s="190"/>
      <c r="V648" s="190"/>
      <c r="W648" s="190"/>
      <c r="X648" s="190"/>
      <c r="Y648" s="190"/>
      <c r="Z648" s="190"/>
      <c r="AA648" s="190"/>
      <c r="AB648" s="190"/>
      <c r="AC648" s="190"/>
      <c r="AD648" s="190"/>
      <c r="AE648" s="190"/>
      <c r="AF648" s="190"/>
      <c r="AG648" s="190"/>
      <c r="AH648" s="190"/>
      <c r="AI648" s="190"/>
      <c r="AJ648" s="190"/>
      <c r="AK648" s="190"/>
      <c r="AL648" s="190"/>
      <c r="AM648" s="603"/>
      <c r="AN648" s="190"/>
      <c r="AO648" s="190"/>
      <c r="AP648" s="190"/>
      <c r="AQ648" s="190"/>
      <c r="AR648" s="619"/>
      <c r="AS648" s="617"/>
    </row>
    <row r="649" spans="1:45" ht="15.75">
      <c r="A649" s="190"/>
      <c r="B649" s="190"/>
      <c r="C649" s="190"/>
      <c r="D649" s="596"/>
      <c r="E649" s="190"/>
      <c r="F649" s="190"/>
      <c r="G649" s="190"/>
      <c r="H649" s="190"/>
      <c r="I649" s="190"/>
      <c r="J649" s="190"/>
      <c r="K649" s="190"/>
      <c r="L649" s="190"/>
      <c r="M649" s="190"/>
      <c r="N649" s="190"/>
      <c r="O649" s="190"/>
      <c r="P649" s="612"/>
      <c r="Q649" s="615"/>
      <c r="R649" s="588"/>
      <c r="S649" s="188"/>
      <c r="T649" s="190"/>
      <c r="U649" s="190"/>
      <c r="V649" s="190"/>
      <c r="W649" s="190"/>
      <c r="X649" s="190"/>
      <c r="Y649" s="190"/>
      <c r="Z649" s="190"/>
      <c r="AA649" s="190"/>
      <c r="AB649" s="190"/>
      <c r="AC649" s="190"/>
      <c r="AD649" s="190"/>
      <c r="AE649" s="190"/>
      <c r="AF649" s="190"/>
      <c r="AG649" s="190"/>
      <c r="AH649" s="190"/>
      <c r="AI649" s="190"/>
      <c r="AJ649" s="190"/>
      <c r="AK649" s="190"/>
      <c r="AL649" s="190"/>
      <c r="AM649" s="603"/>
      <c r="AN649" s="190"/>
      <c r="AO649" s="190"/>
      <c r="AP649" s="190"/>
      <c r="AQ649" s="190"/>
      <c r="AR649" s="619"/>
      <c r="AS649" s="617"/>
    </row>
    <row r="650" spans="1:45" ht="15.75">
      <c r="A650" s="190"/>
      <c r="B650" s="190"/>
      <c r="C650" s="190"/>
      <c r="D650" s="596"/>
      <c r="E650" s="190"/>
      <c r="F650" s="190"/>
      <c r="G650" s="190"/>
      <c r="H650" s="190"/>
      <c r="I650" s="190"/>
      <c r="J650" s="190"/>
      <c r="K650" s="190"/>
      <c r="L650" s="190"/>
      <c r="M650" s="190"/>
      <c r="N650" s="190"/>
      <c r="O650" s="190"/>
      <c r="P650" s="612"/>
      <c r="Q650" s="615"/>
      <c r="R650" s="588"/>
      <c r="S650" s="188"/>
      <c r="T650" s="190"/>
      <c r="U650" s="190"/>
      <c r="V650" s="190"/>
      <c r="W650" s="190"/>
      <c r="X650" s="190"/>
      <c r="Y650" s="190"/>
      <c r="Z650" s="190"/>
      <c r="AA650" s="190"/>
      <c r="AB650" s="190"/>
      <c r="AC650" s="190"/>
      <c r="AD650" s="190"/>
      <c r="AE650" s="190"/>
      <c r="AF650" s="190"/>
      <c r="AG650" s="190"/>
      <c r="AH650" s="190"/>
      <c r="AI650" s="190"/>
      <c r="AJ650" s="190"/>
      <c r="AK650" s="190"/>
      <c r="AL650" s="190"/>
      <c r="AM650" s="603"/>
      <c r="AN650" s="190"/>
      <c r="AO650" s="190"/>
      <c r="AP650" s="190"/>
      <c r="AQ650" s="190"/>
      <c r="AR650" s="619"/>
      <c r="AS650" s="617"/>
    </row>
    <row r="651" spans="1:45" ht="15.75">
      <c r="A651" s="190"/>
      <c r="B651" s="190"/>
      <c r="C651" s="190"/>
      <c r="D651" s="596"/>
      <c r="E651" s="190"/>
      <c r="F651" s="190"/>
      <c r="G651" s="190"/>
      <c r="H651" s="190"/>
      <c r="I651" s="190"/>
      <c r="J651" s="190"/>
      <c r="K651" s="190"/>
      <c r="L651" s="190"/>
      <c r="M651" s="190"/>
      <c r="N651" s="190"/>
      <c r="O651" s="190"/>
      <c r="P651" s="612"/>
      <c r="Q651" s="615"/>
      <c r="R651" s="588"/>
      <c r="S651" s="188"/>
      <c r="T651" s="190"/>
      <c r="U651" s="190"/>
      <c r="V651" s="190"/>
      <c r="W651" s="190"/>
      <c r="X651" s="190"/>
      <c r="Y651" s="190"/>
      <c r="Z651" s="190"/>
      <c r="AA651" s="190"/>
      <c r="AB651" s="190"/>
      <c r="AC651" s="190"/>
      <c r="AD651" s="190"/>
      <c r="AE651" s="190"/>
      <c r="AF651" s="190"/>
      <c r="AG651" s="190"/>
      <c r="AH651" s="190"/>
      <c r="AI651" s="190"/>
      <c r="AJ651" s="190"/>
      <c r="AK651" s="190"/>
      <c r="AL651" s="190"/>
      <c r="AM651" s="603"/>
      <c r="AN651" s="190"/>
      <c r="AO651" s="190"/>
      <c r="AP651" s="190"/>
      <c r="AQ651" s="190"/>
      <c r="AR651" s="619"/>
      <c r="AS651" s="617"/>
    </row>
    <row r="652" spans="1:45" ht="15.75">
      <c r="A652" s="190"/>
      <c r="B652" s="190"/>
      <c r="C652" s="190"/>
      <c r="D652" s="596"/>
      <c r="E652" s="190"/>
      <c r="F652" s="190"/>
      <c r="G652" s="190"/>
      <c r="H652" s="190"/>
      <c r="I652" s="190"/>
      <c r="J652" s="190"/>
      <c r="K652" s="190"/>
      <c r="L652" s="190"/>
      <c r="M652" s="190"/>
      <c r="N652" s="190"/>
      <c r="O652" s="190"/>
      <c r="P652" s="612"/>
      <c r="Q652" s="615"/>
      <c r="R652" s="588"/>
      <c r="S652" s="188"/>
      <c r="T652" s="190"/>
      <c r="U652" s="190"/>
      <c r="V652" s="190"/>
      <c r="W652" s="190"/>
      <c r="X652" s="190"/>
      <c r="Y652" s="190"/>
      <c r="Z652" s="190"/>
      <c r="AA652" s="190"/>
      <c r="AB652" s="190"/>
      <c r="AC652" s="190"/>
      <c r="AD652" s="190"/>
      <c r="AE652" s="190"/>
      <c r="AF652" s="190"/>
      <c r="AG652" s="190"/>
      <c r="AH652" s="190"/>
      <c r="AI652" s="190"/>
      <c r="AJ652" s="190"/>
      <c r="AK652" s="190"/>
      <c r="AL652" s="190"/>
      <c r="AM652" s="603"/>
      <c r="AN652" s="190"/>
      <c r="AO652" s="190"/>
      <c r="AP652" s="190"/>
      <c r="AQ652" s="190"/>
      <c r="AR652" s="619"/>
      <c r="AS652" s="617"/>
    </row>
    <row r="653" spans="1:45" ht="15.75">
      <c r="A653" s="190"/>
      <c r="B653" s="190"/>
      <c r="C653" s="190"/>
      <c r="D653" s="596"/>
      <c r="E653" s="190"/>
      <c r="F653" s="190"/>
      <c r="G653" s="190"/>
      <c r="H653" s="190"/>
      <c r="I653" s="190"/>
      <c r="J653" s="190"/>
      <c r="K653" s="190"/>
      <c r="L653" s="190"/>
      <c r="M653" s="190"/>
      <c r="N653" s="190"/>
      <c r="O653" s="190"/>
      <c r="P653" s="612"/>
      <c r="Q653" s="615"/>
      <c r="R653" s="588"/>
      <c r="S653" s="188"/>
      <c r="T653" s="190"/>
      <c r="U653" s="190"/>
      <c r="V653" s="190"/>
      <c r="W653" s="190"/>
      <c r="X653" s="190"/>
      <c r="Y653" s="190"/>
      <c r="Z653" s="190"/>
      <c r="AA653" s="190"/>
      <c r="AB653" s="190"/>
      <c r="AC653" s="190"/>
      <c r="AD653" s="190"/>
      <c r="AE653" s="190"/>
      <c r="AF653" s="190"/>
      <c r="AG653" s="190"/>
      <c r="AH653" s="190"/>
      <c r="AI653" s="190"/>
      <c r="AJ653" s="190"/>
      <c r="AK653" s="190"/>
      <c r="AL653" s="190"/>
      <c r="AM653" s="603"/>
      <c r="AN653" s="190"/>
      <c r="AO653" s="190"/>
      <c r="AP653" s="190"/>
      <c r="AQ653" s="190"/>
      <c r="AR653" s="619"/>
      <c r="AS653" s="617"/>
    </row>
    <row r="654" spans="1:45" ht="15.75">
      <c r="A654" s="190"/>
      <c r="B654" s="190"/>
      <c r="C654" s="190"/>
      <c r="D654" s="596"/>
      <c r="E654" s="190"/>
      <c r="F654" s="190"/>
      <c r="G654" s="190"/>
      <c r="H654" s="190"/>
      <c r="I654" s="190"/>
      <c r="J654" s="190"/>
      <c r="K654" s="190"/>
      <c r="L654" s="190"/>
      <c r="M654" s="190"/>
      <c r="N654" s="190"/>
      <c r="O654" s="190"/>
      <c r="P654" s="612"/>
      <c r="Q654" s="615"/>
      <c r="R654" s="588"/>
      <c r="S654" s="188"/>
      <c r="T654" s="190"/>
      <c r="U654" s="190"/>
      <c r="V654" s="190"/>
      <c r="W654" s="190"/>
      <c r="X654" s="190"/>
      <c r="Y654" s="190"/>
      <c r="Z654" s="190"/>
      <c r="AA654" s="190"/>
      <c r="AB654" s="190"/>
      <c r="AC654" s="190"/>
      <c r="AD654" s="190"/>
      <c r="AE654" s="190"/>
      <c r="AF654" s="190"/>
      <c r="AG654" s="190"/>
      <c r="AH654" s="190"/>
      <c r="AI654" s="190"/>
      <c r="AJ654" s="190"/>
      <c r="AK654" s="190"/>
      <c r="AL654" s="190"/>
      <c r="AM654" s="603"/>
      <c r="AN654" s="190"/>
      <c r="AO654" s="190"/>
      <c r="AP654" s="190"/>
      <c r="AQ654" s="190"/>
      <c r="AR654" s="619"/>
      <c r="AS654" s="617"/>
    </row>
    <row r="655" spans="1:45" ht="15.75">
      <c r="A655" s="190"/>
      <c r="B655" s="190"/>
      <c r="C655" s="190"/>
      <c r="D655" s="596"/>
      <c r="E655" s="190"/>
      <c r="F655" s="190"/>
      <c r="G655" s="190"/>
      <c r="H655" s="190"/>
      <c r="I655" s="190"/>
      <c r="J655" s="190"/>
      <c r="K655" s="190"/>
      <c r="L655" s="190"/>
      <c r="M655" s="190"/>
      <c r="N655" s="190"/>
      <c r="O655" s="190"/>
      <c r="P655" s="612"/>
      <c r="Q655" s="615"/>
      <c r="R655" s="588"/>
      <c r="S655" s="188"/>
      <c r="T655" s="190"/>
      <c r="U655" s="190"/>
      <c r="V655" s="190"/>
      <c r="W655" s="190"/>
      <c r="X655" s="190"/>
      <c r="Y655" s="190"/>
      <c r="Z655" s="190"/>
      <c r="AA655" s="190"/>
      <c r="AB655" s="190"/>
      <c r="AC655" s="190"/>
      <c r="AD655" s="190"/>
      <c r="AE655" s="190"/>
      <c r="AF655" s="190"/>
      <c r="AG655" s="190"/>
      <c r="AH655" s="190"/>
      <c r="AI655" s="190"/>
      <c r="AJ655" s="190"/>
      <c r="AK655" s="190"/>
      <c r="AL655" s="190"/>
      <c r="AM655" s="603"/>
      <c r="AN655" s="190"/>
      <c r="AO655" s="190"/>
      <c r="AP655" s="190"/>
      <c r="AQ655" s="190"/>
      <c r="AR655" s="619"/>
      <c r="AS655" s="617"/>
    </row>
    <row r="656" spans="1:45" ht="15.75">
      <c r="A656" s="190"/>
      <c r="B656" s="190"/>
      <c r="C656" s="190"/>
      <c r="D656" s="596"/>
      <c r="E656" s="190"/>
      <c r="F656" s="190"/>
      <c r="G656" s="190"/>
      <c r="H656" s="190"/>
      <c r="I656" s="190"/>
      <c r="J656" s="190"/>
      <c r="K656" s="190"/>
      <c r="L656" s="190"/>
      <c r="M656" s="190"/>
      <c r="N656" s="190"/>
      <c r="O656" s="190"/>
      <c r="P656" s="612"/>
      <c r="Q656" s="615"/>
      <c r="R656" s="588"/>
      <c r="S656" s="188"/>
      <c r="T656" s="190"/>
      <c r="U656" s="190"/>
      <c r="V656" s="190"/>
      <c r="W656" s="190"/>
      <c r="X656" s="190"/>
      <c r="Y656" s="190"/>
      <c r="Z656" s="190"/>
      <c r="AA656" s="190"/>
      <c r="AB656" s="190"/>
      <c r="AC656" s="190"/>
      <c r="AD656" s="190"/>
      <c r="AE656" s="190"/>
      <c r="AF656" s="190"/>
      <c r="AG656" s="190"/>
      <c r="AH656" s="190"/>
      <c r="AI656" s="190"/>
      <c r="AJ656" s="190"/>
      <c r="AK656" s="190"/>
      <c r="AL656" s="190"/>
      <c r="AM656" s="603"/>
      <c r="AN656" s="190"/>
      <c r="AO656" s="190"/>
      <c r="AP656" s="190"/>
      <c r="AQ656" s="190"/>
      <c r="AR656" s="619"/>
      <c r="AS656" s="617"/>
    </row>
    <row r="657" spans="1:45" ht="15.75">
      <c r="A657" s="190"/>
      <c r="B657" s="190"/>
      <c r="C657" s="190"/>
      <c r="D657" s="596"/>
      <c r="E657" s="190"/>
      <c r="F657" s="190"/>
      <c r="G657" s="190"/>
      <c r="H657" s="190"/>
      <c r="I657" s="190"/>
      <c r="J657" s="190"/>
      <c r="K657" s="190"/>
      <c r="L657" s="190"/>
      <c r="M657" s="190"/>
      <c r="N657" s="190"/>
      <c r="O657" s="190"/>
      <c r="P657" s="612"/>
      <c r="Q657" s="615"/>
      <c r="R657" s="588"/>
      <c r="S657" s="188"/>
      <c r="T657" s="190"/>
      <c r="U657" s="190"/>
      <c r="V657" s="190"/>
      <c r="W657" s="190"/>
      <c r="X657" s="190"/>
      <c r="Y657" s="190"/>
      <c r="Z657" s="190"/>
      <c r="AA657" s="190"/>
      <c r="AB657" s="190"/>
      <c r="AC657" s="190"/>
      <c r="AD657" s="190"/>
      <c r="AE657" s="190"/>
      <c r="AF657" s="190"/>
      <c r="AG657" s="190"/>
      <c r="AH657" s="190"/>
      <c r="AI657" s="190"/>
      <c r="AJ657" s="190"/>
      <c r="AK657" s="190"/>
      <c r="AL657" s="190"/>
      <c r="AM657" s="603"/>
      <c r="AN657" s="190"/>
      <c r="AO657" s="190"/>
      <c r="AP657" s="190"/>
      <c r="AQ657" s="190"/>
      <c r="AR657" s="619"/>
      <c r="AS657" s="617"/>
    </row>
    <row r="658" spans="1:45" ht="15.75">
      <c r="A658" s="190"/>
      <c r="B658" s="190"/>
      <c r="C658" s="190"/>
      <c r="D658" s="596"/>
      <c r="E658" s="190"/>
      <c r="F658" s="190"/>
      <c r="G658" s="190"/>
      <c r="H658" s="190"/>
      <c r="I658" s="190"/>
      <c r="J658" s="190"/>
      <c r="K658" s="190"/>
      <c r="L658" s="190"/>
      <c r="M658" s="190"/>
      <c r="N658" s="190"/>
      <c r="O658" s="190"/>
      <c r="P658" s="612"/>
      <c r="Q658" s="615"/>
      <c r="R658" s="588"/>
      <c r="S658" s="188"/>
      <c r="T658" s="190"/>
      <c r="U658" s="190"/>
      <c r="V658" s="190"/>
      <c r="W658" s="190"/>
      <c r="X658" s="190"/>
      <c r="Y658" s="190"/>
      <c r="Z658" s="190"/>
      <c r="AA658" s="190"/>
      <c r="AB658" s="190"/>
      <c r="AC658" s="190"/>
      <c r="AD658" s="190"/>
      <c r="AE658" s="190"/>
      <c r="AF658" s="190"/>
      <c r="AG658" s="190"/>
      <c r="AH658" s="190"/>
      <c r="AI658" s="190"/>
      <c r="AJ658" s="190"/>
      <c r="AK658" s="190"/>
      <c r="AL658" s="190"/>
      <c r="AM658" s="603"/>
      <c r="AN658" s="190"/>
      <c r="AO658" s="190"/>
      <c r="AP658" s="190"/>
      <c r="AQ658" s="190"/>
      <c r="AR658" s="619"/>
      <c r="AS658" s="617"/>
    </row>
    <row r="659" spans="1:45" ht="15.75">
      <c r="A659" s="190"/>
      <c r="B659" s="190"/>
      <c r="C659" s="190"/>
      <c r="D659" s="596"/>
      <c r="E659" s="190"/>
      <c r="F659" s="190"/>
      <c r="G659" s="190"/>
      <c r="H659" s="190"/>
      <c r="I659" s="190"/>
      <c r="J659" s="190"/>
      <c r="K659" s="190"/>
      <c r="L659" s="190"/>
      <c r="M659" s="190"/>
      <c r="N659" s="190"/>
      <c r="O659" s="190"/>
      <c r="P659" s="612"/>
      <c r="Q659" s="615"/>
      <c r="R659" s="588"/>
      <c r="S659" s="188"/>
      <c r="T659" s="190"/>
      <c r="U659" s="190"/>
      <c r="V659" s="190"/>
      <c r="W659" s="190"/>
      <c r="X659" s="190"/>
      <c r="Y659" s="190"/>
      <c r="Z659" s="190"/>
      <c r="AA659" s="190"/>
      <c r="AB659" s="190"/>
      <c r="AC659" s="190"/>
      <c r="AD659" s="190"/>
      <c r="AE659" s="190"/>
      <c r="AF659" s="190"/>
      <c r="AG659" s="190"/>
      <c r="AH659" s="190"/>
      <c r="AI659" s="190"/>
      <c r="AJ659" s="190"/>
      <c r="AK659" s="190"/>
      <c r="AL659" s="190"/>
      <c r="AM659" s="603"/>
      <c r="AN659" s="190"/>
      <c r="AO659" s="190"/>
      <c r="AP659" s="190"/>
      <c r="AQ659" s="190"/>
      <c r="AR659" s="619"/>
      <c r="AS659" s="617"/>
    </row>
    <row r="660" spans="1:45" ht="15.75">
      <c r="A660" s="190"/>
      <c r="B660" s="190"/>
      <c r="C660" s="190"/>
      <c r="D660" s="596"/>
      <c r="E660" s="190"/>
      <c r="F660" s="190"/>
      <c r="G660" s="190"/>
      <c r="H660" s="190"/>
      <c r="I660" s="190"/>
      <c r="J660" s="190"/>
      <c r="K660" s="190"/>
      <c r="L660" s="190"/>
      <c r="M660" s="190"/>
      <c r="N660" s="190"/>
      <c r="O660" s="190"/>
      <c r="P660" s="612"/>
      <c r="Q660" s="615"/>
      <c r="R660" s="588"/>
      <c r="S660" s="188"/>
      <c r="T660" s="190"/>
      <c r="U660" s="190"/>
      <c r="V660" s="190"/>
      <c r="W660" s="190"/>
      <c r="X660" s="190"/>
      <c r="Y660" s="190"/>
      <c r="Z660" s="190"/>
      <c r="AA660" s="190"/>
      <c r="AB660" s="190"/>
      <c r="AC660" s="190"/>
      <c r="AD660" s="190"/>
      <c r="AE660" s="190"/>
      <c r="AF660" s="190"/>
      <c r="AG660" s="190"/>
      <c r="AH660" s="190"/>
      <c r="AI660" s="190"/>
      <c r="AJ660" s="190"/>
      <c r="AK660" s="190"/>
      <c r="AL660" s="190"/>
      <c r="AM660" s="603"/>
      <c r="AN660" s="190"/>
      <c r="AO660" s="190"/>
      <c r="AP660" s="190"/>
      <c r="AQ660" s="190"/>
      <c r="AR660" s="619"/>
      <c r="AS660" s="617"/>
    </row>
    <row r="661" spans="1:45" ht="15.75">
      <c r="A661" s="190"/>
      <c r="B661" s="190"/>
      <c r="C661" s="190"/>
      <c r="D661" s="596"/>
      <c r="E661" s="190"/>
      <c r="F661" s="190"/>
      <c r="G661" s="190"/>
      <c r="H661" s="190"/>
      <c r="I661" s="190"/>
      <c r="J661" s="190"/>
      <c r="K661" s="190"/>
      <c r="L661" s="190"/>
      <c r="M661" s="190"/>
      <c r="N661" s="190"/>
      <c r="O661" s="190"/>
      <c r="P661" s="612"/>
      <c r="Q661" s="615"/>
      <c r="R661" s="588"/>
      <c r="S661" s="188"/>
      <c r="T661" s="190"/>
      <c r="U661" s="190"/>
      <c r="V661" s="190"/>
      <c r="W661" s="190"/>
      <c r="X661" s="190"/>
      <c r="Y661" s="190"/>
      <c r="Z661" s="190"/>
      <c r="AA661" s="190"/>
      <c r="AB661" s="190"/>
      <c r="AC661" s="190"/>
      <c r="AD661" s="190"/>
      <c r="AE661" s="190"/>
      <c r="AF661" s="190"/>
      <c r="AG661" s="190"/>
      <c r="AH661" s="190"/>
      <c r="AI661" s="190"/>
      <c r="AJ661" s="190"/>
      <c r="AK661" s="190"/>
      <c r="AL661" s="190"/>
      <c r="AM661" s="603"/>
      <c r="AN661" s="190"/>
      <c r="AO661" s="190"/>
      <c r="AP661" s="190"/>
      <c r="AQ661" s="190"/>
      <c r="AR661" s="619"/>
      <c r="AS661" s="617"/>
    </row>
    <row r="662" spans="1:45" ht="15.75">
      <c r="A662" s="190"/>
      <c r="B662" s="190"/>
      <c r="C662" s="190"/>
      <c r="D662" s="596"/>
      <c r="E662" s="190"/>
      <c r="F662" s="190"/>
      <c r="G662" s="190"/>
      <c r="H662" s="190"/>
      <c r="I662" s="190"/>
      <c r="J662" s="190"/>
      <c r="K662" s="190"/>
      <c r="L662" s="190"/>
      <c r="M662" s="190"/>
      <c r="N662" s="190"/>
      <c r="O662" s="190"/>
      <c r="P662" s="612"/>
      <c r="Q662" s="615"/>
      <c r="R662" s="588"/>
      <c r="S662" s="188"/>
      <c r="T662" s="190"/>
      <c r="U662" s="190"/>
      <c r="V662" s="190"/>
      <c r="W662" s="190"/>
      <c r="X662" s="190"/>
      <c r="Y662" s="190"/>
      <c r="Z662" s="190"/>
      <c r="AA662" s="190"/>
      <c r="AB662" s="190"/>
      <c r="AC662" s="190"/>
      <c r="AD662" s="190"/>
      <c r="AE662" s="190"/>
      <c r="AF662" s="190"/>
      <c r="AG662" s="190"/>
      <c r="AH662" s="190"/>
      <c r="AI662" s="190"/>
      <c r="AJ662" s="190"/>
      <c r="AK662" s="190"/>
      <c r="AL662" s="190"/>
      <c r="AM662" s="603"/>
      <c r="AN662" s="190"/>
      <c r="AO662" s="190"/>
      <c r="AP662" s="190"/>
      <c r="AQ662" s="190"/>
      <c r="AR662" s="619"/>
      <c r="AS662" s="617"/>
    </row>
    <row r="663" spans="1:45" ht="15.75">
      <c r="A663" s="190"/>
      <c r="B663" s="190"/>
      <c r="C663" s="190"/>
      <c r="D663" s="596"/>
      <c r="E663" s="190"/>
      <c r="F663" s="190"/>
      <c r="G663" s="190"/>
      <c r="H663" s="190"/>
      <c r="I663" s="190"/>
      <c r="J663" s="190"/>
      <c r="K663" s="190"/>
      <c r="L663" s="190"/>
      <c r="M663" s="190"/>
      <c r="N663" s="190"/>
      <c r="O663" s="190"/>
      <c r="P663" s="612"/>
      <c r="Q663" s="615"/>
      <c r="R663" s="588"/>
      <c r="S663" s="188"/>
      <c r="T663" s="190"/>
      <c r="U663" s="190"/>
      <c r="V663" s="190"/>
      <c r="W663" s="190"/>
      <c r="X663" s="190"/>
      <c r="Y663" s="190"/>
      <c r="Z663" s="190"/>
      <c r="AA663" s="190"/>
      <c r="AB663" s="190"/>
      <c r="AC663" s="190"/>
      <c r="AD663" s="190"/>
      <c r="AE663" s="190"/>
      <c r="AF663" s="190"/>
      <c r="AG663" s="190"/>
      <c r="AH663" s="190"/>
      <c r="AI663" s="190"/>
      <c r="AJ663" s="190"/>
      <c r="AK663" s="190"/>
      <c r="AL663" s="190"/>
      <c r="AM663" s="603"/>
      <c r="AN663" s="190"/>
      <c r="AO663" s="190"/>
      <c r="AP663" s="190"/>
      <c r="AQ663" s="190"/>
      <c r="AR663" s="619"/>
      <c r="AS663" s="617"/>
    </row>
    <row r="664" spans="1:45" ht="15.75">
      <c r="A664" s="190"/>
      <c r="B664" s="190"/>
      <c r="C664" s="190"/>
      <c r="D664" s="596"/>
      <c r="E664" s="190"/>
      <c r="F664" s="190"/>
      <c r="G664" s="190"/>
      <c r="H664" s="190"/>
      <c r="I664" s="190"/>
      <c r="J664" s="190"/>
      <c r="K664" s="190"/>
      <c r="L664" s="190"/>
      <c r="M664" s="190"/>
      <c r="N664" s="190"/>
      <c r="O664" s="190"/>
      <c r="P664" s="612"/>
      <c r="Q664" s="615"/>
      <c r="R664" s="588"/>
      <c r="S664" s="188"/>
      <c r="T664" s="190"/>
      <c r="U664" s="190"/>
      <c r="V664" s="190"/>
      <c r="W664" s="190"/>
      <c r="X664" s="190"/>
      <c r="Y664" s="190"/>
      <c r="Z664" s="190"/>
      <c r="AA664" s="190"/>
      <c r="AB664" s="190"/>
      <c r="AC664" s="190"/>
      <c r="AD664" s="190"/>
      <c r="AE664" s="190"/>
      <c r="AF664" s="190"/>
      <c r="AG664" s="190"/>
      <c r="AH664" s="190"/>
      <c r="AI664" s="190"/>
      <c r="AJ664" s="190"/>
      <c r="AK664" s="190"/>
      <c r="AL664" s="190"/>
      <c r="AM664" s="603"/>
      <c r="AN664" s="190"/>
      <c r="AO664" s="190"/>
      <c r="AP664" s="190"/>
      <c r="AQ664" s="190"/>
      <c r="AR664" s="619"/>
      <c r="AS664" s="617"/>
    </row>
    <row r="665" spans="1:45" ht="15.75">
      <c r="A665" s="190"/>
      <c r="B665" s="190"/>
      <c r="C665" s="190"/>
      <c r="D665" s="596"/>
      <c r="E665" s="190"/>
      <c r="F665" s="190"/>
      <c r="G665" s="190"/>
      <c r="H665" s="190"/>
      <c r="I665" s="190"/>
      <c r="J665" s="190"/>
      <c r="K665" s="190"/>
      <c r="L665" s="190"/>
      <c r="M665" s="190"/>
      <c r="N665" s="190"/>
      <c r="O665" s="190"/>
      <c r="P665" s="612"/>
      <c r="Q665" s="615"/>
      <c r="R665" s="588"/>
      <c r="S665" s="188"/>
      <c r="T665" s="190"/>
      <c r="U665" s="190"/>
      <c r="V665" s="190"/>
      <c r="W665" s="190"/>
      <c r="X665" s="190"/>
      <c r="Y665" s="190"/>
      <c r="Z665" s="190"/>
      <c r="AA665" s="190"/>
      <c r="AB665" s="190"/>
      <c r="AC665" s="190"/>
      <c r="AD665" s="190"/>
      <c r="AE665" s="190"/>
      <c r="AF665" s="190"/>
      <c r="AG665" s="190"/>
      <c r="AH665" s="190"/>
      <c r="AI665" s="190"/>
      <c r="AJ665" s="190"/>
      <c r="AK665" s="190"/>
      <c r="AL665" s="190"/>
      <c r="AM665" s="603"/>
      <c r="AN665" s="190"/>
      <c r="AO665" s="190"/>
      <c r="AP665" s="190"/>
      <c r="AQ665" s="190"/>
      <c r="AR665" s="619"/>
      <c r="AS665" s="617"/>
    </row>
    <row r="666" spans="1:45" ht="15.75">
      <c r="A666" s="190"/>
      <c r="B666" s="190"/>
      <c r="C666" s="190"/>
      <c r="D666" s="596"/>
      <c r="E666" s="190"/>
      <c r="F666" s="190"/>
      <c r="G666" s="190"/>
      <c r="H666" s="190"/>
      <c r="I666" s="190"/>
      <c r="J666" s="190"/>
      <c r="K666" s="190"/>
      <c r="L666" s="190"/>
      <c r="M666" s="190"/>
      <c r="N666" s="190"/>
      <c r="O666" s="190"/>
      <c r="P666" s="612"/>
      <c r="Q666" s="615"/>
      <c r="R666" s="588"/>
      <c r="S666" s="188"/>
      <c r="T666" s="190"/>
      <c r="U666" s="190"/>
      <c r="V666" s="190"/>
      <c r="W666" s="190"/>
      <c r="X666" s="190"/>
      <c r="Y666" s="190"/>
      <c r="Z666" s="190"/>
      <c r="AA666" s="190"/>
      <c r="AB666" s="190"/>
      <c r="AC666" s="190"/>
      <c r="AD666" s="190"/>
      <c r="AE666" s="190"/>
      <c r="AF666" s="190"/>
      <c r="AG666" s="190"/>
      <c r="AH666" s="190"/>
      <c r="AI666" s="190"/>
      <c r="AJ666" s="190"/>
      <c r="AK666" s="190"/>
      <c r="AL666" s="190"/>
      <c r="AM666" s="603"/>
      <c r="AN666" s="190"/>
      <c r="AO666" s="190"/>
      <c r="AP666" s="190"/>
      <c r="AQ666" s="190"/>
      <c r="AR666" s="619"/>
      <c r="AS666" s="617"/>
    </row>
    <row r="667" spans="1:45" ht="15.75">
      <c r="A667" s="190"/>
      <c r="B667" s="190"/>
      <c r="C667" s="190"/>
      <c r="D667" s="596"/>
      <c r="E667" s="190"/>
      <c r="F667" s="190"/>
      <c r="G667" s="190"/>
      <c r="H667" s="190"/>
      <c r="I667" s="190"/>
      <c r="J667" s="190"/>
      <c r="K667" s="190"/>
      <c r="L667" s="190"/>
      <c r="M667" s="190"/>
      <c r="N667" s="190"/>
      <c r="O667" s="190"/>
      <c r="P667" s="612"/>
      <c r="Q667" s="615"/>
      <c r="R667" s="588"/>
      <c r="S667" s="188"/>
      <c r="T667" s="190"/>
      <c r="U667" s="190"/>
      <c r="V667" s="190"/>
      <c r="W667" s="190"/>
      <c r="X667" s="190"/>
      <c r="Y667" s="190"/>
      <c r="Z667" s="190"/>
      <c r="AA667" s="190"/>
      <c r="AB667" s="190"/>
      <c r="AC667" s="190"/>
      <c r="AD667" s="190"/>
      <c r="AE667" s="190"/>
      <c r="AF667" s="190"/>
      <c r="AG667" s="190"/>
      <c r="AH667" s="190"/>
      <c r="AI667" s="190"/>
      <c r="AJ667" s="190"/>
      <c r="AK667" s="190"/>
      <c r="AL667" s="190"/>
      <c r="AM667" s="603"/>
      <c r="AN667" s="190"/>
      <c r="AO667" s="190"/>
      <c r="AP667" s="190"/>
      <c r="AQ667" s="190"/>
      <c r="AR667" s="619"/>
      <c r="AS667" s="617"/>
    </row>
    <row r="668" spans="1:45" ht="15.75">
      <c r="A668" s="190"/>
      <c r="B668" s="190"/>
      <c r="C668" s="190"/>
      <c r="D668" s="596"/>
      <c r="E668" s="190"/>
      <c r="F668" s="190"/>
      <c r="G668" s="190"/>
      <c r="H668" s="190"/>
      <c r="I668" s="190"/>
      <c r="J668" s="190"/>
      <c r="K668" s="190"/>
      <c r="L668" s="190"/>
      <c r="M668" s="190"/>
      <c r="N668" s="190"/>
      <c r="O668" s="190"/>
      <c r="P668" s="612"/>
      <c r="Q668" s="615"/>
      <c r="R668" s="588"/>
      <c r="S668" s="188"/>
      <c r="T668" s="190"/>
      <c r="U668" s="190"/>
      <c r="V668" s="190"/>
      <c r="W668" s="190"/>
      <c r="X668" s="190"/>
      <c r="Y668" s="190"/>
      <c r="Z668" s="190"/>
      <c r="AA668" s="190"/>
      <c r="AB668" s="190"/>
      <c r="AC668" s="190"/>
      <c r="AD668" s="190"/>
      <c r="AE668" s="190"/>
      <c r="AF668" s="190"/>
      <c r="AG668" s="190"/>
      <c r="AH668" s="190"/>
      <c r="AI668" s="190"/>
      <c r="AJ668" s="190"/>
      <c r="AK668" s="190"/>
      <c r="AL668" s="190"/>
      <c r="AM668" s="603"/>
      <c r="AN668" s="190"/>
      <c r="AO668" s="190"/>
      <c r="AP668" s="190"/>
      <c r="AQ668" s="190"/>
      <c r="AR668" s="619"/>
      <c r="AS668" s="617"/>
    </row>
    <row r="669" spans="1:45" ht="15.75">
      <c r="A669" s="190"/>
      <c r="B669" s="190"/>
      <c r="C669" s="190"/>
      <c r="D669" s="596"/>
      <c r="E669" s="190"/>
      <c r="F669" s="190"/>
      <c r="G669" s="190"/>
      <c r="H669" s="190"/>
      <c r="I669" s="190"/>
      <c r="J669" s="190"/>
      <c r="K669" s="190"/>
      <c r="L669" s="190"/>
      <c r="M669" s="190"/>
      <c r="N669" s="190"/>
      <c r="O669" s="190"/>
      <c r="P669" s="612"/>
      <c r="Q669" s="615"/>
      <c r="R669" s="588"/>
      <c r="S669" s="188"/>
      <c r="T669" s="190"/>
      <c r="U669" s="190"/>
      <c r="V669" s="190"/>
      <c r="W669" s="190"/>
      <c r="X669" s="190"/>
      <c r="Y669" s="190"/>
      <c r="Z669" s="190"/>
      <c r="AA669" s="190"/>
      <c r="AB669" s="190"/>
      <c r="AC669" s="190"/>
      <c r="AD669" s="190"/>
      <c r="AE669" s="190"/>
      <c r="AF669" s="190"/>
      <c r="AG669" s="190"/>
      <c r="AH669" s="190"/>
      <c r="AI669" s="190"/>
      <c r="AJ669" s="190"/>
      <c r="AK669" s="190"/>
      <c r="AL669" s="190"/>
      <c r="AM669" s="603"/>
      <c r="AN669" s="190"/>
      <c r="AO669" s="190"/>
      <c r="AP669" s="190"/>
      <c r="AQ669" s="190"/>
      <c r="AR669" s="619"/>
      <c r="AS669" s="617"/>
    </row>
    <row r="670" spans="1:45" ht="15.75">
      <c r="A670" s="190"/>
      <c r="B670" s="190"/>
      <c r="C670" s="190"/>
      <c r="D670" s="596"/>
      <c r="E670" s="190"/>
      <c r="F670" s="190"/>
      <c r="G670" s="190"/>
      <c r="H670" s="190"/>
      <c r="I670" s="190"/>
      <c r="J670" s="190"/>
      <c r="K670" s="190"/>
      <c r="L670" s="190"/>
      <c r="M670" s="190"/>
      <c r="N670" s="190"/>
      <c r="O670" s="190"/>
      <c r="P670" s="612"/>
      <c r="Q670" s="615"/>
      <c r="R670" s="588"/>
      <c r="S670" s="188"/>
      <c r="T670" s="190"/>
      <c r="U670" s="190"/>
      <c r="V670" s="190"/>
      <c r="W670" s="190"/>
      <c r="X670" s="190"/>
      <c r="Y670" s="190"/>
      <c r="Z670" s="190"/>
      <c r="AA670" s="190"/>
      <c r="AB670" s="190"/>
      <c r="AC670" s="190"/>
      <c r="AD670" s="190"/>
      <c r="AE670" s="190"/>
      <c r="AF670" s="190"/>
      <c r="AG670" s="190"/>
      <c r="AH670" s="190"/>
      <c r="AI670" s="190"/>
      <c r="AJ670" s="190"/>
      <c r="AK670" s="190"/>
      <c r="AL670" s="190"/>
      <c r="AM670" s="603"/>
      <c r="AN670" s="190"/>
      <c r="AO670" s="190"/>
      <c r="AP670" s="190"/>
      <c r="AQ670" s="190"/>
      <c r="AR670" s="619"/>
      <c r="AS670" s="617"/>
    </row>
    <row r="671" spans="1:45" ht="15.75">
      <c r="A671" s="190"/>
      <c r="B671" s="190"/>
      <c r="C671" s="190"/>
      <c r="D671" s="596"/>
      <c r="E671" s="190"/>
      <c r="F671" s="190"/>
      <c r="G671" s="190"/>
      <c r="H671" s="190"/>
      <c r="I671" s="190"/>
      <c r="J671" s="190"/>
      <c r="K671" s="190"/>
      <c r="L671" s="190"/>
      <c r="M671" s="190"/>
      <c r="N671" s="190"/>
      <c r="O671" s="190"/>
      <c r="P671" s="612"/>
      <c r="Q671" s="615"/>
      <c r="R671" s="588"/>
      <c r="S671" s="188"/>
      <c r="T671" s="190"/>
      <c r="U671" s="190"/>
      <c r="V671" s="190"/>
      <c r="W671" s="190"/>
      <c r="X671" s="190"/>
      <c r="Y671" s="190"/>
      <c r="Z671" s="190"/>
      <c r="AA671" s="190"/>
      <c r="AB671" s="190"/>
      <c r="AC671" s="190"/>
      <c r="AD671" s="190"/>
      <c r="AE671" s="190"/>
      <c r="AF671" s="190"/>
      <c r="AG671" s="190"/>
      <c r="AH671" s="190"/>
      <c r="AI671" s="190"/>
      <c r="AJ671" s="190"/>
      <c r="AK671" s="190"/>
      <c r="AL671" s="190"/>
      <c r="AM671" s="603"/>
      <c r="AN671" s="190"/>
      <c r="AO671" s="190"/>
      <c r="AP671" s="190"/>
      <c r="AQ671" s="190"/>
      <c r="AR671" s="619"/>
      <c r="AS671" s="617"/>
    </row>
    <row r="672" spans="1:45" ht="15.75">
      <c r="A672" s="190"/>
      <c r="B672" s="190"/>
      <c r="C672" s="190"/>
      <c r="D672" s="596"/>
      <c r="E672" s="190"/>
      <c r="F672" s="190"/>
      <c r="G672" s="190"/>
      <c r="H672" s="190"/>
      <c r="I672" s="190"/>
      <c r="J672" s="190"/>
      <c r="K672" s="190"/>
      <c r="L672" s="190"/>
      <c r="M672" s="190"/>
      <c r="N672" s="190"/>
      <c r="O672" s="190"/>
      <c r="P672" s="612"/>
      <c r="Q672" s="615"/>
      <c r="R672" s="588"/>
      <c r="S672" s="188"/>
      <c r="T672" s="190"/>
      <c r="U672" s="190"/>
      <c r="V672" s="190"/>
      <c r="W672" s="190"/>
      <c r="X672" s="190"/>
      <c r="Y672" s="190"/>
      <c r="Z672" s="190"/>
      <c r="AA672" s="190"/>
      <c r="AB672" s="190"/>
      <c r="AC672" s="190"/>
      <c r="AD672" s="190"/>
      <c r="AE672" s="190"/>
      <c r="AF672" s="190"/>
      <c r="AG672" s="190"/>
      <c r="AH672" s="190"/>
      <c r="AI672" s="190"/>
      <c r="AJ672" s="190"/>
      <c r="AK672" s="190"/>
      <c r="AL672" s="190"/>
      <c r="AM672" s="603"/>
      <c r="AN672" s="190"/>
      <c r="AO672" s="190"/>
      <c r="AP672" s="190"/>
      <c r="AQ672" s="190"/>
      <c r="AR672" s="619"/>
      <c r="AS672" s="617"/>
    </row>
    <row r="673" spans="1:45" ht="15.75">
      <c r="A673" s="190"/>
      <c r="B673" s="190"/>
      <c r="C673" s="190"/>
      <c r="D673" s="596"/>
      <c r="E673" s="190"/>
      <c r="F673" s="190"/>
      <c r="G673" s="190"/>
      <c r="H673" s="190"/>
      <c r="I673" s="190"/>
      <c r="J673" s="190"/>
      <c r="K673" s="190"/>
      <c r="L673" s="190"/>
      <c r="M673" s="190"/>
      <c r="N673" s="190"/>
      <c r="O673" s="190"/>
      <c r="P673" s="612"/>
      <c r="Q673" s="615"/>
      <c r="R673" s="588"/>
      <c r="S673" s="188"/>
      <c r="T673" s="190"/>
      <c r="U673" s="190"/>
      <c r="V673" s="190"/>
      <c r="W673" s="190"/>
      <c r="X673" s="190"/>
      <c r="Y673" s="190"/>
      <c r="Z673" s="190"/>
      <c r="AA673" s="190"/>
      <c r="AB673" s="190"/>
      <c r="AC673" s="190"/>
      <c r="AD673" s="190"/>
      <c r="AE673" s="190"/>
      <c r="AF673" s="190"/>
      <c r="AG673" s="190"/>
      <c r="AH673" s="190"/>
      <c r="AI673" s="190"/>
      <c r="AJ673" s="190"/>
      <c r="AK673" s="190"/>
      <c r="AL673" s="190"/>
      <c r="AM673" s="603"/>
      <c r="AN673" s="190"/>
      <c r="AO673" s="190"/>
      <c r="AP673" s="190"/>
      <c r="AQ673" s="190"/>
      <c r="AR673" s="619"/>
      <c r="AS673" s="617"/>
    </row>
    <row r="674" spans="1:45" ht="15.75">
      <c r="A674" s="190"/>
      <c r="B674" s="190"/>
      <c r="C674" s="190"/>
      <c r="D674" s="596"/>
      <c r="E674" s="190"/>
      <c r="F674" s="190"/>
      <c r="G674" s="190"/>
      <c r="H674" s="190"/>
      <c r="I674" s="190"/>
      <c r="J674" s="190"/>
      <c r="K674" s="190"/>
      <c r="L674" s="190"/>
      <c r="M674" s="190"/>
      <c r="N674" s="190"/>
      <c r="O674" s="190"/>
      <c r="P674" s="612"/>
      <c r="Q674" s="615"/>
      <c r="R674" s="588"/>
      <c r="S674" s="188"/>
      <c r="T674" s="190"/>
      <c r="U674" s="190"/>
      <c r="V674" s="190"/>
      <c r="W674" s="190"/>
      <c r="X674" s="190"/>
      <c r="Y674" s="190"/>
      <c r="Z674" s="190"/>
      <c r="AA674" s="190"/>
      <c r="AB674" s="190"/>
      <c r="AC674" s="190"/>
      <c r="AD674" s="190"/>
      <c r="AE674" s="190"/>
      <c r="AF674" s="190"/>
      <c r="AG674" s="190"/>
      <c r="AH674" s="190"/>
      <c r="AI674" s="190"/>
      <c r="AJ674" s="190"/>
      <c r="AK674" s="190"/>
      <c r="AL674" s="190"/>
      <c r="AM674" s="603"/>
      <c r="AN674" s="190"/>
      <c r="AO674" s="190"/>
      <c r="AP674" s="190"/>
      <c r="AQ674" s="190"/>
      <c r="AR674" s="619"/>
      <c r="AS674" s="617"/>
    </row>
    <row r="675" spans="1:45" ht="15.75">
      <c r="A675" s="190"/>
      <c r="B675" s="190"/>
      <c r="C675" s="190"/>
      <c r="D675" s="596"/>
      <c r="E675" s="190"/>
      <c r="F675" s="190"/>
      <c r="G675" s="190"/>
      <c r="H675" s="190"/>
      <c r="I675" s="190"/>
      <c r="J675" s="190"/>
      <c r="K675" s="190"/>
      <c r="L675" s="190"/>
      <c r="M675" s="190"/>
      <c r="N675" s="190"/>
      <c r="O675" s="190"/>
      <c r="P675" s="612"/>
      <c r="Q675" s="615"/>
      <c r="R675" s="588"/>
      <c r="S675" s="188"/>
      <c r="T675" s="190"/>
      <c r="U675" s="190"/>
      <c r="V675" s="190"/>
      <c r="W675" s="190"/>
      <c r="X675" s="190"/>
      <c r="Y675" s="190"/>
      <c r="Z675" s="190"/>
      <c r="AA675" s="190"/>
      <c r="AB675" s="190"/>
      <c r="AC675" s="190"/>
      <c r="AD675" s="190"/>
      <c r="AE675" s="190"/>
      <c r="AF675" s="190"/>
      <c r="AG675" s="190"/>
      <c r="AH675" s="190"/>
      <c r="AI675" s="190"/>
      <c r="AJ675" s="190"/>
      <c r="AK675" s="190"/>
      <c r="AL675" s="190"/>
      <c r="AM675" s="603"/>
      <c r="AN675" s="190"/>
      <c r="AO675" s="190"/>
      <c r="AP675" s="190"/>
      <c r="AQ675" s="190"/>
      <c r="AR675" s="619"/>
      <c r="AS675" s="617"/>
    </row>
    <row r="676" spans="1:45" ht="15.75">
      <c r="A676" s="190"/>
      <c r="B676" s="190"/>
      <c r="C676" s="190"/>
      <c r="D676" s="596"/>
      <c r="E676" s="190"/>
      <c r="F676" s="190"/>
      <c r="G676" s="190"/>
      <c r="H676" s="190"/>
      <c r="I676" s="190"/>
      <c r="J676" s="190"/>
      <c r="K676" s="190"/>
      <c r="L676" s="190"/>
      <c r="M676" s="190"/>
      <c r="N676" s="190"/>
      <c r="O676" s="190"/>
      <c r="P676" s="612"/>
      <c r="Q676" s="615"/>
      <c r="R676" s="588"/>
      <c r="S676" s="188"/>
      <c r="T676" s="190"/>
      <c r="U676" s="190"/>
      <c r="V676" s="190"/>
      <c r="W676" s="190"/>
      <c r="X676" s="190"/>
      <c r="Y676" s="190"/>
      <c r="Z676" s="190"/>
      <c r="AA676" s="190"/>
      <c r="AB676" s="190"/>
      <c r="AC676" s="190"/>
      <c r="AD676" s="190"/>
      <c r="AE676" s="190"/>
      <c r="AF676" s="190"/>
      <c r="AG676" s="190"/>
      <c r="AH676" s="190"/>
      <c r="AI676" s="190"/>
      <c r="AJ676" s="190"/>
      <c r="AK676" s="190"/>
      <c r="AL676" s="190"/>
      <c r="AM676" s="603"/>
      <c r="AN676" s="190"/>
      <c r="AO676" s="190"/>
      <c r="AP676" s="190"/>
      <c r="AQ676" s="190"/>
      <c r="AR676" s="619"/>
      <c r="AS676" s="617"/>
    </row>
    <row r="677" spans="1:45" ht="15.75">
      <c r="A677" s="190"/>
      <c r="B677" s="190"/>
      <c r="C677" s="190"/>
      <c r="D677" s="596"/>
      <c r="E677" s="190"/>
      <c r="F677" s="190"/>
      <c r="G677" s="190"/>
      <c r="H677" s="190"/>
      <c r="I677" s="190"/>
      <c r="J677" s="190"/>
      <c r="K677" s="190"/>
      <c r="L677" s="190"/>
      <c r="M677" s="190"/>
      <c r="N677" s="190"/>
      <c r="O677" s="190"/>
      <c r="P677" s="612"/>
      <c r="Q677" s="615"/>
      <c r="R677" s="588"/>
      <c r="S677" s="188"/>
      <c r="T677" s="190"/>
      <c r="U677" s="190"/>
      <c r="V677" s="190"/>
      <c r="W677" s="190"/>
      <c r="X677" s="190"/>
      <c r="Y677" s="190"/>
      <c r="Z677" s="190"/>
      <c r="AA677" s="190"/>
      <c r="AB677" s="190"/>
      <c r="AC677" s="190"/>
      <c r="AD677" s="190"/>
      <c r="AE677" s="190"/>
      <c r="AF677" s="190"/>
      <c r="AG677" s="190"/>
      <c r="AH677" s="190"/>
      <c r="AI677" s="190"/>
      <c r="AJ677" s="190"/>
      <c r="AK677" s="190"/>
      <c r="AL677" s="190"/>
      <c r="AM677" s="603"/>
      <c r="AN677" s="190"/>
      <c r="AO677" s="190"/>
      <c r="AP677" s="190"/>
      <c r="AQ677" s="190"/>
      <c r="AR677" s="619"/>
      <c r="AS677" s="617"/>
    </row>
    <row r="678" spans="1:45" ht="15.75">
      <c r="A678" s="190"/>
      <c r="B678" s="190"/>
      <c r="C678" s="190"/>
      <c r="D678" s="596"/>
      <c r="E678" s="190"/>
      <c r="F678" s="190"/>
      <c r="G678" s="190"/>
      <c r="H678" s="190"/>
      <c r="I678" s="190"/>
      <c r="J678" s="190"/>
      <c r="K678" s="190"/>
      <c r="L678" s="190"/>
      <c r="M678" s="190"/>
      <c r="N678" s="190"/>
      <c r="O678" s="190"/>
      <c r="P678" s="612"/>
      <c r="Q678" s="615"/>
      <c r="R678" s="588"/>
      <c r="S678" s="188"/>
      <c r="T678" s="190"/>
      <c r="U678" s="190"/>
      <c r="V678" s="190"/>
      <c r="W678" s="190"/>
      <c r="X678" s="190"/>
      <c r="Y678" s="190"/>
      <c r="Z678" s="190"/>
      <c r="AA678" s="190"/>
      <c r="AB678" s="190"/>
      <c r="AC678" s="190"/>
      <c r="AD678" s="190"/>
      <c r="AE678" s="190"/>
      <c r="AF678" s="190"/>
      <c r="AG678" s="190"/>
      <c r="AH678" s="190"/>
      <c r="AI678" s="190"/>
      <c r="AJ678" s="190"/>
      <c r="AK678" s="190"/>
      <c r="AL678" s="190"/>
      <c r="AM678" s="603"/>
      <c r="AN678" s="190"/>
      <c r="AO678" s="190"/>
      <c r="AP678" s="190"/>
      <c r="AQ678" s="190"/>
      <c r="AR678" s="619"/>
      <c r="AS678" s="617"/>
    </row>
    <row r="679" spans="1:45" ht="15.75">
      <c r="A679" s="190"/>
      <c r="B679" s="190"/>
      <c r="C679" s="190"/>
      <c r="D679" s="596"/>
      <c r="E679" s="190"/>
      <c r="F679" s="190"/>
      <c r="G679" s="190"/>
      <c r="H679" s="190"/>
      <c r="I679" s="190"/>
      <c r="J679" s="190"/>
      <c r="K679" s="190"/>
      <c r="L679" s="190"/>
      <c r="M679" s="190"/>
      <c r="N679" s="190"/>
      <c r="O679" s="190"/>
      <c r="P679" s="612"/>
      <c r="Q679" s="615"/>
      <c r="R679" s="588"/>
      <c r="S679" s="188"/>
      <c r="T679" s="190"/>
      <c r="U679" s="190"/>
      <c r="V679" s="190"/>
      <c r="W679" s="190"/>
      <c r="X679" s="190"/>
      <c r="Y679" s="190"/>
      <c r="Z679" s="190"/>
      <c r="AA679" s="190"/>
      <c r="AB679" s="190"/>
      <c r="AC679" s="190"/>
      <c r="AD679" s="190"/>
      <c r="AE679" s="190"/>
      <c r="AF679" s="190"/>
      <c r="AG679" s="190"/>
      <c r="AH679" s="190"/>
      <c r="AI679" s="190"/>
      <c r="AJ679" s="190"/>
      <c r="AK679" s="190"/>
      <c r="AL679" s="190"/>
      <c r="AM679" s="603"/>
      <c r="AN679" s="190"/>
      <c r="AO679" s="190"/>
      <c r="AP679" s="190"/>
      <c r="AQ679" s="190"/>
      <c r="AR679" s="619"/>
      <c r="AS679" s="617"/>
    </row>
    <row r="680" spans="1:45" ht="15.75">
      <c r="A680" s="190"/>
      <c r="B680" s="190"/>
      <c r="C680" s="190"/>
      <c r="D680" s="596"/>
      <c r="E680" s="190"/>
      <c r="F680" s="190"/>
      <c r="G680" s="190"/>
      <c r="H680" s="190"/>
      <c r="I680" s="190"/>
      <c r="J680" s="190"/>
      <c r="K680" s="190"/>
      <c r="L680" s="190"/>
      <c r="M680" s="190"/>
      <c r="N680" s="190"/>
      <c r="O680" s="190"/>
      <c r="P680" s="612"/>
      <c r="Q680" s="615"/>
      <c r="R680" s="588"/>
      <c r="S680" s="188"/>
      <c r="T680" s="190"/>
      <c r="U680" s="190"/>
      <c r="V680" s="190"/>
      <c r="W680" s="190"/>
      <c r="X680" s="190"/>
      <c r="Y680" s="190"/>
      <c r="Z680" s="190"/>
      <c r="AA680" s="190"/>
      <c r="AB680" s="190"/>
      <c r="AC680" s="190"/>
      <c r="AD680" s="190"/>
      <c r="AE680" s="190"/>
      <c r="AF680" s="190"/>
      <c r="AG680" s="190"/>
      <c r="AH680" s="190"/>
      <c r="AI680" s="190"/>
      <c r="AJ680" s="190"/>
      <c r="AK680" s="190"/>
      <c r="AL680" s="190"/>
      <c r="AM680" s="603"/>
      <c r="AN680" s="190"/>
      <c r="AO680" s="190"/>
      <c r="AP680" s="190"/>
      <c r="AQ680" s="190"/>
      <c r="AR680" s="619"/>
      <c r="AS680" s="617"/>
    </row>
    <row r="681" spans="1:45" ht="15.75">
      <c r="A681" s="190"/>
      <c r="B681" s="190"/>
      <c r="C681" s="190"/>
      <c r="D681" s="596"/>
      <c r="E681" s="190"/>
      <c r="F681" s="190"/>
      <c r="G681" s="190"/>
      <c r="H681" s="190"/>
      <c r="I681" s="190"/>
      <c r="J681" s="190"/>
      <c r="K681" s="190"/>
      <c r="L681" s="190"/>
      <c r="M681" s="190"/>
      <c r="N681" s="190"/>
      <c r="O681" s="190"/>
      <c r="P681" s="612"/>
      <c r="Q681" s="615"/>
      <c r="R681" s="588"/>
      <c r="S681" s="188"/>
      <c r="T681" s="190"/>
      <c r="U681" s="190"/>
      <c r="V681" s="190"/>
      <c r="W681" s="190"/>
      <c r="X681" s="190"/>
      <c r="Y681" s="190"/>
      <c r="Z681" s="190"/>
      <c r="AA681" s="190"/>
      <c r="AB681" s="190"/>
      <c r="AC681" s="190"/>
      <c r="AD681" s="190"/>
      <c r="AE681" s="190"/>
      <c r="AF681" s="190"/>
      <c r="AG681" s="190"/>
      <c r="AH681" s="190"/>
      <c r="AI681" s="190"/>
      <c r="AJ681" s="190"/>
      <c r="AK681" s="190"/>
      <c r="AL681" s="190"/>
      <c r="AM681" s="603"/>
      <c r="AN681" s="190"/>
      <c r="AO681" s="190"/>
      <c r="AP681" s="190"/>
      <c r="AQ681" s="190"/>
      <c r="AR681" s="619"/>
      <c r="AS681" s="617"/>
    </row>
    <row r="682" spans="1:45" ht="15.75">
      <c r="A682" s="190"/>
      <c r="B682" s="190"/>
      <c r="C682" s="190"/>
      <c r="D682" s="596"/>
      <c r="E682" s="190"/>
      <c r="F682" s="190"/>
      <c r="G682" s="190"/>
      <c r="H682" s="190"/>
      <c r="I682" s="190"/>
      <c r="J682" s="190"/>
      <c r="K682" s="190"/>
      <c r="L682" s="190"/>
      <c r="M682" s="190"/>
      <c r="N682" s="190"/>
      <c r="O682" s="190"/>
      <c r="P682" s="612"/>
      <c r="Q682" s="615"/>
      <c r="R682" s="588"/>
      <c r="S682" s="188"/>
      <c r="T682" s="190"/>
      <c r="U682" s="190"/>
      <c r="V682" s="190"/>
      <c r="W682" s="190"/>
      <c r="X682" s="190"/>
      <c r="Y682" s="190"/>
      <c r="Z682" s="190"/>
      <c r="AA682" s="190"/>
      <c r="AB682" s="190"/>
      <c r="AC682" s="190"/>
      <c r="AD682" s="190"/>
      <c r="AE682" s="190"/>
      <c r="AF682" s="190"/>
      <c r="AG682" s="190"/>
      <c r="AH682" s="190"/>
      <c r="AI682" s="190"/>
      <c r="AJ682" s="190"/>
      <c r="AK682" s="190"/>
      <c r="AL682" s="190"/>
      <c r="AM682" s="603"/>
      <c r="AN682" s="190"/>
      <c r="AO682" s="190"/>
      <c r="AP682" s="190"/>
      <c r="AQ682" s="190"/>
      <c r="AR682" s="619"/>
      <c r="AS682" s="617"/>
    </row>
    <row r="683" spans="1:45" ht="15.75">
      <c r="A683" s="190"/>
      <c r="B683" s="190"/>
      <c r="C683" s="190"/>
      <c r="D683" s="596"/>
      <c r="E683" s="190"/>
      <c r="F683" s="190"/>
      <c r="G683" s="190"/>
      <c r="H683" s="190"/>
      <c r="I683" s="190"/>
      <c r="J683" s="190"/>
      <c r="K683" s="190"/>
      <c r="L683" s="190"/>
      <c r="M683" s="190"/>
      <c r="N683" s="190"/>
      <c r="O683" s="190"/>
      <c r="P683" s="612"/>
      <c r="Q683" s="615"/>
      <c r="R683" s="588"/>
      <c r="S683" s="188"/>
      <c r="T683" s="190"/>
      <c r="U683" s="190"/>
      <c r="V683" s="190"/>
      <c r="W683" s="190"/>
      <c r="X683" s="190"/>
      <c r="Y683" s="190"/>
      <c r="Z683" s="190"/>
      <c r="AA683" s="190"/>
      <c r="AB683" s="190"/>
      <c r="AC683" s="190"/>
      <c r="AD683" s="190"/>
      <c r="AE683" s="190"/>
      <c r="AF683" s="190"/>
      <c r="AG683" s="190"/>
      <c r="AH683" s="190"/>
      <c r="AI683" s="190"/>
      <c r="AJ683" s="190"/>
      <c r="AK683" s="190"/>
      <c r="AL683" s="190"/>
      <c r="AM683" s="603"/>
      <c r="AN683" s="190"/>
      <c r="AO683" s="190"/>
      <c r="AP683" s="190"/>
      <c r="AQ683" s="190"/>
      <c r="AR683" s="619"/>
      <c r="AS683" s="617"/>
    </row>
    <row r="684" spans="1:45" ht="15.75">
      <c r="A684" s="190"/>
      <c r="B684" s="190"/>
      <c r="C684" s="190"/>
      <c r="D684" s="596"/>
      <c r="E684" s="190"/>
      <c r="F684" s="190"/>
      <c r="G684" s="190"/>
      <c r="H684" s="190"/>
      <c r="I684" s="190"/>
      <c r="J684" s="190"/>
      <c r="K684" s="190"/>
      <c r="L684" s="190"/>
      <c r="M684" s="190"/>
      <c r="N684" s="190"/>
      <c r="O684" s="190"/>
      <c r="P684" s="612"/>
      <c r="Q684" s="615"/>
      <c r="R684" s="588"/>
      <c r="S684" s="188"/>
      <c r="T684" s="190"/>
      <c r="U684" s="190"/>
      <c r="V684" s="190"/>
      <c r="W684" s="190"/>
      <c r="X684" s="190"/>
      <c r="Y684" s="190"/>
      <c r="Z684" s="190"/>
      <c r="AA684" s="190"/>
      <c r="AB684" s="190"/>
      <c r="AC684" s="190"/>
      <c r="AD684" s="190"/>
      <c r="AE684" s="190"/>
      <c r="AF684" s="190"/>
      <c r="AG684" s="190"/>
      <c r="AH684" s="190"/>
      <c r="AI684" s="190"/>
      <c r="AJ684" s="190"/>
      <c r="AK684" s="190"/>
      <c r="AL684" s="190"/>
      <c r="AM684" s="603"/>
      <c r="AN684" s="190"/>
      <c r="AO684" s="190"/>
      <c r="AP684" s="190"/>
      <c r="AQ684" s="190"/>
      <c r="AR684" s="619"/>
      <c r="AS684" s="617"/>
    </row>
    <row r="685" spans="1:45" ht="15.75">
      <c r="A685" s="190"/>
      <c r="B685" s="190"/>
      <c r="C685" s="190"/>
      <c r="D685" s="596"/>
      <c r="E685" s="190"/>
      <c r="F685" s="190"/>
      <c r="G685" s="190"/>
      <c r="H685" s="190"/>
      <c r="I685" s="190"/>
      <c r="J685" s="190"/>
      <c r="K685" s="190"/>
      <c r="L685" s="190"/>
      <c r="M685" s="190"/>
      <c r="N685" s="190"/>
      <c r="O685" s="190"/>
      <c r="P685" s="612"/>
      <c r="Q685" s="615"/>
      <c r="R685" s="588"/>
      <c r="S685" s="188"/>
      <c r="T685" s="190"/>
      <c r="U685" s="190"/>
      <c r="V685" s="190"/>
      <c r="W685" s="190"/>
      <c r="X685" s="190"/>
      <c r="Y685" s="190"/>
      <c r="Z685" s="190"/>
      <c r="AA685" s="190"/>
      <c r="AB685" s="190"/>
      <c r="AC685" s="190"/>
      <c r="AD685" s="190"/>
      <c r="AE685" s="190"/>
      <c r="AF685" s="190"/>
      <c r="AG685" s="190"/>
      <c r="AH685" s="190"/>
      <c r="AI685" s="190"/>
      <c r="AJ685" s="190"/>
      <c r="AK685" s="190"/>
      <c r="AL685" s="190"/>
      <c r="AM685" s="603"/>
      <c r="AN685" s="190"/>
      <c r="AO685" s="190"/>
      <c r="AP685" s="190"/>
      <c r="AQ685" s="190"/>
      <c r="AR685" s="619"/>
      <c r="AS685" s="617"/>
    </row>
    <row r="686" spans="1:45" ht="15.75">
      <c r="A686" s="190"/>
      <c r="B686" s="190"/>
      <c r="C686" s="190"/>
      <c r="D686" s="596"/>
      <c r="E686" s="190"/>
      <c r="F686" s="190"/>
      <c r="G686" s="190"/>
      <c r="H686" s="190"/>
      <c r="I686" s="190"/>
      <c r="J686" s="190"/>
      <c r="K686" s="190"/>
      <c r="L686" s="190"/>
      <c r="M686" s="190"/>
      <c r="N686" s="190"/>
      <c r="O686" s="190"/>
      <c r="P686" s="612"/>
      <c r="Q686" s="615"/>
      <c r="R686" s="588"/>
      <c r="S686" s="188"/>
      <c r="T686" s="190"/>
      <c r="U686" s="190"/>
      <c r="V686" s="190"/>
      <c r="W686" s="190"/>
      <c r="X686" s="190"/>
      <c r="Y686" s="190"/>
      <c r="Z686" s="190"/>
      <c r="AA686" s="190"/>
      <c r="AB686" s="190"/>
      <c r="AC686" s="190"/>
      <c r="AD686" s="190"/>
      <c r="AE686" s="190"/>
      <c r="AF686" s="190"/>
      <c r="AG686" s="190"/>
      <c r="AH686" s="190"/>
      <c r="AI686" s="190"/>
      <c r="AJ686" s="190"/>
      <c r="AK686" s="190"/>
      <c r="AL686" s="190"/>
      <c r="AM686" s="603"/>
      <c r="AN686" s="190"/>
      <c r="AO686" s="190"/>
      <c r="AP686" s="190"/>
      <c r="AQ686" s="190"/>
      <c r="AR686" s="619"/>
      <c r="AS686" s="617"/>
    </row>
    <row r="687" spans="1:45" ht="15.75">
      <c r="A687" s="190"/>
      <c r="B687" s="190"/>
      <c r="C687" s="190"/>
      <c r="D687" s="596"/>
      <c r="E687" s="190"/>
      <c r="F687" s="190"/>
      <c r="G687" s="190"/>
      <c r="H687" s="190"/>
      <c r="I687" s="190"/>
      <c r="J687" s="190"/>
      <c r="K687" s="190"/>
      <c r="L687" s="190"/>
      <c r="M687" s="190"/>
      <c r="N687" s="190"/>
      <c r="O687" s="190"/>
      <c r="P687" s="612"/>
      <c r="Q687" s="615"/>
      <c r="R687" s="588"/>
      <c r="S687" s="188"/>
      <c r="T687" s="190"/>
      <c r="U687" s="190"/>
      <c r="V687" s="190"/>
      <c r="W687" s="190"/>
      <c r="X687" s="190"/>
      <c r="Y687" s="190"/>
      <c r="Z687" s="190"/>
      <c r="AA687" s="190"/>
      <c r="AB687" s="190"/>
      <c r="AC687" s="190"/>
      <c r="AD687" s="190"/>
      <c r="AE687" s="190"/>
      <c r="AF687" s="190"/>
      <c r="AG687" s="190"/>
      <c r="AH687" s="190"/>
      <c r="AI687" s="190"/>
      <c r="AJ687" s="190"/>
      <c r="AK687" s="190"/>
      <c r="AL687" s="190"/>
      <c r="AM687" s="603"/>
      <c r="AN687" s="190"/>
      <c r="AO687" s="190"/>
      <c r="AP687" s="190"/>
      <c r="AQ687" s="190"/>
      <c r="AR687" s="619"/>
      <c r="AS687" s="617"/>
    </row>
    <row r="688" spans="1:45" ht="15.75">
      <c r="A688" s="190"/>
      <c r="B688" s="190"/>
      <c r="C688" s="190"/>
      <c r="D688" s="596"/>
      <c r="E688" s="190"/>
      <c r="F688" s="190"/>
      <c r="G688" s="190"/>
      <c r="H688" s="190"/>
      <c r="I688" s="190"/>
      <c r="J688" s="190"/>
      <c r="K688" s="190"/>
      <c r="L688" s="190"/>
      <c r="M688" s="190"/>
      <c r="N688" s="190"/>
      <c r="O688" s="190"/>
      <c r="P688" s="612"/>
      <c r="Q688" s="615"/>
      <c r="R688" s="588"/>
      <c r="S688" s="188"/>
      <c r="T688" s="190"/>
      <c r="U688" s="190"/>
      <c r="V688" s="190"/>
      <c r="W688" s="190"/>
      <c r="X688" s="190"/>
      <c r="Y688" s="190"/>
      <c r="Z688" s="190"/>
      <c r="AA688" s="190"/>
      <c r="AB688" s="190"/>
      <c r="AC688" s="190"/>
      <c r="AD688" s="190"/>
      <c r="AE688" s="190"/>
      <c r="AF688" s="190"/>
      <c r="AG688" s="190"/>
      <c r="AH688" s="190"/>
      <c r="AI688" s="190"/>
      <c r="AJ688" s="190"/>
      <c r="AK688" s="190"/>
      <c r="AL688" s="190"/>
      <c r="AM688" s="603"/>
      <c r="AN688" s="190"/>
      <c r="AO688" s="190"/>
      <c r="AP688" s="190"/>
      <c r="AQ688" s="190"/>
      <c r="AR688" s="619"/>
      <c r="AS688" s="617"/>
    </row>
    <row r="689" spans="1:45" ht="15.75">
      <c r="A689" s="190"/>
      <c r="B689" s="190"/>
      <c r="C689" s="190"/>
      <c r="D689" s="596"/>
      <c r="E689" s="190"/>
      <c r="F689" s="190"/>
      <c r="G689" s="190"/>
      <c r="H689" s="190"/>
      <c r="I689" s="190"/>
      <c r="J689" s="190"/>
      <c r="K689" s="190"/>
      <c r="L689" s="190"/>
      <c r="M689" s="190"/>
      <c r="N689" s="190"/>
      <c r="O689" s="190"/>
      <c r="P689" s="612"/>
      <c r="Q689" s="615"/>
      <c r="R689" s="588"/>
      <c r="S689" s="188"/>
      <c r="T689" s="190"/>
      <c r="U689" s="190"/>
      <c r="V689" s="190"/>
      <c r="W689" s="190"/>
      <c r="X689" s="190"/>
      <c r="Y689" s="190"/>
      <c r="Z689" s="190"/>
      <c r="AA689" s="190"/>
      <c r="AB689" s="190"/>
      <c r="AC689" s="190"/>
      <c r="AD689" s="190"/>
      <c r="AE689" s="190"/>
      <c r="AF689" s="190"/>
      <c r="AG689" s="190"/>
      <c r="AH689" s="190"/>
      <c r="AI689" s="190"/>
      <c r="AJ689" s="190"/>
      <c r="AK689" s="190"/>
      <c r="AL689" s="190"/>
      <c r="AM689" s="603"/>
      <c r="AN689" s="190"/>
      <c r="AO689" s="190"/>
      <c r="AP689" s="190"/>
      <c r="AQ689" s="190"/>
      <c r="AR689" s="619"/>
      <c r="AS689" s="617"/>
    </row>
    <row r="690" spans="1:45" ht="15.75">
      <c r="A690" s="190"/>
      <c r="B690" s="190"/>
      <c r="C690" s="190"/>
      <c r="D690" s="596"/>
      <c r="E690" s="190"/>
      <c r="F690" s="190"/>
      <c r="G690" s="190"/>
      <c r="H690" s="190"/>
      <c r="I690" s="190"/>
      <c r="J690" s="190"/>
      <c r="K690" s="190"/>
      <c r="L690" s="190"/>
      <c r="M690" s="190"/>
      <c r="N690" s="190"/>
      <c r="O690" s="190"/>
      <c r="P690" s="612"/>
      <c r="Q690" s="615"/>
      <c r="R690" s="588"/>
      <c r="S690" s="188"/>
      <c r="T690" s="190"/>
      <c r="U690" s="190"/>
      <c r="V690" s="190"/>
      <c r="W690" s="190"/>
      <c r="X690" s="190"/>
      <c r="Y690" s="190"/>
      <c r="Z690" s="190"/>
      <c r="AA690" s="190"/>
      <c r="AB690" s="190"/>
      <c r="AC690" s="190"/>
      <c r="AD690" s="190"/>
      <c r="AE690" s="190"/>
      <c r="AF690" s="190"/>
      <c r="AG690" s="190"/>
      <c r="AH690" s="190"/>
      <c r="AI690" s="190"/>
      <c r="AJ690" s="190"/>
      <c r="AK690" s="190"/>
      <c r="AL690" s="190"/>
      <c r="AM690" s="603"/>
      <c r="AN690" s="190"/>
      <c r="AO690" s="190"/>
      <c r="AP690" s="190"/>
      <c r="AQ690" s="190"/>
      <c r="AR690" s="619"/>
      <c r="AS690" s="617"/>
    </row>
    <row r="691" spans="1:45" ht="15.75">
      <c r="A691" s="190"/>
      <c r="B691" s="190"/>
      <c r="C691" s="190"/>
      <c r="D691" s="596"/>
      <c r="E691" s="190"/>
      <c r="F691" s="190"/>
      <c r="G691" s="190"/>
      <c r="H691" s="190"/>
      <c r="I691" s="190"/>
      <c r="J691" s="190"/>
      <c r="K691" s="190"/>
      <c r="L691" s="190"/>
      <c r="M691" s="190"/>
      <c r="N691" s="190"/>
      <c r="O691" s="190"/>
      <c r="P691" s="612"/>
      <c r="Q691" s="615"/>
      <c r="R691" s="588"/>
      <c r="S691" s="188"/>
      <c r="T691" s="190"/>
      <c r="U691" s="190"/>
      <c r="V691" s="190"/>
      <c r="W691" s="190"/>
      <c r="X691" s="190"/>
      <c r="Y691" s="190"/>
      <c r="Z691" s="190"/>
      <c r="AA691" s="190"/>
      <c r="AB691" s="190"/>
      <c r="AC691" s="190"/>
      <c r="AD691" s="190"/>
      <c r="AE691" s="190"/>
      <c r="AF691" s="190"/>
      <c r="AG691" s="190"/>
      <c r="AH691" s="190"/>
      <c r="AI691" s="190"/>
      <c r="AJ691" s="190"/>
      <c r="AK691" s="190"/>
      <c r="AL691" s="190"/>
      <c r="AM691" s="603"/>
      <c r="AN691" s="190"/>
      <c r="AO691" s="190"/>
      <c r="AP691" s="190"/>
      <c r="AQ691" s="190"/>
      <c r="AR691" s="619"/>
      <c r="AS691" s="617"/>
    </row>
    <row r="692" spans="1:45" ht="15.75">
      <c r="A692" s="190"/>
      <c r="B692" s="190"/>
      <c r="C692" s="190"/>
      <c r="D692" s="596"/>
      <c r="E692" s="190"/>
      <c r="F692" s="190"/>
      <c r="G692" s="190"/>
      <c r="H692" s="190"/>
      <c r="I692" s="190"/>
      <c r="J692" s="190"/>
      <c r="K692" s="190"/>
      <c r="L692" s="190"/>
      <c r="M692" s="190"/>
      <c r="N692" s="190"/>
      <c r="O692" s="190"/>
      <c r="P692" s="612"/>
      <c r="Q692" s="615"/>
      <c r="R692" s="588"/>
      <c r="S692" s="188"/>
      <c r="T692" s="190"/>
      <c r="U692" s="190"/>
      <c r="V692" s="190"/>
      <c r="W692" s="190"/>
      <c r="X692" s="190"/>
      <c r="Y692" s="190"/>
      <c r="Z692" s="190"/>
      <c r="AA692" s="190"/>
      <c r="AB692" s="190"/>
      <c r="AC692" s="190"/>
      <c r="AD692" s="190"/>
      <c r="AE692" s="190"/>
      <c r="AF692" s="190"/>
      <c r="AG692" s="190"/>
      <c r="AH692" s="190"/>
      <c r="AI692" s="190"/>
      <c r="AJ692" s="190"/>
      <c r="AK692" s="190"/>
      <c r="AL692" s="190"/>
      <c r="AM692" s="603"/>
      <c r="AN692" s="190"/>
      <c r="AO692" s="190"/>
      <c r="AP692" s="190"/>
      <c r="AQ692" s="190"/>
      <c r="AR692" s="619"/>
      <c r="AS692" s="617"/>
    </row>
    <row r="693" spans="1:45" ht="15.75">
      <c r="A693" s="190"/>
      <c r="B693" s="190"/>
      <c r="C693" s="190"/>
      <c r="D693" s="596"/>
      <c r="E693" s="190"/>
      <c r="F693" s="190"/>
      <c r="G693" s="190"/>
      <c r="H693" s="190"/>
      <c r="I693" s="190"/>
      <c r="J693" s="190"/>
      <c r="K693" s="190"/>
      <c r="L693" s="190"/>
      <c r="M693" s="190"/>
      <c r="N693" s="190"/>
      <c r="O693" s="190"/>
      <c r="P693" s="612"/>
      <c r="Q693" s="615"/>
      <c r="R693" s="588"/>
      <c r="S693" s="188"/>
      <c r="T693" s="190"/>
      <c r="U693" s="190"/>
      <c r="V693" s="190"/>
      <c r="W693" s="190"/>
      <c r="X693" s="190"/>
      <c r="Y693" s="190"/>
      <c r="Z693" s="190"/>
      <c r="AA693" s="190"/>
      <c r="AB693" s="190"/>
      <c r="AC693" s="190"/>
      <c r="AD693" s="190"/>
      <c r="AE693" s="190"/>
      <c r="AF693" s="190"/>
      <c r="AG693" s="190"/>
      <c r="AH693" s="190"/>
      <c r="AI693" s="190"/>
      <c r="AJ693" s="190"/>
      <c r="AK693" s="190"/>
      <c r="AL693" s="190"/>
      <c r="AM693" s="603"/>
      <c r="AN693" s="190"/>
      <c r="AO693" s="190"/>
      <c r="AP693" s="190"/>
      <c r="AQ693" s="190"/>
      <c r="AR693" s="619"/>
      <c r="AS693" s="617"/>
    </row>
    <row r="694" spans="1:45" ht="15.75">
      <c r="A694" s="190"/>
      <c r="B694" s="190"/>
      <c r="C694" s="190"/>
      <c r="D694" s="596"/>
      <c r="E694" s="190"/>
      <c r="F694" s="190"/>
      <c r="G694" s="190"/>
      <c r="H694" s="190"/>
      <c r="I694" s="190"/>
      <c r="J694" s="190"/>
      <c r="K694" s="190"/>
      <c r="L694" s="190"/>
      <c r="M694" s="190"/>
      <c r="N694" s="190"/>
      <c r="O694" s="190"/>
      <c r="P694" s="612"/>
      <c r="Q694" s="615"/>
      <c r="R694" s="588"/>
      <c r="S694" s="188"/>
      <c r="T694" s="190"/>
      <c r="U694" s="190"/>
      <c r="V694" s="190"/>
      <c r="W694" s="190"/>
      <c r="X694" s="190"/>
      <c r="Y694" s="190"/>
      <c r="Z694" s="190"/>
      <c r="AA694" s="190"/>
      <c r="AB694" s="190"/>
      <c r="AC694" s="190"/>
      <c r="AD694" s="190"/>
      <c r="AE694" s="190"/>
      <c r="AF694" s="190"/>
      <c r="AG694" s="190"/>
      <c r="AH694" s="190"/>
      <c r="AI694" s="190"/>
      <c r="AJ694" s="190"/>
      <c r="AK694" s="190"/>
      <c r="AL694" s="190"/>
      <c r="AM694" s="603"/>
      <c r="AN694" s="190"/>
      <c r="AO694" s="190"/>
      <c r="AP694" s="190"/>
      <c r="AQ694" s="190"/>
      <c r="AR694" s="619"/>
      <c r="AS694" s="617"/>
    </row>
    <row r="695" spans="1:45" ht="15.75">
      <c r="A695" s="190"/>
      <c r="B695" s="190"/>
      <c r="C695" s="190"/>
      <c r="D695" s="596"/>
      <c r="E695" s="190"/>
      <c r="F695" s="190"/>
      <c r="G695" s="190"/>
      <c r="H695" s="190"/>
      <c r="I695" s="190"/>
      <c r="J695" s="190"/>
      <c r="K695" s="190"/>
      <c r="L695" s="190"/>
      <c r="M695" s="190"/>
      <c r="N695" s="190"/>
      <c r="O695" s="190"/>
      <c r="P695" s="612"/>
      <c r="Q695" s="615"/>
      <c r="R695" s="588"/>
      <c r="S695" s="188"/>
      <c r="T695" s="190"/>
      <c r="U695" s="190"/>
      <c r="V695" s="190"/>
      <c r="W695" s="190"/>
      <c r="X695" s="190"/>
      <c r="Y695" s="190"/>
      <c r="Z695" s="190"/>
      <c r="AA695" s="190"/>
      <c r="AB695" s="190"/>
      <c r="AC695" s="190"/>
      <c r="AD695" s="190"/>
      <c r="AE695" s="190"/>
      <c r="AF695" s="190"/>
      <c r="AG695" s="190"/>
      <c r="AH695" s="190"/>
      <c r="AI695" s="190"/>
      <c r="AJ695" s="190"/>
      <c r="AK695" s="190"/>
      <c r="AL695" s="190"/>
      <c r="AM695" s="603"/>
      <c r="AN695" s="190"/>
      <c r="AO695" s="190"/>
      <c r="AP695" s="190"/>
      <c r="AQ695" s="190"/>
      <c r="AR695" s="619"/>
      <c r="AS695" s="617"/>
    </row>
    <row r="696" spans="1:45" ht="15.75">
      <c r="A696" s="190"/>
      <c r="B696" s="190"/>
      <c r="C696" s="190"/>
      <c r="D696" s="596"/>
      <c r="E696" s="190"/>
      <c r="F696" s="190"/>
      <c r="G696" s="190"/>
      <c r="H696" s="190"/>
      <c r="I696" s="190"/>
      <c r="J696" s="190"/>
      <c r="K696" s="190"/>
      <c r="L696" s="190"/>
      <c r="M696" s="190"/>
      <c r="N696" s="190"/>
      <c r="O696" s="190"/>
      <c r="P696" s="612"/>
      <c r="Q696" s="615"/>
      <c r="R696" s="588"/>
      <c r="S696" s="188"/>
      <c r="T696" s="190"/>
      <c r="U696" s="190"/>
      <c r="V696" s="190"/>
      <c r="W696" s="190"/>
      <c r="X696" s="190"/>
      <c r="Y696" s="190"/>
      <c r="Z696" s="190"/>
      <c r="AA696" s="190"/>
      <c r="AB696" s="190"/>
      <c r="AC696" s="190"/>
      <c r="AD696" s="190"/>
      <c r="AE696" s="190"/>
      <c r="AF696" s="190"/>
      <c r="AG696" s="190"/>
      <c r="AH696" s="190"/>
      <c r="AI696" s="190"/>
      <c r="AJ696" s="190"/>
      <c r="AK696" s="190"/>
      <c r="AL696" s="190"/>
      <c r="AM696" s="603"/>
      <c r="AN696" s="190"/>
      <c r="AO696" s="190"/>
      <c r="AP696" s="190"/>
      <c r="AQ696" s="190"/>
      <c r="AR696" s="619"/>
      <c r="AS696" s="617"/>
    </row>
    <row r="697" spans="1:45" ht="15.75">
      <c r="A697" s="190"/>
      <c r="B697" s="190"/>
      <c r="C697" s="190"/>
      <c r="D697" s="596"/>
      <c r="E697" s="190"/>
      <c r="F697" s="190"/>
      <c r="G697" s="190"/>
      <c r="H697" s="190"/>
      <c r="I697" s="190"/>
      <c r="J697" s="190"/>
      <c r="K697" s="190"/>
      <c r="L697" s="190"/>
      <c r="M697" s="190"/>
      <c r="N697" s="190"/>
      <c r="O697" s="190"/>
      <c r="P697" s="612"/>
      <c r="Q697" s="615"/>
      <c r="R697" s="588"/>
      <c r="S697" s="188"/>
      <c r="T697" s="190"/>
      <c r="U697" s="190"/>
      <c r="V697" s="190"/>
      <c r="W697" s="190"/>
      <c r="X697" s="190"/>
      <c r="Y697" s="190"/>
      <c r="Z697" s="190"/>
      <c r="AA697" s="190"/>
      <c r="AB697" s="190"/>
      <c r="AC697" s="190"/>
      <c r="AD697" s="190"/>
      <c r="AE697" s="190"/>
      <c r="AF697" s="190"/>
      <c r="AG697" s="190"/>
      <c r="AH697" s="190"/>
      <c r="AI697" s="190"/>
      <c r="AJ697" s="190"/>
      <c r="AK697" s="190"/>
      <c r="AL697" s="190"/>
      <c r="AM697" s="603"/>
      <c r="AN697" s="190"/>
      <c r="AO697" s="190"/>
      <c r="AP697" s="190"/>
      <c r="AQ697" s="190"/>
      <c r="AR697" s="619"/>
      <c r="AS697" s="617"/>
    </row>
    <row r="698" spans="1:45" ht="15.75">
      <c r="A698" s="190"/>
      <c r="B698" s="190"/>
      <c r="C698" s="190"/>
      <c r="D698" s="596"/>
      <c r="E698" s="190"/>
      <c r="F698" s="190"/>
      <c r="G698" s="190"/>
      <c r="H698" s="190"/>
      <c r="I698" s="190"/>
      <c r="J698" s="190"/>
      <c r="K698" s="190"/>
      <c r="L698" s="190"/>
      <c r="M698" s="190"/>
      <c r="N698" s="190"/>
      <c r="O698" s="190"/>
      <c r="P698" s="612"/>
      <c r="Q698" s="615"/>
      <c r="R698" s="588"/>
      <c r="S698" s="188"/>
      <c r="T698" s="190"/>
      <c r="U698" s="190"/>
      <c r="V698" s="190"/>
      <c r="W698" s="190"/>
      <c r="X698" s="190"/>
      <c r="Y698" s="190"/>
      <c r="Z698" s="190"/>
      <c r="AA698" s="190"/>
      <c r="AB698" s="190"/>
      <c r="AC698" s="190"/>
      <c r="AD698" s="190"/>
      <c r="AE698" s="190"/>
      <c r="AF698" s="190"/>
      <c r="AG698" s="190"/>
      <c r="AH698" s="190"/>
      <c r="AI698" s="190"/>
      <c r="AJ698" s="190"/>
      <c r="AK698" s="190"/>
      <c r="AL698" s="190"/>
      <c r="AM698" s="603"/>
      <c r="AN698" s="190"/>
      <c r="AO698" s="190"/>
      <c r="AP698" s="190"/>
      <c r="AQ698" s="190"/>
      <c r="AR698" s="619"/>
      <c r="AS698" s="617"/>
    </row>
    <row r="699" spans="1:45">
      <c r="A699" s="190"/>
      <c r="B699" s="190"/>
      <c r="C699" s="190"/>
      <c r="D699" s="190"/>
      <c r="E699" s="190"/>
      <c r="F699" s="190"/>
      <c r="G699" s="190"/>
      <c r="H699" s="190"/>
      <c r="I699" s="190"/>
      <c r="J699" s="190"/>
      <c r="K699" s="190"/>
      <c r="L699" s="190"/>
      <c r="M699" s="190"/>
      <c r="N699" s="190"/>
      <c r="O699" s="190"/>
      <c r="P699" s="612"/>
      <c r="Q699" s="615"/>
      <c r="R699" s="588"/>
      <c r="S699" s="188"/>
      <c r="T699" s="190"/>
      <c r="U699" s="190"/>
      <c r="V699" s="190"/>
      <c r="W699" s="190"/>
      <c r="X699" s="190"/>
      <c r="Y699" s="190"/>
      <c r="Z699" s="190"/>
      <c r="AA699" s="190"/>
      <c r="AB699" s="190"/>
      <c r="AC699" s="190"/>
      <c r="AD699" s="190"/>
      <c r="AE699" s="190"/>
      <c r="AF699" s="190"/>
      <c r="AG699" s="190"/>
      <c r="AH699" s="190"/>
      <c r="AI699" s="190"/>
      <c r="AJ699" s="190"/>
      <c r="AK699" s="190"/>
      <c r="AL699" s="190"/>
      <c r="AM699" s="603"/>
      <c r="AN699" s="190"/>
      <c r="AO699" s="190"/>
      <c r="AP699" s="190"/>
      <c r="AQ699" s="190"/>
      <c r="AR699" s="619"/>
      <c r="AS699" s="617"/>
    </row>
    <row r="700" spans="1:45">
      <c r="A700" s="190"/>
      <c r="B700" s="190"/>
      <c r="C700" s="190"/>
      <c r="D700" s="190"/>
      <c r="E700" s="190"/>
      <c r="F700" s="190"/>
      <c r="G700" s="190"/>
      <c r="H700" s="190"/>
      <c r="I700" s="190"/>
      <c r="J700" s="190"/>
      <c r="K700" s="190"/>
      <c r="L700" s="190"/>
      <c r="M700" s="190"/>
      <c r="N700" s="190"/>
      <c r="O700" s="190"/>
      <c r="P700" s="612"/>
      <c r="Q700" s="615"/>
      <c r="R700" s="588"/>
      <c r="S700" s="188"/>
      <c r="T700" s="190"/>
      <c r="U700" s="190"/>
      <c r="V700" s="190"/>
      <c r="W700" s="190"/>
      <c r="X700" s="190"/>
      <c r="Y700" s="190"/>
      <c r="Z700" s="190"/>
      <c r="AA700" s="190"/>
      <c r="AB700" s="190"/>
      <c r="AC700" s="190"/>
      <c r="AD700" s="190"/>
      <c r="AE700" s="190"/>
      <c r="AF700" s="190"/>
      <c r="AG700" s="190"/>
      <c r="AH700" s="190"/>
      <c r="AI700" s="190"/>
      <c r="AJ700" s="190"/>
      <c r="AK700" s="190"/>
      <c r="AL700" s="190"/>
      <c r="AM700" s="603"/>
      <c r="AN700" s="190"/>
      <c r="AO700" s="190"/>
      <c r="AP700" s="190"/>
      <c r="AQ700" s="190"/>
      <c r="AR700" s="619"/>
      <c r="AS700" s="617"/>
    </row>
    <row r="701" spans="1:45">
      <c r="A701" s="190"/>
      <c r="B701" s="190"/>
      <c r="C701" s="190"/>
      <c r="D701" s="190"/>
      <c r="E701" s="190"/>
      <c r="F701" s="190"/>
      <c r="G701" s="190"/>
      <c r="H701" s="190"/>
      <c r="I701" s="190"/>
      <c r="J701" s="190"/>
      <c r="K701" s="190"/>
      <c r="L701" s="190"/>
      <c r="M701" s="190"/>
      <c r="N701" s="190"/>
      <c r="O701" s="190"/>
      <c r="P701" s="612"/>
      <c r="Q701" s="615"/>
      <c r="R701" s="588"/>
      <c r="S701" s="188"/>
      <c r="T701" s="190"/>
      <c r="U701" s="190"/>
      <c r="V701" s="190"/>
      <c r="W701" s="190"/>
      <c r="X701" s="190"/>
      <c r="Y701" s="190"/>
      <c r="Z701" s="190"/>
      <c r="AA701" s="190"/>
      <c r="AB701" s="190"/>
      <c r="AC701" s="190"/>
      <c r="AD701" s="190"/>
      <c r="AE701" s="190"/>
      <c r="AF701" s="190"/>
      <c r="AG701" s="190"/>
      <c r="AH701" s="190"/>
      <c r="AI701" s="190"/>
      <c r="AJ701" s="190"/>
      <c r="AK701" s="190"/>
      <c r="AL701" s="190"/>
      <c r="AM701" s="603"/>
      <c r="AN701" s="190"/>
      <c r="AO701" s="190"/>
      <c r="AP701" s="190"/>
      <c r="AQ701" s="190"/>
      <c r="AR701" s="619"/>
      <c r="AS701" s="617"/>
    </row>
    <row r="702" spans="1:45">
      <c r="A702" s="190"/>
      <c r="B702" s="190"/>
      <c r="C702" s="190"/>
      <c r="D702" s="190"/>
      <c r="E702" s="190"/>
      <c r="F702" s="190"/>
      <c r="G702" s="190"/>
      <c r="H702" s="190"/>
      <c r="I702" s="190"/>
      <c r="J702" s="190"/>
      <c r="K702" s="190"/>
      <c r="L702" s="190"/>
      <c r="M702" s="190"/>
      <c r="N702" s="190"/>
      <c r="O702" s="190"/>
      <c r="P702" s="612"/>
      <c r="Q702" s="615"/>
      <c r="R702" s="588"/>
      <c r="S702" s="188"/>
      <c r="T702" s="190"/>
      <c r="U702" s="190"/>
      <c r="V702" s="190"/>
      <c r="W702" s="190"/>
      <c r="X702" s="190"/>
      <c r="Y702" s="190"/>
      <c r="Z702" s="190"/>
      <c r="AA702" s="190"/>
      <c r="AB702" s="190"/>
      <c r="AC702" s="190"/>
      <c r="AD702" s="190"/>
      <c r="AE702" s="190"/>
      <c r="AF702" s="190"/>
      <c r="AG702" s="190"/>
      <c r="AH702" s="190"/>
      <c r="AI702" s="190"/>
      <c r="AJ702" s="190"/>
      <c r="AK702" s="190"/>
      <c r="AL702" s="190"/>
      <c r="AM702" s="603"/>
      <c r="AN702" s="190"/>
      <c r="AO702" s="190"/>
      <c r="AP702" s="190"/>
      <c r="AQ702" s="190"/>
      <c r="AR702" s="619"/>
      <c r="AS702" s="617"/>
    </row>
    <row r="703" spans="1:45">
      <c r="A703" s="190"/>
      <c r="B703" s="190"/>
      <c r="C703" s="190"/>
      <c r="D703" s="190"/>
      <c r="E703" s="190"/>
      <c r="F703" s="190"/>
      <c r="G703" s="190"/>
      <c r="H703" s="190"/>
      <c r="I703" s="190"/>
      <c r="J703" s="190"/>
      <c r="K703" s="190"/>
      <c r="L703" s="190"/>
      <c r="M703" s="190"/>
      <c r="N703" s="190"/>
      <c r="O703" s="190"/>
      <c r="P703" s="612"/>
      <c r="Q703" s="615"/>
      <c r="R703" s="588"/>
      <c r="S703" s="188"/>
      <c r="T703" s="190"/>
      <c r="U703" s="190"/>
      <c r="V703" s="190"/>
      <c r="W703" s="190"/>
      <c r="X703" s="190"/>
      <c r="Y703" s="190"/>
      <c r="Z703" s="190"/>
      <c r="AA703" s="190"/>
      <c r="AB703" s="190"/>
      <c r="AC703" s="190"/>
      <c r="AD703" s="190"/>
      <c r="AE703" s="190"/>
      <c r="AF703" s="190"/>
      <c r="AG703" s="190"/>
      <c r="AH703" s="190"/>
      <c r="AI703" s="190"/>
      <c r="AJ703" s="190"/>
      <c r="AK703" s="190"/>
      <c r="AL703" s="190"/>
      <c r="AM703" s="603"/>
      <c r="AN703" s="190"/>
      <c r="AO703" s="190"/>
      <c r="AP703" s="190"/>
      <c r="AQ703" s="190"/>
      <c r="AR703" s="619"/>
      <c r="AS703" s="617"/>
    </row>
    <row r="704" spans="1:45">
      <c r="A704" s="190"/>
      <c r="B704" s="190"/>
      <c r="C704" s="190"/>
      <c r="D704" s="190"/>
      <c r="E704" s="190"/>
      <c r="F704" s="190"/>
      <c r="G704" s="190"/>
      <c r="H704" s="190"/>
      <c r="I704" s="190"/>
      <c r="J704" s="190"/>
      <c r="K704" s="190"/>
      <c r="L704" s="190"/>
      <c r="M704" s="190"/>
      <c r="N704" s="190"/>
      <c r="O704" s="190"/>
      <c r="P704" s="612"/>
      <c r="Q704" s="615"/>
      <c r="R704" s="588"/>
      <c r="S704" s="188"/>
      <c r="T704" s="190"/>
      <c r="U704" s="190"/>
      <c r="V704" s="190"/>
      <c r="W704" s="190"/>
      <c r="X704" s="190"/>
      <c r="Y704" s="190"/>
      <c r="Z704" s="190"/>
      <c r="AA704" s="190"/>
      <c r="AB704" s="190"/>
      <c r="AC704" s="190"/>
      <c r="AD704" s="190"/>
      <c r="AE704" s="190"/>
      <c r="AF704" s="190"/>
      <c r="AG704" s="190"/>
      <c r="AH704" s="190"/>
      <c r="AI704" s="190"/>
      <c r="AJ704" s="190"/>
      <c r="AK704" s="190"/>
      <c r="AL704" s="190"/>
      <c r="AM704" s="603"/>
      <c r="AN704" s="190"/>
      <c r="AO704" s="190"/>
      <c r="AP704" s="190"/>
      <c r="AQ704" s="190"/>
      <c r="AR704" s="619"/>
      <c r="AS704" s="617"/>
    </row>
    <row r="705" spans="1:45">
      <c r="A705" s="190"/>
      <c r="B705" s="190"/>
      <c r="C705" s="190"/>
      <c r="D705" s="190"/>
      <c r="E705" s="190"/>
      <c r="F705" s="190"/>
      <c r="G705" s="190"/>
      <c r="H705" s="190"/>
      <c r="I705" s="190"/>
      <c r="J705" s="190"/>
      <c r="K705" s="190"/>
      <c r="L705" s="190"/>
      <c r="M705" s="190"/>
      <c r="N705" s="190"/>
      <c r="O705" s="190"/>
      <c r="P705" s="612"/>
      <c r="Q705" s="615"/>
      <c r="R705" s="588"/>
      <c r="S705" s="188"/>
      <c r="T705" s="190"/>
      <c r="U705" s="190"/>
      <c r="V705" s="190"/>
      <c r="W705" s="190"/>
      <c r="X705" s="190"/>
      <c r="Y705" s="190"/>
      <c r="Z705" s="190"/>
      <c r="AA705" s="190"/>
      <c r="AB705" s="190"/>
      <c r="AC705" s="190"/>
      <c r="AD705" s="190"/>
      <c r="AE705" s="190"/>
      <c r="AF705" s="190"/>
      <c r="AG705" s="190"/>
      <c r="AH705" s="190"/>
      <c r="AI705" s="190"/>
      <c r="AJ705" s="190"/>
      <c r="AK705" s="190"/>
      <c r="AL705" s="190"/>
      <c r="AM705" s="603"/>
      <c r="AN705" s="190"/>
      <c r="AO705" s="190"/>
      <c r="AP705" s="190"/>
      <c r="AQ705" s="190"/>
      <c r="AR705" s="619"/>
      <c r="AS705" s="617"/>
    </row>
    <row r="706" spans="1:45">
      <c r="A706" s="190"/>
      <c r="B706" s="190"/>
      <c r="C706" s="190"/>
      <c r="D706" s="190"/>
      <c r="E706" s="190"/>
      <c r="F706" s="190"/>
      <c r="G706" s="190"/>
      <c r="H706" s="190"/>
      <c r="I706" s="190"/>
      <c r="J706" s="190"/>
      <c r="K706" s="190"/>
      <c r="L706" s="190"/>
      <c r="M706" s="190"/>
      <c r="N706" s="190"/>
      <c r="O706" s="190"/>
      <c r="P706" s="612"/>
      <c r="Q706" s="615"/>
      <c r="R706" s="588"/>
      <c r="S706" s="188"/>
      <c r="T706" s="190"/>
      <c r="U706" s="190"/>
      <c r="V706" s="190"/>
      <c r="W706" s="190"/>
      <c r="X706" s="190"/>
      <c r="Y706" s="190"/>
      <c r="Z706" s="190"/>
      <c r="AA706" s="190"/>
      <c r="AB706" s="190"/>
      <c r="AC706" s="190"/>
      <c r="AD706" s="190"/>
      <c r="AE706" s="190"/>
      <c r="AF706" s="190"/>
      <c r="AG706" s="190"/>
      <c r="AH706" s="190"/>
      <c r="AI706" s="190"/>
      <c r="AJ706" s="190"/>
      <c r="AK706" s="190"/>
      <c r="AL706" s="190"/>
      <c r="AM706" s="603"/>
      <c r="AN706" s="190"/>
      <c r="AO706" s="190"/>
      <c r="AP706" s="190"/>
      <c r="AQ706" s="190"/>
      <c r="AR706" s="619"/>
      <c r="AS706" s="617"/>
    </row>
    <row r="707" spans="1:45">
      <c r="A707" s="190"/>
      <c r="B707" s="190"/>
      <c r="C707" s="190"/>
      <c r="D707" s="190"/>
      <c r="E707" s="190"/>
      <c r="F707" s="190"/>
      <c r="G707" s="190"/>
      <c r="H707" s="190"/>
      <c r="I707" s="190"/>
      <c r="J707" s="190"/>
      <c r="K707" s="190"/>
      <c r="L707" s="190"/>
      <c r="M707" s="190"/>
      <c r="N707" s="190"/>
      <c r="O707" s="190"/>
      <c r="P707" s="612"/>
      <c r="Q707" s="615"/>
      <c r="R707" s="588"/>
      <c r="S707" s="188"/>
      <c r="T707" s="190"/>
      <c r="U707" s="190"/>
      <c r="V707" s="190"/>
      <c r="W707" s="190"/>
      <c r="X707" s="190"/>
      <c r="Y707" s="190"/>
      <c r="Z707" s="190"/>
      <c r="AA707" s="190"/>
      <c r="AB707" s="190"/>
      <c r="AC707" s="190"/>
      <c r="AD707" s="190"/>
      <c r="AE707" s="190"/>
      <c r="AF707" s="190"/>
      <c r="AG707" s="190"/>
      <c r="AH707" s="190"/>
      <c r="AI707" s="190"/>
      <c r="AJ707" s="190"/>
      <c r="AK707" s="190"/>
      <c r="AL707" s="190"/>
      <c r="AM707" s="603"/>
      <c r="AN707" s="190"/>
      <c r="AO707" s="190"/>
      <c r="AP707" s="190"/>
      <c r="AQ707" s="190"/>
      <c r="AR707" s="619"/>
      <c r="AS707" s="617"/>
    </row>
    <row r="708" spans="1:45">
      <c r="A708" s="190"/>
      <c r="B708" s="190"/>
      <c r="C708" s="190"/>
      <c r="D708" s="190"/>
      <c r="E708" s="190"/>
      <c r="F708" s="190"/>
      <c r="G708" s="190"/>
      <c r="H708" s="190"/>
      <c r="I708" s="190"/>
      <c r="J708" s="190"/>
      <c r="K708" s="190"/>
      <c r="L708" s="190"/>
      <c r="M708" s="190"/>
      <c r="N708" s="190"/>
      <c r="O708" s="190"/>
      <c r="P708" s="612"/>
      <c r="Q708" s="615"/>
      <c r="R708" s="588"/>
      <c r="S708" s="188"/>
      <c r="T708" s="190"/>
      <c r="U708" s="190"/>
      <c r="V708" s="190"/>
      <c r="W708" s="190"/>
      <c r="X708" s="190"/>
      <c r="Y708" s="190"/>
      <c r="Z708" s="190"/>
      <c r="AA708" s="190"/>
      <c r="AB708" s="190"/>
      <c r="AC708" s="190"/>
      <c r="AD708" s="190"/>
      <c r="AE708" s="190"/>
      <c r="AF708" s="190"/>
      <c r="AG708" s="190"/>
      <c r="AH708" s="190"/>
      <c r="AI708" s="190"/>
      <c r="AJ708" s="190"/>
      <c r="AK708" s="190"/>
      <c r="AL708" s="190"/>
      <c r="AM708" s="603"/>
      <c r="AN708" s="190"/>
      <c r="AO708" s="190"/>
      <c r="AP708" s="190"/>
      <c r="AQ708" s="190"/>
      <c r="AR708" s="619"/>
      <c r="AS708" s="617"/>
    </row>
    <row r="709" spans="1:45">
      <c r="A709" s="190"/>
      <c r="B709" s="190"/>
      <c r="C709" s="190"/>
      <c r="D709" s="190"/>
      <c r="E709" s="190"/>
      <c r="F709" s="190"/>
      <c r="G709" s="190"/>
      <c r="H709" s="190"/>
      <c r="I709" s="190"/>
      <c r="J709" s="190"/>
      <c r="K709" s="190"/>
      <c r="L709" s="190"/>
      <c r="M709" s="190"/>
      <c r="N709" s="190"/>
      <c r="O709" s="190"/>
      <c r="P709" s="612"/>
      <c r="Q709" s="615"/>
      <c r="R709" s="588"/>
      <c r="S709" s="188"/>
      <c r="T709" s="190"/>
      <c r="U709" s="190"/>
      <c r="V709" s="190"/>
      <c r="W709" s="190"/>
      <c r="X709" s="190"/>
      <c r="Y709" s="190"/>
      <c r="Z709" s="190"/>
      <c r="AA709" s="190"/>
      <c r="AB709" s="190"/>
      <c r="AC709" s="190"/>
      <c r="AD709" s="190"/>
      <c r="AE709" s="190"/>
      <c r="AF709" s="190"/>
      <c r="AG709" s="190"/>
      <c r="AH709" s="190"/>
      <c r="AI709" s="190"/>
      <c r="AJ709" s="190"/>
      <c r="AK709" s="190"/>
      <c r="AL709" s="190"/>
      <c r="AM709" s="603"/>
      <c r="AN709" s="190"/>
      <c r="AO709" s="190"/>
      <c r="AP709" s="190"/>
      <c r="AQ709" s="190"/>
      <c r="AR709" s="619"/>
      <c r="AS709" s="617"/>
    </row>
    <row r="710" spans="1:45">
      <c r="A710" s="190"/>
      <c r="B710" s="190"/>
      <c r="C710" s="190"/>
      <c r="D710" s="190"/>
      <c r="E710" s="190"/>
      <c r="F710" s="190"/>
      <c r="G710" s="190"/>
      <c r="H710" s="190"/>
      <c r="I710" s="190"/>
      <c r="J710" s="190"/>
      <c r="K710" s="190"/>
      <c r="L710" s="190"/>
      <c r="M710" s="190"/>
      <c r="N710" s="190"/>
      <c r="O710" s="190"/>
      <c r="P710" s="612"/>
      <c r="Q710" s="615"/>
      <c r="R710" s="588"/>
      <c r="S710" s="188"/>
      <c r="T710" s="190"/>
      <c r="U710" s="190"/>
      <c r="V710" s="190"/>
      <c r="W710" s="190"/>
      <c r="X710" s="190"/>
      <c r="Y710" s="190"/>
      <c r="Z710" s="190"/>
      <c r="AA710" s="190"/>
      <c r="AB710" s="190"/>
      <c r="AC710" s="190"/>
      <c r="AD710" s="190"/>
      <c r="AE710" s="190"/>
      <c r="AF710" s="190"/>
      <c r="AG710" s="190"/>
      <c r="AH710" s="190"/>
      <c r="AI710" s="190"/>
      <c r="AJ710" s="190"/>
      <c r="AK710" s="190"/>
      <c r="AL710" s="190"/>
      <c r="AM710" s="603"/>
      <c r="AN710" s="190"/>
      <c r="AO710" s="190"/>
      <c r="AP710" s="190"/>
      <c r="AQ710" s="190"/>
      <c r="AR710" s="619"/>
      <c r="AS710" s="617"/>
    </row>
    <row r="711" spans="1:45">
      <c r="A711" s="190"/>
      <c r="B711" s="190"/>
      <c r="C711" s="190"/>
      <c r="D711" s="190"/>
      <c r="E711" s="190"/>
      <c r="F711" s="190"/>
      <c r="G711" s="190"/>
      <c r="H711" s="190"/>
      <c r="I711" s="190"/>
      <c r="J711" s="190"/>
      <c r="K711" s="190"/>
      <c r="L711" s="190"/>
      <c r="M711" s="190"/>
      <c r="N711" s="190"/>
      <c r="O711" s="190"/>
      <c r="P711" s="612"/>
      <c r="Q711" s="615"/>
      <c r="R711" s="588"/>
      <c r="S711" s="188"/>
      <c r="T711" s="190"/>
      <c r="U711" s="190"/>
      <c r="V711" s="190"/>
      <c r="W711" s="190"/>
      <c r="X711" s="190"/>
      <c r="Y711" s="190"/>
      <c r="Z711" s="190"/>
      <c r="AA711" s="190"/>
      <c r="AB711" s="190"/>
      <c r="AC711" s="190"/>
      <c r="AD711" s="190"/>
      <c r="AE711" s="190"/>
      <c r="AF711" s="190"/>
      <c r="AG711" s="190"/>
      <c r="AH711" s="190"/>
      <c r="AI711" s="190"/>
      <c r="AJ711" s="190"/>
      <c r="AK711" s="190"/>
      <c r="AL711" s="190"/>
      <c r="AM711" s="603"/>
      <c r="AN711" s="190"/>
      <c r="AO711" s="190"/>
      <c r="AP711" s="190"/>
      <c r="AQ711" s="190"/>
      <c r="AR711" s="619"/>
      <c r="AS711" s="617"/>
    </row>
    <row r="712" spans="1:45">
      <c r="A712" s="190"/>
      <c r="B712" s="190"/>
      <c r="C712" s="190"/>
      <c r="D712" s="190"/>
      <c r="E712" s="190"/>
      <c r="F712" s="190"/>
      <c r="G712" s="190"/>
      <c r="H712" s="190"/>
      <c r="I712" s="190"/>
      <c r="J712" s="190"/>
      <c r="K712" s="190"/>
      <c r="L712" s="190"/>
      <c r="M712" s="190"/>
      <c r="N712" s="190"/>
      <c r="O712" s="190"/>
      <c r="P712" s="612"/>
      <c r="Q712" s="615"/>
      <c r="R712" s="588"/>
      <c r="S712" s="188"/>
      <c r="T712" s="190"/>
      <c r="U712" s="190"/>
      <c r="V712" s="190"/>
      <c r="W712" s="190"/>
      <c r="X712" s="190"/>
      <c r="Y712" s="190"/>
      <c r="Z712" s="190"/>
      <c r="AA712" s="190"/>
      <c r="AB712" s="190"/>
      <c r="AC712" s="190"/>
      <c r="AD712" s="190"/>
      <c r="AE712" s="190"/>
      <c r="AF712" s="190"/>
      <c r="AG712" s="190"/>
      <c r="AH712" s="190"/>
      <c r="AI712" s="190"/>
      <c r="AJ712" s="190"/>
      <c r="AK712" s="190"/>
      <c r="AL712" s="190"/>
      <c r="AM712" s="603"/>
      <c r="AN712" s="190"/>
      <c r="AO712" s="190"/>
      <c r="AP712" s="190"/>
      <c r="AQ712" s="190"/>
      <c r="AR712" s="619"/>
      <c r="AS712" s="617"/>
    </row>
    <row r="713" spans="1:45">
      <c r="A713" s="190"/>
      <c r="B713" s="190"/>
      <c r="C713" s="190"/>
      <c r="D713" s="190"/>
      <c r="E713" s="190"/>
      <c r="F713" s="190"/>
      <c r="G713" s="190"/>
      <c r="H713" s="190"/>
      <c r="I713" s="190"/>
      <c r="J713" s="190"/>
      <c r="K713" s="190"/>
      <c r="L713" s="190"/>
      <c r="M713" s="190"/>
      <c r="N713" s="190"/>
      <c r="O713" s="190"/>
      <c r="P713" s="612"/>
      <c r="Q713" s="615"/>
      <c r="R713" s="588"/>
      <c r="S713" s="188"/>
      <c r="T713" s="190"/>
      <c r="U713" s="190"/>
      <c r="V713" s="190"/>
      <c r="W713" s="190"/>
      <c r="X713" s="190"/>
      <c r="Y713" s="190"/>
      <c r="Z713" s="190"/>
      <c r="AA713" s="190"/>
      <c r="AB713" s="190"/>
      <c r="AC713" s="190"/>
      <c r="AD713" s="190"/>
      <c r="AE713" s="190"/>
      <c r="AF713" s="190"/>
      <c r="AG713" s="190"/>
      <c r="AH713" s="190"/>
      <c r="AI713" s="190"/>
      <c r="AJ713" s="190"/>
      <c r="AK713" s="190"/>
      <c r="AL713" s="190"/>
      <c r="AM713" s="603"/>
      <c r="AN713" s="190"/>
      <c r="AO713" s="190"/>
      <c r="AP713" s="190"/>
      <c r="AQ713" s="190"/>
      <c r="AR713" s="619"/>
      <c r="AS713" s="617"/>
    </row>
    <row r="714" spans="1:45">
      <c r="A714" s="190"/>
      <c r="B714" s="190"/>
      <c r="C714" s="190"/>
      <c r="D714" s="190"/>
      <c r="E714" s="190"/>
      <c r="F714" s="190"/>
      <c r="G714" s="190"/>
      <c r="H714" s="190"/>
      <c r="I714" s="190"/>
      <c r="J714" s="190"/>
      <c r="K714" s="190"/>
      <c r="L714" s="190"/>
      <c r="M714" s="190"/>
      <c r="N714" s="190"/>
      <c r="O714" s="190"/>
      <c r="P714" s="612"/>
      <c r="Q714" s="615"/>
      <c r="R714" s="588"/>
      <c r="S714" s="188"/>
      <c r="T714" s="190"/>
      <c r="U714" s="190"/>
      <c r="V714" s="190"/>
      <c r="W714" s="190"/>
      <c r="X714" s="190"/>
      <c r="Y714" s="190"/>
      <c r="Z714" s="190"/>
      <c r="AA714" s="190"/>
      <c r="AB714" s="190"/>
      <c r="AC714" s="190"/>
      <c r="AD714" s="190"/>
      <c r="AE714" s="190"/>
      <c r="AF714" s="190"/>
      <c r="AG714" s="190"/>
      <c r="AH714" s="190"/>
      <c r="AI714" s="190"/>
      <c r="AJ714" s="190"/>
      <c r="AK714" s="190"/>
      <c r="AL714" s="190"/>
      <c r="AM714" s="603"/>
      <c r="AN714" s="190"/>
      <c r="AO714" s="190"/>
      <c r="AP714" s="190"/>
      <c r="AQ714" s="190"/>
      <c r="AR714" s="619"/>
      <c r="AS714" s="617"/>
    </row>
    <row r="715" spans="1:45">
      <c r="A715" s="190"/>
      <c r="B715" s="190"/>
      <c r="C715" s="190"/>
      <c r="D715" s="190"/>
      <c r="E715" s="190"/>
      <c r="F715" s="190"/>
      <c r="G715" s="190"/>
      <c r="H715" s="190"/>
      <c r="I715" s="190"/>
      <c r="J715" s="190"/>
      <c r="K715" s="190"/>
      <c r="L715" s="190"/>
      <c r="M715" s="190"/>
      <c r="N715" s="190"/>
      <c r="O715" s="190"/>
      <c r="P715" s="612"/>
      <c r="Q715" s="615"/>
      <c r="R715" s="588"/>
      <c r="S715" s="188"/>
      <c r="T715" s="190"/>
      <c r="U715" s="190"/>
      <c r="V715" s="190"/>
      <c r="W715" s="190"/>
      <c r="X715" s="190"/>
      <c r="Y715" s="190"/>
      <c r="Z715" s="190"/>
      <c r="AA715" s="190"/>
      <c r="AB715" s="190"/>
      <c r="AC715" s="190"/>
      <c r="AD715" s="190"/>
      <c r="AE715" s="190"/>
      <c r="AF715" s="190"/>
      <c r="AG715" s="190"/>
      <c r="AH715" s="190"/>
      <c r="AI715" s="190"/>
      <c r="AJ715" s="190"/>
      <c r="AK715" s="190"/>
      <c r="AL715" s="190"/>
      <c r="AM715" s="603"/>
      <c r="AN715" s="190"/>
      <c r="AO715" s="190"/>
      <c r="AP715" s="190"/>
      <c r="AQ715" s="190"/>
      <c r="AR715" s="619"/>
      <c r="AS715" s="617"/>
    </row>
    <row r="716" spans="1:45">
      <c r="A716" s="190"/>
      <c r="B716" s="190"/>
      <c r="C716" s="190"/>
      <c r="D716" s="190"/>
      <c r="E716" s="190"/>
      <c r="F716" s="190"/>
      <c r="G716" s="190"/>
      <c r="H716" s="190"/>
      <c r="I716" s="190"/>
      <c r="J716" s="190"/>
      <c r="K716" s="190"/>
      <c r="L716" s="190"/>
      <c r="M716" s="190"/>
      <c r="N716" s="190"/>
      <c r="O716" s="190"/>
      <c r="P716" s="612"/>
      <c r="Q716" s="615"/>
      <c r="R716" s="588"/>
      <c r="S716" s="188"/>
      <c r="T716" s="190"/>
      <c r="U716" s="190"/>
      <c r="V716" s="190"/>
      <c r="W716" s="190"/>
      <c r="X716" s="190"/>
      <c r="Y716" s="190"/>
      <c r="Z716" s="190"/>
      <c r="AA716" s="190"/>
      <c r="AB716" s="190"/>
      <c r="AC716" s="190"/>
      <c r="AD716" s="190"/>
      <c r="AE716" s="190"/>
      <c r="AF716" s="190"/>
      <c r="AG716" s="190"/>
      <c r="AH716" s="190"/>
      <c r="AI716" s="190"/>
      <c r="AJ716" s="190"/>
      <c r="AK716" s="190"/>
      <c r="AL716" s="190"/>
      <c r="AM716" s="603"/>
      <c r="AN716" s="190"/>
      <c r="AO716" s="190"/>
      <c r="AP716" s="190"/>
      <c r="AQ716" s="190"/>
      <c r="AR716" s="619"/>
      <c r="AS716" s="617"/>
    </row>
    <row r="717" spans="1:45">
      <c r="A717" s="190"/>
      <c r="B717" s="190"/>
      <c r="C717" s="190"/>
      <c r="D717" s="190"/>
      <c r="E717" s="190"/>
      <c r="F717" s="190"/>
      <c r="G717" s="190"/>
      <c r="H717" s="190"/>
      <c r="I717" s="190"/>
      <c r="J717" s="190"/>
      <c r="K717" s="190"/>
      <c r="L717" s="190"/>
      <c r="M717" s="190"/>
      <c r="N717" s="190"/>
      <c r="O717" s="190"/>
      <c r="P717" s="612"/>
      <c r="Q717" s="615"/>
      <c r="R717" s="588"/>
      <c r="S717" s="188"/>
      <c r="T717" s="190"/>
      <c r="U717" s="190"/>
      <c r="V717" s="190"/>
      <c r="W717" s="190"/>
      <c r="X717" s="190"/>
      <c r="Y717" s="190"/>
      <c r="Z717" s="190"/>
      <c r="AA717" s="190"/>
      <c r="AB717" s="190"/>
      <c r="AC717" s="190"/>
      <c r="AD717" s="190"/>
      <c r="AE717" s="190"/>
      <c r="AF717" s="190"/>
      <c r="AG717" s="190"/>
      <c r="AH717" s="190"/>
      <c r="AI717" s="190"/>
      <c r="AJ717" s="190"/>
      <c r="AK717" s="190"/>
      <c r="AL717" s="190"/>
      <c r="AM717" s="603"/>
      <c r="AN717" s="190"/>
      <c r="AO717" s="190"/>
      <c r="AP717" s="190"/>
      <c r="AQ717" s="190"/>
      <c r="AR717" s="619"/>
      <c r="AS717" s="617"/>
    </row>
    <row r="718" spans="1:45">
      <c r="A718" s="190"/>
      <c r="B718" s="190"/>
      <c r="C718" s="190"/>
      <c r="D718" s="190"/>
      <c r="E718" s="190"/>
      <c r="F718" s="190"/>
      <c r="G718" s="190"/>
      <c r="H718" s="190"/>
      <c r="I718" s="190"/>
      <c r="J718" s="190"/>
      <c r="K718" s="190"/>
      <c r="L718" s="190"/>
      <c r="M718" s="190"/>
      <c r="N718" s="190"/>
      <c r="O718" s="190"/>
      <c r="P718" s="612"/>
      <c r="Q718" s="615"/>
      <c r="R718" s="588"/>
      <c r="S718" s="188"/>
      <c r="T718" s="190"/>
      <c r="U718" s="190"/>
      <c r="V718" s="190"/>
      <c r="W718" s="190"/>
      <c r="X718" s="190"/>
      <c r="Y718" s="190"/>
      <c r="Z718" s="190"/>
      <c r="AA718" s="190"/>
      <c r="AB718" s="190"/>
      <c r="AC718" s="190"/>
      <c r="AD718" s="190"/>
      <c r="AE718" s="190"/>
      <c r="AF718" s="190"/>
      <c r="AG718" s="190"/>
      <c r="AH718" s="190"/>
      <c r="AI718" s="190"/>
      <c r="AJ718" s="190"/>
      <c r="AK718" s="190"/>
      <c r="AL718" s="190"/>
      <c r="AM718" s="603"/>
      <c r="AN718" s="190"/>
      <c r="AO718" s="190"/>
      <c r="AP718" s="190"/>
      <c r="AQ718" s="190"/>
      <c r="AR718" s="619"/>
      <c r="AS718" s="617"/>
    </row>
    <row r="719" spans="1:45">
      <c r="A719" s="190"/>
      <c r="B719" s="190"/>
      <c r="C719" s="190"/>
      <c r="D719" s="190"/>
      <c r="E719" s="190"/>
      <c r="F719" s="190"/>
      <c r="G719" s="190"/>
      <c r="H719" s="190"/>
      <c r="I719" s="190"/>
      <c r="J719" s="190"/>
      <c r="K719" s="190"/>
      <c r="L719" s="190"/>
      <c r="M719" s="190"/>
      <c r="N719" s="190"/>
      <c r="O719" s="190"/>
      <c r="P719" s="612"/>
      <c r="Q719" s="615"/>
      <c r="R719" s="588"/>
      <c r="S719" s="188"/>
      <c r="T719" s="190"/>
      <c r="U719" s="190"/>
      <c r="V719" s="190"/>
      <c r="W719" s="190"/>
      <c r="X719" s="190"/>
      <c r="Y719" s="190"/>
      <c r="Z719" s="190"/>
      <c r="AA719" s="190"/>
      <c r="AB719" s="190"/>
      <c r="AC719" s="190"/>
      <c r="AD719" s="190"/>
      <c r="AE719" s="190"/>
      <c r="AF719" s="190"/>
      <c r="AG719" s="190"/>
      <c r="AH719" s="190"/>
      <c r="AI719" s="190"/>
      <c r="AJ719" s="190"/>
      <c r="AK719" s="190"/>
      <c r="AL719" s="190"/>
      <c r="AM719" s="603"/>
      <c r="AN719" s="190"/>
      <c r="AO719" s="190"/>
      <c r="AP719" s="190"/>
      <c r="AQ719" s="190"/>
      <c r="AR719" s="619"/>
      <c r="AS719" s="617"/>
    </row>
    <row r="720" spans="1:45">
      <c r="A720" s="190"/>
      <c r="B720" s="190"/>
      <c r="C720" s="190"/>
      <c r="D720" s="190"/>
      <c r="E720" s="190"/>
      <c r="F720" s="190"/>
      <c r="G720" s="190"/>
      <c r="H720" s="190"/>
      <c r="I720" s="190"/>
      <c r="J720" s="190"/>
      <c r="K720" s="190"/>
      <c r="L720" s="190"/>
      <c r="M720" s="190"/>
      <c r="N720" s="190"/>
      <c r="O720" s="190"/>
      <c r="P720" s="190"/>
      <c r="Q720" s="615"/>
      <c r="R720" s="588"/>
      <c r="S720" s="188"/>
      <c r="T720" s="190"/>
      <c r="U720" s="190"/>
      <c r="V720" s="190"/>
      <c r="W720" s="190"/>
      <c r="X720" s="190"/>
      <c r="Y720" s="190"/>
      <c r="Z720" s="190"/>
      <c r="AA720" s="190"/>
      <c r="AB720" s="190"/>
      <c r="AC720" s="190"/>
      <c r="AD720" s="190"/>
      <c r="AE720" s="190"/>
      <c r="AF720" s="190"/>
      <c r="AG720" s="190"/>
      <c r="AH720" s="190"/>
      <c r="AI720" s="190"/>
      <c r="AJ720" s="190"/>
      <c r="AK720" s="190"/>
      <c r="AL720" s="190"/>
      <c r="AM720" s="603"/>
      <c r="AN720" s="190"/>
      <c r="AO720" s="190"/>
      <c r="AP720" s="190"/>
      <c r="AQ720" s="190"/>
      <c r="AR720" s="619"/>
      <c r="AS720" s="617"/>
    </row>
    <row r="721" spans="1:45">
      <c r="A721" s="190"/>
      <c r="B721" s="190"/>
      <c r="C721" s="190"/>
      <c r="D721" s="190"/>
      <c r="E721" s="190"/>
      <c r="F721" s="190"/>
      <c r="G721" s="190"/>
      <c r="H721" s="190"/>
      <c r="I721" s="190"/>
      <c r="J721" s="190"/>
      <c r="K721" s="190"/>
      <c r="L721" s="190"/>
      <c r="M721" s="190"/>
      <c r="N721" s="190"/>
      <c r="O721" s="190"/>
      <c r="P721" s="190"/>
      <c r="Q721" s="615"/>
      <c r="R721" s="588"/>
      <c r="S721" s="188"/>
      <c r="T721" s="190"/>
      <c r="U721" s="190"/>
      <c r="V721" s="190"/>
      <c r="W721" s="190"/>
      <c r="X721" s="190"/>
      <c r="Y721" s="190"/>
      <c r="Z721" s="190"/>
      <c r="AA721" s="190"/>
      <c r="AB721" s="190"/>
      <c r="AC721" s="190"/>
      <c r="AD721" s="190"/>
      <c r="AE721" s="190"/>
      <c r="AF721" s="190"/>
      <c r="AG721" s="190"/>
      <c r="AH721" s="190"/>
      <c r="AI721" s="190"/>
      <c r="AJ721" s="190"/>
      <c r="AK721" s="190"/>
      <c r="AL721" s="190"/>
      <c r="AM721" s="603"/>
      <c r="AN721" s="190"/>
      <c r="AO721" s="190"/>
      <c r="AP721" s="190"/>
      <c r="AQ721" s="190"/>
      <c r="AR721" s="619"/>
      <c r="AS721" s="617"/>
    </row>
    <row r="722" spans="1:45">
      <c r="A722" s="190"/>
      <c r="B722" s="190"/>
      <c r="C722" s="190"/>
      <c r="D722" s="190"/>
      <c r="E722" s="190"/>
      <c r="F722" s="190"/>
      <c r="G722" s="190"/>
      <c r="H722" s="190"/>
      <c r="I722" s="190"/>
      <c r="J722" s="190"/>
      <c r="K722" s="190"/>
      <c r="L722" s="190"/>
      <c r="M722" s="190"/>
      <c r="N722" s="190"/>
      <c r="O722" s="190"/>
      <c r="P722" s="190"/>
      <c r="Q722" s="615"/>
      <c r="R722" s="588"/>
      <c r="S722" s="188"/>
      <c r="T722" s="190"/>
      <c r="U722" s="190"/>
      <c r="V722" s="190"/>
      <c r="W722" s="190"/>
      <c r="X722" s="190"/>
      <c r="Y722" s="190"/>
      <c r="Z722" s="190"/>
      <c r="AA722" s="190"/>
      <c r="AB722" s="190"/>
      <c r="AC722" s="190"/>
      <c r="AD722" s="190"/>
      <c r="AE722" s="190"/>
      <c r="AF722" s="190"/>
      <c r="AG722" s="190"/>
      <c r="AH722" s="190"/>
      <c r="AI722" s="190"/>
      <c r="AJ722" s="190"/>
      <c r="AK722" s="190"/>
      <c r="AL722" s="190"/>
      <c r="AM722" s="603"/>
      <c r="AN722" s="190"/>
      <c r="AO722" s="190"/>
      <c r="AP722" s="190"/>
      <c r="AQ722" s="190"/>
      <c r="AR722" s="619"/>
      <c r="AS722" s="617"/>
    </row>
    <row r="723" spans="1:45">
      <c r="A723" s="190"/>
      <c r="B723" s="190"/>
      <c r="C723" s="190"/>
      <c r="D723" s="190"/>
      <c r="E723" s="190"/>
      <c r="F723" s="190"/>
      <c r="G723" s="190"/>
      <c r="H723" s="190"/>
      <c r="I723" s="190"/>
      <c r="J723" s="190"/>
      <c r="K723" s="190"/>
      <c r="L723" s="190"/>
      <c r="M723" s="190"/>
      <c r="N723" s="190"/>
      <c r="O723" s="190"/>
      <c r="P723" s="190"/>
      <c r="Q723" s="615"/>
      <c r="R723" s="588"/>
      <c r="S723" s="188"/>
      <c r="T723" s="190"/>
      <c r="U723" s="190"/>
      <c r="V723" s="190"/>
      <c r="W723" s="190"/>
      <c r="X723" s="190"/>
      <c r="Y723" s="190"/>
      <c r="Z723" s="190"/>
      <c r="AA723" s="190"/>
      <c r="AB723" s="190"/>
      <c r="AC723" s="190"/>
      <c r="AD723" s="190"/>
      <c r="AE723" s="190"/>
      <c r="AF723" s="190"/>
      <c r="AG723" s="190"/>
      <c r="AH723" s="190"/>
      <c r="AI723" s="190"/>
      <c r="AJ723" s="190"/>
      <c r="AK723" s="190"/>
      <c r="AL723" s="190"/>
      <c r="AM723" s="603"/>
      <c r="AN723" s="190"/>
      <c r="AO723" s="190"/>
      <c r="AP723" s="190"/>
      <c r="AQ723" s="190"/>
      <c r="AR723" s="619"/>
      <c r="AS723" s="617"/>
    </row>
    <row r="724" spans="1:45">
      <c r="A724" s="190"/>
      <c r="B724" s="190"/>
      <c r="C724" s="190"/>
      <c r="D724" s="190"/>
      <c r="E724" s="190"/>
      <c r="F724" s="190"/>
      <c r="G724" s="190"/>
      <c r="H724" s="190"/>
      <c r="I724" s="190"/>
      <c r="J724" s="190"/>
      <c r="K724" s="190"/>
      <c r="L724" s="190"/>
      <c r="M724" s="190"/>
      <c r="N724" s="190"/>
      <c r="O724" s="190"/>
      <c r="P724" s="190"/>
      <c r="Q724" s="615"/>
      <c r="R724" s="588"/>
      <c r="S724" s="188"/>
      <c r="T724" s="190"/>
      <c r="U724" s="190"/>
      <c r="V724" s="190"/>
      <c r="W724" s="190"/>
      <c r="X724" s="190"/>
      <c r="Y724" s="190"/>
      <c r="Z724" s="190"/>
      <c r="AA724" s="190"/>
      <c r="AB724" s="190"/>
      <c r="AC724" s="190"/>
      <c r="AD724" s="190"/>
      <c r="AE724" s="190"/>
      <c r="AF724" s="190"/>
      <c r="AG724" s="190"/>
      <c r="AH724" s="190"/>
      <c r="AI724" s="190"/>
      <c r="AJ724" s="190"/>
      <c r="AK724" s="190"/>
      <c r="AL724" s="190"/>
      <c r="AM724" s="603"/>
      <c r="AN724" s="190"/>
      <c r="AO724" s="190"/>
      <c r="AP724" s="190"/>
      <c r="AQ724" s="190"/>
      <c r="AR724" s="619"/>
      <c r="AS724" s="617"/>
    </row>
    <row r="725" spans="1:45">
      <c r="A725" s="190"/>
      <c r="B725" s="190"/>
      <c r="C725" s="190"/>
      <c r="D725" s="190"/>
      <c r="E725" s="190"/>
      <c r="F725" s="190"/>
      <c r="G725" s="190"/>
      <c r="H725" s="190"/>
      <c r="I725" s="190"/>
      <c r="J725" s="190"/>
      <c r="K725" s="190"/>
      <c r="L725" s="190"/>
      <c r="M725" s="190"/>
      <c r="N725" s="190"/>
      <c r="O725" s="190"/>
      <c r="P725" s="190"/>
      <c r="Q725" s="615"/>
      <c r="R725" s="588"/>
      <c r="S725" s="188"/>
      <c r="T725" s="190"/>
      <c r="U725" s="190"/>
      <c r="V725" s="190"/>
      <c r="W725" s="190"/>
      <c r="X725" s="190"/>
      <c r="Y725" s="190"/>
      <c r="Z725" s="190"/>
      <c r="AA725" s="190"/>
      <c r="AB725" s="190"/>
      <c r="AC725" s="190"/>
      <c r="AD725" s="190"/>
      <c r="AE725" s="190"/>
      <c r="AF725" s="190"/>
      <c r="AG725" s="190"/>
      <c r="AH725" s="190"/>
      <c r="AI725" s="190"/>
      <c r="AJ725" s="190"/>
      <c r="AK725" s="190"/>
      <c r="AL725" s="190"/>
      <c r="AM725" s="603"/>
      <c r="AN725" s="190"/>
      <c r="AO725" s="190"/>
      <c r="AP725" s="190"/>
      <c r="AQ725" s="190"/>
      <c r="AR725" s="619"/>
      <c r="AS725" s="617"/>
    </row>
    <row r="726" spans="1:45">
      <c r="A726" s="190"/>
      <c r="B726" s="190"/>
      <c r="C726" s="190"/>
      <c r="D726" s="190"/>
      <c r="E726" s="190"/>
      <c r="F726" s="190"/>
      <c r="G726" s="190"/>
      <c r="H726" s="190"/>
      <c r="I726" s="190"/>
      <c r="J726" s="190"/>
      <c r="K726" s="190"/>
      <c r="L726" s="190"/>
      <c r="M726" s="190"/>
      <c r="N726" s="190"/>
      <c r="O726" s="190"/>
      <c r="P726" s="190"/>
      <c r="Q726" s="615"/>
      <c r="R726" s="588"/>
      <c r="S726" s="188"/>
      <c r="T726" s="190"/>
      <c r="U726" s="190"/>
      <c r="V726" s="190"/>
      <c r="W726" s="190"/>
      <c r="X726" s="190"/>
      <c r="Y726" s="190"/>
      <c r="Z726" s="190"/>
      <c r="AA726" s="190"/>
      <c r="AB726" s="190"/>
      <c r="AC726" s="190"/>
      <c r="AD726" s="190"/>
      <c r="AE726" s="190"/>
      <c r="AF726" s="190"/>
      <c r="AG726" s="190"/>
      <c r="AH726" s="190"/>
      <c r="AI726" s="190"/>
      <c r="AJ726" s="190"/>
      <c r="AK726" s="190"/>
      <c r="AL726" s="190"/>
      <c r="AM726" s="603"/>
      <c r="AN726" s="190"/>
      <c r="AO726" s="190"/>
      <c r="AP726" s="190"/>
      <c r="AQ726" s="190"/>
      <c r="AR726" s="619"/>
      <c r="AS726" s="617"/>
    </row>
    <row r="727" spans="1:45">
      <c r="A727" s="190"/>
      <c r="B727" s="190"/>
      <c r="C727" s="190"/>
      <c r="D727" s="190"/>
      <c r="E727" s="190"/>
      <c r="F727" s="190"/>
      <c r="G727" s="190"/>
      <c r="H727" s="190"/>
      <c r="I727" s="190"/>
      <c r="J727" s="190"/>
      <c r="K727" s="190"/>
      <c r="L727" s="190"/>
      <c r="M727" s="190"/>
      <c r="N727" s="190"/>
      <c r="O727" s="190"/>
      <c r="P727" s="190"/>
      <c r="Q727" s="615"/>
      <c r="R727" s="588"/>
      <c r="S727" s="188"/>
      <c r="T727" s="190"/>
      <c r="U727" s="190"/>
      <c r="V727" s="190"/>
      <c r="W727" s="190"/>
      <c r="X727" s="190"/>
      <c r="Y727" s="190"/>
      <c r="Z727" s="190"/>
      <c r="AA727" s="190"/>
      <c r="AB727" s="190"/>
      <c r="AC727" s="190"/>
      <c r="AD727" s="190"/>
      <c r="AE727" s="190"/>
      <c r="AF727" s="190"/>
      <c r="AG727" s="190"/>
      <c r="AH727" s="190"/>
      <c r="AI727" s="190"/>
      <c r="AJ727" s="190"/>
      <c r="AK727" s="190"/>
      <c r="AL727" s="190"/>
      <c r="AM727" s="603"/>
      <c r="AN727" s="190"/>
      <c r="AO727" s="190"/>
      <c r="AP727" s="190"/>
      <c r="AQ727" s="190"/>
      <c r="AR727" s="619"/>
      <c r="AS727" s="617"/>
    </row>
    <row r="728" spans="1:45">
      <c r="A728" s="190"/>
      <c r="B728" s="190"/>
      <c r="C728" s="190"/>
      <c r="D728" s="190"/>
      <c r="E728" s="190"/>
      <c r="F728" s="190"/>
      <c r="G728" s="190"/>
      <c r="H728" s="190"/>
      <c r="I728" s="190"/>
      <c r="J728" s="190"/>
      <c r="K728" s="190"/>
      <c r="L728" s="190"/>
      <c r="M728" s="190"/>
      <c r="N728" s="190"/>
      <c r="O728" s="190"/>
      <c r="P728" s="190"/>
      <c r="Q728" s="615"/>
      <c r="R728" s="588"/>
      <c r="S728" s="188"/>
      <c r="T728" s="190"/>
      <c r="U728" s="190"/>
      <c r="V728" s="190"/>
      <c r="W728" s="190"/>
      <c r="X728" s="190"/>
      <c r="Y728" s="190"/>
      <c r="Z728" s="190"/>
      <c r="AA728" s="190"/>
      <c r="AB728" s="190"/>
      <c r="AC728" s="190"/>
      <c r="AD728" s="190"/>
      <c r="AE728" s="190"/>
      <c r="AF728" s="190"/>
      <c r="AG728" s="190"/>
      <c r="AH728" s="190"/>
      <c r="AI728" s="190"/>
      <c r="AJ728" s="190"/>
      <c r="AK728" s="190"/>
      <c r="AL728" s="190"/>
      <c r="AM728" s="603"/>
      <c r="AN728" s="190"/>
      <c r="AO728" s="190"/>
      <c r="AP728" s="190"/>
      <c r="AQ728" s="190"/>
      <c r="AR728" s="619"/>
      <c r="AS728" s="617"/>
    </row>
    <row r="729" spans="1:45">
      <c r="A729" s="190"/>
      <c r="B729" s="190"/>
      <c r="C729" s="190"/>
      <c r="D729" s="190"/>
      <c r="E729" s="190"/>
      <c r="F729" s="190"/>
      <c r="G729" s="190"/>
      <c r="H729" s="190"/>
      <c r="I729" s="190"/>
      <c r="J729" s="190"/>
      <c r="K729" s="190"/>
      <c r="L729" s="190"/>
      <c r="M729" s="190"/>
      <c r="N729" s="190"/>
      <c r="O729" s="190"/>
      <c r="P729" s="190"/>
      <c r="Q729" s="615"/>
      <c r="R729" s="588"/>
      <c r="S729" s="188"/>
      <c r="T729" s="190"/>
      <c r="U729" s="190"/>
      <c r="V729" s="190"/>
      <c r="W729" s="190"/>
      <c r="X729" s="190"/>
      <c r="Y729" s="190"/>
      <c r="Z729" s="190"/>
      <c r="AA729" s="190"/>
      <c r="AB729" s="190"/>
      <c r="AC729" s="190"/>
      <c r="AD729" s="190"/>
      <c r="AE729" s="190"/>
      <c r="AF729" s="190"/>
      <c r="AG729" s="190"/>
      <c r="AH729" s="190"/>
      <c r="AI729" s="190"/>
      <c r="AJ729" s="190"/>
      <c r="AK729" s="190"/>
      <c r="AL729" s="190"/>
      <c r="AM729" s="603"/>
      <c r="AN729" s="190"/>
      <c r="AO729" s="190"/>
      <c r="AP729" s="190"/>
      <c r="AQ729" s="190"/>
      <c r="AR729" s="619"/>
      <c r="AS729" s="617"/>
    </row>
    <row r="730" spans="1:45">
      <c r="A730" s="190"/>
      <c r="B730" s="190"/>
      <c r="C730" s="190"/>
      <c r="D730" s="190"/>
      <c r="E730" s="190"/>
      <c r="F730" s="190"/>
      <c r="G730" s="190"/>
      <c r="H730" s="190"/>
      <c r="I730" s="190"/>
      <c r="J730" s="190"/>
      <c r="K730" s="190"/>
      <c r="L730" s="190"/>
      <c r="M730" s="190"/>
      <c r="N730" s="190"/>
      <c r="O730" s="190"/>
      <c r="P730" s="190"/>
      <c r="Q730" s="615"/>
      <c r="R730" s="588"/>
      <c r="S730" s="188"/>
      <c r="T730" s="190"/>
      <c r="U730" s="190"/>
      <c r="V730" s="190"/>
      <c r="W730" s="190"/>
      <c r="X730" s="190"/>
      <c r="Y730" s="190"/>
      <c r="Z730" s="190"/>
      <c r="AA730" s="190"/>
      <c r="AB730" s="190"/>
      <c r="AC730" s="190"/>
      <c r="AD730" s="190"/>
      <c r="AE730" s="190"/>
      <c r="AF730" s="190"/>
      <c r="AG730" s="190"/>
      <c r="AH730" s="190"/>
      <c r="AI730" s="190"/>
      <c r="AJ730" s="190"/>
      <c r="AK730" s="190"/>
      <c r="AL730" s="190"/>
      <c r="AM730" s="603"/>
      <c r="AN730" s="190"/>
      <c r="AO730" s="190"/>
      <c r="AP730" s="190"/>
      <c r="AQ730" s="190"/>
      <c r="AR730" s="619"/>
      <c r="AS730" s="617"/>
    </row>
    <row r="731" spans="1:45">
      <c r="A731" s="190"/>
      <c r="B731" s="190"/>
      <c r="C731" s="190"/>
      <c r="D731" s="190"/>
      <c r="E731" s="190"/>
      <c r="F731" s="190"/>
      <c r="G731" s="190"/>
      <c r="H731" s="190"/>
      <c r="I731" s="190"/>
      <c r="J731" s="190"/>
      <c r="K731" s="190"/>
      <c r="L731" s="190"/>
      <c r="M731" s="190"/>
      <c r="N731" s="190"/>
      <c r="O731" s="190"/>
      <c r="P731" s="190"/>
      <c r="Q731" s="615"/>
      <c r="R731" s="588"/>
      <c r="S731" s="188"/>
      <c r="T731" s="190"/>
      <c r="U731" s="190"/>
      <c r="V731" s="190"/>
      <c r="W731" s="190"/>
      <c r="X731" s="190"/>
      <c r="Y731" s="190"/>
      <c r="Z731" s="190"/>
      <c r="AA731" s="190"/>
      <c r="AB731" s="190"/>
      <c r="AC731" s="190"/>
      <c r="AD731" s="190"/>
      <c r="AE731" s="190"/>
      <c r="AF731" s="190"/>
      <c r="AG731" s="190"/>
      <c r="AH731" s="190"/>
      <c r="AI731" s="190"/>
      <c r="AJ731" s="190"/>
      <c r="AK731" s="190"/>
      <c r="AL731" s="190"/>
      <c r="AM731" s="603"/>
      <c r="AN731" s="190"/>
      <c r="AO731" s="190"/>
      <c r="AP731" s="190"/>
      <c r="AQ731" s="190"/>
      <c r="AR731" s="619"/>
      <c r="AS731" s="617"/>
    </row>
    <row r="732" spans="1:45">
      <c r="A732" s="190"/>
      <c r="B732" s="190"/>
      <c r="C732" s="190"/>
      <c r="D732" s="190"/>
      <c r="E732" s="190"/>
      <c r="F732" s="190"/>
      <c r="G732" s="190"/>
      <c r="H732" s="190"/>
      <c r="I732" s="190"/>
      <c r="J732" s="190"/>
      <c r="K732" s="190"/>
      <c r="L732" s="190"/>
      <c r="M732" s="190"/>
      <c r="N732" s="190"/>
      <c r="O732" s="190"/>
      <c r="P732" s="190"/>
      <c r="Q732" s="615"/>
      <c r="R732" s="588"/>
      <c r="S732" s="188"/>
      <c r="T732" s="190"/>
      <c r="U732" s="190"/>
      <c r="V732" s="190"/>
      <c r="W732" s="190"/>
      <c r="X732" s="190"/>
      <c r="Y732" s="190"/>
      <c r="Z732" s="190"/>
      <c r="AA732" s="190"/>
      <c r="AB732" s="190"/>
      <c r="AC732" s="190"/>
      <c r="AD732" s="190"/>
      <c r="AE732" s="190"/>
      <c r="AF732" s="190"/>
      <c r="AG732" s="190"/>
      <c r="AH732" s="190"/>
      <c r="AI732" s="190"/>
      <c r="AJ732" s="190"/>
      <c r="AK732" s="190"/>
      <c r="AL732" s="190"/>
      <c r="AM732" s="603"/>
      <c r="AN732" s="190"/>
      <c r="AO732" s="190"/>
      <c r="AP732" s="190"/>
      <c r="AQ732" s="190"/>
      <c r="AR732" s="619"/>
      <c r="AS732" s="617"/>
    </row>
    <row r="733" spans="1:45">
      <c r="A733" s="190"/>
      <c r="B733" s="190"/>
      <c r="C733" s="190"/>
      <c r="D733" s="190"/>
      <c r="E733" s="190"/>
      <c r="F733" s="190"/>
      <c r="G733" s="190"/>
      <c r="H733" s="190"/>
      <c r="I733" s="190"/>
      <c r="J733" s="190"/>
      <c r="K733" s="190"/>
      <c r="L733" s="190"/>
      <c r="M733" s="190"/>
      <c r="N733" s="190"/>
      <c r="O733" s="190"/>
      <c r="P733" s="190"/>
      <c r="Q733" s="615"/>
      <c r="R733" s="588"/>
      <c r="S733" s="188"/>
      <c r="T733" s="190"/>
      <c r="U733" s="190"/>
      <c r="V733" s="190"/>
      <c r="W733" s="190"/>
      <c r="X733" s="190"/>
      <c r="Y733" s="190"/>
      <c r="Z733" s="190"/>
      <c r="AA733" s="190"/>
      <c r="AB733" s="190"/>
      <c r="AC733" s="190"/>
      <c r="AD733" s="190"/>
      <c r="AE733" s="190"/>
      <c r="AF733" s="190"/>
      <c r="AG733" s="190"/>
      <c r="AH733" s="190"/>
      <c r="AI733" s="190"/>
      <c r="AJ733" s="190"/>
      <c r="AK733" s="190"/>
      <c r="AL733" s="190"/>
      <c r="AM733" s="603"/>
      <c r="AN733" s="190"/>
      <c r="AO733" s="190"/>
      <c r="AP733" s="190"/>
      <c r="AQ733" s="190"/>
      <c r="AR733" s="619"/>
      <c r="AS733" s="617"/>
    </row>
    <row r="734" spans="1:45">
      <c r="A734" s="190"/>
      <c r="B734" s="190"/>
      <c r="C734" s="190"/>
      <c r="D734" s="190"/>
      <c r="E734" s="190"/>
      <c r="F734" s="190"/>
      <c r="G734" s="190"/>
      <c r="H734" s="190"/>
      <c r="I734" s="190"/>
      <c r="J734" s="190"/>
      <c r="K734" s="190"/>
      <c r="L734" s="190"/>
      <c r="M734" s="190"/>
      <c r="N734" s="190"/>
      <c r="O734" s="190"/>
      <c r="P734" s="190"/>
      <c r="Q734" s="615"/>
      <c r="R734" s="588"/>
      <c r="S734" s="188"/>
      <c r="T734" s="190"/>
      <c r="U734" s="190"/>
      <c r="V734" s="190"/>
      <c r="W734" s="190"/>
      <c r="X734" s="190"/>
      <c r="Y734" s="190"/>
      <c r="Z734" s="190"/>
      <c r="AA734" s="190"/>
      <c r="AB734" s="190"/>
      <c r="AC734" s="190"/>
      <c r="AD734" s="190"/>
      <c r="AE734" s="190"/>
      <c r="AF734" s="190"/>
      <c r="AG734" s="190"/>
      <c r="AH734" s="190"/>
      <c r="AI734" s="190"/>
      <c r="AJ734" s="190"/>
      <c r="AK734" s="190"/>
      <c r="AL734" s="190"/>
      <c r="AM734" s="603"/>
      <c r="AN734" s="190"/>
      <c r="AO734" s="190"/>
      <c r="AP734" s="190"/>
      <c r="AQ734" s="190"/>
      <c r="AR734" s="619"/>
      <c r="AS734" s="617"/>
    </row>
    <row r="735" spans="1:45">
      <c r="A735" s="190"/>
      <c r="B735" s="190"/>
      <c r="C735" s="190"/>
      <c r="D735" s="190"/>
      <c r="E735" s="190"/>
      <c r="F735" s="190"/>
      <c r="G735" s="190"/>
      <c r="H735" s="190"/>
      <c r="I735" s="190"/>
      <c r="J735" s="190"/>
      <c r="K735" s="190"/>
      <c r="L735" s="190"/>
      <c r="M735" s="190"/>
      <c r="N735" s="190"/>
      <c r="O735" s="190"/>
      <c r="P735" s="190"/>
      <c r="Q735" s="615"/>
      <c r="R735" s="588"/>
      <c r="S735" s="188"/>
      <c r="T735" s="190"/>
      <c r="U735" s="190"/>
      <c r="V735" s="190"/>
      <c r="W735" s="190"/>
      <c r="X735" s="190"/>
      <c r="Y735" s="190"/>
      <c r="Z735" s="190"/>
      <c r="AA735" s="190"/>
      <c r="AB735" s="190"/>
      <c r="AC735" s="190"/>
      <c r="AD735" s="190"/>
      <c r="AE735" s="190"/>
      <c r="AF735" s="190"/>
      <c r="AG735" s="190"/>
      <c r="AH735" s="190"/>
      <c r="AI735" s="190"/>
      <c r="AJ735" s="190"/>
      <c r="AK735" s="190"/>
      <c r="AL735" s="190"/>
      <c r="AM735" s="603"/>
      <c r="AN735" s="190"/>
      <c r="AO735" s="190"/>
      <c r="AP735" s="190"/>
      <c r="AQ735" s="190"/>
      <c r="AR735" s="619"/>
      <c r="AS735" s="617"/>
    </row>
    <row r="736" spans="1:45">
      <c r="A736" s="190"/>
      <c r="B736" s="190"/>
      <c r="C736" s="190"/>
      <c r="D736" s="190"/>
      <c r="E736" s="190"/>
      <c r="F736" s="190"/>
      <c r="G736" s="190"/>
      <c r="H736" s="190"/>
      <c r="I736" s="190"/>
      <c r="J736" s="190"/>
      <c r="K736" s="190"/>
      <c r="L736" s="190"/>
      <c r="M736" s="190"/>
      <c r="N736" s="190"/>
      <c r="O736" s="190"/>
      <c r="P736" s="190"/>
      <c r="Q736" s="615"/>
      <c r="R736" s="588"/>
      <c r="S736" s="188"/>
      <c r="T736" s="190"/>
      <c r="U736" s="190"/>
      <c r="V736" s="190"/>
      <c r="W736" s="190"/>
      <c r="X736" s="190"/>
      <c r="Y736" s="190"/>
      <c r="Z736" s="190"/>
      <c r="AA736" s="190"/>
      <c r="AB736" s="190"/>
      <c r="AC736" s="190"/>
      <c r="AD736" s="190"/>
      <c r="AE736" s="190"/>
      <c r="AF736" s="190"/>
      <c r="AG736" s="190"/>
      <c r="AH736" s="190"/>
      <c r="AI736" s="190"/>
      <c r="AJ736" s="190"/>
      <c r="AK736" s="190"/>
      <c r="AL736" s="190"/>
      <c r="AM736" s="603"/>
      <c r="AN736" s="190"/>
      <c r="AO736" s="190"/>
      <c r="AP736" s="190"/>
      <c r="AQ736" s="190"/>
      <c r="AR736" s="619"/>
      <c r="AS736" s="617"/>
    </row>
    <row r="737" spans="1:45">
      <c r="A737" s="190"/>
      <c r="B737" s="190"/>
      <c r="C737" s="190"/>
      <c r="D737" s="190"/>
      <c r="E737" s="190"/>
      <c r="F737" s="190"/>
      <c r="G737" s="190"/>
      <c r="H737" s="190"/>
      <c r="I737" s="190"/>
      <c r="J737" s="190"/>
      <c r="K737" s="190"/>
      <c r="L737" s="190"/>
      <c r="M737" s="190"/>
      <c r="N737" s="190"/>
      <c r="O737" s="190"/>
      <c r="P737" s="190"/>
      <c r="Q737" s="615"/>
      <c r="R737" s="588"/>
      <c r="S737" s="188"/>
      <c r="T737" s="190"/>
      <c r="U737" s="190"/>
      <c r="V737" s="190"/>
      <c r="W737" s="190"/>
      <c r="X737" s="190"/>
      <c r="Y737" s="190"/>
      <c r="Z737" s="190"/>
      <c r="AA737" s="190"/>
      <c r="AB737" s="190"/>
      <c r="AC737" s="190"/>
      <c r="AD737" s="190"/>
      <c r="AE737" s="190"/>
      <c r="AF737" s="190"/>
      <c r="AG737" s="190"/>
      <c r="AH737" s="190"/>
      <c r="AI737" s="190"/>
      <c r="AJ737" s="190"/>
      <c r="AK737" s="190"/>
      <c r="AL737" s="190"/>
      <c r="AM737" s="603"/>
      <c r="AN737" s="190"/>
      <c r="AO737" s="190"/>
      <c r="AP737" s="190"/>
      <c r="AQ737" s="190"/>
      <c r="AR737" s="619"/>
      <c r="AS737" s="617"/>
    </row>
    <row r="738" spans="1:45">
      <c r="A738" s="190"/>
      <c r="B738" s="190"/>
      <c r="C738" s="190"/>
      <c r="D738" s="190"/>
      <c r="E738" s="190"/>
      <c r="F738" s="190"/>
      <c r="G738" s="190"/>
      <c r="H738" s="190"/>
      <c r="I738" s="190"/>
      <c r="J738" s="190"/>
      <c r="K738" s="190"/>
      <c r="L738" s="190"/>
      <c r="M738" s="190"/>
      <c r="N738" s="190"/>
      <c r="O738" s="190"/>
      <c r="P738" s="190"/>
      <c r="Q738" s="615"/>
      <c r="R738" s="588"/>
      <c r="S738" s="188"/>
      <c r="T738" s="190"/>
      <c r="U738" s="190"/>
      <c r="V738" s="190"/>
      <c r="W738" s="190"/>
      <c r="X738" s="190"/>
      <c r="Y738" s="190"/>
      <c r="Z738" s="190"/>
      <c r="AA738" s="190"/>
      <c r="AB738" s="190"/>
      <c r="AC738" s="190"/>
      <c r="AD738" s="190"/>
      <c r="AE738" s="190"/>
      <c r="AF738" s="190"/>
      <c r="AG738" s="190"/>
      <c r="AH738" s="190"/>
      <c r="AI738" s="190"/>
      <c r="AJ738" s="190"/>
      <c r="AK738" s="190"/>
      <c r="AL738" s="190"/>
      <c r="AM738" s="603"/>
      <c r="AN738" s="190"/>
      <c r="AO738" s="190"/>
      <c r="AP738" s="190"/>
      <c r="AQ738" s="190"/>
      <c r="AR738" s="619"/>
      <c r="AS738" s="617"/>
    </row>
    <row r="739" spans="1:45">
      <c r="A739" s="190"/>
      <c r="B739" s="190"/>
      <c r="C739" s="190"/>
      <c r="D739" s="190"/>
      <c r="E739" s="190"/>
      <c r="F739" s="190"/>
      <c r="G739" s="190"/>
      <c r="H739" s="190"/>
      <c r="I739" s="190"/>
      <c r="J739" s="190"/>
      <c r="K739" s="190"/>
      <c r="L739" s="190"/>
      <c r="M739" s="190"/>
      <c r="N739" s="190"/>
      <c r="O739" s="190"/>
      <c r="P739" s="190"/>
      <c r="Q739" s="615"/>
      <c r="R739" s="588"/>
      <c r="S739" s="188"/>
      <c r="T739" s="190"/>
      <c r="U739" s="190"/>
      <c r="V739" s="190"/>
      <c r="W739" s="190"/>
      <c r="X739" s="190"/>
      <c r="Y739" s="190"/>
      <c r="Z739" s="190"/>
      <c r="AA739" s="190"/>
      <c r="AB739" s="190"/>
      <c r="AC739" s="190"/>
      <c r="AD739" s="190"/>
      <c r="AE739" s="190"/>
      <c r="AF739" s="190"/>
      <c r="AG739" s="190"/>
      <c r="AH739" s="190"/>
      <c r="AI739" s="190"/>
      <c r="AJ739" s="190"/>
      <c r="AK739" s="190"/>
      <c r="AL739" s="190"/>
      <c r="AM739" s="603"/>
      <c r="AN739" s="190"/>
      <c r="AO739" s="190"/>
      <c r="AP739" s="190"/>
      <c r="AQ739" s="190"/>
      <c r="AR739" s="619"/>
      <c r="AS739" s="617"/>
    </row>
    <row r="740" spans="1:45">
      <c r="A740" s="190"/>
      <c r="B740" s="190"/>
      <c r="C740" s="190"/>
      <c r="D740" s="190"/>
      <c r="E740" s="190"/>
      <c r="F740" s="190"/>
      <c r="G740" s="190"/>
      <c r="H740" s="190"/>
      <c r="I740" s="190"/>
      <c r="J740" s="190"/>
      <c r="K740" s="190"/>
      <c r="L740" s="190"/>
      <c r="M740" s="190"/>
      <c r="N740" s="190"/>
      <c r="O740" s="190"/>
      <c r="P740" s="190"/>
      <c r="Q740" s="615"/>
      <c r="R740" s="588"/>
      <c r="S740" s="188"/>
      <c r="T740" s="190"/>
      <c r="U740" s="190"/>
      <c r="V740" s="190"/>
      <c r="W740" s="190"/>
      <c r="X740" s="190"/>
      <c r="Y740" s="190"/>
      <c r="Z740" s="190"/>
      <c r="AA740" s="190"/>
      <c r="AB740" s="190"/>
      <c r="AC740" s="190"/>
      <c r="AD740" s="190"/>
      <c r="AE740" s="190"/>
      <c r="AF740" s="190"/>
      <c r="AG740" s="190"/>
      <c r="AH740" s="190"/>
      <c r="AI740" s="190"/>
      <c r="AJ740" s="190"/>
      <c r="AK740" s="190"/>
      <c r="AL740" s="190"/>
      <c r="AM740" s="603"/>
      <c r="AN740" s="190"/>
      <c r="AO740" s="190"/>
      <c r="AP740" s="190"/>
      <c r="AQ740" s="190"/>
      <c r="AR740" s="619"/>
      <c r="AS740" s="617"/>
    </row>
    <row r="741" spans="1:45">
      <c r="A741" s="190"/>
      <c r="B741" s="190"/>
      <c r="C741" s="190"/>
      <c r="D741" s="190"/>
      <c r="E741" s="190"/>
      <c r="F741" s="190"/>
      <c r="G741" s="190"/>
      <c r="H741" s="190"/>
      <c r="I741" s="190"/>
      <c r="J741" s="190"/>
      <c r="K741" s="190"/>
      <c r="L741" s="190"/>
      <c r="M741" s="190"/>
      <c r="N741" s="190"/>
      <c r="O741" s="190"/>
      <c r="P741" s="190"/>
      <c r="Q741" s="615"/>
      <c r="R741" s="588"/>
      <c r="S741" s="188"/>
      <c r="T741" s="190"/>
      <c r="U741" s="190"/>
      <c r="V741" s="190"/>
      <c r="W741" s="190"/>
      <c r="X741" s="190"/>
      <c r="Y741" s="190"/>
      <c r="Z741" s="190"/>
      <c r="AA741" s="190"/>
      <c r="AB741" s="190"/>
      <c r="AC741" s="190"/>
      <c r="AD741" s="190"/>
      <c r="AE741" s="190"/>
      <c r="AF741" s="190"/>
      <c r="AG741" s="190"/>
      <c r="AH741" s="190"/>
      <c r="AI741" s="190"/>
      <c r="AJ741" s="190"/>
      <c r="AK741" s="190"/>
      <c r="AL741" s="190"/>
      <c r="AM741" s="603"/>
      <c r="AN741" s="190"/>
      <c r="AO741" s="190"/>
      <c r="AP741" s="190"/>
      <c r="AQ741" s="190"/>
      <c r="AR741" s="619"/>
      <c r="AS741" s="617"/>
    </row>
    <row r="742" spans="1:45">
      <c r="A742" s="190"/>
      <c r="B742" s="190"/>
      <c r="C742" s="190"/>
      <c r="D742" s="190"/>
      <c r="E742" s="190"/>
      <c r="F742" s="190"/>
      <c r="G742" s="190"/>
      <c r="H742" s="190"/>
      <c r="I742" s="190"/>
      <c r="J742" s="190"/>
      <c r="K742" s="190"/>
      <c r="L742" s="190"/>
      <c r="M742" s="190"/>
      <c r="N742" s="190"/>
      <c r="O742" s="190"/>
      <c r="P742" s="190"/>
      <c r="Q742" s="615"/>
      <c r="R742" s="588"/>
      <c r="S742" s="188"/>
      <c r="T742" s="190"/>
      <c r="U742" s="190"/>
      <c r="V742" s="190"/>
      <c r="W742" s="190"/>
      <c r="X742" s="190"/>
      <c r="Y742" s="190"/>
      <c r="Z742" s="190"/>
      <c r="AA742" s="190"/>
      <c r="AB742" s="190"/>
      <c r="AC742" s="190"/>
      <c r="AD742" s="190"/>
      <c r="AE742" s="190"/>
      <c r="AF742" s="190"/>
      <c r="AG742" s="190"/>
      <c r="AH742" s="190"/>
      <c r="AI742" s="190"/>
      <c r="AJ742" s="190"/>
      <c r="AK742" s="190"/>
      <c r="AL742" s="190"/>
      <c r="AM742" s="603"/>
      <c r="AN742" s="190"/>
      <c r="AO742" s="190"/>
      <c r="AP742" s="190"/>
      <c r="AQ742" s="190"/>
      <c r="AR742" s="619"/>
      <c r="AS742" s="617"/>
    </row>
    <row r="743" spans="1:45">
      <c r="A743" s="190"/>
      <c r="B743" s="190"/>
      <c r="C743" s="190"/>
      <c r="D743" s="190"/>
      <c r="E743" s="190"/>
      <c r="F743" s="190"/>
      <c r="G743" s="190"/>
      <c r="H743" s="190"/>
      <c r="I743" s="190"/>
      <c r="J743" s="190"/>
      <c r="K743" s="190"/>
      <c r="L743" s="190"/>
      <c r="M743" s="190"/>
      <c r="N743" s="190"/>
      <c r="O743" s="190"/>
      <c r="P743" s="190"/>
      <c r="Q743" s="615"/>
      <c r="R743" s="588"/>
      <c r="S743" s="188"/>
      <c r="T743" s="190"/>
      <c r="U743" s="190"/>
      <c r="V743" s="190"/>
      <c r="W743" s="190"/>
      <c r="X743" s="190"/>
      <c r="Y743" s="190"/>
      <c r="Z743" s="190"/>
      <c r="AA743" s="190"/>
      <c r="AB743" s="190"/>
      <c r="AC743" s="190"/>
      <c r="AD743" s="190"/>
      <c r="AE743" s="190"/>
      <c r="AF743" s="190"/>
      <c r="AG743" s="190"/>
      <c r="AH743" s="190"/>
      <c r="AI743" s="190"/>
      <c r="AJ743" s="190"/>
      <c r="AK743" s="190"/>
      <c r="AL743" s="190"/>
      <c r="AM743" s="603"/>
      <c r="AN743" s="190"/>
      <c r="AO743" s="190"/>
      <c r="AP743" s="190"/>
      <c r="AQ743" s="190"/>
      <c r="AR743" s="619"/>
      <c r="AS743" s="617"/>
    </row>
    <row r="744" spans="1:45">
      <c r="A744" s="190"/>
      <c r="B744" s="190"/>
      <c r="C744" s="190"/>
      <c r="D744" s="190"/>
      <c r="E744" s="190"/>
      <c r="F744" s="190"/>
      <c r="G744" s="190"/>
      <c r="H744" s="190"/>
      <c r="I744" s="190"/>
      <c r="J744" s="190"/>
      <c r="K744" s="190"/>
      <c r="L744" s="190"/>
      <c r="M744" s="190"/>
      <c r="N744" s="190"/>
      <c r="O744" s="190"/>
      <c r="P744" s="190"/>
      <c r="Q744" s="615"/>
      <c r="R744" s="588"/>
      <c r="S744" s="188"/>
      <c r="T744" s="190"/>
      <c r="U744" s="190"/>
      <c r="V744" s="190"/>
      <c r="W744" s="190"/>
      <c r="X744" s="190"/>
      <c r="Y744" s="190"/>
      <c r="Z744" s="190"/>
      <c r="AA744" s="190"/>
      <c r="AB744" s="190"/>
      <c r="AC744" s="190"/>
      <c r="AD744" s="190"/>
      <c r="AE744" s="190"/>
      <c r="AF744" s="190"/>
      <c r="AG744" s="190"/>
      <c r="AH744" s="190"/>
      <c r="AI744" s="190"/>
      <c r="AJ744" s="190"/>
      <c r="AK744" s="190"/>
      <c r="AL744" s="190"/>
      <c r="AM744" s="603"/>
      <c r="AN744" s="190"/>
      <c r="AO744" s="190"/>
      <c r="AP744" s="190"/>
      <c r="AQ744" s="190"/>
      <c r="AR744" s="619"/>
      <c r="AS744" s="617"/>
    </row>
    <row r="745" spans="1:45">
      <c r="A745" s="190"/>
      <c r="B745" s="190"/>
      <c r="C745" s="190"/>
      <c r="D745" s="190"/>
      <c r="E745" s="190"/>
      <c r="F745" s="190"/>
      <c r="G745" s="190"/>
      <c r="H745" s="190"/>
      <c r="I745" s="190"/>
      <c r="J745" s="190"/>
      <c r="K745" s="190"/>
      <c r="L745" s="190"/>
      <c r="M745" s="190"/>
      <c r="N745" s="190"/>
      <c r="O745" s="190"/>
      <c r="P745" s="190"/>
      <c r="Q745" s="615"/>
      <c r="R745" s="588"/>
      <c r="S745" s="188"/>
      <c r="T745" s="190"/>
      <c r="U745" s="190"/>
      <c r="V745" s="190"/>
      <c r="W745" s="190"/>
      <c r="X745" s="190"/>
      <c r="Y745" s="190"/>
      <c r="Z745" s="190"/>
      <c r="AA745" s="190"/>
      <c r="AB745" s="190"/>
      <c r="AC745" s="190"/>
      <c r="AD745" s="190"/>
      <c r="AE745" s="190"/>
      <c r="AF745" s="190"/>
      <c r="AG745" s="190"/>
      <c r="AH745" s="190"/>
      <c r="AI745" s="190"/>
      <c r="AJ745" s="190"/>
      <c r="AK745" s="190"/>
      <c r="AL745" s="190"/>
      <c r="AM745" s="603"/>
      <c r="AN745" s="190"/>
      <c r="AO745" s="190"/>
      <c r="AP745" s="190"/>
      <c r="AQ745" s="190"/>
      <c r="AR745" s="619"/>
      <c r="AS745" s="617"/>
    </row>
    <row r="746" spans="1:45">
      <c r="A746" s="190"/>
      <c r="B746" s="190"/>
      <c r="C746" s="190"/>
      <c r="D746" s="190"/>
      <c r="E746" s="190"/>
      <c r="F746" s="190"/>
      <c r="G746" s="190"/>
      <c r="H746" s="190"/>
      <c r="I746" s="190"/>
      <c r="J746" s="190"/>
      <c r="K746" s="190"/>
      <c r="L746" s="190"/>
      <c r="M746" s="190"/>
      <c r="N746" s="190"/>
      <c r="O746" s="190"/>
      <c r="P746" s="190"/>
      <c r="Q746" s="615"/>
      <c r="R746" s="588"/>
      <c r="S746" s="188"/>
      <c r="T746" s="190"/>
      <c r="U746" s="190"/>
      <c r="V746" s="190"/>
      <c r="W746" s="190"/>
      <c r="X746" s="190"/>
      <c r="Y746" s="190"/>
      <c r="Z746" s="190"/>
      <c r="AA746" s="190"/>
      <c r="AB746" s="190"/>
      <c r="AC746" s="190"/>
      <c r="AD746" s="190"/>
      <c r="AE746" s="190"/>
      <c r="AF746" s="190"/>
      <c r="AG746" s="190"/>
      <c r="AH746" s="190"/>
      <c r="AI746" s="190"/>
      <c r="AJ746" s="190"/>
      <c r="AK746" s="190"/>
      <c r="AL746" s="190"/>
      <c r="AM746" s="603"/>
      <c r="AN746" s="190"/>
      <c r="AO746" s="190"/>
      <c r="AP746" s="190"/>
      <c r="AQ746" s="190"/>
      <c r="AR746" s="619"/>
      <c r="AS746" s="617"/>
    </row>
    <row r="747" spans="1:45">
      <c r="A747" s="190"/>
      <c r="B747" s="190"/>
      <c r="C747" s="190"/>
      <c r="D747" s="190"/>
      <c r="E747" s="190"/>
      <c r="F747" s="190"/>
      <c r="G747" s="190"/>
      <c r="H747" s="190"/>
      <c r="I747" s="190"/>
      <c r="J747" s="190"/>
      <c r="K747" s="190"/>
      <c r="L747" s="190"/>
      <c r="M747" s="190"/>
      <c r="N747" s="190"/>
      <c r="O747" s="190"/>
      <c r="P747" s="190"/>
      <c r="Q747" s="615"/>
      <c r="R747" s="588"/>
      <c r="S747" s="188"/>
      <c r="T747" s="190"/>
      <c r="U747" s="190"/>
      <c r="V747" s="190"/>
      <c r="W747" s="190"/>
      <c r="X747" s="190"/>
      <c r="Y747" s="190"/>
      <c r="Z747" s="190"/>
      <c r="AA747" s="190"/>
      <c r="AB747" s="190"/>
      <c r="AC747" s="190"/>
      <c r="AD747" s="190"/>
      <c r="AE747" s="190"/>
      <c r="AF747" s="190"/>
      <c r="AG747" s="190"/>
      <c r="AH747" s="190"/>
      <c r="AI747" s="190"/>
      <c r="AJ747" s="190"/>
      <c r="AK747" s="190"/>
      <c r="AL747" s="190"/>
      <c r="AM747" s="603"/>
      <c r="AN747" s="190"/>
      <c r="AO747" s="190"/>
      <c r="AP747" s="190"/>
      <c r="AQ747" s="190"/>
      <c r="AR747" s="619"/>
      <c r="AS747" s="617"/>
    </row>
    <row r="748" spans="1:45">
      <c r="A748" s="190"/>
      <c r="B748" s="190"/>
      <c r="C748" s="190"/>
      <c r="D748" s="190"/>
      <c r="E748" s="190"/>
      <c r="F748" s="190"/>
      <c r="G748" s="190"/>
      <c r="H748" s="190"/>
      <c r="I748" s="190"/>
      <c r="J748" s="190"/>
      <c r="K748" s="190"/>
      <c r="L748" s="190"/>
      <c r="M748" s="190"/>
      <c r="N748" s="190"/>
      <c r="O748" s="190"/>
      <c r="P748" s="190"/>
      <c r="Q748" s="615"/>
      <c r="R748" s="588"/>
      <c r="S748" s="188"/>
      <c r="T748" s="190"/>
      <c r="U748" s="190"/>
      <c r="V748" s="190"/>
      <c r="W748" s="190"/>
      <c r="X748" s="190"/>
      <c r="Y748" s="190"/>
      <c r="Z748" s="190"/>
      <c r="AA748" s="190"/>
      <c r="AB748" s="190"/>
      <c r="AC748" s="190"/>
      <c r="AD748" s="190"/>
      <c r="AE748" s="190"/>
      <c r="AF748" s="190"/>
      <c r="AG748" s="190"/>
      <c r="AH748" s="190"/>
      <c r="AI748" s="190"/>
      <c r="AJ748" s="190"/>
      <c r="AK748" s="190"/>
      <c r="AL748" s="190"/>
      <c r="AM748" s="603"/>
      <c r="AN748" s="190"/>
      <c r="AO748" s="190"/>
      <c r="AP748" s="190"/>
      <c r="AQ748" s="190"/>
      <c r="AR748" s="619"/>
      <c r="AS748" s="617"/>
    </row>
    <row r="749" spans="1:45">
      <c r="A749" s="190"/>
      <c r="B749" s="190"/>
      <c r="C749" s="190"/>
      <c r="D749" s="190"/>
      <c r="E749" s="190"/>
      <c r="F749" s="190"/>
      <c r="G749" s="190"/>
      <c r="H749" s="190"/>
      <c r="I749" s="190"/>
      <c r="J749" s="190"/>
      <c r="K749" s="190"/>
      <c r="L749" s="190"/>
      <c r="M749" s="190"/>
      <c r="N749" s="190"/>
      <c r="O749" s="190"/>
      <c r="P749" s="190"/>
      <c r="Q749" s="615"/>
      <c r="R749" s="588"/>
      <c r="S749" s="188"/>
      <c r="T749" s="190"/>
      <c r="U749" s="190"/>
      <c r="V749" s="190"/>
      <c r="W749" s="190"/>
      <c r="X749" s="190"/>
      <c r="Y749" s="190"/>
      <c r="Z749" s="190"/>
      <c r="AA749" s="190"/>
      <c r="AB749" s="190"/>
      <c r="AC749" s="190"/>
      <c r="AD749" s="190"/>
      <c r="AE749" s="190"/>
      <c r="AF749" s="190"/>
      <c r="AG749" s="190"/>
      <c r="AH749" s="190"/>
      <c r="AI749" s="190"/>
      <c r="AJ749" s="190"/>
      <c r="AK749" s="190"/>
      <c r="AL749" s="190"/>
      <c r="AM749" s="603"/>
      <c r="AN749" s="190"/>
      <c r="AO749" s="190"/>
      <c r="AP749" s="190"/>
      <c r="AQ749" s="190"/>
      <c r="AR749" s="619"/>
      <c r="AS749" s="617"/>
    </row>
    <row r="750" spans="1:45">
      <c r="A750" s="190"/>
      <c r="B750" s="190"/>
      <c r="C750" s="190"/>
      <c r="D750" s="190"/>
      <c r="E750" s="190"/>
      <c r="F750" s="190"/>
      <c r="G750" s="190"/>
      <c r="H750" s="190"/>
      <c r="I750" s="190"/>
      <c r="J750" s="190"/>
      <c r="K750" s="190"/>
      <c r="L750" s="190"/>
      <c r="M750" s="190"/>
      <c r="N750" s="190"/>
      <c r="O750" s="190"/>
      <c r="P750" s="190"/>
      <c r="Q750" s="615"/>
      <c r="R750" s="588"/>
      <c r="S750" s="188"/>
      <c r="T750" s="190"/>
      <c r="U750" s="190"/>
      <c r="V750" s="190"/>
      <c r="W750" s="190"/>
      <c r="X750" s="190"/>
      <c r="Y750" s="190"/>
      <c r="Z750" s="190"/>
      <c r="AA750" s="190"/>
      <c r="AB750" s="190"/>
      <c r="AC750" s="190"/>
      <c r="AD750" s="190"/>
      <c r="AE750" s="190"/>
      <c r="AF750" s="190"/>
      <c r="AG750" s="190"/>
      <c r="AH750" s="190"/>
      <c r="AI750" s="190"/>
      <c r="AJ750" s="190"/>
      <c r="AK750" s="190"/>
      <c r="AL750" s="190"/>
      <c r="AM750" s="603"/>
      <c r="AN750" s="190"/>
      <c r="AO750" s="190"/>
      <c r="AP750" s="190"/>
      <c r="AQ750" s="190"/>
      <c r="AR750" s="619"/>
      <c r="AS750" s="617"/>
    </row>
    <row r="751" spans="1:45">
      <c r="A751" s="190"/>
      <c r="B751" s="190"/>
      <c r="C751" s="190"/>
      <c r="D751" s="190"/>
      <c r="E751" s="190"/>
      <c r="F751" s="190"/>
      <c r="G751" s="190"/>
      <c r="H751" s="190"/>
      <c r="I751" s="190"/>
      <c r="J751" s="190"/>
      <c r="K751" s="190"/>
      <c r="L751" s="190"/>
      <c r="M751" s="190"/>
      <c r="N751" s="190"/>
      <c r="O751" s="190"/>
      <c r="P751" s="190"/>
      <c r="Q751" s="615"/>
      <c r="R751" s="588"/>
      <c r="S751" s="188"/>
      <c r="T751" s="190"/>
      <c r="U751" s="190"/>
      <c r="V751" s="190"/>
      <c r="W751" s="190"/>
      <c r="X751" s="190"/>
      <c r="Y751" s="190"/>
      <c r="Z751" s="190"/>
      <c r="AA751" s="190"/>
      <c r="AB751" s="190"/>
      <c r="AC751" s="190"/>
      <c r="AD751" s="190"/>
      <c r="AE751" s="190"/>
      <c r="AF751" s="190"/>
      <c r="AG751" s="190"/>
      <c r="AH751" s="190"/>
      <c r="AI751" s="190"/>
      <c r="AJ751" s="190"/>
      <c r="AK751" s="190"/>
      <c r="AL751" s="190"/>
      <c r="AM751" s="603"/>
      <c r="AN751" s="190"/>
      <c r="AO751" s="190"/>
      <c r="AP751" s="190"/>
      <c r="AQ751" s="190"/>
      <c r="AR751" s="619"/>
      <c r="AS751" s="617"/>
    </row>
    <row r="752" spans="1:45">
      <c r="A752" s="190"/>
      <c r="B752" s="190"/>
      <c r="C752" s="190"/>
      <c r="D752" s="190"/>
      <c r="E752" s="190"/>
      <c r="F752" s="190"/>
      <c r="G752" s="190"/>
      <c r="H752" s="190"/>
      <c r="I752" s="190"/>
      <c r="J752" s="190"/>
      <c r="K752" s="190"/>
      <c r="L752" s="190"/>
      <c r="M752" s="190"/>
      <c r="N752" s="190"/>
      <c r="O752" s="190"/>
      <c r="P752" s="190"/>
      <c r="Q752" s="615"/>
      <c r="R752" s="588"/>
      <c r="S752" s="188"/>
      <c r="T752" s="190"/>
      <c r="U752" s="190"/>
      <c r="V752" s="190"/>
      <c r="W752" s="190"/>
      <c r="X752" s="190"/>
      <c r="Y752" s="190"/>
      <c r="Z752" s="190"/>
      <c r="AA752" s="190"/>
      <c r="AB752" s="190"/>
      <c r="AC752" s="190"/>
      <c r="AD752" s="190"/>
      <c r="AE752" s="190"/>
      <c r="AF752" s="190"/>
      <c r="AG752" s="190"/>
      <c r="AH752" s="190"/>
      <c r="AI752" s="190"/>
      <c r="AJ752" s="190"/>
      <c r="AK752" s="190"/>
      <c r="AL752" s="190"/>
      <c r="AM752" s="603"/>
      <c r="AN752" s="190"/>
      <c r="AO752" s="190"/>
      <c r="AP752" s="190"/>
      <c r="AQ752" s="190"/>
      <c r="AR752" s="619"/>
      <c r="AS752" s="617"/>
    </row>
    <row r="753" spans="1:45">
      <c r="A753" s="190"/>
      <c r="B753" s="190"/>
      <c r="C753" s="190"/>
      <c r="D753" s="190"/>
      <c r="E753" s="190"/>
      <c r="F753" s="190"/>
      <c r="G753" s="190"/>
      <c r="H753" s="190"/>
      <c r="I753" s="190"/>
      <c r="J753" s="190"/>
      <c r="K753" s="190"/>
      <c r="L753" s="190"/>
      <c r="M753" s="190"/>
      <c r="N753" s="190"/>
      <c r="O753" s="190"/>
      <c r="P753" s="190"/>
      <c r="Q753" s="615"/>
      <c r="R753" s="588"/>
      <c r="S753" s="188"/>
      <c r="T753" s="190"/>
      <c r="U753" s="190"/>
      <c r="V753" s="190"/>
      <c r="W753" s="190"/>
      <c r="X753" s="190"/>
      <c r="Y753" s="190"/>
      <c r="Z753" s="190"/>
      <c r="AA753" s="190"/>
      <c r="AB753" s="190"/>
      <c r="AC753" s="190"/>
      <c r="AD753" s="190"/>
      <c r="AE753" s="190"/>
      <c r="AF753" s="190"/>
      <c r="AG753" s="190"/>
      <c r="AH753" s="190"/>
      <c r="AI753" s="190"/>
      <c r="AJ753" s="190"/>
      <c r="AK753" s="190"/>
      <c r="AL753" s="190"/>
      <c r="AM753" s="603"/>
      <c r="AN753" s="190"/>
      <c r="AO753" s="190"/>
      <c r="AP753" s="190"/>
      <c r="AQ753" s="190"/>
      <c r="AR753" s="619"/>
      <c r="AS753" s="617"/>
    </row>
    <row r="754" spans="1:45">
      <c r="A754" s="190"/>
      <c r="B754" s="190"/>
      <c r="C754" s="190"/>
      <c r="D754" s="190"/>
      <c r="E754" s="190"/>
      <c r="F754" s="190"/>
      <c r="G754" s="190"/>
      <c r="H754" s="190"/>
      <c r="I754" s="190"/>
      <c r="J754" s="190"/>
      <c r="K754" s="190"/>
      <c r="L754" s="190"/>
      <c r="M754" s="190"/>
      <c r="N754" s="190"/>
      <c r="O754" s="190"/>
      <c r="P754" s="190"/>
      <c r="Q754" s="615"/>
      <c r="R754" s="588"/>
      <c r="S754" s="188"/>
      <c r="T754" s="190"/>
      <c r="U754" s="190"/>
      <c r="V754" s="190"/>
      <c r="W754" s="190"/>
      <c r="X754" s="190"/>
      <c r="Y754" s="190"/>
      <c r="Z754" s="190"/>
      <c r="AA754" s="190"/>
      <c r="AB754" s="190"/>
      <c r="AC754" s="190"/>
      <c r="AD754" s="190"/>
      <c r="AE754" s="190"/>
      <c r="AF754" s="190"/>
      <c r="AG754" s="190"/>
      <c r="AH754" s="190"/>
      <c r="AI754" s="190"/>
      <c r="AJ754" s="190"/>
      <c r="AK754" s="190"/>
      <c r="AL754" s="190"/>
      <c r="AM754" s="603"/>
      <c r="AN754" s="190"/>
      <c r="AO754" s="190"/>
      <c r="AP754" s="190"/>
      <c r="AQ754" s="190"/>
      <c r="AR754" s="619"/>
      <c r="AS754" s="617"/>
    </row>
    <row r="755" spans="1:45">
      <c r="A755" s="190"/>
      <c r="B755" s="190"/>
      <c r="C755" s="190"/>
      <c r="D755" s="190"/>
      <c r="E755" s="190"/>
      <c r="F755" s="190"/>
      <c r="G755" s="190"/>
      <c r="H755" s="190"/>
      <c r="I755" s="190"/>
      <c r="J755" s="190"/>
      <c r="K755" s="190"/>
      <c r="L755" s="190"/>
      <c r="M755" s="190"/>
      <c r="N755" s="190"/>
      <c r="O755" s="190"/>
      <c r="P755" s="190"/>
      <c r="Q755" s="615"/>
      <c r="R755" s="588"/>
      <c r="S755" s="188"/>
      <c r="T755" s="190"/>
      <c r="U755" s="190"/>
      <c r="V755" s="190"/>
      <c r="W755" s="190"/>
      <c r="X755" s="190"/>
      <c r="Y755" s="190"/>
      <c r="Z755" s="190"/>
      <c r="AA755" s="190"/>
      <c r="AB755" s="190"/>
      <c r="AC755" s="190"/>
      <c r="AD755" s="190"/>
      <c r="AE755" s="190"/>
      <c r="AF755" s="190"/>
      <c r="AG755" s="190"/>
      <c r="AH755" s="190"/>
      <c r="AI755" s="190"/>
      <c r="AJ755" s="190"/>
      <c r="AK755" s="190"/>
      <c r="AL755" s="190"/>
      <c r="AM755" s="603"/>
      <c r="AN755" s="190"/>
      <c r="AO755" s="190"/>
      <c r="AP755" s="190"/>
      <c r="AQ755" s="190"/>
      <c r="AR755" s="619"/>
      <c r="AS755" s="617"/>
    </row>
    <row r="756" spans="1:45">
      <c r="A756" s="190"/>
      <c r="B756" s="190"/>
      <c r="C756" s="190"/>
      <c r="D756" s="190"/>
      <c r="E756" s="190"/>
      <c r="F756" s="190"/>
      <c r="G756" s="190"/>
      <c r="H756" s="190"/>
      <c r="I756" s="190"/>
      <c r="J756" s="190"/>
      <c r="K756" s="190"/>
      <c r="L756" s="190"/>
      <c r="M756" s="190"/>
      <c r="N756" s="190"/>
      <c r="O756" s="190"/>
      <c r="P756" s="190"/>
      <c r="Q756" s="615"/>
      <c r="R756" s="588"/>
      <c r="S756" s="188"/>
      <c r="T756" s="190"/>
      <c r="U756" s="190"/>
      <c r="V756" s="190"/>
      <c r="W756" s="190"/>
      <c r="X756" s="190"/>
      <c r="Y756" s="190"/>
      <c r="Z756" s="190"/>
      <c r="AA756" s="190"/>
      <c r="AB756" s="190"/>
      <c r="AC756" s="190"/>
      <c r="AD756" s="190"/>
      <c r="AE756" s="190"/>
      <c r="AF756" s="190"/>
      <c r="AG756" s="190"/>
      <c r="AH756" s="190"/>
      <c r="AI756" s="190"/>
      <c r="AJ756" s="190"/>
      <c r="AK756" s="190"/>
      <c r="AL756" s="190"/>
      <c r="AM756" s="603"/>
      <c r="AN756" s="190"/>
      <c r="AO756" s="190"/>
      <c r="AP756" s="190"/>
      <c r="AQ756" s="190"/>
      <c r="AR756" s="619"/>
      <c r="AS756" s="617"/>
    </row>
    <row r="757" spans="1:45">
      <c r="A757" s="190"/>
      <c r="B757" s="190"/>
      <c r="C757" s="190"/>
      <c r="D757" s="190"/>
      <c r="E757" s="190"/>
      <c r="F757" s="190"/>
      <c r="G757" s="190"/>
      <c r="H757" s="190"/>
      <c r="I757" s="190"/>
      <c r="J757" s="190"/>
      <c r="K757" s="190"/>
      <c r="L757" s="190"/>
      <c r="M757" s="190"/>
      <c r="N757" s="190"/>
      <c r="O757" s="190"/>
      <c r="P757" s="190"/>
      <c r="Q757" s="615"/>
      <c r="R757" s="588"/>
      <c r="S757" s="188"/>
      <c r="T757" s="190"/>
      <c r="U757" s="190"/>
      <c r="V757" s="190"/>
      <c r="W757" s="190"/>
      <c r="X757" s="190"/>
      <c r="Y757" s="190"/>
      <c r="Z757" s="190"/>
      <c r="AA757" s="190"/>
      <c r="AB757" s="190"/>
      <c r="AC757" s="190"/>
      <c r="AD757" s="190"/>
      <c r="AE757" s="190"/>
      <c r="AF757" s="190"/>
      <c r="AG757" s="190"/>
      <c r="AH757" s="190"/>
      <c r="AI757" s="190"/>
      <c r="AJ757" s="190"/>
      <c r="AK757" s="190"/>
      <c r="AL757" s="190"/>
      <c r="AM757" s="603"/>
      <c r="AN757" s="190"/>
      <c r="AO757" s="190"/>
      <c r="AP757" s="190"/>
      <c r="AQ757" s="190"/>
      <c r="AR757" s="619"/>
      <c r="AS757" s="617"/>
    </row>
    <row r="758" spans="1:45">
      <c r="A758" s="190"/>
      <c r="B758" s="190"/>
      <c r="C758" s="190"/>
      <c r="D758" s="190"/>
      <c r="E758" s="190"/>
      <c r="F758" s="190"/>
      <c r="G758" s="190"/>
      <c r="H758" s="190"/>
      <c r="I758" s="190"/>
      <c r="J758" s="190"/>
      <c r="K758" s="190"/>
      <c r="L758" s="190"/>
      <c r="M758" s="190"/>
      <c r="N758" s="190"/>
      <c r="O758" s="190"/>
      <c r="P758" s="190"/>
      <c r="Q758" s="615"/>
      <c r="R758" s="588"/>
      <c r="S758" s="188"/>
      <c r="T758" s="190"/>
      <c r="U758" s="190"/>
      <c r="V758" s="190"/>
      <c r="W758" s="190"/>
      <c r="X758" s="190"/>
      <c r="Y758" s="190"/>
      <c r="Z758" s="190"/>
      <c r="AA758" s="190"/>
      <c r="AB758" s="190"/>
      <c r="AC758" s="190"/>
      <c r="AD758" s="190"/>
      <c r="AE758" s="190"/>
      <c r="AF758" s="190"/>
      <c r="AG758" s="190"/>
      <c r="AH758" s="190"/>
      <c r="AI758" s="190"/>
      <c r="AJ758" s="190"/>
      <c r="AK758" s="190"/>
      <c r="AL758" s="190"/>
      <c r="AM758" s="603"/>
      <c r="AN758" s="190"/>
      <c r="AO758" s="190"/>
      <c r="AP758" s="190"/>
      <c r="AQ758" s="190"/>
      <c r="AR758" s="619"/>
      <c r="AS758" s="617"/>
    </row>
    <row r="759" spans="1:45">
      <c r="A759" s="190"/>
      <c r="B759" s="190"/>
      <c r="C759" s="190"/>
      <c r="D759" s="190"/>
      <c r="E759" s="190"/>
      <c r="F759" s="190"/>
      <c r="G759" s="190"/>
      <c r="H759" s="190"/>
      <c r="I759" s="190"/>
      <c r="J759" s="190"/>
      <c r="K759" s="190"/>
      <c r="L759" s="190"/>
      <c r="M759" s="190"/>
      <c r="N759" s="190"/>
      <c r="O759" s="190"/>
      <c r="P759" s="190"/>
      <c r="Q759" s="615"/>
      <c r="R759" s="588"/>
      <c r="S759" s="188"/>
      <c r="T759" s="190"/>
      <c r="U759" s="190"/>
      <c r="V759" s="190"/>
      <c r="W759" s="190"/>
      <c r="X759" s="190"/>
      <c r="Y759" s="190"/>
      <c r="Z759" s="190"/>
      <c r="AA759" s="190"/>
      <c r="AB759" s="190"/>
      <c r="AC759" s="190"/>
      <c r="AD759" s="190"/>
      <c r="AE759" s="190"/>
      <c r="AF759" s="190"/>
      <c r="AG759" s="190"/>
      <c r="AH759" s="190"/>
      <c r="AI759" s="190"/>
      <c r="AJ759" s="190"/>
      <c r="AK759" s="190"/>
      <c r="AL759" s="190"/>
      <c r="AM759" s="603"/>
      <c r="AN759" s="190"/>
      <c r="AO759" s="190"/>
      <c r="AP759" s="190"/>
      <c r="AQ759" s="190"/>
      <c r="AR759" s="619"/>
      <c r="AS759" s="617"/>
    </row>
    <row r="760" spans="1:45">
      <c r="A760" s="190"/>
      <c r="B760" s="190"/>
      <c r="C760" s="190"/>
      <c r="D760" s="190"/>
      <c r="E760" s="190"/>
      <c r="F760" s="190"/>
      <c r="G760" s="190"/>
      <c r="H760" s="190"/>
      <c r="I760" s="190"/>
      <c r="J760" s="190"/>
      <c r="K760" s="190"/>
      <c r="L760" s="190"/>
      <c r="M760" s="190"/>
      <c r="N760" s="190"/>
      <c r="O760" s="190"/>
      <c r="P760" s="190"/>
      <c r="Q760" s="615"/>
      <c r="R760" s="588"/>
      <c r="S760" s="188"/>
      <c r="T760" s="190"/>
      <c r="U760" s="190"/>
      <c r="V760" s="190"/>
      <c r="W760" s="190"/>
      <c r="X760" s="190"/>
      <c r="Y760" s="190"/>
      <c r="Z760" s="190"/>
      <c r="AA760" s="190"/>
      <c r="AB760" s="190"/>
      <c r="AC760" s="190"/>
      <c r="AD760" s="190"/>
      <c r="AE760" s="190"/>
      <c r="AF760" s="190"/>
      <c r="AG760" s="190"/>
      <c r="AH760" s="190"/>
      <c r="AI760" s="190"/>
      <c r="AJ760" s="190"/>
      <c r="AK760" s="190"/>
      <c r="AL760" s="190"/>
      <c r="AM760" s="603"/>
      <c r="AN760" s="190"/>
      <c r="AO760" s="190"/>
      <c r="AP760" s="190"/>
      <c r="AQ760" s="190"/>
      <c r="AR760" s="619"/>
      <c r="AS760" s="617"/>
    </row>
    <row r="761" spans="1:45">
      <c r="A761" s="190"/>
      <c r="B761" s="190"/>
      <c r="C761" s="190"/>
      <c r="D761" s="190"/>
      <c r="E761" s="190"/>
      <c r="F761" s="190"/>
      <c r="G761" s="190"/>
      <c r="H761" s="190"/>
      <c r="I761" s="190"/>
      <c r="J761" s="190"/>
      <c r="K761" s="190"/>
      <c r="L761" s="190"/>
      <c r="M761" s="190"/>
      <c r="N761" s="190"/>
      <c r="O761" s="190"/>
      <c r="P761" s="190"/>
      <c r="Q761" s="615"/>
      <c r="R761" s="588"/>
      <c r="S761" s="188"/>
      <c r="T761" s="190"/>
      <c r="U761" s="190"/>
      <c r="V761" s="190"/>
      <c r="W761" s="190"/>
      <c r="X761" s="190"/>
      <c r="Y761" s="190"/>
      <c r="Z761" s="190"/>
      <c r="AA761" s="190"/>
      <c r="AB761" s="190"/>
      <c r="AC761" s="190"/>
      <c r="AD761" s="190"/>
      <c r="AE761" s="190"/>
      <c r="AF761" s="190"/>
      <c r="AG761" s="190"/>
      <c r="AH761" s="190"/>
      <c r="AI761" s="190"/>
      <c r="AJ761" s="190"/>
      <c r="AK761" s="190"/>
      <c r="AL761" s="190"/>
      <c r="AM761" s="603"/>
      <c r="AN761" s="190"/>
      <c r="AO761" s="190"/>
      <c r="AP761" s="190"/>
      <c r="AQ761" s="190"/>
      <c r="AR761" s="619"/>
      <c r="AS761" s="617"/>
    </row>
    <row r="762" spans="1:45">
      <c r="A762" s="190"/>
      <c r="B762" s="190"/>
      <c r="C762" s="190"/>
      <c r="D762" s="190"/>
      <c r="E762" s="190"/>
      <c r="F762" s="190"/>
      <c r="G762" s="190"/>
      <c r="H762" s="190"/>
      <c r="I762" s="190"/>
      <c r="J762" s="190"/>
      <c r="K762" s="190"/>
      <c r="L762" s="190"/>
      <c r="M762" s="190"/>
      <c r="N762" s="190"/>
      <c r="O762" s="190"/>
      <c r="P762" s="190"/>
      <c r="Q762" s="615"/>
      <c r="R762" s="588"/>
      <c r="S762" s="188"/>
      <c r="T762" s="190"/>
      <c r="U762" s="190"/>
      <c r="V762" s="190"/>
      <c r="W762" s="190"/>
      <c r="X762" s="190"/>
      <c r="Y762" s="190"/>
      <c r="Z762" s="190"/>
      <c r="AA762" s="190"/>
      <c r="AB762" s="190"/>
      <c r="AC762" s="190"/>
      <c r="AD762" s="190"/>
      <c r="AE762" s="190"/>
      <c r="AF762" s="190"/>
      <c r="AG762" s="190"/>
      <c r="AH762" s="190"/>
      <c r="AI762" s="190"/>
      <c r="AJ762" s="190"/>
      <c r="AK762" s="190"/>
      <c r="AL762" s="190"/>
      <c r="AM762" s="603"/>
      <c r="AN762" s="190"/>
      <c r="AO762" s="190"/>
      <c r="AP762" s="190"/>
      <c r="AQ762" s="190"/>
      <c r="AR762" s="619"/>
      <c r="AS762" s="617"/>
    </row>
    <row r="763" spans="1:45">
      <c r="A763" s="190"/>
      <c r="B763" s="190"/>
      <c r="C763" s="190"/>
      <c r="D763" s="190"/>
      <c r="E763" s="190"/>
      <c r="F763" s="190"/>
      <c r="G763" s="190"/>
      <c r="H763" s="190"/>
      <c r="I763" s="190"/>
      <c r="J763" s="190"/>
      <c r="K763" s="190"/>
      <c r="L763" s="190"/>
      <c r="M763" s="190"/>
      <c r="N763" s="190"/>
      <c r="O763" s="190"/>
      <c r="P763" s="190"/>
      <c r="Q763" s="615"/>
      <c r="R763" s="588"/>
      <c r="S763" s="188"/>
      <c r="T763" s="190"/>
      <c r="U763" s="190"/>
      <c r="V763" s="190"/>
      <c r="W763" s="190"/>
      <c r="X763" s="190"/>
      <c r="Y763" s="190"/>
      <c r="Z763" s="190"/>
      <c r="AA763" s="190"/>
      <c r="AB763" s="190"/>
      <c r="AC763" s="190"/>
      <c r="AD763" s="190"/>
      <c r="AE763" s="190"/>
      <c r="AF763" s="190"/>
      <c r="AG763" s="190"/>
      <c r="AH763" s="190"/>
      <c r="AI763" s="190"/>
      <c r="AJ763" s="190"/>
      <c r="AK763" s="190"/>
      <c r="AL763" s="190"/>
      <c r="AM763" s="603"/>
      <c r="AN763" s="190"/>
      <c r="AO763" s="190"/>
      <c r="AP763" s="190"/>
      <c r="AQ763" s="190"/>
      <c r="AR763" s="619"/>
      <c r="AS763" s="617"/>
    </row>
    <row r="764" spans="1:45">
      <c r="A764" s="190"/>
      <c r="B764" s="190"/>
      <c r="C764" s="190"/>
      <c r="D764" s="190"/>
      <c r="E764" s="190"/>
      <c r="F764" s="190"/>
      <c r="G764" s="190"/>
      <c r="H764" s="190"/>
      <c r="I764" s="190"/>
      <c r="J764" s="190"/>
      <c r="K764" s="190"/>
      <c r="L764" s="190"/>
      <c r="M764" s="190"/>
      <c r="N764" s="190"/>
      <c r="O764" s="190"/>
      <c r="P764" s="190"/>
      <c r="Q764" s="615"/>
      <c r="R764" s="588"/>
      <c r="S764" s="188"/>
      <c r="T764" s="190"/>
      <c r="U764" s="190"/>
      <c r="V764" s="190"/>
      <c r="W764" s="190"/>
      <c r="X764" s="190"/>
      <c r="Y764" s="190"/>
      <c r="Z764" s="190"/>
      <c r="AA764" s="190"/>
      <c r="AB764" s="190"/>
      <c r="AC764" s="190"/>
      <c r="AD764" s="190"/>
      <c r="AE764" s="190"/>
      <c r="AF764" s="190"/>
      <c r="AG764" s="190"/>
      <c r="AH764" s="190"/>
      <c r="AI764" s="190"/>
      <c r="AJ764" s="190"/>
      <c r="AK764" s="190"/>
      <c r="AL764" s="190"/>
      <c r="AM764" s="603"/>
      <c r="AN764" s="190"/>
      <c r="AO764" s="190"/>
      <c r="AP764" s="190"/>
      <c r="AQ764" s="190"/>
      <c r="AR764" s="619"/>
      <c r="AS764" s="617"/>
    </row>
    <row r="765" spans="1:45">
      <c r="A765" s="190"/>
      <c r="B765" s="190"/>
      <c r="C765" s="190"/>
      <c r="D765" s="190"/>
      <c r="E765" s="190"/>
      <c r="F765" s="190"/>
      <c r="G765" s="190"/>
      <c r="H765" s="190"/>
      <c r="I765" s="190"/>
      <c r="J765" s="190"/>
      <c r="K765" s="190"/>
      <c r="L765" s="190"/>
      <c r="M765" s="190"/>
      <c r="N765" s="190"/>
      <c r="O765" s="190"/>
      <c r="P765" s="190"/>
      <c r="Q765" s="615"/>
      <c r="R765" s="588"/>
      <c r="S765" s="188"/>
      <c r="T765" s="190"/>
      <c r="U765" s="190"/>
      <c r="V765" s="190"/>
      <c r="W765" s="190"/>
      <c r="X765" s="190"/>
      <c r="Y765" s="190"/>
      <c r="Z765" s="190"/>
      <c r="AA765" s="190"/>
      <c r="AB765" s="190"/>
      <c r="AC765" s="190"/>
      <c r="AD765" s="190"/>
      <c r="AE765" s="190"/>
      <c r="AF765" s="190"/>
      <c r="AG765" s="190"/>
      <c r="AH765" s="190"/>
      <c r="AI765" s="190"/>
      <c r="AJ765" s="190"/>
      <c r="AK765" s="190"/>
      <c r="AL765" s="190"/>
      <c r="AM765" s="603"/>
      <c r="AN765" s="190"/>
      <c r="AO765" s="190"/>
      <c r="AP765" s="190"/>
      <c r="AQ765" s="190"/>
      <c r="AR765" s="619"/>
      <c r="AS765" s="617"/>
    </row>
    <row r="766" spans="1:45">
      <c r="A766" s="190"/>
      <c r="B766" s="190"/>
      <c r="C766" s="190"/>
      <c r="D766" s="190"/>
      <c r="E766" s="190"/>
      <c r="F766" s="190"/>
      <c r="G766" s="190"/>
      <c r="H766" s="190"/>
      <c r="I766" s="190"/>
      <c r="J766" s="190"/>
      <c r="K766" s="190"/>
      <c r="L766" s="190"/>
      <c r="M766" s="190"/>
      <c r="N766" s="190"/>
      <c r="O766" s="190"/>
      <c r="P766" s="190"/>
      <c r="Q766" s="615"/>
      <c r="R766" s="588"/>
      <c r="S766" s="188"/>
      <c r="T766" s="190"/>
      <c r="U766" s="190"/>
      <c r="V766" s="190"/>
      <c r="W766" s="190"/>
      <c r="X766" s="190"/>
      <c r="Y766" s="190"/>
      <c r="Z766" s="190"/>
      <c r="AA766" s="190"/>
      <c r="AB766" s="190"/>
      <c r="AC766" s="190"/>
      <c r="AD766" s="190"/>
      <c r="AE766" s="190"/>
      <c r="AF766" s="190"/>
      <c r="AG766" s="190"/>
      <c r="AH766" s="190"/>
      <c r="AI766" s="190"/>
      <c r="AJ766" s="190"/>
      <c r="AK766" s="190"/>
      <c r="AL766" s="190"/>
      <c r="AM766" s="603"/>
      <c r="AN766" s="190"/>
      <c r="AO766" s="190"/>
      <c r="AP766" s="190"/>
      <c r="AQ766" s="190"/>
      <c r="AR766" s="619"/>
      <c r="AS766" s="617"/>
    </row>
    <row r="767" spans="1:45">
      <c r="A767" s="190"/>
      <c r="B767" s="190"/>
      <c r="C767" s="190"/>
      <c r="D767" s="190"/>
      <c r="E767" s="190"/>
      <c r="F767" s="190"/>
      <c r="G767" s="190"/>
      <c r="H767" s="190"/>
      <c r="I767" s="190"/>
      <c r="J767" s="190"/>
      <c r="K767" s="190"/>
      <c r="L767" s="190"/>
      <c r="M767" s="190"/>
      <c r="N767" s="190"/>
      <c r="O767" s="190"/>
      <c r="P767" s="190"/>
      <c r="Q767" s="615"/>
      <c r="R767" s="588"/>
      <c r="S767" s="188"/>
      <c r="T767" s="190"/>
      <c r="U767" s="190"/>
      <c r="V767" s="190"/>
      <c r="W767" s="190"/>
      <c r="X767" s="190"/>
      <c r="Y767" s="190"/>
      <c r="Z767" s="190"/>
      <c r="AA767" s="190"/>
      <c r="AB767" s="190"/>
      <c r="AC767" s="190"/>
      <c r="AD767" s="190"/>
      <c r="AE767" s="190"/>
      <c r="AF767" s="190"/>
      <c r="AG767" s="190"/>
      <c r="AH767" s="190"/>
      <c r="AI767" s="190"/>
      <c r="AJ767" s="190"/>
      <c r="AK767" s="190"/>
      <c r="AL767" s="190"/>
      <c r="AM767" s="603"/>
      <c r="AN767" s="190"/>
      <c r="AO767" s="190"/>
      <c r="AP767" s="190"/>
      <c r="AQ767" s="190"/>
      <c r="AR767" s="619"/>
      <c r="AS767" s="617"/>
    </row>
    <row r="768" spans="1:45">
      <c r="A768" s="190"/>
      <c r="B768" s="190"/>
      <c r="C768" s="190"/>
      <c r="D768" s="190"/>
      <c r="E768" s="190"/>
      <c r="F768" s="190"/>
      <c r="G768" s="190"/>
      <c r="H768" s="190"/>
      <c r="I768" s="190"/>
      <c r="J768" s="190"/>
      <c r="K768" s="190"/>
      <c r="L768" s="190"/>
      <c r="M768" s="190"/>
      <c r="N768" s="190"/>
      <c r="O768" s="190"/>
      <c r="P768" s="190"/>
      <c r="Q768" s="615"/>
      <c r="R768" s="588"/>
      <c r="S768" s="188"/>
      <c r="T768" s="190"/>
      <c r="U768" s="190"/>
      <c r="V768" s="190"/>
      <c r="W768" s="190"/>
      <c r="X768" s="190"/>
      <c r="Y768" s="190"/>
      <c r="Z768" s="190"/>
      <c r="AA768" s="190"/>
      <c r="AB768" s="190"/>
      <c r="AC768" s="190"/>
      <c r="AD768" s="190"/>
      <c r="AE768" s="190"/>
      <c r="AF768" s="190"/>
      <c r="AG768" s="190"/>
      <c r="AH768" s="190"/>
      <c r="AI768" s="190"/>
      <c r="AJ768" s="190"/>
      <c r="AK768" s="190"/>
      <c r="AL768" s="190"/>
      <c r="AM768" s="603"/>
      <c r="AN768" s="190"/>
      <c r="AO768" s="190"/>
      <c r="AP768" s="190"/>
      <c r="AQ768" s="190"/>
      <c r="AR768" s="619"/>
      <c r="AS768" s="617"/>
    </row>
    <row r="769" spans="1:45">
      <c r="A769" s="190"/>
      <c r="B769" s="190"/>
      <c r="C769" s="190"/>
      <c r="D769" s="190"/>
      <c r="E769" s="190"/>
      <c r="F769" s="190"/>
      <c r="G769" s="190"/>
      <c r="H769" s="190"/>
      <c r="I769" s="190"/>
      <c r="J769" s="190"/>
      <c r="K769" s="190"/>
      <c r="L769" s="190"/>
      <c r="M769" s="190"/>
      <c r="N769" s="190"/>
      <c r="O769" s="190"/>
      <c r="P769" s="190"/>
      <c r="Q769" s="615"/>
      <c r="R769" s="588"/>
      <c r="S769" s="188"/>
      <c r="T769" s="190"/>
      <c r="U769" s="190"/>
      <c r="V769" s="190"/>
      <c r="W769" s="190"/>
      <c r="X769" s="190"/>
      <c r="Y769" s="190"/>
      <c r="Z769" s="190"/>
      <c r="AA769" s="190"/>
      <c r="AB769" s="190"/>
      <c r="AC769" s="190"/>
      <c r="AD769" s="190"/>
      <c r="AE769" s="190"/>
      <c r="AF769" s="190"/>
      <c r="AG769" s="190"/>
      <c r="AH769" s="190"/>
      <c r="AI769" s="190"/>
      <c r="AJ769" s="190"/>
      <c r="AK769" s="190"/>
      <c r="AL769" s="190"/>
      <c r="AM769" s="603"/>
      <c r="AN769" s="190"/>
      <c r="AO769" s="190"/>
      <c r="AP769" s="190"/>
      <c r="AQ769" s="190"/>
      <c r="AR769" s="619"/>
      <c r="AS769" s="617"/>
    </row>
    <row r="770" spans="1:45">
      <c r="A770" s="190"/>
      <c r="B770" s="190"/>
      <c r="C770" s="190"/>
      <c r="D770" s="190"/>
      <c r="E770" s="190"/>
      <c r="F770" s="190"/>
      <c r="G770" s="190"/>
      <c r="H770" s="190"/>
      <c r="I770" s="190"/>
      <c r="J770" s="190"/>
      <c r="K770" s="190"/>
      <c r="L770" s="190"/>
      <c r="M770" s="190"/>
      <c r="N770" s="190"/>
      <c r="O770" s="190"/>
      <c r="P770" s="190"/>
      <c r="Q770" s="615"/>
      <c r="R770" s="588"/>
      <c r="S770" s="188"/>
      <c r="T770" s="190"/>
      <c r="U770" s="190"/>
      <c r="V770" s="190"/>
      <c r="W770" s="190"/>
      <c r="X770" s="190"/>
      <c r="Y770" s="190"/>
      <c r="Z770" s="190"/>
      <c r="AA770" s="190"/>
      <c r="AB770" s="190"/>
      <c r="AC770" s="190"/>
      <c r="AD770" s="190"/>
      <c r="AE770" s="190"/>
      <c r="AF770" s="190"/>
      <c r="AG770" s="190"/>
      <c r="AH770" s="190"/>
      <c r="AI770" s="190"/>
      <c r="AJ770" s="190"/>
      <c r="AK770" s="190"/>
      <c r="AL770" s="190"/>
      <c r="AM770" s="603"/>
      <c r="AN770" s="190"/>
      <c r="AO770" s="190"/>
      <c r="AP770" s="190"/>
      <c r="AQ770" s="190"/>
      <c r="AR770" s="619"/>
      <c r="AS770" s="617"/>
    </row>
    <row r="771" spans="1:45">
      <c r="A771" s="190"/>
      <c r="B771" s="190"/>
      <c r="C771" s="190"/>
      <c r="D771" s="190"/>
      <c r="E771" s="190"/>
      <c r="F771" s="190"/>
      <c r="G771" s="190"/>
      <c r="H771" s="190"/>
      <c r="I771" s="190"/>
      <c r="J771" s="190"/>
      <c r="K771" s="190"/>
      <c r="L771" s="190"/>
      <c r="M771" s="190"/>
      <c r="N771" s="190"/>
      <c r="O771" s="190"/>
      <c r="P771" s="190"/>
      <c r="Q771" s="615"/>
      <c r="R771" s="588"/>
      <c r="S771" s="188"/>
      <c r="T771" s="190"/>
      <c r="U771" s="190"/>
      <c r="V771" s="190"/>
      <c r="W771" s="190"/>
      <c r="X771" s="190"/>
      <c r="Y771" s="190"/>
      <c r="Z771" s="190"/>
      <c r="AA771" s="190"/>
      <c r="AB771" s="190"/>
      <c r="AC771" s="190"/>
      <c r="AD771" s="190"/>
      <c r="AE771" s="190"/>
      <c r="AF771" s="190"/>
      <c r="AG771" s="190"/>
      <c r="AH771" s="190"/>
      <c r="AI771" s="190"/>
      <c r="AJ771" s="190"/>
      <c r="AK771" s="190"/>
      <c r="AL771" s="190"/>
      <c r="AM771" s="603"/>
      <c r="AN771" s="190"/>
      <c r="AO771" s="190"/>
      <c r="AP771" s="190"/>
      <c r="AQ771" s="190"/>
      <c r="AR771" s="619"/>
      <c r="AS771" s="617"/>
    </row>
    <row r="772" spans="1:45">
      <c r="A772" s="190"/>
      <c r="B772" s="190"/>
      <c r="C772" s="190"/>
      <c r="D772" s="190"/>
      <c r="E772" s="190"/>
      <c r="F772" s="190"/>
      <c r="G772" s="190"/>
      <c r="H772" s="190"/>
      <c r="I772" s="190"/>
      <c r="J772" s="190"/>
      <c r="K772" s="190"/>
      <c r="L772" s="190"/>
      <c r="M772" s="190"/>
      <c r="N772" s="190"/>
      <c r="O772" s="190"/>
      <c r="P772" s="190"/>
      <c r="Q772" s="615"/>
      <c r="R772" s="588"/>
      <c r="S772" s="188"/>
      <c r="T772" s="190"/>
      <c r="U772" s="190"/>
      <c r="V772" s="190"/>
      <c r="W772" s="190"/>
      <c r="X772" s="190"/>
      <c r="Y772" s="190"/>
      <c r="Z772" s="190"/>
      <c r="AA772" s="190"/>
      <c r="AB772" s="190"/>
      <c r="AC772" s="190"/>
      <c r="AD772" s="190"/>
      <c r="AE772" s="190"/>
      <c r="AF772" s="190"/>
      <c r="AG772" s="190"/>
      <c r="AH772" s="190"/>
      <c r="AI772" s="190"/>
      <c r="AJ772" s="190"/>
      <c r="AK772" s="190"/>
      <c r="AL772" s="190"/>
      <c r="AM772" s="603"/>
      <c r="AN772" s="190"/>
      <c r="AO772" s="190"/>
      <c r="AP772" s="190"/>
      <c r="AQ772" s="190"/>
      <c r="AR772" s="619"/>
      <c r="AS772" s="617"/>
    </row>
    <row r="773" spans="1:45">
      <c r="A773" s="190"/>
      <c r="B773" s="190"/>
      <c r="C773" s="190"/>
      <c r="D773" s="190"/>
      <c r="E773" s="190"/>
      <c r="F773" s="190"/>
      <c r="G773" s="190"/>
      <c r="H773" s="190"/>
      <c r="I773" s="190"/>
      <c r="J773" s="190"/>
      <c r="K773" s="190"/>
      <c r="L773" s="190"/>
      <c r="M773" s="190"/>
      <c r="N773" s="190"/>
      <c r="O773" s="190"/>
      <c r="P773" s="190"/>
      <c r="Q773" s="615"/>
      <c r="R773" s="588"/>
      <c r="S773" s="188"/>
      <c r="T773" s="190"/>
      <c r="U773" s="190"/>
      <c r="V773" s="190"/>
      <c r="W773" s="190"/>
      <c r="X773" s="190"/>
      <c r="Y773" s="190"/>
      <c r="Z773" s="190"/>
      <c r="AA773" s="190"/>
      <c r="AB773" s="190"/>
      <c r="AC773" s="190"/>
      <c r="AD773" s="190"/>
      <c r="AE773" s="190"/>
      <c r="AF773" s="190"/>
      <c r="AG773" s="190"/>
      <c r="AH773" s="190"/>
      <c r="AI773" s="190"/>
      <c r="AJ773" s="190"/>
      <c r="AK773" s="190"/>
      <c r="AL773" s="190"/>
      <c r="AM773" s="603"/>
      <c r="AN773" s="190"/>
      <c r="AO773" s="190"/>
      <c r="AP773" s="190"/>
      <c r="AQ773" s="190"/>
      <c r="AR773" s="619"/>
      <c r="AS773" s="617"/>
    </row>
    <row r="774" spans="1:45">
      <c r="A774" s="190"/>
      <c r="B774" s="190"/>
      <c r="C774" s="190"/>
      <c r="D774" s="190"/>
      <c r="E774" s="190"/>
      <c r="F774" s="190"/>
      <c r="G774" s="190"/>
      <c r="H774" s="190"/>
      <c r="I774" s="190"/>
      <c r="J774" s="190"/>
      <c r="K774" s="190"/>
      <c r="L774" s="190"/>
      <c r="M774" s="190"/>
      <c r="N774" s="190"/>
      <c r="O774" s="190"/>
      <c r="P774" s="190"/>
      <c r="Q774" s="615"/>
      <c r="R774" s="588"/>
      <c r="S774" s="188"/>
      <c r="T774" s="190"/>
      <c r="U774" s="190"/>
      <c r="V774" s="190"/>
      <c r="W774" s="190"/>
      <c r="X774" s="190"/>
      <c r="Y774" s="190"/>
      <c r="Z774" s="190"/>
      <c r="AA774" s="190"/>
      <c r="AB774" s="190"/>
      <c r="AC774" s="190"/>
      <c r="AD774" s="190"/>
      <c r="AE774" s="190"/>
      <c r="AF774" s="190"/>
      <c r="AG774" s="190"/>
      <c r="AH774" s="190"/>
      <c r="AI774" s="190"/>
      <c r="AJ774" s="190"/>
      <c r="AK774" s="190"/>
      <c r="AL774" s="190"/>
      <c r="AM774" s="603"/>
      <c r="AN774" s="190"/>
      <c r="AO774" s="190"/>
      <c r="AP774" s="190"/>
      <c r="AQ774" s="190"/>
      <c r="AR774" s="619"/>
      <c r="AS774" s="617"/>
    </row>
    <row r="775" spans="1:45">
      <c r="A775" s="190"/>
      <c r="B775" s="190"/>
      <c r="C775" s="190"/>
      <c r="D775" s="190"/>
      <c r="E775" s="190"/>
      <c r="F775" s="190"/>
      <c r="G775" s="190"/>
      <c r="H775" s="190"/>
      <c r="I775" s="190"/>
      <c r="J775" s="190"/>
      <c r="K775" s="190"/>
      <c r="L775" s="190"/>
      <c r="M775" s="190"/>
      <c r="N775" s="190"/>
      <c r="O775" s="190"/>
      <c r="P775" s="190"/>
      <c r="Q775" s="615"/>
      <c r="R775" s="588"/>
      <c r="S775" s="188"/>
      <c r="T775" s="190"/>
      <c r="U775" s="190"/>
      <c r="V775" s="190"/>
      <c r="W775" s="190"/>
      <c r="X775" s="190"/>
      <c r="Y775" s="190"/>
      <c r="Z775" s="190"/>
      <c r="AA775" s="190"/>
      <c r="AB775" s="190"/>
      <c r="AC775" s="190"/>
      <c r="AD775" s="190"/>
      <c r="AE775" s="190"/>
      <c r="AF775" s="190"/>
      <c r="AG775" s="190"/>
      <c r="AH775" s="190"/>
      <c r="AI775" s="190"/>
      <c r="AJ775" s="190"/>
      <c r="AK775" s="190"/>
      <c r="AL775" s="190"/>
      <c r="AM775" s="603"/>
      <c r="AN775" s="190"/>
      <c r="AO775" s="190"/>
      <c r="AP775" s="190"/>
      <c r="AQ775" s="190"/>
      <c r="AR775" s="619"/>
      <c r="AS775" s="617"/>
    </row>
    <row r="776" spans="1:45">
      <c r="A776" s="190"/>
      <c r="B776" s="190"/>
      <c r="C776" s="190"/>
      <c r="D776" s="190"/>
      <c r="E776" s="190"/>
      <c r="F776" s="190"/>
      <c r="G776" s="190"/>
      <c r="H776" s="190"/>
      <c r="I776" s="190"/>
      <c r="J776" s="190"/>
      <c r="K776" s="190"/>
      <c r="L776" s="190"/>
      <c r="M776" s="190"/>
      <c r="N776" s="190"/>
      <c r="O776" s="190"/>
      <c r="P776" s="190"/>
      <c r="Q776" s="615"/>
      <c r="R776" s="588"/>
      <c r="S776" s="188"/>
      <c r="T776" s="190"/>
      <c r="U776" s="190"/>
      <c r="V776" s="190"/>
      <c r="W776" s="190"/>
      <c r="X776" s="190"/>
      <c r="Y776" s="190"/>
      <c r="Z776" s="190"/>
      <c r="AA776" s="190"/>
      <c r="AB776" s="190"/>
      <c r="AC776" s="190"/>
      <c r="AD776" s="190"/>
      <c r="AE776" s="190"/>
      <c r="AF776" s="190"/>
      <c r="AG776" s="190"/>
      <c r="AH776" s="190"/>
      <c r="AI776" s="190"/>
      <c r="AJ776" s="190"/>
      <c r="AK776" s="190"/>
      <c r="AL776" s="190"/>
      <c r="AM776" s="603"/>
      <c r="AN776" s="190"/>
      <c r="AO776" s="190"/>
      <c r="AP776" s="190"/>
      <c r="AQ776" s="190"/>
      <c r="AR776" s="619"/>
      <c r="AS776" s="617"/>
    </row>
    <row r="777" spans="1:45">
      <c r="A777" s="190"/>
      <c r="B777" s="190"/>
      <c r="C777" s="190"/>
      <c r="D777" s="190"/>
      <c r="E777" s="190"/>
      <c r="F777" s="190"/>
      <c r="G777" s="190"/>
      <c r="H777" s="190"/>
      <c r="I777" s="190"/>
      <c r="J777" s="190"/>
      <c r="K777" s="190"/>
      <c r="L777" s="190"/>
      <c r="M777" s="190"/>
      <c r="N777" s="190"/>
      <c r="O777" s="190"/>
      <c r="P777" s="190"/>
      <c r="Q777" s="615"/>
      <c r="R777" s="588"/>
      <c r="S777" s="188"/>
      <c r="T777" s="190"/>
      <c r="U777" s="190"/>
      <c r="V777" s="190"/>
      <c r="W777" s="190"/>
      <c r="X777" s="190"/>
      <c r="Y777" s="190"/>
      <c r="Z777" s="190"/>
      <c r="AA777" s="190"/>
      <c r="AB777" s="190"/>
      <c r="AC777" s="190"/>
      <c r="AD777" s="190"/>
      <c r="AE777" s="190"/>
      <c r="AF777" s="190"/>
      <c r="AG777" s="190"/>
      <c r="AH777" s="190"/>
      <c r="AI777" s="190"/>
      <c r="AJ777" s="190"/>
      <c r="AK777" s="190"/>
      <c r="AL777" s="190"/>
      <c r="AM777" s="603"/>
      <c r="AN777" s="190"/>
      <c r="AO777" s="190"/>
      <c r="AP777" s="190"/>
      <c r="AQ777" s="190"/>
      <c r="AR777" s="619"/>
      <c r="AS777" s="617"/>
    </row>
    <row r="778" spans="1:45">
      <c r="A778" s="190"/>
      <c r="B778" s="190"/>
      <c r="C778" s="190"/>
      <c r="D778" s="190"/>
      <c r="E778" s="190"/>
      <c r="F778" s="190"/>
      <c r="G778" s="190"/>
      <c r="H778" s="190"/>
      <c r="I778" s="190"/>
      <c r="J778" s="190"/>
      <c r="K778" s="190"/>
      <c r="L778" s="190"/>
      <c r="M778" s="190"/>
      <c r="N778" s="190"/>
      <c r="O778" s="190"/>
      <c r="P778" s="190"/>
      <c r="Q778" s="615"/>
      <c r="R778" s="588"/>
      <c r="S778" s="188"/>
      <c r="T778" s="190"/>
      <c r="U778" s="190"/>
      <c r="V778" s="190"/>
      <c r="W778" s="190"/>
      <c r="X778" s="190"/>
      <c r="Y778" s="190"/>
      <c r="Z778" s="190"/>
      <c r="AA778" s="190"/>
      <c r="AB778" s="190"/>
      <c r="AC778" s="190"/>
      <c r="AD778" s="190"/>
      <c r="AE778" s="190"/>
      <c r="AF778" s="190"/>
      <c r="AG778" s="190"/>
      <c r="AH778" s="190"/>
      <c r="AI778" s="190"/>
      <c r="AJ778" s="190"/>
      <c r="AK778" s="190"/>
      <c r="AL778" s="190"/>
      <c r="AM778" s="603"/>
      <c r="AN778" s="190"/>
      <c r="AO778" s="190"/>
      <c r="AP778" s="190"/>
      <c r="AQ778" s="190"/>
      <c r="AR778" s="619"/>
      <c r="AS778" s="617"/>
    </row>
    <row r="779" spans="1:45">
      <c r="A779" s="190"/>
      <c r="B779" s="190"/>
      <c r="C779" s="190"/>
      <c r="D779" s="190"/>
      <c r="E779" s="190"/>
      <c r="F779" s="190"/>
      <c r="G779" s="190"/>
      <c r="H779" s="190"/>
      <c r="I779" s="190"/>
      <c r="J779" s="190"/>
      <c r="K779" s="190"/>
      <c r="L779" s="190"/>
      <c r="M779" s="190"/>
      <c r="N779" s="190"/>
      <c r="O779" s="190"/>
      <c r="P779" s="190"/>
      <c r="Q779" s="615"/>
      <c r="R779" s="588"/>
      <c r="S779" s="188"/>
      <c r="T779" s="190"/>
      <c r="U779" s="190"/>
      <c r="V779" s="190"/>
      <c r="W779" s="190"/>
      <c r="X779" s="190"/>
      <c r="Y779" s="190"/>
      <c r="Z779" s="190"/>
      <c r="AA779" s="190"/>
      <c r="AB779" s="190"/>
      <c r="AC779" s="190"/>
      <c r="AD779" s="190"/>
      <c r="AE779" s="190"/>
      <c r="AF779" s="190"/>
      <c r="AG779" s="190"/>
      <c r="AH779" s="190"/>
      <c r="AI779" s="190"/>
      <c r="AJ779" s="190"/>
      <c r="AK779" s="190"/>
      <c r="AL779" s="190"/>
      <c r="AM779" s="603"/>
      <c r="AN779" s="190"/>
      <c r="AO779" s="190"/>
      <c r="AP779" s="190"/>
      <c r="AQ779" s="190"/>
      <c r="AR779" s="619"/>
      <c r="AS779" s="617"/>
    </row>
    <row r="780" spans="1:45">
      <c r="A780" s="190"/>
      <c r="B780" s="190"/>
      <c r="C780" s="190"/>
      <c r="D780" s="190"/>
      <c r="E780" s="190"/>
      <c r="F780" s="190"/>
      <c r="G780" s="190"/>
      <c r="H780" s="190"/>
      <c r="I780" s="190"/>
      <c r="J780" s="190"/>
      <c r="K780" s="190"/>
      <c r="L780" s="190"/>
      <c r="M780" s="190"/>
      <c r="N780" s="190"/>
      <c r="O780" s="190"/>
      <c r="P780" s="190"/>
      <c r="Q780" s="615"/>
      <c r="R780" s="588"/>
      <c r="S780" s="188"/>
      <c r="T780" s="190"/>
      <c r="U780" s="190"/>
      <c r="V780" s="190"/>
      <c r="W780" s="190"/>
      <c r="X780" s="190"/>
      <c r="Y780" s="190"/>
      <c r="Z780" s="190"/>
      <c r="AA780" s="190"/>
      <c r="AB780" s="190"/>
      <c r="AC780" s="190"/>
      <c r="AD780" s="190"/>
      <c r="AE780" s="190"/>
      <c r="AF780" s="190"/>
      <c r="AG780" s="190"/>
      <c r="AH780" s="190"/>
      <c r="AI780" s="190"/>
      <c r="AJ780" s="190"/>
      <c r="AK780" s="190"/>
      <c r="AL780" s="190"/>
      <c r="AM780" s="603"/>
      <c r="AN780" s="190"/>
      <c r="AO780" s="190"/>
      <c r="AP780" s="190"/>
      <c r="AQ780" s="190"/>
      <c r="AR780" s="619"/>
      <c r="AS780" s="617"/>
    </row>
    <row r="781" spans="1:45">
      <c r="A781" s="190"/>
      <c r="B781" s="190"/>
      <c r="C781" s="190"/>
      <c r="D781" s="190"/>
      <c r="E781" s="190"/>
      <c r="F781" s="190"/>
      <c r="G781" s="190"/>
      <c r="H781" s="190"/>
      <c r="I781" s="190"/>
      <c r="J781" s="190"/>
      <c r="K781" s="190"/>
      <c r="L781" s="190"/>
      <c r="M781" s="190"/>
      <c r="N781" s="190"/>
      <c r="O781" s="190"/>
      <c r="P781" s="190"/>
      <c r="Q781" s="615"/>
      <c r="R781" s="588"/>
      <c r="S781" s="188"/>
      <c r="T781" s="190"/>
      <c r="U781" s="190"/>
      <c r="V781" s="190"/>
      <c r="W781" s="190"/>
      <c r="X781" s="190"/>
      <c r="Y781" s="190"/>
      <c r="Z781" s="190"/>
      <c r="AA781" s="190"/>
      <c r="AB781" s="190"/>
      <c r="AC781" s="190"/>
      <c r="AD781" s="190"/>
      <c r="AE781" s="190"/>
      <c r="AF781" s="190"/>
      <c r="AG781" s="190"/>
      <c r="AH781" s="190"/>
      <c r="AI781" s="190"/>
      <c r="AJ781" s="190"/>
      <c r="AK781" s="190"/>
      <c r="AL781" s="190"/>
      <c r="AM781" s="603"/>
      <c r="AN781" s="190"/>
      <c r="AO781" s="190"/>
      <c r="AP781" s="190"/>
      <c r="AQ781" s="190"/>
      <c r="AR781" s="619"/>
      <c r="AS781" s="617"/>
    </row>
    <row r="782" spans="1:45">
      <c r="A782" s="190"/>
      <c r="B782" s="190"/>
      <c r="C782" s="190"/>
      <c r="D782" s="190"/>
      <c r="E782" s="190"/>
      <c r="F782" s="190"/>
      <c r="G782" s="190"/>
      <c r="H782" s="190"/>
      <c r="I782" s="190"/>
      <c r="J782" s="190"/>
      <c r="K782" s="190"/>
      <c r="L782" s="190"/>
      <c r="M782" s="190"/>
      <c r="N782" s="190"/>
      <c r="O782" s="190"/>
      <c r="P782" s="190"/>
      <c r="Q782" s="615"/>
      <c r="R782" s="588"/>
      <c r="S782" s="188"/>
      <c r="T782" s="190"/>
      <c r="U782" s="190"/>
      <c r="V782" s="190"/>
      <c r="W782" s="190"/>
      <c r="X782" s="190"/>
      <c r="Y782" s="190"/>
      <c r="Z782" s="190"/>
      <c r="AA782" s="190"/>
      <c r="AB782" s="190"/>
      <c r="AC782" s="190"/>
      <c r="AD782" s="190"/>
      <c r="AE782" s="190"/>
      <c r="AF782" s="190"/>
      <c r="AG782" s="190"/>
      <c r="AH782" s="190"/>
      <c r="AI782" s="190"/>
      <c r="AJ782" s="190"/>
      <c r="AK782" s="190"/>
      <c r="AL782" s="190"/>
      <c r="AM782" s="603"/>
      <c r="AN782" s="190"/>
      <c r="AO782" s="190"/>
      <c r="AP782" s="190"/>
      <c r="AQ782" s="190"/>
      <c r="AR782" s="619"/>
      <c r="AS782" s="617"/>
    </row>
    <row r="783" spans="1:45">
      <c r="A783" s="190"/>
      <c r="B783" s="190"/>
      <c r="C783" s="190"/>
      <c r="D783" s="190"/>
      <c r="E783" s="190"/>
      <c r="F783" s="190"/>
      <c r="G783" s="190"/>
      <c r="H783" s="190"/>
      <c r="I783" s="190"/>
      <c r="J783" s="190"/>
      <c r="K783" s="190"/>
      <c r="L783" s="190"/>
      <c r="M783" s="190"/>
      <c r="N783" s="190"/>
      <c r="O783" s="190"/>
      <c r="P783" s="190"/>
      <c r="Q783" s="615"/>
      <c r="R783" s="588"/>
      <c r="S783" s="188"/>
      <c r="T783" s="190"/>
      <c r="U783" s="190"/>
      <c r="V783" s="190"/>
      <c r="W783" s="190"/>
      <c r="X783" s="190"/>
      <c r="Y783" s="190"/>
      <c r="Z783" s="190"/>
      <c r="AA783" s="190"/>
      <c r="AB783" s="190"/>
      <c r="AC783" s="190"/>
      <c r="AD783" s="190"/>
      <c r="AE783" s="190"/>
      <c r="AF783" s="190"/>
      <c r="AG783" s="190"/>
      <c r="AH783" s="190"/>
      <c r="AI783" s="190"/>
      <c r="AJ783" s="190"/>
      <c r="AK783" s="190"/>
      <c r="AL783" s="190"/>
      <c r="AM783" s="603"/>
      <c r="AN783" s="190"/>
      <c r="AO783" s="190"/>
      <c r="AP783" s="190"/>
      <c r="AQ783" s="190"/>
      <c r="AR783" s="619"/>
      <c r="AS783" s="617"/>
    </row>
    <row r="784" spans="1:45">
      <c r="A784" s="190"/>
      <c r="B784" s="190"/>
      <c r="C784" s="190"/>
      <c r="D784" s="190"/>
      <c r="E784" s="190"/>
      <c r="F784" s="190"/>
      <c r="G784" s="190"/>
      <c r="H784" s="190"/>
      <c r="I784" s="190"/>
      <c r="J784" s="190"/>
      <c r="K784" s="190"/>
      <c r="L784" s="190"/>
      <c r="M784" s="190"/>
      <c r="N784" s="190"/>
      <c r="O784" s="190"/>
      <c r="P784" s="190"/>
      <c r="Q784" s="615"/>
      <c r="R784" s="588"/>
      <c r="S784" s="188"/>
      <c r="T784" s="190"/>
      <c r="U784" s="190"/>
      <c r="V784" s="190"/>
      <c r="W784" s="190"/>
      <c r="X784" s="190"/>
      <c r="Y784" s="190"/>
      <c r="Z784" s="190"/>
      <c r="AA784" s="190"/>
      <c r="AB784" s="190"/>
      <c r="AC784" s="190"/>
      <c r="AD784" s="190"/>
      <c r="AE784" s="190"/>
      <c r="AF784" s="190"/>
      <c r="AG784" s="190"/>
      <c r="AH784" s="190"/>
      <c r="AI784" s="190"/>
      <c r="AJ784" s="190"/>
      <c r="AK784" s="190"/>
      <c r="AL784" s="190"/>
      <c r="AM784" s="603"/>
      <c r="AN784" s="190"/>
      <c r="AO784" s="190"/>
      <c r="AP784" s="190"/>
      <c r="AQ784" s="190"/>
      <c r="AR784" s="619"/>
      <c r="AS784" s="617"/>
    </row>
    <row r="785" spans="1:45">
      <c r="A785" s="190"/>
      <c r="B785" s="190"/>
      <c r="C785" s="190"/>
      <c r="D785" s="190"/>
      <c r="E785" s="190"/>
      <c r="F785" s="190"/>
      <c r="G785" s="190"/>
      <c r="H785" s="190"/>
      <c r="I785" s="190"/>
      <c r="J785" s="190"/>
      <c r="K785" s="190"/>
      <c r="L785" s="190"/>
      <c r="M785" s="190"/>
      <c r="N785" s="190"/>
      <c r="O785" s="190"/>
      <c r="P785" s="190"/>
      <c r="Q785" s="615"/>
      <c r="R785" s="588"/>
      <c r="S785" s="188"/>
      <c r="T785" s="190"/>
      <c r="U785" s="190"/>
      <c r="V785" s="190"/>
      <c r="W785" s="190"/>
      <c r="X785" s="190"/>
      <c r="Y785" s="190"/>
      <c r="Z785" s="190"/>
      <c r="AA785" s="190"/>
      <c r="AB785" s="190"/>
      <c r="AC785" s="190"/>
      <c r="AD785" s="190"/>
      <c r="AE785" s="190"/>
      <c r="AF785" s="190"/>
      <c r="AG785" s="190"/>
      <c r="AH785" s="190"/>
      <c r="AI785" s="190"/>
      <c r="AJ785" s="190"/>
      <c r="AK785" s="190"/>
      <c r="AL785" s="190"/>
      <c r="AM785" s="603"/>
      <c r="AN785" s="190"/>
      <c r="AO785" s="190"/>
      <c r="AP785" s="190"/>
      <c r="AQ785" s="190"/>
      <c r="AR785" s="619"/>
      <c r="AS785" s="617"/>
    </row>
    <row r="786" spans="1:45">
      <c r="A786" s="190"/>
      <c r="B786" s="190"/>
      <c r="C786" s="190"/>
      <c r="D786" s="190"/>
      <c r="E786" s="190"/>
      <c r="F786" s="190"/>
      <c r="G786" s="190"/>
      <c r="H786" s="190"/>
      <c r="I786" s="190"/>
      <c r="J786" s="190"/>
      <c r="K786" s="190"/>
      <c r="L786" s="190"/>
      <c r="M786" s="190"/>
      <c r="N786" s="190"/>
      <c r="O786" s="190"/>
      <c r="P786" s="190"/>
      <c r="Q786" s="615"/>
      <c r="R786" s="588"/>
      <c r="S786" s="188"/>
      <c r="T786" s="190"/>
      <c r="U786" s="190"/>
      <c r="V786" s="190"/>
      <c r="W786" s="190"/>
      <c r="X786" s="190"/>
      <c r="Y786" s="190"/>
      <c r="Z786" s="190"/>
      <c r="AA786" s="190"/>
      <c r="AB786" s="190"/>
      <c r="AC786" s="190"/>
      <c r="AD786" s="190"/>
      <c r="AE786" s="190"/>
      <c r="AF786" s="190"/>
      <c r="AG786" s="190"/>
      <c r="AH786" s="190"/>
      <c r="AI786" s="190"/>
      <c r="AJ786" s="190"/>
      <c r="AK786" s="190"/>
      <c r="AL786" s="190"/>
      <c r="AM786" s="603"/>
      <c r="AN786" s="190"/>
      <c r="AO786" s="190"/>
      <c r="AP786" s="190"/>
      <c r="AQ786" s="190"/>
      <c r="AR786" s="619"/>
      <c r="AS786" s="617"/>
    </row>
    <row r="787" spans="1:45">
      <c r="A787" s="190"/>
      <c r="B787" s="190"/>
      <c r="C787" s="190"/>
      <c r="D787" s="190"/>
      <c r="E787" s="190"/>
      <c r="F787" s="190"/>
      <c r="G787" s="190"/>
      <c r="H787" s="190"/>
      <c r="I787" s="190"/>
      <c r="J787" s="190"/>
      <c r="K787" s="190"/>
      <c r="L787" s="190"/>
      <c r="M787" s="190"/>
      <c r="N787" s="190"/>
      <c r="O787" s="190"/>
      <c r="P787" s="190"/>
      <c r="Q787" s="615"/>
      <c r="R787" s="588"/>
      <c r="S787" s="188"/>
      <c r="T787" s="190"/>
      <c r="U787" s="190"/>
      <c r="V787" s="190"/>
      <c r="W787" s="190"/>
      <c r="X787" s="190"/>
      <c r="Y787" s="190"/>
      <c r="Z787" s="190"/>
      <c r="AA787" s="190"/>
      <c r="AB787" s="190"/>
      <c r="AC787" s="190"/>
      <c r="AD787" s="190"/>
      <c r="AE787" s="190"/>
      <c r="AF787" s="190"/>
      <c r="AG787" s="190"/>
      <c r="AH787" s="190"/>
      <c r="AI787" s="190"/>
      <c r="AJ787" s="190"/>
      <c r="AK787" s="190"/>
      <c r="AL787" s="190"/>
      <c r="AM787" s="603"/>
      <c r="AN787" s="190"/>
      <c r="AO787" s="190"/>
      <c r="AP787" s="190"/>
      <c r="AQ787" s="190"/>
      <c r="AR787" s="619"/>
      <c r="AS787" s="617"/>
    </row>
    <row r="788" spans="1:45">
      <c r="A788" s="190"/>
      <c r="B788" s="190"/>
      <c r="C788" s="190"/>
      <c r="D788" s="190"/>
      <c r="E788" s="190"/>
      <c r="F788" s="190"/>
      <c r="G788" s="190"/>
      <c r="H788" s="190"/>
      <c r="I788" s="190"/>
      <c r="J788" s="190"/>
      <c r="K788" s="190"/>
      <c r="L788" s="190"/>
      <c r="M788" s="190"/>
      <c r="N788" s="190"/>
      <c r="O788" s="190"/>
      <c r="P788" s="190"/>
      <c r="Q788" s="615"/>
      <c r="R788" s="588"/>
      <c r="S788" s="188"/>
      <c r="T788" s="190"/>
      <c r="U788" s="190"/>
      <c r="V788" s="190"/>
      <c r="W788" s="190"/>
      <c r="X788" s="190"/>
      <c r="Y788" s="190"/>
      <c r="Z788" s="190"/>
      <c r="AA788" s="190"/>
      <c r="AB788" s="190"/>
      <c r="AC788" s="190"/>
      <c r="AD788" s="190"/>
      <c r="AE788" s="190"/>
      <c r="AF788" s="190"/>
      <c r="AG788" s="190"/>
      <c r="AH788" s="190"/>
      <c r="AI788" s="190"/>
      <c r="AJ788" s="190"/>
      <c r="AK788" s="190"/>
      <c r="AL788" s="190"/>
      <c r="AM788" s="603"/>
      <c r="AN788" s="190"/>
      <c r="AO788" s="190"/>
      <c r="AP788" s="190"/>
      <c r="AQ788" s="190"/>
      <c r="AR788" s="619"/>
      <c r="AS788" s="617"/>
    </row>
    <row r="789" spans="1:45">
      <c r="A789" s="190"/>
      <c r="B789" s="190"/>
      <c r="C789" s="190"/>
      <c r="D789" s="190"/>
      <c r="E789" s="190"/>
      <c r="F789" s="190"/>
      <c r="G789" s="190"/>
      <c r="H789" s="190"/>
      <c r="I789" s="190"/>
      <c r="J789" s="190"/>
      <c r="K789" s="190"/>
      <c r="L789" s="190"/>
      <c r="M789" s="190"/>
      <c r="N789" s="190"/>
      <c r="O789" s="190"/>
      <c r="P789" s="190"/>
      <c r="Q789" s="615"/>
      <c r="R789" s="588"/>
      <c r="S789" s="188"/>
      <c r="T789" s="190"/>
      <c r="U789" s="190"/>
      <c r="V789" s="190"/>
      <c r="W789" s="190"/>
      <c r="X789" s="190"/>
      <c r="Y789" s="190"/>
      <c r="Z789" s="190"/>
      <c r="AA789" s="190"/>
      <c r="AB789" s="190"/>
      <c r="AC789" s="190"/>
      <c r="AD789" s="190"/>
      <c r="AE789" s="190"/>
      <c r="AF789" s="190"/>
      <c r="AG789" s="190"/>
      <c r="AH789" s="190"/>
      <c r="AI789" s="190"/>
      <c r="AJ789" s="190"/>
      <c r="AK789" s="190"/>
      <c r="AL789" s="190"/>
      <c r="AM789" s="603"/>
      <c r="AN789" s="190"/>
      <c r="AO789" s="190"/>
      <c r="AP789" s="190"/>
      <c r="AQ789" s="190"/>
      <c r="AR789" s="619"/>
      <c r="AS789" s="617"/>
    </row>
    <row r="790" spans="1:45">
      <c r="A790" s="190"/>
      <c r="B790" s="190"/>
      <c r="C790" s="190"/>
      <c r="D790" s="190"/>
      <c r="E790" s="190"/>
      <c r="F790" s="190"/>
      <c r="G790" s="190"/>
      <c r="H790" s="190"/>
      <c r="I790" s="190"/>
      <c r="J790" s="190"/>
      <c r="K790" s="190"/>
      <c r="L790" s="190"/>
      <c r="M790" s="190"/>
      <c r="N790" s="190"/>
      <c r="O790" s="190"/>
      <c r="P790" s="190"/>
      <c r="Q790" s="615"/>
      <c r="R790" s="588"/>
      <c r="S790" s="188"/>
      <c r="T790" s="190"/>
      <c r="U790" s="190"/>
      <c r="V790" s="190"/>
      <c r="W790" s="190"/>
      <c r="X790" s="190"/>
      <c r="Y790" s="190"/>
      <c r="Z790" s="190"/>
      <c r="AA790" s="190"/>
      <c r="AB790" s="190"/>
      <c r="AC790" s="190"/>
      <c r="AD790" s="190"/>
      <c r="AE790" s="190"/>
      <c r="AF790" s="190"/>
      <c r="AG790" s="190"/>
      <c r="AH790" s="190"/>
      <c r="AI790" s="190"/>
      <c r="AJ790" s="190"/>
      <c r="AK790" s="190"/>
      <c r="AL790" s="190"/>
      <c r="AM790" s="603"/>
      <c r="AN790" s="190"/>
      <c r="AO790" s="190"/>
      <c r="AP790" s="190"/>
      <c r="AQ790" s="190"/>
      <c r="AR790" s="619"/>
      <c r="AS790" s="617"/>
    </row>
    <row r="791" spans="1:45">
      <c r="A791" s="190"/>
      <c r="B791" s="190"/>
      <c r="C791" s="190"/>
      <c r="D791" s="190"/>
      <c r="E791" s="190"/>
      <c r="F791" s="190"/>
      <c r="G791" s="190"/>
      <c r="H791" s="190"/>
      <c r="I791" s="190"/>
      <c r="J791" s="190"/>
      <c r="K791" s="190"/>
      <c r="L791" s="190"/>
      <c r="M791" s="190"/>
      <c r="N791" s="190"/>
      <c r="O791" s="190"/>
      <c r="P791" s="190"/>
      <c r="Q791" s="615"/>
      <c r="R791" s="588"/>
      <c r="S791" s="188"/>
      <c r="T791" s="190"/>
      <c r="U791" s="190"/>
      <c r="V791" s="190"/>
      <c r="W791" s="190"/>
      <c r="X791" s="190"/>
      <c r="Y791" s="190"/>
      <c r="Z791" s="190"/>
      <c r="AA791" s="190"/>
      <c r="AB791" s="190"/>
      <c r="AC791" s="190"/>
      <c r="AD791" s="190"/>
      <c r="AE791" s="190"/>
      <c r="AF791" s="190"/>
      <c r="AG791" s="190"/>
      <c r="AH791" s="190"/>
      <c r="AI791" s="190"/>
      <c r="AJ791" s="190"/>
      <c r="AK791" s="190"/>
      <c r="AL791" s="190"/>
      <c r="AM791" s="603"/>
      <c r="AN791" s="190"/>
      <c r="AO791" s="190"/>
      <c r="AP791" s="190"/>
      <c r="AQ791" s="190"/>
      <c r="AR791" s="619"/>
      <c r="AS791" s="617"/>
    </row>
    <row r="792" spans="1:45">
      <c r="A792" s="190"/>
      <c r="B792" s="190"/>
      <c r="C792" s="190"/>
      <c r="D792" s="190"/>
      <c r="E792" s="190"/>
      <c r="F792" s="190"/>
      <c r="G792" s="190"/>
      <c r="H792" s="190"/>
      <c r="I792" s="190"/>
      <c r="J792" s="190"/>
      <c r="K792" s="190"/>
      <c r="L792" s="190"/>
      <c r="M792" s="190"/>
      <c r="N792" s="190"/>
      <c r="O792" s="190"/>
      <c r="P792" s="190"/>
      <c r="Q792" s="615"/>
      <c r="R792" s="588"/>
      <c r="S792" s="188"/>
      <c r="T792" s="190"/>
      <c r="U792" s="190"/>
      <c r="V792" s="190"/>
      <c r="W792" s="190"/>
      <c r="X792" s="190"/>
      <c r="Y792" s="190"/>
      <c r="Z792" s="190"/>
      <c r="AA792" s="190"/>
      <c r="AB792" s="190"/>
      <c r="AC792" s="190"/>
      <c r="AD792" s="190"/>
      <c r="AE792" s="190"/>
      <c r="AF792" s="190"/>
      <c r="AG792" s="190"/>
      <c r="AH792" s="190"/>
      <c r="AI792" s="190"/>
      <c r="AJ792" s="190"/>
      <c r="AK792" s="190"/>
      <c r="AL792" s="190"/>
      <c r="AM792" s="603"/>
      <c r="AN792" s="190"/>
      <c r="AO792" s="190"/>
      <c r="AP792" s="190"/>
      <c r="AQ792" s="190"/>
      <c r="AR792" s="619"/>
      <c r="AS792" s="617"/>
    </row>
    <row r="793" spans="1:45">
      <c r="A793" s="190"/>
      <c r="B793" s="190"/>
      <c r="C793" s="190"/>
      <c r="D793" s="190"/>
      <c r="E793" s="190"/>
      <c r="F793" s="190"/>
      <c r="G793" s="190"/>
      <c r="H793" s="190"/>
      <c r="I793" s="190"/>
      <c r="J793" s="190"/>
      <c r="K793" s="190"/>
      <c r="L793" s="190"/>
      <c r="M793" s="190"/>
      <c r="N793" s="190"/>
      <c r="O793" s="190"/>
      <c r="P793" s="190"/>
      <c r="Q793" s="615"/>
      <c r="R793" s="588"/>
      <c r="S793" s="188"/>
      <c r="T793" s="190"/>
      <c r="U793" s="190"/>
      <c r="V793" s="190"/>
      <c r="W793" s="190"/>
      <c r="X793" s="190"/>
      <c r="Y793" s="190"/>
      <c r="Z793" s="190"/>
      <c r="AA793" s="190"/>
      <c r="AB793" s="190"/>
      <c r="AC793" s="190"/>
      <c r="AD793" s="190"/>
      <c r="AE793" s="190"/>
      <c r="AF793" s="190"/>
      <c r="AG793" s="190"/>
      <c r="AH793" s="190"/>
      <c r="AI793" s="190"/>
      <c r="AJ793" s="190"/>
      <c r="AK793" s="190"/>
      <c r="AL793" s="190"/>
      <c r="AM793" s="603"/>
      <c r="AN793" s="190"/>
      <c r="AO793" s="190"/>
      <c r="AP793" s="190"/>
      <c r="AQ793" s="190"/>
      <c r="AR793" s="619"/>
      <c r="AS793" s="617"/>
    </row>
    <row r="794" spans="1:45">
      <c r="A794" s="190"/>
      <c r="B794" s="190"/>
      <c r="C794" s="190"/>
      <c r="D794" s="190"/>
      <c r="E794" s="190"/>
      <c r="F794" s="190"/>
      <c r="G794" s="190"/>
      <c r="H794" s="190"/>
      <c r="I794" s="190"/>
      <c r="J794" s="190"/>
      <c r="K794" s="190"/>
      <c r="L794" s="190"/>
      <c r="M794" s="190"/>
      <c r="N794" s="190"/>
      <c r="O794" s="190"/>
      <c r="P794" s="190"/>
      <c r="Q794" s="615"/>
      <c r="R794" s="588"/>
      <c r="S794" s="188"/>
      <c r="T794" s="190"/>
      <c r="U794" s="190"/>
      <c r="V794" s="190"/>
      <c r="W794" s="190"/>
      <c r="X794" s="190"/>
      <c r="Y794" s="190"/>
      <c r="Z794" s="190"/>
      <c r="AA794" s="190"/>
      <c r="AB794" s="190"/>
      <c r="AC794" s="190"/>
      <c r="AD794" s="190"/>
      <c r="AE794" s="190"/>
      <c r="AF794" s="190"/>
      <c r="AG794" s="190"/>
      <c r="AH794" s="190"/>
      <c r="AI794" s="190"/>
      <c r="AJ794" s="190"/>
      <c r="AK794" s="190"/>
      <c r="AL794" s="190"/>
      <c r="AM794" s="603"/>
      <c r="AN794" s="190"/>
      <c r="AO794" s="190"/>
      <c r="AP794" s="190"/>
      <c r="AQ794" s="190"/>
      <c r="AR794" s="619"/>
      <c r="AS794" s="617"/>
    </row>
    <row r="795" spans="1:45">
      <c r="A795" s="190"/>
      <c r="B795" s="190"/>
      <c r="C795" s="190"/>
      <c r="D795" s="190"/>
      <c r="E795" s="190"/>
      <c r="F795" s="190"/>
      <c r="G795" s="190"/>
      <c r="H795" s="190"/>
      <c r="I795" s="190"/>
      <c r="J795" s="190"/>
      <c r="K795" s="190"/>
      <c r="L795" s="190"/>
      <c r="M795" s="190"/>
      <c r="N795" s="190"/>
      <c r="O795" s="190"/>
      <c r="P795" s="190"/>
      <c r="Q795" s="615"/>
      <c r="R795" s="588"/>
      <c r="S795" s="188"/>
      <c r="T795" s="190"/>
      <c r="U795" s="190"/>
      <c r="V795" s="190"/>
      <c r="W795" s="190"/>
      <c r="X795" s="190"/>
      <c r="Y795" s="190"/>
      <c r="Z795" s="190"/>
      <c r="AA795" s="190"/>
      <c r="AB795" s="190"/>
      <c r="AC795" s="190"/>
      <c r="AD795" s="190"/>
      <c r="AE795" s="190"/>
      <c r="AF795" s="190"/>
      <c r="AG795" s="190"/>
      <c r="AH795" s="190"/>
      <c r="AI795" s="190"/>
      <c r="AJ795" s="190"/>
      <c r="AK795" s="190"/>
      <c r="AL795" s="190"/>
      <c r="AM795" s="603"/>
      <c r="AN795" s="190"/>
      <c r="AO795" s="190"/>
      <c r="AP795" s="190"/>
      <c r="AQ795" s="190"/>
      <c r="AR795" s="619"/>
      <c r="AS795" s="617"/>
    </row>
    <row r="796" spans="1:45">
      <c r="A796" s="190"/>
      <c r="B796" s="190"/>
      <c r="C796" s="190"/>
      <c r="D796" s="190"/>
      <c r="E796" s="190"/>
      <c r="F796" s="190"/>
      <c r="G796" s="190"/>
      <c r="H796" s="190"/>
      <c r="I796" s="190"/>
      <c r="J796" s="190"/>
      <c r="K796" s="190"/>
      <c r="L796" s="190"/>
      <c r="M796" s="190"/>
      <c r="N796" s="190"/>
      <c r="O796" s="190"/>
      <c r="P796" s="190"/>
      <c r="Q796" s="615"/>
      <c r="R796" s="588"/>
      <c r="S796" s="188"/>
      <c r="T796" s="190"/>
      <c r="U796" s="190"/>
      <c r="V796" s="190"/>
      <c r="W796" s="190"/>
      <c r="X796" s="190"/>
      <c r="Y796" s="190"/>
      <c r="Z796" s="190"/>
      <c r="AA796" s="190"/>
      <c r="AB796" s="190"/>
      <c r="AC796" s="190"/>
      <c r="AD796" s="190"/>
      <c r="AE796" s="190"/>
      <c r="AF796" s="190"/>
      <c r="AG796" s="190"/>
      <c r="AH796" s="190"/>
      <c r="AI796" s="190"/>
      <c r="AJ796" s="190"/>
      <c r="AK796" s="190"/>
      <c r="AL796" s="190"/>
      <c r="AM796" s="603"/>
      <c r="AN796" s="190"/>
      <c r="AO796" s="190"/>
      <c r="AP796" s="190"/>
      <c r="AQ796" s="190"/>
      <c r="AR796" s="619"/>
      <c r="AS796" s="617"/>
    </row>
    <row r="797" spans="1:45">
      <c r="A797" s="190"/>
      <c r="B797" s="190"/>
      <c r="C797" s="190"/>
      <c r="D797" s="190"/>
      <c r="E797" s="190"/>
      <c r="F797" s="190"/>
      <c r="G797" s="190"/>
      <c r="H797" s="190"/>
      <c r="I797" s="190"/>
      <c r="J797" s="190"/>
      <c r="K797" s="190"/>
      <c r="L797" s="190"/>
      <c r="M797" s="190"/>
      <c r="N797" s="190"/>
      <c r="O797" s="190"/>
      <c r="P797" s="190"/>
      <c r="Q797" s="615"/>
      <c r="R797" s="588"/>
      <c r="S797" s="188"/>
      <c r="T797" s="190"/>
      <c r="U797" s="190"/>
      <c r="V797" s="190"/>
      <c r="W797" s="190"/>
      <c r="X797" s="190"/>
      <c r="Y797" s="190"/>
      <c r="Z797" s="190"/>
      <c r="AA797" s="190"/>
      <c r="AB797" s="190"/>
      <c r="AC797" s="190"/>
      <c r="AD797" s="190"/>
      <c r="AE797" s="190"/>
      <c r="AF797" s="190"/>
      <c r="AG797" s="190"/>
      <c r="AH797" s="190"/>
      <c r="AI797" s="190"/>
      <c r="AJ797" s="190"/>
      <c r="AK797" s="190"/>
      <c r="AL797" s="190"/>
      <c r="AM797" s="603"/>
      <c r="AN797" s="190"/>
      <c r="AO797" s="190"/>
      <c r="AP797" s="190"/>
      <c r="AQ797" s="190"/>
      <c r="AR797" s="619"/>
      <c r="AS797" s="617"/>
    </row>
    <row r="798" spans="1:45">
      <c r="A798" s="190"/>
      <c r="B798" s="190"/>
      <c r="C798" s="190"/>
      <c r="D798" s="190"/>
      <c r="E798" s="190"/>
      <c r="F798" s="190"/>
      <c r="G798" s="190"/>
      <c r="H798" s="190"/>
      <c r="I798" s="190"/>
      <c r="J798" s="190"/>
      <c r="K798" s="190"/>
      <c r="L798" s="190"/>
      <c r="M798" s="190"/>
      <c r="N798" s="190"/>
      <c r="O798" s="190"/>
      <c r="P798" s="190"/>
      <c r="Q798" s="615"/>
      <c r="R798" s="588"/>
      <c r="S798" s="188"/>
      <c r="T798" s="190"/>
      <c r="U798" s="190"/>
      <c r="V798" s="190"/>
      <c r="W798" s="190"/>
      <c r="X798" s="190"/>
      <c r="Y798" s="190"/>
      <c r="Z798" s="190"/>
      <c r="AA798" s="190"/>
      <c r="AB798" s="190"/>
      <c r="AC798" s="190"/>
      <c r="AD798" s="190"/>
      <c r="AE798" s="190"/>
      <c r="AF798" s="190"/>
      <c r="AG798" s="190"/>
      <c r="AH798" s="190"/>
      <c r="AI798" s="190"/>
      <c r="AJ798" s="190"/>
      <c r="AK798" s="190"/>
      <c r="AL798" s="190"/>
      <c r="AM798" s="603"/>
      <c r="AN798" s="190"/>
      <c r="AO798" s="190"/>
      <c r="AP798" s="190"/>
      <c r="AQ798" s="190"/>
      <c r="AR798" s="619"/>
      <c r="AS798" s="617"/>
    </row>
    <row r="799" spans="1:45">
      <c r="A799" s="190"/>
      <c r="B799" s="190"/>
      <c r="C799" s="190"/>
      <c r="D799" s="190"/>
      <c r="E799" s="190"/>
      <c r="F799" s="190"/>
      <c r="G799" s="190"/>
      <c r="H799" s="190"/>
      <c r="I799" s="190"/>
      <c r="J799" s="190"/>
      <c r="K799" s="190"/>
      <c r="L799" s="190"/>
      <c r="M799" s="190"/>
      <c r="N799" s="190"/>
      <c r="O799" s="190"/>
      <c r="P799" s="190"/>
      <c r="Q799" s="615"/>
      <c r="R799" s="588"/>
      <c r="S799" s="188"/>
      <c r="T799" s="190"/>
      <c r="U799" s="190"/>
      <c r="V799" s="190"/>
      <c r="W799" s="190"/>
      <c r="X799" s="190"/>
      <c r="Y799" s="190"/>
      <c r="Z799" s="190"/>
      <c r="AA799" s="190"/>
      <c r="AB799" s="190"/>
      <c r="AC799" s="190"/>
      <c r="AD799" s="190"/>
      <c r="AE799" s="190"/>
      <c r="AF799" s="190"/>
      <c r="AG799" s="190"/>
      <c r="AH799" s="190"/>
      <c r="AI799" s="190"/>
      <c r="AJ799" s="190"/>
      <c r="AK799" s="190"/>
      <c r="AL799" s="190"/>
      <c r="AM799" s="603"/>
      <c r="AN799" s="190"/>
      <c r="AO799" s="190"/>
      <c r="AP799" s="190"/>
      <c r="AQ799" s="190"/>
      <c r="AR799" s="619"/>
      <c r="AS799" s="617"/>
    </row>
    <row r="800" spans="1:45">
      <c r="A800" s="190"/>
      <c r="B800" s="190"/>
      <c r="C800" s="190"/>
      <c r="D800" s="190"/>
      <c r="E800" s="190"/>
      <c r="F800" s="190"/>
      <c r="G800" s="190"/>
      <c r="H800" s="190"/>
      <c r="I800" s="190"/>
      <c r="J800" s="190"/>
      <c r="K800" s="190"/>
      <c r="L800" s="190"/>
      <c r="M800" s="190"/>
      <c r="N800" s="190"/>
      <c r="O800" s="190"/>
      <c r="P800" s="190"/>
      <c r="Q800" s="615"/>
      <c r="R800" s="588"/>
      <c r="S800" s="188"/>
      <c r="T800" s="190"/>
      <c r="U800" s="190"/>
      <c r="V800" s="190"/>
      <c r="W800" s="190"/>
      <c r="X800" s="190"/>
      <c r="Y800" s="190"/>
      <c r="Z800" s="190"/>
      <c r="AA800" s="190"/>
      <c r="AB800" s="190"/>
      <c r="AC800" s="190"/>
      <c r="AD800" s="190"/>
      <c r="AE800" s="190"/>
      <c r="AF800" s="190"/>
      <c r="AG800" s="190"/>
      <c r="AH800" s="190"/>
      <c r="AI800" s="190"/>
      <c r="AJ800" s="190"/>
      <c r="AK800" s="190"/>
      <c r="AL800" s="190"/>
      <c r="AM800" s="603"/>
      <c r="AN800" s="190"/>
      <c r="AO800" s="190"/>
      <c r="AP800" s="190"/>
      <c r="AQ800" s="190"/>
      <c r="AR800" s="619"/>
      <c r="AS800" s="617"/>
    </row>
    <row r="801" spans="1:45">
      <c r="A801" s="190"/>
      <c r="B801" s="190"/>
      <c r="C801" s="190"/>
      <c r="D801" s="190"/>
      <c r="E801" s="190"/>
      <c r="F801" s="190"/>
      <c r="G801" s="190"/>
      <c r="H801" s="190"/>
      <c r="I801" s="190"/>
      <c r="J801" s="190"/>
      <c r="K801" s="190"/>
      <c r="L801" s="190"/>
      <c r="M801" s="190"/>
      <c r="N801" s="190"/>
      <c r="O801" s="190"/>
      <c r="P801" s="190"/>
      <c r="Q801" s="615"/>
      <c r="R801" s="588"/>
      <c r="S801" s="188"/>
      <c r="T801" s="190"/>
      <c r="U801" s="190"/>
      <c r="V801" s="190"/>
      <c r="W801" s="190"/>
      <c r="X801" s="190"/>
      <c r="Y801" s="190"/>
      <c r="Z801" s="190"/>
      <c r="AA801" s="190"/>
      <c r="AB801" s="190"/>
      <c r="AC801" s="190"/>
      <c r="AD801" s="190"/>
      <c r="AE801" s="190"/>
      <c r="AF801" s="190"/>
      <c r="AG801" s="190"/>
      <c r="AH801" s="190"/>
      <c r="AI801" s="190"/>
      <c r="AJ801" s="190"/>
      <c r="AK801" s="190"/>
      <c r="AL801" s="190"/>
      <c r="AM801" s="603"/>
      <c r="AN801" s="190"/>
      <c r="AO801" s="190"/>
      <c r="AP801" s="190"/>
      <c r="AQ801" s="190"/>
      <c r="AR801" s="619"/>
      <c r="AS801" s="617"/>
    </row>
    <row r="802" spans="1:45">
      <c r="A802" s="190"/>
      <c r="B802" s="190"/>
      <c r="C802" s="190"/>
      <c r="D802" s="190"/>
      <c r="E802" s="190"/>
      <c r="F802" s="190"/>
      <c r="G802" s="190"/>
      <c r="H802" s="190"/>
      <c r="I802" s="190"/>
      <c r="J802" s="190"/>
      <c r="K802" s="190"/>
      <c r="L802" s="190"/>
      <c r="M802" s="190"/>
      <c r="N802" s="190"/>
      <c r="O802" s="190"/>
      <c r="P802" s="190"/>
      <c r="Q802" s="615"/>
      <c r="R802" s="588"/>
      <c r="S802" s="188"/>
      <c r="T802" s="190"/>
      <c r="U802" s="190"/>
      <c r="V802" s="190"/>
      <c r="W802" s="190"/>
      <c r="X802" s="190"/>
      <c r="Y802" s="190"/>
      <c r="Z802" s="190"/>
      <c r="AA802" s="190"/>
      <c r="AB802" s="190"/>
      <c r="AC802" s="190"/>
      <c r="AD802" s="190"/>
      <c r="AE802" s="190"/>
      <c r="AF802" s="190"/>
      <c r="AG802" s="190"/>
      <c r="AH802" s="190"/>
      <c r="AI802" s="190"/>
      <c r="AJ802" s="190"/>
      <c r="AK802" s="190"/>
      <c r="AL802" s="190"/>
      <c r="AM802" s="603"/>
      <c r="AN802" s="190"/>
      <c r="AO802" s="190"/>
      <c r="AP802" s="190"/>
      <c r="AQ802" s="190"/>
      <c r="AR802" s="619"/>
      <c r="AS802" s="617"/>
    </row>
    <row r="803" spans="1:45">
      <c r="A803" s="190"/>
      <c r="B803" s="190"/>
      <c r="C803" s="190"/>
      <c r="D803" s="190"/>
      <c r="E803" s="190"/>
      <c r="F803" s="190"/>
      <c r="G803" s="190"/>
      <c r="H803" s="190"/>
      <c r="I803" s="190"/>
      <c r="J803" s="190"/>
      <c r="K803" s="190"/>
      <c r="L803" s="190"/>
      <c r="M803" s="190"/>
      <c r="N803" s="190"/>
      <c r="O803" s="190"/>
      <c r="P803" s="190"/>
      <c r="Q803" s="615"/>
      <c r="R803" s="588"/>
      <c r="S803" s="188"/>
      <c r="T803" s="190"/>
      <c r="U803" s="190"/>
      <c r="V803" s="190"/>
      <c r="W803" s="190"/>
      <c r="X803" s="190"/>
      <c r="Y803" s="190"/>
      <c r="Z803" s="190"/>
      <c r="AA803" s="190"/>
      <c r="AB803" s="190"/>
      <c r="AC803" s="190"/>
      <c r="AD803" s="190"/>
      <c r="AE803" s="190"/>
      <c r="AF803" s="190"/>
      <c r="AG803" s="190"/>
      <c r="AH803" s="190"/>
      <c r="AI803" s="190"/>
      <c r="AJ803" s="190"/>
      <c r="AK803" s="190"/>
      <c r="AL803" s="190"/>
      <c r="AM803" s="603"/>
      <c r="AN803" s="190"/>
      <c r="AO803" s="190"/>
      <c r="AP803" s="190"/>
      <c r="AQ803" s="190"/>
      <c r="AR803" s="619"/>
      <c r="AS803" s="617"/>
    </row>
    <row r="804" spans="1:45">
      <c r="A804" s="190"/>
      <c r="B804" s="190"/>
      <c r="C804" s="190"/>
      <c r="D804" s="190"/>
      <c r="E804" s="190"/>
      <c r="F804" s="190"/>
      <c r="G804" s="190"/>
      <c r="H804" s="190"/>
      <c r="I804" s="190"/>
      <c r="J804" s="190"/>
      <c r="K804" s="190"/>
      <c r="L804" s="190"/>
      <c r="M804" s="190"/>
      <c r="N804" s="190"/>
      <c r="O804" s="190"/>
      <c r="P804" s="190"/>
      <c r="Q804" s="615"/>
      <c r="R804" s="588"/>
      <c r="S804" s="188"/>
      <c r="T804" s="190"/>
      <c r="U804" s="190"/>
      <c r="V804" s="190"/>
      <c r="W804" s="190"/>
      <c r="X804" s="190"/>
      <c r="Y804" s="190"/>
      <c r="Z804" s="190"/>
      <c r="AA804" s="190"/>
      <c r="AB804" s="190"/>
      <c r="AC804" s="190"/>
      <c r="AD804" s="190"/>
      <c r="AE804" s="190"/>
      <c r="AF804" s="190"/>
      <c r="AG804" s="190"/>
      <c r="AH804" s="190"/>
      <c r="AI804" s="190"/>
      <c r="AJ804" s="190"/>
      <c r="AK804" s="190"/>
      <c r="AL804" s="190"/>
      <c r="AM804" s="603"/>
      <c r="AN804" s="190"/>
      <c r="AO804" s="190"/>
      <c r="AP804" s="190"/>
      <c r="AQ804" s="190"/>
      <c r="AR804" s="619"/>
      <c r="AS804" s="617"/>
    </row>
    <row r="805" spans="1:45">
      <c r="A805" s="190"/>
      <c r="B805" s="190"/>
      <c r="C805" s="190"/>
      <c r="D805" s="190"/>
      <c r="E805" s="190"/>
      <c r="F805" s="190"/>
      <c r="G805" s="190"/>
      <c r="H805" s="190"/>
      <c r="I805" s="190"/>
      <c r="J805" s="190"/>
      <c r="K805" s="190"/>
      <c r="L805" s="190"/>
      <c r="M805" s="190"/>
      <c r="N805" s="190"/>
      <c r="O805" s="190"/>
      <c r="P805" s="190"/>
      <c r="Q805" s="615"/>
      <c r="R805" s="588"/>
      <c r="S805" s="188"/>
      <c r="T805" s="190"/>
      <c r="U805" s="190"/>
      <c r="V805" s="190"/>
      <c r="W805" s="190"/>
      <c r="X805" s="190"/>
      <c r="Y805" s="190"/>
      <c r="Z805" s="190"/>
      <c r="AA805" s="190"/>
      <c r="AB805" s="190"/>
      <c r="AC805" s="190"/>
      <c r="AD805" s="190"/>
      <c r="AE805" s="190"/>
      <c r="AF805" s="190"/>
      <c r="AG805" s="190"/>
      <c r="AH805" s="190"/>
      <c r="AI805" s="190"/>
      <c r="AJ805" s="190"/>
      <c r="AK805" s="190"/>
      <c r="AL805" s="190"/>
      <c r="AM805" s="603"/>
      <c r="AN805" s="190"/>
      <c r="AO805" s="190"/>
      <c r="AP805" s="190"/>
      <c r="AQ805" s="190"/>
      <c r="AR805" s="619"/>
      <c r="AS805" s="617"/>
    </row>
    <row r="806" spans="1:45">
      <c r="A806" s="190"/>
      <c r="B806" s="190"/>
      <c r="C806" s="190"/>
      <c r="D806" s="190"/>
      <c r="E806" s="190"/>
      <c r="F806" s="190"/>
      <c r="G806" s="190"/>
      <c r="H806" s="190"/>
      <c r="I806" s="190"/>
      <c r="J806" s="190"/>
      <c r="K806" s="190"/>
      <c r="L806" s="190"/>
      <c r="M806" s="190"/>
      <c r="N806" s="190"/>
      <c r="O806" s="190"/>
      <c r="P806" s="190"/>
      <c r="Q806" s="615"/>
      <c r="R806" s="588"/>
      <c r="S806" s="188"/>
      <c r="T806" s="190"/>
      <c r="U806" s="190"/>
      <c r="V806" s="190"/>
      <c r="W806" s="190"/>
      <c r="X806" s="190"/>
      <c r="Y806" s="190"/>
      <c r="Z806" s="190"/>
      <c r="AA806" s="190"/>
      <c r="AB806" s="190"/>
      <c r="AC806" s="190"/>
      <c r="AD806" s="190"/>
      <c r="AE806" s="190"/>
      <c r="AF806" s="190"/>
      <c r="AG806" s="190"/>
      <c r="AH806" s="190"/>
      <c r="AI806" s="190"/>
      <c r="AJ806" s="190"/>
      <c r="AK806" s="190"/>
      <c r="AL806" s="190"/>
      <c r="AM806" s="603"/>
      <c r="AN806" s="190"/>
      <c r="AO806" s="190"/>
      <c r="AP806" s="190"/>
      <c r="AQ806" s="190"/>
      <c r="AR806" s="619"/>
      <c r="AS806" s="617"/>
    </row>
    <row r="807" spans="1:45">
      <c r="A807" s="190"/>
      <c r="B807" s="190"/>
      <c r="C807" s="190"/>
      <c r="D807" s="190"/>
      <c r="E807" s="190"/>
      <c r="F807" s="190"/>
      <c r="G807" s="190"/>
      <c r="H807" s="190"/>
      <c r="I807" s="190"/>
      <c r="J807" s="190"/>
      <c r="K807" s="190"/>
      <c r="L807" s="190"/>
      <c r="M807" s="190"/>
      <c r="N807" s="190"/>
      <c r="O807" s="190"/>
      <c r="P807" s="190"/>
      <c r="Q807" s="615"/>
      <c r="R807" s="588"/>
      <c r="S807" s="188"/>
      <c r="T807" s="190"/>
      <c r="U807" s="190"/>
      <c r="V807" s="190"/>
      <c r="W807" s="190"/>
      <c r="X807" s="190"/>
      <c r="Y807" s="190"/>
      <c r="Z807" s="190"/>
      <c r="AA807" s="190"/>
      <c r="AB807" s="190"/>
      <c r="AC807" s="190"/>
      <c r="AD807" s="190"/>
      <c r="AE807" s="190"/>
      <c r="AF807" s="190"/>
      <c r="AG807" s="190"/>
      <c r="AH807" s="190"/>
      <c r="AI807" s="190"/>
      <c r="AJ807" s="190"/>
      <c r="AK807" s="190"/>
      <c r="AL807" s="190"/>
      <c r="AM807" s="603"/>
      <c r="AN807" s="190"/>
      <c r="AO807" s="190"/>
      <c r="AP807" s="190"/>
      <c r="AQ807" s="190"/>
      <c r="AR807" s="619"/>
      <c r="AS807" s="617"/>
    </row>
    <row r="808" spans="1:45">
      <c r="A808" s="190"/>
      <c r="B808" s="190"/>
      <c r="C808" s="190"/>
      <c r="D808" s="190"/>
      <c r="E808" s="190"/>
      <c r="F808" s="190"/>
      <c r="G808" s="190"/>
      <c r="H808" s="190"/>
      <c r="I808" s="190"/>
      <c r="J808" s="190"/>
      <c r="K808" s="190"/>
      <c r="L808" s="190"/>
      <c r="M808" s="190"/>
      <c r="N808" s="190"/>
      <c r="O808" s="190"/>
      <c r="P808" s="190"/>
      <c r="Q808" s="615"/>
      <c r="R808" s="588"/>
      <c r="S808" s="188"/>
      <c r="T808" s="190"/>
      <c r="U808" s="190"/>
      <c r="V808" s="190"/>
      <c r="W808" s="190"/>
      <c r="X808" s="190"/>
      <c r="Y808" s="190"/>
      <c r="Z808" s="190"/>
      <c r="AA808" s="190"/>
      <c r="AB808" s="190"/>
      <c r="AC808" s="190"/>
      <c r="AD808" s="190"/>
      <c r="AE808" s="190"/>
      <c r="AF808" s="190"/>
      <c r="AG808" s="190"/>
      <c r="AH808" s="190"/>
      <c r="AI808" s="190"/>
      <c r="AJ808" s="190"/>
      <c r="AK808" s="190"/>
      <c r="AL808" s="190"/>
      <c r="AM808" s="603"/>
      <c r="AN808" s="190"/>
      <c r="AO808" s="190"/>
      <c r="AP808" s="190"/>
      <c r="AQ808" s="190"/>
      <c r="AR808" s="619"/>
      <c r="AS808" s="617"/>
    </row>
    <row r="809" spans="1:45">
      <c r="A809" s="190"/>
      <c r="B809" s="190"/>
      <c r="C809" s="190"/>
      <c r="D809" s="190"/>
      <c r="E809" s="190"/>
      <c r="F809" s="190"/>
      <c r="G809" s="190"/>
      <c r="H809" s="190"/>
      <c r="I809" s="190"/>
      <c r="J809" s="190"/>
      <c r="K809" s="190"/>
      <c r="L809" s="190"/>
      <c r="M809" s="190"/>
      <c r="N809" s="190"/>
      <c r="O809" s="190"/>
      <c r="P809" s="190"/>
      <c r="Q809" s="615"/>
      <c r="R809" s="588"/>
      <c r="S809" s="188"/>
      <c r="T809" s="190"/>
      <c r="U809" s="190"/>
      <c r="V809" s="190"/>
      <c r="W809" s="190"/>
      <c r="X809" s="190"/>
      <c r="Y809" s="190"/>
      <c r="Z809" s="190"/>
      <c r="AA809" s="190"/>
      <c r="AB809" s="190"/>
      <c r="AC809" s="190"/>
      <c r="AD809" s="190"/>
      <c r="AE809" s="190"/>
      <c r="AF809" s="190"/>
      <c r="AG809" s="190"/>
      <c r="AH809" s="190"/>
      <c r="AI809" s="190"/>
      <c r="AJ809" s="190"/>
      <c r="AK809" s="190"/>
      <c r="AL809" s="190"/>
      <c r="AM809" s="603"/>
      <c r="AN809" s="190"/>
      <c r="AO809" s="190"/>
      <c r="AP809" s="190"/>
      <c r="AQ809" s="190"/>
      <c r="AR809" s="619"/>
      <c r="AS809" s="617"/>
    </row>
    <row r="810" spans="1:45">
      <c r="A810" s="190"/>
      <c r="B810" s="190"/>
      <c r="C810" s="190"/>
      <c r="D810" s="190"/>
      <c r="E810" s="190"/>
      <c r="F810" s="190"/>
      <c r="G810" s="190"/>
      <c r="H810" s="190"/>
      <c r="I810" s="190"/>
      <c r="J810" s="190"/>
      <c r="K810" s="190"/>
      <c r="L810" s="190"/>
      <c r="M810" s="190"/>
      <c r="N810" s="190"/>
      <c r="O810" s="190"/>
      <c r="P810" s="190"/>
      <c r="Q810" s="615"/>
      <c r="R810" s="588"/>
      <c r="S810" s="188"/>
      <c r="T810" s="190"/>
      <c r="U810" s="190"/>
      <c r="V810" s="190"/>
      <c r="W810" s="190"/>
      <c r="X810" s="190"/>
      <c r="Y810" s="190"/>
      <c r="Z810" s="190"/>
      <c r="AA810" s="190"/>
      <c r="AB810" s="190"/>
      <c r="AC810" s="190"/>
      <c r="AD810" s="190"/>
      <c r="AE810" s="190"/>
      <c r="AF810" s="190"/>
      <c r="AG810" s="190"/>
      <c r="AH810" s="190"/>
      <c r="AI810" s="190"/>
      <c r="AJ810" s="190"/>
      <c r="AK810" s="190"/>
      <c r="AL810" s="190"/>
      <c r="AM810" s="603"/>
      <c r="AN810" s="190"/>
      <c r="AO810" s="190"/>
      <c r="AP810" s="190"/>
      <c r="AQ810" s="190"/>
      <c r="AR810" s="619"/>
      <c r="AS810" s="617"/>
    </row>
    <row r="811" spans="1:45">
      <c r="A811" s="190"/>
      <c r="B811" s="190"/>
      <c r="C811" s="190"/>
      <c r="D811" s="190"/>
      <c r="E811" s="190"/>
      <c r="F811" s="190"/>
      <c r="G811" s="190"/>
      <c r="H811" s="190"/>
      <c r="I811" s="190"/>
      <c r="J811" s="190"/>
      <c r="K811" s="190"/>
      <c r="L811" s="190"/>
      <c r="M811" s="190"/>
      <c r="N811" s="190"/>
      <c r="O811" s="190"/>
      <c r="P811" s="190"/>
      <c r="Q811" s="615"/>
      <c r="R811" s="588"/>
      <c r="S811" s="188"/>
      <c r="T811" s="190"/>
      <c r="U811" s="190"/>
      <c r="V811" s="190"/>
      <c r="W811" s="190"/>
      <c r="X811" s="190"/>
      <c r="Y811" s="190"/>
      <c r="Z811" s="190"/>
      <c r="AA811" s="190"/>
      <c r="AB811" s="190"/>
      <c r="AC811" s="190"/>
      <c r="AD811" s="190"/>
      <c r="AE811" s="190"/>
      <c r="AF811" s="190"/>
      <c r="AG811" s="190"/>
      <c r="AH811" s="190"/>
      <c r="AI811" s="190"/>
      <c r="AJ811" s="190"/>
      <c r="AK811" s="190"/>
      <c r="AL811" s="190"/>
      <c r="AM811" s="603"/>
      <c r="AN811" s="190"/>
      <c r="AO811" s="190"/>
      <c r="AP811" s="190"/>
      <c r="AQ811" s="190"/>
      <c r="AR811" s="619"/>
      <c r="AS811" s="617"/>
    </row>
    <row r="812" spans="1:45">
      <c r="A812" s="190"/>
      <c r="B812" s="190"/>
      <c r="C812" s="190"/>
      <c r="D812" s="190"/>
      <c r="E812" s="190"/>
      <c r="F812" s="190"/>
      <c r="G812" s="190"/>
      <c r="H812" s="190"/>
      <c r="I812" s="190"/>
      <c r="J812" s="190"/>
      <c r="K812" s="190"/>
      <c r="L812" s="190"/>
      <c r="M812" s="190"/>
      <c r="N812" s="190"/>
      <c r="O812" s="190"/>
      <c r="P812" s="190"/>
      <c r="Q812" s="615"/>
      <c r="R812" s="588"/>
      <c r="S812" s="188"/>
      <c r="T812" s="190"/>
      <c r="U812" s="190"/>
      <c r="V812" s="190"/>
      <c r="W812" s="190"/>
      <c r="X812" s="190"/>
      <c r="Y812" s="190"/>
      <c r="Z812" s="190"/>
      <c r="AA812" s="190"/>
      <c r="AB812" s="190"/>
      <c r="AC812" s="190"/>
      <c r="AD812" s="190"/>
      <c r="AE812" s="190"/>
      <c r="AF812" s="190"/>
      <c r="AG812" s="190"/>
      <c r="AH812" s="190"/>
      <c r="AI812" s="190"/>
      <c r="AJ812" s="190"/>
      <c r="AK812" s="190"/>
      <c r="AL812" s="190"/>
      <c r="AM812" s="603"/>
      <c r="AN812" s="190"/>
      <c r="AO812" s="190"/>
      <c r="AP812" s="190"/>
      <c r="AQ812" s="190"/>
      <c r="AR812" s="619"/>
      <c r="AS812" s="617"/>
    </row>
    <row r="813" spans="1:45">
      <c r="A813" s="190"/>
      <c r="B813" s="190"/>
      <c r="C813" s="190"/>
      <c r="D813" s="190"/>
      <c r="E813" s="190"/>
      <c r="F813" s="190"/>
      <c r="G813" s="190"/>
      <c r="H813" s="190"/>
      <c r="I813" s="190"/>
      <c r="J813" s="190"/>
      <c r="K813" s="190"/>
      <c r="L813" s="190"/>
      <c r="M813" s="190"/>
      <c r="N813" s="190"/>
      <c r="O813" s="190"/>
      <c r="P813" s="190"/>
      <c r="Q813" s="615"/>
      <c r="R813" s="588"/>
      <c r="S813" s="188"/>
      <c r="T813" s="190"/>
      <c r="U813" s="190"/>
      <c r="V813" s="190"/>
      <c r="W813" s="190"/>
      <c r="X813" s="190"/>
      <c r="Y813" s="190"/>
      <c r="Z813" s="190"/>
      <c r="AA813" s="190"/>
      <c r="AB813" s="190"/>
      <c r="AC813" s="190"/>
      <c r="AD813" s="190"/>
      <c r="AE813" s="190"/>
      <c r="AF813" s="190"/>
      <c r="AG813" s="190"/>
      <c r="AH813" s="190"/>
      <c r="AI813" s="190"/>
      <c r="AJ813" s="190"/>
      <c r="AK813" s="190"/>
      <c r="AL813" s="190"/>
      <c r="AM813" s="603"/>
      <c r="AN813" s="190"/>
      <c r="AO813" s="190"/>
      <c r="AP813" s="190"/>
      <c r="AQ813" s="190"/>
      <c r="AR813" s="619"/>
      <c r="AS813" s="617"/>
    </row>
    <row r="814" spans="1:45">
      <c r="A814" s="190"/>
      <c r="B814" s="190"/>
      <c r="C814" s="190"/>
      <c r="D814" s="190"/>
      <c r="E814" s="190"/>
      <c r="F814" s="190"/>
      <c r="G814" s="190"/>
      <c r="H814" s="190"/>
      <c r="I814" s="190"/>
      <c r="J814" s="190"/>
      <c r="K814" s="190"/>
      <c r="L814" s="190"/>
      <c r="M814" s="190"/>
      <c r="N814" s="190"/>
      <c r="O814" s="190"/>
      <c r="P814" s="190"/>
      <c r="Q814" s="615"/>
      <c r="R814" s="588"/>
      <c r="S814" s="188"/>
      <c r="T814" s="190"/>
      <c r="U814" s="190"/>
      <c r="V814" s="190"/>
      <c r="W814" s="190"/>
      <c r="X814" s="190"/>
      <c r="Y814" s="190"/>
      <c r="Z814" s="190"/>
      <c r="AA814" s="190"/>
      <c r="AB814" s="190"/>
      <c r="AC814" s="190"/>
      <c r="AD814" s="190"/>
      <c r="AE814" s="190"/>
      <c r="AF814" s="190"/>
      <c r="AG814" s="190"/>
      <c r="AH814" s="190"/>
      <c r="AI814" s="190"/>
      <c r="AJ814" s="190"/>
      <c r="AK814" s="190"/>
      <c r="AL814" s="190"/>
      <c r="AM814" s="603"/>
      <c r="AN814" s="190"/>
      <c r="AO814" s="190"/>
      <c r="AP814" s="190"/>
      <c r="AQ814" s="190"/>
      <c r="AR814" s="619"/>
      <c r="AS814" s="617"/>
    </row>
    <row r="815" spans="1:45">
      <c r="A815" s="190"/>
      <c r="B815" s="190"/>
      <c r="C815" s="190"/>
      <c r="D815" s="190"/>
      <c r="E815" s="190"/>
      <c r="F815" s="190"/>
      <c r="G815" s="190"/>
      <c r="H815" s="190"/>
      <c r="I815" s="190"/>
      <c r="J815" s="190"/>
      <c r="K815" s="190"/>
      <c r="L815" s="190"/>
      <c r="M815" s="190"/>
      <c r="N815" s="190"/>
      <c r="O815" s="190"/>
      <c r="P815" s="190"/>
      <c r="Q815" s="615"/>
      <c r="R815" s="588"/>
      <c r="S815" s="188"/>
      <c r="T815" s="190"/>
      <c r="U815" s="190"/>
      <c r="V815" s="190"/>
      <c r="W815" s="190"/>
      <c r="X815" s="190"/>
      <c r="Y815" s="190"/>
      <c r="Z815" s="190"/>
      <c r="AA815" s="190"/>
      <c r="AB815" s="190"/>
      <c r="AC815" s="190"/>
      <c r="AD815" s="190"/>
      <c r="AE815" s="190"/>
      <c r="AF815" s="190"/>
      <c r="AG815" s="190"/>
      <c r="AH815" s="190"/>
      <c r="AI815" s="190"/>
      <c r="AJ815" s="190"/>
      <c r="AK815" s="190"/>
      <c r="AL815" s="190"/>
      <c r="AM815" s="603"/>
      <c r="AN815" s="190"/>
      <c r="AO815" s="190"/>
      <c r="AP815" s="190"/>
      <c r="AQ815" s="190"/>
      <c r="AR815" s="619"/>
      <c r="AS815" s="617"/>
    </row>
    <row r="816" spans="1:45">
      <c r="A816" s="190"/>
      <c r="B816" s="190"/>
      <c r="C816" s="190"/>
      <c r="D816" s="190"/>
      <c r="E816" s="190"/>
      <c r="F816" s="190"/>
      <c r="G816" s="190"/>
      <c r="H816" s="190"/>
      <c r="I816" s="190"/>
      <c r="J816" s="190"/>
      <c r="K816" s="190"/>
      <c r="L816" s="190"/>
      <c r="M816" s="190"/>
      <c r="N816" s="190"/>
      <c r="O816" s="190"/>
      <c r="P816" s="190"/>
      <c r="Q816" s="615"/>
      <c r="R816" s="588"/>
      <c r="S816" s="188"/>
      <c r="T816" s="190"/>
      <c r="U816" s="190"/>
      <c r="V816" s="190"/>
      <c r="W816" s="190"/>
      <c r="X816" s="190"/>
      <c r="Y816" s="190"/>
      <c r="Z816" s="190"/>
      <c r="AA816" s="190"/>
      <c r="AB816" s="190"/>
      <c r="AC816" s="190"/>
      <c r="AD816" s="190"/>
      <c r="AE816" s="190"/>
      <c r="AF816" s="190"/>
      <c r="AG816" s="190"/>
      <c r="AH816" s="190"/>
      <c r="AI816" s="190"/>
      <c r="AJ816" s="190"/>
      <c r="AK816" s="190"/>
      <c r="AL816" s="190"/>
      <c r="AM816" s="603"/>
      <c r="AN816" s="190"/>
      <c r="AO816" s="190"/>
      <c r="AP816" s="190"/>
      <c r="AQ816" s="190"/>
      <c r="AR816" s="619"/>
      <c r="AS816" s="617"/>
    </row>
    <row r="817" spans="1:45">
      <c r="A817" s="190"/>
      <c r="B817" s="190"/>
      <c r="C817" s="190"/>
      <c r="D817" s="190"/>
      <c r="E817" s="190"/>
      <c r="F817" s="190"/>
      <c r="G817" s="190"/>
      <c r="H817" s="190"/>
      <c r="I817" s="190"/>
      <c r="J817" s="190"/>
      <c r="K817" s="190"/>
      <c r="L817" s="190"/>
      <c r="M817" s="190"/>
      <c r="N817" s="190"/>
      <c r="O817" s="190"/>
      <c r="P817" s="190"/>
      <c r="Q817" s="615"/>
      <c r="R817" s="588"/>
      <c r="S817" s="188"/>
      <c r="T817" s="190"/>
      <c r="U817" s="190"/>
      <c r="V817" s="190"/>
      <c r="W817" s="190"/>
      <c r="X817" s="190"/>
      <c r="Y817" s="190"/>
      <c r="Z817" s="190"/>
      <c r="AA817" s="190"/>
      <c r="AB817" s="190"/>
      <c r="AC817" s="190"/>
      <c r="AD817" s="190"/>
      <c r="AE817" s="190"/>
      <c r="AF817" s="190"/>
      <c r="AG817" s="190"/>
      <c r="AH817" s="190"/>
      <c r="AI817" s="190"/>
      <c r="AJ817" s="190"/>
      <c r="AK817" s="190"/>
      <c r="AL817" s="190"/>
      <c r="AM817" s="603"/>
      <c r="AN817" s="190"/>
      <c r="AO817" s="190"/>
      <c r="AP817" s="190"/>
      <c r="AQ817" s="190"/>
      <c r="AR817" s="619"/>
      <c r="AS817" s="617"/>
    </row>
    <row r="818" spans="1:45">
      <c r="A818" s="190"/>
      <c r="B818" s="190"/>
      <c r="C818" s="190"/>
      <c r="D818" s="190"/>
      <c r="E818" s="190"/>
      <c r="F818" s="190"/>
      <c r="G818" s="190"/>
      <c r="H818" s="190"/>
      <c r="I818" s="190"/>
      <c r="J818" s="190"/>
      <c r="K818" s="190"/>
      <c r="L818" s="190"/>
      <c r="M818" s="190"/>
      <c r="N818" s="190"/>
      <c r="O818" s="190"/>
      <c r="P818" s="190"/>
      <c r="Q818" s="615"/>
      <c r="R818" s="588"/>
      <c r="S818" s="188"/>
      <c r="T818" s="190"/>
      <c r="U818" s="190"/>
      <c r="V818" s="190"/>
      <c r="W818" s="190"/>
      <c r="X818" s="190"/>
      <c r="Y818" s="190"/>
      <c r="Z818" s="190"/>
      <c r="AA818" s="190"/>
      <c r="AB818" s="190"/>
      <c r="AC818" s="190"/>
      <c r="AD818" s="190"/>
      <c r="AE818" s="190"/>
      <c r="AF818" s="190"/>
      <c r="AG818" s="190"/>
      <c r="AH818" s="190"/>
      <c r="AI818" s="190"/>
      <c r="AJ818" s="190"/>
      <c r="AK818" s="190"/>
      <c r="AL818" s="190"/>
      <c r="AM818" s="603"/>
      <c r="AN818" s="190"/>
      <c r="AO818" s="190"/>
      <c r="AP818" s="190"/>
      <c r="AQ818" s="190"/>
      <c r="AR818" s="619"/>
      <c r="AS818" s="617"/>
    </row>
    <row r="819" spans="1:45">
      <c r="A819" s="190"/>
      <c r="B819" s="190"/>
      <c r="C819" s="190"/>
      <c r="D819" s="190"/>
      <c r="E819" s="190"/>
      <c r="F819" s="190"/>
      <c r="G819" s="190"/>
      <c r="H819" s="190"/>
      <c r="I819" s="190"/>
      <c r="J819" s="190"/>
      <c r="K819" s="190"/>
      <c r="L819" s="190"/>
      <c r="M819" s="190"/>
      <c r="N819" s="190"/>
      <c r="O819" s="190"/>
      <c r="P819" s="190"/>
      <c r="Q819" s="615"/>
      <c r="R819" s="588"/>
      <c r="S819" s="188"/>
      <c r="T819" s="190"/>
      <c r="U819" s="190"/>
      <c r="V819" s="190"/>
      <c r="W819" s="190"/>
      <c r="X819" s="190"/>
      <c r="Y819" s="190"/>
      <c r="Z819" s="190"/>
      <c r="AA819" s="190"/>
      <c r="AB819" s="190"/>
      <c r="AC819" s="190"/>
      <c r="AD819" s="190"/>
      <c r="AE819" s="190"/>
      <c r="AF819" s="190"/>
      <c r="AG819" s="190"/>
      <c r="AH819" s="190"/>
      <c r="AI819" s="190"/>
      <c r="AJ819" s="190"/>
      <c r="AK819" s="190"/>
      <c r="AL819" s="190"/>
      <c r="AM819" s="603"/>
      <c r="AN819" s="190"/>
      <c r="AO819" s="190"/>
      <c r="AP819" s="190"/>
      <c r="AQ819" s="190"/>
      <c r="AR819" s="619"/>
      <c r="AS819" s="617"/>
    </row>
    <row r="820" spans="1:45">
      <c r="A820" s="190"/>
      <c r="B820" s="190"/>
      <c r="C820" s="190"/>
      <c r="D820" s="190"/>
      <c r="E820" s="190"/>
      <c r="F820" s="190"/>
      <c r="G820" s="190"/>
      <c r="H820" s="190"/>
      <c r="I820" s="190"/>
      <c r="J820" s="190"/>
      <c r="K820" s="190"/>
      <c r="L820" s="190"/>
      <c r="M820" s="190"/>
      <c r="N820" s="190"/>
      <c r="O820" s="190"/>
      <c r="P820" s="190"/>
      <c r="Q820" s="615"/>
      <c r="R820" s="588"/>
      <c r="S820" s="188"/>
      <c r="T820" s="190"/>
      <c r="U820" s="190"/>
      <c r="V820" s="190"/>
      <c r="W820" s="190"/>
      <c r="X820" s="190"/>
      <c r="Y820" s="190"/>
      <c r="Z820" s="190"/>
      <c r="AA820" s="190"/>
      <c r="AB820" s="190"/>
      <c r="AC820" s="190"/>
      <c r="AD820" s="190"/>
      <c r="AE820" s="190"/>
      <c r="AF820" s="190"/>
      <c r="AG820" s="190"/>
      <c r="AH820" s="190"/>
      <c r="AI820" s="190"/>
      <c r="AJ820" s="190"/>
      <c r="AK820" s="190"/>
      <c r="AL820" s="190"/>
      <c r="AM820" s="603"/>
      <c r="AN820" s="190"/>
      <c r="AO820" s="190"/>
      <c r="AP820" s="190"/>
      <c r="AQ820" s="190"/>
      <c r="AR820" s="619"/>
      <c r="AS820" s="617"/>
    </row>
    <row r="821" spans="1:45">
      <c r="A821" s="190"/>
      <c r="B821" s="190"/>
      <c r="C821" s="190"/>
      <c r="D821" s="190"/>
      <c r="E821" s="190"/>
      <c r="F821" s="190"/>
      <c r="G821" s="190"/>
      <c r="H821" s="190"/>
      <c r="I821" s="190"/>
      <c r="J821" s="190"/>
      <c r="K821" s="190"/>
      <c r="L821" s="190"/>
      <c r="M821" s="190"/>
      <c r="N821" s="190"/>
      <c r="O821" s="190"/>
      <c r="P821" s="190"/>
      <c r="Q821" s="615"/>
      <c r="R821" s="588"/>
      <c r="S821" s="188"/>
      <c r="T821" s="190"/>
      <c r="U821" s="190"/>
      <c r="V821" s="190"/>
      <c r="W821" s="190"/>
      <c r="X821" s="190"/>
      <c r="Y821" s="190"/>
      <c r="Z821" s="190"/>
      <c r="AA821" s="190"/>
      <c r="AB821" s="190"/>
      <c r="AC821" s="190"/>
      <c r="AD821" s="190"/>
      <c r="AE821" s="190"/>
      <c r="AF821" s="190"/>
      <c r="AG821" s="190"/>
      <c r="AH821" s="190"/>
      <c r="AI821" s="190"/>
      <c r="AJ821" s="190"/>
      <c r="AK821" s="190"/>
      <c r="AL821" s="190"/>
      <c r="AM821" s="603"/>
      <c r="AN821" s="190"/>
      <c r="AO821" s="190"/>
      <c r="AP821" s="190"/>
      <c r="AQ821" s="190"/>
      <c r="AR821" s="619"/>
      <c r="AS821" s="617"/>
    </row>
    <row r="822" spans="1:45">
      <c r="A822" s="190"/>
      <c r="B822" s="190"/>
      <c r="C822" s="190"/>
      <c r="D822" s="190"/>
      <c r="E822" s="190"/>
      <c r="F822" s="190"/>
      <c r="G822" s="190"/>
      <c r="H822" s="190"/>
      <c r="I822" s="190"/>
      <c r="J822" s="190"/>
      <c r="K822" s="190"/>
      <c r="L822" s="190"/>
      <c r="M822" s="190"/>
      <c r="N822" s="190"/>
      <c r="O822" s="190"/>
      <c r="P822" s="190"/>
      <c r="Q822" s="615"/>
      <c r="R822" s="588"/>
      <c r="S822" s="188"/>
      <c r="T822" s="190"/>
      <c r="U822" s="190"/>
      <c r="V822" s="190"/>
      <c r="W822" s="190"/>
      <c r="X822" s="190"/>
      <c r="Y822" s="190"/>
      <c r="Z822" s="190"/>
      <c r="AA822" s="190"/>
      <c r="AB822" s="190"/>
      <c r="AC822" s="190"/>
      <c r="AD822" s="190"/>
      <c r="AE822" s="190"/>
      <c r="AF822" s="190"/>
      <c r="AG822" s="190"/>
      <c r="AH822" s="190"/>
      <c r="AI822" s="190"/>
      <c r="AJ822" s="190"/>
      <c r="AK822" s="190"/>
      <c r="AL822" s="190"/>
      <c r="AM822" s="603"/>
      <c r="AN822" s="190"/>
      <c r="AO822" s="190"/>
      <c r="AP822" s="190"/>
      <c r="AQ822" s="190"/>
      <c r="AR822" s="619"/>
      <c r="AS822" s="617"/>
    </row>
    <row r="823" spans="1:45">
      <c r="A823" s="190"/>
      <c r="B823" s="190"/>
      <c r="C823" s="190"/>
      <c r="D823" s="190"/>
      <c r="E823" s="190"/>
      <c r="F823" s="190"/>
      <c r="G823" s="190"/>
      <c r="H823" s="190"/>
      <c r="I823" s="190"/>
      <c r="J823" s="190"/>
      <c r="K823" s="190"/>
      <c r="L823" s="190"/>
      <c r="M823" s="190"/>
      <c r="N823" s="190"/>
      <c r="O823" s="190"/>
      <c r="P823" s="190"/>
      <c r="Q823" s="615"/>
      <c r="R823" s="588"/>
      <c r="S823" s="188"/>
      <c r="T823" s="190"/>
      <c r="U823" s="190"/>
      <c r="V823" s="190"/>
      <c r="W823" s="190"/>
      <c r="X823" s="190"/>
      <c r="Y823" s="190"/>
      <c r="Z823" s="190"/>
      <c r="AA823" s="190"/>
      <c r="AB823" s="190"/>
      <c r="AC823" s="190"/>
      <c r="AD823" s="190"/>
      <c r="AE823" s="190"/>
      <c r="AF823" s="190"/>
      <c r="AG823" s="190"/>
      <c r="AH823" s="190"/>
      <c r="AI823" s="190"/>
      <c r="AJ823" s="190"/>
      <c r="AK823" s="190"/>
      <c r="AL823" s="190"/>
      <c r="AM823" s="603"/>
      <c r="AN823" s="190"/>
      <c r="AO823" s="190"/>
      <c r="AP823" s="190"/>
      <c r="AQ823" s="190"/>
      <c r="AR823" s="619"/>
      <c r="AS823" s="617"/>
    </row>
    <row r="824" spans="1:45">
      <c r="A824" s="190"/>
      <c r="B824" s="190"/>
      <c r="C824" s="190"/>
      <c r="D824" s="190"/>
      <c r="E824" s="190"/>
      <c r="F824" s="190"/>
      <c r="G824" s="190"/>
      <c r="H824" s="190"/>
      <c r="I824" s="190"/>
      <c r="J824" s="190"/>
      <c r="K824" s="190"/>
      <c r="L824" s="190"/>
      <c r="M824" s="190"/>
      <c r="N824" s="190"/>
      <c r="O824" s="190"/>
      <c r="P824" s="190"/>
      <c r="Q824" s="615"/>
      <c r="R824" s="588"/>
      <c r="S824" s="188"/>
      <c r="T824" s="190"/>
      <c r="U824" s="190"/>
      <c r="V824" s="190"/>
      <c r="W824" s="190"/>
      <c r="X824" s="190"/>
      <c r="Y824" s="190"/>
      <c r="Z824" s="190"/>
      <c r="AA824" s="190"/>
      <c r="AB824" s="190"/>
      <c r="AC824" s="190"/>
      <c r="AD824" s="190"/>
      <c r="AE824" s="190"/>
      <c r="AF824" s="190"/>
      <c r="AG824" s="190"/>
      <c r="AH824" s="190"/>
      <c r="AI824" s="190"/>
      <c r="AJ824" s="190"/>
      <c r="AK824" s="190"/>
      <c r="AL824" s="190"/>
      <c r="AM824" s="603"/>
      <c r="AN824" s="190"/>
      <c r="AO824" s="190"/>
      <c r="AP824" s="190"/>
      <c r="AQ824" s="190"/>
      <c r="AR824" s="619"/>
      <c r="AS824" s="617"/>
    </row>
    <row r="825" spans="1:45">
      <c r="A825" s="190"/>
      <c r="B825" s="190"/>
      <c r="C825" s="190"/>
      <c r="D825" s="190"/>
      <c r="E825" s="190"/>
      <c r="F825" s="190"/>
      <c r="G825" s="190"/>
      <c r="H825" s="190"/>
      <c r="I825" s="190"/>
      <c r="J825" s="190"/>
      <c r="K825" s="190"/>
      <c r="L825" s="190"/>
      <c r="M825" s="190"/>
      <c r="N825" s="190"/>
      <c r="O825" s="190"/>
      <c r="P825" s="190"/>
      <c r="Q825" s="615"/>
      <c r="R825" s="588"/>
      <c r="S825" s="188"/>
      <c r="T825" s="190"/>
      <c r="U825" s="190"/>
      <c r="V825" s="190"/>
      <c r="W825" s="190"/>
      <c r="X825" s="190"/>
      <c r="Y825" s="190"/>
      <c r="Z825" s="190"/>
      <c r="AA825" s="190"/>
      <c r="AB825" s="190"/>
      <c r="AC825" s="190"/>
      <c r="AD825" s="190"/>
      <c r="AE825" s="190"/>
      <c r="AF825" s="190"/>
      <c r="AG825" s="190"/>
      <c r="AH825" s="190"/>
      <c r="AI825" s="190"/>
      <c r="AJ825" s="190"/>
      <c r="AK825" s="190"/>
      <c r="AL825" s="190"/>
      <c r="AM825" s="603"/>
      <c r="AN825" s="190"/>
      <c r="AO825" s="190"/>
      <c r="AP825" s="190"/>
      <c r="AQ825" s="190"/>
      <c r="AR825" s="619"/>
      <c r="AS825" s="617"/>
    </row>
    <row r="826" spans="1:45">
      <c r="A826" s="190"/>
      <c r="B826" s="190"/>
      <c r="C826" s="190"/>
      <c r="D826" s="190"/>
      <c r="E826" s="190"/>
      <c r="F826" s="190"/>
      <c r="G826" s="190"/>
      <c r="H826" s="190"/>
      <c r="I826" s="190"/>
      <c r="J826" s="190"/>
      <c r="K826" s="190"/>
      <c r="L826" s="190"/>
      <c r="M826" s="190"/>
      <c r="N826" s="190"/>
      <c r="O826" s="190"/>
      <c r="P826" s="190"/>
      <c r="Q826" s="615"/>
      <c r="R826" s="588"/>
      <c r="S826" s="188"/>
      <c r="T826" s="190"/>
      <c r="U826" s="190"/>
      <c r="V826" s="190"/>
      <c r="W826" s="190"/>
      <c r="X826" s="190"/>
      <c r="Y826" s="190"/>
      <c r="Z826" s="190"/>
      <c r="AA826" s="190"/>
      <c r="AB826" s="190"/>
      <c r="AC826" s="190"/>
      <c r="AD826" s="190"/>
      <c r="AE826" s="190"/>
      <c r="AF826" s="190"/>
      <c r="AG826" s="190"/>
      <c r="AH826" s="190"/>
      <c r="AI826" s="190"/>
      <c r="AJ826" s="190"/>
      <c r="AK826" s="190"/>
      <c r="AL826" s="190"/>
      <c r="AM826" s="603"/>
      <c r="AN826" s="190"/>
      <c r="AO826" s="190"/>
      <c r="AP826" s="190"/>
      <c r="AQ826" s="190"/>
      <c r="AR826" s="619"/>
      <c r="AS826" s="617"/>
    </row>
    <row r="827" spans="1:45">
      <c r="A827" s="190"/>
      <c r="B827" s="190"/>
      <c r="C827" s="190"/>
      <c r="D827" s="190"/>
      <c r="E827" s="190"/>
      <c r="F827" s="190"/>
      <c r="G827" s="190"/>
      <c r="H827" s="190"/>
      <c r="I827" s="190"/>
      <c r="J827" s="190"/>
      <c r="K827" s="190"/>
      <c r="L827" s="190"/>
      <c r="M827" s="190"/>
      <c r="N827" s="190"/>
      <c r="O827" s="190"/>
      <c r="P827" s="190"/>
      <c r="Q827" s="615"/>
      <c r="R827" s="588"/>
      <c r="S827" s="188"/>
      <c r="T827" s="190"/>
      <c r="U827" s="190"/>
      <c r="V827" s="190"/>
      <c r="W827" s="190"/>
      <c r="X827" s="190"/>
      <c r="Y827" s="190"/>
      <c r="Z827" s="190"/>
      <c r="AA827" s="190"/>
      <c r="AB827" s="190"/>
      <c r="AC827" s="190"/>
      <c r="AD827" s="190"/>
      <c r="AE827" s="190"/>
      <c r="AF827" s="190"/>
      <c r="AG827" s="190"/>
      <c r="AH827" s="190"/>
      <c r="AI827" s="190"/>
      <c r="AJ827" s="190"/>
      <c r="AK827" s="190"/>
      <c r="AL827" s="190"/>
      <c r="AM827" s="603"/>
      <c r="AN827" s="190"/>
      <c r="AO827" s="190"/>
      <c r="AP827" s="190"/>
      <c r="AQ827" s="190"/>
      <c r="AR827" s="619"/>
      <c r="AS827" s="617"/>
    </row>
    <row r="828" spans="1:45">
      <c r="A828" s="190"/>
      <c r="B828" s="190"/>
      <c r="C828" s="190"/>
      <c r="D828" s="190"/>
      <c r="E828" s="190"/>
      <c r="F828" s="190"/>
      <c r="G828" s="190"/>
      <c r="H828" s="190"/>
      <c r="I828" s="190"/>
      <c r="J828" s="190"/>
      <c r="K828" s="190"/>
      <c r="L828" s="190"/>
      <c r="M828" s="190"/>
      <c r="N828" s="190"/>
      <c r="O828" s="190"/>
      <c r="P828" s="190"/>
      <c r="Q828" s="615"/>
      <c r="R828" s="588"/>
      <c r="S828" s="188"/>
      <c r="T828" s="190"/>
      <c r="U828" s="190"/>
      <c r="V828" s="190"/>
      <c r="W828" s="190"/>
      <c r="X828" s="190"/>
      <c r="Y828" s="190"/>
      <c r="Z828" s="190"/>
      <c r="AA828" s="190"/>
      <c r="AB828" s="190"/>
      <c r="AC828" s="190"/>
      <c r="AD828" s="190"/>
      <c r="AE828" s="190"/>
      <c r="AF828" s="190"/>
      <c r="AG828" s="190"/>
      <c r="AH828" s="190"/>
      <c r="AI828" s="190"/>
      <c r="AJ828" s="190"/>
      <c r="AK828" s="190"/>
      <c r="AL828" s="190"/>
      <c r="AM828" s="603"/>
      <c r="AN828" s="190"/>
      <c r="AO828" s="190"/>
      <c r="AP828" s="190"/>
      <c r="AQ828" s="190"/>
      <c r="AR828" s="619"/>
      <c r="AS828" s="617"/>
    </row>
    <row r="829" spans="1:45">
      <c r="A829" s="190"/>
      <c r="B829" s="190"/>
      <c r="C829" s="190"/>
      <c r="D829" s="190"/>
      <c r="E829" s="190"/>
      <c r="F829" s="190"/>
      <c r="G829" s="190"/>
      <c r="H829" s="190"/>
      <c r="I829" s="190"/>
      <c r="J829" s="190"/>
      <c r="K829" s="190"/>
      <c r="L829" s="190"/>
      <c r="M829" s="190"/>
      <c r="N829" s="190"/>
      <c r="O829" s="190"/>
      <c r="P829" s="190"/>
      <c r="Q829" s="615"/>
      <c r="R829" s="588"/>
      <c r="S829" s="188"/>
      <c r="T829" s="190"/>
      <c r="U829" s="190"/>
      <c r="V829" s="190"/>
      <c r="W829" s="190"/>
      <c r="X829" s="190"/>
      <c r="Y829" s="190"/>
      <c r="Z829" s="190"/>
      <c r="AA829" s="190"/>
      <c r="AB829" s="190"/>
      <c r="AC829" s="190"/>
      <c r="AD829" s="190"/>
      <c r="AE829" s="190"/>
      <c r="AF829" s="190"/>
      <c r="AG829" s="190"/>
      <c r="AH829" s="190"/>
      <c r="AI829" s="190"/>
      <c r="AJ829" s="190"/>
      <c r="AK829" s="190"/>
      <c r="AL829" s="190"/>
      <c r="AM829" s="603"/>
      <c r="AN829" s="190"/>
      <c r="AO829" s="190"/>
      <c r="AP829" s="190"/>
      <c r="AQ829" s="190"/>
      <c r="AR829" s="619"/>
      <c r="AS829" s="617"/>
    </row>
    <row r="830" spans="1:45">
      <c r="A830" s="190"/>
      <c r="B830" s="190"/>
      <c r="C830" s="190"/>
      <c r="D830" s="190"/>
      <c r="E830" s="190"/>
      <c r="F830" s="190"/>
      <c r="G830" s="190"/>
      <c r="H830" s="190"/>
      <c r="I830" s="190"/>
      <c r="J830" s="190"/>
      <c r="K830" s="190"/>
      <c r="L830" s="190"/>
      <c r="M830" s="190"/>
      <c r="N830" s="190"/>
      <c r="O830" s="190"/>
      <c r="P830" s="190"/>
      <c r="Q830" s="615"/>
      <c r="R830" s="588"/>
      <c r="S830" s="188"/>
      <c r="T830" s="190"/>
      <c r="U830" s="190"/>
      <c r="V830" s="190"/>
      <c r="W830" s="190"/>
      <c r="X830" s="190"/>
      <c r="Y830" s="190"/>
      <c r="Z830" s="190"/>
      <c r="AA830" s="190"/>
      <c r="AB830" s="190"/>
      <c r="AC830" s="190"/>
      <c r="AD830" s="190"/>
      <c r="AE830" s="190"/>
      <c r="AF830" s="190"/>
      <c r="AG830" s="190"/>
      <c r="AH830" s="190"/>
      <c r="AI830" s="190"/>
      <c r="AJ830" s="190"/>
      <c r="AK830" s="190"/>
      <c r="AL830" s="190"/>
      <c r="AM830" s="603"/>
      <c r="AN830" s="190"/>
      <c r="AO830" s="190"/>
      <c r="AP830" s="190"/>
      <c r="AQ830" s="190"/>
      <c r="AR830" s="619"/>
      <c r="AS830" s="617"/>
    </row>
    <row r="831" spans="1:45">
      <c r="A831" s="190"/>
      <c r="B831" s="190"/>
      <c r="C831" s="190"/>
      <c r="D831" s="190"/>
      <c r="E831" s="190"/>
      <c r="F831" s="190"/>
      <c r="G831" s="190"/>
      <c r="H831" s="190"/>
      <c r="I831" s="190"/>
      <c r="J831" s="190"/>
      <c r="K831" s="190"/>
      <c r="L831" s="190"/>
      <c r="M831" s="190"/>
      <c r="N831" s="190"/>
      <c r="O831" s="190"/>
      <c r="P831" s="190"/>
      <c r="Q831" s="615"/>
      <c r="R831" s="588"/>
      <c r="S831" s="188"/>
      <c r="T831" s="190"/>
      <c r="U831" s="190"/>
      <c r="V831" s="190"/>
      <c r="W831" s="190"/>
      <c r="X831" s="190"/>
      <c r="Y831" s="190"/>
      <c r="Z831" s="190"/>
      <c r="AA831" s="190"/>
      <c r="AB831" s="190"/>
      <c r="AC831" s="190"/>
      <c r="AD831" s="190"/>
      <c r="AE831" s="190"/>
      <c r="AF831" s="190"/>
      <c r="AG831" s="190"/>
      <c r="AH831" s="190"/>
      <c r="AI831" s="190"/>
      <c r="AJ831" s="190"/>
      <c r="AK831" s="190"/>
      <c r="AL831" s="190"/>
      <c r="AM831" s="603"/>
      <c r="AN831" s="190"/>
      <c r="AO831" s="190"/>
      <c r="AP831" s="190"/>
      <c r="AQ831" s="190"/>
      <c r="AR831" s="619"/>
      <c r="AS831" s="617"/>
    </row>
    <row r="832" spans="1:45">
      <c r="A832" s="190"/>
      <c r="B832" s="190"/>
      <c r="C832" s="190"/>
      <c r="D832" s="190"/>
      <c r="E832" s="190"/>
      <c r="F832" s="190"/>
      <c r="G832" s="190"/>
      <c r="H832" s="190"/>
      <c r="I832" s="190"/>
      <c r="J832" s="190"/>
      <c r="K832" s="190"/>
      <c r="L832" s="190"/>
      <c r="M832" s="190"/>
      <c r="N832" s="190"/>
      <c r="O832" s="190"/>
      <c r="P832" s="190"/>
      <c r="Q832" s="615"/>
      <c r="R832" s="588"/>
      <c r="S832" s="188"/>
      <c r="T832" s="190"/>
      <c r="U832" s="190"/>
      <c r="V832" s="190"/>
      <c r="W832" s="190"/>
      <c r="X832" s="190"/>
      <c r="Y832" s="190"/>
      <c r="Z832" s="190"/>
      <c r="AA832" s="190"/>
      <c r="AB832" s="190"/>
      <c r="AC832" s="190"/>
      <c r="AD832" s="190"/>
      <c r="AE832" s="190"/>
      <c r="AF832" s="190"/>
      <c r="AG832" s="190"/>
      <c r="AH832" s="190"/>
      <c r="AI832" s="190"/>
      <c r="AJ832" s="190"/>
      <c r="AK832" s="190"/>
      <c r="AL832" s="190"/>
      <c r="AM832" s="603"/>
      <c r="AN832" s="190"/>
      <c r="AO832" s="190"/>
      <c r="AP832" s="190"/>
      <c r="AQ832" s="190"/>
      <c r="AR832" s="619"/>
      <c r="AS832" s="617"/>
    </row>
    <row r="833" spans="1:45">
      <c r="A833" s="190"/>
      <c r="B833" s="190"/>
      <c r="C833" s="190"/>
      <c r="D833" s="190"/>
      <c r="E833" s="190"/>
      <c r="F833" s="190"/>
      <c r="G833" s="190"/>
      <c r="H833" s="190"/>
      <c r="I833" s="190"/>
      <c r="J833" s="190"/>
      <c r="K833" s="190"/>
      <c r="L833" s="190"/>
      <c r="M833" s="190"/>
      <c r="N833" s="190"/>
      <c r="O833" s="190"/>
      <c r="P833" s="190"/>
      <c r="Q833" s="615"/>
      <c r="R833" s="588"/>
      <c r="S833" s="188"/>
      <c r="T833" s="190"/>
      <c r="U833" s="190"/>
      <c r="V833" s="190"/>
      <c r="W833" s="190"/>
      <c r="X833" s="190"/>
      <c r="Y833" s="190"/>
      <c r="Z833" s="190"/>
      <c r="AA833" s="190"/>
      <c r="AB833" s="190"/>
      <c r="AC833" s="190"/>
      <c r="AD833" s="190"/>
      <c r="AE833" s="190"/>
      <c r="AF833" s="190"/>
      <c r="AG833" s="190"/>
      <c r="AH833" s="190"/>
      <c r="AI833" s="190"/>
      <c r="AJ833" s="190"/>
      <c r="AK833" s="190"/>
      <c r="AL833" s="190"/>
      <c r="AM833" s="603"/>
      <c r="AN833" s="190"/>
      <c r="AO833" s="190"/>
      <c r="AP833" s="190"/>
      <c r="AQ833" s="190"/>
      <c r="AR833" s="619"/>
      <c r="AS833" s="617"/>
    </row>
    <row r="834" spans="1:45">
      <c r="A834" s="190"/>
      <c r="B834" s="190"/>
      <c r="C834" s="190"/>
      <c r="D834" s="190"/>
      <c r="E834" s="190"/>
      <c r="F834" s="190"/>
      <c r="G834" s="190"/>
      <c r="H834" s="190"/>
      <c r="I834" s="190"/>
      <c r="J834" s="190"/>
      <c r="K834" s="190"/>
      <c r="L834" s="190"/>
      <c r="M834" s="190"/>
      <c r="N834" s="190"/>
      <c r="O834" s="190"/>
      <c r="P834" s="190"/>
      <c r="Q834" s="615"/>
      <c r="R834" s="588"/>
      <c r="S834" s="188"/>
      <c r="T834" s="190"/>
      <c r="U834" s="190"/>
      <c r="V834" s="190"/>
      <c r="W834" s="190"/>
      <c r="X834" s="190"/>
      <c r="Y834" s="190"/>
      <c r="Z834" s="190"/>
      <c r="AA834" s="190"/>
      <c r="AB834" s="190"/>
      <c r="AC834" s="190"/>
      <c r="AD834" s="190"/>
      <c r="AE834" s="190"/>
      <c r="AF834" s="190"/>
      <c r="AG834" s="190"/>
      <c r="AH834" s="190"/>
      <c r="AI834" s="190"/>
      <c r="AJ834" s="190"/>
      <c r="AK834" s="190"/>
      <c r="AL834" s="190"/>
      <c r="AM834" s="603"/>
      <c r="AN834" s="190"/>
      <c r="AO834" s="190"/>
      <c r="AP834" s="190"/>
      <c r="AQ834" s="190"/>
      <c r="AR834" s="619"/>
      <c r="AS834" s="617"/>
    </row>
    <row r="835" spans="1:45">
      <c r="A835" s="190"/>
      <c r="B835" s="190"/>
      <c r="C835" s="190"/>
      <c r="D835" s="190"/>
      <c r="E835" s="190"/>
      <c r="F835" s="190"/>
      <c r="G835" s="190"/>
      <c r="H835" s="190"/>
      <c r="I835" s="190"/>
      <c r="J835" s="190"/>
      <c r="K835" s="190"/>
      <c r="L835" s="190"/>
      <c r="M835" s="190"/>
      <c r="N835" s="190"/>
      <c r="O835" s="190"/>
      <c r="P835" s="190"/>
      <c r="Q835" s="615"/>
      <c r="R835" s="588"/>
      <c r="S835" s="188"/>
      <c r="T835" s="190"/>
      <c r="U835" s="190"/>
      <c r="V835" s="190"/>
      <c r="W835" s="190"/>
      <c r="X835" s="190"/>
      <c r="Y835" s="190"/>
      <c r="Z835" s="190"/>
      <c r="AA835" s="190"/>
      <c r="AB835" s="190"/>
      <c r="AC835" s="190"/>
      <c r="AD835" s="190"/>
      <c r="AE835" s="190"/>
      <c r="AF835" s="190"/>
      <c r="AG835" s="190"/>
      <c r="AH835" s="190"/>
      <c r="AI835" s="190"/>
      <c r="AJ835" s="190"/>
      <c r="AK835" s="190"/>
      <c r="AL835" s="190"/>
      <c r="AM835" s="603"/>
      <c r="AN835" s="190"/>
      <c r="AO835" s="190"/>
      <c r="AP835" s="190"/>
      <c r="AQ835" s="190"/>
      <c r="AR835" s="619"/>
      <c r="AS835" s="617"/>
    </row>
    <row r="836" spans="1:45">
      <c r="A836" s="190"/>
      <c r="B836" s="190"/>
      <c r="C836" s="190"/>
      <c r="D836" s="190"/>
      <c r="E836" s="190"/>
      <c r="F836" s="190"/>
      <c r="G836" s="190"/>
      <c r="H836" s="190"/>
      <c r="I836" s="190"/>
      <c r="J836" s="190"/>
      <c r="K836" s="190"/>
      <c r="L836" s="190"/>
      <c r="M836" s="190"/>
      <c r="N836" s="190"/>
      <c r="O836" s="190"/>
      <c r="P836" s="190"/>
      <c r="Q836" s="615"/>
      <c r="R836" s="588"/>
      <c r="S836" s="188"/>
      <c r="T836" s="190"/>
      <c r="U836" s="190"/>
      <c r="V836" s="190"/>
      <c r="W836" s="190"/>
      <c r="X836" s="190"/>
      <c r="Y836" s="190"/>
      <c r="Z836" s="190"/>
      <c r="AA836" s="190"/>
      <c r="AB836" s="190"/>
      <c r="AC836" s="190"/>
      <c r="AD836" s="190"/>
      <c r="AE836" s="190"/>
      <c r="AF836" s="190"/>
      <c r="AG836" s="190"/>
      <c r="AH836" s="190"/>
      <c r="AI836" s="190"/>
      <c r="AJ836" s="190"/>
      <c r="AK836" s="190"/>
      <c r="AL836" s="190"/>
      <c r="AM836" s="603"/>
      <c r="AN836" s="190"/>
      <c r="AO836" s="190"/>
      <c r="AP836" s="190"/>
      <c r="AQ836" s="190"/>
      <c r="AR836" s="619"/>
      <c r="AS836" s="617"/>
    </row>
    <row r="837" spans="1:45">
      <c r="A837" s="190"/>
      <c r="B837" s="190"/>
      <c r="C837" s="190"/>
      <c r="D837" s="190"/>
      <c r="E837" s="190"/>
      <c r="F837" s="190"/>
      <c r="G837" s="190"/>
      <c r="H837" s="190"/>
      <c r="I837" s="190"/>
      <c r="J837" s="190"/>
      <c r="K837" s="190"/>
      <c r="L837" s="190"/>
      <c r="M837" s="190"/>
      <c r="N837" s="190"/>
      <c r="O837" s="190"/>
      <c r="P837" s="190"/>
      <c r="Q837" s="615"/>
      <c r="R837" s="588"/>
      <c r="S837" s="188"/>
      <c r="T837" s="190"/>
      <c r="U837" s="190"/>
      <c r="V837" s="190"/>
      <c r="W837" s="190"/>
      <c r="X837" s="190"/>
      <c r="Y837" s="190"/>
      <c r="Z837" s="190"/>
      <c r="AA837" s="190"/>
      <c r="AB837" s="190"/>
      <c r="AC837" s="190"/>
      <c r="AD837" s="190"/>
      <c r="AE837" s="190"/>
      <c r="AF837" s="190"/>
      <c r="AG837" s="190"/>
      <c r="AH837" s="190"/>
      <c r="AI837" s="190"/>
      <c r="AJ837" s="190"/>
      <c r="AK837" s="190"/>
      <c r="AL837" s="190"/>
      <c r="AM837" s="603"/>
      <c r="AN837" s="190"/>
      <c r="AO837" s="190"/>
      <c r="AP837" s="190"/>
      <c r="AQ837" s="190"/>
      <c r="AR837" s="619"/>
      <c r="AS837" s="617"/>
    </row>
    <row r="838" spans="1:45">
      <c r="A838" s="190"/>
      <c r="B838" s="190"/>
      <c r="C838" s="190"/>
      <c r="D838" s="190"/>
      <c r="E838" s="190"/>
      <c r="F838" s="190"/>
      <c r="G838" s="190"/>
      <c r="H838" s="190"/>
      <c r="I838" s="190"/>
      <c r="J838" s="190"/>
      <c r="K838" s="190"/>
      <c r="L838" s="190"/>
      <c r="M838" s="190"/>
      <c r="N838" s="190"/>
      <c r="O838" s="190"/>
      <c r="P838" s="190"/>
      <c r="Q838" s="615"/>
      <c r="R838" s="588"/>
      <c r="S838" s="188"/>
      <c r="T838" s="190"/>
      <c r="U838" s="190"/>
      <c r="V838" s="190"/>
      <c r="W838" s="190"/>
      <c r="X838" s="190"/>
      <c r="Y838" s="190"/>
      <c r="Z838" s="190"/>
      <c r="AA838" s="190"/>
      <c r="AB838" s="190"/>
      <c r="AC838" s="190"/>
      <c r="AD838" s="190"/>
      <c r="AE838" s="190"/>
      <c r="AF838" s="190"/>
      <c r="AG838" s="190"/>
      <c r="AH838" s="190"/>
      <c r="AI838" s="190"/>
      <c r="AJ838" s="190"/>
      <c r="AK838" s="190"/>
      <c r="AL838" s="190"/>
      <c r="AM838" s="603"/>
      <c r="AN838" s="190"/>
      <c r="AO838" s="190"/>
      <c r="AP838" s="190"/>
      <c r="AQ838" s="190"/>
      <c r="AR838" s="619"/>
      <c r="AS838" s="617"/>
    </row>
    <row r="839" spans="1:45">
      <c r="A839" s="190"/>
      <c r="B839" s="190"/>
      <c r="C839" s="190"/>
      <c r="D839" s="190"/>
      <c r="E839" s="190"/>
      <c r="F839" s="190"/>
      <c r="G839" s="190"/>
      <c r="H839" s="190"/>
      <c r="I839" s="190"/>
      <c r="J839" s="190"/>
      <c r="K839" s="190"/>
      <c r="L839" s="190"/>
      <c r="M839" s="190"/>
      <c r="N839" s="190"/>
      <c r="O839" s="190"/>
      <c r="P839" s="190"/>
      <c r="Q839" s="615"/>
      <c r="R839" s="588"/>
      <c r="S839" s="188"/>
      <c r="T839" s="190"/>
      <c r="U839" s="190"/>
      <c r="V839" s="190"/>
      <c r="W839" s="190"/>
      <c r="X839" s="190"/>
      <c r="Y839" s="190"/>
      <c r="Z839" s="190"/>
      <c r="AA839" s="190"/>
      <c r="AB839" s="190"/>
      <c r="AC839" s="190"/>
      <c r="AD839" s="190"/>
      <c r="AE839" s="190"/>
      <c r="AF839" s="190"/>
      <c r="AG839" s="190"/>
      <c r="AH839" s="190"/>
      <c r="AI839" s="190"/>
      <c r="AJ839" s="190"/>
      <c r="AK839" s="190"/>
      <c r="AL839" s="190"/>
      <c r="AM839" s="603"/>
      <c r="AN839" s="190"/>
      <c r="AO839" s="190"/>
      <c r="AP839" s="190"/>
      <c r="AQ839" s="190"/>
      <c r="AR839" s="619"/>
      <c r="AS839" s="617"/>
    </row>
    <row r="840" spans="1:45">
      <c r="A840" s="190"/>
      <c r="B840" s="190"/>
      <c r="C840" s="190"/>
      <c r="D840" s="190"/>
      <c r="E840" s="190"/>
      <c r="F840" s="190"/>
      <c r="G840" s="190"/>
      <c r="H840" s="190"/>
      <c r="I840" s="190"/>
      <c r="J840" s="190"/>
      <c r="K840" s="190"/>
      <c r="L840" s="190"/>
      <c r="M840" s="190"/>
      <c r="N840" s="190"/>
      <c r="O840" s="190"/>
      <c r="P840" s="190"/>
      <c r="Q840" s="615"/>
      <c r="R840" s="588"/>
      <c r="S840" s="188"/>
      <c r="T840" s="190"/>
      <c r="U840" s="190"/>
      <c r="V840" s="190"/>
      <c r="W840" s="190"/>
      <c r="X840" s="190"/>
      <c r="Y840" s="190"/>
      <c r="Z840" s="190"/>
      <c r="AA840" s="190"/>
      <c r="AB840" s="190"/>
      <c r="AC840" s="190"/>
      <c r="AD840" s="190"/>
      <c r="AE840" s="190"/>
      <c r="AF840" s="190"/>
      <c r="AG840" s="190"/>
      <c r="AH840" s="190"/>
      <c r="AI840" s="190"/>
      <c r="AJ840" s="190"/>
      <c r="AK840" s="190"/>
      <c r="AL840" s="190"/>
      <c r="AM840" s="603"/>
      <c r="AN840" s="190"/>
      <c r="AO840" s="190"/>
      <c r="AP840" s="190"/>
      <c r="AQ840" s="190"/>
      <c r="AR840" s="619"/>
      <c r="AS840" s="617"/>
    </row>
    <row r="841" spans="1:45">
      <c r="A841" s="190"/>
      <c r="B841" s="190"/>
      <c r="C841" s="190"/>
      <c r="D841" s="190"/>
      <c r="E841" s="190"/>
      <c r="F841" s="190"/>
      <c r="G841" s="190"/>
      <c r="H841" s="190"/>
      <c r="I841" s="190"/>
      <c r="J841" s="190"/>
      <c r="K841" s="190"/>
      <c r="L841" s="190"/>
      <c r="M841" s="190"/>
      <c r="N841" s="190"/>
      <c r="O841" s="190"/>
      <c r="P841" s="190"/>
      <c r="Q841" s="615"/>
      <c r="R841" s="588"/>
      <c r="S841" s="188"/>
      <c r="T841" s="190"/>
      <c r="U841" s="190"/>
      <c r="V841" s="190"/>
      <c r="W841" s="190"/>
      <c r="X841" s="190"/>
      <c r="Y841" s="190"/>
      <c r="Z841" s="190"/>
      <c r="AA841" s="190"/>
      <c r="AB841" s="190"/>
      <c r="AC841" s="190"/>
      <c r="AD841" s="190"/>
      <c r="AE841" s="190"/>
      <c r="AF841" s="190"/>
      <c r="AG841" s="190"/>
      <c r="AH841" s="190"/>
      <c r="AI841" s="190"/>
      <c r="AJ841" s="190"/>
      <c r="AK841" s="190"/>
      <c r="AL841" s="190"/>
      <c r="AM841" s="603"/>
      <c r="AN841" s="190"/>
      <c r="AO841" s="190"/>
      <c r="AP841" s="190"/>
      <c r="AQ841" s="190"/>
      <c r="AR841" s="619"/>
      <c r="AS841" s="617"/>
    </row>
    <row r="842" spans="1:45">
      <c r="A842" s="190"/>
      <c r="B842" s="190"/>
      <c r="C842" s="190"/>
      <c r="D842" s="190"/>
      <c r="E842" s="190"/>
      <c r="F842" s="190"/>
      <c r="G842" s="190"/>
      <c r="H842" s="190"/>
      <c r="I842" s="190"/>
      <c r="J842" s="190"/>
      <c r="K842" s="190"/>
      <c r="L842" s="190"/>
      <c r="M842" s="190"/>
      <c r="N842" s="190"/>
      <c r="O842" s="190"/>
      <c r="P842" s="190"/>
      <c r="Q842" s="615"/>
      <c r="R842" s="588"/>
      <c r="S842" s="188"/>
      <c r="T842" s="190"/>
      <c r="U842" s="190"/>
      <c r="V842" s="190"/>
      <c r="W842" s="190"/>
      <c r="X842" s="190"/>
      <c r="Y842" s="190"/>
      <c r="Z842" s="190"/>
      <c r="AA842" s="190"/>
      <c r="AB842" s="190"/>
      <c r="AC842" s="190"/>
      <c r="AD842" s="190"/>
      <c r="AE842" s="190"/>
      <c r="AF842" s="190"/>
      <c r="AG842" s="190"/>
      <c r="AH842" s="190"/>
      <c r="AI842" s="190"/>
      <c r="AJ842" s="190"/>
      <c r="AK842" s="190"/>
      <c r="AL842" s="190"/>
      <c r="AM842" s="603"/>
      <c r="AN842" s="190"/>
      <c r="AO842" s="190"/>
      <c r="AP842" s="190"/>
      <c r="AQ842" s="190"/>
      <c r="AR842" s="619"/>
      <c r="AS842" s="617"/>
    </row>
    <row r="843" spans="1:45">
      <c r="A843" s="190"/>
      <c r="B843" s="190"/>
      <c r="C843" s="190"/>
      <c r="D843" s="190"/>
      <c r="E843" s="190"/>
      <c r="F843" s="190"/>
      <c r="G843" s="190"/>
      <c r="H843" s="190"/>
      <c r="I843" s="190"/>
      <c r="J843" s="190"/>
      <c r="K843" s="190"/>
      <c r="L843" s="190"/>
      <c r="M843" s="190"/>
      <c r="N843" s="190"/>
      <c r="O843" s="190"/>
      <c r="P843" s="190"/>
      <c r="Q843" s="615"/>
      <c r="R843" s="588"/>
      <c r="S843" s="188"/>
      <c r="T843" s="190"/>
      <c r="U843" s="190"/>
      <c r="V843" s="190"/>
      <c r="W843" s="190"/>
      <c r="X843" s="190"/>
      <c r="Y843" s="190"/>
      <c r="Z843" s="190"/>
      <c r="AA843" s="190"/>
      <c r="AB843" s="190"/>
      <c r="AC843" s="190"/>
      <c r="AD843" s="190"/>
      <c r="AE843" s="190"/>
      <c r="AF843" s="190"/>
      <c r="AG843" s="190"/>
      <c r="AH843" s="190"/>
      <c r="AI843" s="190"/>
      <c r="AJ843" s="190"/>
      <c r="AK843" s="190"/>
      <c r="AL843" s="190"/>
      <c r="AM843" s="603"/>
      <c r="AN843" s="190"/>
      <c r="AO843" s="190"/>
      <c r="AP843" s="190"/>
      <c r="AQ843" s="190"/>
      <c r="AR843" s="619"/>
      <c r="AS843" s="617"/>
    </row>
    <row r="844" spans="1:45">
      <c r="A844" s="190"/>
      <c r="B844" s="190"/>
      <c r="C844" s="190"/>
      <c r="D844" s="190"/>
      <c r="E844" s="190"/>
      <c r="F844" s="190"/>
      <c r="G844" s="190"/>
      <c r="H844" s="190"/>
      <c r="I844" s="190"/>
      <c r="J844" s="190"/>
      <c r="K844" s="190"/>
      <c r="L844" s="190"/>
      <c r="M844" s="190"/>
      <c r="N844" s="190"/>
      <c r="O844" s="190"/>
      <c r="P844" s="190"/>
      <c r="Q844" s="615"/>
      <c r="R844" s="588"/>
      <c r="S844" s="188"/>
      <c r="T844" s="190"/>
      <c r="U844" s="190"/>
      <c r="V844" s="190"/>
      <c r="W844" s="190"/>
      <c r="X844" s="190"/>
      <c r="Y844" s="190"/>
      <c r="Z844" s="190"/>
      <c r="AA844" s="190"/>
      <c r="AB844" s="190"/>
      <c r="AC844" s="190"/>
      <c r="AD844" s="190"/>
      <c r="AE844" s="190"/>
      <c r="AF844" s="190"/>
      <c r="AG844" s="190"/>
      <c r="AH844" s="190"/>
      <c r="AI844" s="190"/>
      <c r="AJ844" s="190"/>
      <c r="AK844" s="190"/>
      <c r="AL844" s="190"/>
      <c r="AM844" s="603"/>
      <c r="AN844" s="190"/>
      <c r="AO844" s="190"/>
      <c r="AP844" s="190"/>
      <c r="AQ844" s="190"/>
      <c r="AR844" s="619"/>
      <c r="AS844" s="617"/>
    </row>
    <row r="845" spans="1:45">
      <c r="A845" s="190"/>
      <c r="B845" s="190"/>
      <c r="C845" s="190"/>
      <c r="D845" s="190"/>
      <c r="E845" s="190"/>
      <c r="F845" s="190"/>
      <c r="G845" s="190"/>
      <c r="H845" s="190"/>
      <c r="I845" s="190"/>
      <c r="J845" s="190"/>
      <c r="K845" s="190"/>
      <c r="L845" s="190"/>
      <c r="M845" s="190"/>
      <c r="N845" s="190"/>
      <c r="O845" s="190"/>
      <c r="P845" s="190"/>
      <c r="Q845" s="615"/>
      <c r="R845" s="588"/>
      <c r="S845" s="188"/>
      <c r="T845" s="190"/>
      <c r="U845" s="190"/>
      <c r="V845" s="190"/>
      <c r="W845" s="190"/>
      <c r="X845" s="190"/>
      <c r="Y845" s="190"/>
      <c r="Z845" s="190"/>
      <c r="AA845" s="190"/>
      <c r="AB845" s="190"/>
      <c r="AC845" s="190"/>
      <c r="AD845" s="190"/>
      <c r="AE845" s="190"/>
      <c r="AF845" s="190"/>
      <c r="AG845" s="190"/>
      <c r="AH845" s="190"/>
      <c r="AI845" s="190"/>
      <c r="AJ845" s="190"/>
      <c r="AK845" s="190"/>
      <c r="AL845" s="190"/>
      <c r="AM845" s="603"/>
      <c r="AN845" s="190"/>
      <c r="AO845" s="190"/>
      <c r="AP845" s="190"/>
      <c r="AQ845" s="190"/>
      <c r="AR845" s="619"/>
      <c r="AS845" s="617"/>
    </row>
    <row r="846" spans="1:45">
      <c r="A846" s="190"/>
      <c r="B846" s="190"/>
      <c r="C846" s="190"/>
      <c r="D846" s="190"/>
      <c r="E846" s="190"/>
      <c r="F846" s="190"/>
      <c r="G846" s="190"/>
      <c r="H846" s="190"/>
      <c r="I846" s="190"/>
      <c r="J846" s="190"/>
      <c r="K846" s="190"/>
      <c r="L846" s="190"/>
      <c r="M846" s="190"/>
      <c r="N846" s="190"/>
      <c r="O846" s="190"/>
      <c r="P846" s="190"/>
      <c r="Q846" s="615"/>
      <c r="R846" s="588"/>
      <c r="S846" s="188"/>
      <c r="T846" s="190"/>
      <c r="U846" s="190"/>
      <c r="V846" s="190"/>
      <c r="W846" s="190"/>
      <c r="X846" s="190"/>
      <c r="Y846" s="190"/>
      <c r="Z846" s="190"/>
      <c r="AA846" s="190"/>
      <c r="AB846" s="190"/>
      <c r="AC846" s="190"/>
      <c r="AD846" s="190"/>
      <c r="AE846" s="190"/>
      <c r="AF846" s="190"/>
      <c r="AG846" s="190"/>
      <c r="AH846" s="190"/>
      <c r="AI846" s="190"/>
      <c r="AJ846" s="190"/>
      <c r="AK846" s="190"/>
      <c r="AL846" s="190"/>
      <c r="AM846" s="603"/>
      <c r="AN846" s="190"/>
      <c r="AO846" s="190"/>
      <c r="AP846" s="190"/>
      <c r="AQ846" s="190"/>
      <c r="AR846" s="619"/>
      <c r="AS846" s="617"/>
    </row>
    <row r="847" spans="1:45">
      <c r="A847" s="190"/>
      <c r="B847" s="190"/>
      <c r="C847" s="190"/>
      <c r="D847" s="190"/>
      <c r="E847" s="190"/>
      <c r="F847" s="190"/>
      <c r="G847" s="190"/>
      <c r="H847" s="190"/>
      <c r="I847" s="190"/>
      <c r="J847" s="190"/>
      <c r="K847" s="190"/>
      <c r="L847" s="190"/>
      <c r="M847" s="190"/>
      <c r="N847" s="190"/>
      <c r="O847" s="190"/>
      <c r="P847" s="190"/>
      <c r="Q847" s="615"/>
      <c r="R847" s="588"/>
      <c r="S847" s="188"/>
      <c r="T847" s="190"/>
      <c r="U847" s="190"/>
      <c r="V847" s="190"/>
      <c r="W847" s="190"/>
      <c r="X847" s="190"/>
      <c r="Y847" s="190"/>
      <c r="Z847" s="190"/>
      <c r="AA847" s="190"/>
      <c r="AB847" s="190"/>
      <c r="AC847" s="190"/>
      <c r="AD847" s="190"/>
      <c r="AE847" s="190"/>
      <c r="AF847" s="190"/>
      <c r="AG847" s="190"/>
      <c r="AH847" s="190"/>
      <c r="AI847" s="190"/>
      <c r="AJ847" s="190"/>
      <c r="AK847" s="190"/>
      <c r="AL847" s="190"/>
      <c r="AM847" s="603"/>
      <c r="AN847" s="190"/>
      <c r="AO847" s="190"/>
      <c r="AP847" s="190"/>
      <c r="AQ847" s="190"/>
      <c r="AR847" s="619"/>
      <c r="AS847" s="617"/>
    </row>
    <row r="848" spans="1:45">
      <c r="A848" s="190"/>
      <c r="B848" s="190"/>
      <c r="C848" s="190"/>
      <c r="D848" s="190"/>
      <c r="E848" s="190"/>
      <c r="F848" s="190"/>
      <c r="G848" s="190"/>
      <c r="H848" s="190"/>
      <c r="I848" s="190"/>
      <c r="J848" s="190"/>
      <c r="K848" s="190"/>
      <c r="L848" s="190"/>
      <c r="M848" s="190"/>
      <c r="N848" s="190"/>
      <c r="O848" s="190"/>
      <c r="P848" s="190"/>
      <c r="Q848" s="615"/>
      <c r="R848" s="588"/>
      <c r="S848" s="188"/>
      <c r="T848" s="190"/>
      <c r="U848" s="190"/>
      <c r="V848" s="190"/>
      <c r="W848" s="190"/>
      <c r="X848" s="190"/>
      <c r="Y848" s="190"/>
      <c r="Z848" s="190"/>
      <c r="AA848" s="190"/>
      <c r="AB848" s="190"/>
      <c r="AC848" s="190"/>
      <c r="AD848" s="190"/>
      <c r="AE848" s="190"/>
      <c r="AF848" s="190"/>
      <c r="AG848" s="190"/>
      <c r="AH848" s="190"/>
      <c r="AI848" s="190"/>
      <c r="AJ848" s="190"/>
      <c r="AK848" s="190"/>
      <c r="AL848" s="190"/>
      <c r="AM848" s="603"/>
      <c r="AN848" s="190"/>
      <c r="AO848" s="190"/>
      <c r="AP848" s="190"/>
      <c r="AQ848" s="190"/>
      <c r="AR848" s="619"/>
      <c r="AS848" s="617"/>
    </row>
    <row r="849" spans="1:45">
      <c r="A849" s="190"/>
      <c r="B849" s="190"/>
      <c r="C849" s="190"/>
      <c r="D849" s="190"/>
      <c r="E849" s="190"/>
      <c r="F849" s="190"/>
      <c r="G849" s="190"/>
      <c r="H849" s="190"/>
      <c r="I849" s="190"/>
      <c r="J849" s="190"/>
      <c r="K849" s="190"/>
      <c r="L849" s="190"/>
      <c r="M849" s="190"/>
      <c r="N849" s="190"/>
      <c r="O849" s="190"/>
      <c r="P849" s="190"/>
      <c r="Q849" s="615"/>
      <c r="R849" s="588"/>
      <c r="S849" s="188"/>
      <c r="T849" s="190"/>
      <c r="U849" s="190"/>
      <c r="V849" s="190"/>
      <c r="W849" s="190"/>
      <c r="X849" s="190"/>
      <c r="Y849" s="190"/>
      <c r="Z849" s="190"/>
      <c r="AA849" s="190"/>
      <c r="AB849" s="190"/>
      <c r="AC849" s="190"/>
      <c r="AD849" s="190"/>
      <c r="AE849" s="190"/>
      <c r="AF849" s="190"/>
      <c r="AG849" s="190"/>
      <c r="AH849" s="190"/>
      <c r="AI849" s="190"/>
      <c r="AJ849" s="190"/>
      <c r="AK849" s="190"/>
      <c r="AL849" s="190"/>
      <c r="AM849" s="603"/>
      <c r="AN849" s="190"/>
      <c r="AO849" s="190"/>
      <c r="AP849" s="190"/>
      <c r="AQ849" s="190"/>
      <c r="AR849" s="619"/>
      <c r="AS849" s="617"/>
    </row>
    <row r="850" spans="1:45">
      <c r="A850" s="190"/>
      <c r="B850" s="190"/>
      <c r="C850" s="190"/>
      <c r="D850" s="190"/>
      <c r="E850" s="190"/>
      <c r="F850" s="190"/>
      <c r="G850" s="190"/>
      <c r="H850" s="190"/>
      <c r="I850" s="190"/>
      <c r="J850" s="190"/>
      <c r="K850" s="190"/>
      <c r="L850" s="190"/>
      <c r="M850" s="190"/>
      <c r="N850" s="190"/>
      <c r="O850" s="190"/>
      <c r="P850" s="190"/>
      <c r="Q850" s="615"/>
      <c r="R850" s="588"/>
      <c r="S850" s="188"/>
      <c r="T850" s="190"/>
      <c r="U850" s="190"/>
      <c r="V850" s="190"/>
      <c r="W850" s="190"/>
      <c r="X850" s="190"/>
      <c r="Y850" s="190"/>
      <c r="Z850" s="190"/>
      <c r="AA850" s="190"/>
      <c r="AB850" s="190"/>
      <c r="AC850" s="190"/>
      <c r="AD850" s="190"/>
      <c r="AE850" s="190"/>
      <c r="AF850" s="190"/>
      <c r="AG850" s="190"/>
      <c r="AH850" s="190"/>
      <c r="AI850" s="190"/>
      <c r="AJ850" s="190"/>
      <c r="AK850" s="190"/>
      <c r="AL850" s="190"/>
      <c r="AM850" s="603"/>
      <c r="AN850" s="190"/>
      <c r="AO850" s="190"/>
      <c r="AP850" s="190"/>
      <c r="AQ850" s="190"/>
      <c r="AR850" s="619"/>
      <c r="AS850" s="617"/>
    </row>
    <row r="851" spans="1:45">
      <c r="A851" s="190"/>
      <c r="B851" s="190"/>
      <c r="C851" s="190"/>
      <c r="D851" s="190"/>
      <c r="E851" s="190"/>
      <c r="F851" s="190"/>
      <c r="G851" s="190"/>
      <c r="H851" s="190"/>
      <c r="I851" s="190"/>
      <c r="J851" s="190"/>
      <c r="K851" s="190"/>
      <c r="L851" s="190"/>
      <c r="M851" s="190"/>
      <c r="N851" s="190"/>
      <c r="O851" s="190"/>
      <c r="P851" s="190"/>
      <c r="Q851" s="615"/>
      <c r="R851" s="588"/>
      <c r="S851" s="188"/>
      <c r="T851" s="190"/>
      <c r="U851" s="190"/>
      <c r="V851" s="190"/>
      <c r="W851" s="190"/>
      <c r="X851" s="190"/>
      <c r="Y851" s="190"/>
      <c r="Z851" s="190"/>
      <c r="AA851" s="190"/>
      <c r="AB851" s="190"/>
      <c r="AC851" s="190"/>
      <c r="AD851" s="190"/>
      <c r="AE851" s="190"/>
      <c r="AF851" s="190"/>
      <c r="AG851" s="190"/>
      <c r="AH851" s="190"/>
      <c r="AI851" s="190"/>
      <c r="AJ851" s="190"/>
      <c r="AK851" s="190"/>
      <c r="AL851" s="190"/>
      <c r="AM851" s="603"/>
      <c r="AN851" s="190"/>
      <c r="AO851" s="190"/>
      <c r="AP851" s="190"/>
      <c r="AQ851" s="190"/>
      <c r="AR851" s="619"/>
      <c r="AS851" s="617"/>
    </row>
    <row r="852" spans="1:45">
      <c r="A852" s="190"/>
      <c r="B852" s="190"/>
      <c r="C852" s="190"/>
      <c r="D852" s="190"/>
      <c r="E852" s="190"/>
      <c r="F852" s="190"/>
      <c r="G852" s="190"/>
      <c r="H852" s="190"/>
      <c r="I852" s="190"/>
      <c r="J852" s="190"/>
      <c r="K852" s="190"/>
      <c r="L852" s="190"/>
      <c r="M852" s="190"/>
      <c r="N852" s="190"/>
      <c r="O852" s="190"/>
      <c r="P852" s="190"/>
      <c r="Q852" s="615"/>
      <c r="R852" s="588"/>
      <c r="S852" s="188"/>
      <c r="T852" s="190"/>
      <c r="U852" s="190"/>
      <c r="V852" s="190"/>
      <c r="W852" s="190"/>
      <c r="X852" s="190"/>
      <c r="Y852" s="190"/>
      <c r="Z852" s="190"/>
      <c r="AA852" s="190"/>
      <c r="AB852" s="190"/>
      <c r="AC852" s="190"/>
      <c r="AD852" s="190"/>
      <c r="AE852" s="190"/>
      <c r="AF852" s="190"/>
      <c r="AG852" s="190"/>
      <c r="AH852" s="190"/>
      <c r="AI852" s="190"/>
      <c r="AJ852" s="190"/>
      <c r="AK852" s="190"/>
      <c r="AL852" s="190"/>
      <c r="AM852" s="603"/>
      <c r="AN852" s="190"/>
      <c r="AO852" s="190"/>
      <c r="AP852" s="190"/>
      <c r="AQ852" s="190"/>
      <c r="AR852" s="619"/>
      <c r="AS852" s="617"/>
    </row>
    <row r="853" spans="1:45">
      <c r="A853" s="190"/>
      <c r="B853" s="190"/>
      <c r="C853" s="190"/>
      <c r="D853" s="190"/>
      <c r="E853" s="190"/>
      <c r="F853" s="190"/>
      <c r="G853" s="190"/>
      <c r="H853" s="190"/>
      <c r="I853" s="190"/>
      <c r="J853" s="190"/>
      <c r="K853" s="190"/>
      <c r="L853" s="190"/>
      <c r="M853" s="190"/>
      <c r="N853" s="190"/>
      <c r="O853" s="190"/>
      <c r="P853" s="190"/>
      <c r="Q853" s="615"/>
      <c r="R853" s="588"/>
      <c r="S853" s="188"/>
      <c r="T853" s="190"/>
      <c r="U853" s="190"/>
      <c r="V853" s="190"/>
      <c r="W853" s="190"/>
      <c r="X853" s="190"/>
      <c r="Y853" s="190"/>
      <c r="Z853" s="190"/>
      <c r="AA853" s="190"/>
      <c r="AB853" s="190"/>
      <c r="AC853" s="190"/>
      <c r="AD853" s="190"/>
      <c r="AE853" s="190"/>
      <c r="AF853" s="190"/>
      <c r="AG853" s="190"/>
      <c r="AH853" s="190"/>
      <c r="AI853" s="190"/>
      <c r="AJ853" s="190"/>
      <c r="AK853" s="190"/>
      <c r="AL853" s="190"/>
      <c r="AM853" s="603"/>
      <c r="AN853" s="190"/>
      <c r="AO853" s="190"/>
      <c r="AP853" s="190"/>
      <c r="AQ853" s="190"/>
      <c r="AR853" s="619"/>
      <c r="AS853" s="617"/>
    </row>
    <row r="854" spans="1:45">
      <c r="A854" s="190"/>
      <c r="B854" s="190"/>
      <c r="C854" s="190"/>
      <c r="D854" s="190"/>
      <c r="E854" s="190"/>
      <c r="F854" s="190"/>
      <c r="G854" s="190"/>
      <c r="H854" s="190"/>
      <c r="I854" s="190"/>
      <c r="J854" s="190"/>
      <c r="K854" s="190"/>
      <c r="L854" s="190"/>
      <c r="M854" s="190"/>
      <c r="N854" s="190"/>
      <c r="O854" s="190"/>
      <c r="P854" s="190"/>
      <c r="Q854" s="615"/>
      <c r="R854" s="588"/>
      <c r="S854" s="188"/>
      <c r="T854" s="190"/>
      <c r="U854" s="190"/>
      <c r="V854" s="190"/>
      <c r="W854" s="190"/>
      <c r="X854" s="190"/>
      <c r="Y854" s="190"/>
      <c r="Z854" s="190"/>
      <c r="AA854" s="190"/>
      <c r="AB854" s="190"/>
      <c r="AC854" s="190"/>
      <c r="AD854" s="190"/>
      <c r="AE854" s="190"/>
      <c r="AF854" s="190"/>
      <c r="AG854" s="190"/>
      <c r="AH854" s="190"/>
      <c r="AI854" s="190"/>
      <c r="AJ854" s="190"/>
      <c r="AK854" s="190"/>
      <c r="AL854" s="190"/>
      <c r="AM854" s="603"/>
      <c r="AN854" s="190"/>
      <c r="AO854" s="190"/>
      <c r="AP854" s="190"/>
      <c r="AQ854" s="190"/>
      <c r="AR854" s="619"/>
      <c r="AS854" s="617"/>
    </row>
    <row r="855" spans="1:45">
      <c r="A855" s="190"/>
      <c r="B855" s="190"/>
      <c r="C855" s="190"/>
      <c r="D855" s="190"/>
      <c r="E855" s="190"/>
      <c r="F855" s="190"/>
      <c r="G855" s="190"/>
      <c r="H855" s="190"/>
      <c r="I855" s="190"/>
      <c r="J855" s="190"/>
      <c r="K855" s="190"/>
      <c r="L855" s="190"/>
      <c r="M855" s="190"/>
      <c r="N855" s="190"/>
      <c r="O855" s="190"/>
      <c r="P855" s="190"/>
      <c r="Q855" s="615"/>
      <c r="R855" s="588"/>
      <c r="S855" s="188"/>
      <c r="T855" s="190"/>
      <c r="U855" s="190"/>
      <c r="V855" s="190"/>
      <c r="W855" s="190"/>
      <c r="X855" s="190"/>
      <c r="Y855" s="190"/>
      <c r="Z855" s="190"/>
      <c r="AA855" s="190"/>
      <c r="AB855" s="190"/>
      <c r="AC855" s="190"/>
      <c r="AD855" s="190"/>
      <c r="AE855" s="190"/>
      <c r="AF855" s="190"/>
      <c r="AG855" s="190"/>
      <c r="AH855" s="190"/>
      <c r="AI855" s="190"/>
      <c r="AJ855" s="190"/>
      <c r="AK855" s="190"/>
      <c r="AL855" s="190"/>
      <c r="AM855" s="603"/>
      <c r="AN855" s="190"/>
      <c r="AO855" s="190"/>
      <c r="AP855" s="190"/>
      <c r="AQ855" s="190"/>
      <c r="AR855" s="619"/>
      <c r="AS855" s="617"/>
    </row>
    <row r="856" spans="1:45">
      <c r="A856" s="190"/>
      <c r="B856" s="190"/>
      <c r="C856" s="190"/>
      <c r="D856" s="190"/>
      <c r="E856" s="190"/>
      <c r="F856" s="190"/>
      <c r="G856" s="190"/>
      <c r="H856" s="190"/>
      <c r="I856" s="190"/>
      <c r="J856" s="190"/>
      <c r="K856" s="190"/>
      <c r="L856" s="190"/>
      <c r="M856" s="190"/>
      <c r="N856" s="190"/>
      <c r="O856" s="190"/>
      <c r="P856" s="190"/>
      <c r="Q856" s="615"/>
      <c r="R856" s="588"/>
      <c r="S856" s="188"/>
      <c r="T856" s="190"/>
      <c r="U856" s="190"/>
      <c r="V856" s="190"/>
      <c r="W856" s="190"/>
      <c r="X856" s="190"/>
      <c r="Y856" s="190"/>
      <c r="Z856" s="190"/>
      <c r="AA856" s="190"/>
      <c r="AB856" s="190"/>
      <c r="AC856" s="190"/>
      <c r="AD856" s="190"/>
      <c r="AE856" s="190"/>
      <c r="AF856" s="190"/>
      <c r="AG856" s="190"/>
      <c r="AH856" s="190"/>
      <c r="AI856" s="190"/>
      <c r="AJ856" s="190"/>
      <c r="AK856" s="190"/>
      <c r="AL856" s="190"/>
      <c r="AM856" s="603"/>
      <c r="AN856" s="190"/>
      <c r="AO856" s="190"/>
      <c r="AP856" s="190"/>
      <c r="AQ856" s="190"/>
      <c r="AR856" s="619"/>
      <c r="AS856" s="617"/>
    </row>
    <row r="857" spans="1:45">
      <c r="A857" s="190"/>
      <c r="B857" s="190"/>
      <c r="C857" s="190"/>
      <c r="D857" s="190"/>
      <c r="E857" s="190"/>
      <c r="F857" s="190"/>
      <c r="G857" s="190"/>
      <c r="H857" s="190"/>
      <c r="I857" s="190"/>
      <c r="J857" s="190"/>
      <c r="K857" s="190"/>
      <c r="L857" s="190"/>
      <c r="M857" s="190"/>
      <c r="N857" s="190"/>
      <c r="O857" s="190"/>
      <c r="P857" s="190"/>
      <c r="Q857" s="615"/>
      <c r="R857" s="588"/>
      <c r="S857" s="188"/>
      <c r="T857" s="190"/>
      <c r="U857" s="190"/>
      <c r="V857" s="190"/>
      <c r="W857" s="190"/>
      <c r="X857" s="190"/>
      <c r="Y857" s="190"/>
      <c r="Z857" s="190"/>
      <c r="AA857" s="190"/>
      <c r="AB857" s="190"/>
      <c r="AC857" s="190"/>
      <c r="AD857" s="190"/>
      <c r="AE857" s="190"/>
      <c r="AF857" s="190"/>
      <c r="AG857" s="190"/>
      <c r="AH857" s="190"/>
      <c r="AI857" s="190"/>
      <c r="AJ857" s="190"/>
      <c r="AK857" s="190"/>
      <c r="AL857" s="190"/>
      <c r="AM857" s="603"/>
      <c r="AN857" s="190"/>
      <c r="AO857" s="190"/>
      <c r="AP857" s="190"/>
      <c r="AQ857" s="190"/>
      <c r="AR857" s="619"/>
      <c r="AS857" s="617"/>
    </row>
    <row r="858" spans="1:45">
      <c r="A858" s="190"/>
      <c r="B858" s="190"/>
      <c r="C858" s="190"/>
      <c r="D858" s="190"/>
      <c r="E858" s="190"/>
      <c r="F858" s="190"/>
      <c r="G858" s="190"/>
      <c r="H858" s="190"/>
      <c r="I858" s="190"/>
      <c r="J858" s="190"/>
      <c r="K858" s="190"/>
      <c r="L858" s="190"/>
      <c r="M858" s="190"/>
      <c r="N858" s="190"/>
      <c r="O858" s="190"/>
      <c r="P858" s="190"/>
      <c r="Q858" s="615"/>
      <c r="R858" s="588"/>
      <c r="S858" s="188"/>
      <c r="T858" s="190"/>
      <c r="U858" s="190"/>
      <c r="V858" s="190"/>
      <c r="W858" s="190"/>
      <c r="X858" s="190"/>
      <c r="Y858" s="190"/>
      <c r="Z858" s="190"/>
      <c r="AA858" s="190"/>
      <c r="AB858" s="190"/>
      <c r="AC858" s="190"/>
      <c r="AD858" s="190"/>
      <c r="AE858" s="190"/>
      <c r="AF858" s="190"/>
      <c r="AG858" s="190"/>
      <c r="AH858" s="190"/>
      <c r="AI858" s="190"/>
      <c r="AJ858" s="190"/>
      <c r="AK858" s="190"/>
      <c r="AL858" s="190"/>
      <c r="AM858" s="603"/>
      <c r="AN858" s="190"/>
      <c r="AO858" s="190"/>
      <c r="AP858" s="190"/>
      <c r="AQ858" s="190"/>
      <c r="AR858" s="619"/>
      <c r="AS858" s="617"/>
    </row>
    <row r="859" spans="1:45">
      <c r="A859" s="190"/>
      <c r="B859" s="190"/>
      <c r="C859" s="190"/>
      <c r="D859" s="190"/>
      <c r="E859" s="190"/>
      <c r="F859" s="190"/>
      <c r="G859" s="190"/>
      <c r="H859" s="190"/>
      <c r="I859" s="190"/>
      <c r="J859" s="190"/>
      <c r="K859" s="190"/>
      <c r="L859" s="190"/>
      <c r="M859" s="190"/>
      <c r="N859" s="190"/>
      <c r="O859" s="190"/>
      <c r="P859" s="190"/>
      <c r="Q859" s="615"/>
      <c r="R859" s="588"/>
      <c r="S859" s="188"/>
      <c r="T859" s="190"/>
      <c r="U859" s="190"/>
      <c r="V859" s="190"/>
      <c r="W859" s="190"/>
      <c r="X859" s="190"/>
      <c r="Y859" s="190"/>
      <c r="Z859" s="190"/>
      <c r="AA859" s="190"/>
      <c r="AB859" s="190"/>
      <c r="AC859" s="190"/>
      <c r="AD859" s="190"/>
      <c r="AE859" s="190"/>
      <c r="AF859" s="190"/>
      <c r="AG859" s="190"/>
      <c r="AH859" s="190"/>
      <c r="AI859" s="190"/>
      <c r="AJ859" s="190"/>
      <c r="AK859" s="190"/>
      <c r="AL859" s="190"/>
      <c r="AM859" s="603"/>
      <c r="AN859" s="190"/>
      <c r="AO859" s="190"/>
      <c r="AP859" s="190"/>
      <c r="AQ859" s="190"/>
      <c r="AR859" s="619"/>
      <c r="AS859" s="617"/>
    </row>
    <row r="860" spans="1:45">
      <c r="A860" s="190"/>
      <c r="B860" s="190"/>
      <c r="C860" s="190"/>
      <c r="D860" s="190"/>
      <c r="E860" s="190"/>
      <c r="F860" s="190"/>
      <c r="G860" s="190"/>
      <c r="H860" s="190"/>
      <c r="I860" s="190"/>
      <c r="J860" s="190"/>
      <c r="K860" s="190"/>
      <c r="L860" s="190"/>
      <c r="M860" s="190"/>
      <c r="N860" s="190"/>
      <c r="O860" s="190"/>
      <c r="P860" s="190"/>
      <c r="Q860" s="615"/>
      <c r="R860" s="588"/>
      <c r="S860" s="188"/>
      <c r="T860" s="190"/>
      <c r="U860" s="190"/>
      <c r="V860" s="190"/>
      <c r="W860" s="190"/>
      <c r="X860" s="190"/>
      <c r="Y860" s="190"/>
      <c r="Z860" s="190"/>
      <c r="AA860" s="190"/>
      <c r="AB860" s="190"/>
      <c r="AC860" s="190"/>
      <c r="AD860" s="190"/>
      <c r="AE860" s="190"/>
      <c r="AF860" s="190"/>
      <c r="AG860" s="190"/>
      <c r="AH860" s="190"/>
      <c r="AI860" s="190"/>
      <c r="AJ860" s="190"/>
      <c r="AK860" s="190"/>
      <c r="AL860" s="190"/>
      <c r="AM860" s="603"/>
      <c r="AN860" s="190"/>
      <c r="AO860" s="190"/>
      <c r="AP860" s="190"/>
      <c r="AQ860" s="190"/>
      <c r="AR860" s="619"/>
      <c r="AS860" s="617"/>
    </row>
    <row r="861" spans="1:45">
      <c r="A861" s="190"/>
      <c r="B861" s="190"/>
      <c r="C861" s="190"/>
      <c r="D861" s="190"/>
      <c r="E861" s="190"/>
      <c r="F861" s="190"/>
      <c r="G861" s="190"/>
      <c r="H861" s="190"/>
      <c r="I861" s="190"/>
      <c r="J861" s="190"/>
      <c r="K861" s="190"/>
      <c r="L861" s="190"/>
      <c r="M861" s="190"/>
      <c r="N861" s="190"/>
      <c r="O861" s="190"/>
      <c r="P861" s="190"/>
      <c r="Q861" s="615"/>
      <c r="R861" s="588"/>
      <c r="S861" s="188"/>
      <c r="T861" s="190"/>
      <c r="U861" s="190"/>
      <c r="V861" s="190"/>
      <c r="W861" s="190"/>
      <c r="X861" s="190"/>
      <c r="Y861" s="190"/>
      <c r="Z861" s="190"/>
      <c r="AA861" s="190"/>
      <c r="AB861" s="190"/>
      <c r="AC861" s="190"/>
      <c r="AD861" s="190"/>
      <c r="AE861" s="190"/>
      <c r="AF861" s="190"/>
      <c r="AG861" s="190"/>
      <c r="AH861" s="190"/>
      <c r="AI861" s="190"/>
      <c r="AJ861" s="190"/>
      <c r="AK861" s="190"/>
      <c r="AL861" s="190"/>
      <c r="AM861" s="603"/>
      <c r="AN861" s="190"/>
      <c r="AO861" s="190"/>
      <c r="AP861" s="190"/>
      <c r="AQ861" s="190"/>
      <c r="AR861" s="619"/>
      <c r="AS861" s="617"/>
    </row>
    <row r="862" spans="1:45">
      <c r="A862" s="190"/>
      <c r="B862" s="190"/>
      <c r="C862" s="190"/>
      <c r="D862" s="190"/>
      <c r="E862" s="190"/>
      <c r="F862" s="190"/>
      <c r="G862" s="190"/>
      <c r="H862" s="190"/>
      <c r="I862" s="190"/>
      <c r="J862" s="190"/>
      <c r="K862" s="190"/>
      <c r="L862" s="190"/>
      <c r="M862" s="190"/>
      <c r="N862" s="190"/>
      <c r="O862" s="190"/>
      <c r="P862" s="190"/>
      <c r="Q862" s="615"/>
      <c r="R862" s="588"/>
      <c r="S862" s="188"/>
      <c r="T862" s="190"/>
      <c r="U862" s="190"/>
      <c r="V862" s="190"/>
      <c r="W862" s="190"/>
      <c r="X862" s="190"/>
      <c r="Y862" s="190"/>
      <c r="Z862" s="190"/>
      <c r="AA862" s="190"/>
      <c r="AB862" s="190"/>
      <c r="AC862" s="190"/>
      <c r="AD862" s="190"/>
      <c r="AE862" s="190"/>
      <c r="AF862" s="190"/>
      <c r="AG862" s="190"/>
      <c r="AH862" s="190"/>
      <c r="AI862" s="190"/>
      <c r="AJ862" s="190"/>
      <c r="AK862" s="190"/>
      <c r="AL862" s="190"/>
      <c r="AM862" s="603"/>
      <c r="AN862" s="190"/>
      <c r="AO862" s="190"/>
      <c r="AP862" s="190"/>
      <c r="AQ862" s="190"/>
      <c r="AR862" s="619"/>
      <c r="AS862" s="617"/>
    </row>
    <row r="863" spans="1:45">
      <c r="A863" s="190"/>
      <c r="B863" s="190"/>
      <c r="C863" s="190"/>
      <c r="D863" s="190"/>
      <c r="E863" s="190"/>
      <c r="F863" s="190"/>
      <c r="G863" s="190"/>
      <c r="H863" s="190"/>
      <c r="I863" s="190"/>
      <c r="J863" s="190"/>
      <c r="K863" s="190"/>
      <c r="L863" s="190"/>
      <c r="M863" s="190"/>
      <c r="N863" s="190"/>
      <c r="O863" s="190"/>
      <c r="P863" s="190"/>
      <c r="Q863" s="190"/>
      <c r="R863" s="588"/>
      <c r="S863" s="188"/>
      <c r="T863" s="190"/>
      <c r="U863" s="190"/>
      <c r="V863" s="190"/>
      <c r="W863" s="190"/>
      <c r="X863" s="190"/>
      <c r="Y863" s="190"/>
      <c r="Z863" s="190"/>
      <c r="AA863" s="190"/>
      <c r="AB863" s="190"/>
      <c r="AC863" s="190"/>
      <c r="AD863" s="190"/>
      <c r="AE863" s="190"/>
      <c r="AF863" s="190"/>
      <c r="AG863" s="190"/>
      <c r="AH863" s="190"/>
      <c r="AI863" s="190"/>
      <c r="AJ863" s="190"/>
      <c r="AK863" s="190"/>
      <c r="AL863" s="190"/>
      <c r="AM863" s="603"/>
      <c r="AN863" s="190"/>
      <c r="AO863" s="190"/>
      <c r="AP863" s="190"/>
      <c r="AQ863" s="190"/>
      <c r="AR863" s="619"/>
      <c r="AS863" s="617"/>
    </row>
    <row r="864" spans="1:45">
      <c r="A864" s="190"/>
      <c r="B864" s="190"/>
      <c r="C864" s="190"/>
      <c r="D864" s="190"/>
      <c r="E864" s="190"/>
      <c r="F864" s="190"/>
      <c r="G864" s="190"/>
      <c r="H864" s="190"/>
      <c r="I864" s="190"/>
      <c r="J864" s="190"/>
      <c r="K864" s="190"/>
      <c r="L864" s="190"/>
      <c r="M864" s="190"/>
      <c r="N864" s="190"/>
      <c r="O864" s="190"/>
      <c r="P864" s="190"/>
      <c r="Q864" s="190"/>
      <c r="R864" s="588"/>
      <c r="S864" s="188"/>
      <c r="T864" s="190"/>
      <c r="U864" s="190"/>
      <c r="V864" s="190"/>
      <c r="W864" s="190"/>
      <c r="X864" s="190"/>
      <c r="Y864" s="190"/>
      <c r="Z864" s="190"/>
      <c r="AA864" s="190"/>
      <c r="AB864" s="190"/>
      <c r="AC864" s="190"/>
      <c r="AD864" s="190"/>
      <c r="AE864" s="190"/>
      <c r="AF864" s="190"/>
      <c r="AG864" s="190"/>
      <c r="AH864" s="190"/>
      <c r="AI864" s="190"/>
      <c r="AJ864" s="190"/>
      <c r="AK864" s="190"/>
      <c r="AL864" s="190"/>
      <c r="AM864" s="603"/>
      <c r="AN864" s="190"/>
      <c r="AO864" s="190"/>
      <c r="AP864" s="190"/>
      <c r="AQ864" s="190"/>
      <c r="AR864" s="619"/>
      <c r="AS864" s="617"/>
    </row>
    <row r="865" spans="1:45">
      <c r="A865" s="190"/>
      <c r="B865" s="190"/>
      <c r="C865" s="190"/>
      <c r="D865" s="190"/>
      <c r="E865" s="190"/>
      <c r="F865" s="190"/>
      <c r="G865" s="190"/>
      <c r="H865" s="190"/>
      <c r="I865" s="190"/>
      <c r="J865" s="190"/>
      <c r="K865" s="190"/>
      <c r="L865" s="190"/>
      <c r="M865" s="190"/>
      <c r="N865" s="190"/>
      <c r="O865" s="190"/>
      <c r="P865" s="190"/>
      <c r="Q865" s="190"/>
      <c r="R865" s="588"/>
      <c r="S865" s="188"/>
      <c r="T865" s="190"/>
      <c r="U865" s="190"/>
      <c r="V865" s="190"/>
      <c r="W865" s="190"/>
      <c r="X865" s="190"/>
      <c r="Y865" s="190"/>
      <c r="Z865" s="190"/>
      <c r="AA865" s="190"/>
      <c r="AB865" s="190"/>
      <c r="AC865" s="190"/>
      <c r="AD865" s="190"/>
      <c r="AE865" s="190"/>
      <c r="AF865" s="190"/>
      <c r="AG865" s="190"/>
      <c r="AH865" s="190"/>
      <c r="AI865" s="190"/>
      <c r="AJ865" s="190"/>
      <c r="AK865" s="190"/>
      <c r="AL865" s="190"/>
      <c r="AM865" s="603"/>
      <c r="AN865" s="190"/>
      <c r="AO865" s="190"/>
      <c r="AP865" s="190"/>
      <c r="AQ865" s="190"/>
      <c r="AR865" s="619"/>
      <c r="AS865" s="617"/>
    </row>
    <row r="866" spans="1:45">
      <c r="A866" s="190"/>
      <c r="B866" s="190"/>
      <c r="C866" s="190"/>
      <c r="D866" s="190"/>
      <c r="E866" s="190"/>
      <c r="F866" s="190"/>
      <c r="G866" s="190"/>
      <c r="H866" s="190"/>
      <c r="I866" s="190"/>
      <c r="J866" s="190"/>
      <c r="K866" s="190"/>
      <c r="L866" s="190"/>
      <c r="M866" s="190"/>
      <c r="N866" s="190"/>
      <c r="O866" s="190"/>
      <c r="P866" s="190"/>
      <c r="Q866" s="190"/>
      <c r="R866" s="588"/>
      <c r="S866" s="188"/>
      <c r="T866" s="190"/>
      <c r="U866" s="190"/>
      <c r="V866" s="190"/>
      <c r="W866" s="190"/>
      <c r="X866" s="190"/>
      <c r="Y866" s="190"/>
      <c r="Z866" s="190"/>
      <c r="AA866" s="190"/>
      <c r="AB866" s="190"/>
      <c r="AC866" s="190"/>
      <c r="AD866" s="190"/>
      <c r="AE866" s="190"/>
      <c r="AF866" s="190"/>
      <c r="AG866" s="190"/>
      <c r="AH866" s="190"/>
      <c r="AI866" s="190"/>
      <c r="AJ866" s="190"/>
      <c r="AK866" s="190"/>
      <c r="AL866" s="190"/>
      <c r="AM866" s="603"/>
      <c r="AN866" s="190"/>
      <c r="AO866" s="190"/>
      <c r="AP866" s="190"/>
      <c r="AQ866" s="190"/>
      <c r="AR866" s="619"/>
      <c r="AS866" s="617"/>
    </row>
    <row r="867" spans="1:45">
      <c r="A867" s="190"/>
      <c r="B867" s="190"/>
      <c r="C867" s="190"/>
      <c r="D867" s="190"/>
      <c r="E867" s="190"/>
      <c r="F867" s="190"/>
      <c r="G867" s="190"/>
      <c r="H867" s="190"/>
      <c r="I867" s="190"/>
      <c r="J867" s="190"/>
      <c r="K867" s="190"/>
      <c r="L867" s="190"/>
      <c r="M867" s="190"/>
      <c r="N867" s="190"/>
      <c r="O867" s="190"/>
      <c r="P867" s="190"/>
      <c r="Q867" s="190"/>
      <c r="R867" s="588"/>
      <c r="S867" s="188"/>
      <c r="T867" s="190"/>
      <c r="U867" s="190"/>
      <c r="V867" s="190"/>
      <c r="W867" s="190"/>
      <c r="X867" s="190"/>
      <c r="Y867" s="190"/>
      <c r="Z867" s="190"/>
      <c r="AA867" s="190"/>
      <c r="AB867" s="190"/>
      <c r="AC867" s="190"/>
      <c r="AD867" s="190"/>
      <c r="AE867" s="190"/>
      <c r="AF867" s="190"/>
      <c r="AG867" s="190"/>
      <c r="AH867" s="190"/>
      <c r="AI867" s="190"/>
      <c r="AJ867" s="190"/>
      <c r="AK867" s="190"/>
      <c r="AL867" s="190"/>
      <c r="AM867" s="603"/>
      <c r="AN867" s="190"/>
      <c r="AO867" s="190"/>
      <c r="AP867" s="190"/>
      <c r="AQ867" s="190"/>
      <c r="AR867" s="619"/>
      <c r="AS867" s="617"/>
    </row>
    <row r="868" spans="1:45">
      <c r="A868" s="190"/>
      <c r="B868" s="190"/>
      <c r="C868" s="190"/>
      <c r="D868" s="190"/>
      <c r="E868" s="190"/>
      <c r="F868" s="190"/>
      <c r="G868" s="190"/>
      <c r="H868" s="190"/>
      <c r="I868" s="190"/>
      <c r="J868" s="190"/>
      <c r="K868" s="190"/>
      <c r="L868" s="190"/>
      <c r="M868" s="190"/>
      <c r="N868" s="190"/>
      <c r="O868" s="190"/>
      <c r="P868" s="190"/>
      <c r="Q868" s="190"/>
      <c r="R868" s="588"/>
      <c r="S868" s="188"/>
      <c r="T868" s="190"/>
      <c r="U868" s="190"/>
      <c r="V868" s="190"/>
      <c r="W868" s="190"/>
      <c r="X868" s="190"/>
      <c r="Y868" s="190"/>
      <c r="Z868" s="190"/>
      <c r="AA868" s="190"/>
      <c r="AB868" s="190"/>
      <c r="AC868" s="190"/>
      <c r="AD868" s="190"/>
      <c r="AE868" s="190"/>
      <c r="AF868" s="190"/>
      <c r="AG868" s="190"/>
      <c r="AH868" s="190"/>
      <c r="AI868" s="190"/>
      <c r="AJ868" s="190"/>
      <c r="AK868" s="190"/>
      <c r="AL868" s="190"/>
      <c r="AM868" s="603"/>
      <c r="AN868" s="190"/>
      <c r="AO868" s="190"/>
      <c r="AP868" s="190"/>
      <c r="AQ868" s="190"/>
      <c r="AR868" s="619"/>
      <c r="AS868" s="617"/>
    </row>
    <row r="869" spans="1:45">
      <c r="A869" s="190"/>
      <c r="B869" s="190"/>
      <c r="C869" s="190"/>
      <c r="D869" s="190"/>
      <c r="E869" s="190"/>
      <c r="F869" s="190"/>
      <c r="G869" s="190"/>
      <c r="H869" s="190"/>
      <c r="I869" s="190"/>
      <c r="J869" s="190"/>
      <c r="K869" s="190"/>
      <c r="L869" s="190"/>
      <c r="M869" s="190"/>
      <c r="N869" s="190"/>
      <c r="O869" s="190"/>
      <c r="P869" s="190"/>
      <c r="Q869" s="190"/>
      <c r="R869" s="588"/>
      <c r="S869" s="188"/>
      <c r="T869" s="190"/>
      <c r="U869" s="190"/>
      <c r="V869" s="190"/>
      <c r="W869" s="190"/>
      <c r="X869" s="190"/>
      <c r="Y869" s="190"/>
      <c r="Z869" s="190"/>
      <c r="AA869" s="190"/>
      <c r="AB869" s="190"/>
      <c r="AC869" s="190"/>
      <c r="AD869" s="190"/>
      <c r="AE869" s="190"/>
      <c r="AF869" s="190"/>
      <c r="AG869" s="190"/>
      <c r="AH869" s="190"/>
      <c r="AI869" s="190"/>
      <c r="AJ869" s="190"/>
      <c r="AK869" s="190"/>
      <c r="AL869" s="190"/>
      <c r="AM869" s="603"/>
      <c r="AN869" s="190"/>
      <c r="AO869" s="190"/>
      <c r="AP869" s="190"/>
      <c r="AQ869" s="190"/>
      <c r="AR869" s="619"/>
      <c r="AS869" s="617"/>
    </row>
    <row r="870" spans="1:45">
      <c r="A870" s="190"/>
      <c r="B870" s="190"/>
      <c r="C870" s="190"/>
      <c r="D870" s="190"/>
      <c r="E870" s="190"/>
      <c r="F870" s="190"/>
      <c r="G870" s="190"/>
      <c r="H870" s="190"/>
      <c r="I870" s="190"/>
      <c r="J870" s="190"/>
      <c r="K870" s="190"/>
      <c r="L870" s="190"/>
      <c r="M870" s="190"/>
      <c r="N870" s="190"/>
      <c r="O870" s="190"/>
      <c r="P870" s="190"/>
      <c r="Q870" s="190"/>
      <c r="R870" s="588"/>
      <c r="S870" s="188"/>
      <c r="T870" s="190"/>
      <c r="U870" s="190"/>
      <c r="V870" s="190"/>
      <c r="W870" s="190"/>
      <c r="X870" s="190"/>
      <c r="Y870" s="190"/>
      <c r="Z870" s="190"/>
      <c r="AA870" s="190"/>
      <c r="AB870" s="190"/>
      <c r="AC870" s="190"/>
      <c r="AD870" s="190"/>
      <c r="AE870" s="190"/>
      <c r="AF870" s="190"/>
      <c r="AG870" s="190"/>
      <c r="AH870" s="190"/>
      <c r="AI870" s="190"/>
      <c r="AJ870" s="190"/>
      <c r="AK870" s="190"/>
      <c r="AL870" s="190"/>
      <c r="AM870" s="603"/>
      <c r="AN870" s="190"/>
      <c r="AO870" s="190"/>
      <c r="AP870" s="190"/>
      <c r="AQ870" s="190"/>
      <c r="AR870" s="619"/>
      <c r="AS870" s="617"/>
    </row>
    <row r="871" spans="1:45">
      <c r="A871" s="190"/>
      <c r="B871" s="190"/>
      <c r="C871" s="190"/>
      <c r="D871" s="190"/>
      <c r="E871" s="190"/>
      <c r="F871" s="190"/>
      <c r="G871" s="190"/>
      <c r="H871" s="190"/>
      <c r="I871" s="190"/>
      <c r="J871" s="190"/>
      <c r="K871" s="190"/>
      <c r="L871" s="190"/>
      <c r="M871" s="190"/>
      <c r="N871" s="190"/>
      <c r="O871" s="190"/>
      <c r="P871" s="190"/>
      <c r="Q871" s="190"/>
      <c r="R871" s="588"/>
      <c r="S871" s="188"/>
      <c r="T871" s="190"/>
      <c r="U871" s="190"/>
      <c r="V871" s="190"/>
      <c r="W871" s="190"/>
      <c r="X871" s="190"/>
      <c r="Y871" s="190"/>
      <c r="Z871" s="190"/>
      <c r="AA871" s="190"/>
      <c r="AB871" s="190"/>
      <c r="AC871" s="190"/>
      <c r="AD871" s="190"/>
      <c r="AE871" s="190"/>
      <c r="AF871" s="190"/>
      <c r="AG871" s="190"/>
      <c r="AH871" s="190"/>
      <c r="AI871" s="190"/>
      <c r="AJ871" s="190"/>
      <c r="AK871" s="190"/>
      <c r="AL871" s="190"/>
      <c r="AM871" s="603"/>
      <c r="AN871" s="190"/>
      <c r="AO871" s="190"/>
      <c r="AP871" s="190"/>
      <c r="AQ871" s="190"/>
      <c r="AR871" s="619"/>
      <c r="AS871" s="617"/>
    </row>
    <row r="872" spans="1:45">
      <c r="A872" s="190"/>
      <c r="B872" s="190"/>
      <c r="C872" s="190"/>
      <c r="D872" s="190"/>
      <c r="E872" s="190"/>
      <c r="F872" s="190"/>
      <c r="G872" s="190"/>
      <c r="H872" s="190"/>
      <c r="I872" s="190"/>
      <c r="J872" s="190"/>
      <c r="K872" s="190"/>
      <c r="L872" s="190"/>
      <c r="M872" s="190"/>
      <c r="N872" s="190"/>
      <c r="O872" s="190"/>
      <c r="P872" s="190"/>
      <c r="Q872" s="190"/>
      <c r="R872" s="588"/>
      <c r="S872" s="188"/>
      <c r="T872" s="190"/>
      <c r="U872" s="190"/>
      <c r="V872" s="190"/>
      <c r="W872" s="190"/>
      <c r="X872" s="190"/>
      <c r="Y872" s="190"/>
      <c r="Z872" s="190"/>
      <c r="AA872" s="190"/>
      <c r="AB872" s="190"/>
      <c r="AC872" s="190"/>
      <c r="AD872" s="190"/>
      <c r="AE872" s="190"/>
      <c r="AF872" s="190"/>
      <c r="AG872" s="190"/>
      <c r="AH872" s="190"/>
      <c r="AI872" s="190"/>
      <c r="AJ872" s="190"/>
      <c r="AK872" s="190"/>
      <c r="AL872" s="190"/>
      <c r="AM872" s="603"/>
      <c r="AN872" s="190"/>
      <c r="AO872" s="190"/>
      <c r="AP872" s="190"/>
      <c r="AQ872" s="190"/>
      <c r="AR872" s="619"/>
      <c r="AS872" s="617"/>
    </row>
    <row r="873" spans="1:45">
      <c r="A873" s="190"/>
      <c r="B873" s="190"/>
      <c r="C873" s="190"/>
      <c r="D873" s="190"/>
      <c r="E873" s="190"/>
      <c r="F873" s="190"/>
      <c r="G873" s="190"/>
      <c r="H873" s="190"/>
      <c r="I873" s="190"/>
      <c r="J873" s="190"/>
      <c r="K873" s="190"/>
      <c r="L873" s="190"/>
      <c r="M873" s="190"/>
      <c r="N873" s="190"/>
      <c r="O873" s="190"/>
      <c r="P873" s="190"/>
      <c r="Q873" s="190"/>
      <c r="R873" s="588"/>
      <c r="S873" s="188"/>
      <c r="T873" s="190"/>
      <c r="U873" s="190"/>
      <c r="V873" s="190"/>
      <c r="W873" s="190"/>
      <c r="X873" s="190"/>
      <c r="Y873" s="190"/>
      <c r="Z873" s="190"/>
      <c r="AA873" s="190"/>
      <c r="AB873" s="190"/>
      <c r="AC873" s="190"/>
      <c r="AD873" s="190"/>
      <c r="AE873" s="190"/>
      <c r="AF873" s="190"/>
      <c r="AG873" s="190"/>
      <c r="AH873" s="190"/>
      <c r="AI873" s="190"/>
      <c r="AJ873" s="190"/>
      <c r="AK873" s="190"/>
      <c r="AL873" s="190"/>
      <c r="AM873" s="603"/>
      <c r="AN873" s="190"/>
      <c r="AO873" s="190"/>
      <c r="AP873" s="190"/>
      <c r="AQ873" s="190"/>
      <c r="AR873" s="619"/>
      <c r="AS873" s="617"/>
    </row>
    <row r="874" spans="1:45">
      <c r="A874" s="190"/>
      <c r="B874" s="190"/>
      <c r="C874" s="190"/>
      <c r="D874" s="190"/>
      <c r="E874" s="190"/>
      <c r="F874" s="190"/>
      <c r="G874" s="190"/>
      <c r="H874" s="190"/>
      <c r="I874" s="190"/>
      <c r="J874" s="190"/>
      <c r="K874" s="190"/>
      <c r="L874" s="190"/>
      <c r="M874" s="190"/>
      <c r="N874" s="190"/>
      <c r="O874" s="190"/>
      <c r="P874" s="190"/>
      <c r="Q874" s="190"/>
      <c r="R874" s="588"/>
      <c r="S874" s="188"/>
      <c r="T874" s="190"/>
      <c r="U874" s="190"/>
      <c r="V874" s="190"/>
      <c r="W874" s="190"/>
      <c r="X874" s="190"/>
      <c r="Y874" s="190"/>
      <c r="Z874" s="190"/>
      <c r="AA874" s="190"/>
      <c r="AB874" s="190"/>
      <c r="AC874" s="190"/>
      <c r="AD874" s="190"/>
      <c r="AE874" s="190"/>
      <c r="AF874" s="190"/>
      <c r="AG874" s="190"/>
      <c r="AH874" s="190"/>
      <c r="AI874" s="190"/>
      <c r="AJ874" s="190"/>
      <c r="AK874" s="190"/>
      <c r="AL874" s="190"/>
      <c r="AM874" s="603"/>
      <c r="AN874" s="190"/>
      <c r="AO874" s="190"/>
      <c r="AP874" s="190"/>
      <c r="AQ874" s="190"/>
      <c r="AR874" s="619"/>
      <c r="AS874" s="617"/>
    </row>
    <row r="875" spans="1:45">
      <c r="A875" s="190"/>
      <c r="B875" s="190"/>
      <c r="C875" s="190"/>
      <c r="D875" s="190"/>
      <c r="E875" s="190"/>
      <c r="F875" s="190"/>
      <c r="G875" s="190"/>
      <c r="H875" s="190"/>
      <c r="I875" s="190"/>
      <c r="J875" s="190"/>
      <c r="K875" s="190"/>
      <c r="L875" s="190"/>
      <c r="M875" s="190"/>
      <c r="N875" s="190"/>
      <c r="O875" s="190"/>
      <c r="P875" s="190"/>
      <c r="Q875" s="190"/>
      <c r="R875" s="588"/>
      <c r="S875" s="188"/>
      <c r="T875" s="190"/>
      <c r="U875" s="190"/>
      <c r="V875" s="190"/>
      <c r="W875" s="190"/>
      <c r="X875" s="190"/>
      <c r="Y875" s="190"/>
      <c r="Z875" s="190"/>
      <c r="AA875" s="190"/>
      <c r="AB875" s="190"/>
      <c r="AC875" s="190"/>
      <c r="AD875" s="190"/>
      <c r="AE875" s="190"/>
      <c r="AF875" s="190"/>
      <c r="AG875" s="190"/>
      <c r="AH875" s="190"/>
      <c r="AI875" s="190"/>
      <c r="AJ875" s="190"/>
      <c r="AK875" s="190"/>
      <c r="AL875" s="190"/>
      <c r="AM875" s="603"/>
      <c r="AN875" s="190"/>
      <c r="AO875" s="190"/>
      <c r="AP875" s="190"/>
      <c r="AQ875" s="190"/>
      <c r="AR875" s="619"/>
      <c r="AS875" s="617"/>
    </row>
    <row r="876" spans="1:45">
      <c r="A876" s="190"/>
      <c r="B876" s="190"/>
      <c r="C876" s="190"/>
      <c r="D876" s="190"/>
      <c r="E876" s="190"/>
      <c r="F876" s="190"/>
      <c r="G876" s="190"/>
      <c r="H876" s="190"/>
      <c r="I876" s="190"/>
      <c r="J876" s="190"/>
      <c r="K876" s="190"/>
      <c r="L876" s="190"/>
      <c r="M876" s="190"/>
      <c r="N876" s="190"/>
      <c r="O876" s="190"/>
      <c r="P876" s="190"/>
      <c r="Q876" s="190"/>
      <c r="R876" s="588"/>
      <c r="S876" s="188"/>
      <c r="T876" s="190"/>
      <c r="U876" s="190"/>
      <c r="V876" s="190"/>
      <c r="W876" s="190"/>
      <c r="X876" s="190"/>
      <c r="Y876" s="190"/>
      <c r="Z876" s="190"/>
      <c r="AA876" s="190"/>
      <c r="AB876" s="190"/>
      <c r="AC876" s="190"/>
      <c r="AD876" s="190"/>
      <c r="AE876" s="190"/>
      <c r="AF876" s="190"/>
      <c r="AG876" s="190"/>
      <c r="AH876" s="190"/>
      <c r="AI876" s="190"/>
      <c r="AJ876" s="190"/>
      <c r="AK876" s="190"/>
      <c r="AL876" s="190"/>
      <c r="AM876" s="603"/>
      <c r="AN876" s="190"/>
      <c r="AO876" s="190"/>
      <c r="AP876" s="190"/>
      <c r="AQ876" s="190"/>
      <c r="AR876" s="619"/>
      <c r="AS876" s="617"/>
    </row>
    <row r="877" spans="1:45">
      <c r="A877" s="190"/>
      <c r="B877" s="190"/>
      <c r="C877" s="190"/>
      <c r="D877" s="190"/>
      <c r="E877" s="190"/>
      <c r="F877" s="190"/>
      <c r="G877" s="190"/>
      <c r="H877" s="190"/>
      <c r="I877" s="190"/>
      <c r="J877" s="190"/>
      <c r="K877" s="190"/>
      <c r="L877" s="190"/>
      <c r="M877" s="190"/>
      <c r="N877" s="190"/>
      <c r="O877" s="190"/>
      <c r="P877" s="190"/>
      <c r="Q877" s="190"/>
      <c r="R877" s="588"/>
      <c r="S877" s="188"/>
      <c r="T877" s="190"/>
      <c r="U877" s="190"/>
      <c r="V877" s="190"/>
      <c r="W877" s="190"/>
      <c r="X877" s="190"/>
      <c r="Y877" s="190"/>
      <c r="Z877" s="190"/>
      <c r="AA877" s="190"/>
      <c r="AB877" s="190"/>
      <c r="AC877" s="190"/>
      <c r="AD877" s="190"/>
      <c r="AE877" s="190"/>
      <c r="AF877" s="190"/>
      <c r="AG877" s="190"/>
      <c r="AH877" s="190"/>
      <c r="AI877" s="190"/>
      <c r="AJ877" s="190"/>
      <c r="AK877" s="190"/>
      <c r="AL877" s="190"/>
      <c r="AM877" s="603"/>
      <c r="AN877" s="190"/>
      <c r="AO877" s="190"/>
      <c r="AP877" s="190"/>
      <c r="AQ877" s="190"/>
      <c r="AR877" s="619"/>
      <c r="AS877" s="617"/>
    </row>
    <row r="878" spans="1:45">
      <c r="A878" s="190"/>
      <c r="B878" s="190"/>
      <c r="C878" s="190"/>
      <c r="D878" s="190"/>
      <c r="E878" s="190"/>
      <c r="F878" s="190"/>
      <c r="G878" s="190"/>
      <c r="H878" s="190"/>
      <c r="I878" s="190"/>
      <c r="J878" s="190"/>
      <c r="K878" s="190"/>
      <c r="L878" s="190"/>
      <c r="M878" s="190"/>
      <c r="N878" s="190"/>
      <c r="O878" s="190"/>
      <c r="P878" s="190"/>
      <c r="Q878" s="190"/>
      <c r="R878" s="588"/>
      <c r="S878" s="188"/>
      <c r="T878" s="190"/>
      <c r="U878" s="190"/>
      <c r="V878" s="190"/>
      <c r="W878" s="190"/>
      <c r="X878" s="190"/>
      <c r="Y878" s="190"/>
      <c r="Z878" s="190"/>
      <c r="AA878" s="190"/>
      <c r="AB878" s="190"/>
      <c r="AC878" s="190"/>
      <c r="AD878" s="190"/>
      <c r="AE878" s="190"/>
      <c r="AF878" s="190"/>
      <c r="AG878" s="190"/>
      <c r="AH878" s="190"/>
      <c r="AI878" s="190"/>
      <c r="AJ878" s="190"/>
      <c r="AK878" s="190"/>
      <c r="AL878" s="190"/>
      <c r="AM878" s="603"/>
      <c r="AN878" s="190"/>
      <c r="AO878" s="190"/>
      <c r="AP878" s="190"/>
      <c r="AQ878" s="190"/>
      <c r="AR878" s="619"/>
      <c r="AS878" s="617"/>
    </row>
    <row r="879" spans="1:45">
      <c r="A879" s="190"/>
      <c r="B879" s="190"/>
      <c r="C879" s="190"/>
      <c r="D879" s="190"/>
      <c r="E879" s="190"/>
      <c r="F879" s="190"/>
      <c r="G879" s="190"/>
      <c r="H879" s="190"/>
      <c r="I879" s="190"/>
      <c r="J879" s="190"/>
      <c r="K879" s="190"/>
      <c r="L879" s="190"/>
      <c r="M879" s="190"/>
      <c r="N879" s="190"/>
      <c r="O879" s="190"/>
      <c r="P879" s="190"/>
      <c r="Q879" s="190"/>
      <c r="R879" s="588"/>
      <c r="S879" s="188"/>
      <c r="T879" s="190"/>
      <c r="U879" s="190"/>
      <c r="V879" s="190"/>
      <c r="W879" s="190"/>
      <c r="X879" s="190"/>
      <c r="Y879" s="190"/>
      <c r="Z879" s="190"/>
      <c r="AA879" s="190"/>
      <c r="AB879" s="190"/>
      <c r="AC879" s="190"/>
      <c r="AD879" s="190"/>
      <c r="AE879" s="190"/>
      <c r="AF879" s="190"/>
      <c r="AG879" s="190"/>
      <c r="AH879" s="190"/>
      <c r="AI879" s="190"/>
      <c r="AJ879" s="190"/>
      <c r="AK879" s="190"/>
      <c r="AL879" s="190"/>
      <c r="AM879" s="603"/>
      <c r="AN879" s="190"/>
      <c r="AO879" s="190"/>
      <c r="AP879" s="190"/>
      <c r="AQ879" s="190"/>
      <c r="AR879" s="619"/>
      <c r="AS879" s="617"/>
    </row>
    <row r="880" spans="1:45">
      <c r="A880" s="190"/>
      <c r="B880" s="190"/>
      <c r="C880" s="190"/>
      <c r="D880" s="190"/>
      <c r="E880" s="190"/>
      <c r="F880" s="190"/>
      <c r="G880" s="190"/>
      <c r="H880" s="190"/>
      <c r="I880" s="190"/>
      <c r="J880" s="190"/>
      <c r="K880" s="190"/>
      <c r="L880" s="190"/>
      <c r="M880" s="190"/>
      <c r="N880" s="190"/>
      <c r="O880" s="190"/>
      <c r="P880" s="190"/>
      <c r="Q880" s="190"/>
      <c r="R880" s="588"/>
      <c r="S880" s="188"/>
      <c r="T880" s="190"/>
      <c r="U880" s="190"/>
      <c r="V880" s="190"/>
      <c r="W880" s="190"/>
      <c r="X880" s="190"/>
      <c r="Y880" s="190"/>
      <c r="Z880" s="190"/>
      <c r="AA880" s="190"/>
      <c r="AB880" s="190"/>
      <c r="AC880" s="190"/>
      <c r="AD880" s="190"/>
      <c r="AE880" s="190"/>
      <c r="AF880" s="190"/>
      <c r="AG880" s="190"/>
      <c r="AH880" s="190"/>
      <c r="AI880" s="190"/>
      <c r="AJ880" s="190"/>
      <c r="AK880" s="190"/>
      <c r="AL880" s="190"/>
      <c r="AM880" s="603"/>
      <c r="AN880" s="190"/>
      <c r="AO880" s="190"/>
      <c r="AP880" s="190"/>
      <c r="AQ880" s="190"/>
      <c r="AR880" s="619"/>
      <c r="AS880" s="617"/>
    </row>
    <row r="881" spans="1:45">
      <c r="A881" s="190"/>
      <c r="B881" s="190"/>
      <c r="C881" s="190"/>
      <c r="D881" s="190"/>
      <c r="E881" s="190"/>
      <c r="F881" s="190"/>
      <c r="G881" s="190"/>
      <c r="H881" s="190"/>
      <c r="I881" s="190"/>
      <c r="J881" s="190"/>
      <c r="K881" s="190"/>
      <c r="L881" s="190"/>
      <c r="M881" s="190"/>
      <c r="N881" s="190"/>
      <c r="O881" s="190"/>
      <c r="P881" s="190"/>
      <c r="Q881" s="190"/>
      <c r="R881" s="588"/>
      <c r="S881" s="188"/>
      <c r="T881" s="190"/>
      <c r="U881" s="190"/>
      <c r="V881" s="190"/>
      <c r="W881" s="190"/>
      <c r="X881" s="190"/>
      <c r="Y881" s="190"/>
      <c r="Z881" s="190"/>
      <c r="AA881" s="190"/>
      <c r="AB881" s="190"/>
      <c r="AC881" s="190"/>
      <c r="AD881" s="190"/>
      <c r="AE881" s="190"/>
      <c r="AF881" s="190"/>
      <c r="AG881" s="190"/>
      <c r="AH881" s="190"/>
      <c r="AI881" s="190"/>
      <c r="AJ881" s="190"/>
      <c r="AK881" s="190"/>
      <c r="AL881" s="190"/>
      <c r="AM881" s="603"/>
      <c r="AN881" s="190"/>
      <c r="AO881" s="190"/>
      <c r="AP881" s="190"/>
      <c r="AQ881" s="190"/>
      <c r="AR881" s="619"/>
      <c r="AS881" s="617"/>
    </row>
    <row r="882" spans="1:45">
      <c r="A882" s="190"/>
      <c r="B882" s="190"/>
      <c r="C882" s="190"/>
      <c r="D882" s="190"/>
      <c r="E882" s="190"/>
      <c r="F882" s="190"/>
      <c r="G882" s="190"/>
      <c r="H882" s="190"/>
      <c r="I882" s="190"/>
      <c r="J882" s="190"/>
      <c r="K882" s="190"/>
      <c r="L882" s="190"/>
      <c r="M882" s="190"/>
      <c r="N882" s="190"/>
      <c r="O882" s="190"/>
      <c r="P882" s="190"/>
      <c r="Q882" s="190"/>
      <c r="R882" s="588"/>
      <c r="S882" s="188"/>
      <c r="T882" s="190"/>
      <c r="U882" s="190"/>
      <c r="V882" s="190"/>
      <c r="W882" s="190"/>
      <c r="X882" s="190"/>
      <c r="Y882" s="190"/>
      <c r="Z882" s="190"/>
      <c r="AA882" s="190"/>
      <c r="AB882" s="190"/>
      <c r="AC882" s="190"/>
      <c r="AD882" s="190"/>
      <c r="AE882" s="190"/>
      <c r="AF882" s="190"/>
      <c r="AG882" s="190"/>
      <c r="AH882" s="190"/>
      <c r="AI882" s="190"/>
      <c r="AJ882" s="190"/>
      <c r="AK882" s="190"/>
      <c r="AL882" s="190"/>
      <c r="AM882" s="603"/>
      <c r="AN882" s="190"/>
      <c r="AO882" s="190"/>
      <c r="AP882" s="190"/>
      <c r="AQ882" s="190"/>
      <c r="AR882" s="619"/>
      <c r="AS882" s="617"/>
    </row>
    <row r="883" spans="1:45">
      <c r="A883" s="190"/>
      <c r="B883" s="190"/>
      <c r="C883" s="190"/>
      <c r="D883" s="190"/>
      <c r="E883" s="190"/>
      <c r="F883" s="190"/>
      <c r="G883" s="190"/>
      <c r="H883" s="190"/>
      <c r="I883" s="190"/>
      <c r="J883" s="190"/>
      <c r="K883" s="190"/>
      <c r="L883" s="190"/>
      <c r="M883" s="190"/>
      <c r="N883" s="190"/>
      <c r="O883" s="190"/>
      <c r="P883" s="190"/>
      <c r="Q883" s="190"/>
      <c r="R883" s="588"/>
      <c r="S883" s="188"/>
      <c r="T883" s="190"/>
      <c r="U883" s="190"/>
      <c r="V883" s="190"/>
      <c r="W883" s="190"/>
      <c r="X883" s="190"/>
      <c r="Y883" s="190"/>
      <c r="Z883" s="190"/>
      <c r="AA883" s="190"/>
      <c r="AB883" s="190"/>
      <c r="AC883" s="190"/>
      <c r="AD883" s="190"/>
      <c r="AE883" s="190"/>
      <c r="AF883" s="190"/>
      <c r="AG883" s="190"/>
      <c r="AH883" s="190"/>
      <c r="AI883" s="190"/>
      <c r="AJ883" s="190"/>
      <c r="AK883" s="190"/>
      <c r="AL883" s="190"/>
      <c r="AM883" s="603"/>
      <c r="AN883" s="190"/>
      <c r="AO883" s="190"/>
      <c r="AP883" s="190"/>
      <c r="AQ883" s="190"/>
      <c r="AR883" s="619"/>
      <c r="AS883" s="617"/>
    </row>
    <row r="884" spans="1:45">
      <c r="A884" s="190"/>
      <c r="B884" s="190"/>
      <c r="C884" s="190"/>
      <c r="D884" s="190"/>
      <c r="E884" s="190"/>
      <c r="F884" s="190"/>
      <c r="G884" s="190"/>
      <c r="H884" s="190"/>
      <c r="I884" s="190"/>
      <c r="J884" s="190"/>
      <c r="K884" s="190"/>
      <c r="L884" s="190"/>
      <c r="M884" s="190"/>
      <c r="N884" s="190"/>
      <c r="O884" s="190"/>
      <c r="P884" s="190"/>
      <c r="Q884" s="190"/>
      <c r="R884" s="588"/>
      <c r="S884" s="188"/>
      <c r="T884" s="190"/>
      <c r="U884" s="190"/>
      <c r="V884" s="190"/>
      <c r="W884" s="190"/>
      <c r="X884" s="190"/>
      <c r="Y884" s="190"/>
      <c r="Z884" s="190"/>
      <c r="AA884" s="190"/>
      <c r="AB884" s="190"/>
      <c r="AC884" s="190"/>
      <c r="AD884" s="190"/>
      <c r="AE884" s="190"/>
      <c r="AF884" s="190"/>
      <c r="AG884" s="190"/>
      <c r="AH884" s="190"/>
      <c r="AI884" s="190"/>
      <c r="AJ884" s="190"/>
      <c r="AK884" s="190"/>
      <c r="AL884" s="190"/>
      <c r="AM884" s="603"/>
      <c r="AN884" s="190"/>
      <c r="AO884" s="190"/>
      <c r="AP884" s="190"/>
      <c r="AQ884" s="190"/>
      <c r="AR884" s="619"/>
      <c r="AS884" s="617"/>
    </row>
    <row r="885" spans="1:45">
      <c r="A885" s="190"/>
      <c r="B885" s="190"/>
      <c r="C885" s="190"/>
      <c r="D885" s="190"/>
      <c r="E885" s="190"/>
      <c r="F885" s="190"/>
      <c r="G885" s="190"/>
      <c r="H885" s="190"/>
      <c r="I885" s="190"/>
      <c r="J885" s="190"/>
      <c r="K885" s="190"/>
      <c r="L885" s="190"/>
      <c r="M885" s="190"/>
      <c r="N885" s="190"/>
      <c r="O885" s="190"/>
      <c r="P885" s="190"/>
      <c r="Q885" s="190"/>
      <c r="R885" s="588"/>
      <c r="S885" s="188"/>
      <c r="T885" s="190"/>
      <c r="U885" s="190"/>
      <c r="V885" s="190"/>
      <c r="W885" s="190"/>
      <c r="X885" s="190"/>
      <c r="Y885" s="190"/>
      <c r="Z885" s="190"/>
      <c r="AA885" s="190"/>
      <c r="AB885" s="190"/>
      <c r="AC885" s="190"/>
      <c r="AD885" s="190"/>
      <c r="AE885" s="190"/>
      <c r="AF885" s="190"/>
      <c r="AG885" s="190"/>
      <c r="AH885" s="190"/>
      <c r="AI885" s="190"/>
      <c r="AJ885" s="190"/>
      <c r="AK885" s="190"/>
      <c r="AL885" s="190"/>
      <c r="AM885" s="603"/>
      <c r="AN885" s="190"/>
      <c r="AO885" s="190"/>
      <c r="AP885" s="190"/>
      <c r="AQ885" s="190"/>
      <c r="AR885" s="619"/>
      <c r="AS885" s="617"/>
    </row>
    <row r="886" spans="1:45">
      <c r="A886" s="190"/>
      <c r="B886" s="190"/>
      <c r="C886" s="190"/>
      <c r="D886" s="190"/>
      <c r="E886" s="190"/>
      <c r="F886" s="190"/>
      <c r="G886" s="190"/>
      <c r="H886" s="190"/>
      <c r="I886" s="190"/>
      <c r="J886" s="190"/>
      <c r="K886" s="190"/>
      <c r="L886" s="190"/>
      <c r="M886" s="190"/>
      <c r="N886" s="190"/>
      <c r="O886" s="190"/>
      <c r="P886" s="190"/>
      <c r="Q886" s="190"/>
      <c r="R886" s="588"/>
      <c r="S886" s="188"/>
      <c r="T886" s="190"/>
      <c r="U886" s="190"/>
      <c r="V886" s="190"/>
      <c r="W886" s="190"/>
      <c r="X886" s="190"/>
      <c r="Y886" s="190"/>
      <c r="Z886" s="190"/>
      <c r="AA886" s="190"/>
      <c r="AB886" s="190"/>
      <c r="AC886" s="190"/>
      <c r="AD886" s="190"/>
      <c r="AE886" s="190"/>
      <c r="AF886" s="190"/>
      <c r="AG886" s="190"/>
      <c r="AH886" s="190"/>
      <c r="AI886" s="190"/>
      <c r="AJ886" s="190"/>
      <c r="AK886" s="190"/>
      <c r="AL886" s="190"/>
      <c r="AM886" s="603"/>
      <c r="AN886" s="190"/>
      <c r="AO886" s="190"/>
      <c r="AP886" s="190"/>
      <c r="AQ886" s="190"/>
      <c r="AR886" s="619"/>
      <c r="AS886" s="617"/>
    </row>
    <row r="887" spans="1:45">
      <c r="A887" s="190"/>
      <c r="B887" s="190"/>
      <c r="C887" s="190"/>
      <c r="D887" s="190"/>
      <c r="E887" s="190"/>
      <c r="F887" s="190"/>
      <c r="G887" s="190"/>
      <c r="H887" s="190"/>
      <c r="I887" s="190"/>
      <c r="J887" s="190"/>
      <c r="K887" s="190"/>
      <c r="L887" s="190"/>
      <c r="M887" s="190"/>
      <c r="N887" s="190"/>
      <c r="O887" s="190"/>
      <c r="P887" s="190"/>
      <c r="Q887" s="190"/>
      <c r="R887" s="588"/>
      <c r="S887" s="188"/>
      <c r="T887" s="190"/>
      <c r="U887" s="190"/>
      <c r="V887" s="190"/>
      <c r="W887" s="190"/>
      <c r="X887" s="190"/>
      <c r="Y887" s="190"/>
      <c r="Z887" s="190"/>
      <c r="AA887" s="190"/>
      <c r="AB887" s="190"/>
      <c r="AC887" s="190"/>
      <c r="AD887" s="190"/>
      <c r="AE887" s="190"/>
      <c r="AF887" s="190"/>
      <c r="AG887" s="190"/>
      <c r="AH887" s="190"/>
      <c r="AI887" s="190"/>
      <c r="AJ887" s="190"/>
      <c r="AK887" s="190"/>
      <c r="AL887" s="190"/>
      <c r="AM887" s="603"/>
      <c r="AN887" s="190"/>
      <c r="AO887" s="190"/>
      <c r="AP887" s="190"/>
      <c r="AQ887" s="190"/>
      <c r="AR887" s="619"/>
      <c r="AS887" s="617"/>
    </row>
    <row r="888" spans="1:45">
      <c r="A888" s="190"/>
      <c r="B888" s="190"/>
      <c r="C888" s="190"/>
      <c r="D888" s="190"/>
      <c r="E888" s="190"/>
      <c r="F888" s="190"/>
      <c r="G888" s="190"/>
      <c r="H888" s="190"/>
      <c r="I888" s="190"/>
      <c r="J888" s="190"/>
      <c r="K888" s="190"/>
      <c r="L888" s="190"/>
      <c r="M888" s="190"/>
      <c r="N888" s="190"/>
      <c r="O888" s="190"/>
      <c r="P888" s="190"/>
      <c r="Q888" s="190"/>
      <c r="R888" s="588"/>
      <c r="S888" s="188"/>
      <c r="T888" s="190"/>
      <c r="U888" s="190"/>
      <c r="V888" s="190"/>
      <c r="W888" s="190"/>
      <c r="X888" s="190"/>
      <c r="Y888" s="190"/>
      <c r="Z888" s="190"/>
      <c r="AA888" s="190"/>
      <c r="AB888" s="190"/>
      <c r="AC888" s="190"/>
      <c r="AD888" s="190"/>
      <c r="AE888" s="190"/>
      <c r="AF888" s="190"/>
      <c r="AG888" s="190"/>
      <c r="AH888" s="190"/>
      <c r="AI888" s="190"/>
      <c r="AJ888" s="190"/>
      <c r="AK888" s="190"/>
      <c r="AL888" s="190"/>
      <c r="AM888" s="603"/>
      <c r="AN888" s="190"/>
      <c r="AO888" s="190"/>
      <c r="AP888" s="190"/>
      <c r="AQ888" s="190"/>
      <c r="AR888" s="619"/>
      <c r="AS888" s="617"/>
    </row>
    <row r="889" spans="1:45">
      <c r="A889" s="190"/>
      <c r="B889" s="190"/>
      <c r="C889" s="190"/>
      <c r="D889" s="190"/>
      <c r="E889" s="190"/>
      <c r="F889" s="190"/>
      <c r="G889" s="190"/>
      <c r="H889" s="190"/>
      <c r="I889" s="190"/>
      <c r="J889" s="190"/>
      <c r="K889" s="190"/>
      <c r="L889" s="190"/>
      <c r="M889" s="190"/>
      <c r="N889" s="190"/>
      <c r="O889" s="190"/>
      <c r="P889" s="190"/>
      <c r="Q889" s="190"/>
      <c r="R889" s="588"/>
      <c r="S889" s="188"/>
      <c r="T889" s="190"/>
      <c r="U889" s="190"/>
      <c r="V889" s="190"/>
      <c r="W889" s="190"/>
      <c r="X889" s="190"/>
      <c r="Y889" s="190"/>
      <c r="Z889" s="190"/>
      <c r="AA889" s="190"/>
      <c r="AB889" s="190"/>
      <c r="AC889" s="190"/>
      <c r="AD889" s="190"/>
      <c r="AE889" s="190"/>
      <c r="AF889" s="190"/>
      <c r="AG889" s="190"/>
      <c r="AH889" s="190"/>
      <c r="AI889" s="190"/>
      <c r="AJ889" s="190"/>
      <c r="AK889" s="190"/>
      <c r="AL889" s="190"/>
      <c r="AM889" s="603"/>
      <c r="AN889" s="190"/>
      <c r="AO889" s="190"/>
      <c r="AP889" s="190"/>
      <c r="AQ889" s="190"/>
      <c r="AR889" s="619"/>
      <c r="AS889" s="617"/>
    </row>
    <row r="890" spans="1:45">
      <c r="A890" s="190"/>
      <c r="B890" s="190"/>
      <c r="C890" s="190"/>
      <c r="D890" s="190"/>
      <c r="E890" s="190"/>
      <c r="F890" s="190"/>
      <c r="G890" s="190"/>
      <c r="H890" s="190"/>
      <c r="I890" s="190"/>
      <c r="J890" s="190"/>
      <c r="K890" s="190"/>
      <c r="L890" s="190"/>
      <c r="M890" s="190"/>
      <c r="N890" s="190"/>
      <c r="O890" s="190"/>
      <c r="P890" s="190"/>
      <c r="Q890" s="190"/>
      <c r="R890" s="588"/>
      <c r="S890" s="188"/>
      <c r="T890" s="190"/>
      <c r="U890" s="190"/>
      <c r="V890" s="190"/>
      <c r="W890" s="190"/>
      <c r="X890" s="190"/>
      <c r="Y890" s="190"/>
      <c r="Z890" s="190"/>
      <c r="AA890" s="190"/>
      <c r="AB890" s="190"/>
      <c r="AC890" s="190"/>
      <c r="AD890" s="190"/>
      <c r="AE890" s="190"/>
      <c r="AF890" s="190"/>
      <c r="AG890" s="190"/>
      <c r="AH890" s="190"/>
      <c r="AI890" s="190"/>
      <c r="AJ890" s="190"/>
      <c r="AK890" s="190"/>
      <c r="AL890" s="190"/>
      <c r="AM890" s="603"/>
      <c r="AN890" s="190"/>
      <c r="AO890" s="190"/>
      <c r="AP890" s="190"/>
      <c r="AQ890" s="190"/>
      <c r="AR890" s="619"/>
      <c r="AS890" s="617"/>
    </row>
    <row r="891" spans="1:45">
      <c r="A891" s="190"/>
      <c r="B891" s="190"/>
      <c r="C891" s="190"/>
      <c r="D891" s="190"/>
      <c r="E891" s="190"/>
      <c r="F891" s="190"/>
      <c r="G891" s="190"/>
      <c r="H891" s="190"/>
      <c r="I891" s="190"/>
      <c r="J891" s="190"/>
      <c r="K891" s="190"/>
      <c r="L891" s="190"/>
      <c r="M891" s="190"/>
      <c r="N891" s="190"/>
      <c r="O891" s="190"/>
      <c r="P891" s="190"/>
      <c r="Q891" s="190"/>
      <c r="R891" s="588"/>
      <c r="S891" s="188"/>
      <c r="T891" s="190"/>
      <c r="U891" s="190"/>
      <c r="V891" s="190"/>
      <c r="W891" s="190"/>
      <c r="X891" s="190"/>
      <c r="Y891" s="190"/>
      <c r="Z891" s="190"/>
      <c r="AA891" s="190"/>
      <c r="AB891" s="190"/>
      <c r="AC891" s="190"/>
      <c r="AD891" s="190"/>
      <c r="AE891" s="190"/>
      <c r="AF891" s="190"/>
      <c r="AG891" s="190"/>
      <c r="AH891" s="190"/>
      <c r="AI891" s="190"/>
      <c r="AJ891" s="190"/>
      <c r="AK891" s="190"/>
      <c r="AL891" s="190"/>
      <c r="AM891" s="603"/>
      <c r="AN891" s="190"/>
      <c r="AO891" s="190"/>
      <c r="AP891" s="190"/>
      <c r="AQ891" s="190"/>
      <c r="AR891" s="619"/>
      <c r="AS891" s="617"/>
    </row>
    <row r="892" spans="1:45">
      <c r="A892" s="190"/>
      <c r="B892" s="190"/>
      <c r="C892" s="190"/>
      <c r="D892" s="190"/>
      <c r="E892" s="190"/>
      <c r="F892" s="190"/>
      <c r="G892" s="190"/>
      <c r="H892" s="190"/>
      <c r="I892" s="190"/>
      <c r="J892" s="190"/>
      <c r="K892" s="190"/>
      <c r="L892" s="190"/>
      <c r="M892" s="190"/>
      <c r="N892" s="190"/>
      <c r="O892" s="190"/>
      <c r="P892" s="190"/>
      <c r="Q892" s="190"/>
      <c r="R892" s="588"/>
      <c r="S892" s="188"/>
      <c r="T892" s="190"/>
      <c r="U892" s="190"/>
      <c r="V892" s="190"/>
      <c r="W892" s="190"/>
      <c r="X892" s="190"/>
      <c r="Y892" s="190"/>
      <c r="Z892" s="190"/>
      <c r="AA892" s="190"/>
      <c r="AB892" s="190"/>
      <c r="AC892" s="190"/>
      <c r="AD892" s="190"/>
      <c r="AE892" s="190"/>
      <c r="AF892" s="190"/>
      <c r="AG892" s="190"/>
      <c r="AH892" s="190"/>
      <c r="AI892" s="190"/>
      <c r="AJ892" s="190"/>
      <c r="AK892" s="190"/>
      <c r="AL892" s="190"/>
      <c r="AM892" s="603"/>
      <c r="AN892" s="190"/>
      <c r="AO892" s="190"/>
      <c r="AP892" s="190"/>
      <c r="AQ892" s="190"/>
      <c r="AR892" s="619"/>
      <c r="AS892" s="617"/>
    </row>
    <row r="893" spans="1:45">
      <c r="A893" s="190"/>
      <c r="B893" s="190"/>
      <c r="C893" s="190"/>
      <c r="D893" s="190"/>
      <c r="E893" s="190"/>
      <c r="F893" s="190"/>
      <c r="G893" s="190"/>
      <c r="H893" s="190"/>
      <c r="I893" s="190"/>
      <c r="J893" s="190"/>
      <c r="K893" s="190"/>
      <c r="L893" s="190"/>
      <c r="M893" s="190"/>
      <c r="N893" s="190"/>
      <c r="O893" s="190"/>
      <c r="P893" s="190"/>
      <c r="Q893" s="190"/>
      <c r="R893" s="588"/>
      <c r="S893" s="188"/>
      <c r="T893" s="190"/>
      <c r="U893" s="190"/>
      <c r="V893" s="190"/>
      <c r="W893" s="190"/>
      <c r="X893" s="190"/>
      <c r="Y893" s="190"/>
      <c r="Z893" s="190"/>
      <c r="AA893" s="190"/>
      <c r="AB893" s="190"/>
      <c r="AC893" s="190"/>
      <c r="AD893" s="190"/>
      <c r="AE893" s="190"/>
      <c r="AF893" s="190"/>
      <c r="AG893" s="190"/>
      <c r="AH893" s="190"/>
      <c r="AI893" s="190"/>
      <c r="AJ893" s="190"/>
      <c r="AK893" s="190"/>
      <c r="AL893" s="190"/>
      <c r="AM893" s="603"/>
      <c r="AN893" s="190"/>
      <c r="AO893" s="190"/>
      <c r="AP893" s="190"/>
      <c r="AQ893" s="190"/>
      <c r="AR893" s="619"/>
      <c r="AS893" s="617"/>
    </row>
    <row r="894" spans="1:45">
      <c r="A894" s="190"/>
      <c r="B894" s="190"/>
      <c r="C894" s="190"/>
      <c r="D894" s="190"/>
      <c r="E894" s="190"/>
      <c r="F894" s="190"/>
      <c r="G894" s="190"/>
      <c r="H894" s="190"/>
      <c r="I894" s="190"/>
      <c r="J894" s="190"/>
      <c r="K894" s="190"/>
      <c r="L894" s="190"/>
      <c r="M894" s="190"/>
      <c r="N894" s="190"/>
      <c r="O894" s="190"/>
      <c r="P894" s="190"/>
      <c r="Q894" s="190"/>
      <c r="R894" s="588"/>
      <c r="S894" s="188"/>
      <c r="T894" s="190"/>
      <c r="U894" s="190"/>
      <c r="V894" s="190"/>
      <c r="W894" s="190"/>
      <c r="X894" s="190"/>
      <c r="Y894" s="190"/>
      <c r="Z894" s="190"/>
      <c r="AA894" s="190"/>
      <c r="AB894" s="190"/>
      <c r="AC894" s="190"/>
      <c r="AD894" s="190"/>
      <c r="AE894" s="190"/>
      <c r="AF894" s="190"/>
      <c r="AG894" s="190"/>
      <c r="AH894" s="190"/>
      <c r="AI894" s="190"/>
      <c r="AJ894" s="190"/>
      <c r="AK894" s="190"/>
      <c r="AL894" s="190"/>
      <c r="AM894" s="603"/>
      <c r="AN894" s="190"/>
      <c r="AO894" s="190"/>
      <c r="AP894" s="190"/>
      <c r="AQ894" s="190"/>
      <c r="AR894" s="619"/>
      <c r="AS894" s="617"/>
    </row>
    <row r="895" spans="1:45">
      <c r="A895" s="190"/>
      <c r="B895" s="190"/>
      <c r="C895" s="190"/>
      <c r="D895" s="190"/>
      <c r="E895" s="190"/>
      <c r="F895" s="190"/>
      <c r="G895" s="190"/>
      <c r="H895" s="190"/>
      <c r="I895" s="190"/>
      <c r="J895" s="190"/>
      <c r="K895" s="190"/>
      <c r="L895" s="190"/>
      <c r="M895" s="190"/>
      <c r="N895" s="190"/>
      <c r="O895" s="190"/>
      <c r="P895" s="190"/>
      <c r="Q895" s="190"/>
      <c r="R895" s="588"/>
      <c r="S895" s="188"/>
      <c r="T895" s="190"/>
      <c r="U895" s="190"/>
      <c r="V895" s="190"/>
      <c r="W895" s="190"/>
      <c r="X895" s="190"/>
      <c r="Y895" s="190"/>
      <c r="Z895" s="190"/>
      <c r="AA895" s="190"/>
      <c r="AB895" s="190"/>
      <c r="AC895" s="190"/>
      <c r="AD895" s="190"/>
      <c r="AE895" s="190"/>
      <c r="AF895" s="190"/>
      <c r="AG895" s="190"/>
      <c r="AH895" s="190"/>
      <c r="AI895" s="190"/>
      <c r="AJ895" s="190"/>
      <c r="AK895" s="190"/>
      <c r="AL895" s="190"/>
      <c r="AM895" s="603"/>
      <c r="AN895" s="190"/>
      <c r="AO895" s="190"/>
      <c r="AP895" s="190"/>
      <c r="AQ895" s="190"/>
      <c r="AR895" s="619"/>
      <c r="AS895" s="617"/>
    </row>
    <row r="896" spans="1:45">
      <c r="A896" s="190"/>
      <c r="B896" s="190"/>
      <c r="C896" s="190"/>
      <c r="D896" s="190"/>
      <c r="E896" s="190"/>
      <c r="F896" s="190"/>
      <c r="G896" s="190"/>
      <c r="H896" s="190"/>
      <c r="I896" s="190"/>
      <c r="J896" s="190"/>
      <c r="K896" s="190"/>
      <c r="L896" s="190"/>
      <c r="M896" s="190"/>
      <c r="N896" s="190"/>
      <c r="O896" s="190"/>
      <c r="P896" s="190"/>
      <c r="Q896" s="190"/>
      <c r="R896" s="588"/>
      <c r="S896" s="188"/>
      <c r="T896" s="190"/>
      <c r="U896" s="190"/>
      <c r="V896" s="190"/>
      <c r="W896" s="190"/>
      <c r="X896" s="190"/>
      <c r="Y896" s="190"/>
      <c r="Z896" s="190"/>
      <c r="AA896" s="190"/>
      <c r="AB896" s="190"/>
      <c r="AC896" s="190"/>
      <c r="AD896" s="190"/>
      <c r="AE896" s="190"/>
      <c r="AF896" s="190"/>
      <c r="AG896" s="190"/>
      <c r="AH896" s="190"/>
      <c r="AI896" s="190"/>
      <c r="AJ896" s="190"/>
      <c r="AK896" s="190"/>
      <c r="AL896" s="190"/>
      <c r="AM896" s="603"/>
      <c r="AN896" s="190"/>
      <c r="AO896" s="190"/>
      <c r="AP896" s="190"/>
      <c r="AQ896" s="190"/>
      <c r="AR896" s="619"/>
      <c r="AS896" s="617"/>
    </row>
    <row r="897" spans="1:45">
      <c r="A897" s="190"/>
      <c r="B897" s="190"/>
      <c r="C897" s="190"/>
      <c r="D897" s="190"/>
      <c r="E897" s="190"/>
      <c r="F897" s="190"/>
      <c r="G897" s="190"/>
      <c r="H897" s="190"/>
      <c r="I897" s="190"/>
      <c r="J897" s="190"/>
      <c r="K897" s="190"/>
      <c r="L897" s="190"/>
      <c r="M897" s="190"/>
      <c r="N897" s="190"/>
      <c r="O897" s="190"/>
      <c r="P897" s="190"/>
      <c r="Q897" s="190"/>
      <c r="R897" s="588"/>
      <c r="S897" s="188"/>
      <c r="T897" s="190"/>
      <c r="U897" s="190"/>
      <c r="V897" s="190"/>
      <c r="W897" s="190"/>
      <c r="X897" s="190"/>
      <c r="Y897" s="190"/>
      <c r="Z897" s="190"/>
      <c r="AA897" s="190"/>
      <c r="AB897" s="190"/>
      <c r="AC897" s="190"/>
      <c r="AD897" s="190"/>
      <c r="AE897" s="190"/>
      <c r="AF897" s="190"/>
      <c r="AG897" s="190"/>
      <c r="AH897" s="190"/>
      <c r="AI897" s="190"/>
      <c r="AJ897" s="190"/>
      <c r="AK897" s="190"/>
      <c r="AL897" s="190"/>
      <c r="AM897" s="603"/>
      <c r="AN897" s="190"/>
      <c r="AO897" s="190"/>
      <c r="AP897" s="190"/>
      <c r="AQ897" s="190"/>
      <c r="AR897" s="619"/>
      <c r="AS897" s="617"/>
    </row>
    <row r="898" spans="1:45">
      <c r="A898" s="190"/>
      <c r="B898" s="190"/>
      <c r="C898" s="190"/>
      <c r="D898" s="190"/>
      <c r="E898" s="190"/>
      <c r="F898" s="190"/>
      <c r="G898" s="190"/>
      <c r="H898" s="190"/>
      <c r="I898" s="190"/>
      <c r="J898" s="190"/>
      <c r="K898" s="190"/>
      <c r="L898" s="190"/>
      <c r="M898" s="190"/>
      <c r="N898" s="190"/>
      <c r="O898" s="190"/>
      <c r="P898" s="190"/>
      <c r="Q898" s="190"/>
      <c r="R898" s="588"/>
      <c r="S898" s="188"/>
      <c r="T898" s="190"/>
      <c r="U898" s="190"/>
      <c r="V898" s="190"/>
      <c r="W898" s="190"/>
      <c r="X898" s="190"/>
      <c r="Y898" s="190"/>
      <c r="Z898" s="190"/>
      <c r="AA898" s="190"/>
      <c r="AB898" s="190"/>
      <c r="AC898" s="190"/>
      <c r="AD898" s="190"/>
      <c r="AE898" s="190"/>
      <c r="AF898" s="190"/>
      <c r="AG898" s="190"/>
      <c r="AH898" s="190"/>
      <c r="AI898" s="190"/>
      <c r="AJ898" s="190"/>
      <c r="AK898" s="190"/>
      <c r="AL898" s="190"/>
      <c r="AM898" s="603"/>
      <c r="AN898" s="190"/>
      <c r="AO898" s="190"/>
      <c r="AP898" s="190"/>
      <c r="AQ898" s="190"/>
      <c r="AR898" s="619"/>
      <c r="AS898" s="617"/>
    </row>
    <row r="899" spans="1:45">
      <c r="A899" s="190"/>
      <c r="B899" s="190"/>
      <c r="C899" s="190"/>
      <c r="D899" s="190"/>
      <c r="E899" s="190"/>
      <c r="F899" s="190"/>
      <c r="G899" s="190"/>
      <c r="H899" s="190"/>
      <c r="I899" s="190"/>
      <c r="J899" s="190"/>
      <c r="K899" s="190"/>
      <c r="L899" s="190"/>
      <c r="M899" s="190"/>
      <c r="N899" s="190"/>
      <c r="O899" s="190"/>
      <c r="P899" s="190"/>
      <c r="Q899" s="190"/>
      <c r="R899" s="588"/>
      <c r="S899" s="188"/>
      <c r="T899" s="190"/>
      <c r="U899" s="190"/>
      <c r="V899" s="190"/>
      <c r="W899" s="190"/>
      <c r="X899" s="190"/>
      <c r="Y899" s="190"/>
      <c r="Z899" s="190"/>
      <c r="AA899" s="190"/>
      <c r="AB899" s="190"/>
      <c r="AC899" s="190"/>
      <c r="AD899" s="190"/>
      <c r="AE899" s="190"/>
      <c r="AF899" s="190"/>
      <c r="AG899" s="190"/>
      <c r="AH899" s="190"/>
      <c r="AI899" s="190"/>
      <c r="AJ899" s="190"/>
      <c r="AK899" s="190"/>
      <c r="AL899" s="190"/>
      <c r="AM899" s="603"/>
      <c r="AN899" s="190"/>
      <c r="AO899" s="190"/>
      <c r="AP899" s="190"/>
      <c r="AQ899" s="190"/>
      <c r="AR899" s="619"/>
      <c r="AS899" s="617"/>
    </row>
    <row r="900" spans="1:45">
      <c r="A900" s="190"/>
      <c r="B900" s="190"/>
      <c r="C900" s="190"/>
      <c r="D900" s="190"/>
      <c r="E900" s="190"/>
      <c r="F900" s="190"/>
      <c r="G900" s="190"/>
      <c r="H900" s="190"/>
      <c r="I900" s="190"/>
      <c r="J900" s="190"/>
      <c r="K900" s="190"/>
      <c r="L900" s="190"/>
      <c r="M900" s="190"/>
      <c r="N900" s="190"/>
      <c r="O900" s="190"/>
      <c r="P900" s="190"/>
      <c r="Q900" s="190"/>
      <c r="R900" s="588"/>
      <c r="S900" s="188"/>
      <c r="T900" s="190"/>
      <c r="U900" s="190"/>
      <c r="V900" s="190"/>
      <c r="W900" s="190"/>
      <c r="X900" s="190"/>
      <c r="Y900" s="190"/>
      <c r="Z900" s="190"/>
      <c r="AA900" s="190"/>
      <c r="AB900" s="190"/>
      <c r="AC900" s="190"/>
      <c r="AD900" s="190"/>
      <c r="AE900" s="190"/>
      <c r="AF900" s="190"/>
      <c r="AG900" s="190"/>
      <c r="AH900" s="190"/>
      <c r="AI900" s="190"/>
      <c r="AJ900" s="190"/>
      <c r="AK900" s="190"/>
      <c r="AL900" s="190"/>
      <c r="AM900" s="603"/>
      <c r="AN900" s="190"/>
      <c r="AO900" s="190"/>
      <c r="AP900" s="190"/>
      <c r="AQ900" s="190"/>
      <c r="AR900" s="619"/>
      <c r="AS900" s="617"/>
    </row>
    <row r="901" spans="1:45">
      <c r="A901" s="190"/>
      <c r="B901" s="190"/>
      <c r="C901" s="190"/>
      <c r="D901" s="190"/>
      <c r="E901" s="190"/>
      <c r="F901" s="190"/>
      <c r="G901" s="190"/>
      <c r="H901" s="190"/>
      <c r="I901" s="190"/>
      <c r="J901" s="190"/>
      <c r="K901" s="190"/>
      <c r="L901" s="190"/>
      <c r="M901" s="190"/>
      <c r="N901" s="190"/>
      <c r="O901" s="190"/>
      <c r="P901" s="190"/>
      <c r="Q901" s="190"/>
      <c r="R901" s="588"/>
      <c r="S901" s="188"/>
      <c r="T901" s="190"/>
      <c r="U901" s="190"/>
      <c r="V901" s="190"/>
      <c r="W901" s="190"/>
      <c r="X901" s="190"/>
      <c r="Y901" s="190"/>
      <c r="Z901" s="190"/>
      <c r="AA901" s="190"/>
      <c r="AB901" s="190"/>
      <c r="AC901" s="190"/>
      <c r="AD901" s="190"/>
      <c r="AE901" s="190"/>
      <c r="AF901" s="190"/>
      <c r="AG901" s="190"/>
      <c r="AH901" s="190"/>
      <c r="AI901" s="190"/>
      <c r="AJ901" s="190"/>
      <c r="AK901" s="190"/>
      <c r="AL901" s="190"/>
      <c r="AM901" s="603"/>
      <c r="AN901" s="190"/>
      <c r="AO901" s="190"/>
      <c r="AP901" s="190"/>
      <c r="AQ901" s="190"/>
      <c r="AR901" s="619"/>
      <c r="AS901" s="617"/>
    </row>
    <row r="902" spans="1:45">
      <c r="A902" s="190"/>
      <c r="B902" s="190"/>
      <c r="C902" s="190"/>
      <c r="D902" s="190"/>
      <c r="E902" s="190"/>
      <c r="F902" s="190"/>
      <c r="G902" s="190"/>
      <c r="H902" s="190"/>
      <c r="I902" s="190"/>
      <c r="J902" s="190"/>
      <c r="K902" s="190"/>
      <c r="L902" s="190"/>
      <c r="M902" s="190"/>
      <c r="N902" s="190"/>
      <c r="O902" s="190"/>
      <c r="P902" s="190"/>
      <c r="Q902" s="190"/>
      <c r="R902" s="588"/>
      <c r="S902" s="188"/>
      <c r="T902" s="190"/>
      <c r="U902" s="190"/>
      <c r="V902" s="190"/>
      <c r="W902" s="190"/>
      <c r="X902" s="190"/>
      <c r="Y902" s="190"/>
      <c r="Z902" s="190"/>
      <c r="AA902" s="190"/>
      <c r="AB902" s="190"/>
      <c r="AC902" s="190"/>
      <c r="AD902" s="190"/>
      <c r="AE902" s="190"/>
      <c r="AF902" s="190"/>
      <c r="AG902" s="190"/>
      <c r="AH902" s="190"/>
      <c r="AI902" s="190"/>
      <c r="AJ902" s="190"/>
      <c r="AK902" s="190"/>
      <c r="AL902" s="190"/>
      <c r="AM902" s="603"/>
      <c r="AN902" s="190"/>
      <c r="AO902" s="190"/>
      <c r="AP902" s="190"/>
      <c r="AQ902" s="190"/>
      <c r="AR902" s="619"/>
      <c r="AS902" s="617"/>
    </row>
    <row r="903" spans="1:45">
      <c r="A903" s="190"/>
      <c r="B903" s="190"/>
      <c r="C903" s="190"/>
      <c r="D903" s="190"/>
      <c r="E903" s="190"/>
      <c r="F903" s="190"/>
      <c r="G903" s="190"/>
      <c r="H903" s="190"/>
      <c r="I903" s="190"/>
      <c r="J903" s="190"/>
      <c r="K903" s="190"/>
      <c r="L903" s="190"/>
      <c r="M903" s="190"/>
      <c r="N903" s="190"/>
      <c r="O903" s="190"/>
      <c r="P903" s="190"/>
      <c r="Q903" s="190"/>
      <c r="R903" s="588"/>
      <c r="S903" s="188"/>
      <c r="T903" s="190"/>
      <c r="U903" s="190"/>
      <c r="V903" s="190"/>
      <c r="W903" s="190"/>
      <c r="X903" s="190"/>
      <c r="Y903" s="190"/>
      <c r="Z903" s="190"/>
      <c r="AA903" s="190"/>
      <c r="AB903" s="190"/>
      <c r="AC903" s="190"/>
      <c r="AD903" s="190"/>
      <c r="AE903" s="190"/>
      <c r="AF903" s="190"/>
      <c r="AG903" s="190"/>
      <c r="AH903" s="190"/>
      <c r="AI903" s="190"/>
      <c r="AJ903" s="190"/>
      <c r="AK903" s="190"/>
      <c r="AL903" s="190"/>
      <c r="AM903" s="603"/>
      <c r="AN903" s="190"/>
      <c r="AO903" s="190"/>
      <c r="AP903" s="190"/>
      <c r="AQ903" s="190"/>
      <c r="AR903" s="619"/>
      <c r="AS903" s="617"/>
    </row>
    <row r="904" spans="1:45">
      <c r="A904" s="190"/>
      <c r="B904" s="190"/>
      <c r="C904" s="190"/>
      <c r="D904" s="190"/>
      <c r="E904" s="190"/>
      <c r="F904" s="190"/>
      <c r="G904" s="190"/>
      <c r="H904" s="190"/>
      <c r="I904" s="190"/>
      <c r="J904" s="190"/>
      <c r="K904" s="190"/>
      <c r="L904" s="190"/>
      <c r="M904" s="190"/>
      <c r="N904" s="190"/>
      <c r="O904" s="190"/>
      <c r="P904" s="190"/>
      <c r="Q904" s="190"/>
      <c r="R904" s="588"/>
      <c r="S904" s="188"/>
      <c r="T904" s="190"/>
      <c r="U904" s="190"/>
      <c r="V904" s="190"/>
      <c r="W904" s="190"/>
      <c r="X904" s="190"/>
      <c r="Y904" s="190"/>
      <c r="Z904" s="190"/>
      <c r="AA904" s="190"/>
      <c r="AB904" s="190"/>
      <c r="AC904" s="190"/>
      <c r="AD904" s="190"/>
      <c r="AE904" s="190"/>
      <c r="AF904" s="190"/>
      <c r="AG904" s="190"/>
      <c r="AH904" s="190"/>
      <c r="AI904" s="190"/>
      <c r="AJ904" s="190"/>
      <c r="AK904" s="190"/>
      <c r="AL904" s="190"/>
      <c r="AM904" s="603"/>
      <c r="AN904" s="190"/>
      <c r="AO904" s="190"/>
      <c r="AP904" s="190"/>
      <c r="AQ904" s="190"/>
      <c r="AR904" s="619"/>
      <c r="AS904" s="617"/>
    </row>
    <row r="905" spans="1:45">
      <c r="A905" s="190"/>
      <c r="B905" s="190"/>
      <c r="C905" s="190"/>
      <c r="D905" s="190"/>
      <c r="E905" s="190"/>
      <c r="F905" s="190"/>
      <c r="G905" s="190"/>
      <c r="H905" s="190"/>
      <c r="I905" s="190"/>
      <c r="J905" s="190"/>
      <c r="K905" s="190"/>
      <c r="L905" s="190"/>
      <c r="M905" s="190"/>
      <c r="N905" s="190"/>
      <c r="O905" s="190"/>
      <c r="P905" s="190"/>
      <c r="Q905" s="190"/>
      <c r="R905" s="588"/>
      <c r="S905" s="188"/>
      <c r="T905" s="190"/>
      <c r="U905" s="190"/>
      <c r="V905" s="190"/>
      <c r="W905" s="190"/>
      <c r="X905" s="190"/>
      <c r="Y905" s="190"/>
      <c r="Z905" s="190"/>
      <c r="AA905" s="190"/>
      <c r="AB905" s="190"/>
      <c r="AC905" s="190"/>
      <c r="AD905" s="190"/>
      <c r="AE905" s="190"/>
      <c r="AF905" s="190"/>
      <c r="AG905" s="190"/>
      <c r="AH905" s="190"/>
      <c r="AI905" s="190"/>
      <c r="AJ905" s="190"/>
      <c r="AK905" s="190"/>
      <c r="AL905" s="190"/>
      <c r="AM905" s="603"/>
      <c r="AN905" s="190"/>
      <c r="AO905" s="190"/>
      <c r="AP905" s="190"/>
      <c r="AQ905" s="190"/>
      <c r="AR905" s="619"/>
      <c r="AS905" s="617"/>
    </row>
    <row r="906" spans="1:45">
      <c r="A906" s="190"/>
      <c r="B906" s="190"/>
      <c r="C906" s="190"/>
      <c r="D906" s="190"/>
      <c r="E906" s="190"/>
      <c r="F906" s="190"/>
      <c r="G906" s="190"/>
      <c r="H906" s="190"/>
      <c r="I906" s="190"/>
      <c r="J906" s="190"/>
      <c r="K906" s="190"/>
      <c r="L906" s="190"/>
      <c r="M906" s="190"/>
      <c r="N906" s="190"/>
      <c r="O906" s="190"/>
      <c r="P906" s="190"/>
      <c r="Q906" s="190"/>
      <c r="R906" s="588"/>
      <c r="S906" s="188"/>
      <c r="T906" s="190"/>
      <c r="U906" s="190"/>
      <c r="V906" s="190"/>
      <c r="W906" s="190"/>
      <c r="X906" s="190"/>
      <c r="Y906" s="190"/>
      <c r="Z906" s="190"/>
      <c r="AA906" s="190"/>
      <c r="AB906" s="190"/>
      <c r="AC906" s="190"/>
      <c r="AD906" s="190"/>
      <c r="AE906" s="190"/>
      <c r="AF906" s="190"/>
      <c r="AG906" s="190"/>
      <c r="AH906" s="190"/>
      <c r="AI906" s="190"/>
      <c r="AJ906" s="190"/>
      <c r="AK906" s="190"/>
      <c r="AL906" s="190"/>
      <c r="AM906" s="603"/>
      <c r="AN906" s="190"/>
      <c r="AO906" s="190"/>
      <c r="AP906" s="190"/>
      <c r="AQ906" s="190"/>
      <c r="AR906" s="619"/>
      <c r="AS906" s="617"/>
    </row>
    <row r="907" spans="1:45">
      <c r="A907" s="190"/>
      <c r="B907" s="190"/>
      <c r="C907" s="190"/>
      <c r="D907" s="190"/>
      <c r="E907" s="190"/>
      <c r="F907" s="190"/>
      <c r="G907" s="190"/>
      <c r="H907" s="190"/>
      <c r="I907" s="190"/>
      <c r="J907" s="190"/>
      <c r="K907" s="190"/>
      <c r="L907" s="190"/>
      <c r="M907" s="190"/>
      <c r="N907" s="190"/>
      <c r="O907" s="190"/>
      <c r="P907" s="190"/>
      <c r="Q907" s="190"/>
      <c r="R907" s="588"/>
      <c r="S907" s="188"/>
      <c r="T907" s="190"/>
      <c r="U907" s="190"/>
      <c r="V907" s="190"/>
      <c r="W907" s="190"/>
      <c r="X907" s="190"/>
      <c r="Y907" s="190"/>
      <c r="Z907" s="190"/>
      <c r="AA907" s="190"/>
      <c r="AB907" s="190"/>
      <c r="AC907" s="190"/>
      <c r="AD907" s="190"/>
      <c r="AE907" s="190"/>
      <c r="AF907" s="190"/>
      <c r="AG907" s="190"/>
      <c r="AH907" s="190"/>
      <c r="AI907" s="190"/>
      <c r="AJ907" s="190"/>
      <c r="AK907" s="190"/>
      <c r="AL907" s="190"/>
      <c r="AM907" s="603"/>
      <c r="AN907" s="190"/>
      <c r="AO907" s="190"/>
      <c r="AP907" s="190"/>
      <c r="AQ907" s="190"/>
      <c r="AR907" s="619"/>
      <c r="AS907" s="617"/>
    </row>
    <row r="908" spans="1:45">
      <c r="A908" s="190"/>
      <c r="B908" s="190"/>
      <c r="C908" s="190"/>
      <c r="D908" s="190"/>
      <c r="E908" s="190"/>
      <c r="F908" s="190"/>
      <c r="G908" s="190"/>
      <c r="H908" s="190"/>
      <c r="I908" s="190"/>
      <c r="J908" s="190"/>
      <c r="K908" s="190"/>
      <c r="L908" s="190"/>
      <c r="M908" s="190"/>
      <c r="N908" s="190"/>
      <c r="O908" s="190"/>
      <c r="P908" s="190"/>
      <c r="Q908" s="190"/>
      <c r="R908" s="588"/>
      <c r="S908" s="188"/>
      <c r="T908" s="190"/>
      <c r="U908" s="190"/>
      <c r="V908" s="190"/>
      <c r="W908" s="190"/>
      <c r="X908" s="190"/>
      <c r="Y908" s="190"/>
      <c r="Z908" s="190"/>
      <c r="AA908" s="190"/>
      <c r="AB908" s="190"/>
      <c r="AC908" s="190"/>
      <c r="AD908" s="190"/>
      <c r="AE908" s="190"/>
      <c r="AF908" s="190"/>
      <c r="AG908" s="190"/>
      <c r="AH908" s="190"/>
      <c r="AI908" s="190"/>
      <c r="AJ908" s="190"/>
      <c r="AK908" s="190"/>
      <c r="AL908" s="190"/>
      <c r="AM908" s="603"/>
      <c r="AN908" s="190"/>
      <c r="AO908" s="190"/>
      <c r="AP908" s="190"/>
      <c r="AQ908" s="190"/>
      <c r="AR908" s="619"/>
      <c r="AS908" s="617"/>
    </row>
    <row r="909" spans="1:45">
      <c r="A909" s="190"/>
      <c r="B909" s="190"/>
      <c r="C909" s="190"/>
      <c r="D909" s="190"/>
      <c r="E909" s="190"/>
      <c r="F909" s="190"/>
      <c r="G909" s="190"/>
      <c r="H909" s="190"/>
      <c r="I909" s="190"/>
      <c r="J909" s="190"/>
      <c r="K909" s="190"/>
      <c r="L909" s="190"/>
      <c r="M909" s="190"/>
      <c r="N909" s="190"/>
      <c r="O909" s="190"/>
      <c r="P909" s="190"/>
      <c r="Q909" s="190"/>
      <c r="R909" s="588"/>
      <c r="S909" s="188"/>
      <c r="T909" s="190"/>
      <c r="U909" s="190"/>
      <c r="V909" s="190"/>
      <c r="W909" s="190"/>
      <c r="X909" s="190"/>
      <c r="Y909" s="190"/>
      <c r="Z909" s="190"/>
      <c r="AA909" s="190"/>
      <c r="AB909" s="190"/>
      <c r="AC909" s="190"/>
      <c r="AD909" s="190"/>
      <c r="AE909" s="190"/>
      <c r="AF909" s="190"/>
      <c r="AG909" s="190"/>
      <c r="AH909" s="190"/>
      <c r="AI909" s="190"/>
      <c r="AJ909" s="190"/>
      <c r="AK909" s="190"/>
      <c r="AL909" s="190"/>
      <c r="AM909" s="603"/>
      <c r="AN909" s="190"/>
      <c r="AO909" s="190"/>
      <c r="AP909" s="190"/>
      <c r="AQ909" s="190"/>
      <c r="AR909" s="619"/>
      <c r="AS909" s="617"/>
    </row>
    <row r="910" spans="1:45">
      <c r="A910" s="190"/>
      <c r="B910" s="190"/>
      <c r="C910" s="190"/>
      <c r="D910" s="190"/>
      <c r="E910" s="190"/>
      <c r="F910" s="190"/>
      <c r="G910" s="190"/>
      <c r="H910" s="190"/>
      <c r="I910" s="190"/>
      <c r="J910" s="190"/>
      <c r="K910" s="190"/>
      <c r="L910" s="190"/>
      <c r="M910" s="190"/>
      <c r="N910" s="190"/>
      <c r="O910" s="190"/>
      <c r="P910" s="190"/>
      <c r="Q910" s="190"/>
      <c r="R910" s="588"/>
      <c r="S910" s="188"/>
      <c r="T910" s="190"/>
      <c r="U910" s="190"/>
      <c r="V910" s="190"/>
      <c r="W910" s="190"/>
      <c r="X910" s="190"/>
      <c r="Y910" s="190"/>
      <c r="Z910" s="190"/>
      <c r="AA910" s="190"/>
      <c r="AB910" s="190"/>
      <c r="AC910" s="190"/>
      <c r="AD910" s="190"/>
      <c r="AE910" s="190"/>
      <c r="AF910" s="190"/>
      <c r="AG910" s="190"/>
      <c r="AH910" s="190"/>
      <c r="AI910" s="190"/>
      <c r="AJ910" s="190"/>
      <c r="AK910" s="190"/>
      <c r="AL910" s="190"/>
      <c r="AM910" s="603"/>
      <c r="AN910" s="190"/>
      <c r="AO910" s="190"/>
      <c r="AP910" s="190"/>
      <c r="AQ910" s="190"/>
      <c r="AR910" s="619"/>
      <c r="AS910" s="617"/>
    </row>
    <row r="911" spans="1:45">
      <c r="A911" s="190"/>
      <c r="B911" s="190"/>
      <c r="C911" s="190"/>
      <c r="D911" s="190"/>
      <c r="E911" s="190"/>
      <c r="F911" s="190"/>
      <c r="G911" s="190"/>
      <c r="H911" s="190"/>
      <c r="I911" s="190"/>
      <c r="J911" s="190"/>
      <c r="K911" s="190"/>
      <c r="L911" s="190"/>
      <c r="M911" s="190"/>
      <c r="N911" s="190"/>
      <c r="O911" s="190"/>
      <c r="P911" s="190"/>
      <c r="Q911" s="190"/>
      <c r="R911" s="588"/>
      <c r="S911" s="188"/>
      <c r="T911" s="190"/>
      <c r="U911" s="190"/>
      <c r="V911" s="190"/>
      <c r="W911" s="190"/>
      <c r="X911" s="190"/>
      <c r="Y911" s="190"/>
      <c r="Z911" s="190"/>
      <c r="AA911" s="190"/>
      <c r="AB911" s="190"/>
      <c r="AC911" s="190"/>
      <c r="AD911" s="190"/>
      <c r="AE911" s="190"/>
      <c r="AF911" s="190"/>
      <c r="AG911" s="190"/>
      <c r="AH911" s="190"/>
      <c r="AI911" s="190"/>
      <c r="AJ911" s="190"/>
      <c r="AK911" s="190"/>
      <c r="AL911" s="190"/>
      <c r="AM911" s="603"/>
      <c r="AN911" s="190"/>
      <c r="AO911" s="190"/>
      <c r="AP911" s="190"/>
      <c r="AQ911" s="190"/>
      <c r="AR911" s="619"/>
      <c r="AS911" s="617"/>
    </row>
    <row r="912" spans="1:45">
      <c r="A912" s="190"/>
      <c r="B912" s="190"/>
      <c r="C912" s="190"/>
      <c r="D912" s="190"/>
      <c r="E912" s="190"/>
      <c r="F912" s="190"/>
      <c r="G912" s="190"/>
      <c r="H912" s="190"/>
      <c r="I912" s="190"/>
      <c r="J912" s="190"/>
      <c r="K912" s="190"/>
      <c r="L912" s="190"/>
      <c r="M912" s="190"/>
      <c r="N912" s="190"/>
      <c r="O912" s="190"/>
      <c r="P912" s="190"/>
      <c r="Q912" s="190"/>
      <c r="R912" s="588"/>
      <c r="S912" s="188"/>
      <c r="T912" s="190"/>
      <c r="U912" s="190"/>
      <c r="V912" s="190"/>
      <c r="W912" s="190"/>
      <c r="X912" s="190"/>
      <c r="Y912" s="190"/>
      <c r="Z912" s="190"/>
      <c r="AA912" s="190"/>
      <c r="AB912" s="190"/>
      <c r="AC912" s="190"/>
      <c r="AD912" s="190"/>
      <c r="AE912" s="190"/>
      <c r="AF912" s="190"/>
      <c r="AG912" s="190"/>
      <c r="AH912" s="190"/>
      <c r="AI912" s="190"/>
      <c r="AJ912" s="190"/>
      <c r="AK912" s="190"/>
      <c r="AL912" s="190"/>
      <c r="AM912" s="603"/>
      <c r="AN912" s="190"/>
      <c r="AO912" s="190"/>
      <c r="AP912" s="190"/>
      <c r="AQ912" s="190"/>
      <c r="AR912" s="619"/>
      <c r="AS912" s="617"/>
    </row>
    <row r="913" spans="1:45">
      <c r="A913" s="190"/>
      <c r="B913" s="190"/>
      <c r="C913" s="190"/>
      <c r="D913" s="190"/>
      <c r="E913" s="190"/>
      <c r="F913" s="190"/>
      <c r="G913" s="190"/>
      <c r="H913" s="190"/>
      <c r="I913" s="190"/>
      <c r="J913" s="190"/>
      <c r="K913" s="190"/>
      <c r="L913" s="190"/>
      <c r="M913" s="190"/>
      <c r="N913" s="190"/>
      <c r="O913" s="190"/>
      <c r="P913" s="190"/>
      <c r="Q913" s="190"/>
      <c r="R913" s="588"/>
      <c r="S913" s="188"/>
      <c r="T913" s="190"/>
      <c r="U913" s="190"/>
      <c r="V913" s="190"/>
      <c r="W913" s="190"/>
      <c r="X913" s="190"/>
      <c r="Y913" s="190"/>
      <c r="Z913" s="190"/>
      <c r="AA913" s="190"/>
      <c r="AB913" s="190"/>
      <c r="AC913" s="190"/>
      <c r="AD913" s="190"/>
      <c r="AE913" s="190"/>
      <c r="AF913" s="190"/>
      <c r="AG913" s="190"/>
      <c r="AH913" s="190"/>
      <c r="AI913" s="190"/>
      <c r="AJ913" s="190"/>
      <c r="AK913" s="190"/>
      <c r="AL913" s="190"/>
      <c r="AM913" s="603"/>
      <c r="AN913" s="190"/>
      <c r="AO913" s="190"/>
      <c r="AP913" s="190"/>
      <c r="AQ913" s="190"/>
      <c r="AR913" s="619"/>
      <c r="AS913" s="617"/>
    </row>
    <row r="914" spans="1:45">
      <c r="A914" s="190"/>
      <c r="B914" s="190"/>
      <c r="C914" s="190"/>
      <c r="D914" s="190"/>
      <c r="E914" s="190"/>
      <c r="F914" s="190"/>
      <c r="G914" s="190"/>
      <c r="H914" s="190"/>
      <c r="I914" s="190"/>
      <c r="J914" s="190"/>
      <c r="K914" s="190"/>
      <c r="L914" s="190"/>
      <c r="M914" s="190"/>
      <c r="N914" s="190"/>
      <c r="O914" s="190"/>
      <c r="P914" s="190"/>
      <c r="Q914" s="190"/>
      <c r="R914" s="588"/>
      <c r="S914" s="188"/>
      <c r="T914" s="190"/>
      <c r="U914" s="190"/>
      <c r="V914" s="190"/>
      <c r="W914" s="190"/>
      <c r="X914" s="190"/>
      <c r="Y914" s="190"/>
      <c r="Z914" s="190"/>
      <c r="AA914" s="190"/>
      <c r="AB914" s="190"/>
      <c r="AC914" s="190"/>
      <c r="AD914" s="190"/>
      <c r="AE914" s="190"/>
      <c r="AF914" s="190"/>
      <c r="AG914" s="190"/>
      <c r="AH914" s="190"/>
      <c r="AI914" s="190"/>
      <c r="AJ914" s="190"/>
      <c r="AK914" s="190"/>
      <c r="AL914" s="190"/>
      <c r="AM914" s="603"/>
      <c r="AN914" s="190"/>
      <c r="AO914" s="190"/>
      <c r="AP914" s="190"/>
      <c r="AQ914" s="190"/>
      <c r="AR914" s="619"/>
      <c r="AS914" s="617"/>
    </row>
    <row r="915" spans="1:45">
      <c r="A915" s="190"/>
      <c r="B915" s="190"/>
      <c r="C915" s="190"/>
      <c r="D915" s="190"/>
      <c r="E915" s="190"/>
      <c r="F915" s="190"/>
      <c r="G915" s="190"/>
      <c r="H915" s="190"/>
      <c r="I915" s="190"/>
      <c r="J915" s="190"/>
      <c r="K915" s="190"/>
      <c r="L915" s="190"/>
      <c r="M915" s="190"/>
      <c r="N915" s="190"/>
      <c r="O915" s="190"/>
      <c r="P915" s="190"/>
      <c r="Q915" s="190"/>
      <c r="R915" s="588"/>
      <c r="S915" s="188"/>
      <c r="T915" s="190"/>
      <c r="U915" s="190"/>
      <c r="V915" s="190"/>
      <c r="W915" s="190"/>
      <c r="X915" s="190"/>
      <c r="Y915" s="190"/>
      <c r="Z915" s="190"/>
      <c r="AA915" s="190"/>
      <c r="AB915" s="190"/>
      <c r="AC915" s="190"/>
      <c r="AD915" s="190"/>
      <c r="AE915" s="190"/>
      <c r="AF915" s="190"/>
      <c r="AG915" s="190"/>
      <c r="AH915" s="190"/>
      <c r="AI915" s="190"/>
      <c r="AJ915" s="190"/>
      <c r="AK915" s="190"/>
      <c r="AL915" s="190"/>
      <c r="AM915" s="603"/>
      <c r="AN915" s="190"/>
      <c r="AO915" s="190"/>
      <c r="AP915" s="190"/>
      <c r="AQ915" s="190"/>
      <c r="AR915" s="619"/>
      <c r="AS915" s="617"/>
    </row>
    <row r="916" spans="1:45">
      <c r="A916" s="190"/>
      <c r="B916" s="190"/>
      <c r="C916" s="190"/>
      <c r="D916" s="190"/>
      <c r="E916" s="190"/>
      <c r="F916" s="190"/>
      <c r="G916" s="190"/>
      <c r="H916" s="190"/>
      <c r="I916" s="190"/>
      <c r="J916" s="190"/>
      <c r="K916" s="190"/>
      <c r="L916" s="190"/>
      <c r="M916" s="190"/>
      <c r="N916" s="190"/>
      <c r="O916" s="190"/>
      <c r="P916" s="190"/>
      <c r="Q916" s="190"/>
      <c r="R916" s="588"/>
      <c r="S916" s="188"/>
      <c r="T916" s="190"/>
      <c r="U916" s="190"/>
      <c r="V916" s="190"/>
      <c r="W916" s="190"/>
      <c r="X916" s="190"/>
      <c r="Y916" s="190"/>
      <c r="Z916" s="190"/>
      <c r="AA916" s="190"/>
      <c r="AB916" s="190"/>
      <c r="AC916" s="190"/>
      <c r="AD916" s="190"/>
      <c r="AE916" s="190"/>
      <c r="AF916" s="190"/>
      <c r="AG916" s="190"/>
      <c r="AH916" s="190"/>
      <c r="AI916" s="190"/>
      <c r="AJ916" s="190"/>
      <c r="AK916" s="190"/>
      <c r="AL916" s="190"/>
      <c r="AM916" s="603"/>
      <c r="AN916" s="190"/>
      <c r="AO916" s="190"/>
      <c r="AP916" s="190"/>
      <c r="AQ916" s="190"/>
      <c r="AR916" s="619"/>
      <c r="AS916" s="617"/>
    </row>
    <row r="917" spans="1:45">
      <c r="A917" s="190"/>
      <c r="B917" s="190"/>
      <c r="C917" s="190"/>
      <c r="D917" s="190"/>
      <c r="E917" s="190"/>
      <c r="F917" s="190"/>
      <c r="G917" s="190"/>
      <c r="H917" s="190"/>
      <c r="I917" s="190"/>
      <c r="J917" s="190"/>
      <c r="K917" s="190"/>
      <c r="L917" s="190"/>
      <c r="M917" s="190"/>
      <c r="N917" s="190"/>
      <c r="O917" s="190"/>
      <c r="P917" s="190"/>
      <c r="Q917" s="190"/>
      <c r="R917" s="588"/>
      <c r="S917" s="188"/>
      <c r="T917" s="190"/>
      <c r="U917" s="190"/>
      <c r="V917" s="190"/>
      <c r="W917" s="190"/>
      <c r="X917" s="190"/>
      <c r="Y917" s="190"/>
      <c r="Z917" s="190"/>
      <c r="AA917" s="190"/>
      <c r="AB917" s="190"/>
      <c r="AC917" s="190"/>
      <c r="AD917" s="190"/>
      <c r="AE917" s="190"/>
      <c r="AF917" s="190"/>
      <c r="AG917" s="190"/>
      <c r="AH917" s="190"/>
      <c r="AI917" s="190"/>
      <c r="AJ917" s="190"/>
      <c r="AK917" s="190"/>
      <c r="AL917" s="190"/>
      <c r="AM917" s="603"/>
      <c r="AN917" s="190"/>
      <c r="AO917" s="190"/>
      <c r="AP917" s="190"/>
      <c r="AQ917" s="190"/>
      <c r="AR917" s="619"/>
      <c r="AS917" s="617"/>
    </row>
    <row r="918" spans="1:45">
      <c r="A918" s="190"/>
      <c r="B918" s="190"/>
      <c r="C918" s="190"/>
      <c r="D918" s="190"/>
      <c r="E918" s="190"/>
      <c r="F918" s="190"/>
      <c r="G918" s="190"/>
      <c r="H918" s="190"/>
      <c r="I918" s="190"/>
      <c r="J918" s="190"/>
      <c r="K918" s="190"/>
      <c r="L918" s="190"/>
      <c r="M918" s="190"/>
      <c r="N918" s="190"/>
      <c r="O918" s="190"/>
      <c r="P918" s="190"/>
      <c r="Q918" s="190"/>
      <c r="R918" s="588"/>
      <c r="S918" s="188"/>
      <c r="T918" s="190"/>
      <c r="U918" s="190"/>
      <c r="V918" s="190"/>
      <c r="W918" s="190"/>
      <c r="X918" s="190"/>
      <c r="Y918" s="190"/>
      <c r="Z918" s="190"/>
      <c r="AA918" s="190"/>
      <c r="AB918" s="190"/>
      <c r="AC918" s="190"/>
      <c r="AD918" s="190"/>
      <c r="AE918" s="190"/>
      <c r="AF918" s="190"/>
      <c r="AG918" s="190"/>
      <c r="AH918" s="190"/>
      <c r="AI918" s="190"/>
      <c r="AJ918" s="190"/>
      <c r="AK918" s="190"/>
      <c r="AL918" s="190"/>
      <c r="AM918" s="603"/>
      <c r="AN918" s="190"/>
      <c r="AO918" s="190"/>
      <c r="AP918" s="190"/>
      <c r="AQ918" s="190"/>
      <c r="AR918" s="619"/>
      <c r="AS918" s="617"/>
    </row>
    <row r="919" spans="1:45">
      <c r="A919" s="190"/>
      <c r="B919" s="190"/>
      <c r="C919" s="190"/>
      <c r="D919" s="190"/>
      <c r="E919" s="190"/>
      <c r="F919" s="190"/>
      <c r="G919" s="190"/>
      <c r="H919" s="190"/>
      <c r="I919" s="190"/>
      <c r="J919" s="190"/>
      <c r="K919" s="190"/>
      <c r="L919" s="190"/>
      <c r="M919" s="190"/>
      <c r="N919" s="190"/>
      <c r="O919" s="190"/>
      <c r="P919" s="190"/>
      <c r="Q919" s="190"/>
      <c r="R919" s="588"/>
      <c r="S919" s="188"/>
      <c r="T919" s="190"/>
      <c r="U919" s="190"/>
      <c r="V919" s="190"/>
      <c r="W919" s="190"/>
      <c r="X919" s="190"/>
      <c r="Y919" s="190"/>
      <c r="Z919" s="190"/>
      <c r="AA919" s="190"/>
      <c r="AB919" s="190"/>
      <c r="AC919" s="190"/>
      <c r="AD919" s="190"/>
      <c r="AE919" s="190"/>
      <c r="AF919" s="190"/>
      <c r="AG919" s="190"/>
      <c r="AH919" s="190"/>
      <c r="AI919" s="190"/>
      <c r="AJ919" s="190"/>
      <c r="AK919" s="190"/>
      <c r="AL919" s="190"/>
      <c r="AM919" s="603"/>
      <c r="AN919" s="190"/>
      <c r="AO919" s="190"/>
      <c r="AP919" s="190"/>
      <c r="AQ919" s="190"/>
      <c r="AR919" s="619"/>
      <c r="AS919" s="617"/>
    </row>
    <row r="920" spans="1:45">
      <c r="A920" s="190"/>
      <c r="B920" s="190"/>
      <c r="C920" s="190"/>
      <c r="D920" s="190"/>
      <c r="E920" s="190"/>
      <c r="F920" s="190"/>
      <c r="G920" s="190"/>
      <c r="H920" s="190"/>
      <c r="I920" s="190"/>
      <c r="J920" s="190"/>
      <c r="K920" s="190"/>
      <c r="L920" s="190"/>
      <c r="M920" s="190"/>
      <c r="N920" s="190"/>
      <c r="O920" s="190"/>
      <c r="P920" s="190"/>
      <c r="Q920" s="190"/>
      <c r="R920" s="588"/>
      <c r="S920" s="188"/>
      <c r="T920" s="190"/>
      <c r="U920" s="190"/>
      <c r="V920" s="190"/>
      <c r="W920" s="190"/>
      <c r="X920" s="190"/>
      <c r="Y920" s="190"/>
      <c r="Z920" s="190"/>
      <c r="AA920" s="190"/>
      <c r="AB920" s="190"/>
      <c r="AC920" s="190"/>
      <c r="AD920" s="190"/>
      <c r="AE920" s="190"/>
      <c r="AF920" s="190"/>
      <c r="AG920" s="190"/>
      <c r="AH920" s="190"/>
      <c r="AI920" s="190"/>
      <c r="AJ920" s="190"/>
      <c r="AK920" s="190"/>
      <c r="AL920" s="190"/>
      <c r="AM920" s="603"/>
      <c r="AN920" s="190"/>
      <c r="AO920" s="190"/>
      <c r="AP920" s="190"/>
      <c r="AQ920" s="190"/>
      <c r="AR920" s="619"/>
      <c r="AS920" s="617"/>
    </row>
    <row r="921" spans="1:45">
      <c r="A921" s="190"/>
      <c r="B921" s="190"/>
      <c r="C921" s="190"/>
      <c r="D921" s="190"/>
      <c r="E921" s="190"/>
      <c r="F921" s="190"/>
      <c r="G921" s="190"/>
      <c r="H921" s="190"/>
      <c r="I921" s="190"/>
      <c r="J921" s="190"/>
      <c r="K921" s="190"/>
      <c r="L921" s="190"/>
      <c r="M921" s="190"/>
      <c r="N921" s="190"/>
      <c r="O921" s="190"/>
      <c r="P921" s="190"/>
      <c r="Q921" s="190"/>
      <c r="R921" s="588"/>
      <c r="S921" s="188"/>
      <c r="T921" s="190"/>
      <c r="U921" s="190"/>
      <c r="V921" s="190"/>
      <c r="W921" s="190"/>
      <c r="X921" s="190"/>
      <c r="Y921" s="190"/>
      <c r="Z921" s="190"/>
      <c r="AA921" s="190"/>
      <c r="AB921" s="190"/>
      <c r="AC921" s="190"/>
      <c r="AD921" s="190"/>
      <c r="AE921" s="190"/>
      <c r="AF921" s="190"/>
      <c r="AG921" s="190"/>
      <c r="AH921" s="190"/>
      <c r="AI921" s="190"/>
      <c r="AJ921" s="190"/>
      <c r="AK921" s="190"/>
      <c r="AL921" s="190"/>
      <c r="AM921" s="603"/>
      <c r="AN921" s="190"/>
      <c r="AO921" s="190"/>
      <c r="AP921" s="190"/>
      <c r="AQ921" s="190"/>
      <c r="AR921" s="619"/>
      <c r="AS921" s="617"/>
    </row>
    <row r="922" spans="1:45">
      <c r="A922" s="190"/>
      <c r="B922" s="190"/>
      <c r="C922" s="190"/>
      <c r="D922" s="190"/>
      <c r="E922" s="190"/>
      <c r="F922" s="190"/>
      <c r="G922" s="190"/>
      <c r="H922" s="190"/>
      <c r="I922" s="190"/>
      <c r="J922" s="190"/>
      <c r="K922" s="190"/>
      <c r="L922" s="190"/>
      <c r="M922" s="190"/>
      <c r="N922" s="190"/>
      <c r="O922" s="190"/>
      <c r="P922" s="190"/>
      <c r="Q922" s="190"/>
      <c r="R922" s="588"/>
      <c r="S922" s="188"/>
      <c r="T922" s="190"/>
      <c r="U922" s="190"/>
      <c r="V922" s="190"/>
      <c r="W922" s="190"/>
      <c r="X922" s="190"/>
      <c r="Y922" s="190"/>
      <c r="Z922" s="190"/>
      <c r="AA922" s="190"/>
      <c r="AB922" s="190"/>
      <c r="AC922" s="190"/>
      <c r="AD922" s="190"/>
      <c r="AE922" s="190"/>
      <c r="AF922" s="190"/>
      <c r="AG922" s="190"/>
      <c r="AH922" s="190"/>
      <c r="AI922" s="190"/>
      <c r="AJ922" s="190"/>
      <c r="AK922" s="190"/>
      <c r="AL922" s="190"/>
      <c r="AM922" s="603"/>
      <c r="AN922" s="190"/>
      <c r="AO922" s="190"/>
      <c r="AP922" s="190"/>
      <c r="AQ922" s="190"/>
      <c r="AR922" s="619"/>
      <c r="AS922" s="617"/>
    </row>
    <row r="923" spans="1:45">
      <c r="A923" s="190"/>
      <c r="B923" s="190"/>
      <c r="C923" s="190"/>
      <c r="D923" s="190"/>
      <c r="E923" s="190"/>
      <c r="F923" s="190"/>
      <c r="G923" s="190"/>
      <c r="H923" s="190"/>
      <c r="I923" s="190"/>
      <c r="J923" s="190"/>
      <c r="K923" s="190"/>
      <c r="L923" s="190"/>
      <c r="M923" s="190"/>
      <c r="N923" s="190"/>
      <c r="O923" s="190"/>
      <c r="P923" s="190"/>
      <c r="Q923" s="190"/>
      <c r="R923" s="588"/>
      <c r="S923" s="188"/>
      <c r="T923" s="190"/>
      <c r="U923" s="190"/>
      <c r="V923" s="190"/>
      <c r="W923" s="190"/>
      <c r="X923" s="190"/>
      <c r="Y923" s="190"/>
      <c r="Z923" s="190"/>
      <c r="AA923" s="190"/>
      <c r="AB923" s="190"/>
      <c r="AC923" s="190"/>
      <c r="AD923" s="190"/>
      <c r="AE923" s="190"/>
      <c r="AF923" s="190"/>
      <c r="AG923" s="190"/>
      <c r="AH923" s="190"/>
      <c r="AI923" s="190"/>
      <c r="AJ923" s="190"/>
      <c r="AK923" s="190"/>
      <c r="AL923" s="190"/>
      <c r="AM923" s="603"/>
      <c r="AN923" s="190"/>
      <c r="AO923" s="190"/>
      <c r="AP923" s="190"/>
      <c r="AQ923" s="190"/>
      <c r="AR923" s="619"/>
      <c r="AS923" s="617"/>
    </row>
    <row r="924" spans="1:45">
      <c r="A924" s="190"/>
      <c r="B924" s="190"/>
      <c r="C924" s="190"/>
      <c r="D924" s="190"/>
      <c r="E924" s="190"/>
      <c r="F924" s="190"/>
      <c r="G924" s="190"/>
      <c r="H924" s="190"/>
      <c r="I924" s="190"/>
      <c r="J924" s="190"/>
      <c r="K924" s="190"/>
      <c r="L924" s="190"/>
      <c r="M924" s="190"/>
      <c r="N924" s="190"/>
      <c r="O924" s="190"/>
      <c r="P924" s="190"/>
      <c r="Q924" s="190"/>
      <c r="R924" s="588"/>
      <c r="S924" s="188"/>
      <c r="T924" s="190"/>
      <c r="U924" s="190"/>
      <c r="V924" s="190"/>
      <c r="W924" s="190"/>
      <c r="X924" s="190"/>
      <c r="Y924" s="190"/>
      <c r="Z924" s="190"/>
      <c r="AA924" s="190"/>
      <c r="AB924" s="190"/>
      <c r="AC924" s="190"/>
      <c r="AD924" s="190"/>
      <c r="AE924" s="190"/>
      <c r="AF924" s="190"/>
      <c r="AG924" s="190"/>
      <c r="AH924" s="190"/>
      <c r="AI924" s="190"/>
      <c r="AJ924" s="190"/>
      <c r="AK924" s="190"/>
      <c r="AL924" s="190"/>
      <c r="AM924" s="603"/>
      <c r="AN924" s="190"/>
      <c r="AO924" s="190"/>
      <c r="AP924" s="190"/>
      <c r="AQ924" s="190"/>
      <c r="AR924" s="619"/>
      <c r="AS924" s="617"/>
    </row>
    <row r="925" spans="1:45">
      <c r="A925" s="188"/>
      <c r="B925" s="190"/>
      <c r="C925" s="190"/>
      <c r="D925" s="190"/>
      <c r="E925" s="190"/>
      <c r="F925" s="190"/>
      <c r="G925" s="190"/>
      <c r="H925" s="190"/>
      <c r="I925" s="190"/>
      <c r="J925" s="190"/>
      <c r="K925" s="190"/>
      <c r="L925" s="190"/>
      <c r="M925" s="190"/>
      <c r="N925" s="190"/>
      <c r="O925" s="190"/>
      <c r="P925" s="190"/>
      <c r="Q925" s="190"/>
      <c r="R925" s="588"/>
      <c r="S925" s="188"/>
      <c r="T925" s="190"/>
      <c r="U925" s="190"/>
      <c r="V925" s="190"/>
      <c r="W925" s="190"/>
      <c r="X925" s="190"/>
      <c r="Y925" s="190"/>
      <c r="Z925" s="190"/>
      <c r="AA925" s="190"/>
      <c r="AB925" s="190"/>
      <c r="AC925" s="190"/>
      <c r="AD925" s="190"/>
      <c r="AE925" s="190"/>
      <c r="AF925" s="190"/>
      <c r="AG925" s="190"/>
      <c r="AH925" s="190"/>
      <c r="AI925" s="190"/>
      <c r="AJ925" s="190"/>
      <c r="AK925" s="190"/>
      <c r="AL925" s="190"/>
      <c r="AM925" s="603"/>
      <c r="AN925" s="190"/>
      <c r="AO925" s="190"/>
      <c r="AP925" s="190"/>
      <c r="AQ925" s="190"/>
      <c r="AR925" s="619"/>
      <c r="AS925" s="617"/>
    </row>
    <row r="926" spans="1:45">
      <c r="A926" s="188"/>
      <c r="B926" s="190"/>
      <c r="C926" s="190"/>
      <c r="D926" s="190"/>
      <c r="E926" s="190"/>
      <c r="F926" s="190"/>
      <c r="G926" s="190"/>
      <c r="H926" s="190"/>
      <c r="I926" s="190"/>
      <c r="J926" s="190"/>
      <c r="K926" s="190"/>
      <c r="L926" s="190"/>
      <c r="M926" s="190"/>
      <c r="N926" s="190"/>
      <c r="O926" s="190"/>
      <c r="P926" s="190"/>
      <c r="Q926" s="190"/>
      <c r="R926" s="588"/>
      <c r="S926" s="188"/>
      <c r="T926" s="190"/>
      <c r="U926" s="190"/>
      <c r="V926" s="190"/>
      <c r="W926" s="190"/>
      <c r="X926" s="190"/>
      <c r="Y926" s="190"/>
      <c r="Z926" s="190"/>
      <c r="AA926" s="190"/>
      <c r="AB926" s="190"/>
      <c r="AC926" s="190"/>
      <c r="AD926" s="190"/>
      <c r="AE926" s="190"/>
      <c r="AF926" s="190"/>
      <c r="AG926" s="190"/>
      <c r="AH926" s="190"/>
      <c r="AI926" s="190"/>
      <c r="AJ926" s="190"/>
      <c r="AK926" s="190"/>
      <c r="AL926" s="190"/>
      <c r="AM926" s="603"/>
      <c r="AN926" s="190"/>
      <c r="AO926" s="190"/>
      <c r="AP926" s="190"/>
      <c r="AQ926" s="190"/>
      <c r="AR926" s="619"/>
      <c r="AS926" s="617"/>
    </row>
    <row r="927" spans="1:45">
      <c r="A927" s="188"/>
      <c r="B927" s="190"/>
      <c r="C927" s="190"/>
      <c r="D927" s="190"/>
      <c r="E927" s="190"/>
      <c r="F927" s="190"/>
      <c r="G927" s="190"/>
      <c r="H927" s="190"/>
      <c r="I927" s="190"/>
      <c r="J927" s="190"/>
      <c r="K927" s="190"/>
      <c r="L927" s="190"/>
      <c r="M927" s="190"/>
      <c r="N927" s="190"/>
      <c r="O927" s="190"/>
      <c r="P927" s="190"/>
      <c r="Q927" s="190"/>
      <c r="R927" s="588"/>
      <c r="S927" s="188"/>
      <c r="T927" s="190"/>
      <c r="U927" s="190"/>
      <c r="V927" s="190"/>
      <c r="W927" s="190"/>
      <c r="X927" s="190"/>
      <c r="Y927" s="190"/>
      <c r="Z927" s="190"/>
      <c r="AA927" s="190"/>
      <c r="AB927" s="190"/>
      <c r="AC927" s="190"/>
      <c r="AD927" s="190"/>
      <c r="AE927" s="190"/>
      <c r="AF927" s="190"/>
      <c r="AG927" s="190"/>
      <c r="AH927" s="190"/>
      <c r="AI927" s="190"/>
      <c r="AJ927" s="190"/>
      <c r="AK927" s="190"/>
      <c r="AL927" s="190"/>
      <c r="AM927" s="603"/>
      <c r="AN927" s="190"/>
      <c r="AO927" s="190"/>
      <c r="AP927" s="190"/>
      <c r="AQ927" s="190"/>
      <c r="AR927" s="619"/>
      <c r="AS927" s="617"/>
    </row>
    <row r="928" spans="1:45">
      <c r="A928" s="188"/>
      <c r="B928" s="190"/>
      <c r="C928" s="190"/>
      <c r="D928" s="190"/>
      <c r="E928" s="190"/>
      <c r="F928" s="190"/>
      <c r="G928" s="190"/>
      <c r="H928" s="190"/>
      <c r="I928" s="190"/>
      <c r="J928" s="190"/>
      <c r="K928" s="190"/>
      <c r="L928" s="190"/>
      <c r="M928" s="190"/>
      <c r="N928" s="190"/>
      <c r="O928" s="190"/>
      <c r="P928" s="190"/>
      <c r="Q928" s="190"/>
      <c r="R928" s="588"/>
      <c r="S928" s="188"/>
      <c r="T928" s="190"/>
      <c r="U928" s="190"/>
      <c r="V928" s="190"/>
      <c r="W928" s="190"/>
      <c r="X928" s="190"/>
      <c r="Y928" s="190"/>
      <c r="Z928" s="190"/>
      <c r="AA928" s="190"/>
      <c r="AB928" s="190"/>
      <c r="AC928" s="190"/>
      <c r="AD928" s="190"/>
      <c r="AE928" s="190"/>
      <c r="AF928" s="190"/>
      <c r="AG928" s="190"/>
      <c r="AH928" s="190"/>
      <c r="AI928" s="190"/>
      <c r="AJ928" s="190"/>
      <c r="AK928" s="190"/>
      <c r="AL928" s="190"/>
      <c r="AM928" s="603"/>
      <c r="AN928" s="190"/>
      <c r="AO928" s="190"/>
      <c r="AP928" s="190"/>
      <c r="AQ928" s="190"/>
      <c r="AR928" s="619"/>
      <c r="AS928" s="617"/>
    </row>
    <row r="929" spans="1:45">
      <c r="A929" s="188"/>
      <c r="B929" s="190"/>
      <c r="C929" s="190"/>
      <c r="D929" s="190"/>
      <c r="E929" s="190"/>
      <c r="F929" s="190"/>
      <c r="G929" s="190"/>
      <c r="H929" s="190"/>
      <c r="I929" s="190"/>
      <c r="J929" s="190"/>
      <c r="K929" s="190"/>
      <c r="L929" s="190"/>
      <c r="M929" s="190"/>
      <c r="N929" s="190"/>
      <c r="O929" s="190"/>
      <c r="P929" s="190"/>
      <c r="Q929" s="190"/>
      <c r="R929" s="588"/>
      <c r="S929" s="188"/>
      <c r="T929" s="190"/>
      <c r="U929" s="190"/>
      <c r="V929" s="190"/>
      <c r="W929" s="190"/>
      <c r="X929" s="190"/>
      <c r="Y929" s="190"/>
      <c r="Z929" s="190"/>
      <c r="AA929" s="190"/>
      <c r="AB929" s="190"/>
      <c r="AC929" s="190"/>
      <c r="AD929" s="190"/>
      <c r="AE929" s="190"/>
      <c r="AF929" s="190"/>
      <c r="AG929" s="190"/>
      <c r="AH929" s="190"/>
      <c r="AI929" s="190"/>
      <c r="AJ929" s="190"/>
      <c r="AK929" s="190"/>
      <c r="AL929" s="190"/>
      <c r="AM929" s="603"/>
      <c r="AN929" s="190"/>
      <c r="AO929" s="190"/>
      <c r="AP929" s="190"/>
      <c r="AQ929" s="190"/>
      <c r="AR929" s="619"/>
      <c r="AS929" s="617"/>
    </row>
    <row r="930" spans="1:45">
      <c r="A930" s="188"/>
      <c r="B930" s="190"/>
      <c r="C930" s="190"/>
      <c r="D930" s="190"/>
      <c r="E930" s="190"/>
      <c r="F930" s="190"/>
      <c r="G930" s="190"/>
      <c r="H930" s="190"/>
      <c r="I930" s="190"/>
      <c r="J930" s="190"/>
      <c r="K930" s="190"/>
      <c r="L930" s="190"/>
      <c r="M930" s="190"/>
      <c r="N930" s="190"/>
      <c r="O930" s="190"/>
      <c r="P930" s="190"/>
      <c r="Q930" s="190"/>
      <c r="R930" s="588"/>
      <c r="S930" s="188"/>
      <c r="T930" s="190"/>
      <c r="U930" s="190"/>
      <c r="V930" s="190"/>
      <c r="W930" s="190"/>
      <c r="X930" s="190"/>
      <c r="Y930" s="190"/>
      <c r="Z930" s="190"/>
      <c r="AA930" s="190"/>
      <c r="AB930" s="190"/>
      <c r="AC930" s="190"/>
      <c r="AD930" s="190"/>
      <c r="AE930" s="190"/>
      <c r="AF930" s="190"/>
      <c r="AG930" s="190"/>
      <c r="AH930" s="190"/>
      <c r="AI930" s="190"/>
      <c r="AJ930" s="190"/>
      <c r="AK930" s="190"/>
      <c r="AL930" s="190"/>
      <c r="AM930" s="603"/>
      <c r="AN930" s="190"/>
      <c r="AO930" s="190"/>
      <c r="AP930" s="190"/>
      <c r="AQ930" s="190"/>
      <c r="AR930" s="619"/>
      <c r="AS930" s="617"/>
    </row>
    <row r="931" spans="1:45">
      <c r="A931" s="188"/>
      <c r="B931" s="190"/>
      <c r="C931" s="190"/>
      <c r="D931" s="190"/>
      <c r="E931" s="190"/>
      <c r="F931" s="190"/>
      <c r="G931" s="190"/>
      <c r="H931" s="190"/>
      <c r="I931" s="190"/>
      <c r="J931" s="190"/>
      <c r="K931" s="190"/>
      <c r="L931" s="190"/>
      <c r="M931" s="190"/>
      <c r="N931" s="190"/>
      <c r="O931" s="190"/>
      <c r="P931" s="190"/>
      <c r="Q931" s="190"/>
      <c r="R931" s="588"/>
      <c r="S931" s="188"/>
      <c r="T931" s="190"/>
      <c r="U931" s="190"/>
      <c r="V931" s="190"/>
      <c r="W931" s="190"/>
      <c r="X931" s="190"/>
      <c r="Y931" s="190"/>
      <c r="Z931" s="190"/>
      <c r="AA931" s="190"/>
      <c r="AB931" s="190"/>
      <c r="AC931" s="190"/>
      <c r="AD931" s="190"/>
      <c r="AE931" s="190"/>
      <c r="AF931" s="190"/>
      <c r="AG931" s="190"/>
      <c r="AH931" s="190"/>
      <c r="AI931" s="190"/>
      <c r="AJ931" s="190"/>
      <c r="AK931" s="190"/>
      <c r="AL931" s="190"/>
      <c r="AM931" s="603"/>
      <c r="AN931" s="190"/>
      <c r="AO931" s="190"/>
      <c r="AP931" s="190"/>
      <c r="AQ931" s="190"/>
      <c r="AR931" s="619"/>
      <c r="AS931" s="617"/>
    </row>
    <row r="932" spans="1:45">
      <c r="A932" s="188"/>
      <c r="B932" s="190"/>
      <c r="C932" s="190"/>
      <c r="D932" s="190"/>
      <c r="E932" s="190"/>
      <c r="F932" s="190"/>
      <c r="G932" s="190"/>
      <c r="H932" s="190"/>
      <c r="I932" s="190"/>
      <c r="J932" s="190"/>
      <c r="K932" s="190"/>
      <c r="L932" s="190"/>
      <c r="M932" s="190"/>
      <c r="N932" s="190"/>
      <c r="O932" s="190"/>
      <c r="P932" s="190"/>
      <c r="Q932" s="190"/>
      <c r="R932" s="588"/>
      <c r="S932" s="188"/>
      <c r="T932" s="190"/>
      <c r="U932" s="190"/>
      <c r="V932" s="190"/>
      <c r="W932" s="190"/>
      <c r="X932" s="190"/>
      <c r="Y932" s="190"/>
      <c r="Z932" s="190"/>
      <c r="AA932" s="190"/>
      <c r="AB932" s="190"/>
      <c r="AC932" s="190"/>
      <c r="AD932" s="190"/>
      <c r="AE932" s="190"/>
      <c r="AF932" s="190"/>
      <c r="AG932" s="190"/>
      <c r="AH932" s="190"/>
      <c r="AI932" s="190"/>
      <c r="AJ932" s="190"/>
      <c r="AK932" s="190"/>
      <c r="AL932" s="190"/>
      <c r="AM932" s="603"/>
      <c r="AN932" s="190"/>
      <c r="AO932" s="190"/>
      <c r="AP932" s="190"/>
      <c r="AQ932" s="190"/>
      <c r="AR932" s="619"/>
      <c r="AS932" s="617"/>
    </row>
    <row r="933" spans="1:45">
      <c r="A933" s="188"/>
      <c r="B933" s="190"/>
      <c r="C933" s="190"/>
      <c r="D933" s="190"/>
      <c r="E933" s="190"/>
      <c r="F933" s="190"/>
      <c r="G933" s="190"/>
      <c r="H933" s="190"/>
      <c r="I933" s="190"/>
      <c r="J933" s="190"/>
      <c r="K933" s="190"/>
      <c r="L933" s="190"/>
      <c r="M933" s="190"/>
      <c r="N933" s="190"/>
      <c r="O933" s="190"/>
      <c r="P933" s="190"/>
      <c r="Q933" s="190"/>
      <c r="R933" s="588"/>
      <c r="S933" s="188"/>
      <c r="T933" s="190"/>
      <c r="U933" s="190"/>
      <c r="V933" s="190"/>
      <c r="W933" s="190"/>
      <c r="X933" s="190"/>
      <c r="Y933" s="190"/>
      <c r="Z933" s="190"/>
      <c r="AA933" s="190"/>
      <c r="AB933" s="190"/>
      <c r="AC933" s="190"/>
      <c r="AD933" s="190"/>
      <c r="AE933" s="190"/>
      <c r="AF933" s="190"/>
      <c r="AG933" s="190"/>
      <c r="AH933" s="190"/>
      <c r="AI933" s="190"/>
      <c r="AJ933" s="190"/>
      <c r="AK933" s="190"/>
      <c r="AL933" s="190"/>
      <c r="AM933" s="603"/>
      <c r="AN933" s="190"/>
      <c r="AO933" s="190"/>
      <c r="AP933" s="190"/>
      <c r="AQ933" s="190"/>
      <c r="AR933" s="619"/>
      <c r="AS933" s="617"/>
    </row>
    <row r="934" spans="1:45">
      <c r="A934" s="188"/>
      <c r="B934" s="190"/>
      <c r="C934" s="190"/>
      <c r="D934" s="190"/>
      <c r="E934" s="190"/>
      <c r="F934" s="190"/>
      <c r="G934" s="190"/>
      <c r="H934" s="190"/>
      <c r="I934" s="190"/>
      <c r="J934" s="190"/>
      <c r="K934" s="190"/>
      <c r="L934" s="190"/>
      <c r="M934" s="190"/>
      <c r="N934" s="190"/>
      <c r="O934" s="190"/>
      <c r="P934" s="190"/>
      <c r="Q934" s="190"/>
      <c r="R934" s="588"/>
      <c r="S934" s="188"/>
      <c r="T934" s="190"/>
      <c r="U934" s="190"/>
      <c r="V934" s="190"/>
      <c r="W934" s="190"/>
      <c r="X934" s="190"/>
      <c r="Y934" s="190"/>
      <c r="Z934" s="190"/>
      <c r="AA934" s="190"/>
      <c r="AB934" s="190"/>
      <c r="AC934" s="190"/>
      <c r="AD934" s="190"/>
      <c r="AE934" s="190"/>
      <c r="AF934" s="190"/>
      <c r="AG934" s="190"/>
      <c r="AH934" s="190"/>
      <c r="AI934" s="190"/>
      <c r="AJ934" s="190"/>
      <c r="AK934" s="190"/>
      <c r="AL934" s="190"/>
      <c r="AM934" s="603"/>
      <c r="AN934" s="190"/>
      <c r="AO934" s="190"/>
      <c r="AP934" s="190"/>
      <c r="AQ934" s="190"/>
      <c r="AR934" s="619"/>
      <c r="AS934" s="617"/>
    </row>
    <row r="935" spans="1:45">
      <c r="A935" s="188"/>
      <c r="B935" s="190"/>
      <c r="C935" s="190"/>
      <c r="D935" s="190"/>
      <c r="E935" s="190"/>
      <c r="F935" s="190"/>
      <c r="G935" s="190"/>
      <c r="H935" s="190"/>
      <c r="I935" s="190"/>
      <c r="J935" s="190"/>
      <c r="K935" s="190"/>
      <c r="L935" s="190"/>
      <c r="M935" s="190"/>
      <c r="N935" s="190"/>
      <c r="O935" s="190"/>
      <c r="P935" s="190"/>
      <c r="Q935" s="190"/>
      <c r="R935" s="588"/>
      <c r="S935" s="188"/>
      <c r="T935" s="190"/>
      <c r="U935" s="190"/>
      <c r="V935" s="190"/>
      <c r="W935" s="190"/>
      <c r="X935" s="190"/>
      <c r="Y935" s="190"/>
      <c r="Z935" s="190"/>
      <c r="AA935" s="190"/>
      <c r="AB935" s="190"/>
      <c r="AC935" s="190"/>
      <c r="AD935" s="190"/>
      <c r="AE935" s="190"/>
      <c r="AF935" s="190"/>
      <c r="AG935" s="190"/>
      <c r="AH935" s="190"/>
      <c r="AI935" s="190"/>
      <c r="AJ935" s="190"/>
      <c r="AK935" s="190"/>
      <c r="AL935" s="190"/>
      <c r="AM935" s="603"/>
      <c r="AN935" s="190"/>
      <c r="AO935" s="190"/>
      <c r="AP935" s="190"/>
      <c r="AQ935" s="190"/>
      <c r="AR935" s="619"/>
      <c r="AS935" s="617"/>
    </row>
    <row r="936" spans="1:45">
      <c r="A936" s="188"/>
      <c r="B936" s="190"/>
      <c r="C936" s="190"/>
      <c r="D936" s="190"/>
      <c r="E936" s="190"/>
      <c r="F936" s="190"/>
      <c r="G936" s="190"/>
      <c r="H936" s="190"/>
      <c r="I936" s="190"/>
      <c r="J936" s="190"/>
      <c r="K936" s="190"/>
      <c r="L936" s="190"/>
      <c r="M936" s="190"/>
      <c r="N936" s="190"/>
      <c r="O936" s="190"/>
      <c r="P936" s="190"/>
      <c r="Q936" s="190"/>
      <c r="R936" s="588"/>
      <c r="S936" s="188"/>
      <c r="T936" s="190"/>
      <c r="U936" s="190"/>
      <c r="V936" s="190"/>
      <c r="W936" s="190"/>
      <c r="X936" s="190"/>
      <c r="Y936" s="190"/>
      <c r="Z936" s="190"/>
      <c r="AA936" s="190"/>
      <c r="AB936" s="190"/>
      <c r="AC936" s="190"/>
      <c r="AD936" s="190"/>
      <c r="AE936" s="190"/>
      <c r="AF936" s="190"/>
      <c r="AG936" s="190"/>
      <c r="AH936" s="190"/>
      <c r="AI936" s="190"/>
      <c r="AJ936" s="190"/>
      <c r="AK936" s="190"/>
      <c r="AL936" s="190"/>
      <c r="AM936" s="603"/>
      <c r="AN936" s="190"/>
      <c r="AO936" s="190"/>
      <c r="AP936" s="190"/>
      <c r="AQ936" s="190"/>
      <c r="AR936" s="619"/>
      <c r="AS936" s="617"/>
    </row>
    <row r="937" spans="1:45">
      <c r="A937" s="188"/>
      <c r="B937" s="190"/>
      <c r="C937" s="190"/>
      <c r="D937" s="190"/>
      <c r="E937" s="190"/>
      <c r="F937" s="190"/>
      <c r="G937" s="190"/>
      <c r="H937" s="190"/>
      <c r="I937" s="190"/>
      <c r="J937" s="190"/>
      <c r="K937" s="190"/>
      <c r="L937" s="190"/>
      <c r="M937" s="190"/>
      <c r="N937" s="190"/>
      <c r="O937" s="190"/>
      <c r="P937" s="190"/>
      <c r="Q937" s="190"/>
      <c r="R937" s="588"/>
      <c r="S937" s="188"/>
      <c r="T937" s="190"/>
      <c r="U937" s="190"/>
      <c r="V937" s="190"/>
      <c r="W937" s="190"/>
      <c r="X937" s="190"/>
      <c r="Y937" s="190"/>
      <c r="Z937" s="190"/>
      <c r="AA937" s="190"/>
      <c r="AB937" s="190"/>
      <c r="AC937" s="190"/>
      <c r="AD937" s="190"/>
      <c r="AE937" s="190"/>
      <c r="AF937" s="190"/>
      <c r="AG937" s="190"/>
      <c r="AH937" s="190"/>
      <c r="AI937" s="190"/>
      <c r="AJ937" s="190"/>
      <c r="AK937" s="190"/>
      <c r="AL937" s="190"/>
      <c r="AM937" s="603"/>
      <c r="AN937" s="190"/>
      <c r="AO937" s="190"/>
      <c r="AP937" s="190"/>
      <c r="AQ937" s="190"/>
      <c r="AR937" s="619"/>
      <c r="AS937" s="617"/>
    </row>
    <row r="938" spans="1:45">
      <c r="A938" s="188"/>
      <c r="B938" s="190"/>
      <c r="C938" s="190"/>
      <c r="D938" s="190"/>
      <c r="E938" s="190"/>
      <c r="F938" s="190"/>
      <c r="G938" s="190"/>
      <c r="H938" s="190"/>
      <c r="I938" s="190"/>
      <c r="J938" s="190"/>
      <c r="K938" s="190"/>
      <c r="L938" s="190"/>
      <c r="M938" s="190"/>
      <c r="N938" s="190"/>
      <c r="O938" s="190"/>
      <c r="P938" s="190"/>
      <c r="Q938" s="190"/>
      <c r="R938" s="588"/>
      <c r="S938" s="188"/>
      <c r="T938" s="190"/>
      <c r="U938" s="190"/>
      <c r="V938" s="190"/>
      <c r="W938" s="190"/>
      <c r="X938" s="190"/>
      <c r="Y938" s="190"/>
      <c r="Z938" s="190"/>
      <c r="AA938" s="190"/>
      <c r="AB938" s="190"/>
      <c r="AC938" s="190"/>
      <c r="AD938" s="190"/>
      <c r="AE938" s="190"/>
      <c r="AF938" s="190"/>
      <c r="AG938" s="190"/>
      <c r="AH938" s="190"/>
      <c r="AI938" s="190"/>
      <c r="AJ938" s="190"/>
      <c r="AK938" s="190"/>
      <c r="AL938" s="190"/>
      <c r="AM938" s="603"/>
      <c r="AN938" s="190"/>
      <c r="AO938" s="190"/>
      <c r="AP938" s="190"/>
      <c r="AQ938" s="190"/>
      <c r="AR938" s="619"/>
      <c r="AS938" s="617"/>
    </row>
    <row r="939" spans="1:45">
      <c r="A939" s="188"/>
      <c r="B939" s="190"/>
      <c r="C939" s="190"/>
      <c r="D939" s="190"/>
      <c r="E939" s="190"/>
      <c r="F939" s="190"/>
      <c r="G939" s="190"/>
      <c r="H939" s="190"/>
      <c r="I939" s="190"/>
      <c r="J939" s="190"/>
      <c r="K939" s="190"/>
      <c r="L939" s="190"/>
      <c r="M939" s="190"/>
      <c r="N939" s="190"/>
      <c r="O939" s="190"/>
      <c r="P939" s="190"/>
      <c r="Q939" s="190"/>
      <c r="R939" s="588"/>
      <c r="S939" s="188"/>
      <c r="T939" s="190"/>
      <c r="U939" s="190"/>
      <c r="V939" s="190"/>
      <c r="W939" s="190"/>
      <c r="X939" s="190"/>
      <c r="Y939" s="190"/>
      <c r="Z939" s="190"/>
      <c r="AA939" s="190"/>
      <c r="AB939" s="190"/>
      <c r="AC939" s="190"/>
      <c r="AD939" s="190"/>
      <c r="AE939" s="190"/>
      <c r="AF939" s="190"/>
      <c r="AG939" s="190"/>
      <c r="AH939" s="190"/>
      <c r="AI939" s="190"/>
      <c r="AJ939" s="190"/>
      <c r="AK939" s="190"/>
      <c r="AL939" s="190"/>
      <c r="AM939" s="603"/>
      <c r="AN939" s="190"/>
      <c r="AO939" s="190"/>
      <c r="AP939" s="190"/>
      <c r="AQ939" s="190"/>
      <c r="AR939" s="619"/>
      <c r="AS939" s="617"/>
    </row>
    <row r="940" spans="1:45">
      <c r="A940" s="188"/>
      <c r="B940" s="190"/>
      <c r="C940" s="190"/>
      <c r="D940" s="190"/>
      <c r="E940" s="190"/>
      <c r="F940" s="190"/>
      <c r="G940" s="190"/>
      <c r="H940" s="190"/>
      <c r="I940" s="190"/>
      <c r="J940" s="190"/>
      <c r="K940" s="190"/>
      <c r="L940" s="190"/>
      <c r="M940" s="190"/>
      <c r="N940" s="190"/>
      <c r="O940" s="190"/>
      <c r="P940" s="190"/>
      <c r="Q940" s="190"/>
      <c r="R940" s="588"/>
      <c r="S940" s="188"/>
      <c r="T940" s="190"/>
      <c r="U940" s="190"/>
      <c r="V940" s="190"/>
      <c r="W940" s="190"/>
      <c r="X940" s="190"/>
      <c r="Y940" s="190"/>
      <c r="Z940" s="190"/>
      <c r="AA940" s="190"/>
      <c r="AB940" s="190"/>
      <c r="AC940" s="190"/>
      <c r="AD940" s="190"/>
      <c r="AE940" s="190"/>
      <c r="AF940" s="190"/>
      <c r="AG940" s="190"/>
      <c r="AH940" s="190"/>
      <c r="AI940" s="190"/>
      <c r="AJ940" s="190"/>
      <c r="AK940" s="190"/>
      <c r="AL940" s="190"/>
      <c r="AM940" s="603"/>
      <c r="AN940" s="190"/>
      <c r="AO940" s="190"/>
      <c r="AP940" s="190"/>
      <c r="AQ940" s="190"/>
      <c r="AR940" s="619"/>
      <c r="AS940" s="617"/>
    </row>
    <row r="941" spans="1:45">
      <c r="A941" s="188"/>
      <c r="B941" s="190"/>
      <c r="C941" s="190"/>
      <c r="D941" s="190"/>
      <c r="E941" s="190"/>
      <c r="F941" s="190"/>
      <c r="G941" s="190"/>
      <c r="H941" s="190"/>
      <c r="I941" s="190"/>
      <c r="J941" s="190"/>
      <c r="K941" s="190"/>
      <c r="L941" s="190"/>
      <c r="M941" s="190"/>
      <c r="N941" s="190"/>
      <c r="O941" s="190"/>
      <c r="P941" s="190"/>
      <c r="Q941" s="190"/>
      <c r="R941" s="588"/>
      <c r="S941" s="188"/>
      <c r="T941" s="190"/>
      <c r="U941" s="190"/>
      <c r="V941" s="190"/>
      <c r="W941" s="190"/>
      <c r="X941" s="190"/>
      <c r="Y941" s="190"/>
      <c r="Z941" s="190"/>
      <c r="AA941" s="190"/>
      <c r="AB941" s="190"/>
      <c r="AC941" s="190"/>
      <c r="AD941" s="190"/>
      <c r="AE941" s="190"/>
      <c r="AF941" s="190"/>
      <c r="AG941" s="190"/>
      <c r="AH941" s="190"/>
      <c r="AI941" s="190"/>
      <c r="AJ941" s="190"/>
      <c r="AK941" s="190"/>
      <c r="AL941" s="190"/>
      <c r="AM941" s="603"/>
      <c r="AN941" s="190"/>
      <c r="AO941" s="190"/>
      <c r="AP941" s="190"/>
      <c r="AQ941" s="190"/>
      <c r="AR941" s="619"/>
      <c r="AS941" s="617"/>
    </row>
    <row r="942" spans="1:45">
      <c r="A942" s="188"/>
      <c r="B942" s="190"/>
      <c r="C942" s="190"/>
      <c r="D942" s="190"/>
      <c r="E942" s="190"/>
      <c r="F942" s="190"/>
      <c r="G942" s="190"/>
      <c r="H942" s="190"/>
      <c r="I942" s="190"/>
      <c r="J942" s="190"/>
      <c r="K942" s="190"/>
      <c r="L942" s="190"/>
      <c r="M942" s="190"/>
      <c r="N942" s="190"/>
      <c r="O942" s="190"/>
      <c r="P942" s="190"/>
      <c r="Q942" s="190"/>
      <c r="R942" s="588"/>
      <c r="S942" s="188"/>
      <c r="T942" s="190"/>
      <c r="U942" s="190"/>
      <c r="V942" s="190"/>
      <c r="W942" s="190"/>
      <c r="X942" s="190"/>
      <c r="Y942" s="190"/>
      <c r="Z942" s="190"/>
      <c r="AA942" s="190"/>
      <c r="AB942" s="190"/>
      <c r="AC942" s="190"/>
      <c r="AD942" s="190"/>
      <c r="AE942" s="190"/>
      <c r="AF942" s="190"/>
      <c r="AG942" s="190"/>
      <c r="AH942" s="190"/>
      <c r="AI942" s="190"/>
      <c r="AJ942" s="190"/>
      <c r="AK942" s="190"/>
      <c r="AL942" s="190"/>
      <c r="AM942" s="603"/>
      <c r="AN942" s="190"/>
      <c r="AO942" s="190"/>
      <c r="AP942" s="190"/>
      <c r="AQ942" s="190"/>
      <c r="AR942" s="619"/>
      <c r="AS942" s="617"/>
    </row>
    <row r="943" spans="1:45">
      <c r="A943" s="188"/>
      <c r="B943" s="190"/>
      <c r="C943" s="190"/>
      <c r="D943" s="190"/>
      <c r="E943" s="190"/>
      <c r="F943" s="190"/>
      <c r="G943" s="190"/>
      <c r="H943" s="190"/>
      <c r="I943" s="190"/>
      <c r="J943" s="190"/>
      <c r="K943" s="190"/>
      <c r="L943" s="190"/>
      <c r="M943" s="190"/>
      <c r="N943" s="190"/>
      <c r="O943" s="190"/>
      <c r="P943" s="190"/>
      <c r="Q943" s="190"/>
      <c r="R943" s="588"/>
      <c r="S943" s="188"/>
      <c r="T943" s="190"/>
      <c r="U943" s="190"/>
      <c r="V943" s="190"/>
      <c r="W943" s="190"/>
      <c r="X943" s="190"/>
      <c r="Y943" s="190"/>
      <c r="Z943" s="190"/>
      <c r="AA943" s="190"/>
      <c r="AB943" s="190"/>
      <c r="AC943" s="190"/>
      <c r="AD943" s="190"/>
      <c r="AE943" s="190"/>
      <c r="AF943" s="190"/>
      <c r="AG943" s="190"/>
      <c r="AH943" s="190"/>
      <c r="AI943" s="190"/>
      <c r="AJ943" s="190"/>
      <c r="AK943" s="190"/>
      <c r="AL943" s="190"/>
      <c r="AM943" s="603"/>
      <c r="AN943" s="190"/>
      <c r="AO943" s="190"/>
      <c r="AP943" s="190"/>
      <c r="AQ943" s="190"/>
      <c r="AR943" s="619"/>
      <c r="AS943" s="617"/>
    </row>
    <row r="944" spans="1:45">
      <c r="A944" s="188"/>
      <c r="B944" s="190"/>
      <c r="C944" s="190"/>
      <c r="D944" s="190"/>
      <c r="E944" s="190"/>
      <c r="F944" s="190"/>
      <c r="G944" s="190"/>
      <c r="H944" s="190"/>
      <c r="I944" s="190"/>
      <c r="J944" s="190"/>
      <c r="K944" s="190"/>
      <c r="L944" s="190"/>
      <c r="M944" s="190"/>
      <c r="N944" s="190"/>
      <c r="O944" s="190"/>
      <c r="P944" s="190"/>
      <c r="Q944" s="190"/>
      <c r="R944" s="588"/>
      <c r="S944" s="188"/>
      <c r="T944" s="190"/>
      <c r="U944" s="190"/>
      <c r="V944" s="190"/>
      <c r="W944" s="190"/>
      <c r="X944" s="190"/>
      <c r="Y944" s="190"/>
      <c r="Z944" s="190"/>
      <c r="AA944" s="190"/>
      <c r="AB944" s="190"/>
      <c r="AC944" s="190"/>
      <c r="AD944" s="190"/>
      <c r="AE944" s="190"/>
      <c r="AF944" s="190"/>
      <c r="AG944" s="190"/>
      <c r="AH944" s="190"/>
      <c r="AI944" s="190"/>
      <c r="AJ944" s="190"/>
      <c r="AK944" s="190"/>
      <c r="AL944" s="190"/>
      <c r="AM944" s="603"/>
      <c r="AN944" s="190"/>
      <c r="AO944" s="190"/>
      <c r="AP944" s="190"/>
      <c r="AQ944" s="190"/>
      <c r="AR944" s="619"/>
      <c r="AS944" s="617"/>
    </row>
    <row r="945" spans="1:45">
      <c r="A945" s="188"/>
      <c r="B945" s="190"/>
      <c r="C945" s="190"/>
      <c r="D945" s="190"/>
      <c r="E945" s="190"/>
      <c r="F945" s="190"/>
      <c r="G945" s="190"/>
      <c r="H945" s="190"/>
      <c r="I945" s="190"/>
      <c r="J945" s="190"/>
      <c r="K945" s="190"/>
      <c r="L945" s="190"/>
      <c r="M945" s="190"/>
      <c r="N945" s="190"/>
      <c r="O945" s="190"/>
      <c r="P945" s="190"/>
      <c r="Q945" s="190"/>
      <c r="R945" s="588"/>
      <c r="S945" s="188"/>
      <c r="T945" s="190"/>
      <c r="U945" s="190"/>
      <c r="V945" s="190"/>
      <c r="W945" s="190"/>
      <c r="X945" s="190"/>
      <c r="Y945" s="190"/>
      <c r="Z945" s="190"/>
      <c r="AA945" s="190"/>
      <c r="AB945" s="190"/>
      <c r="AC945" s="190"/>
      <c r="AD945" s="190"/>
      <c r="AE945" s="190"/>
      <c r="AF945" s="190"/>
      <c r="AG945" s="190"/>
      <c r="AH945" s="190"/>
      <c r="AI945" s="190"/>
      <c r="AJ945" s="190"/>
      <c r="AK945" s="190"/>
      <c r="AL945" s="190"/>
      <c r="AM945" s="603"/>
      <c r="AN945" s="190"/>
      <c r="AO945" s="190"/>
      <c r="AP945" s="190"/>
      <c r="AQ945" s="190"/>
      <c r="AR945" s="619"/>
      <c r="AS945" s="617"/>
    </row>
    <row r="946" spans="1:45">
      <c r="A946" s="188"/>
      <c r="B946" s="190"/>
      <c r="C946" s="190"/>
      <c r="D946" s="190"/>
      <c r="E946" s="190"/>
      <c r="F946" s="190"/>
      <c r="G946" s="190"/>
      <c r="H946" s="190"/>
      <c r="I946" s="190"/>
      <c r="J946" s="190"/>
      <c r="K946" s="190"/>
      <c r="L946" s="190"/>
      <c r="M946" s="190"/>
      <c r="N946" s="190"/>
      <c r="O946" s="190"/>
      <c r="P946" s="190"/>
      <c r="Q946" s="190"/>
      <c r="R946" s="588"/>
      <c r="S946" s="188"/>
      <c r="T946" s="190"/>
      <c r="U946" s="190"/>
      <c r="V946" s="190"/>
      <c r="W946" s="190"/>
      <c r="X946" s="190"/>
      <c r="Y946" s="190"/>
      <c r="Z946" s="190"/>
      <c r="AA946" s="190"/>
      <c r="AB946" s="190"/>
      <c r="AC946" s="190"/>
      <c r="AD946" s="190"/>
      <c r="AE946" s="190"/>
      <c r="AF946" s="190"/>
      <c r="AG946" s="190"/>
      <c r="AH946" s="190"/>
      <c r="AI946" s="190"/>
      <c r="AJ946" s="190"/>
      <c r="AK946" s="190"/>
      <c r="AL946" s="190"/>
      <c r="AM946" s="603"/>
      <c r="AN946" s="190"/>
      <c r="AO946" s="190"/>
      <c r="AP946" s="190"/>
      <c r="AQ946" s="190"/>
      <c r="AR946" s="619"/>
      <c r="AS946" s="617"/>
    </row>
    <row r="947" spans="1:45">
      <c r="A947" s="188"/>
      <c r="B947" s="190"/>
      <c r="C947" s="190"/>
      <c r="D947" s="190"/>
      <c r="E947" s="190"/>
      <c r="F947" s="190"/>
      <c r="G947" s="190"/>
      <c r="H947" s="190"/>
      <c r="I947" s="190"/>
      <c r="J947" s="190"/>
      <c r="K947" s="190"/>
      <c r="L947" s="190"/>
      <c r="M947" s="190"/>
      <c r="N947" s="190"/>
      <c r="O947" s="190"/>
      <c r="P947" s="190"/>
      <c r="Q947" s="190"/>
      <c r="R947" s="588"/>
      <c r="S947" s="188"/>
      <c r="T947" s="190"/>
      <c r="U947" s="190"/>
      <c r="V947" s="190"/>
      <c r="W947" s="190"/>
      <c r="X947" s="190"/>
      <c r="Y947" s="190"/>
      <c r="Z947" s="190"/>
      <c r="AA947" s="190"/>
      <c r="AB947" s="190"/>
      <c r="AC947" s="190"/>
      <c r="AD947" s="190"/>
      <c r="AE947" s="190"/>
      <c r="AF947" s="190"/>
      <c r="AG947" s="190"/>
      <c r="AH947" s="190"/>
      <c r="AI947" s="190"/>
      <c r="AJ947" s="190"/>
      <c r="AK947" s="190"/>
      <c r="AL947" s="190"/>
      <c r="AM947" s="603"/>
      <c r="AN947" s="190"/>
      <c r="AO947" s="190"/>
      <c r="AP947" s="190"/>
      <c r="AQ947" s="190"/>
      <c r="AR947" s="619"/>
      <c r="AS947" s="617"/>
    </row>
    <row r="948" spans="1:45">
      <c r="A948" s="188"/>
      <c r="B948" s="190"/>
      <c r="C948" s="190"/>
      <c r="D948" s="190"/>
      <c r="E948" s="190"/>
      <c r="F948" s="190"/>
      <c r="G948" s="190"/>
      <c r="H948" s="190"/>
      <c r="I948" s="190"/>
      <c r="J948" s="190"/>
      <c r="K948" s="190"/>
      <c r="L948" s="190"/>
      <c r="M948" s="190"/>
      <c r="N948" s="190"/>
      <c r="O948" s="190"/>
      <c r="P948" s="190"/>
      <c r="Q948" s="190"/>
      <c r="R948" s="588"/>
      <c r="S948" s="188"/>
      <c r="T948" s="190"/>
      <c r="U948" s="190"/>
      <c r="V948" s="190"/>
      <c r="W948" s="190"/>
      <c r="X948" s="190"/>
      <c r="Y948" s="190"/>
      <c r="Z948" s="190"/>
      <c r="AA948" s="190"/>
      <c r="AB948" s="190"/>
      <c r="AC948" s="190"/>
      <c r="AD948" s="190"/>
      <c r="AE948" s="190"/>
      <c r="AF948" s="190"/>
      <c r="AG948" s="190"/>
      <c r="AH948" s="190"/>
      <c r="AI948" s="190"/>
      <c r="AJ948" s="190"/>
      <c r="AK948" s="190"/>
      <c r="AL948" s="190"/>
      <c r="AM948" s="603"/>
      <c r="AN948" s="190"/>
      <c r="AO948" s="190"/>
      <c r="AP948" s="190"/>
      <c r="AQ948" s="190"/>
      <c r="AR948" s="619"/>
      <c r="AS948" s="617"/>
    </row>
    <row r="949" spans="1:45">
      <c r="A949" s="188"/>
      <c r="B949" s="190"/>
      <c r="C949" s="190"/>
      <c r="D949" s="190"/>
      <c r="E949" s="190"/>
      <c r="F949" s="190"/>
      <c r="G949" s="190"/>
      <c r="H949" s="190"/>
      <c r="I949" s="190"/>
      <c r="J949" s="190"/>
      <c r="K949" s="190"/>
      <c r="L949" s="190"/>
      <c r="M949" s="190"/>
      <c r="N949" s="190"/>
      <c r="O949" s="190"/>
      <c r="P949" s="190"/>
      <c r="Q949" s="190"/>
      <c r="R949" s="588"/>
      <c r="S949" s="188"/>
      <c r="T949" s="190"/>
      <c r="U949" s="190"/>
      <c r="V949" s="190"/>
      <c r="W949" s="190"/>
      <c r="X949" s="190"/>
      <c r="Y949" s="190"/>
      <c r="Z949" s="190"/>
      <c r="AA949" s="190"/>
      <c r="AB949" s="190"/>
      <c r="AC949" s="190"/>
      <c r="AD949" s="190"/>
      <c r="AE949" s="190"/>
      <c r="AF949" s="190"/>
      <c r="AG949" s="190"/>
      <c r="AH949" s="190"/>
      <c r="AI949" s="190"/>
      <c r="AJ949" s="190"/>
      <c r="AK949" s="190"/>
      <c r="AL949" s="190"/>
      <c r="AM949" s="603"/>
      <c r="AN949" s="190"/>
      <c r="AO949" s="190"/>
      <c r="AP949" s="190"/>
      <c r="AQ949" s="190"/>
      <c r="AR949" s="619"/>
      <c r="AS949" s="617"/>
    </row>
    <row r="950" spans="1:45">
      <c r="A950" s="188"/>
      <c r="B950" s="190"/>
      <c r="C950" s="190"/>
      <c r="D950" s="190"/>
      <c r="E950" s="190"/>
      <c r="F950" s="190"/>
      <c r="G950" s="190"/>
      <c r="H950" s="190"/>
      <c r="I950" s="190"/>
      <c r="J950" s="190"/>
      <c r="K950" s="190"/>
      <c r="L950" s="190"/>
      <c r="M950" s="190"/>
      <c r="N950" s="190"/>
      <c r="O950" s="190"/>
      <c r="P950" s="190"/>
      <c r="Q950" s="190"/>
      <c r="R950" s="588"/>
      <c r="S950" s="188"/>
      <c r="T950" s="190"/>
      <c r="U950" s="190"/>
      <c r="V950" s="190"/>
      <c r="W950" s="190"/>
      <c r="X950" s="190"/>
      <c r="Y950" s="190"/>
      <c r="Z950" s="190"/>
      <c r="AA950" s="190"/>
      <c r="AB950" s="190"/>
      <c r="AC950" s="190"/>
      <c r="AD950" s="190"/>
      <c r="AE950" s="190"/>
      <c r="AF950" s="190"/>
      <c r="AG950" s="190"/>
      <c r="AH950" s="190"/>
      <c r="AI950" s="190"/>
      <c r="AJ950" s="190"/>
      <c r="AK950" s="190"/>
      <c r="AL950" s="190"/>
      <c r="AM950" s="603"/>
      <c r="AN950" s="190"/>
      <c r="AO950" s="190"/>
      <c r="AP950" s="190"/>
      <c r="AQ950" s="190"/>
      <c r="AR950" s="619"/>
      <c r="AS950" s="617"/>
    </row>
    <row r="951" spans="1:45">
      <c r="A951" s="188"/>
      <c r="B951" s="190"/>
      <c r="C951" s="190"/>
      <c r="D951" s="190"/>
      <c r="E951" s="190"/>
      <c r="F951" s="190"/>
      <c r="G951" s="190"/>
      <c r="H951" s="190"/>
      <c r="I951" s="190"/>
      <c r="J951" s="190"/>
      <c r="K951" s="190"/>
      <c r="L951" s="190"/>
      <c r="M951" s="190"/>
      <c r="N951" s="190"/>
      <c r="O951" s="190"/>
      <c r="P951" s="190"/>
      <c r="Q951" s="190"/>
      <c r="R951" s="588"/>
      <c r="S951" s="188"/>
      <c r="T951" s="190"/>
      <c r="U951" s="190"/>
      <c r="V951" s="190"/>
      <c r="W951" s="190"/>
      <c r="X951" s="190"/>
      <c r="Y951" s="190"/>
      <c r="Z951" s="190"/>
      <c r="AA951" s="190"/>
      <c r="AB951" s="190"/>
      <c r="AC951" s="190"/>
      <c r="AD951" s="190"/>
      <c r="AE951" s="190"/>
      <c r="AF951" s="190"/>
      <c r="AG951" s="190"/>
      <c r="AH951" s="190"/>
      <c r="AI951" s="190"/>
      <c r="AJ951" s="190"/>
      <c r="AK951" s="190"/>
      <c r="AL951" s="190"/>
      <c r="AM951" s="603"/>
      <c r="AN951" s="190"/>
      <c r="AO951" s="190"/>
      <c r="AP951" s="190"/>
      <c r="AQ951" s="190"/>
      <c r="AR951" s="619"/>
      <c r="AS951" s="617"/>
    </row>
    <row r="952" spans="1:45">
      <c r="A952" s="188"/>
      <c r="B952" s="190"/>
      <c r="C952" s="190"/>
      <c r="D952" s="190"/>
      <c r="E952" s="190"/>
      <c r="F952" s="190"/>
      <c r="G952" s="190"/>
      <c r="H952" s="190"/>
      <c r="I952" s="190"/>
      <c r="J952" s="190"/>
      <c r="K952" s="190"/>
      <c r="L952" s="190"/>
      <c r="M952" s="190"/>
      <c r="N952" s="190"/>
      <c r="O952" s="190"/>
      <c r="P952" s="190"/>
      <c r="Q952" s="190"/>
      <c r="R952" s="588"/>
      <c r="S952" s="188"/>
      <c r="T952" s="190"/>
      <c r="U952" s="190"/>
      <c r="V952" s="190"/>
      <c r="W952" s="190"/>
      <c r="X952" s="190"/>
      <c r="Y952" s="190"/>
      <c r="Z952" s="190"/>
      <c r="AA952" s="190"/>
      <c r="AB952" s="190"/>
      <c r="AC952" s="190"/>
      <c r="AD952" s="190"/>
      <c r="AE952" s="190"/>
      <c r="AF952" s="190"/>
      <c r="AG952" s="190"/>
      <c r="AH952" s="190"/>
      <c r="AI952" s="190"/>
      <c r="AJ952" s="190"/>
      <c r="AK952" s="190"/>
      <c r="AL952" s="190"/>
      <c r="AM952" s="603"/>
      <c r="AN952" s="190"/>
      <c r="AO952" s="190"/>
      <c r="AP952" s="190"/>
      <c r="AQ952" s="190"/>
      <c r="AR952" s="619"/>
      <c r="AS952" s="617"/>
    </row>
    <row r="953" spans="1:45">
      <c r="A953" s="188"/>
      <c r="B953" s="190"/>
      <c r="C953" s="190"/>
      <c r="D953" s="190"/>
      <c r="E953" s="190"/>
      <c r="F953" s="190"/>
      <c r="G953" s="190"/>
      <c r="H953" s="190"/>
      <c r="I953" s="190"/>
      <c r="J953" s="190"/>
      <c r="K953" s="190"/>
      <c r="L953" s="190"/>
      <c r="M953" s="190"/>
      <c r="N953" s="190"/>
      <c r="O953" s="190"/>
      <c r="P953" s="190"/>
      <c r="Q953" s="190"/>
      <c r="R953" s="588"/>
      <c r="S953" s="188"/>
      <c r="T953" s="190"/>
      <c r="U953" s="190"/>
      <c r="V953" s="190"/>
      <c r="W953" s="190"/>
      <c r="X953" s="190"/>
      <c r="Y953" s="190"/>
      <c r="Z953" s="190"/>
      <c r="AA953" s="190"/>
      <c r="AB953" s="190"/>
      <c r="AC953" s="190"/>
      <c r="AD953" s="190"/>
      <c r="AE953" s="190"/>
      <c r="AF953" s="190"/>
      <c r="AG953" s="190"/>
      <c r="AH953" s="190"/>
      <c r="AI953" s="190"/>
      <c r="AJ953" s="190"/>
      <c r="AK953" s="190"/>
      <c r="AL953" s="190"/>
      <c r="AM953" s="603"/>
      <c r="AN953" s="190"/>
      <c r="AO953" s="190"/>
      <c r="AP953" s="190"/>
      <c r="AQ953" s="190"/>
      <c r="AR953" s="619"/>
      <c r="AS953" s="617"/>
    </row>
    <row r="954" spans="1:45">
      <c r="A954" s="188"/>
      <c r="B954" s="190"/>
      <c r="C954" s="190"/>
      <c r="D954" s="190"/>
      <c r="E954" s="190"/>
      <c r="F954" s="190"/>
      <c r="G954" s="190"/>
      <c r="H954" s="190"/>
      <c r="I954" s="190"/>
      <c r="J954" s="190"/>
      <c r="K954" s="190"/>
      <c r="L954" s="190"/>
      <c r="M954" s="190"/>
      <c r="N954" s="190"/>
      <c r="O954" s="190"/>
      <c r="P954" s="190"/>
      <c r="Q954" s="190"/>
      <c r="R954" s="588"/>
      <c r="S954" s="188"/>
      <c r="T954" s="190"/>
      <c r="U954" s="190"/>
      <c r="V954" s="190"/>
      <c r="W954" s="190"/>
      <c r="X954" s="190"/>
      <c r="Y954" s="190"/>
      <c r="Z954" s="190"/>
      <c r="AA954" s="190"/>
      <c r="AB954" s="190"/>
      <c r="AC954" s="190"/>
      <c r="AD954" s="190"/>
      <c r="AE954" s="190"/>
      <c r="AF954" s="190"/>
      <c r="AG954" s="190"/>
      <c r="AH954" s="190"/>
      <c r="AI954" s="190"/>
      <c r="AJ954" s="190"/>
      <c r="AK954" s="190"/>
      <c r="AL954" s="190"/>
      <c r="AM954" s="603"/>
      <c r="AN954" s="190"/>
      <c r="AO954" s="190"/>
      <c r="AP954" s="190"/>
      <c r="AQ954" s="190"/>
      <c r="AR954" s="619"/>
      <c r="AS954" s="617"/>
    </row>
    <row r="955" spans="1:45">
      <c r="A955" s="188"/>
      <c r="B955" s="190"/>
      <c r="C955" s="190"/>
      <c r="D955" s="190"/>
      <c r="E955" s="190"/>
      <c r="F955" s="190"/>
      <c r="G955" s="190"/>
      <c r="H955" s="190"/>
      <c r="I955" s="190"/>
      <c r="J955" s="190"/>
      <c r="K955" s="190"/>
      <c r="L955" s="190"/>
      <c r="M955" s="190"/>
      <c r="N955" s="190"/>
      <c r="O955" s="190"/>
      <c r="P955" s="190"/>
      <c r="Q955" s="190"/>
      <c r="R955" s="588"/>
      <c r="S955" s="188"/>
      <c r="T955" s="190"/>
      <c r="U955" s="190"/>
      <c r="V955" s="190"/>
      <c r="W955" s="190"/>
      <c r="X955" s="190"/>
      <c r="Y955" s="190"/>
      <c r="Z955" s="190"/>
      <c r="AA955" s="190"/>
      <c r="AB955" s="190"/>
      <c r="AC955" s="190"/>
      <c r="AD955" s="190"/>
      <c r="AE955" s="190"/>
      <c r="AF955" s="190"/>
      <c r="AG955" s="190"/>
      <c r="AH955" s="190"/>
      <c r="AI955" s="190"/>
      <c r="AJ955" s="190"/>
      <c r="AK955" s="190"/>
      <c r="AL955" s="190"/>
      <c r="AM955" s="603"/>
      <c r="AN955" s="190"/>
      <c r="AO955" s="190"/>
      <c r="AP955" s="190"/>
      <c r="AQ955" s="190"/>
      <c r="AR955" s="619"/>
      <c r="AS955" s="617"/>
    </row>
    <row r="956" spans="1:45">
      <c r="A956" s="188"/>
      <c r="B956" s="190"/>
      <c r="C956" s="190"/>
      <c r="D956" s="190"/>
      <c r="E956" s="190"/>
      <c r="F956" s="190"/>
      <c r="G956" s="190"/>
      <c r="H956" s="190"/>
      <c r="I956" s="190"/>
      <c r="J956" s="190"/>
      <c r="K956" s="190"/>
      <c r="L956" s="190"/>
      <c r="M956" s="190"/>
      <c r="N956" s="190"/>
      <c r="O956" s="190"/>
      <c r="P956" s="190"/>
      <c r="Q956" s="190"/>
      <c r="R956" s="588"/>
      <c r="S956" s="188"/>
      <c r="T956" s="190"/>
      <c r="U956" s="190"/>
      <c r="V956" s="190"/>
      <c r="W956" s="190"/>
      <c r="X956" s="190"/>
      <c r="Y956" s="190"/>
      <c r="Z956" s="190"/>
      <c r="AA956" s="190"/>
      <c r="AB956" s="190"/>
      <c r="AC956" s="190"/>
      <c r="AD956" s="190"/>
      <c r="AE956" s="190"/>
      <c r="AF956" s="190"/>
      <c r="AG956" s="190"/>
      <c r="AH956" s="190"/>
      <c r="AI956" s="190"/>
      <c r="AJ956" s="190"/>
      <c r="AK956" s="190"/>
      <c r="AL956" s="190"/>
      <c r="AM956" s="603"/>
      <c r="AN956" s="190"/>
      <c r="AO956" s="190"/>
      <c r="AP956" s="190"/>
      <c r="AQ956" s="190"/>
      <c r="AR956" s="619"/>
      <c r="AS956" s="617"/>
    </row>
    <row r="957" spans="1:45">
      <c r="A957" s="188"/>
      <c r="B957" s="190"/>
      <c r="C957" s="190"/>
      <c r="D957" s="190"/>
      <c r="E957" s="190"/>
      <c r="F957" s="190"/>
      <c r="G957" s="190"/>
      <c r="H957" s="190"/>
      <c r="I957" s="190"/>
      <c r="J957" s="190"/>
      <c r="K957" s="190"/>
      <c r="L957" s="190"/>
      <c r="M957" s="190"/>
      <c r="N957" s="190"/>
      <c r="O957" s="190"/>
      <c r="P957" s="190"/>
      <c r="Q957" s="190"/>
      <c r="R957" s="588"/>
      <c r="S957" s="188"/>
      <c r="T957" s="190"/>
      <c r="U957" s="190"/>
      <c r="V957" s="190"/>
      <c r="W957" s="190"/>
      <c r="X957" s="190"/>
      <c r="Y957" s="190"/>
      <c r="Z957" s="190"/>
      <c r="AA957" s="190"/>
      <c r="AB957" s="190"/>
      <c r="AC957" s="190"/>
      <c r="AD957" s="190"/>
      <c r="AE957" s="190"/>
      <c r="AF957" s="190"/>
      <c r="AG957" s="190"/>
      <c r="AH957" s="190"/>
      <c r="AI957" s="190"/>
      <c r="AJ957" s="190"/>
      <c r="AK957" s="190"/>
      <c r="AL957" s="190"/>
      <c r="AM957" s="603"/>
      <c r="AN957" s="190"/>
      <c r="AO957" s="190"/>
      <c r="AP957" s="190"/>
      <c r="AQ957" s="190"/>
      <c r="AR957" s="619"/>
      <c r="AS957" s="617"/>
    </row>
    <row r="958" spans="1:45">
      <c r="A958" s="188"/>
      <c r="B958" s="190"/>
      <c r="C958" s="190"/>
      <c r="D958" s="190"/>
      <c r="E958" s="190"/>
      <c r="F958" s="190"/>
      <c r="G958" s="190"/>
      <c r="H958" s="190"/>
      <c r="I958" s="190"/>
      <c r="J958" s="190"/>
      <c r="K958" s="190"/>
      <c r="L958" s="190"/>
      <c r="M958" s="190"/>
      <c r="N958" s="190"/>
      <c r="O958" s="190"/>
      <c r="P958" s="190"/>
      <c r="Q958" s="190"/>
      <c r="R958" s="588"/>
      <c r="S958" s="188"/>
      <c r="T958" s="190"/>
      <c r="U958" s="190"/>
      <c r="V958" s="190"/>
      <c r="W958" s="190"/>
      <c r="X958" s="190"/>
      <c r="Y958" s="190"/>
      <c r="Z958" s="190"/>
      <c r="AA958" s="190"/>
      <c r="AB958" s="190"/>
      <c r="AC958" s="190"/>
      <c r="AD958" s="190"/>
      <c r="AE958" s="190"/>
      <c r="AF958" s="190"/>
      <c r="AG958" s="190"/>
      <c r="AH958" s="190"/>
      <c r="AI958" s="190"/>
      <c r="AJ958" s="190"/>
      <c r="AK958" s="190"/>
      <c r="AL958" s="190"/>
      <c r="AM958" s="603"/>
      <c r="AN958" s="190"/>
      <c r="AO958" s="190"/>
      <c r="AP958" s="190"/>
      <c r="AQ958" s="190"/>
      <c r="AR958" s="619"/>
      <c r="AS958" s="617"/>
    </row>
    <row r="959" spans="1:45">
      <c r="A959" s="188"/>
      <c r="B959" s="190"/>
      <c r="C959" s="190"/>
      <c r="D959" s="190"/>
      <c r="E959" s="190"/>
      <c r="F959" s="190"/>
      <c r="G959" s="190"/>
      <c r="H959" s="190"/>
      <c r="I959" s="190"/>
      <c r="J959" s="190"/>
      <c r="K959" s="190"/>
      <c r="L959" s="190"/>
      <c r="M959" s="190"/>
      <c r="N959" s="190"/>
      <c r="O959" s="190"/>
      <c r="P959" s="190"/>
      <c r="Q959" s="190"/>
      <c r="R959" s="588"/>
      <c r="S959" s="188"/>
      <c r="T959" s="190"/>
      <c r="U959" s="190"/>
      <c r="V959" s="190"/>
      <c r="W959" s="190"/>
      <c r="X959" s="190"/>
      <c r="Y959" s="190"/>
      <c r="Z959" s="190"/>
      <c r="AA959" s="190"/>
      <c r="AB959" s="190"/>
      <c r="AC959" s="190"/>
      <c r="AD959" s="190"/>
      <c r="AE959" s="190"/>
      <c r="AF959" s="190"/>
      <c r="AG959" s="190"/>
      <c r="AH959" s="190"/>
      <c r="AI959" s="190"/>
      <c r="AJ959" s="190"/>
      <c r="AK959" s="190"/>
      <c r="AL959" s="190"/>
      <c r="AM959" s="603"/>
      <c r="AN959" s="190"/>
      <c r="AO959" s="190"/>
      <c r="AP959" s="190"/>
      <c r="AQ959" s="190"/>
      <c r="AR959" s="619"/>
      <c r="AS959" s="617"/>
    </row>
    <row r="960" spans="1:45">
      <c r="A960" s="188"/>
      <c r="B960" s="190"/>
      <c r="C960" s="190"/>
      <c r="D960" s="190"/>
      <c r="E960" s="190"/>
      <c r="F960" s="190"/>
      <c r="G960" s="190"/>
      <c r="H960" s="190"/>
      <c r="I960" s="190"/>
      <c r="J960" s="190"/>
      <c r="K960" s="190"/>
      <c r="L960" s="190"/>
      <c r="M960" s="190"/>
      <c r="N960" s="190"/>
      <c r="O960" s="190"/>
      <c r="P960" s="190"/>
      <c r="Q960" s="190"/>
      <c r="R960" s="588"/>
      <c r="S960" s="188"/>
      <c r="T960" s="190"/>
      <c r="U960" s="190"/>
      <c r="V960" s="190"/>
      <c r="W960" s="190"/>
      <c r="X960" s="190"/>
      <c r="Y960" s="190"/>
      <c r="Z960" s="190"/>
      <c r="AA960" s="190"/>
      <c r="AB960" s="190"/>
      <c r="AC960" s="190"/>
      <c r="AD960" s="190"/>
      <c r="AE960" s="190"/>
      <c r="AF960" s="190"/>
      <c r="AG960" s="190"/>
      <c r="AH960" s="190"/>
      <c r="AI960" s="190"/>
      <c r="AJ960" s="190"/>
      <c r="AK960" s="190"/>
      <c r="AL960" s="190"/>
      <c r="AM960" s="603"/>
      <c r="AN960" s="190"/>
      <c r="AO960" s="190"/>
      <c r="AP960" s="190"/>
      <c r="AQ960" s="190"/>
      <c r="AR960" s="619"/>
      <c r="AS960" s="617"/>
    </row>
    <row r="961" spans="1:45">
      <c r="A961" s="188"/>
      <c r="B961" s="190"/>
      <c r="C961" s="190"/>
      <c r="D961" s="190"/>
      <c r="E961" s="190"/>
      <c r="F961" s="190"/>
      <c r="G961" s="190"/>
      <c r="H961" s="190"/>
      <c r="I961" s="190"/>
      <c r="J961" s="190"/>
      <c r="K961" s="190"/>
      <c r="L961" s="190"/>
      <c r="M961" s="190"/>
      <c r="N961" s="190"/>
      <c r="O961" s="190"/>
      <c r="P961" s="190"/>
      <c r="Q961" s="190"/>
      <c r="R961" s="588"/>
      <c r="S961" s="188"/>
      <c r="T961" s="190"/>
      <c r="U961" s="190"/>
      <c r="V961" s="190"/>
      <c r="W961" s="190"/>
      <c r="X961" s="190"/>
      <c r="Y961" s="190"/>
      <c r="Z961" s="190"/>
      <c r="AA961" s="190"/>
      <c r="AB961" s="190"/>
      <c r="AC961" s="190"/>
      <c r="AD961" s="190"/>
      <c r="AE961" s="190"/>
      <c r="AF961" s="190"/>
      <c r="AG961" s="190"/>
      <c r="AH961" s="190"/>
      <c r="AI961" s="190"/>
      <c r="AJ961" s="190"/>
      <c r="AK961" s="190"/>
      <c r="AL961" s="190"/>
      <c r="AM961" s="603"/>
      <c r="AN961" s="190"/>
      <c r="AO961" s="190"/>
      <c r="AP961" s="190"/>
      <c r="AQ961" s="190"/>
      <c r="AR961" s="619"/>
      <c r="AS961" s="617"/>
    </row>
    <row r="962" spans="1:45">
      <c r="A962" s="188"/>
      <c r="B962" s="190"/>
      <c r="C962" s="190"/>
      <c r="D962" s="190"/>
      <c r="E962" s="190"/>
      <c r="F962" s="190"/>
      <c r="G962" s="190"/>
      <c r="H962" s="190"/>
      <c r="I962" s="190"/>
      <c r="J962" s="190"/>
      <c r="K962" s="190"/>
      <c r="L962" s="190"/>
      <c r="M962" s="190"/>
      <c r="N962" s="190"/>
      <c r="O962" s="190"/>
      <c r="P962" s="190"/>
      <c r="Q962" s="190"/>
      <c r="R962" s="588"/>
      <c r="S962" s="188"/>
      <c r="T962" s="190"/>
      <c r="U962" s="190"/>
      <c r="V962" s="190"/>
      <c r="W962" s="190"/>
      <c r="X962" s="190"/>
      <c r="Y962" s="190"/>
      <c r="Z962" s="190"/>
      <c r="AA962" s="190"/>
      <c r="AB962" s="190"/>
      <c r="AC962" s="190"/>
      <c r="AD962" s="190"/>
      <c r="AE962" s="190"/>
      <c r="AF962" s="190"/>
      <c r="AG962" s="190"/>
      <c r="AH962" s="190"/>
      <c r="AI962" s="190"/>
      <c r="AJ962" s="190"/>
      <c r="AK962" s="190"/>
      <c r="AL962" s="190"/>
      <c r="AM962" s="603"/>
      <c r="AN962" s="190"/>
      <c r="AO962" s="190"/>
      <c r="AP962" s="190"/>
      <c r="AQ962" s="190"/>
      <c r="AR962" s="619"/>
      <c r="AS962" s="617"/>
    </row>
    <row r="963" spans="1:45">
      <c r="A963" s="188"/>
      <c r="B963" s="190"/>
      <c r="C963" s="190"/>
      <c r="D963" s="190"/>
      <c r="E963" s="190"/>
      <c r="F963" s="190"/>
      <c r="G963" s="190"/>
      <c r="H963" s="190"/>
      <c r="I963" s="190"/>
      <c r="J963" s="190"/>
      <c r="K963" s="190"/>
      <c r="L963" s="190"/>
      <c r="M963" s="190"/>
      <c r="N963" s="190"/>
      <c r="O963" s="190"/>
      <c r="P963" s="190"/>
      <c r="Q963" s="190"/>
      <c r="R963" s="588"/>
      <c r="S963" s="188"/>
      <c r="T963" s="190"/>
      <c r="U963" s="190"/>
      <c r="V963" s="190"/>
      <c r="W963" s="190"/>
      <c r="X963" s="190"/>
      <c r="Y963" s="190"/>
      <c r="Z963" s="190"/>
      <c r="AA963" s="190"/>
      <c r="AB963" s="190"/>
      <c r="AC963" s="190"/>
      <c r="AD963" s="190"/>
      <c r="AE963" s="190"/>
      <c r="AF963" s="190"/>
      <c r="AG963" s="190"/>
      <c r="AH963" s="190"/>
      <c r="AI963" s="190"/>
      <c r="AJ963" s="190"/>
      <c r="AK963" s="190"/>
      <c r="AL963" s="190"/>
      <c r="AM963" s="603"/>
      <c r="AN963" s="190"/>
      <c r="AO963" s="190"/>
      <c r="AP963" s="190"/>
      <c r="AQ963" s="190"/>
      <c r="AR963" s="619"/>
      <c r="AS963" s="617"/>
    </row>
    <row r="964" spans="1:45">
      <c r="A964" s="188"/>
      <c r="B964" s="190"/>
      <c r="C964" s="190"/>
      <c r="D964" s="190"/>
      <c r="E964" s="190"/>
      <c r="F964" s="190"/>
      <c r="G964" s="190"/>
      <c r="H964" s="190"/>
      <c r="I964" s="190"/>
      <c r="J964" s="190"/>
      <c r="K964" s="190"/>
      <c r="L964" s="190"/>
      <c r="M964" s="190"/>
      <c r="N964" s="190"/>
      <c r="O964" s="190"/>
      <c r="P964" s="190"/>
      <c r="Q964" s="190"/>
      <c r="R964" s="588"/>
      <c r="S964" s="188"/>
      <c r="T964" s="190"/>
      <c r="U964" s="190"/>
      <c r="V964" s="190"/>
      <c r="W964" s="190"/>
      <c r="X964" s="190"/>
      <c r="Y964" s="190"/>
      <c r="Z964" s="190"/>
      <c r="AA964" s="190"/>
      <c r="AB964" s="190"/>
      <c r="AC964" s="190"/>
      <c r="AD964" s="190"/>
      <c r="AE964" s="190"/>
      <c r="AF964" s="190"/>
      <c r="AG964" s="190"/>
      <c r="AH964" s="190"/>
      <c r="AI964" s="190"/>
      <c r="AJ964" s="190"/>
      <c r="AK964" s="190"/>
      <c r="AL964" s="190"/>
      <c r="AM964" s="603"/>
      <c r="AN964" s="190"/>
      <c r="AO964" s="190"/>
      <c r="AP964" s="190"/>
      <c r="AQ964" s="190"/>
      <c r="AR964" s="619"/>
      <c r="AS964" s="617"/>
    </row>
    <row r="965" spans="1:45">
      <c r="A965" s="188"/>
      <c r="B965" s="190"/>
      <c r="C965" s="190"/>
      <c r="D965" s="190"/>
      <c r="E965" s="190"/>
      <c r="F965" s="190"/>
      <c r="G965" s="190"/>
      <c r="H965" s="190"/>
      <c r="I965" s="190"/>
      <c r="J965" s="190"/>
      <c r="K965" s="190"/>
      <c r="L965" s="190"/>
      <c r="M965" s="190"/>
      <c r="N965" s="190"/>
      <c r="O965" s="190"/>
      <c r="P965" s="190"/>
      <c r="Q965" s="190"/>
      <c r="R965" s="588"/>
      <c r="S965" s="188"/>
      <c r="T965" s="190"/>
      <c r="U965" s="190"/>
      <c r="V965" s="190"/>
      <c r="W965" s="190"/>
      <c r="X965" s="190"/>
      <c r="Y965" s="190"/>
      <c r="Z965" s="190"/>
      <c r="AA965" s="190"/>
      <c r="AB965" s="190"/>
      <c r="AC965" s="190"/>
      <c r="AD965" s="190"/>
      <c r="AE965" s="190"/>
      <c r="AF965" s="190"/>
      <c r="AG965" s="190"/>
      <c r="AH965" s="190"/>
      <c r="AI965" s="190"/>
      <c r="AJ965" s="190"/>
      <c r="AK965" s="190"/>
      <c r="AL965" s="190"/>
      <c r="AM965" s="603"/>
      <c r="AN965" s="190"/>
      <c r="AO965" s="190"/>
      <c r="AP965" s="190"/>
      <c r="AQ965" s="190"/>
      <c r="AR965" s="619"/>
      <c r="AS965" s="617"/>
    </row>
    <row r="966" spans="1:45">
      <c r="A966" s="188"/>
      <c r="B966" s="190"/>
      <c r="C966" s="190"/>
      <c r="D966" s="190"/>
      <c r="E966" s="190"/>
      <c r="F966" s="190"/>
      <c r="G966" s="190"/>
      <c r="H966" s="190"/>
      <c r="I966" s="190"/>
      <c r="J966" s="190"/>
      <c r="K966" s="190"/>
      <c r="L966" s="190"/>
      <c r="M966" s="190"/>
      <c r="N966" s="190"/>
      <c r="O966" s="190"/>
      <c r="P966" s="190"/>
      <c r="Q966" s="190"/>
      <c r="R966" s="588"/>
      <c r="S966" s="188"/>
      <c r="T966" s="190"/>
      <c r="U966" s="190"/>
      <c r="V966" s="190"/>
      <c r="W966" s="190"/>
      <c r="X966" s="190"/>
      <c r="Y966" s="190"/>
      <c r="Z966" s="190"/>
      <c r="AA966" s="190"/>
      <c r="AB966" s="190"/>
      <c r="AC966" s="190"/>
      <c r="AD966" s="190"/>
      <c r="AE966" s="190"/>
      <c r="AF966" s="190"/>
      <c r="AG966" s="190"/>
      <c r="AH966" s="190"/>
      <c r="AI966" s="190"/>
      <c r="AJ966" s="190"/>
      <c r="AK966" s="190"/>
      <c r="AL966" s="190"/>
      <c r="AM966" s="603"/>
      <c r="AN966" s="190"/>
      <c r="AO966" s="190"/>
      <c r="AP966" s="190"/>
      <c r="AQ966" s="190"/>
      <c r="AR966" s="619"/>
      <c r="AS966" s="617"/>
    </row>
    <row r="967" spans="1:45">
      <c r="A967" s="188"/>
      <c r="B967" s="190"/>
      <c r="C967" s="190"/>
      <c r="D967" s="190"/>
      <c r="E967" s="190"/>
      <c r="F967" s="190"/>
      <c r="G967" s="190"/>
      <c r="H967" s="190"/>
      <c r="I967" s="190"/>
      <c r="J967" s="190"/>
      <c r="K967" s="190"/>
      <c r="L967" s="190"/>
      <c r="M967" s="190"/>
      <c r="N967" s="190"/>
      <c r="O967" s="190"/>
      <c r="P967" s="190"/>
      <c r="Q967" s="190"/>
      <c r="R967" s="588"/>
      <c r="S967" s="188"/>
      <c r="T967" s="190"/>
      <c r="U967" s="190"/>
      <c r="V967" s="190"/>
      <c r="W967" s="190"/>
      <c r="X967" s="190"/>
      <c r="Y967" s="190"/>
      <c r="Z967" s="190"/>
      <c r="AA967" s="190"/>
      <c r="AB967" s="190"/>
      <c r="AC967" s="190"/>
      <c r="AD967" s="190"/>
      <c r="AE967" s="190"/>
      <c r="AF967" s="190"/>
      <c r="AG967" s="190"/>
      <c r="AH967" s="190"/>
      <c r="AI967" s="190"/>
      <c r="AJ967" s="190"/>
      <c r="AK967" s="190"/>
      <c r="AL967" s="190"/>
      <c r="AM967" s="603"/>
      <c r="AN967" s="190"/>
      <c r="AO967" s="190"/>
      <c r="AP967" s="190"/>
      <c r="AQ967" s="190"/>
      <c r="AR967" s="619"/>
      <c r="AS967" s="617"/>
    </row>
    <row r="968" spans="1:45">
      <c r="A968" s="188"/>
      <c r="B968" s="190"/>
      <c r="C968" s="190"/>
      <c r="D968" s="190"/>
      <c r="E968" s="190"/>
      <c r="F968" s="190"/>
      <c r="G968" s="190"/>
      <c r="H968" s="190"/>
      <c r="I968" s="190"/>
      <c r="J968" s="190"/>
      <c r="K968" s="190"/>
      <c r="L968" s="190"/>
      <c r="M968" s="190"/>
      <c r="N968" s="190"/>
      <c r="O968" s="190"/>
      <c r="P968" s="190"/>
      <c r="Q968" s="190"/>
      <c r="R968" s="588"/>
      <c r="S968" s="188"/>
      <c r="T968" s="190"/>
      <c r="U968" s="190"/>
      <c r="V968" s="190"/>
      <c r="W968" s="190"/>
      <c r="X968" s="190"/>
      <c r="Y968" s="190"/>
      <c r="Z968" s="190"/>
      <c r="AA968" s="190"/>
      <c r="AB968" s="190"/>
      <c r="AC968" s="190"/>
      <c r="AD968" s="190"/>
      <c r="AE968" s="190"/>
      <c r="AF968" s="190"/>
      <c r="AG968" s="190"/>
      <c r="AH968" s="190"/>
      <c r="AI968" s="190"/>
      <c r="AJ968" s="190"/>
      <c r="AK968" s="190"/>
      <c r="AL968" s="190"/>
      <c r="AM968" s="603"/>
      <c r="AN968" s="190"/>
      <c r="AO968" s="190"/>
      <c r="AP968" s="190"/>
      <c r="AQ968" s="190"/>
      <c r="AR968" s="619"/>
      <c r="AS968" s="617"/>
    </row>
    <row r="969" spans="1:45">
      <c r="A969" s="188"/>
      <c r="B969" s="190"/>
      <c r="C969" s="190"/>
      <c r="D969" s="190"/>
      <c r="E969" s="190"/>
      <c r="F969" s="190"/>
      <c r="G969" s="190"/>
      <c r="H969" s="190"/>
      <c r="I969" s="190"/>
      <c r="J969" s="190"/>
      <c r="K969" s="190"/>
      <c r="L969" s="190"/>
      <c r="M969" s="190"/>
      <c r="N969" s="190"/>
      <c r="O969" s="190"/>
      <c r="P969" s="190"/>
      <c r="Q969" s="190"/>
      <c r="R969" s="588"/>
      <c r="S969" s="188"/>
      <c r="T969" s="190"/>
      <c r="U969" s="190"/>
      <c r="V969" s="190"/>
      <c r="W969" s="190"/>
      <c r="X969" s="190"/>
      <c r="Y969" s="190"/>
      <c r="Z969" s="190"/>
      <c r="AA969" s="190"/>
      <c r="AB969" s="190"/>
      <c r="AC969" s="190"/>
      <c r="AD969" s="190"/>
      <c r="AE969" s="190"/>
      <c r="AF969" s="190"/>
      <c r="AG969" s="190"/>
      <c r="AH969" s="190"/>
      <c r="AI969" s="190"/>
      <c r="AJ969" s="190"/>
      <c r="AK969" s="190"/>
      <c r="AL969" s="190"/>
      <c r="AM969" s="603"/>
      <c r="AN969" s="190"/>
      <c r="AO969" s="190"/>
      <c r="AP969" s="190"/>
      <c r="AQ969" s="190"/>
      <c r="AR969" s="619"/>
      <c r="AS969" s="617"/>
    </row>
    <row r="970" spans="1:45">
      <c r="A970" s="188"/>
      <c r="B970" s="190"/>
      <c r="C970" s="190"/>
      <c r="D970" s="190"/>
      <c r="E970" s="190"/>
      <c r="F970" s="190"/>
      <c r="G970" s="190"/>
      <c r="H970" s="190"/>
      <c r="I970" s="190"/>
      <c r="J970" s="190"/>
      <c r="K970" s="190"/>
      <c r="L970" s="190"/>
      <c r="M970" s="190"/>
      <c r="N970" s="190"/>
      <c r="O970" s="190"/>
      <c r="P970" s="190"/>
      <c r="Q970" s="190"/>
      <c r="R970" s="588"/>
      <c r="S970" s="188"/>
      <c r="T970" s="190"/>
      <c r="U970" s="190"/>
      <c r="V970" s="190"/>
      <c r="W970" s="190"/>
      <c r="X970" s="190"/>
      <c r="Y970" s="190"/>
      <c r="Z970" s="190"/>
      <c r="AA970" s="190"/>
      <c r="AB970" s="190"/>
      <c r="AC970" s="190"/>
      <c r="AD970" s="190"/>
      <c r="AE970" s="190"/>
      <c r="AF970" s="190"/>
      <c r="AG970" s="190"/>
      <c r="AH970" s="190"/>
      <c r="AI970" s="190"/>
      <c r="AJ970" s="190"/>
      <c r="AK970" s="190"/>
      <c r="AL970" s="190"/>
      <c r="AM970" s="603"/>
      <c r="AN970" s="190"/>
      <c r="AO970" s="190"/>
      <c r="AP970" s="190"/>
      <c r="AQ970" s="190"/>
      <c r="AR970" s="619"/>
      <c r="AS970" s="617"/>
    </row>
    <row r="971" spans="1:45">
      <c r="A971" s="188"/>
      <c r="B971" s="190"/>
      <c r="C971" s="190"/>
      <c r="D971" s="190"/>
      <c r="E971" s="190"/>
      <c r="F971" s="190"/>
      <c r="G971" s="190"/>
      <c r="H971" s="190"/>
      <c r="I971" s="190"/>
      <c r="J971" s="190"/>
      <c r="K971" s="190"/>
      <c r="L971" s="190"/>
      <c r="M971" s="190"/>
      <c r="N971" s="190"/>
      <c r="O971" s="190"/>
      <c r="P971" s="190"/>
      <c r="Q971" s="190"/>
      <c r="R971" s="588"/>
      <c r="S971" s="188"/>
      <c r="T971" s="190"/>
      <c r="U971" s="190"/>
      <c r="V971" s="190"/>
      <c r="W971" s="190"/>
      <c r="X971" s="190"/>
      <c r="Y971" s="190"/>
      <c r="Z971" s="190"/>
      <c r="AA971" s="190"/>
      <c r="AB971" s="190"/>
      <c r="AC971" s="190"/>
      <c r="AD971" s="190"/>
      <c r="AE971" s="190"/>
      <c r="AF971" s="190"/>
      <c r="AG971" s="190"/>
      <c r="AH971" s="190"/>
      <c r="AI971" s="190"/>
      <c r="AJ971" s="190"/>
      <c r="AK971" s="190"/>
      <c r="AL971" s="190"/>
      <c r="AM971" s="603"/>
      <c r="AN971" s="190"/>
      <c r="AO971" s="190"/>
      <c r="AP971" s="190"/>
      <c r="AQ971" s="190"/>
      <c r="AR971" s="619"/>
      <c r="AS971" s="617"/>
    </row>
    <row r="972" spans="1:45">
      <c r="A972" s="188"/>
      <c r="B972" s="190"/>
      <c r="C972" s="190"/>
      <c r="D972" s="190"/>
      <c r="E972" s="190"/>
      <c r="F972" s="190"/>
      <c r="G972" s="190"/>
      <c r="H972" s="190"/>
      <c r="I972" s="190"/>
      <c r="J972" s="190"/>
      <c r="K972" s="190"/>
      <c r="L972" s="190"/>
      <c r="M972" s="190"/>
      <c r="N972" s="190"/>
      <c r="O972" s="190"/>
      <c r="P972" s="190"/>
      <c r="Q972" s="190"/>
      <c r="R972" s="588"/>
      <c r="S972" s="188"/>
      <c r="T972" s="190"/>
      <c r="U972" s="190"/>
      <c r="V972" s="190"/>
      <c r="W972" s="190"/>
      <c r="X972" s="190"/>
      <c r="Y972" s="190"/>
      <c r="Z972" s="190"/>
      <c r="AA972" s="190"/>
      <c r="AB972" s="190"/>
      <c r="AC972" s="190"/>
      <c r="AD972" s="190"/>
      <c r="AE972" s="190"/>
      <c r="AF972" s="190"/>
      <c r="AG972" s="190"/>
      <c r="AH972" s="190"/>
      <c r="AI972" s="190"/>
      <c r="AJ972" s="190"/>
      <c r="AK972" s="190"/>
      <c r="AL972" s="190"/>
      <c r="AM972" s="603"/>
      <c r="AN972" s="190"/>
      <c r="AO972" s="190"/>
      <c r="AP972" s="190"/>
      <c r="AQ972" s="190"/>
      <c r="AR972" s="619"/>
      <c r="AS972" s="617"/>
    </row>
    <row r="973" spans="1:45">
      <c r="A973" s="188"/>
      <c r="B973" s="190"/>
      <c r="C973" s="190"/>
      <c r="D973" s="190"/>
      <c r="E973" s="190"/>
      <c r="F973" s="190"/>
      <c r="G973" s="190"/>
      <c r="H973" s="190"/>
      <c r="I973" s="190"/>
      <c r="J973" s="190"/>
      <c r="K973" s="190"/>
      <c r="L973" s="190"/>
      <c r="M973" s="190"/>
      <c r="N973" s="190"/>
      <c r="O973" s="190"/>
      <c r="P973" s="190"/>
      <c r="Q973" s="190"/>
      <c r="R973" s="588"/>
      <c r="S973" s="188"/>
      <c r="T973" s="190"/>
      <c r="U973" s="190"/>
      <c r="V973" s="190"/>
      <c r="W973" s="190"/>
      <c r="X973" s="190"/>
      <c r="Y973" s="190"/>
      <c r="Z973" s="190"/>
      <c r="AA973" s="190"/>
      <c r="AB973" s="190"/>
      <c r="AC973" s="190"/>
      <c r="AD973" s="190"/>
      <c r="AE973" s="190"/>
      <c r="AF973" s="190"/>
      <c r="AG973" s="190"/>
      <c r="AH973" s="190"/>
      <c r="AI973" s="190"/>
      <c r="AJ973" s="190"/>
      <c r="AK973" s="190"/>
      <c r="AL973" s="190"/>
      <c r="AM973" s="603"/>
      <c r="AN973" s="190"/>
      <c r="AO973" s="190"/>
      <c r="AP973" s="190"/>
      <c r="AQ973" s="190"/>
      <c r="AR973" s="619"/>
      <c r="AS973" s="617"/>
    </row>
    <row r="974" spans="1:45">
      <c r="A974" s="188"/>
      <c r="B974" s="190"/>
      <c r="C974" s="190"/>
      <c r="D974" s="190"/>
      <c r="E974" s="190"/>
      <c r="F974" s="190"/>
      <c r="G974" s="190"/>
      <c r="H974" s="190"/>
      <c r="I974" s="190"/>
      <c r="J974" s="190"/>
      <c r="K974" s="190"/>
      <c r="L974" s="190"/>
      <c r="M974" s="190"/>
      <c r="N974" s="190"/>
      <c r="O974" s="190"/>
      <c r="P974" s="190"/>
      <c r="Q974" s="190"/>
      <c r="R974" s="588"/>
      <c r="S974" s="188"/>
      <c r="T974" s="190"/>
      <c r="U974" s="190"/>
      <c r="V974" s="190"/>
      <c r="W974" s="190"/>
      <c r="X974" s="190"/>
      <c r="Y974" s="190"/>
      <c r="Z974" s="190"/>
      <c r="AA974" s="190"/>
      <c r="AB974" s="190"/>
      <c r="AC974" s="190"/>
      <c r="AD974" s="190"/>
      <c r="AE974" s="190"/>
      <c r="AF974" s="190"/>
      <c r="AG974" s="190"/>
      <c r="AH974" s="190"/>
      <c r="AI974" s="190"/>
      <c r="AJ974" s="190"/>
      <c r="AK974" s="190"/>
      <c r="AL974" s="190"/>
      <c r="AM974" s="603"/>
      <c r="AN974" s="190"/>
      <c r="AO974" s="190"/>
      <c r="AP974" s="190"/>
      <c r="AQ974" s="190"/>
      <c r="AR974" s="619"/>
      <c r="AS974" s="617"/>
    </row>
    <row r="975" spans="1:45">
      <c r="A975" s="188"/>
      <c r="B975" s="190"/>
      <c r="C975" s="190"/>
      <c r="D975" s="190"/>
      <c r="E975" s="190"/>
      <c r="F975" s="190"/>
      <c r="G975" s="190"/>
      <c r="H975" s="190"/>
      <c r="I975" s="190"/>
      <c r="J975" s="190"/>
      <c r="K975" s="190"/>
      <c r="L975" s="190"/>
      <c r="M975" s="190"/>
      <c r="N975" s="190"/>
      <c r="O975" s="190"/>
      <c r="P975" s="190"/>
      <c r="Q975" s="190"/>
      <c r="R975" s="588"/>
      <c r="S975" s="188"/>
      <c r="T975" s="190"/>
      <c r="U975" s="190"/>
      <c r="V975" s="190"/>
      <c r="W975" s="190"/>
      <c r="X975" s="190"/>
      <c r="Y975" s="190"/>
      <c r="Z975" s="190"/>
      <c r="AA975" s="190"/>
      <c r="AB975" s="190"/>
      <c r="AC975" s="190"/>
      <c r="AD975" s="190"/>
      <c r="AE975" s="190"/>
      <c r="AF975" s="190"/>
      <c r="AG975" s="190"/>
      <c r="AH975" s="190"/>
      <c r="AI975" s="190"/>
      <c r="AJ975" s="190"/>
      <c r="AK975" s="190"/>
      <c r="AL975" s="190"/>
      <c r="AM975" s="603"/>
      <c r="AN975" s="190"/>
      <c r="AO975" s="190"/>
      <c r="AP975" s="190"/>
      <c r="AQ975" s="190"/>
      <c r="AR975" s="619"/>
      <c r="AS975" s="617"/>
    </row>
    <row r="976" spans="1:45">
      <c r="A976" s="188"/>
      <c r="B976" s="190"/>
      <c r="C976" s="190"/>
      <c r="D976" s="190"/>
      <c r="E976" s="190"/>
      <c r="F976" s="190"/>
      <c r="G976" s="190"/>
      <c r="H976" s="190"/>
      <c r="I976" s="190"/>
      <c r="J976" s="190"/>
      <c r="K976" s="190"/>
      <c r="L976" s="190"/>
      <c r="M976" s="190"/>
      <c r="N976" s="190"/>
      <c r="O976" s="190"/>
      <c r="P976" s="190"/>
      <c r="Q976" s="190"/>
      <c r="R976" s="588"/>
      <c r="S976" s="188"/>
      <c r="T976" s="190"/>
      <c r="U976" s="190"/>
      <c r="V976" s="190"/>
      <c r="W976" s="190"/>
      <c r="X976" s="190"/>
      <c r="Y976" s="190"/>
      <c r="Z976" s="190"/>
      <c r="AA976" s="190"/>
      <c r="AB976" s="190"/>
      <c r="AC976" s="190"/>
      <c r="AD976" s="190"/>
      <c r="AE976" s="190"/>
      <c r="AF976" s="190"/>
      <c r="AG976" s="190"/>
      <c r="AH976" s="190"/>
      <c r="AI976" s="190"/>
      <c r="AJ976" s="190"/>
      <c r="AK976" s="190"/>
      <c r="AL976" s="190"/>
      <c r="AM976" s="603"/>
      <c r="AN976" s="190"/>
      <c r="AO976" s="190"/>
      <c r="AP976" s="190"/>
      <c r="AQ976" s="190"/>
      <c r="AR976" s="619"/>
      <c r="AS976" s="617"/>
    </row>
    <row r="977" spans="1:45">
      <c r="A977" s="188"/>
      <c r="B977" s="190"/>
      <c r="C977" s="190"/>
      <c r="D977" s="190"/>
      <c r="E977" s="190"/>
      <c r="F977" s="190"/>
      <c r="G977" s="190"/>
      <c r="H977" s="190"/>
      <c r="I977" s="190"/>
      <c r="J977" s="190"/>
      <c r="K977" s="190"/>
      <c r="L977" s="190"/>
      <c r="M977" s="190"/>
      <c r="N977" s="190"/>
      <c r="O977" s="190"/>
      <c r="P977" s="190"/>
      <c r="Q977" s="190"/>
      <c r="R977" s="588"/>
      <c r="S977" s="188"/>
      <c r="T977" s="190"/>
      <c r="U977" s="190"/>
      <c r="V977" s="190"/>
      <c r="W977" s="190"/>
      <c r="X977" s="190"/>
      <c r="Y977" s="190"/>
      <c r="Z977" s="190"/>
      <c r="AA977" s="190"/>
      <c r="AB977" s="190"/>
      <c r="AC977" s="190"/>
      <c r="AD977" s="190"/>
      <c r="AE977" s="190"/>
      <c r="AF977" s="190"/>
      <c r="AG977" s="190"/>
      <c r="AH977" s="190"/>
      <c r="AI977" s="190"/>
      <c r="AJ977" s="190"/>
      <c r="AK977" s="190"/>
      <c r="AL977" s="190"/>
      <c r="AM977" s="603"/>
      <c r="AN977" s="190"/>
      <c r="AO977" s="190"/>
      <c r="AP977" s="190"/>
      <c r="AQ977" s="190"/>
      <c r="AR977" s="619"/>
      <c r="AS977" s="617"/>
    </row>
    <row r="978" spans="1:45">
      <c r="A978" s="188"/>
      <c r="B978" s="190"/>
      <c r="C978" s="190"/>
      <c r="D978" s="190"/>
      <c r="E978" s="190"/>
      <c r="F978" s="190"/>
      <c r="G978" s="190"/>
      <c r="H978" s="190"/>
      <c r="I978" s="190"/>
      <c r="J978" s="190"/>
      <c r="K978" s="190"/>
      <c r="L978" s="190"/>
      <c r="M978" s="190"/>
      <c r="N978" s="190"/>
      <c r="O978" s="190"/>
      <c r="P978" s="190"/>
      <c r="Q978" s="190"/>
      <c r="R978" s="588"/>
      <c r="S978" s="188"/>
      <c r="T978" s="190"/>
      <c r="U978" s="190"/>
      <c r="V978" s="190"/>
      <c r="W978" s="190"/>
      <c r="X978" s="190"/>
      <c r="Y978" s="190"/>
      <c r="Z978" s="190"/>
      <c r="AA978" s="190"/>
      <c r="AB978" s="190"/>
      <c r="AC978" s="190"/>
      <c r="AD978" s="190"/>
      <c r="AE978" s="190"/>
      <c r="AF978" s="190"/>
      <c r="AG978" s="190"/>
      <c r="AH978" s="190"/>
      <c r="AI978" s="190"/>
      <c r="AJ978" s="190"/>
      <c r="AK978" s="190"/>
      <c r="AL978" s="190"/>
      <c r="AM978" s="603"/>
      <c r="AN978" s="190"/>
      <c r="AO978" s="190"/>
      <c r="AP978" s="190"/>
      <c r="AQ978" s="190"/>
      <c r="AR978" s="619"/>
      <c r="AS978" s="617"/>
    </row>
    <row r="979" spans="1:45">
      <c r="A979" s="188"/>
      <c r="B979" s="190"/>
      <c r="C979" s="190"/>
      <c r="D979" s="190"/>
      <c r="E979" s="190"/>
      <c r="F979" s="190"/>
      <c r="G979" s="190"/>
      <c r="H979" s="190"/>
      <c r="I979" s="190"/>
      <c r="J979" s="190"/>
      <c r="K979" s="190"/>
      <c r="L979" s="190"/>
      <c r="M979" s="190"/>
      <c r="N979" s="190"/>
      <c r="O979" s="190"/>
      <c r="P979" s="190"/>
      <c r="Q979" s="190"/>
      <c r="R979" s="588"/>
      <c r="S979" s="188"/>
      <c r="T979" s="190"/>
      <c r="U979" s="190"/>
      <c r="V979" s="190"/>
      <c r="W979" s="190"/>
      <c r="X979" s="190"/>
      <c r="Y979" s="190"/>
      <c r="Z979" s="190"/>
      <c r="AA979" s="190"/>
      <c r="AB979" s="190"/>
      <c r="AC979" s="190"/>
      <c r="AD979" s="190"/>
      <c r="AE979" s="190"/>
      <c r="AF979" s="190"/>
      <c r="AG979" s="190"/>
      <c r="AH979" s="190"/>
      <c r="AI979" s="190"/>
      <c r="AJ979" s="190"/>
      <c r="AK979" s="190"/>
      <c r="AL979" s="190"/>
      <c r="AM979" s="603"/>
      <c r="AN979" s="190"/>
      <c r="AO979" s="190"/>
      <c r="AP979" s="190"/>
      <c r="AQ979" s="190"/>
      <c r="AR979" s="619"/>
      <c r="AS979" s="617"/>
    </row>
    <row r="980" spans="1:45">
      <c r="A980" s="188"/>
      <c r="B980" s="190"/>
      <c r="C980" s="190"/>
      <c r="D980" s="190"/>
      <c r="E980" s="190"/>
      <c r="F980" s="190"/>
      <c r="G980" s="190"/>
      <c r="H980" s="190"/>
      <c r="I980" s="190"/>
      <c r="J980" s="190"/>
      <c r="K980" s="190"/>
      <c r="L980" s="190"/>
      <c r="M980" s="190"/>
      <c r="N980" s="190"/>
      <c r="O980" s="190"/>
      <c r="P980" s="190"/>
      <c r="Q980" s="190"/>
      <c r="R980" s="588"/>
      <c r="S980" s="188"/>
      <c r="T980" s="190"/>
      <c r="U980" s="190"/>
      <c r="V980" s="190"/>
      <c r="W980" s="190"/>
      <c r="X980" s="190"/>
      <c r="Y980" s="190"/>
      <c r="Z980" s="190"/>
      <c r="AA980" s="190"/>
      <c r="AB980" s="190"/>
      <c r="AC980" s="190"/>
      <c r="AD980" s="190"/>
      <c r="AE980" s="190"/>
      <c r="AF980" s="190"/>
      <c r="AG980" s="190"/>
      <c r="AH980" s="190"/>
      <c r="AI980" s="190"/>
      <c r="AJ980" s="190"/>
      <c r="AK980" s="190"/>
      <c r="AL980" s="190"/>
      <c r="AM980" s="603"/>
      <c r="AN980" s="190"/>
      <c r="AO980" s="190"/>
      <c r="AP980" s="190"/>
      <c r="AQ980" s="190"/>
      <c r="AR980" s="619"/>
      <c r="AS980" s="617"/>
    </row>
    <row r="981" spans="1:45">
      <c r="A981" s="188"/>
      <c r="B981" s="190"/>
      <c r="C981" s="190"/>
      <c r="D981" s="190"/>
      <c r="E981" s="190"/>
      <c r="F981" s="190"/>
      <c r="G981" s="190"/>
      <c r="H981" s="190"/>
      <c r="I981" s="190"/>
      <c r="J981" s="190"/>
      <c r="K981" s="190"/>
      <c r="L981" s="190"/>
      <c r="M981" s="190"/>
      <c r="N981" s="190"/>
      <c r="O981" s="190"/>
      <c r="P981" s="190"/>
      <c r="Q981" s="190"/>
      <c r="R981" s="588"/>
      <c r="S981" s="188"/>
      <c r="T981" s="190"/>
      <c r="U981" s="190"/>
      <c r="V981" s="190"/>
      <c r="W981" s="190"/>
      <c r="X981" s="190"/>
      <c r="Y981" s="190"/>
      <c r="Z981" s="190"/>
      <c r="AA981" s="190"/>
      <c r="AB981" s="190"/>
      <c r="AC981" s="190"/>
      <c r="AD981" s="190"/>
      <c r="AE981" s="190"/>
      <c r="AF981" s="190"/>
      <c r="AG981" s="190"/>
      <c r="AH981" s="190"/>
      <c r="AI981" s="190"/>
      <c r="AJ981" s="190"/>
      <c r="AK981" s="190"/>
      <c r="AL981" s="190"/>
      <c r="AM981" s="603"/>
      <c r="AN981" s="190"/>
      <c r="AO981" s="190"/>
      <c r="AP981" s="190"/>
      <c r="AQ981" s="190"/>
      <c r="AR981" s="619"/>
      <c r="AS981" s="617"/>
    </row>
    <row r="982" spans="1:45">
      <c r="A982" s="188"/>
      <c r="B982" s="190"/>
      <c r="C982" s="190"/>
      <c r="D982" s="190"/>
      <c r="E982" s="190"/>
      <c r="F982" s="190"/>
      <c r="G982" s="190"/>
      <c r="H982" s="190"/>
      <c r="I982" s="190"/>
      <c r="J982" s="190"/>
      <c r="K982" s="190"/>
      <c r="L982" s="190"/>
      <c r="M982" s="190"/>
      <c r="N982" s="190"/>
      <c r="O982" s="190"/>
      <c r="P982" s="190"/>
      <c r="Q982" s="190"/>
      <c r="R982" s="588"/>
      <c r="S982" s="188"/>
      <c r="T982" s="190"/>
      <c r="U982" s="190"/>
      <c r="V982" s="190"/>
      <c r="W982" s="190"/>
      <c r="X982" s="190"/>
      <c r="Y982" s="190"/>
      <c r="Z982" s="190"/>
      <c r="AA982" s="190"/>
      <c r="AB982" s="190"/>
      <c r="AC982" s="190"/>
      <c r="AD982" s="190"/>
      <c r="AE982" s="190"/>
      <c r="AF982" s="190"/>
      <c r="AG982" s="190"/>
      <c r="AH982" s="190"/>
      <c r="AI982" s="190"/>
      <c r="AJ982" s="190"/>
      <c r="AK982" s="190"/>
      <c r="AL982" s="190"/>
      <c r="AM982" s="603"/>
      <c r="AN982" s="190"/>
      <c r="AO982" s="190"/>
      <c r="AP982" s="190"/>
      <c r="AQ982" s="190"/>
      <c r="AR982" s="619"/>
      <c r="AS982" s="617"/>
    </row>
    <row r="983" spans="1:45">
      <c r="A983" s="188"/>
      <c r="B983" s="190"/>
      <c r="C983" s="190"/>
      <c r="D983" s="190"/>
      <c r="E983" s="190"/>
      <c r="F983" s="190"/>
      <c r="G983" s="190"/>
      <c r="H983" s="190"/>
      <c r="I983" s="190"/>
      <c r="J983" s="190"/>
      <c r="K983" s="190"/>
      <c r="L983" s="190"/>
      <c r="M983" s="190"/>
      <c r="N983" s="190"/>
      <c r="O983" s="190"/>
      <c r="P983" s="190"/>
      <c r="Q983" s="190"/>
      <c r="R983" s="588"/>
      <c r="S983" s="188"/>
      <c r="T983" s="190"/>
      <c r="U983" s="190"/>
      <c r="V983" s="190"/>
      <c r="W983" s="190"/>
      <c r="X983" s="190"/>
      <c r="Y983" s="190"/>
      <c r="Z983" s="190"/>
      <c r="AA983" s="190"/>
      <c r="AB983" s="190"/>
      <c r="AC983" s="190"/>
      <c r="AD983" s="190"/>
      <c r="AE983" s="190"/>
      <c r="AF983" s="190"/>
      <c r="AG983" s="190"/>
      <c r="AH983" s="190"/>
      <c r="AI983" s="190"/>
      <c r="AJ983" s="190"/>
      <c r="AK983" s="190"/>
      <c r="AL983" s="190"/>
      <c r="AM983" s="603"/>
      <c r="AN983" s="190"/>
      <c r="AO983" s="190"/>
      <c r="AP983" s="190"/>
      <c r="AQ983" s="190"/>
      <c r="AR983" s="619"/>
      <c r="AS983" s="617"/>
    </row>
    <row r="984" spans="1:45">
      <c r="A984" s="188"/>
      <c r="B984" s="190"/>
      <c r="C984" s="190"/>
      <c r="D984" s="190"/>
      <c r="E984" s="190"/>
      <c r="F984" s="190"/>
      <c r="G984" s="190"/>
      <c r="H984" s="190"/>
      <c r="I984" s="190"/>
      <c r="J984" s="190"/>
      <c r="K984" s="190"/>
      <c r="L984" s="190"/>
      <c r="M984" s="190"/>
      <c r="N984" s="190"/>
      <c r="O984" s="190"/>
      <c r="P984" s="190"/>
      <c r="Q984" s="190"/>
      <c r="R984" s="588"/>
      <c r="S984" s="188"/>
      <c r="T984" s="190"/>
      <c r="U984" s="190"/>
      <c r="V984" s="190"/>
      <c r="W984" s="190"/>
      <c r="X984" s="190"/>
      <c r="Y984" s="190"/>
      <c r="Z984" s="190"/>
      <c r="AA984" s="190"/>
      <c r="AB984" s="190"/>
      <c r="AC984" s="190"/>
      <c r="AD984" s="190"/>
      <c r="AE984" s="190"/>
      <c r="AF984" s="190"/>
      <c r="AG984" s="190"/>
      <c r="AH984" s="190"/>
      <c r="AI984" s="190"/>
      <c r="AJ984" s="190"/>
      <c r="AK984" s="190"/>
      <c r="AL984" s="190"/>
      <c r="AM984" s="603"/>
      <c r="AN984" s="190"/>
      <c r="AO984" s="190"/>
      <c r="AP984" s="190"/>
      <c r="AQ984" s="190"/>
      <c r="AR984" s="619"/>
      <c r="AS984" s="617"/>
    </row>
    <row r="985" spans="1:45">
      <c r="A985" s="188"/>
      <c r="B985" s="190"/>
      <c r="C985" s="190"/>
      <c r="D985" s="190"/>
      <c r="E985" s="190"/>
      <c r="F985" s="190"/>
      <c r="G985" s="190"/>
      <c r="H985" s="190"/>
      <c r="I985" s="190"/>
      <c r="J985" s="190"/>
      <c r="K985" s="190"/>
      <c r="L985" s="190"/>
      <c r="M985" s="190"/>
      <c r="N985" s="190"/>
      <c r="O985" s="190"/>
      <c r="P985" s="190"/>
      <c r="Q985" s="190"/>
      <c r="R985" s="588"/>
      <c r="S985" s="188"/>
      <c r="T985" s="190"/>
      <c r="U985" s="190"/>
      <c r="V985" s="190"/>
      <c r="W985" s="190"/>
      <c r="X985" s="190"/>
      <c r="Y985" s="190"/>
      <c r="Z985" s="190"/>
      <c r="AA985" s="190"/>
      <c r="AB985" s="190"/>
      <c r="AC985" s="190"/>
      <c r="AD985" s="190"/>
      <c r="AE985" s="190"/>
      <c r="AF985" s="190"/>
      <c r="AG985" s="190"/>
      <c r="AH985" s="190"/>
      <c r="AI985" s="190"/>
      <c r="AJ985" s="190"/>
      <c r="AK985" s="190"/>
      <c r="AL985" s="190"/>
      <c r="AM985" s="603"/>
      <c r="AN985" s="190"/>
      <c r="AO985" s="190"/>
      <c r="AP985" s="190"/>
      <c r="AQ985" s="190"/>
      <c r="AR985" s="619"/>
      <c r="AS985" s="617"/>
    </row>
    <row r="986" spans="1:45">
      <c r="A986" s="188"/>
      <c r="B986" s="190"/>
      <c r="C986" s="190"/>
      <c r="D986" s="190"/>
      <c r="E986" s="190"/>
      <c r="F986" s="190"/>
      <c r="G986" s="190"/>
      <c r="H986" s="190"/>
      <c r="I986" s="190"/>
      <c r="J986" s="190"/>
      <c r="K986" s="190"/>
      <c r="L986" s="190"/>
      <c r="M986" s="190"/>
      <c r="N986" s="190"/>
      <c r="O986" s="190"/>
      <c r="P986" s="190"/>
      <c r="Q986" s="190"/>
      <c r="R986" s="588"/>
      <c r="S986" s="188"/>
      <c r="T986" s="190"/>
      <c r="U986" s="190"/>
      <c r="V986" s="190"/>
      <c r="W986" s="190"/>
      <c r="X986" s="190"/>
      <c r="Y986" s="190"/>
      <c r="Z986" s="190"/>
      <c r="AA986" s="190"/>
      <c r="AB986" s="190"/>
      <c r="AC986" s="190"/>
      <c r="AD986" s="190"/>
      <c r="AE986" s="190"/>
      <c r="AF986" s="190"/>
      <c r="AG986" s="190"/>
      <c r="AH986" s="190"/>
      <c r="AI986" s="190"/>
      <c r="AJ986" s="190"/>
      <c r="AK986" s="190"/>
      <c r="AL986" s="190"/>
      <c r="AM986" s="603"/>
      <c r="AN986" s="190"/>
      <c r="AO986" s="190"/>
      <c r="AP986" s="190"/>
      <c r="AQ986" s="190"/>
      <c r="AR986" s="619"/>
      <c r="AS986" s="617"/>
    </row>
    <row r="987" spans="1:45">
      <c r="A987" s="188"/>
      <c r="B987" s="190"/>
      <c r="C987" s="190"/>
      <c r="D987" s="190"/>
      <c r="E987" s="190"/>
      <c r="F987" s="190"/>
      <c r="G987" s="190"/>
      <c r="H987" s="190"/>
      <c r="I987" s="190"/>
      <c r="J987" s="190"/>
      <c r="K987" s="190"/>
      <c r="L987" s="190"/>
      <c r="M987" s="190"/>
      <c r="N987" s="190"/>
      <c r="O987" s="190"/>
      <c r="P987" s="190"/>
      <c r="Q987" s="190"/>
      <c r="R987" s="588"/>
      <c r="S987" s="188"/>
      <c r="T987" s="190"/>
      <c r="U987" s="190"/>
      <c r="V987" s="190"/>
      <c r="W987" s="190"/>
      <c r="X987" s="190"/>
      <c r="Y987" s="190"/>
      <c r="Z987" s="190"/>
      <c r="AA987" s="190"/>
      <c r="AB987" s="190"/>
      <c r="AC987" s="190"/>
      <c r="AD987" s="190"/>
      <c r="AE987" s="190"/>
      <c r="AF987" s="190"/>
      <c r="AG987" s="190"/>
      <c r="AH987" s="190"/>
      <c r="AI987" s="190"/>
      <c r="AJ987" s="190"/>
      <c r="AK987" s="190"/>
      <c r="AL987" s="190"/>
      <c r="AM987" s="603"/>
      <c r="AN987" s="190"/>
      <c r="AO987" s="190"/>
      <c r="AP987" s="190"/>
      <c r="AQ987" s="190"/>
      <c r="AR987" s="619"/>
      <c r="AS987" s="617"/>
    </row>
    <row r="988" spans="1:45">
      <c r="A988" s="188"/>
      <c r="B988" s="190"/>
      <c r="C988" s="190"/>
      <c r="D988" s="190"/>
      <c r="E988" s="190"/>
      <c r="F988" s="190"/>
      <c r="G988" s="190"/>
      <c r="H988" s="190"/>
      <c r="I988" s="190"/>
      <c r="J988" s="190"/>
      <c r="K988" s="190"/>
      <c r="L988" s="190"/>
      <c r="M988" s="190"/>
      <c r="N988" s="190"/>
      <c r="O988" s="190"/>
      <c r="P988" s="190"/>
      <c r="Q988" s="190"/>
      <c r="R988" s="588"/>
      <c r="S988" s="188"/>
      <c r="T988" s="190"/>
      <c r="U988" s="190"/>
      <c r="V988" s="190"/>
      <c r="W988" s="190"/>
      <c r="X988" s="190"/>
      <c r="Y988" s="190"/>
      <c r="Z988" s="190"/>
      <c r="AA988" s="190"/>
      <c r="AB988" s="190"/>
      <c r="AC988" s="190"/>
      <c r="AD988" s="190"/>
      <c r="AE988" s="190"/>
      <c r="AF988" s="190"/>
      <c r="AG988" s="190"/>
      <c r="AH988" s="190"/>
      <c r="AI988" s="190"/>
      <c r="AJ988" s="190"/>
      <c r="AK988" s="190"/>
      <c r="AL988" s="190"/>
      <c r="AM988" s="603"/>
      <c r="AN988" s="190"/>
      <c r="AO988" s="190"/>
      <c r="AP988" s="190"/>
      <c r="AQ988" s="190"/>
      <c r="AR988" s="619"/>
      <c r="AS988" s="617"/>
    </row>
    <row r="989" spans="1:45">
      <c r="A989" s="188"/>
      <c r="B989" s="190"/>
      <c r="C989" s="190"/>
      <c r="D989" s="190"/>
      <c r="E989" s="190"/>
      <c r="F989" s="190"/>
      <c r="G989" s="190"/>
      <c r="H989" s="190"/>
      <c r="I989" s="190"/>
      <c r="J989" s="190"/>
      <c r="K989" s="190"/>
      <c r="L989" s="190"/>
      <c r="M989" s="190"/>
      <c r="N989" s="190"/>
      <c r="O989" s="190"/>
      <c r="P989" s="190"/>
      <c r="Q989" s="190"/>
      <c r="R989" s="588"/>
      <c r="S989" s="188"/>
      <c r="T989" s="190"/>
      <c r="U989" s="190"/>
      <c r="V989" s="190"/>
      <c r="W989" s="190"/>
      <c r="X989" s="190"/>
      <c r="Y989" s="190"/>
      <c r="Z989" s="190"/>
      <c r="AA989" s="190"/>
      <c r="AB989" s="190"/>
      <c r="AC989" s="190"/>
      <c r="AD989" s="190"/>
      <c r="AE989" s="190"/>
      <c r="AF989" s="190"/>
      <c r="AG989" s="190"/>
      <c r="AH989" s="190"/>
      <c r="AI989" s="190"/>
      <c r="AJ989" s="190"/>
      <c r="AK989" s="190"/>
      <c r="AL989" s="190"/>
      <c r="AM989" s="603"/>
      <c r="AN989" s="190"/>
      <c r="AO989" s="190"/>
      <c r="AP989" s="190"/>
      <c r="AQ989" s="190"/>
      <c r="AR989" s="619"/>
      <c r="AS989" s="617"/>
    </row>
    <row r="990" spans="1:45">
      <c r="A990" s="188"/>
      <c r="B990" s="190"/>
      <c r="C990" s="190"/>
      <c r="D990" s="190"/>
      <c r="E990" s="190"/>
      <c r="F990" s="190"/>
      <c r="G990" s="190"/>
      <c r="H990" s="190"/>
      <c r="I990" s="190"/>
      <c r="J990" s="190"/>
      <c r="K990" s="190"/>
      <c r="L990" s="190"/>
      <c r="M990" s="190"/>
      <c r="N990" s="190"/>
      <c r="O990" s="190"/>
      <c r="P990" s="190"/>
      <c r="Q990" s="190"/>
      <c r="R990" s="588"/>
      <c r="S990" s="188"/>
      <c r="T990" s="190"/>
      <c r="U990" s="190"/>
      <c r="V990" s="190"/>
      <c r="W990" s="190"/>
      <c r="X990" s="190"/>
      <c r="Y990" s="190"/>
      <c r="Z990" s="190"/>
      <c r="AA990" s="190"/>
      <c r="AB990" s="190"/>
      <c r="AC990" s="190"/>
      <c r="AD990" s="190"/>
      <c r="AE990" s="190"/>
      <c r="AF990" s="190"/>
      <c r="AG990" s="190"/>
      <c r="AH990" s="190"/>
      <c r="AI990" s="190"/>
      <c r="AJ990" s="190"/>
      <c r="AK990" s="190"/>
      <c r="AL990" s="190"/>
      <c r="AM990" s="603"/>
      <c r="AN990" s="190"/>
      <c r="AO990" s="190"/>
      <c r="AP990" s="190"/>
      <c r="AQ990" s="190"/>
      <c r="AR990" s="619"/>
      <c r="AS990" s="617"/>
    </row>
    <row r="991" spans="1:45">
      <c r="A991" s="188"/>
      <c r="B991" s="190"/>
      <c r="C991" s="190"/>
      <c r="D991" s="190"/>
      <c r="E991" s="190"/>
      <c r="F991" s="190"/>
      <c r="G991" s="190"/>
      <c r="H991" s="190"/>
      <c r="I991" s="190"/>
      <c r="J991" s="190"/>
      <c r="K991" s="190"/>
      <c r="L991" s="190"/>
      <c r="M991" s="190"/>
      <c r="N991" s="190"/>
      <c r="O991" s="190"/>
      <c r="P991" s="190"/>
      <c r="Q991" s="190"/>
      <c r="R991" s="588"/>
      <c r="S991" s="188"/>
      <c r="T991" s="190"/>
      <c r="U991" s="190"/>
      <c r="V991" s="190"/>
      <c r="W991" s="190"/>
      <c r="X991" s="190"/>
      <c r="Y991" s="190"/>
      <c r="Z991" s="190"/>
      <c r="AA991" s="190"/>
      <c r="AB991" s="190"/>
      <c r="AC991" s="190"/>
      <c r="AD991" s="190"/>
      <c r="AE991" s="190"/>
      <c r="AF991" s="190"/>
      <c r="AG991" s="190"/>
      <c r="AH991" s="190"/>
      <c r="AI991" s="190"/>
      <c r="AJ991" s="190"/>
      <c r="AK991" s="190"/>
      <c r="AL991" s="190"/>
      <c r="AM991" s="603"/>
      <c r="AN991" s="190"/>
      <c r="AO991" s="190"/>
      <c r="AP991" s="190"/>
      <c r="AQ991" s="190"/>
      <c r="AR991" s="619"/>
    </row>
    <row r="992" spans="1:45">
      <c r="A992" s="188"/>
      <c r="B992" s="190"/>
      <c r="C992" s="190"/>
      <c r="D992" s="190"/>
      <c r="E992" s="190"/>
      <c r="F992" s="190"/>
      <c r="G992" s="190"/>
      <c r="H992" s="190"/>
      <c r="I992" s="190"/>
      <c r="J992" s="190"/>
      <c r="K992" s="190"/>
      <c r="L992" s="190"/>
      <c r="M992" s="190"/>
      <c r="N992" s="190"/>
      <c r="O992" s="190"/>
      <c r="P992" s="190"/>
      <c r="Q992" s="190"/>
      <c r="R992" s="588"/>
      <c r="S992" s="188"/>
      <c r="T992" s="190"/>
      <c r="U992" s="190"/>
      <c r="V992" s="190"/>
      <c r="W992" s="190"/>
      <c r="X992" s="190"/>
      <c r="Y992" s="190"/>
      <c r="Z992" s="190"/>
      <c r="AA992" s="190"/>
      <c r="AB992" s="190"/>
      <c r="AC992" s="190"/>
      <c r="AD992" s="190"/>
      <c r="AE992" s="190"/>
      <c r="AF992" s="190"/>
      <c r="AG992" s="190"/>
      <c r="AH992" s="190"/>
      <c r="AI992" s="190"/>
      <c r="AJ992" s="190"/>
      <c r="AK992" s="190"/>
      <c r="AL992" s="190"/>
      <c r="AM992" s="603"/>
      <c r="AN992" s="190"/>
      <c r="AO992" s="190"/>
      <c r="AP992" s="190"/>
      <c r="AQ992" s="190"/>
      <c r="AR992" s="619"/>
    </row>
    <row r="993" spans="1:44">
      <c r="A993" s="188"/>
      <c r="B993" s="190"/>
      <c r="C993" s="190"/>
      <c r="D993" s="190"/>
      <c r="E993" s="190"/>
      <c r="F993" s="190"/>
      <c r="G993" s="190"/>
      <c r="H993" s="190"/>
      <c r="I993" s="190"/>
      <c r="J993" s="190"/>
      <c r="K993" s="190"/>
      <c r="L993" s="190"/>
      <c r="M993" s="190"/>
      <c r="N993" s="190"/>
      <c r="O993" s="190"/>
      <c r="P993" s="190"/>
      <c r="Q993" s="190"/>
      <c r="R993" s="588"/>
      <c r="S993" s="188"/>
      <c r="T993" s="190"/>
      <c r="U993" s="190"/>
      <c r="V993" s="190"/>
      <c r="W993" s="190"/>
      <c r="X993" s="190"/>
      <c r="Y993" s="190"/>
      <c r="Z993" s="190"/>
      <c r="AA993" s="190"/>
      <c r="AB993" s="190"/>
      <c r="AC993" s="190"/>
      <c r="AD993" s="190"/>
      <c r="AE993" s="190"/>
      <c r="AF993" s="190"/>
      <c r="AG993" s="190"/>
      <c r="AH993" s="190"/>
      <c r="AI993" s="190"/>
      <c r="AJ993" s="190"/>
      <c r="AK993" s="190"/>
      <c r="AL993" s="190"/>
      <c r="AM993" s="603"/>
      <c r="AN993" s="190"/>
      <c r="AO993" s="190"/>
      <c r="AP993" s="190"/>
      <c r="AQ993" s="190"/>
      <c r="AR993" s="619"/>
    </row>
    <row r="994" spans="1:44">
      <c r="A994" s="188"/>
      <c r="B994" s="190"/>
      <c r="C994" s="190"/>
      <c r="D994" s="190"/>
      <c r="E994" s="190"/>
      <c r="F994" s="190"/>
      <c r="G994" s="190"/>
      <c r="H994" s="190"/>
      <c r="I994" s="190"/>
      <c r="J994" s="190"/>
      <c r="K994" s="190"/>
      <c r="L994" s="190"/>
      <c r="M994" s="190"/>
      <c r="N994" s="190"/>
      <c r="O994" s="190"/>
      <c r="P994" s="190"/>
      <c r="Q994" s="190"/>
      <c r="R994" s="588"/>
      <c r="S994" s="188"/>
      <c r="T994" s="190"/>
      <c r="U994" s="190"/>
      <c r="V994" s="190"/>
      <c r="W994" s="190"/>
      <c r="X994" s="190"/>
      <c r="Y994" s="190"/>
      <c r="Z994" s="190"/>
      <c r="AA994" s="190"/>
      <c r="AB994" s="190"/>
      <c r="AC994" s="190"/>
      <c r="AD994" s="190"/>
      <c r="AE994" s="190"/>
      <c r="AF994" s="190"/>
      <c r="AG994" s="190"/>
      <c r="AH994" s="190"/>
      <c r="AI994" s="190"/>
      <c r="AJ994" s="190"/>
      <c r="AK994" s="190"/>
      <c r="AL994" s="190"/>
      <c r="AM994" s="603"/>
      <c r="AN994" s="190"/>
      <c r="AO994" s="190"/>
      <c r="AP994" s="190"/>
      <c r="AQ994" s="190"/>
      <c r="AR994" s="619"/>
    </row>
    <row r="995" spans="1:44">
      <c r="A995" s="188"/>
      <c r="B995" s="190"/>
      <c r="C995" s="190"/>
      <c r="D995" s="190"/>
      <c r="E995" s="190"/>
      <c r="F995" s="190"/>
      <c r="G995" s="190"/>
      <c r="H995" s="190"/>
      <c r="I995" s="190"/>
      <c r="J995" s="190"/>
      <c r="K995" s="190"/>
      <c r="L995" s="190"/>
      <c r="M995" s="190"/>
      <c r="N995" s="190"/>
      <c r="O995" s="190"/>
      <c r="P995" s="190"/>
      <c r="Q995" s="190"/>
      <c r="R995" s="588"/>
      <c r="S995" s="188"/>
      <c r="T995" s="190"/>
      <c r="U995" s="190"/>
      <c r="V995" s="190"/>
      <c r="W995" s="190"/>
      <c r="X995" s="190"/>
      <c r="Y995" s="190"/>
      <c r="Z995" s="190"/>
      <c r="AA995" s="190"/>
      <c r="AB995" s="190"/>
      <c r="AC995" s="190"/>
      <c r="AD995" s="190"/>
      <c r="AE995" s="190"/>
      <c r="AF995" s="190"/>
      <c r="AG995" s="190"/>
      <c r="AH995" s="190"/>
      <c r="AI995" s="190"/>
      <c r="AJ995" s="190"/>
      <c r="AK995" s="190"/>
      <c r="AL995" s="190"/>
      <c r="AM995" s="603"/>
      <c r="AN995" s="190"/>
      <c r="AO995" s="190"/>
      <c r="AP995" s="190"/>
      <c r="AQ995" s="190"/>
      <c r="AR995" s="619"/>
    </row>
    <row r="996" spans="1:44">
      <c r="A996" s="188"/>
      <c r="B996" s="190"/>
      <c r="C996" s="190"/>
      <c r="D996" s="190"/>
      <c r="E996" s="190"/>
      <c r="F996" s="190"/>
      <c r="G996" s="190"/>
      <c r="H996" s="190"/>
      <c r="I996" s="190"/>
      <c r="J996" s="190"/>
      <c r="K996" s="190"/>
      <c r="L996" s="190"/>
      <c r="M996" s="190"/>
      <c r="N996" s="190"/>
      <c r="O996" s="190"/>
      <c r="P996" s="190"/>
      <c r="Q996" s="190"/>
      <c r="R996" s="588"/>
      <c r="S996" s="188"/>
      <c r="T996" s="190"/>
      <c r="U996" s="190"/>
      <c r="V996" s="190"/>
      <c r="W996" s="190"/>
      <c r="X996" s="190"/>
      <c r="Y996" s="190"/>
      <c r="Z996" s="190"/>
      <c r="AA996" s="190"/>
      <c r="AB996" s="190"/>
      <c r="AC996" s="190"/>
      <c r="AD996" s="190"/>
      <c r="AE996" s="190"/>
      <c r="AF996" s="190"/>
      <c r="AG996" s="190"/>
      <c r="AH996" s="190"/>
      <c r="AI996" s="190"/>
      <c r="AJ996" s="190"/>
      <c r="AK996" s="190"/>
      <c r="AL996" s="190"/>
      <c r="AM996" s="603"/>
      <c r="AN996" s="190"/>
      <c r="AO996" s="190"/>
      <c r="AP996" s="190"/>
      <c r="AQ996" s="190"/>
      <c r="AR996" s="619"/>
    </row>
    <row r="997" spans="1:44">
      <c r="A997" s="188"/>
      <c r="B997" s="190"/>
      <c r="C997" s="190"/>
      <c r="D997" s="190"/>
      <c r="E997" s="190"/>
      <c r="F997" s="190"/>
      <c r="G997" s="190"/>
      <c r="H997" s="190"/>
      <c r="I997" s="190"/>
      <c r="J997" s="190"/>
      <c r="K997" s="190"/>
      <c r="L997" s="190"/>
      <c r="M997" s="190"/>
      <c r="N997" s="190"/>
      <c r="O997" s="190"/>
      <c r="P997" s="190"/>
      <c r="Q997" s="190"/>
      <c r="R997" s="588"/>
      <c r="S997" s="188"/>
      <c r="T997" s="190"/>
      <c r="U997" s="190"/>
      <c r="V997" s="190"/>
      <c r="W997" s="190"/>
      <c r="X997" s="190"/>
      <c r="Y997" s="190"/>
      <c r="Z997" s="190"/>
      <c r="AA997" s="190"/>
      <c r="AB997" s="190"/>
      <c r="AC997" s="190"/>
      <c r="AD997" s="190"/>
      <c r="AE997" s="190"/>
      <c r="AF997" s="190"/>
      <c r="AG997" s="190"/>
      <c r="AH997" s="190"/>
      <c r="AI997" s="190"/>
      <c r="AJ997" s="190"/>
      <c r="AK997" s="190"/>
      <c r="AL997" s="190"/>
      <c r="AM997" s="603"/>
      <c r="AN997" s="190"/>
      <c r="AO997" s="190"/>
      <c r="AP997" s="190"/>
      <c r="AQ997" s="190"/>
      <c r="AR997" s="619"/>
    </row>
    <row r="998" spans="1:44">
      <c r="A998" s="188"/>
      <c r="B998" s="190"/>
      <c r="C998" s="190"/>
      <c r="D998" s="190"/>
      <c r="E998" s="190"/>
      <c r="F998" s="190"/>
      <c r="G998" s="190"/>
      <c r="H998" s="190"/>
      <c r="I998" s="190"/>
      <c r="J998" s="190"/>
      <c r="K998" s="190"/>
      <c r="L998" s="190"/>
      <c r="M998" s="190"/>
      <c r="N998" s="190"/>
      <c r="O998" s="190"/>
      <c r="P998" s="190"/>
      <c r="Q998" s="190"/>
      <c r="R998" s="588"/>
      <c r="S998" s="188"/>
      <c r="T998" s="190"/>
      <c r="U998" s="190"/>
      <c r="V998" s="190"/>
      <c r="W998" s="190"/>
      <c r="X998" s="190"/>
      <c r="Y998" s="190"/>
      <c r="Z998" s="190"/>
      <c r="AA998" s="190"/>
      <c r="AB998" s="190"/>
      <c r="AC998" s="190"/>
      <c r="AD998" s="190"/>
      <c r="AE998" s="190"/>
      <c r="AF998" s="190"/>
      <c r="AG998" s="190"/>
      <c r="AH998" s="190"/>
      <c r="AI998" s="190"/>
      <c r="AJ998" s="190"/>
      <c r="AK998" s="190"/>
      <c r="AL998" s="190"/>
      <c r="AM998" s="603"/>
      <c r="AN998" s="190"/>
      <c r="AO998" s="190"/>
      <c r="AP998" s="190"/>
      <c r="AQ998" s="190"/>
      <c r="AR998" s="619"/>
    </row>
    <row r="999" spans="1:44">
      <c r="A999" s="188"/>
      <c r="B999" s="190"/>
      <c r="C999" s="190"/>
      <c r="D999" s="190"/>
      <c r="E999" s="190"/>
      <c r="F999" s="190"/>
      <c r="G999" s="190"/>
      <c r="H999" s="190"/>
      <c r="I999" s="190"/>
      <c r="J999" s="190"/>
      <c r="K999" s="190"/>
      <c r="L999" s="190"/>
      <c r="M999" s="190"/>
      <c r="N999" s="190"/>
      <c r="O999" s="190"/>
      <c r="P999" s="190"/>
      <c r="Q999" s="190"/>
      <c r="R999" s="588"/>
      <c r="S999" s="188"/>
      <c r="T999" s="190"/>
      <c r="U999" s="190"/>
      <c r="V999" s="190"/>
      <c r="W999" s="190"/>
      <c r="X999" s="190"/>
      <c r="Y999" s="190"/>
      <c r="Z999" s="190"/>
      <c r="AA999" s="190"/>
      <c r="AB999" s="190"/>
      <c r="AC999" s="190"/>
      <c r="AD999" s="190"/>
      <c r="AE999" s="190"/>
      <c r="AF999" s="190"/>
      <c r="AG999" s="190"/>
      <c r="AH999" s="190"/>
      <c r="AI999" s="190"/>
      <c r="AJ999" s="190"/>
      <c r="AK999" s="190"/>
      <c r="AL999" s="190"/>
      <c r="AM999" s="603"/>
      <c r="AN999" s="190"/>
      <c r="AO999" s="190"/>
      <c r="AP999" s="190"/>
      <c r="AQ999" s="190"/>
      <c r="AR999" s="619"/>
    </row>
    <row r="1000" spans="1:44">
      <c r="A1000" s="188"/>
      <c r="B1000" s="190"/>
      <c r="C1000" s="190"/>
      <c r="D1000" s="190"/>
      <c r="E1000" s="190"/>
      <c r="F1000" s="190"/>
      <c r="G1000" s="190"/>
      <c r="H1000" s="190"/>
      <c r="I1000" s="190"/>
      <c r="J1000" s="190"/>
      <c r="K1000" s="190"/>
      <c r="L1000" s="190"/>
      <c r="M1000" s="190"/>
      <c r="N1000" s="190"/>
      <c r="O1000" s="190"/>
      <c r="P1000" s="190"/>
      <c r="Q1000" s="190"/>
      <c r="R1000" s="588"/>
      <c r="S1000" s="188"/>
      <c r="T1000" s="190"/>
      <c r="U1000" s="190"/>
      <c r="V1000" s="190"/>
      <c r="W1000" s="190"/>
      <c r="X1000" s="190"/>
      <c r="Y1000" s="190"/>
      <c r="Z1000" s="190"/>
      <c r="AA1000" s="190"/>
      <c r="AB1000" s="190"/>
      <c r="AC1000" s="190"/>
      <c r="AD1000" s="190"/>
      <c r="AE1000" s="190"/>
      <c r="AF1000" s="190"/>
      <c r="AG1000" s="190"/>
      <c r="AH1000" s="190"/>
      <c r="AI1000" s="190"/>
      <c r="AJ1000" s="190"/>
      <c r="AK1000" s="190"/>
      <c r="AL1000" s="190"/>
      <c r="AM1000" s="603"/>
      <c r="AN1000" s="190"/>
      <c r="AO1000" s="190"/>
      <c r="AP1000" s="190"/>
      <c r="AQ1000" s="190"/>
      <c r="AR1000" s="619"/>
    </row>
    <row r="1001" spans="1:44">
      <c r="A1001" s="188"/>
      <c r="B1001" s="190"/>
      <c r="C1001" s="190"/>
      <c r="D1001" s="190"/>
      <c r="E1001" s="190"/>
      <c r="F1001" s="190"/>
      <c r="G1001" s="190"/>
      <c r="H1001" s="190"/>
      <c r="I1001" s="190"/>
      <c r="J1001" s="190"/>
      <c r="K1001" s="190"/>
      <c r="L1001" s="190"/>
      <c r="M1001" s="190"/>
      <c r="N1001" s="190"/>
      <c r="O1001" s="190"/>
      <c r="P1001" s="190"/>
      <c r="Q1001" s="190"/>
      <c r="R1001" s="588"/>
      <c r="S1001" s="188"/>
      <c r="T1001" s="190"/>
      <c r="U1001" s="190"/>
      <c r="V1001" s="190"/>
      <c r="W1001" s="190"/>
      <c r="X1001" s="190"/>
      <c r="Y1001" s="190"/>
      <c r="Z1001" s="190"/>
      <c r="AA1001" s="190"/>
      <c r="AB1001" s="190"/>
      <c r="AC1001" s="190"/>
      <c r="AD1001" s="190"/>
      <c r="AE1001" s="190"/>
      <c r="AF1001" s="190"/>
      <c r="AG1001" s="190"/>
      <c r="AH1001" s="190"/>
      <c r="AI1001" s="190"/>
      <c r="AJ1001" s="190"/>
      <c r="AK1001" s="190"/>
      <c r="AL1001" s="190"/>
      <c r="AM1001" s="603"/>
      <c r="AN1001" s="190"/>
      <c r="AO1001" s="190"/>
      <c r="AP1001" s="190"/>
      <c r="AQ1001" s="190"/>
      <c r="AR1001" s="619"/>
    </row>
    <row r="1002" spans="1:44">
      <c r="A1002" s="188"/>
      <c r="B1002" s="190"/>
      <c r="C1002" s="190"/>
      <c r="D1002" s="190"/>
      <c r="E1002" s="190"/>
      <c r="F1002" s="190"/>
      <c r="G1002" s="190"/>
      <c r="H1002" s="190"/>
      <c r="I1002" s="190"/>
      <c r="J1002" s="190"/>
      <c r="K1002" s="190"/>
      <c r="L1002" s="190"/>
      <c r="M1002" s="190"/>
      <c r="N1002" s="190"/>
      <c r="O1002" s="190"/>
      <c r="P1002" s="190"/>
      <c r="Q1002" s="190"/>
      <c r="R1002" s="588"/>
      <c r="S1002" s="188"/>
      <c r="T1002" s="190"/>
      <c r="U1002" s="190"/>
      <c r="V1002" s="190"/>
      <c r="W1002" s="190"/>
      <c r="X1002" s="190"/>
      <c r="Y1002" s="190"/>
      <c r="Z1002" s="190"/>
      <c r="AA1002" s="190"/>
      <c r="AB1002" s="190"/>
      <c r="AC1002" s="190"/>
      <c r="AD1002" s="190"/>
      <c r="AE1002" s="190"/>
      <c r="AF1002" s="190"/>
      <c r="AG1002" s="190"/>
      <c r="AH1002" s="190"/>
      <c r="AI1002" s="190"/>
      <c r="AJ1002" s="190"/>
      <c r="AK1002" s="190"/>
      <c r="AL1002" s="190"/>
      <c r="AM1002" s="603"/>
      <c r="AN1002" s="190"/>
      <c r="AO1002" s="190"/>
      <c r="AP1002" s="190"/>
      <c r="AQ1002" s="190"/>
      <c r="AR1002" s="619"/>
    </row>
    <row r="1003" spans="1:44">
      <c r="A1003" s="188"/>
      <c r="B1003" s="190"/>
      <c r="C1003" s="190"/>
      <c r="D1003" s="190"/>
      <c r="E1003" s="190"/>
      <c r="F1003" s="190"/>
      <c r="G1003" s="190"/>
      <c r="H1003" s="190"/>
      <c r="I1003" s="190"/>
      <c r="J1003" s="190"/>
      <c r="K1003" s="190"/>
      <c r="L1003" s="190"/>
      <c r="M1003" s="190"/>
      <c r="N1003" s="190"/>
      <c r="O1003" s="190"/>
      <c r="P1003" s="190"/>
      <c r="Q1003" s="190"/>
      <c r="R1003" s="588"/>
      <c r="S1003" s="188"/>
      <c r="T1003" s="190"/>
      <c r="U1003" s="190"/>
      <c r="V1003" s="190"/>
      <c r="W1003" s="190"/>
      <c r="X1003" s="190"/>
      <c r="Y1003" s="190"/>
      <c r="Z1003" s="190"/>
      <c r="AA1003" s="190"/>
      <c r="AB1003" s="190"/>
      <c r="AC1003" s="190"/>
      <c r="AD1003" s="190"/>
      <c r="AE1003" s="190"/>
      <c r="AF1003" s="190"/>
      <c r="AG1003" s="190"/>
      <c r="AH1003" s="190"/>
      <c r="AI1003" s="190"/>
      <c r="AJ1003" s="190"/>
      <c r="AK1003" s="190"/>
      <c r="AL1003" s="190"/>
      <c r="AM1003" s="603"/>
      <c r="AN1003" s="190"/>
      <c r="AO1003" s="190"/>
      <c r="AP1003" s="190"/>
      <c r="AQ1003" s="190"/>
      <c r="AR1003" s="619"/>
    </row>
    <row r="1004" spans="1:44">
      <c r="A1004" s="188"/>
      <c r="B1004" s="190"/>
      <c r="C1004" s="190"/>
      <c r="D1004" s="190"/>
      <c r="E1004" s="190"/>
      <c r="F1004" s="190"/>
      <c r="G1004" s="190"/>
      <c r="H1004" s="190"/>
      <c r="I1004" s="190"/>
      <c r="J1004" s="190"/>
      <c r="K1004" s="190"/>
      <c r="L1004" s="190"/>
      <c r="M1004" s="190"/>
      <c r="N1004" s="190"/>
      <c r="O1004" s="190"/>
      <c r="P1004" s="190"/>
      <c r="Q1004" s="190"/>
      <c r="R1004" s="588"/>
      <c r="S1004" s="188"/>
      <c r="T1004" s="190"/>
      <c r="U1004" s="190"/>
      <c r="V1004" s="190"/>
      <c r="W1004" s="190"/>
      <c r="X1004" s="190"/>
      <c r="Y1004" s="190"/>
      <c r="Z1004" s="190"/>
      <c r="AA1004" s="190"/>
      <c r="AB1004" s="190"/>
      <c r="AC1004" s="190"/>
      <c r="AD1004" s="190"/>
      <c r="AE1004" s="190"/>
      <c r="AF1004" s="190"/>
      <c r="AG1004" s="190"/>
      <c r="AH1004" s="190"/>
      <c r="AI1004" s="190"/>
      <c r="AJ1004" s="190"/>
      <c r="AK1004" s="190"/>
      <c r="AL1004" s="190"/>
      <c r="AM1004" s="603"/>
      <c r="AN1004" s="190"/>
      <c r="AO1004" s="190"/>
      <c r="AP1004" s="190"/>
      <c r="AQ1004" s="190"/>
      <c r="AR1004" s="619"/>
    </row>
    <row r="1005" spans="1:44">
      <c r="A1005" s="188"/>
      <c r="B1005" s="190"/>
      <c r="C1005" s="190"/>
      <c r="D1005" s="190"/>
      <c r="E1005" s="190"/>
      <c r="F1005" s="190"/>
      <c r="G1005" s="190"/>
      <c r="H1005" s="190"/>
      <c r="I1005" s="190"/>
      <c r="J1005" s="190"/>
      <c r="K1005" s="190"/>
      <c r="L1005" s="190"/>
      <c r="M1005" s="190"/>
      <c r="N1005" s="190"/>
      <c r="O1005" s="190"/>
      <c r="P1005" s="190"/>
      <c r="Q1005" s="190"/>
      <c r="R1005" s="588"/>
      <c r="S1005" s="188"/>
      <c r="T1005" s="190"/>
      <c r="U1005" s="190"/>
      <c r="V1005" s="190"/>
      <c r="W1005" s="190"/>
      <c r="X1005" s="190"/>
      <c r="Y1005" s="190"/>
      <c r="Z1005" s="190"/>
      <c r="AA1005" s="190"/>
      <c r="AB1005" s="190"/>
      <c r="AC1005" s="190"/>
      <c r="AD1005" s="190"/>
      <c r="AE1005" s="190"/>
      <c r="AF1005" s="190"/>
      <c r="AG1005" s="190"/>
      <c r="AH1005" s="190"/>
      <c r="AI1005" s="190"/>
      <c r="AJ1005" s="190"/>
      <c r="AK1005" s="190"/>
      <c r="AL1005" s="190"/>
      <c r="AM1005" s="603"/>
      <c r="AN1005" s="190"/>
      <c r="AO1005" s="190"/>
      <c r="AP1005" s="190"/>
      <c r="AQ1005" s="190"/>
      <c r="AR1005" s="619"/>
    </row>
    <row r="1006" spans="1:44">
      <c r="A1006" s="188"/>
      <c r="B1006" s="190"/>
      <c r="C1006" s="190"/>
      <c r="D1006" s="190"/>
      <c r="E1006" s="190"/>
      <c r="F1006" s="190"/>
      <c r="G1006" s="190"/>
      <c r="H1006" s="190"/>
      <c r="I1006" s="190"/>
      <c r="J1006" s="190"/>
      <c r="K1006" s="190"/>
      <c r="L1006" s="190"/>
      <c r="M1006" s="190"/>
      <c r="N1006" s="190"/>
      <c r="O1006" s="190"/>
      <c r="P1006" s="190"/>
      <c r="Q1006" s="190"/>
      <c r="R1006" s="588"/>
      <c r="S1006" s="188"/>
      <c r="T1006" s="190"/>
      <c r="U1006" s="190"/>
      <c r="V1006" s="190"/>
      <c r="W1006" s="190"/>
      <c r="X1006" s="190"/>
      <c r="Y1006" s="190"/>
      <c r="Z1006" s="190"/>
      <c r="AA1006" s="190"/>
      <c r="AB1006" s="190"/>
      <c r="AC1006" s="190"/>
      <c r="AD1006" s="190"/>
      <c r="AE1006" s="190"/>
      <c r="AF1006" s="190"/>
      <c r="AG1006" s="190"/>
      <c r="AH1006" s="190"/>
      <c r="AI1006" s="190"/>
      <c r="AJ1006" s="190"/>
      <c r="AK1006" s="190"/>
      <c r="AL1006" s="190"/>
      <c r="AM1006" s="603"/>
      <c r="AN1006" s="190"/>
      <c r="AO1006" s="190"/>
      <c r="AP1006" s="190"/>
      <c r="AQ1006" s="190"/>
      <c r="AR1006" s="619"/>
    </row>
    <row r="1007" spans="1:44">
      <c r="A1007" s="188"/>
      <c r="B1007" s="190"/>
      <c r="C1007" s="190"/>
      <c r="D1007" s="190"/>
      <c r="E1007" s="190"/>
      <c r="F1007" s="190"/>
      <c r="G1007" s="190"/>
      <c r="H1007" s="190"/>
      <c r="I1007" s="190"/>
      <c r="J1007" s="190"/>
      <c r="K1007" s="190"/>
      <c r="L1007" s="190"/>
      <c r="M1007" s="190"/>
      <c r="N1007" s="190"/>
      <c r="O1007" s="190"/>
      <c r="P1007" s="190"/>
      <c r="Q1007" s="190"/>
      <c r="R1007" s="588"/>
      <c r="S1007" s="188"/>
      <c r="T1007" s="190"/>
      <c r="U1007" s="190"/>
      <c r="V1007" s="190"/>
      <c r="W1007" s="190"/>
      <c r="X1007" s="190"/>
      <c r="Y1007" s="190"/>
      <c r="Z1007" s="190"/>
      <c r="AA1007" s="190"/>
      <c r="AB1007" s="190"/>
      <c r="AC1007" s="190"/>
      <c r="AD1007" s="190"/>
      <c r="AE1007" s="190"/>
      <c r="AF1007" s="190"/>
      <c r="AG1007" s="190"/>
      <c r="AH1007" s="190"/>
      <c r="AI1007" s="190"/>
      <c r="AJ1007" s="190"/>
      <c r="AK1007" s="190"/>
      <c r="AL1007" s="190"/>
      <c r="AM1007" s="603"/>
      <c r="AN1007" s="190"/>
      <c r="AO1007" s="190"/>
      <c r="AP1007" s="190"/>
      <c r="AQ1007" s="190"/>
      <c r="AR1007" s="619"/>
    </row>
    <row r="1008" spans="1:44">
      <c r="A1008" s="188"/>
      <c r="B1008" s="190"/>
      <c r="C1008" s="190"/>
      <c r="D1008" s="190"/>
      <c r="E1008" s="190"/>
      <c r="F1008" s="190"/>
      <c r="G1008" s="190"/>
      <c r="H1008" s="190"/>
      <c r="I1008" s="190"/>
      <c r="J1008" s="190"/>
      <c r="K1008" s="190"/>
      <c r="L1008" s="190"/>
      <c r="M1008" s="190"/>
      <c r="N1008" s="190"/>
      <c r="O1008" s="190"/>
      <c r="P1008" s="190"/>
      <c r="Q1008" s="190"/>
      <c r="R1008" s="588"/>
      <c r="S1008" s="188"/>
      <c r="T1008" s="190"/>
      <c r="U1008" s="190"/>
      <c r="V1008" s="190"/>
      <c r="W1008" s="190"/>
      <c r="X1008" s="190"/>
      <c r="Y1008" s="190"/>
      <c r="Z1008" s="190"/>
      <c r="AA1008" s="190"/>
      <c r="AB1008" s="190"/>
      <c r="AC1008" s="190"/>
      <c r="AD1008" s="190"/>
      <c r="AE1008" s="190"/>
      <c r="AF1008" s="190"/>
      <c r="AG1008" s="190"/>
      <c r="AH1008" s="190"/>
      <c r="AI1008" s="190"/>
      <c r="AJ1008" s="190"/>
      <c r="AK1008" s="190"/>
      <c r="AL1008" s="190"/>
      <c r="AM1008" s="603"/>
      <c r="AN1008" s="190"/>
      <c r="AO1008" s="190"/>
      <c r="AP1008" s="190"/>
      <c r="AQ1008" s="190"/>
      <c r="AR1008" s="619"/>
    </row>
    <row r="1009" spans="1:44">
      <c r="A1009" s="188"/>
      <c r="B1009" s="190"/>
      <c r="C1009" s="190"/>
      <c r="D1009" s="190"/>
      <c r="E1009" s="190"/>
      <c r="F1009" s="190"/>
      <c r="G1009" s="190"/>
      <c r="H1009" s="190"/>
      <c r="I1009" s="190"/>
      <c r="J1009" s="190"/>
      <c r="K1009" s="190"/>
      <c r="L1009" s="190"/>
      <c r="M1009" s="190"/>
      <c r="N1009" s="190"/>
      <c r="O1009" s="190"/>
      <c r="P1009" s="190"/>
      <c r="Q1009" s="190"/>
      <c r="R1009" s="588"/>
      <c r="S1009" s="188"/>
      <c r="T1009" s="190"/>
      <c r="U1009" s="190"/>
      <c r="V1009" s="190"/>
      <c r="W1009" s="190"/>
      <c r="X1009" s="190"/>
      <c r="Y1009" s="190"/>
      <c r="Z1009" s="190"/>
      <c r="AA1009" s="190"/>
      <c r="AB1009" s="190"/>
      <c r="AC1009" s="190"/>
      <c r="AD1009" s="190"/>
      <c r="AE1009" s="190"/>
      <c r="AF1009" s="190"/>
      <c r="AG1009" s="190"/>
      <c r="AH1009" s="190"/>
      <c r="AI1009" s="190"/>
      <c r="AJ1009" s="190"/>
      <c r="AK1009" s="190"/>
      <c r="AL1009" s="190"/>
      <c r="AM1009" s="603"/>
      <c r="AN1009" s="190"/>
      <c r="AO1009" s="190"/>
      <c r="AP1009" s="190"/>
      <c r="AQ1009" s="190"/>
      <c r="AR1009" s="619"/>
    </row>
    <row r="1010" spans="1:44">
      <c r="A1010" s="188"/>
      <c r="B1010" s="190"/>
      <c r="C1010" s="190"/>
      <c r="D1010" s="190"/>
      <c r="E1010" s="190"/>
      <c r="F1010" s="190"/>
      <c r="G1010" s="190"/>
      <c r="H1010" s="190"/>
      <c r="I1010" s="190"/>
      <c r="J1010" s="190"/>
      <c r="K1010" s="190"/>
      <c r="L1010" s="190"/>
      <c r="M1010" s="190"/>
      <c r="N1010" s="190"/>
      <c r="O1010" s="190"/>
      <c r="P1010" s="190"/>
      <c r="Q1010" s="190"/>
      <c r="R1010" s="588"/>
      <c r="S1010" s="188"/>
      <c r="T1010" s="190"/>
      <c r="U1010" s="190"/>
      <c r="V1010" s="190"/>
      <c r="W1010" s="190"/>
      <c r="X1010" s="190"/>
      <c r="Y1010" s="190"/>
      <c r="Z1010" s="190"/>
      <c r="AA1010" s="190"/>
      <c r="AB1010" s="190"/>
      <c r="AC1010" s="190"/>
      <c r="AD1010" s="190"/>
      <c r="AE1010" s="190"/>
      <c r="AF1010" s="190"/>
      <c r="AG1010" s="190"/>
      <c r="AH1010" s="190"/>
      <c r="AI1010" s="190"/>
      <c r="AJ1010" s="190"/>
      <c r="AK1010" s="190"/>
      <c r="AL1010" s="190"/>
      <c r="AM1010" s="603"/>
      <c r="AN1010" s="190"/>
      <c r="AO1010" s="190"/>
      <c r="AP1010" s="190"/>
      <c r="AQ1010" s="190"/>
      <c r="AR1010" s="619"/>
    </row>
    <row r="1011" spans="1:44">
      <c r="A1011" s="188"/>
      <c r="B1011" s="190"/>
      <c r="C1011" s="190"/>
      <c r="D1011" s="190"/>
      <c r="E1011" s="190"/>
      <c r="F1011" s="190"/>
      <c r="G1011" s="190"/>
      <c r="H1011" s="190"/>
      <c r="I1011" s="190"/>
      <c r="J1011" s="190"/>
      <c r="K1011" s="190"/>
      <c r="L1011" s="190"/>
      <c r="M1011" s="190"/>
      <c r="N1011" s="190"/>
      <c r="O1011" s="190"/>
      <c r="P1011" s="190"/>
      <c r="Q1011" s="190"/>
      <c r="R1011" s="588"/>
      <c r="S1011" s="188"/>
      <c r="T1011" s="190"/>
      <c r="U1011" s="190"/>
      <c r="V1011" s="190"/>
      <c r="W1011" s="190"/>
      <c r="X1011" s="190"/>
      <c r="Y1011" s="190"/>
      <c r="Z1011" s="190"/>
      <c r="AA1011" s="190"/>
      <c r="AB1011" s="190"/>
      <c r="AC1011" s="190"/>
      <c r="AD1011" s="190"/>
      <c r="AE1011" s="190"/>
      <c r="AF1011" s="190"/>
      <c r="AG1011" s="190"/>
      <c r="AH1011" s="190"/>
      <c r="AI1011" s="190"/>
      <c r="AJ1011" s="190"/>
      <c r="AK1011" s="190"/>
      <c r="AL1011" s="190"/>
      <c r="AM1011" s="603"/>
      <c r="AN1011" s="190"/>
      <c r="AO1011" s="190"/>
      <c r="AP1011" s="190"/>
      <c r="AQ1011" s="190"/>
      <c r="AR1011" s="619"/>
    </row>
    <row r="1012" spans="1:44">
      <c r="A1012" s="188"/>
      <c r="B1012" s="190"/>
      <c r="C1012" s="190"/>
      <c r="D1012" s="190"/>
      <c r="E1012" s="190"/>
      <c r="F1012" s="190"/>
      <c r="G1012" s="190"/>
      <c r="H1012" s="190"/>
      <c r="I1012" s="190"/>
      <c r="J1012" s="190"/>
      <c r="K1012" s="190"/>
      <c r="L1012" s="190"/>
      <c r="M1012" s="190"/>
      <c r="N1012" s="190"/>
      <c r="O1012" s="190"/>
      <c r="P1012" s="190"/>
      <c r="Q1012" s="190"/>
      <c r="R1012" s="588"/>
      <c r="S1012" s="188"/>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603"/>
      <c r="AN1012" s="190"/>
      <c r="AO1012" s="190"/>
      <c r="AP1012" s="190"/>
      <c r="AQ1012" s="190"/>
      <c r="AR1012" s="619"/>
    </row>
    <row r="1013" spans="1:44">
      <c r="A1013" s="188"/>
      <c r="B1013" s="190"/>
      <c r="C1013" s="190"/>
      <c r="D1013" s="190"/>
      <c r="E1013" s="190"/>
      <c r="F1013" s="190"/>
      <c r="G1013" s="190"/>
      <c r="H1013" s="190"/>
      <c r="I1013" s="190"/>
      <c r="J1013" s="190"/>
      <c r="K1013" s="190"/>
      <c r="L1013" s="190"/>
      <c r="M1013" s="190"/>
      <c r="N1013" s="190"/>
      <c r="O1013" s="190"/>
      <c r="P1013" s="190"/>
      <c r="Q1013" s="190"/>
      <c r="R1013" s="588"/>
      <c r="S1013" s="188"/>
      <c r="T1013" s="190"/>
      <c r="U1013" s="190"/>
      <c r="V1013" s="190"/>
      <c r="W1013" s="190"/>
      <c r="X1013" s="190"/>
      <c r="Y1013" s="190"/>
      <c r="Z1013" s="190"/>
      <c r="AA1013" s="190"/>
      <c r="AB1013" s="190"/>
      <c r="AC1013" s="190"/>
      <c r="AD1013" s="190"/>
      <c r="AE1013" s="190"/>
      <c r="AF1013" s="190"/>
      <c r="AG1013" s="190"/>
      <c r="AH1013" s="190"/>
      <c r="AI1013" s="190"/>
      <c r="AJ1013" s="190"/>
      <c r="AK1013" s="190"/>
      <c r="AL1013" s="190"/>
      <c r="AM1013" s="603"/>
      <c r="AN1013" s="190"/>
      <c r="AO1013" s="190"/>
      <c r="AP1013" s="190"/>
      <c r="AQ1013" s="190"/>
      <c r="AR1013" s="619"/>
    </row>
    <row r="1014" spans="1:44">
      <c r="A1014" s="188"/>
      <c r="B1014" s="190"/>
      <c r="C1014" s="190"/>
      <c r="D1014" s="190"/>
      <c r="E1014" s="190"/>
      <c r="F1014" s="190"/>
      <c r="G1014" s="190"/>
      <c r="H1014" s="190"/>
      <c r="I1014" s="190"/>
      <c r="J1014" s="190"/>
      <c r="K1014" s="190"/>
      <c r="L1014" s="190"/>
      <c r="M1014" s="190"/>
      <c r="N1014" s="190"/>
      <c r="O1014" s="190"/>
      <c r="P1014" s="190"/>
      <c r="Q1014" s="190"/>
      <c r="R1014" s="588"/>
      <c r="S1014" s="188"/>
      <c r="T1014" s="190"/>
      <c r="U1014" s="190"/>
      <c r="V1014" s="190"/>
      <c r="W1014" s="190"/>
      <c r="X1014" s="190"/>
      <c r="Y1014" s="190"/>
      <c r="Z1014" s="190"/>
      <c r="AA1014" s="190"/>
      <c r="AB1014" s="190"/>
      <c r="AC1014" s="190"/>
      <c r="AD1014" s="190"/>
      <c r="AE1014" s="190"/>
      <c r="AF1014" s="190"/>
      <c r="AG1014" s="190"/>
      <c r="AH1014" s="190"/>
      <c r="AI1014" s="190"/>
      <c r="AJ1014" s="190"/>
      <c r="AK1014" s="190"/>
      <c r="AL1014" s="190"/>
      <c r="AM1014" s="603"/>
      <c r="AN1014" s="190"/>
      <c r="AO1014" s="190"/>
      <c r="AP1014" s="190"/>
      <c r="AQ1014" s="190"/>
      <c r="AR1014" s="619"/>
    </row>
    <row r="1015" spans="1:44">
      <c r="A1015" s="188"/>
      <c r="B1015" s="190"/>
      <c r="C1015" s="190"/>
      <c r="D1015" s="190"/>
      <c r="E1015" s="190"/>
      <c r="F1015" s="190"/>
      <c r="G1015" s="190"/>
      <c r="H1015" s="190"/>
      <c r="I1015" s="190"/>
      <c r="J1015" s="190"/>
      <c r="K1015" s="190"/>
      <c r="L1015" s="190"/>
      <c r="M1015" s="190"/>
      <c r="N1015" s="190"/>
      <c r="O1015" s="190"/>
      <c r="P1015" s="190"/>
      <c r="Q1015" s="190"/>
      <c r="R1015" s="588"/>
      <c r="S1015" s="188"/>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603"/>
      <c r="AN1015" s="190"/>
      <c r="AO1015" s="190"/>
      <c r="AP1015" s="190"/>
      <c r="AQ1015" s="190"/>
      <c r="AR1015" s="619"/>
    </row>
    <row r="1016" spans="1:44">
      <c r="A1016" s="188"/>
      <c r="B1016" s="190"/>
      <c r="C1016" s="190"/>
      <c r="D1016" s="190"/>
      <c r="E1016" s="190"/>
      <c r="F1016" s="190"/>
      <c r="G1016" s="190"/>
      <c r="H1016" s="190"/>
      <c r="I1016" s="190"/>
      <c r="J1016" s="190"/>
      <c r="K1016" s="190"/>
      <c r="L1016" s="190"/>
      <c r="M1016" s="190"/>
      <c r="N1016" s="190"/>
      <c r="O1016" s="190"/>
      <c r="P1016" s="190"/>
      <c r="Q1016" s="190"/>
      <c r="R1016" s="588"/>
      <c r="S1016" s="188"/>
      <c r="T1016" s="190"/>
      <c r="U1016" s="190"/>
      <c r="V1016" s="190"/>
      <c r="W1016" s="190"/>
      <c r="X1016" s="190"/>
      <c r="Y1016" s="190"/>
      <c r="Z1016" s="190"/>
      <c r="AA1016" s="190"/>
      <c r="AB1016" s="190"/>
      <c r="AC1016" s="190"/>
      <c r="AD1016" s="190"/>
      <c r="AE1016" s="190"/>
      <c r="AF1016" s="190"/>
      <c r="AG1016" s="190"/>
      <c r="AH1016" s="190"/>
      <c r="AI1016" s="190"/>
      <c r="AJ1016" s="190"/>
      <c r="AK1016" s="190"/>
      <c r="AL1016" s="190"/>
      <c r="AM1016" s="603"/>
      <c r="AN1016" s="190"/>
      <c r="AO1016" s="190"/>
      <c r="AP1016" s="190"/>
      <c r="AQ1016" s="190"/>
      <c r="AR1016" s="619"/>
    </row>
    <row r="1017" spans="1:44">
      <c r="A1017" s="188"/>
      <c r="B1017" s="190"/>
      <c r="C1017" s="190"/>
      <c r="D1017" s="190"/>
      <c r="E1017" s="190"/>
      <c r="F1017" s="190"/>
      <c r="G1017" s="190"/>
      <c r="H1017" s="190"/>
      <c r="I1017" s="190"/>
      <c r="J1017" s="190"/>
      <c r="K1017" s="190"/>
      <c r="L1017" s="190"/>
      <c r="M1017" s="190"/>
      <c r="N1017" s="190"/>
      <c r="O1017" s="190"/>
      <c r="P1017" s="190"/>
      <c r="Q1017" s="190"/>
      <c r="R1017" s="588"/>
      <c r="S1017" s="188"/>
      <c r="T1017" s="190"/>
      <c r="U1017" s="190"/>
      <c r="V1017" s="190"/>
      <c r="W1017" s="190"/>
      <c r="X1017" s="190"/>
      <c r="Y1017" s="190"/>
      <c r="Z1017" s="190"/>
      <c r="AA1017" s="190"/>
      <c r="AB1017" s="190"/>
      <c r="AC1017" s="190"/>
      <c r="AD1017" s="190"/>
      <c r="AE1017" s="190"/>
      <c r="AF1017" s="190"/>
      <c r="AG1017" s="190"/>
      <c r="AH1017" s="190"/>
      <c r="AI1017" s="190"/>
      <c r="AJ1017" s="190"/>
      <c r="AK1017" s="190"/>
      <c r="AL1017" s="190"/>
      <c r="AM1017" s="603"/>
      <c r="AN1017" s="190"/>
      <c r="AO1017" s="190"/>
      <c r="AP1017" s="190"/>
      <c r="AQ1017" s="190"/>
      <c r="AR1017" s="619"/>
    </row>
    <row r="1018" spans="1:44">
      <c r="A1018" s="188"/>
      <c r="B1018" s="190"/>
      <c r="C1018" s="190"/>
      <c r="D1018" s="190"/>
      <c r="E1018" s="190"/>
      <c r="F1018" s="190"/>
      <c r="G1018" s="190"/>
      <c r="H1018" s="190"/>
      <c r="I1018" s="190"/>
      <c r="J1018" s="190"/>
      <c r="K1018" s="190"/>
      <c r="L1018" s="190"/>
      <c r="M1018" s="190"/>
      <c r="N1018" s="190"/>
      <c r="O1018" s="190"/>
      <c r="P1018" s="190"/>
      <c r="Q1018" s="190"/>
      <c r="R1018" s="588"/>
      <c r="S1018" s="188"/>
      <c r="T1018" s="190"/>
      <c r="U1018" s="190"/>
      <c r="V1018" s="190"/>
      <c r="W1018" s="190"/>
      <c r="X1018" s="190"/>
      <c r="Y1018" s="190"/>
      <c r="Z1018" s="190"/>
      <c r="AA1018" s="190"/>
      <c r="AB1018" s="190"/>
      <c r="AC1018" s="190"/>
      <c r="AD1018" s="190"/>
      <c r="AE1018" s="190"/>
      <c r="AF1018" s="190"/>
      <c r="AG1018" s="190"/>
      <c r="AH1018" s="190"/>
      <c r="AI1018" s="190"/>
      <c r="AJ1018" s="190"/>
      <c r="AK1018" s="190"/>
      <c r="AL1018" s="190"/>
      <c r="AM1018" s="603"/>
      <c r="AN1018" s="190"/>
      <c r="AO1018" s="190"/>
      <c r="AP1018" s="190"/>
      <c r="AQ1018" s="190"/>
      <c r="AR1018" s="619"/>
    </row>
    <row r="1019" spans="1:44">
      <c r="A1019" s="188"/>
      <c r="B1019" s="190"/>
      <c r="C1019" s="190"/>
      <c r="D1019" s="190"/>
      <c r="E1019" s="190"/>
      <c r="F1019" s="190"/>
      <c r="G1019" s="190"/>
      <c r="H1019" s="190"/>
      <c r="I1019" s="190"/>
      <c r="J1019" s="190"/>
      <c r="K1019" s="190"/>
      <c r="L1019" s="190"/>
      <c r="M1019" s="190"/>
      <c r="N1019" s="190"/>
      <c r="O1019" s="190"/>
      <c r="P1019" s="190"/>
      <c r="Q1019" s="190"/>
      <c r="R1019" s="588"/>
      <c r="S1019" s="188"/>
      <c r="T1019" s="190"/>
      <c r="U1019" s="190"/>
      <c r="V1019" s="190"/>
      <c r="W1019" s="190"/>
      <c r="X1019" s="190"/>
      <c r="Y1019" s="190"/>
      <c r="Z1019" s="190"/>
      <c r="AA1019" s="190"/>
      <c r="AB1019" s="190"/>
      <c r="AC1019" s="190"/>
      <c r="AD1019" s="190"/>
      <c r="AE1019" s="190"/>
      <c r="AF1019" s="190"/>
      <c r="AG1019" s="190"/>
      <c r="AH1019" s="190"/>
      <c r="AI1019" s="190"/>
      <c r="AJ1019" s="190"/>
      <c r="AK1019" s="190"/>
      <c r="AL1019" s="190"/>
      <c r="AM1019" s="603"/>
      <c r="AN1019" s="190"/>
      <c r="AO1019" s="190"/>
      <c r="AP1019" s="190"/>
      <c r="AQ1019" s="190"/>
      <c r="AR1019" s="619"/>
    </row>
    <row r="1020" spans="1:44">
      <c r="A1020" s="188"/>
      <c r="B1020" s="190"/>
      <c r="C1020" s="190"/>
      <c r="D1020" s="190"/>
      <c r="E1020" s="190"/>
      <c r="F1020" s="190"/>
      <c r="G1020" s="190"/>
      <c r="H1020" s="190"/>
      <c r="I1020" s="190"/>
      <c r="J1020" s="190"/>
      <c r="K1020" s="190"/>
      <c r="L1020" s="190"/>
      <c r="M1020" s="190"/>
      <c r="N1020" s="190"/>
      <c r="O1020" s="190"/>
      <c r="P1020" s="190"/>
      <c r="Q1020" s="190"/>
      <c r="R1020" s="588"/>
      <c r="S1020" s="188"/>
      <c r="T1020" s="190"/>
      <c r="U1020" s="190"/>
      <c r="V1020" s="190"/>
      <c r="W1020" s="190"/>
      <c r="X1020" s="190"/>
      <c r="Y1020" s="190"/>
      <c r="Z1020" s="190"/>
      <c r="AA1020" s="190"/>
      <c r="AB1020" s="190"/>
      <c r="AC1020" s="190"/>
      <c r="AD1020" s="190"/>
      <c r="AE1020" s="190"/>
      <c r="AF1020" s="190"/>
      <c r="AG1020" s="190"/>
      <c r="AH1020" s="190"/>
      <c r="AI1020" s="190"/>
      <c r="AJ1020" s="190"/>
      <c r="AK1020" s="190"/>
      <c r="AL1020" s="190"/>
      <c r="AM1020" s="603"/>
      <c r="AN1020" s="190"/>
      <c r="AO1020" s="190"/>
      <c r="AP1020" s="190"/>
      <c r="AQ1020" s="190"/>
      <c r="AR1020" s="619"/>
    </row>
    <row r="1021" spans="1:44">
      <c r="A1021" s="188"/>
      <c r="B1021" s="190"/>
      <c r="C1021" s="190"/>
      <c r="D1021" s="190"/>
      <c r="E1021" s="190"/>
      <c r="F1021" s="190"/>
      <c r="G1021" s="190"/>
      <c r="H1021" s="190"/>
      <c r="I1021" s="190"/>
      <c r="J1021" s="190"/>
      <c r="K1021" s="190"/>
      <c r="L1021" s="190"/>
      <c r="M1021" s="190"/>
      <c r="N1021" s="190"/>
      <c r="O1021" s="190"/>
      <c r="P1021" s="190"/>
      <c r="Q1021" s="190"/>
      <c r="R1021" s="588"/>
      <c r="S1021" s="188"/>
      <c r="T1021" s="190"/>
      <c r="U1021" s="190"/>
      <c r="V1021" s="190"/>
      <c r="W1021" s="190"/>
      <c r="X1021" s="190"/>
      <c r="Y1021" s="190"/>
      <c r="Z1021" s="190"/>
      <c r="AA1021" s="190"/>
      <c r="AB1021" s="190"/>
      <c r="AC1021" s="190"/>
      <c r="AD1021" s="190"/>
      <c r="AE1021" s="190"/>
      <c r="AF1021" s="190"/>
      <c r="AG1021" s="190"/>
      <c r="AH1021" s="190"/>
      <c r="AI1021" s="190"/>
      <c r="AJ1021" s="190"/>
      <c r="AK1021" s="190"/>
      <c r="AL1021" s="190"/>
      <c r="AM1021" s="603"/>
      <c r="AN1021" s="190"/>
      <c r="AO1021" s="190"/>
      <c r="AP1021" s="190"/>
      <c r="AQ1021" s="190"/>
      <c r="AR1021" s="619"/>
    </row>
    <row r="1022" spans="1:44">
      <c r="A1022" s="188"/>
      <c r="B1022" s="190"/>
      <c r="C1022" s="190"/>
      <c r="D1022" s="190"/>
      <c r="E1022" s="190"/>
      <c r="F1022" s="190"/>
      <c r="G1022" s="190"/>
      <c r="H1022" s="190"/>
      <c r="I1022" s="190"/>
      <c r="J1022" s="190"/>
      <c r="K1022" s="190"/>
      <c r="L1022" s="190"/>
      <c r="M1022" s="190"/>
      <c r="N1022" s="190"/>
      <c r="O1022" s="190"/>
      <c r="P1022" s="190"/>
      <c r="Q1022" s="190"/>
      <c r="R1022" s="588"/>
      <c r="S1022" s="188"/>
      <c r="T1022" s="190"/>
      <c r="U1022" s="190"/>
      <c r="V1022" s="190"/>
      <c r="W1022" s="190"/>
      <c r="X1022" s="190"/>
      <c r="Y1022" s="190"/>
      <c r="Z1022" s="190"/>
      <c r="AA1022" s="190"/>
      <c r="AB1022" s="190"/>
      <c r="AC1022" s="190"/>
      <c r="AD1022" s="190"/>
      <c r="AE1022" s="190"/>
      <c r="AF1022" s="190"/>
      <c r="AG1022" s="190"/>
      <c r="AH1022" s="190"/>
      <c r="AI1022" s="190"/>
      <c r="AJ1022" s="190"/>
      <c r="AK1022" s="190"/>
      <c r="AL1022" s="190"/>
      <c r="AM1022" s="603"/>
      <c r="AN1022" s="190"/>
      <c r="AO1022" s="190"/>
      <c r="AP1022" s="190"/>
      <c r="AQ1022" s="190"/>
      <c r="AR1022" s="619"/>
    </row>
    <row r="1023" spans="1:44">
      <c r="A1023" s="188"/>
      <c r="B1023" s="190"/>
      <c r="C1023" s="190"/>
      <c r="D1023" s="190"/>
      <c r="E1023" s="190"/>
      <c r="F1023" s="190"/>
      <c r="G1023" s="190"/>
      <c r="H1023" s="190"/>
      <c r="I1023" s="190"/>
      <c r="J1023" s="190"/>
      <c r="K1023" s="190"/>
      <c r="L1023" s="190"/>
      <c r="M1023" s="190"/>
      <c r="N1023" s="190"/>
      <c r="O1023" s="190"/>
      <c r="P1023" s="190"/>
      <c r="Q1023" s="190"/>
      <c r="R1023" s="588"/>
      <c r="S1023" s="188"/>
      <c r="T1023" s="190"/>
      <c r="U1023" s="190"/>
      <c r="V1023" s="190"/>
      <c r="W1023" s="190"/>
      <c r="X1023" s="190"/>
      <c r="Y1023" s="190"/>
      <c r="Z1023" s="190"/>
      <c r="AA1023" s="190"/>
      <c r="AB1023" s="190"/>
      <c r="AC1023" s="190"/>
      <c r="AD1023" s="190"/>
      <c r="AE1023" s="190"/>
      <c r="AF1023" s="190"/>
      <c r="AG1023" s="190"/>
      <c r="AH1023" s="190"/>
      <c r="AI1023" s="190"/>
      <c r="AJ1023" s="190"/>
      <c r="AK1023" s="190"/>
      <c r="AL1023" s="190"/>
      <c r="AM1023" s="603"/>
      <c r="AN1023" s="190"/>
      <c r="AO1023" s="190"/>
      <c r="AP1023" s="190"/>
      <c r="AQ1023" s="190"/>
      <c r="AR1023" s="619"/>
    </row>
    <row r="1024" spans="1:44">
      <c r="A1024" s="188"/>
      <c r="B1024" s="188"/>
      <c r="C1024" s="188"/>
      <c r="D1024" s="188"/>
      <c r="E1024" s="188"/>
      <c r="F1024" s="188"/>
      <c r="G1024" s="188"/>
      <c r="H1024" s="188"/>
      <c r="I1024" s="188"/>
      <c r="J1024" s="188"/>
      <c r="K1024" s="188"/>
      <c r="L1024" s="188"/>
      <c r="M1024" s="188"/>
      <c r="N1024" s="188"/>
      <c r="O1024" s="188"/>
      <c r="Q1024" s="188"/>
      <c r="R1024" s="588"/>
      <c r="S1024" s="188"/>
      <c r="T1024" s="190"/>
      <c r="U1024" s="190"/>
      <c r="V1024" s="190"/>
      <c r="W1024" s="190"/>
      <c r="X1024" s="190"/>
      <c r="Y1024" s="190"/>
      <c r="Z1024" s="190"/>
      <c r="AA1024" s="190"/>
      <c r="AB1024" s="190"/>
      <c r="AC1024" s="190"/>
      <c r="AD1024" s="190"/>
      <c r="AE1024" s="190"/>
      <c r="AF1024" s="190"/>
      <c r="AG1024" s="190"/>
      <c r="AH1024" s="190"/>
      <c r="AI1024" s="190"/>
      <c r="AJ1024" s="190"/>
      <c r="AK1024" s="190"/>
      <c r="AL1024" s="190"/>
      <c r="AM1024" s="603"/>
      <c r="AN1024" s="190"/>
      <c r="AO1024" s="190"/>
      <c r="AP1024" s="190"/>
      <c r="AQ1024" s="190"/>
      <c r="AR1024" s="619"/>
    </row>
    <row r="1025" spans="1:44">
      <c r="A1025" s="188"/>
      <c r="B1025" s="188"/>
      <c r="C1025" s="188"/>
      <c r="D1025" s="188"/>
      <c r="E1025" s="188"/>
      <c r="F1025" s="188"/>
      <c r="G1025" s="188"/>
      <c r="H1025" s="188"/>
      <c r="I1025" s="188"/>
      <c r="J1025" s="188"/>
      <c r="K1025" s="188"/>
      <c r="L1025" s="188"/>
      <c r="M1025" s="188"/>
      <c r="N1025" s="188"/>
      <c r="O1025" s="188"/>
      <c r="Q1025" s="188"/>
      <c r="R1025" s="588"/>
      <c r="S1025" s="188"/>
      <c r="T1025" s="190"/>
      <c r="U1025" s="190"/>
      <c r="V1025" s="190"/>
      <c r="W1025" s="190"/>
      <c r="X1025" s="190"/>
      <c r="Y1025" s="190"/>
      <c r="Z1025" s="190"/>
      <c r="AA1025" s="190"/>
      <c r="AB1025" s="190"/>
      <c r="AC1025" s="190"/>
      <c r="AD1025" s="190"/>
      <c r="AE1025" s="190"/>
      <c r="AF1025" s="190"/>
      <c r="AG1025" s="190"/>
      <c r="AH1025" s="190"/>
      <c r="AI1025" s="190"/>
      <c r="AJ1025" s="190"/>
      <c r="AK1025" s="190"/>
      <c r="AL1025" s="190"/>
      <c r="AM1025" s="603"/>
      <c r="AN1025" s="190"/>
      <c r="AO1025" s="190"/>
      <c r="AP1025" s="190"/>
      <c r="AQ1025" s="190"/>
      <c r="AR1025" s="619"/>
    </row>
    <row r="1026" spans="1:44">
      <c r="A1026" s="188"/>
      <c r="B1026" s="188"/>
      <c r="C1026" s="188"/>
      <c r="D1026" s="188"/>
      <c r="E1026" s="188"/>
      <c r="F1026" s="188"/>
      <c r="G1026" s="188"/>
      <c r="H1026" s="188"/>
      <c r="I1026" s="188"/>
      <c r="J1026" s="188"/>
      <c r="K1026" s="188"/>
      <c r="L1026" s="188"/>
      <c r="M1026" s="188"/>
      <c r="N1026" s="188"/>
      <c r="O1026" s="188"/>
      <c r="Q1026" s="188"/>
      <c r="R1026" s="588"/>
      <c r="S1026" s="188"/>
      <c r="T1026" s="190"/>
      <c r="U1026" s="190"/>
      <c r="V1026" s="190"/>
      <c r="W1026" s="190"/>
      <c r="X1026" s="190"/>
      <c r="Y1026" s="190"/>
      <c r="Z1026" s="190"/>
      <c r="AA1026" s="190"/>
      <c r="AB1026" s="190"/>
      <c r="AC1026" s="190"/>
      <c r="AD1026" s="190"/>
      <c r="AE1026" s="190"/>
      <c r="AF1026" s="190"/>
      <c r="AG1026" s="190"/>
      <c r="AH1026" s="190"/>
      <c r="AI1026" s="190"/>
      <c r="AJ1026" s="190"/>
      <c r="AK1026" s="190"/>
      <c r="AL1026" s="190"/>
      <c r="AM1026" s="603"/>
      <c r="AN1026" s="190"/>
      <c r="AO1026" s="190"/>
      <c r="AP1026" s="190"/>
      <c r="AQ1026" s="190"/>
      <c r="AR1026" s="619"/>
    </row>
    <row r="1027" spans="1:44">
      <c r="A1027" s="188"/>
      <c r="B1027" s="188"/>
      <c r="C1027" s="188"/>
      <c r="D1027" s="188"/>
      <c r="E1027" s="188"/>
      <c r="F1027" s="188"/>
      <c r="G1027" s="188"/>
      <c r="H1027" s="188"/>
      <c r="I1027" s="188"/>
      <c r="J1027" s="188"/>
      <c r="K1027" s="188"/>
      <c r="L1027" s="188"/>
      <c r="M1027" s="188"/>
      <c r="N1027" s="188"/>
      <c r="O1027" s="188"/>
      <c r="Q1027" s="188"/>
      <c r="R1027" s="588"/>
      <c r="S1027" s="188"/>
      <c r="T1027" s="190"/>
      <c r="U1027" s="190"/>
      <c r="V1027" s="190"/>
      <c r="W1027" s="190"/>
      <c r="X1027" s="190"/>
      <c r="Y1027" s="190"/>
      <c r="Z1027" s="190"/>
      <c r="AA1027" s="190"/>
      <c r="AB1027" s="190"/>
      <c r="AC1027" s="190"/>
      <c r="AD1027" s="190"/>
      <c r="AE1027" s="190"/>
      <c r="AF1027" s="190"/>
      <c r="AG1027" s="190"/>
      <c r="AH1027" s="190"/>
      <c r="AI1027" s="190"/>
      <c r="AJ1027" s="190"/>
      <c r="AK1027" s="190"/>
      <c r="AL1027" s="190"/>
      <c r="AM1027" s="603"/>
      <c r="AN1027" s="190"/>
      <c r="AO1027" s="190"/>
      <c r="AP1027" s="190"/>
      <c r="AQ1027" s="190"/>
      <c r="AR1027" s="619"/>
    </row>
    <row r="1028" spans="1:44">
      <c r="A1028" s="188"/>
      <c r="B1028" s="188"/>
      <c r="C1028" s="188"/>
      <c r="D1028" s="188"/>
      <c r="E1028" s="188"/>
      <c r="F1028" s="188"/>
      <c r="G1028" s="188"/>
      <c r="H1028" s="188"/>
      <c r="I1028" s="188"/>
      <c r="J1028" s="188"/>
      <c r="K1028" s="188"/>
      <c r="L1028" s="188"/>
      <c r="M1028" s="188"/>
      <c r="N1028" s="188"/>
      <c r="O1028" s="188"/>
      <c r="Q1028" s="188"/>
      <c r="R1028" s="588"/>
      <c r="S1028" s="188"/>
      <c r="T1028" s="190"/>
      <c r="U1028" s="190"/>
      <c r="V1028" s="190"/>
      <c r="W1028" s="190"/>
      <c r="X1028" s="190"/>
      <c r="Y1028" s="190"/>
      <c r="Z1028" s="190"/>
      <c r="AA1028" s="190"/>
      <c r="AB1028" s="190"/>
      <c r="AC1028" s="190"/>
      <c r="AD1028" s="190"/>
      <c r="AE1028" s="190"/>
      <c r="AF1028" s="190"/>
      <c r="AG1028" s="190"/>
      <c r="AH1028" s="190"/>
      <c r="AI1028" s="190"/>
      <c r="AJ1028" s="190"/>
      <c r="AK1028" s="190"/>
      <c r="AL1028" s="190"/>
      <c r="AM1028" s="603"/>
      <c r="AN1028" s="190"/>
      <c r="AO1028" s="190"/>
      <c r="AP1028" s="190"/>
      <c r="AQ1028" s="190"/>
      <c r="AR1028" s="619"/>
    </row>
    <row r="1029" spans="1:44">
      <c r="A1029" s="188"/>
      <c r="B1029" s="188"/>
      <c r="C1029" s="188"/>
      <c r="D1029" s="188"/>
      <c r="E1029" s="188"/>
      <c r="F1029" s="188"/>
      <c r="G1029" s="188"/>
      <c r="H1029" s="188"/>
      <c r="I1029" s="188"/>
      <c r="J1029" s="188"/>
      <c r="K1029" s="188"/>
      <c r="L1029" s="188"/>
      <c r="M1029" s="188"/>
      <c r="N1029" s="188"/>
      <c r="O1029" s="188"/>
      <c r="Q1029" s="188"/>
      <c r="R1029" s="588"/>
      <c r="S1029" s="188"/>
      <c r="T1029" s="190"/>
      <c r="U1029" s="190"/>
      <c r="V1029" s="190"/>
      <c r="W1029" s="190"/>
      <c r="X1029" s="190"/>
      <c r="Y1029" s="190"/>
      <c r="Z1029" s="190"/>
      <c r="AA1029" s="190"/>
      <c r="AB1029" s="190"/>
      <c r="AC1029" s="190"/>
      <c r="AD1029" s="190"/>
      <c r="AE1029" s="190"/>
      <c r="AF1029" s="190"/>
      <c r="AG1029" s="190"/>
      <c r="AH1029" s="190"/>
      <c r="AI1029" s="190"/>
      <c r="AJ1029" s="190"/>
      <c r="AK1029" s="190"/>
      <c r="AL1029" s="190"/>
      <c r="AM1029" s="603"/>
      <c r="AN1029" s="190"/>
      <c r="AO1029" s="190"/>
      <c r="AP1029" s="190"/>
      <c r="AQ1029" s="190"/>
      <c r="AR1029" s="619"/>
    </row>
    <row r="1030" spans="1:44">
      <c r="A1030" s="188"/>
      <c r="B1030" s="188"/>
      <c r="C1030" s="188"/>
      <c r="D1030" s="188"/>
      <c r="E1030" s="188"/>
      <c r="F1030" s="188"/>
      <c r="G1030" s="188"/>
      <c r="H1030" s="188"/>
      <c r="I1030" s="188"/>
      <c r="J1030" s="188"/>
      <c r="K1030" s="188"/>
      <c r="L1030" s="188"/>
      <c r="M1030" s="188"/>
      <c r="N1030" s="188"/>
      <c r="O1030" s="188"/>
      <c r="Q1030" s="188"/>
      <c r="R1030" s="588"/>
      <c r="S1030" s="188"/>
      <c r="T1030" s="190"/>
      <c r="U1030" s="190"/>
      <c r="V1030" s="190"/>
      <c r="W1030" s="190"/>
      <c r="X1030" s="190"/>
      <c r="Y1030" s="190"/>
      <c r="Z1030" s="190"/>
      <c r="AA1030" s="190"/>
      <c r="AB1030" s="190"/>
      <c r="AC1030" s="190"/>
      <c r="AD1030" s="190"/>
      <c r="AE1030" s="190"/>
      <c r="AF1030" s="190"/>
      <c r="AG1030" s="190"/>
      <c r="AH1030" s="190"/>
      <c r="AI1030" s="190"/>
      <c r="AJ1030" s="190"/>
      <c r="AK1030" s="190"/>
      <c r="AL1030" s="190"/>
      <c r="AM1030" s="603"/>
      <c r="AN1030" s="190"/>
      <c r="AO1030" s="190"/>
      <c r="AP1030" s="190"/>
      <c r="AQ1030" s="190"/>
      <c r="AR1030" s="619"/>
    </row>
    <row r="1031" spans="1:44">
      <c r="A1031" s="188"/>
      <c r="B1031" s="188"/>
      <c r="C1031" s="188"/>
      <c r="D1031" s="188"/>
      <c r="E1031" s="188"/>
      <c r="F1031" s="188"/>
      <c r="G1031" s="188"/>
      <c r="H1031" s="188"/>
      <c r="I1031" s="188"/>
      <c r="J1031" s="188"/>
      <c r="K1031" s="188"/>
      <c r="L1031" s="188"/>
      <c r="M1031" s="188"/>
      <c r="N1031" s="188"/>
      <c r="O1031" s="188"/>
      <c r="Q1031" s="188"/>
      <c r="R1031" s="588"/>
      <c r="S1031" s="188"/>
      <c r="T1031" s="190"/>
      <c r="U1031" s="190"/>
      <c r="V1031" s="190"/>
      <c r="W1031" s="190"/>
      <c r="X1031" s="190"/>
      <c r="Y1031" s="190"/>
      <c r="Z1031" s="190"/>
      <c r="AA1031" s="190"/>
      <c r="AB1031" s="190"/>
      <c r="AC1031" s="190"/>
      <c r="AD1031" s="190"/>
      <c r="AE1031" s="190"/>
      <c r="AF1031" s="190"/>
      <c r="AG1031" s="190"/>
      <c r="AH1031" s="190"/>
      <c r="AI1031" s="190"/>
      <c r="AJ1031" s="190"/>
      <c r="AK1031" s="190"/>
      <c r="AL1031" s="190"/>
      <c r="AM1031" s="603"/>
      <c r="AN1031" s="190"/>
      <c r="AO1031" s="190"/>
      <c r="AP1031" s="190"/>
      <c r="AQ1031" s="190"/>
      <c r="AR1031" s="619"/>
    </row>
    <row r="1032" spans="1:44">
      <c r="A1032" s="188"/>
      <c r="B1032" s="188"/>
      <c r="C1032" s="188"/>
      <c r="D1032" s="188"/>
      <c r="E1032" s="188"/>
      <c r="F1032" s="188"/>
      <c r="G1032" s="188"/>
      <c r="H1032" s="188"/>
      <c r="I1032" s="188"/>
      <c r="J1032" s="188"/>
      <c r="K1032" s="188"/>
      <c r="L1032" s="188"/>
      <c r="M1032" s="188"/>
      <c r="N1032" s="188"/>
      <c r="O1032" s="188"/>
      <c r="Q1032" s="188"/>
      <c r="R1032" s="588"/>
      <c r="S1032" s="188"/>
      <c r="T1032" s="190"/>
      <c r="U1032" s="190"/>
      <c r="V1032" s="190"/>
      <c r="W1032" s="190"/>
      <c r="X1032" s="190"/>
      <c r="Y1032" s="190"/>
      <c r="Z1032" s="190"/>
      <c r="AA1032" s="190"/>
      <c r="AB1032" s="190"/>
      <c r="AC1032" s="190"/>
      <c r="AD1032" s="190"/>
      <c r="AE1032" s="190"/>
      <c r="AF1032" s="190"/>
      <c r="AG1032" s="190"/>
      <c r="AH1032" s="190"/>
      <c r="AI1032" s="190"/>
      <c r="AJ1032" s="190"/>
      <c r="AK1032" s="190"/>
      <c r="AL1032" s="190"/>
      <c r="AM1032" s="603"/>
      <c r="AN1032" s="190"/>
      <c r="AO1032" s="190"/>
      <c r="AP1032" s="190"/>
      <c r="AQ1032" s="190"/>
      <c r="AR1032" s="619"/>
    </row>
    <row r="1033" spans="1:44">
      <c r="A1033" s="188"/>
      <c r="B1033" s="188"/>
      <c r="C1033" s="188"/>
      <c r="D1033" s="188"/>
      <c r="E1033" s="188"/>
      <c r="F1033" s="188"/>
      <c r="G1033" s="188"/>
      <c r="H1033" s="188"/>
      <c r="I1033" s="188"/>
      <c r="J1033" s="188"/>
      <c r="K1033" s="188"/>
      <c r="L1033" s="188"/>
      <c r="M1033" s="188"/>
      <c r="N1033" s="188"/>
      <c r="O1033" s="188"/>
      <c r="Q1033" s="188"/>
      <c r="R1033" s="588"/>
      <c r="S1033" s="188"/>
      <c r="T1033" s="190"/>
      <c r="U1033" s="190"/>
      <c r="V1033" s="190"/>
      <c r="W1033" s="190"/>
      <c r="X1033" s="190"/>
      <c r="Y1033" s="190"/>
      <c r="Z1033" s="190"/>
      <c r="AA1033" s="190"/>
      <c r="AB1033" s="190"/>
      <c r="AC1033" s="190"/>
      <c r="AD1033" s="190"/>
      <c r="AE1033" s="190"/>
      <c r="AF1033" s="190"/>
      <c r="AG1033" s="190"/>
      <c r="AH1033" s="190"/>
      <c r="AI1033" s="190"/>
      <c r="AJ1033" s="190"/>
      <c r="AK1033" s="190"/>
      <c r="AL1033" s="190"/>
      <c r="AM1033" s="603"/>
      <c r="AN1033" s="190"/>
      <c r="AO1033" s="190"/>
      <c r="AP1033" s="190"/>
      <c r="AQ1033" s="190"/>
      <c r="AR1033" s="619"/>
    </row>
    <row r="1034" spans="1:44">
      <c r="A1034" s="188"/>
      <c r="B1034" s="188"/>
      <c r="C1034" s="188"/>
      <c r="D1034" s="188"/>
      <c r="E1034" s="188"/>
      <c r="F1034" s="188"/>
      <c r="G1034" s="188"/>
      <c r="H1034" s="188"/>
      <c r="I1034" s="188"/>
      <c r="J1034" s="188"/>
      <c r="K1034" s="188"/>
      <c r="L1034" s="188"/>
      <c r="M1034" s="188"/>
      <c r="N1034" s="188"/>
      <c r="O1034" s="188"/>
      <c r="Q1034" s="188"/>
      <c r="R1034" s="588"/>
      <c r="S1034" s="188"/>
      <c r="T1034" s="190"/>
      <c r="U1034" s="190"/>
      <c r="V1034" s="190"/>
      <c r="W1034" s="190"/>
      <c r="X1034" s="190"/>
      <c r="Y1034" s="190"/>
      <c r="Z1034" s="190"/>
      <c r="AA1034" s="190"/>
      <c r="AB1034" s="190"/>
      <c r="AC1034" s="190"/>
      <c r="AD1034" s="190"/>
      <c r="AE1034" s="190"/>
      <c r="AF1034" s="190"/>
      <c r="AG1034" s="190"/>
      <c r="AH1034" s="190"/>
      <c r="AI1034" s="190"/>
      <c r="AJ1034" s="190"/>
      <c r="AK1034" s="190"/>
      <c r="AL1034" s="190"/>
      <c r="AM1034" s="603"/>
      <c r="AN1034" s="190"/>
      <c r="AO1034" s="190"/>
      <c r="AP1034" s="190"/>
      <c r="AQ1034" s="190"/>
      <c r="AR1034" s="619"/>
    </row>
    <row r="1035" spans="1:44">
      <c r="A1035" s="188"/>
      <c r="B1035" s="188"/>
      <c r="C1035" s="188"/>
      <c r="D1035" s="188"/>
      <c r="E1035" s="188"/>
      <c r="F1035" s="188"/>
      <c r="G1035" s="188"/>
      <c r="H1035" s="188"/>
      <c r="I1035" s="188"/>
      <c r="J1035" s="188"/>
      <c r="K1035" s="188"/>
      <c r="L1035" s="188"/>
      <c r="M1035" s="188"/>
      <c r="N1035" s="188"/>
      <c r="O1035" s="188"/>
      <c r="Q1035" s="188"/>
      <c r="R1035" s="588"/>
      <c r="S1035" s="188"/>
      <c r="T1035" s="190"/>
      <c r="U1035" s="190"/>
      <c r="V1035" s="190"/>
      <c r="W1035" s="190"/>
      <c r="X1035" s="190"/>
      <c r="Y1035" s="190"/>
      <c r="Z1035" s="190"/>
      <c r="AA1035" s="190"/>
      <c r="AB1035" s="190"/>
      <c r="AC1035" s="190"/>
      <c r="AD1035" s="190"/>
      <c r="AE1035" s="190"/>
      <c r="AF1035" s="190"/>
      <c r="AG1035" s="190"/>
      <c r="AH1035" s="190"/>
      <c r="AI1035" s="190"/>
      <c r="AJ1035" s="190"/>
      <c r="AK1035" s="190"/>
      <c r="AL1035" s="190"/>
      <c r="AM1035" s="603"/>
      <c r="AN1035" s="190"/>
      <c r="AO1035" s="190"/>
      <c r="AP1035" s="190"/>
      <c r="AQ1035" s="190"/>
      <c r="AR1035" s="619"/>
    </row>
    <row r="1036" spans="1:44">
      <c r="A1036" s="188"/>
      <c r="B1036" s="188"/>
      <c r="C1036" s="188"/>
      <c r="D1036" s="188"/>
      <c r="E1036" s="188"/>
      <c r="F1036" s="188"/>
      <c r="G1036" s="188"/>
      <c r="H1036" s="188"/>
      <c r="I1036" s="188"/>
      <c r="J1036" s="188"/>
      <c r="K1036" s="188"/>
      <c r="L1036" s="188"/>
      <c r="M1036" s="188"/>
      <c r="N1036" s="188"/>
      <c r="O1036" s="188"/>
      <c r="Q1036" s="188"/>
      <c r="R1036" s="588"/>
      <c r="S1036" s="188"/>
      <c r="T1036" s="190"/>
      <c r="U1036" s="190"/>
      <c r="V1036" s="190"/>
      <c r="W1036" s="190"/>
      <c r="X1036" s="190"/>
      <c r="Y1036" s="190"/>
      <c r="Z1036" s="190"/>
      <c r="AA1036" s="190"/>
      <c r="AB1036" s="190"/>
      <c r="AC1036" s="190"/>
      <c r="AD1036" s="190"/>
      <c r="AE1036" s="190"/>
      <c r="AF1036" s="190"/>
      <c r="AG1036" s="190"/>
      <c r="AH1036" s="190"/>
      <c r="AI1036" s="190"/>
      <c r="AJ1036" s="190"/>
      <c r="AK1036" s="190"/>
      <c r="AL1036" s="190"/>
      <c r="AM1036" s="603"/>
      <c r="AN1036" s="190"/>
      <c r="AO1036" s="190"/>
      <c r="AP1036" s="190"/>
      <c r="AQ1036" s="190"/>
      <c r="AR1036" s="619"/>
    </row>
    <row r="1037" spans="1:44">
      <c r="A1037" s="188"/>
      <c r="B1037" s="188"/>
      <c r="C1037" s="188"/>
      <c r="D1037" s="188"/>
      <c r="E1037" s="188"/>
      <c r="F1037" s="188"/>
      <c r="G1037" s="188"/>
      <c r="H1037" s="188"/>
      <c r="I1037" s="188"/>
      <c r="J1037" s="188"/>
      <c r="K1037" s="188"/>
      <c r="L1037" s="188"/>
      <c r="M1037" s="188"/>
      <c r="N1037" s="188"/>
      <c r="O1037" s="188"/>
      <c r="Q1037" s="188"/>
      <c r="R1037" s="588"/>
      <c r="S1037" s="188"/>
      <c r="T1037" s="190"/>
      <c r="U1037" s="190"/>
      <c r="V1037" s="190"/>
      <c r="W1037" s="190"/>
      <c r="X1037" s="190"/>
      <c r="Y1037" s="190"/>
      <c r="Z1037" s="190"/>
      <c r="AA1037" s="190"/>
      <c r="AB1037" s="190"/>
      <c r="AC1037" s="190"/>
      <c r="AD1037" s="190"/>
      <c r="AE1037" s="190"/>
      <c r="AF1037" s="190"/>
      <c r="AG1037" s="190"/>
      <c r="AH1037" s="190"/>
      <c r="AI1037" s="190"/>
      <c r="AJ1037" s="190"/>
      <c r="AK1037" s="190"/>
      <c r="AL1037" s="190"/>
      <c r="AM1037" s="603"/>
      <c r="AN1037" s="190"/>
      <c r="AO1037" s="190"/>
      <c r="AP1037" s="190"/>
      <c r="AQ1037" s="190"/>
      <c r="AR1037" s="619"/>
    </row>
    <row r="1038" spans="1:44">
      <c r="A1038" s="188"/>
      <c r="B1038" s="188"/>
      <c r="C1038" s="188"/>
      <c r="D1038" s="188"/>
      <c r="E1038" s="188"/>
      <c r="F1038" s="188"/>
      <c r="G1038" s="188"/>
      <c r="H1038" s="188"/>
      <c r="I1038" s="188"/>
      <c r="J1038" s="188"/>
      <c r="K1038" s="188"/>
      <c r="L1038" s="188"/>
      <c r="M1038" s="188"/>
      <c r="N1038" s="188"/>
      <c r="O1038" s="188"/>
      <c r="Q1038" s="188"/>
      <c r="R1038" s="588"/>
      <c r="S1038" s="188"/>
      <c r="T1038" s="190"/>
      <c r="U1038" s="190"/>
      <c r="V1038" s="190"/>
      <c r="W1038" s="190"/>
      <c r="X1038" s="190"/>
      <c r="Y1038" s="190"/>
      <c r="Z1038" s="190"/>
      <c r="AA1038" s="190"/>
      <c r="AB1038" s="190"/>
      <c r="AC1038" s="190"/>
      <c r="AD1038" s="190"/>
      <c r="AE1038" s="190"/>
      <c r="AF1038" s="190"/>
      <c r="AG1038" s="190"/>
      <c r="AH1038" s="190"/>
      <c r="AI1038" s="190"/>
      <c r="AJ1038" s="190"/>
      <c r="AK1038" s="190"/>
      <c r="AL1038" s="190"/>
      <c r="AM1038" s="603"/>
      <c r="AN1038" s="190"/>
      <c r="AO1038" s="190"/>
      <c r="AP1038" s="190"/>
      <c r="AQ1038" s="190"/>
      <c r="AR1038" s="619"/>
    </row>
    <row r="1039" spans="1:44">
      <c r="A1039" s="188"/>
      <c r="B1039" s="188"/>
      <c r="C1039" s="188"/>
      <c r="D1039" s="188"/>
      <c r="E1039" s="188"/>
      <c r="F1039" s="188"/>
      <c r="G1039" s="188"/>
      <c r="H1039" s="188"/>
      <c r="I1039" s="188"/>
      <c r="J1039" s="188"/>
      <c r="K1039" s="188"/>
      <c r="L1039" s="188"/>
      <c r="M1039" s="188"/>
      <c r="N1039" s="188"/>
      <c r="O1039" s="188"/>
      <c r="Q1039" s="188"/>
      <c r="R1039" s="588"/>
      <c r="S1039" s="188"/>
      <c r="T1039" s="190"/>
      <c r="U1039" s="190"/>
      <c r="V1039" s="190"/>
      <c r="W1039" s="190"/>
      <c r="X1039" s="190"/>
      <c r="Y1039" s="190"/>
      <c r="Z1039" s="190"/>
      <c r="AA1039" s="190"/>
      <c r="AB1039" s="190"/>
      <c r="AC1039" s="190"/>
      <c r="AD1039" s="190"/>
      <c r="AE1039" s="190"/>
      <c r="AF1039" s="190"/>
      <c r="AG1039" s="190"/>
      <c r="AH1039" s="190"/>
      <c r="AI1039" s="190"/>
      <c r="AJ1039" s="190"/>
      <c r="AK1039" s="190"/>
      <c r="AL1039" s="190"/>
      <c r="AM1039" s="603"/>
      <c r="AN1039" s="190"/>
      <c r="AO1039" s="190"/>
      <c r="AP1039" s="190"/>
      <c r="AQ1039" s="190"/>
      <c r="AR1039" s="619"/>
    </row>
    <row r="1040" spans="1:44">
      <c r="A1040" s="188"/>
      <c r="B1040" s="188"/>
      <c r="C1040" s="188"/>
      <c r="D1040" s="188"/>
      <c r="E1040" s="188"/>
      <c r="F1040" s="188"/>
      <c r="G1040" s="188"/>
      <c r="H1040" s="188"/>
      <c r="I1040" s="188"/>
      <c r="J1040" s="188"/>
      <c r="K1040" s="188"/>
      <c r="L1040" s="188"/>
      <c r="M1040" s="188"/>
      <c r="N1040" s="188"/>
      <c r="O1040" s="188"/>
      <c r="Q1040" s="188"/>
      <c r="R1040" s="588"/>
      <c r="S1040" s="188"/>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603"/>
      <c r="AN1040" s="190"/>
      <c r="AO1040" s="190"/>
      <c r="AP1040" s="190"/>
      <c r="AQ1040" s="190"/>
      <c r="AR1040" s="619"/>
    </row>
    <row r="1041" spans="1:44">
      <c r="A1041" s="188"/>
      <c r="B1041" s="188"/>
      <c r="C1041" s="188"/>
      <c r="D1041" s="188"/>
      <c r="E1041" s="188"/>
      <c r="F1041" s="188"/>
      <c r="G1041" s="188"/>
      <c r="H1041" s="188"/>
      <c r="I1041" s="188"/>
      <c r="J1041" s="188"/>
      <c r="K1041" s="188"/>
      <c r="L1041" s="188"/>
      <c r="M1041" s="188"/>
      <c r="N1041" s="188"/>
      <c r="O1041" s="188"/>
      <c r="Q1041" s="188"/>
      <c r="R1041" s="588"/>
      <c r="S1041" s="188"/>
      <c r="T1041" s="190"/>
      <c r="U1041" s="190"/>
      <c r="V1041" s="190"/>
      <c r="W1041" s="190"/>
      <c r="X1041" s="190"/>
      <c r="Y1041" s="190"/>
      <c r="Z1041" s="190"/>
      <c r="AA1041" s="190"/>
      <c r="AB1041" s="190"/>
      <c r="AC1041" s="190"/>
      <c r="AD1041" s="190"/>
      <c r="AE1041" s="190"/>
      <c r="AF1041" s="190"/>
      <c r="AG1041" s="190"/>
      <c r="AH1041" s="190"/>
      <c r="AI1041" s="190"/>
      <c r="AJ1041" s="190"/>
      <c r="AK1041" s="190"/>
      <c r="AL1041" s="190"/>
      <c r="AM1041" s="603"/>
      <c r="AN1041" s="190"/>
      <c r="AO1041" s="190"/>
      <c r="AP1041" s="190"/>
      <c r="AQ1041" s="190"/>
      <c r="AR1041" s="619"/>
    </row>
    <row r="1042" spans="1:44">
      <c r="A1042" s="188"/>
      <c r="B1042" s="188"/>
      <c r="C1042" s="188"/>
      <c r="D1042" s="188"/>
      <c r="E1042" s="188"/>
      <c r="F1042" s="188"/>
      <c r="G1042" s="188"/>
      <c r="H1042" s="188"/>
      <c r="I1042" s="188"/>
      <c r="J1042" s="188"/>
      <c r="K1042" s="188"/>
      <c r="L1042" s="188"/>
      <c r="M1042" s="188"/>
      <c r="N1042" s="188"/>
      <c r="O1042" s="188"/>
      <c r="Q1042" s="188"/>
      <c r="R1042" s="588"/>
      <c r="S1042" s="188"/>
      <c r="T1042" s="190"/>
      <c r="U1042" s="190"/>
      <c r="V1042" s="190"/>
      <c r="W1042" s="190"/>
      <c r="X1042" s="190"/>
      <c r="Y1042" s="190"/>
      <c r="Z1042" s="190"/>
      <c r="AA1042" s="190"/>
      <c r="AB1042" s="190"/>
      <c r="AC1042" s="190"/>
      <c r="AD1042" s="190"/>
      <c r="AE1042" s="190"/>
      <c r="AF1042" s="190"/>
      <c r="AG1042" s="190"/>
      <c r="AH1042" s="190"/>
      <c r="AI1042" s="190"/>
      <c r="AJ1042" s="190"/>
      <c r="AK1042" s="190"/>
      <c r="AL1042" s="190"/>
      <c r="AM1042" s="603"/>
      <c r="AN1042" s="190"/>
      <c r="AO1042" s="190"/>
      <c r="AP1042" s="190"/>
      <c r="AQ1042" s="190"/>
      <c r="AR1042" s="619"/>
    </row>
    <row r="1043" spans="1:44">
      <c r="A1043" s="188"/>
      <c r="B1043" s="188"/>
      <c r="C1043" s="188"/>
      <c r="D1043" s="188"/>
      <c r="E1043" s="188"/>
      <c r="F1043" s="188"/>
      <c r="G1043" s="188"/>
      <c r="H1043" s="188"/>
      <c r="I1043" s="188"/>
      <c r="J1043" s="188"/>
      <c r="K1043" s="188"/>
      <c r="L1043" s="188"/>
      <c r="M1043" s="188"/>
      <c r="N1043" s="188"/>
      <c r="O1043" s="188"/>
      <c r="Q1043" s="188"/>
      <c r="R1043" s="588"/>
      <c r="S1043" s="188"/>
      <c r="T1043" s="190"/>
      <c r="U1043" s="190"/>
      <c r="V1043" s="190"/>
      <c r="W1043" s="190"/>
      <c r="X1043" s="190"/>
      <c r="Y1043" s="190"/>
      <c r="Z1043" s="190"/>
      <c r="AA1043" s="190"/>
      <c r="AB1043" s="190"/>
      <c r="AC1043" s="190"/>
      <c r="AD1043" s="190"/>
      <c r="AE1043" s="190"/>
      <c r="AF1043" s="190"/>
      <c r="AG1043" s="190"/>
      <c r="AH1043" s="190"/>
      <c r="AI1043" s="190"/>
      <c r="AJ1043" s="190"/>
      <c r="AK1043" s="190"/>
      <c r="AL1043" s="190"/>
      <c r="AM1043" s="603"/>
      <c r="AN1043" s="190"/>
      <c r="AO1043" s="190"/>
      <c r="AP1043" s="190"/>
      <c r="AQ1043" s="190"/>
      <c r="AR1043" s="619"/>
    </row>
    <row r="1044" spans="1:44">
      <c r="A1044" s="188"/>
      <c r="B1044" s="188"/>
      <c r="C1044" s="188"/>
      <c r="D1044" s="188"/>
      <c r="E1044" s="188"/>
      <c r="F1044" s="188"/>
      <c r="G1044" s="188"/>
      <c r="H1044" s="188"/>
      <c r="I1044" s="188"/>
      <c r="J1044" s="188"/>
      <c r="K1044" s="188"/>
      <c r="L1044" s="188"/>
      <c r="M1044" s="188"/>
      <c r="N1044" s="188"/>
      <c r="O1044" s="188"/>
      <c r="Q1044" s="188"/>
      <c r="R1044" s="588"/>
      <c r="S1044" s="188"/>
      <c r="T1044" s="190"/>
      <c r="U1044" s="190"/>
      <c r="V1044" s="190"/>
      <c r="W1044" s="190"/>
      <c r="X1044" s="190"/>
      <c r="Y1044" s="190"/>
      <c r="Z1044" s="190"/>
      <c r="AA1044" s="190"/>
      <c r="AB1044" s="190"/>
      <c r="AC1044" s="190"/>
      <c r="AD1044" s="190"/>
      <c r="AE1044" s="190"/>
      <c r="AF1044" s="190"/>
      <c r="AG1044" s="190"/>
      <c r="AH1044" s="190"/>
      <c r="AI1044" s="190"/>
      <c r="AJ1044" s="190"/>
      <c r="AK1044" s="190"/>
      <c r="AL1044" s="190"/>
      <c r="AM1044" s="603"/>
      <c r="AN1044" s="190"/>
      <c r="AO1044" s="190"/>
      <c r="AP1044" s="190"/>
      <c r="AQ1044" s="190"/>
      <c r="AR1044" s="619"/>
    </row>
    <row r="1045" spans="1:44">
      <c r="A1045" s="188"/>
      <c r="B1045" s="188"/>
      <c r="C1045" s="188"/>
      <c r="D1045" s="188"/>
      <c r="E1045" s="188"/>
      <c r="F1045" s="188"/>
      <c r="G1045" s="188"/>
      <c r="H1045" s="188"/>
      <c r="I1045" s="188"/>
      <c r="J1045" s="188"/>
      <c r="K1045" s="188"/>
      <c r="L1045" s="188"/>
      <c r="M1045" s="188"/>
      <c r="N1045" s="188"/>
      <c r="O1045" s="188"/>
      <c r="Q1045" s="188"/>
      <c r="R1045" s="588"/>
      <c r="S1045" s="188"/>
      <c r="T1045" s="190"/>
      <c r="U1045" s="190"/>
      <c r="V1045" s="190"/>
      <c r="W1045" s="190"/>
      <c r="X1045" s="190"/>
      <c r="Y1045" s="190"/>
      <c r="Z1045" s="190"/>
      <c r="AA1045" s="190"/>
      <c r="AB1045" s="190"/>
      <c r="AC1045" s="190"/>
      <c r="AD1045" s="190"/>
      <c r="AE1045" s="190"/>
      <c r="AF1045" s="190"/>
      <c r="AG1045" s="190"/>
      <c r="AH1045" s="190"/>
      <c r="AI1045" s="190"/>
      <c r="AJ1045" s="190"/>
      <c r="AK1045" s="190"/>
      <c r="AL1045" s="190"/>
      <c r="AM1045" s="603"/>
      <c r="AN1045" s="190"/>
      <c r="AO1045" s="190"/>
      <c r="AP1045" s="190"/>
      <c r="AQ1045" s="190"/>
      <c r="AR1045" s="619"/>
    </row>
    <row r="1046" spans="1:44">
      <c r="A1046" s="188"/>
      <c r="B1046" s="188"/>
      <c r="C1046" s="188"/>
      <c r="D1046" s="188"/>
      <c r="E1046" s="188"/>
      <c r="F1046" s="188"/>
      <c r="G1046" s="188"/>
      <c r="H1046" s="188"/>
      <c r="I1046" s="188"/>
      <c r="J1046" s="188"/>
      <c r="K1046" s="188"/>
      <c r="L1046" s="188"/>
      <c r="M1046" s="188"/>
      <c r="N1046" s="188"/>
      <c r="O1046" s="188"/>
      <c r="Q1046" s="188"/>
      <c r="R1046" s="588"/>
      <c r="S1046" s="188"/>
      <c r="T1046" s="190"/>
      <c r="U1046" s="190"/>
      <c r="V1046" s="190"/>
      <c r="W1046" s="190"/>
      <c r="X1046" s="190"/>
      <c r="Y1046" s="190"/>
      <c r="Z1046" s="190"/>
      <c r="AA1046" s="190"/>
      <c r="AB1046" s="190"/>
      <c r="AC1046" s="190"/>
      <c r="AD1046" s="190"/>
      <c r="AE1046" s="190"/>
      <c r="AF1046" s="190"/>
      <c r="AG1046" s="190"/>
      <c r="AH1046" s="190"/>
      <c r="AI1046" s="190"/>
      <c r="AJ1046" s="190"/>
      <c r="AK1046" s="190"/>
      <c r="AL1046" s="190"/>
      <c r="AM1046" s="603"/>
      <c r="AN1046" s="190"/>
      <c r="AO1046" s="190"/>
      <c r="AP1046" s="190"/>
      <c r="AQ1046" s="190"/>
      <c r="AR1046" s="619"/>
    </row>
    <row r="1047" spans="1:44">
      <c r="A1047" s="188"/>
      <c r="B1047" s="188"/>
      <c r="C1047" s="188"/>
      <c r="D1047" s="188"/>
      <c r="E1047" s="188"/>
      <c r="F1047" s="188"/>
      <c r="G1047" s="188"/>
      <c r="H1047" s="188"/>
      <c r="I1047" s="188"/>
      <c r="J1047" s="188"/>
      <c r="K1047" s="188"/>
      <c r="L1047" s="188"/>
      <c r="M1047" s="188"/>
      <c r="N1047" s="188"/>
      <c r="O1047" s="188"/>
      <c r="Q1047" s="188"/>
      <c r="R1047" s="588"/>
      <c r="S1047" s="188"/>
      <c r="T1047" s="190"/>
      <c r="U1047" s="190"/>
      <c r="V1047" s="190"/>
      <c r="W1047" s="190"/>
      <c r="X1047" s="190"/>
      <c r="Y1047" s="190"/>
      <c r="Z1047" s="190"/>
      <c r="AA1047" s="190"/>
      <c r="AB1047" s="190"/>
      <c r="AC1047" s="190"/>
      <c r="AD1047" s="190"/>
      <c r="AE1047" s="190"/>
      <c r="AF1047" s="190"/>
      <c r="AG1047" s="190"/>
      <c r="AH1047" s="190"/>
      <c r="AI1047" s="190"/>
      <c r="AJ1047" s="190"/>
      <c r="AK1047" s="190"/>
      <c r="AL1047" s="190"/>
      <c r="AM1047" s="603"/>
      <c r="AN1047" s="190"/>
      <c r="AO1047" s="190"/>
      <c r="AP1047" s="190"/>
      <c r="AQ1047" s="190"/>
      <c r="AR1047" s="619"/>
    </row>
    <row r="1048" spans="1:44">
      <c r="A1048" s="188"/>
      <c r="B1048" s="188"/>
      <c r="C1048" s="188"/>
      <c r="D1048" s="188"/>
      <c r="E1048" s="188"/>
      <c r="F1048" s="188"/>
      <c r="G1048" s="188"/>
      <c r="H1048" s="188"/>
      <c r="I1048" s="188"/>
      <c r="J1048" s="188"/>
      <c r="K1048" s="188"/>
      <c r="L1048" s="188"/>
      <c r="M1048" s="188"/>
      <c r="N1048" s="188"/>
      <c r="O1048" s="188"/>
      <c r="Q1048" s="188"/>
      <c r="R1048" s="588"/>
      <c r="S1048" s="188"/>
      <c r="T1048" s="190"/>
      <c r="U1048" s="190"/>
      <c r="V1048" s="190"/>
      <c r="W1048" s="190"/>
      <c r="X1048" s="190"/>
      <c r="Y1048" s="190"/>
      <c r="Z1048" s="190"/>
      <c r="AA1048" s="190"/>
      <c r="AB1048" s="190"/>
      <c r="AC1048" s="190"/>
      <c r="AD1048" s="190"/>
      <c r="AE1048" s="190"/>
      <c r="AF1048" s="190"/>
      <c r="AG1048" s="190"/>
      <c r="AH1048" s="190"/>
      <c r="AI1048" s="190"/>
      <c r="AJ1048" s="190"/>
      <c r="AK1048" s="190"/>
      <c r="AL1048" s="190"/>
      <c r="AM1048" s="603"/>
      <c r="AN1048" s="190"/>
      <c r="AO1048" s="190"/>
      <c r="AP1048" s="190"/>
      <c r="AQ1048" s="190"/>
      <c r="AR1048" s="619"/>
    </row>
    <row r="1049" spans="1:44">
      <c r="A1049" s="188"/>
      <c r="B1049" s="188"/>
      <c r="C1049" s="188"/>
      <c r="D1049" s="188"/>
      <c r="E1049" s="188"/>
      <c r="F1049" s="188"/>
      <c r="G1049" s="188"/>
      <c r="H1049" s="188"/>
      <c r="I1049" s="188"/>
      <c r="J1049" s="188"/>
      <c r="K1049" s="188"/>
      <c r="L1049" s="188"/>
      <c r="M1049" s="188"/>
      <c r="N1049" s="188"/>
      <c r="O1049" s="188"/>
      <c r="Q1049" s="188"/>
      <c r="R1049" s="588"/>
      <c r="S1049" s="188"/>
      <c r="T1049" s="190"/>
      <c r="U1049" s="190"/>
      <c r="V1049" s="190"/>
      <c r="W1049" s="190"/>
      <c r="X1049" s="190"/>
      <c r="Y1049" s="190"/>
      <c r="Z1049" s="190"/>
      <c r="AA1049" s="190"/>
      <c r="AB1049" s="190"/>
      <c r="AC1049" s="190"/>
      <c r="AD1049" s="190"/>
      <c r="AE1049" s="190"/>
      <c r="AF1049" s="190"/>
      <c r="AG1049" s="190"/>
      <c r="AH1049" s="190"/>
      <c r="AI1049" s="190"/>
      <c r="AJ1049" s="190"/>
      <c r="AK1049" s="190"/>
      <c r="AL1049" s="190"/>
      <c r="AM1049" s="603"/>
      <c r="AN1049" s="190"/>
      <c r="AO1049" s="190"/>
      <c r="AP1049" s="190"/>
      <c r="AQ1049" s="190"/>
      <c r="AR1049" s="619"/>
    </row>
    <row r="1050" spans="1:44">
      <c r="A1050" s="188"/>
      <c r="B1050" s="188"/>
      <c r="C1050" s="188"/>
      <c r="D1050" s="188"/>
      <c r="E1050" s="188"/>
      <c r="F1050" s="188"/>
      <c r="G1050" s="188"/>
      <c r="H1050" s="188"/>
      <c r="I1050" s="188"/>
      <c r="J1050" s="188"/>
      <c r="K1050" s="188"/>
      <c r="L1050" s="188"/>
      <c r="M1050" s="188"/>
      <c r="N1050" s="188"/>
      <c r="O1050" s="188"/>
      <c r="Q1050" s="188"/>
      <c r="R1050" s="588"/>
      <c r="S1050" s="188"/>
      <c r="T1050" s="190"/>
      <c r="U1050" s="190"/>
      <c r="V1050" s="190"/>
      <c r="W1050" s="190"/>
      <c r="X1050" s="190"/>
      <c r="Y1050" s="190"/>
      <c r="Z1050" s="190"/>
      <c r="AA1050" s="190"/>
      <c r="AB1050" s="190"/>
      <c r="AC1050" s="190"/>
      <c r="AD1050" s="190"/>
      <c r="AE1050" s="190"/>
      <c r="AF1050" s="190"/>
      <c r="AG1050" s="190"/>
      <c r="AH1050" s="190"/>
      <c r="AI1050" s="190"/>
      <c r="AJ1050" s="190"/>
      <c r="AK1050" s="190"/>
      <c r="AL1050" s="190"/>
      <c r="AM1050" s="603"/>
      <c r="AN1050" s="190"/>
      <c r="AO1050" s="190"/>
      <c r="AP1050" s="190"/>
      <c r="AQ1050" s="190"/>
      <c r="AR1050" s="619"/>
    </row>
    <row r="1051" spans="1:44">
      <c r="A1051" s="188"/>
      <c r="B1051" s="188"/>
      <c r="C1051" s="188"/>
      <c r="D1051" s="188"/>
      <c r="E1051" s="188"/>
      <c r="F1051" s="188"/>
      <c r="G1051" s="188"/>
      <c r="H1051" s="188"/>
      <c r="I1051" s="188"/>
      <c r="J1051" s="188"/>
      <c r="K1051" s="188"/>
      <c r="L1051" s="188"/>
      <c r="M1051" s="188"/>
      <c r="N1051" s="188"/>
      <c r="O1051" s="188"/>
      <c r="Q1051" s="188"/>
      <c r="R1051" s="588"/>
      <c r="S1051" s="188"/>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603"/>
      <c r="AN1051" s="190"/>
      <c r="AO1051" s="190"/>
      <c r="AP1051" s="190"/>
      <c r="AQ1051" s="190"/>
      <c r="AR1051" s="619"/>
    </row>
    <row r="1052" spans="1:44">
      <c r="A1052" s="188"/>
      <c r="B1052" s="188"/>
      <c r="C1052" s="188"/>
      <c r="D1052" s="188"/>
      <c r="E1052" s="188"/>
      <c r="F1052" s="188"/>
      <c r="G1052" s="188"/>
      <c r="H1052" s="188"/>
      <c r="I1052" s="188"/>
      <c r="J1052" s="188"/>
      <c r="K1052" s="188"/>
      <c r="L1052" s="188"/>
      <c r="M1052" s="188"/>
      <c r="N1052" s="188"/>
      <c r="O1052" s="188"/>
      <c r="Q1052" s="188"/>
      <c r="R1052" s="588"/>
      <c r="S1052" s="188"/>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603"/>
      <c r="AN1052" s="190"/>
      <c r="AO1052" s="190"/>
      <c r="AP1052" s="190"/>
      <c r="AQ1052" s="190"/>
      <c r="AR1052" s="619"/>
    </row>
    <row r="1053" spans="1:44">
      <c r="A1053" s="188"/>
      <c r="B1053" s="188"/>
      <c r="C1053" s="188"/>
      <c r="D1053" s="188"/>
      <c r="E1053" s="188"/>
      <c r="F1053" s="188"/>
      <c r="G1053" s="188"/>
      <c r="H1053" s="188"/>
      <c r="I1053" s="188"/>
      <c r="J1053" s="188"/>
      <c r="K1053" s="188"/>
      <c r="L1053" s="188"/>
      <c r="M1053" s="188"/>
      <c r="N1053" s="188"/>
      <c r="O1053" s="188"/>
      <c r="Q1053" s="188"/>
      <c r="R1053" s="588"/>
      <c r="S1053" s="188"/>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603"/>
      <c r="AN1053" s="190"/>
      <c r="AO1053" s="190"/>
      <c r="AP1053" s="190"/>
      <c r="AQ1053" s="190"/>
      <c r="AR1053" s="619"/>
    </row>
    <row r="1054" spans="1:44">
      <c r="A1054" s="188"/>
      <c r="B1054" s="188"/>
      <c r="C1054" s="188"/>
      <c r="D1054" s="188"/>
      <c r="E1054" s="188"/>
      <c r="F1054" s="188"/>
      <c r="G1054" s="188"/>
      <c r="H1054" s="188"/>
      <c r="I1054" s="188"/>
      <c r="J1054" s="188"/>
      <c r="K1054" s="188"/>
      <c r="L1054" s="188"/>
      <c r="M1054" s="188"/>
      <c r="N1054" s="188"/>
      <c r="O1054" s="188"/>
      <c r="Q1054" s="188"/>
      <c r="R1054" s="588"/>
      <c r="S1054" s="188"/>
      <c r="T1054" s="190"/>
      <c r="U1054" s="190"/>
      <c r="V1054" s="190"/>
      <c r="W1054" s="190"/>
      <c r="X1054" s="190"/>
      <c r="Y1054" s="190"/>
      <c r="Z1054" s="190"/>
      <c r="AA1054" s="190"/>
      <c r="AB1054" s="190"/>
      <c r="AC1054" s="190"/>
      <c r="AD1054" s="190"/>
      <c r="AE1054" s="190"/>
      <c r="AF1054" s="190"/>
      <c r="AG1054" s="190"/>
      <c r="AH1054" s="190"/>
      <c r="AI1054" s="190"/>
      <c r="AJ1054" s="190"/>
      <c r="AK1054" s="190"/>
      <c r="AL1054" s="190"/>
      <c r="AM1054" s="603"/>
      <c r="AN1054" s="190"/>
      <c r="AO1054" s="190"/>
      <c r="AP1054" s="190"/>
      <c r="AQ1054" s="190"/>
      <c r="AR1054" s="619"/>
    </row>
    <row r="1055" spans="1:44">
      <c r="A1055" s="188"/>
      <c r="B1055" s="188"/>
      <c r="C1055" s="188"/>
      <c r="D1055" s="188"/>
      <c r="E1055" s="188"/>
      <c r="F1055" s="188"/>
      <c r="G1055" s="188"/>
      <c r="H1055" s="188"/>
      <c r="I1055" s="188"/>
      <c r="J1055" s="188"/>
      <c r="K1055" s="188"/>
      <c r="L1055" s="188"/>
      <c r="M1055" s="188"/>
      <c r="N1055" s="188"/>
      <c r="O1055" s="188"/>
      <c r="Q1055" s="188"/>
      <c r="R1055" s="588"/>
      <c r="S1055" s="188"/>
      <c r="T1055" s="190"/>
      <c r="U1055" s="190"/>
      <c r="V1055" s="190"/>
      <c r="W1055" s="190"/>
      <c r="X1055" s="190"/>
      <c r="Y1055" s="190"/>
      <c r="Z1055" s="190"/>
      <c r="AA1055" s="190"/>
      <c r="AB1055" s="190"/>
      <c r="AC1055" s="190"/>
      <c r="AD1055" s="190"/>
      <c r="AE1055" s="190"/>
      <c r="AF1055" s="190"/>
      <c r="AG1055" s="190"/>
      <c r="AH1055" s="190"/>
      <c r="AI1055" s="190"/>
      <c r="AJ1055" s="190"/>
      <c r="AK1055" s="190"/>
      <c r="AL1055" s="190"/>
      <c r="AM1055" s="603"/>
      <c r="AN1055" s="190"/>
      <c r="AO1055" s="190"/>
      <c r="AP1055" s="190"/>
      <c r="AQ1055" s="190"/>
      <c r="AR1055" s="619"/>
    </row>
    <row r="1056" spans="1:44">
      <c r="A1056" s="188"/>
      <c r="B1056" s="188"/>
      <c r="C1056" s="188"/>
      <c r="D1056" s="188"/>
      <c r="E1056" s="188"/>
      <c r="F1056" s="188"/>
      <c r="G1056" s="188"/>
      <c r="H1056" s="188"/>
      <c r="I1056" s="188"/>
      <c r="J1056" s="188"/>
      <c r="K1056" s="188"/>
      <c r="L1056" s="188"/>
      <c r="M1056" s="188"/>
      <c r="N1056" s="188"/>
      <c r="O1056" s="188"/>
      <c r="Q1056" s="188"/>
      <c r="R1056" s="588"/>
      <c r="S1056" s="188"/>
      <c r="T1056" s="190"/>
      <c r="U1056" s="190"/>
      <c r="V1056" s="190"/>
      <c r="W1056" s="190"/>
      <c r="X1056" s="190"/>
      <c r="Y1056" s="190"/>
      <c r="Z1056" s="190"/>
      <c r="AA1056" s="190"/>
      <c r="AB1056" s="190"/>
      <c r="AC1056" s="190"/>
      <c r="AD1056" s="190"/>
      <c r="AE1056" s="190"/>
      <c r="AF1056" s="190"/>
      <c r="AG1056" s="190"/>
      <c r="AH1056" s="190"/>
      <c r="AI1056" s="190"/>
      <c r="AJ1056" s="190"/>
      <c r="AK1056" s="190"/>
      <c r="AL1056" s="190"/>
      <c r="AM1056" s="603"/>
      <c r="AN1056" s="190"/>
      <c r="AO1056" s="190"/>
      <c r="AP1056" s="190"/>
      <c r="AQ1056" s="190"/>
      <c r="AR1056" s="619"/>
    </row>
    <row r="1057" spans="1:44">
      <c r="A1057" s="188"/>
      <c r="B1057" s="188"/>
      <c r="C1057" s="188"/>
      <c r="D1057" s="188"/>
      <c r="E1057" s="188"/>
      <c r="F1057" s="188"/>
      <c r="G1057" s="188"/>
      <c r="H1057" s="188"/>
      <c r="I1057" s="188"/>
      <c r="J1057" s="188"/>
      <c r="K1057" s="188"/>
      <c r="L1057" s="188"/>
      <c r="M1057" s="188"/>
      <c r="N1057" s="188"/>
      <c r="O1057" s="188"/>
      <c r="Q1057" s="188"/>
      <c r="R1057" s="588"/>
      <c r="S1057" s="188"/>
      <c r="T1057" s="190"/>
      <c r="U1057" s="190"/>
      <c r="V1057" s="190"/>
      <c r="W1057" s="190"/>
      <c r="X1057" s="190"/>
      <c r="Y1057" s="190"/>
      <c r="Z1057" s="190"/>
      <c r="AA1057" s="190"/>
      <c r="AB1057" s="190"/>
      <c r="AC1057" s="190"/>
      <c r="AD1057" s="190"/>
      <c r="AE1057" s="190"/>
      <c r="AF1057" s="190"/>
      <c r="AG1057" s="190"/>
      <c r="AH1057" s="190"/>
      <c r="AI1057" s="190"/>
      <c r="AJ1057" s="190"/>
      <c r="AK1057" s="190"/>
      <c r="AL1057" s="190"/>
      <c r="AM1057" s="603"/>
      <c r="AN1057" s="190"/>
      <c r="AO1057" s="190"/>
      <c r="AP1057" s="190"/>
      <c r="AQ1057" s="190"/>
      <c r="AR1057" s="619"/>
    </row>
    <row r="1058" spans="1:44">
      <c r="A1058" s="188"/>
      <c r="B1058" s="188"/>
      <c r="C1058" s="188"/>
      <c r="D1058" s="188"/>
      <c r="E1058" s="188"/>
      <c r="F1058" s="188"/>
      <c r="G1058" s="188"/>
      <c r="H1058" s="188"/>
      <c r="I1058" s="188"/>
      <c r="J1058" s="188"/>
      <c r="K1058" s="188"/>
      <c r="L1058" s="188"/>
      <c r="M1058" s="188"/>
      <c r="N1058" s="188"/>
      <c r="O1058" s="188"/>
      <c r="Q1058" s="188"/>
      <c r="R1058" s="588"/>
      <c r="S1058" s="188"/>
      <c r="T1058" s="190"/>
      <c r="U1058" s="190"/>
      <c r="V1058" s="190"/>
      <c r="W1058" s="190"/>
      <c r="X1058" s="190"/>
      <c r="Y1058" s="190"/>
      <c r="Z1058" s="190"/>
      <c r="AA1058" s="190"/>
      <c r="AB1058" s="190"/>
      <c r="AC1058" s="190"/>
      <c r="AD1058" s="190"/>
      <c r="AE1058" s="190"/>
      <c r="AF1058" s="190"/>
      <c r="AG1058" s="190"/>
      <c r="AH1058" s="190"/>
      <c r="AI1058" s="190"/>
      <c r="AJ1058" s="190"/>
      <c r="AK1058" s="190"/>
      <c r="AL1058" s="190"/>
      <c r="AM1058" s="603"/>
      <c r="AN1058" s="190"/>
      <c r="AO1058" s="190"/>
      <c r="AP1058" s="190"/>
      <c r="AQ1058" s="190"/>
      <c r="AR1058" s="619"/>
    </row>
    <row r="1059" spans="1:44">
      <c r="A1059" s="188"/>
      <c r="B1059" s="188"/>
      <c r="C1059" s="188"/>
      <c r="D1059" s="188"/>
      <c r="E1059" s="188"/>
      <c r="F1059" s="188"/>
      <c r="G1059" s="188"/>
      <c r="H1059" s="188"/>
      <c r="I1059" s="188"/>
      <c r="J1059" s="188"/>
      <c r="K1059" s="188"/>
      <c r="L1059" s="188"/>
      <c r="M1059" s="188"/>
      <c r="N1059" s="188"/>
      <c r="O1059" s="188"/>
      <c r="Q1059" s="188"/>
      <c r="R1059" s="588"/>
      <c r="S1059" s="188"/>
      <c r="T1059" s="190"/>
      <c r="U1059" s="190"/>
      <c r="V1059" s="190"/>
      <c r="W1059" s="190"/>
      <c r="X1059" s="190"/>
      <c r="Y1059" s="190"/>
      <c r="Z1059" s="190"/>
      <c r="AA1059" s="190"/>
      <c r="AB1059" s="190"/>
      <c r="AC1059" s="190"/>
      <c r="AD1059" s="190"/>
      <c r="AE1059" s="190"/>
      <c r="AF1059" s="190"/>
      <c r="AG1059" s="190"/>
      <c r="AH1059" s="190"/>
      <c r="AI1059" s="190"/>
      <c r="AJ1059" s="190"/>
      <c r="AK1059" s="190"/>
      <c r="AL1059" s="190"/>
      <c r="AM1059" s="603"/>
      <c r="AN1059" s="190"/>
      <c r="AO1059" s="190"/>
      <c r="AP1059" s="190"/>
      <c r="AQ1059" s="190"/>
      <c r="AR1059" s="619"/>
    </row>
    <row r="1060" spans="1:44">
      <c r="A1060" s="188"/>
      <c r="B1060" s="188"/>
      <c r="C1060" s="188"/>
      <c r="D1060" s="188"/>
      <c r="E1060" s="188"/>
      <c r="F1060" s="188"/>
      <c r="G1060" s="188"/>
      <c r="H1060" s="188"/>
      <c r="I1060" s="188"/>
      <c r="J1060" s="188"/>
      <c r="K1060" s="188"/>
      <c r="L1060" s="188"/>
      <c r="M1060" s="188"/>
      <c r="N1060" s="188"/>
      <c r="O1060" s="188"/>
      <c r="Q1060" s="188"/>
      <c r="R1060" s="588"/>
      <c r="S1060" s="188"/>
      <c r="T1060" s="190"/>
      <c r="U1060" s="190"/>
      <c r="V1060" s="190"/>
      <c r="W1060" s="190"/>
      <c r="X1060" s="190"/>
      <c r="Y1060" s="190"/>
      <c r="Z1060" s="190"/>
      <c r="AA1060" s="190"/>
      <c r="AB1060" s="190"/>
      <c r="AC1060" s="190"/>
      <c r="AD1060" s="190"/>
      <c r="AE1060" s="190"/>
      <c r="AF1060" s="190"/>
      <c r="AG1060" s="190"/>
      <c r="AH1060" s="190"/>
      <c r="AI1060" s="190"/>
      <c r="AJ1060" s="190"/>
      <c r="AK1060" s="190"/>
      <c r="AL1060" s="190"/>
      <c r="AM1060" s="603"/>
      <c r="AN1060" s="190"/>
      <c r="AO1060" s="190"/>
      <c r="AP1060" s="190"/>
      <c r="AQ1060" s="190"/>
      <c r="AR1060" s="619"/>
    </row>
    <row r="1061" spans="1:44">
      <c r="A1061" s="188"/>
      <c r="B1061" s="188"/>
      <c r="C1061" s="188"/>
      <c r="D1061" s="188"/>
      <c r="E1061" s="188"/>
      <c r="F1061" s="188"/>
      <c r="G1061" s="188"/>
      <c r="H1061" s="188"/>
      <c r="I1061" s="188"/>
      <c r="J1061" s="188"/>
      <c r="K1061" s="188"/>
      <c r="L1061" s="188"/>
      <c r="M1061" s="188"/>
      <c r="N1061" s="188"/>
      <c r="O1061" s="188"/>
      <c r="Q1061" s="188"/>
      <c r="R1061" s="588"/>
      <c r="S1061" s="188"/>
      <c r="T1061" s="190"/>
      <c r="U1061" s="190"/>
      <c r="V1061" s="190"/>
      <c r="W1061" s="190"/>
      <c r="X1061" s="190"/>
      <c r="Y1061" s="190"/>
      <c r="Z1061" s="190"/>
      <c r="AA1061" s="190"/>
      <c r="AB1061" s="190"/>
      <c r="AC1061" s="190"/>
      <c r="AD1061" s="190"/>
      <c r="AE1061" s="190"/>
      <c r="AF1061" s="190"/>
      <c r="AG1061" s="190"/>
      <c r="AH1061" s="190"/>
      <c r="AI1061" s="190"/>
      <c r="AJ1061" s="190"/>
      <c r="AK1061" s="190"/>
      <c r="AL1061" s="190"/>
      <c r="AM1061" s="603"/>
      <c r="AN1061" s="190"/>
      <c r="AO1061" s="190"/>
      <c r="AP1061" s="190"/>
      <c r="AQ1061" s="190"/>
      <c r="AR1061" s="619"/>
    </row>
    <row r="1062" spans="1:44">
      <c r="A1062" s="188"/>
      <c r="B1062" s="188"/>
      <c r="C1062" s="188"/>
      <c r="D1062" s="188"/>
      <c r="E1062" s="188"/>
      <c r="F1062" s="188"/>
      <c r="G1062" s="188"/>
      <c r="H1062" s="188"/>
      <c r="I1062" s="188"/>
      <c r="J1062" s="188"/>
      <c r="K1062" s="188"/>
      <c r="L1062" s="188"/>
      <c r="M1062" s="188"/>
      <c r="N1062" s="188"/>
      <c r="O1062" s="188"/>
      <c r="Q1062" s="188"/>
      <c r="R1062" s="588"/>
      <c r="S1062" s="188"/>
      <c r="T1062" s="190"/>
      <c r="U1062" s="190"/>
      <c r="V1062" s="190"/>
      <c r="W1062" s="190"/>
      <c r="X1062" s="190"/>
      <c r="Y1062" s="190"/>
      <c r="Z1062" s="190"/>
      <c r="AA1062" s="190"/>
      <c r="AB1062" s="190"/>
      <c r="AC1062" s="190"/>
      <c r="AD1062" s="190"/>
      <c r="AE1062" s="190"/>
      <c r="AF1062" s="190"/>
      <c r="AG1062" s="190"/>
      <c r="AH1062" s="190"/>
      <c r="AI1062" s="190"/>
      <c r="AJ1062" s="190"/>
      <c r="AK1062" s="190"/>
      <c r="AL1062" s="190"/>
      <c r="AM1062" s="603"/>
      <c r="AN1062" s="190"/>
      <c r="AO1062" s="190"/>
      <c r="AP1062" s="190"/>
      <c r="AQ1062" s="190"/>
      <c r="AR1062" s="619"/>
    </row>
    <row r="1063" spans="1:44">
      <c r="A1063" s="188"/>
      <c r="B1063" s="188"/>
      <c r="C1063" s="188"/>
      <c r="D1063" s="188"/>
      <c r="E1063" s="188"/>
      <c r="F1063" s="188"/>
      <c r="G1063" s="188"/>
      <c r="H1063" s="188"/>
      <c r="I1063" s="188"/>
      <c r="J1063" s="188"/>
      <c r="K1063" s="188"/>
      <c r="L1063" s="188"/>
      <c r="M1063" s="188"/>
      <c r="N1063" s="188"/>
      <c r="O1063" s="188"/>
      <c r="Q1063" s="188"/>
      <c r="R1063" s="588"/>
      <c r="S1063" s="188"/>
      <c r="T1063" s="190"/>
      <c r="U1063" s="190"/>
      <c r="V1063" s="190"/>
      <c r="W1063" s="190"/>
      <c r="X1063" s="190"/>
      <c r="Y1063" s="190"/>
      <c r="Z1063" s="190"/>
      <c r="AA1063" s="190"/>
      <c r="AB1063" s="190"/>
      <c r="AC1063" s="190"/>
      <c r="AD1063" s="190"/>
      <c r="AE1063" s="190"/>
      <c r="AF1063" s="190"/>
      <c r="AG1063" s="190"/>
      <c r="AH1063" s="190"/>
      <c r="AI1063" s="190"/>
      <c r="AJ1063" s="190"/>
      <c r="AK1063" s="190"/>
      <c r="AL1063" s="190"/>
      <c r="AM1063" s="603"/>
      <c r="AN1063" s="190"/>
      <c r="AO1063" s="190"/>
      <c r="AP1063" s="190"/>
      <c r="AQ1063" s="190"/>
      <c r="AR1063" s="619"/>
    </row>
    <row r="1064" spans="1:44">
      <c r="A1064" s="188"/>
      <c r="B1064" s="188"/>
      <c r="C1064" s="188"/>
      <c r="D1064" s="188"/>
      <c r="E1064" s="188"/>
      <c r="F1064" s="188"/>
      <c r="G1064" s="188"/>
      <c r="H1064" s="188"/>
      <c r="I1064" s="188"/>
      <c r="J1064" s="188"/>
      <c r="K1064" s="188"/>
      <c r="L1064" s="188"/>
      <c r="M1064" s="188"/>
      <c r="N1064" s="188"/>
      <c r="O1064" s="188"/>
      <c r="Q1064" s="188"/>
      <c r="R1064" s="588"/>
      <c r="S1064" s="188"/>
      <c r="T1064" s="190"/>
      <c r="U1064" s="190"/>
      <c r="V1064" s="190"/>
      <c r="W1064" s="190"/>
      <c r="X1064" s="190"/>
      <c r="Y1064" s="190"/>
      <c r="Z1064" s="190"/>
      <c r="AA1064" s="190"/>
      <c r="AB1064" s="190"/>
      <c r="AC1064" s="190"/>
      <c r="AD1064" s="190"/>
      <c r="AE1064" s="190"/>
      <c r="AF1064" s="190"/>
      <c r="AG1064" s="190"/>
      <c r="AH1064" s="190"/>
      <c r="AI1064" s="190"/>
      <c r="AJ1064" s="190"/>
      <c r="AK1064" s="190"/>
      <c r="AL1064" s="190"/>
      <c r="AM1064" s="603"/>
      <c r="AN1064" s="190"/>
      <c r="AO1064" s="190"/>
      <c r="AP1064" s="190"/>
      <c r="AQ1064" s="190"/>
      <c r="AR1064" s="619"/>
    </row>
    <row r="1065" spans="1:44">
      <c r="A1065" s="188"/>
      <c r="B1065" s="188"/>
      <c r="C1065" s="188"/>
      <c r="D1065" s="188"/>
      <c r="E1065" s="188"/>
      <c r="F1065" s="188"/>
      <c r="G1065" s="188"/>
      <c r="H1065" s="188"/>
      <c r="I1065" s="188"/>
      <c r="J1065" s="188"/>
      <c r="K1065" s="188"/>
      <c r="L1065" s="188"/>
      <c r="M1065" s="188"/>
      <c r="N1065" s="188"/>
      <c r="O1065" s="188"/>
      <c r="Q1065" s="188"/>
      <c r="R1065" s="588"/>
      <c r="S1065" s="188"/>
      <c r="T1065" s="190"/>
      <c r="U1065" s="190"/>
      <c r="V1065" s="190"/>
      <c r="W1065" s="190"/>
      <c r="X1065" s="190"/>
      <c r="Y1065" s="190"/>
      <c r="Z1065" s="190"/>
      <c r="AA1065" s="190"/>
      <c r="AB1065" s="190"/>
      <c r="AC1065" s="190"/>
      <c r="AD1065" s="190"/>
      <c r="AE1065" s="190"/>
      <c r="AF1065" s="190"/>
      <c r="AG1065" s="190"/>
      <c r="AH1065" s="190"/>
      <c r="AI1065" s="190"/>
      <c r="AJ1065" s="190"/>
      <c r="AK1065" s="190"/>
      <c r="AL1065" s="190"/>
      <c r="AM1065" s="603"/>
      <c r="AN1065" s="190"/>
      <c r="AO1065" s="190"/>
      <c r="AP1065" s="190"/>
      <c r="AQ1065" s="190"/>
      <c r="AR1065" s="619"/>
    </row>
    <row r="1066" spans="1:44">
      <c r="A1066" s="188"/>
      <c r="B1066" s="188"/>
      <c r="C1066" s="188"/>
      <c r="D1066" s="188"/>
      <c r="E1066" s="188"/>
      <c r="F1066" s="188"/>
      <c r="G1066" s="188"/>
      <c r="H1066" s="188"/>
      <c r="I1066" s="188"/>
      <c r="J1066" s="188"/>
      <c r="K1066" s="188"/>
      <c r="L1066" s="188"/>
      <c r="M1066" s="188"/>
      <c r="N1066" s="188"/>
      <c r="O1066" s="188"/>
      <c r="Q1066" s="188"/>
      <c r="R1066" s="588"/>
      <c r="S1066" s="188"/>
      <c r="T1066" s="190"/>
      <c r="U1066" s="190"/>
      <c r="V1066" s="190"/>
      <c r="W1066" s="190"/>
      <c r="X1066" s="190"/>
      <c r="Y1066" s="190"/>
      <c r="Z1066" s="190"/>
      <c r="AA1066" s="190"/>
      <c r="AB1066" s="190"/>
      <c r="AC1066" s="190"/>
      <c r="AD1066" s="190"/>
      <c r="AE1066" s="190"/>
      <c r="AF1066" s="190"/>
      <c r="AG1066" s="190"/>
      <c r="AH1066" s="190"/>
      <c r="AI1066" s="190"/>
      <c r="AJ1066" s="190"/>
      <c r="AK1066" s="190"/>
      <c r="AL1066" s="190"/>
      <c r="AM1066" s="603"/>
      <c r="AN1066" s="190"/>
      <c r="AO1066" s="190"/>
      <c r="AP1066" s="190"/>
      <c r="AQ1066" s="190"/>
      <c r="AR1066" s="619"/>
    </row>
    <row r="1067" spans="1:44">
      <c r="A1067" s="188"/>
      <c r="B1067" s="188"/>
      <c r="C1067" s="188"/>
      <c r="D1067" s="188"/>
      <c r="E1067" s="188"/>
      <c r="F1067" s="188"/>
      <c r="G1067" s="188"/>
      <c r="H1067" s="188"/>
      <c r="I1067" s="188"/>
      <c r="J1067" s="188"/>
      <c r="K1067" s="188"/>
      <c r="L1067" s="188"/>
      <c r="M1067" s="188"/>
      <c r="N1067" s="188"/>
      <c r="O1067" s="188"/>
      <c r="Q1067" s="188"/>
      <c r="R1067" s="588"/>
      <c r="S1067" s="188"/>
      <c r="T1067" s="190"/>
      <c r="U1067" s="190"/>
      <c r="V1067" s="190"/>
      <c r="W1067" s="190"/>
      <c r="X1067" s="190"/>
      <c r="Y1067" s="190"/>
      <c r="Z1067" s="190"/>
      <c r="AA1067" s="190"/>
      <c r="AB1067" s="190"/>
      <c r="AC1067" s="190"/>
      <c r="AD1067" s="190"/>
      <c r="AE1067" s="190"/>
      <c r="AF1067" s="190"/>
      <c r="AG1067" s="190"/>
      <c r="AH1067" s="190"/>
      <c r="AI1067" s="190"/>
      <c r="AJ1067" s="190"/>
      <c r="AK1067" s="190"/>
      <c r="AL1067" s="190"/>
      <c r="AM1067" s="603"/>
      <c r="AN1067" s="190"/>
      <c r="AO1067" s="190"/>
      <c r="AP1067" s="190"/>
      <c r="AQ1067" s="190"/>
      <c r="AR1067" s="619"/>
    </row>
    <row r="1068" spans="1:44">
      <c r="A1068" s="188"/>
      <c r="B1068" s="188"/>
      <c r="C1068" s="188"/>
      <c r="D1068" s="188"/>
      <c r="E1068" s="188"/>
      <c r="F1068" s="188"/>
      <c r="G1068" s="188"/>
      <c r="H1068" s="188"/>
      <c r="I1068" s="188"/>
      <c r="J1068" s="188"/>
      <c r="K1068" s="188"/>
      <c r="L1068" s="188"/>
      <c r="M1068" s="188"/>
      <c r="N1068" s="188"/>
      <c r="O1068" s="188"/>
      <c r="Q1068" s="188"/>
      <c r="R1068" s="588"/>
      <c r="S1068" s="188"/>
      <c r="T1068" s="190"/>
      <c r="U1068" s="190"/>
      <c r="V1068" s="190"/>
      <c r="W1068" s="190"/>
      <c r="X1068" s="190"/>
      <c r="Y1068" s="190"/>
      <c r="Z1068" s="190"/>
      <c r="AA1068" s="190"/>
      <c r="AB1068" s="190"/>
      <c r="AC1068" s="190"/>
      <c r="AD1068" s="190"/>
      <c r="AE1068" s="190"/>
      <c r="AF1068" s="190"/>
      <c r="AG1068" s="190"/>
      <c r="AH1068" s="190"/>
      <c r="AI1068" s="190"/>
      <c r="AJ1068" s="190"/>
      <c r="AK1068" s="190"/>
      <c r="AL1068" s="190"/>
      <c r="AM1068" s="603"/>
      <c r="AN1068" s="190"/>
      <c r="AO1068" s="190"/>
      <c r="AP1068" s="190"/>
      <c r="AQ1068" s="190"/>
      <c r="AR1068" s="619"/>
    </row>
    <row r="1069" spans="1:44">
      <c r="A1069" s="188"/>
      <c r="B1069" s="188"/>
      <c r="C1069" s="188"/>
      <c r="D1069" s="188"/>
      <c r="E1069" s="188"/>
      <c r="F1069" s="188"/>
      <c r="G1069" s="188"/>
      <c r="H1069" s="188"/>
      <c r="I1069" s="188"/>
      <c r="J1069" s="188"/>
      <c r="K1069" s="188"/>
      <c r="L1069" s="188"/>
      <c r="M1069" s="188"/>
      <c r="N1069" s="188"/>
      <c r="O1069" s="188"/>
      <c r="Q1069" s="188"/>
      <c r="R1069" s="588"/>
      <c r="S1069" s="188"/>
      <c r="T1069" s="190"/>
      <c r="U1069" s="190"/>
      <c r="V1069" s="190"/>
      <c r="W1069" s="190"/>
      <c r="X1069" s="190"/>
      <c r="Y1069" s="190"/>
      <c r="Z1069" s="190"/>
      <c r="AA1069" s="190"/>
      <c r="AB1069" s="190"/>
      <c r="AC1069" s="190"/>
      <c r="AD1069" s="190"/>
      <c r="AE1069" s="190"/>
      <c r="AF1069" s="190"/>
      <c r="AG1069" s="190"/>
      <c r="AH1069" s="190"/>
      <c r="AI1069" s="190"/>
      <c r="AJ1069" s="190"/>
      <c r="AK1069" s="190"/>
      <c r="AL1069" s="190"/>
      <c r="AM1069" s="603"/>
      <c r="AN1069" s="190"/>
      <c r="AO1069" s="190"/>
      <c r="AP1069" s="190"/>
      <c r="AQ1069" s="190"/>
      <c r="AR1069" s="619"/>
    </row>
    <row r="1070" spans="1:44">
      <c r="A1070" s="188"/>
      <c r="B1070" s="188"/>
      <c r="C1070" s="188"/>
      <c r="D1070" s="188"/>
      <c r="E1070" s="188"/>
      <c r="F1070" s="188"/>
      <c r="G1070" s="188"/>
      <c r="H1070" s="188"/>
      <c r="I1070" s="188"/>
      <c r="J1070" s="188"/>
      <c r="K1070" s="188"/>
      <c r="L1070" s="188"/>
      <c r="M1070" s="188"/>
      <c r="N1070" s="188"/>
      <c r="O1070" s="188"/>
      <c r="Q1070" s="188"/>
      <c r="R1070" s="588"/>
      <c r="S1070" s="188"/>
      <c r="T1070" s="190"/>
      <c r="U1070" s="190"/>
      <c r="V1070" s="190"/>
      <c r="W1070" s="190"/>
      <c r="X1070" s="190"/>
      <c r="Y1070" s="190"/>
      <c r="Z1070" s="190"/>
      <c r="AA1070" s="190"/>
      <c r="AB1070" s="190"/>
      <c r="AC1070" s="190"/>
      <c r="AD1070" s="190"/>
      <c r="AE1070" s="190"/>
      <c r="AF1070" s="190"/>
      <c r="AG1070" s="190"/>
      <c r="AH1070" s="190"/>
      <c r="AI1070" s="190"/>
      <c r="AJ1070" s="190"/>
      <c r="AK1070" s="190"/>
      <c r="AL1070" s="190"/>
      <c r="AM1070" s="603"/>
      <c r="AN1070" s="190"/>
      <c r="AO1070" s="190"/>
      <c r="AP1070" s="190"/>
      <c r="AQ1070" s="190"/>
      <c r="AR1070" s="619"/>
    </row>
    <row r="1071" spans="1:44">
      <c r="A1071" s="188"/>
      <c r="B1071" s="188"/>
      <c r="C1071" s="188"/>
      <c r="D1071" s="188"/>
      <c r="E1071" s="188"/>
      <c r="F1071" s="188"/>
      <c r="G1071" s="188"/>
      <c r="H1071" s="188"/>
      <c r="I1071" s="188"/>
      <c r="J1071" s="188"/>
      <c r="K1071" s="188"/>
      <c r="L1071" s="188"/>
      <c r="M1071" s="188"/>
      <c r="N1071" s="188"/>
      <c r="O1071" s="188"/>
      <c r="Q1071" s="188"/>
      <c r="R1071" s="588"/>
      <c r="S1071" s="188"/>
      <c r="T1071" s="190"/>
      <c r="U1071" s="190"/>
      <c r="V1071" s="190"/>
      <c r="W1071" s="190"/>
      <c r="X1071" s="190"/>
      <c r="Y1071" s="190"/>
      <c r="Z1071" s="190"/>
      <c r="AA1071" s="190"/>
      <c r="AB1071" s="190"/>
      <c r="AC1071" s="190"/>
      <c r="AD1071" s="190"/>
      <c r="AE1071" s="190"/>
      <c r="AF1071" s="190"/>
      <c r="AG1071" s="190"/>
      <c r="AH1071" s="190"/>
      <c r="AI1071" s="190"/>
      <c r="AJ1071" s="190"/>
      <c r="AK1071" s="190"/>
      <c r="AL1071" s="190"/>
      <c r="AM1071" s="603"/>
      <c r="AN1071" s="190"/>
      <c r="AO1071" s="190"/>
      <c r="AP1071" s="190"/>
      <c r="AQ1071" s="190"/>
      <c r="AR1071" s="619"/>
    </row>
    <row r="1072" spans="1:44">
      <c r="A1072" s="188"/>
      <c r="B1072" s="188"/>
      <c r="C1072" s="188"/>
      <c r="D1072" s="188"/>
      <c r="E1072" s="188"/>
      <c r="F1072" s="188"/>
      <c r="G1072" s="188"/>
      <c r="H1072" s="188"/>
      <c r="I1072" s="188"/>
      <c r="J1072" s="188"/>
      <c r="K1072" s="188"/>
      <c r="L1072" s="188"/>
      <c r="M1072" s="188"/>
      <c r="N1072" s="188"/>
      <c r="O1072" s="188"/>
      <c r="Q1072" s="188"/>
      <c r="R1072" s="588"/>
      <c r="S1072" s="188"/>
      <c r="T1072" s="190"/>
      <c r="U1072" s="190"/>
      <c r="V1072" s="190"/>
      <c r="W1072" s="190"/>
      <c r="X1072" s="190"/>
      <c r="Y1072" s="190"/>
      <c r="Z1072" s="190"/>
      <c r="AA1072" s="190"/>
      <c r="AB1072" s="190"/>
      <c r="AC1072" s="190"/>
      <c r="AD1072" s="190"/>
      <c r="AE1072" s="190"/>
      <c r="AF1072" s="190"/>
      <c r="AG1072" s="190"/>
      <c r="AH1072" s="190"/>
      <c r="AI1072" s="190"/>
      <c r="AJ1072" s="190"/>
      <c r="AK1072" s="190"/>
      <c r="AL1072" s="190"/>
      <c r="AM1072" s="603"/>
      <c r="AN1072" s="190"/>
      <c r="AO1072" s="190"/>
      <c r="AP1072" s="190"/>
      <c r="AQ1072" s="190"/>
      <c r="AR1072" s="619"/>
    </row>
    <row r="1073" spans="1:44">
      <c r="A1073" s="188"/>
      <c r="B1073" s="188"/>
      <c r="C1073" s="188"/>
      <c r="D1073" s="188"/>
      <c r="E1073" s="188"/>
      <c r="F1073" s="188"/>
      <c r="G1073" s="188"/>
      <c r="H1073" s="188"/>
      <c r="I1073" s="188"/>
      <c r="J1073" s="188"/>
      <c r="K1073" s="188"/>
      <c r="L1073" s="188"/>
      <c r="M1073" s="188"/>
      <c r="N1073" s="188"/>
      <c r="O1073" s="188"/>
      <c r="Q1073" s="188"/>
      <c r="R1073" s="588"/>
      <c r="S1073" s="188"/>
      <c r="T1073" s="190"/>
      <c r="U1073" s="190"/>
      <c r="V1073" s="190"/>
      <c r="W1073" s="190"/>
      <c r="X1073" s="190"/>
      <c r="Y1073" s="190"/>
      <c r="Z1073" s="190"/>
      <c r="AA1073" s="190"/>
      <c r="AB1073" s="190"/>
      <c r="AC1073" s="190"/>
      <c r="AD1073" s="190"/>
      <c r="AE1073" s="190"/>
      <c r="AF1073" s="190"/>
      <c r="AG1073" s="190"/>
      <c r="AH1073" s="190"/>
      <c r="AI1073" s="190"/>
      <c r="AJ1073" s="190"/>
      <c r="AK1073" s="190"/>
      <c r="AL1073" s="190"/>
      <c r="AM1073" s="603"/>
      <c r="AN1073" s="190"/>
      <c r="AO1073" s="190"/>
      <c r="AP1073" s="190"/>
      <c r="AQ1073" s="190"/>
      <c r="AR1073" s="619"/>
    </row>
    <row r="1074" spans="1:44">
      <c r="A1074" s="188"/>
      <c r="B1074" s="188"/>
      <c r="C1074" s="188"/>
      <c r="D1074" s="188"/>
      <c r="E1074" s="188"/>
      <c r="F1074" s="188"/>
      <c r="G1074" s="188"/>
      <c r="H1074" s="188"/>
      <c r="I1074" s="188"/>
      <c r="J1074" s="188"/>
      <c r="K1074" s="188"/>
      <c r="L1074" s="188"/>
      <c r="M1074" s="188"/>
      <c r="N1074" s="188"/>
      <c r="O1074" s="188"/>
      <c r="Q1074" s="188"/>
      <c r="R1074" s="588"/>
      <c r="S1074" s="188"/>
      <c r="T1074" s="190"/>
      <c r="U1074" s="190"/>
      <c r="V1074" s="190"/>
      <c r="W1074" s="190"/>
      <c r="X1074" s="190"/>
      <c r="Y1074" s="190"/>
      <c r="Z1074" s="190"/>
      <c r="AA1074" s="190"/>
      <c r="AB1074" s="190"/>
      <c r="AC1074" s="190"/>
      <c r="AD1074" s="190"/>
      <c r="AE1074" s="190"/>
      <c r="AF1074" s="190"/>
      <c r="AG1074" s="190"/>
      <c r="AH1074" s="190"/>
      <c r="AI1074" s="190"/>
      <c r="AJ1074" s="190"/>
      <c r="AK1074" s="190"/>
      <c r="AL1074" s="190"/>
      <c r="AM1074" s="603"/>
      <c r="AN1074" s="190"/>
      <c r="AO1074" s="190"/>
      <c r="AP1074" s="190"/>
      <c r="AQ1074" s="190"/>
      <c r="AR1074" s="619"/>
    </row>
    <row r="1075" spans="1:44">
      <c r="A1075" s="188"/>
      <c r="B1075" s="188"/>
      <c r="C1075" s="188"/>
      <c r="D1075" s="188"/>
      <c r="E1075" s="188"/>
      <c r="F1075" s="188"/>
      <c r="G1075" s="188"/>
      <c r="H1075" s="188"/>
      <c r="I1075" s="188"/>
      <c r="J1075" s="188"/>
      <c r="K1075" s="188"/>
      <c r="L1075" s="188"/>
      <c r="M1075" s="188"/>
      <c r="N1075" s="188"/>
      <c r="O1075" s="188"/>
      <c r="Q1075" s="188"/>
      <c r="R1075" s="588"/>
      <c r="S1075" s="188"/>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603"/>
      <c r="AN1075" s="190"/>
      <c r="AO1075" s="190"/>
      <c r="AP1075" s="190"/>
      <c r="AQ1075" s="190"/>
      <c r="AR1075" s="619"/>
    </row>
    <row r="1076" spans="1:44">
      <c r="A1076" s="188"/>
      <c r="B1076" s="188"/>
      <c r="C1076" s="188"/>
      <c r="D1076" s="188"/>
      <c r="E1076" s="188"/>
      <c r="F1076" s="188"/>
      <c r="G1076" s="188"/>
      <c r="H1076" s="188"/>
      <c r="I1076" s="188"/>
      <c r="J1076" s="188"/>
      <c r="K1076" s="188"/>
      <c r="L1076" s="188"/>
      <c r="M1076" s="188"/>
      <c r="N1076" s="188"/>
      <c r="O1076" s="188"/>
      <c r="Q1076" s="188"/>
      <c r="R1076" s="588"/>
      <c r="S1076" s="188"/>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603"/>
      <c r="AN1076" s="190"/>
      <c r="AO1076" s="190"/>
      <c r="AP1076" s="190"/>
      <c r="AQ1076" s="190"/>
      <c r="AR1076" s="619"/>
    </row>
    <row r="1077" spans="1:44">
      <c r="A1077" s="188"/>
      <c r="B1077" s="188"/>
      <c r="C1077" s="188"/>
      <c r="D1077" s="188"/>
      <c r="E1077" s="188"/>
      <c r="F1077" s="188"/>
      <c r="G1077" s="188"/>
      <c r="H1077" s="188"/>
      <c r="I1077" s="188"/>
      <c r="J1077" s="188"/>
      <c r="K1077" s="188"/>
      <c r="L1077" s="188"/>
      <c r="M1077" s="188"/>
      <c r="N1077" s="188"/>
      <c r="O1077" s="188"/>
      <c r="Q1077" s="188"/>
      <c r="R1077" s="588"/>
      <c r="S1077" s="188"/>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603"/>
      <c r="AN1077" s="190"/>
      <c r="AO1077" s="190"/>
      <c r="AP1077" s="190"/>
      <c r="AQ1077" s="190"/>
      <c r="AR1077" s="619"/>
    </row>
    <row r="1078" spans="1:44">
      <c r="A1078" s="188"/>
      <c r="B1078" s="188"/>
      <c r="C1078" s="188"/>
      <c r="D1078" s="188"/>
      <c r="E1078" s="188"/>
      <c r="F1078" s="188"/>
      <c r="G1078" s="188"/>
      <c r="H1078" s="188"/>
      <c r="I1078" s="188"/>
      <c r="J1078" s="188"/>
      <c r="K1078" s="188"/>
      <c r="L1078" s="188"/>
      <c r="M1078" s="188"/>
      <c r="N1078" s="188"/>
      <c r="O1078" s="188"/>
      <c r="Q1078" s="188"/>
      <c r="R1078" s="588"/>
      <c r="S1078" s="188"/>
      <c r="T1078" s="190"/>
      <c r="U1078" s="190"/>
      <c r="V1078" s="190"/>
      <c r="W1078" s="190"/>
      <c r="X1078" s="190"/>
      <c r="Y1078" s="190"/>
      <c r="Z1078" s="190"/>
      <c r="AA1078" s="190"/>
      <c r="AB1078" s="190"/>
      <c r="AC1078" s="190"/>
      <c r="AD1078" s="190"/>
      <c r="AE1078" s="190"/>
      <c r="AF1078" s="190"/>
      <c r="AG1078" s="190"/>
      <c r="AH1078" s="190"/>
      <c r="AI1078" s="190"/>
      <c r="AJ1078" s="190"/>
      <c r="AK1078" s="190"/>
      <c r="AL1078" s="190"/>
      <c r="AM1078" s="603"/>
      <c r="AN1078" s="190"/>
      <c r="AO1078" s="190"/>
      <c r="AP1078" s="190"/>
      <c r="AQ1078" s="190"/>
      <c r="AR1078" s="619"/>
    </row>
    <row r="1079" spans="1:44">
      <c r="A1079" s="188"/>
      <c r="B1079" s="188"/>
      <c r="C1079" s="188"/>
      <c r="D1079" s="188"/>
      <c r="E1079" s="188"/>
      <c r="F1079" s="188"/>
      <c r="G1079" s="188"/>
      <c r="H1079" s="188"/>
      <c r="I1079" s="188"/>
      <c r="J1079" s="188"/>
      <c r="K1079" s="188"/>
      <c r="L1079" s="188"/>
      <c r="M1079" s="188"/>
      <c r="N1079" s="188"/>
      <c r="O1079" s="188"/>
      <c r="Q1079" s="188"/>
      <c r="R1079" s="588"/>
      <c r="S1079" s="188"/>
      <c r="T1079" s="190"/>
      <c r="U1079" s="190"/>
      <c r="V1079" s="190"/>
      <c r="W1079" s="190"/>
      <c r="X1079" s="190"/>
      <c r="Y1079" s="190"/>
      <c r="Z1079" s="190"/>
      <c r="AA1079" s="190"/>
      <c r="AB1079" s="190"/>
      <c r="AC1079" s="190"/>
      <c r="AD1079" s="190"/>
      <c r="AE1079" s="190"/>
      <c r="AF1079" s="190"/>
      <c r="AG1079" s="190"/>
      <c r="AH1079" s="190"/>
      <c r="AI1079" s="190"/>
      <c r="AJ1079" s="190"/>
      <c r="AK1079" s="190"/>
      <c r="AL1079" s="190"/>
      <c r="AM1079" s="603"/>
      <c r="AN1079" s="190"/>
      <c r="AO1079" s="190"/>
      <c r="AP1079" s="190"/>
      <c r="AQ1079" s="190"/>
      <c r="AR1079" s="619"/>
    </row>
    <row r="1080" spans="1:44">
      <c r="A1080" s="188"/>
      <c r="B1080" s="188"/>
      <c r="C1080" s="188"/>
      <c r="D1080" s="188"/>
      <c r="E1080" s="188"/>
      <c r="F1080" s="188"/>
      <c r="G1080" s="188"/>
      <c r="H1080" s="188"/>
      <c r="I1080" s="188"/>
      <c r="J1080" s="188"/>
      <c r="K1080" s="188"/>
      <c r="L1080" s="188"/>
      <c r="M1080" s="188"/>
      <c r="N1080" s="188"/>
      <c r="O1080" s="188"/>
      <c r="Q1080" s="188"/>
      <c r="R1080" s="588"/>
      <c r="S1080" s="188"/>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603"/>
      <c r="AN1080" s="190"/>
      <c r="AO1080" s="190"/>
      <c r="AP1080" s="190"/>
      <c r="AQ1080" s="190"/>
      <c r="AR1080" s="619"/>
    </row>
    <row r="1081" spans="1:44">
      <c r="R1081" s="588"/>
      <c r="T1081" s="1"/>
      <c r="U1081" s="1"/>
      <c r="V1081" s="1"/>
      <c r="W1081" s="1"/>
      <c r="X1081" s="1"/>
      <c r="Y1081" s="1"/>
      <c r="Z1081" s="1"/>
      <c r="AA1081" s="1"/>
      <c r="AB1081" s="1"/>
      <c r="AC1081" s="1"/>
      <c r="AD1081" s="1"/>
      <c r="AE1081" s="1"/>
      <c r="AF1081" s="1"/>
      <c r="AG1081" s="1"/>
      <c r="AH1081" s="1"/>
      <c r="AI1081" s="1"/>
      <c r="AJ1081" s="1"/>
      <c r="AK1081" s="1"/>
      <c r="AL1081" s="1"/>
      <c r="AM1081" s="586"/>
      <c r="AN1081" s="1"/>
      <c r="AO1081" s="1"/>
      <c r="AP1081" s="1"/>
      <c r="AQ1081" s="1"/>
      <c r="AR1081" s="620"/>
    </row>
    <row r="1082" spans="1:44">
      <c r="R1082" s="588"/>
      <c r="T1082" s="1"/>
      <c r="U1082" s="1"/>
      <c r="V1082" s="1"/>
      <c r="W1082" s="1"/>
      <c r="X1082" s="1"/>
      <c r="Y1082" s="1"/>
      <c r="Z1082" s="1"/>
      <c r="AA1082" s="1"/>
      <c r="AB1082" s="1"/>
      <c r="AC1082" s="1"/>
      <c r="AD1082" s="1"/>
      <c r="AE1082" s="1"/>
      <c r="AF1082" s="1"/>
      <c r="AG1082" s="1"/>
      <c r="AH1082" s="1"/>
      <c r="AI1082" s="1"/>
      <c r="AJ1082" s="1"/>
      <c r="AK1082" s="1"/>
      <c r="AL1082" s="1"/>
      <c r="AM1082" s="586"/>
      <c r="AN1082" s="1"/>
      <c r="AO1082" s="1"/>
      <c r="AP1082" s="1"/>
      <c r="AQ1082" s="1"/>
      <c r="AR1082" s="620"/>
    </row>
    <row r="1083" spans="1:44">
      <c r="R1083" s="588"/>
      <c r="T1083" s="1"/>
      <c r="U1083" s="1"/>
      <c r="V1083" s="1"/>
      <c r="W1083" s="1"/>
      <c r="X1083" s="1"/>
      <c r="Y1083" s="1"/>
      <c r="Z1083" s="1"/>
      <c r="AA1083" s="1"/>
      <c r="AB1083" s="1"/>
      <c r="AC1083" s="1"/>
      <c r="AD1083" s="1"/>
      <c r="AE1083" s="1"/>
      <c r="AF1083" s="1"/>
      <c r="AG1083" s="1"/>
      <c r="AH1083" s="1"/>
      <c r="AI1083" s="1"/>
      <c r="AJ1083" s="1"/>
      <c r="AK1083" s="1"/>
      <c r="AL1083" s="1"/>
      <c r="AM1083" s="586"/>
      <c r="AN1083" s="1"/>
      <c r="AO1083" s="1"/>
      <c r="AP1083" s="1"/>
      <c r="AQ1083" s="1"/>
      <c r="AR1083" s="620"/>
    </row>
    <row r="1084" spans="1:44">
      <c r="R1084" s="588"/>
      <c r="T1084" s="1"/>
      <c r="U1084" s="1"/>
      <c r="V1084" s="1"/>
      <c r="W1084" s="1"/>
      <c r="X1084" s="1"/>
      <c r="Y1084" s="1"/>
      <c r="Z1084" s="1"/>
      <c r="AA1084" s="1"/>
      <c r="AB1084" s="1"/>
      <c r="AC1084" s="1"/>
      <c r="AD1084" s="1"/>
      <c r="AE1084" s="1"/>
      <c r="AF1084" s="1"/>
      <c r="AG1084" s="1"/>
      <c r="AH1084" s="1"/>
      <c r="AI1084" s="1"/>
      <c r="AJ1084" s="1"/>
      <c r="AK1084" s="1"/>
      <c r="AL1084" s="1"/>
      <c r="AM1084" s="586"/>
      <c r="AN1084" s="1"/>
      <c r="AO1084" s="1"/>
      <c r="AP1084" s="1"/>
      <c r="AQ1084" s="1"/>
      <c r="AR1084" s="620"/>
    </row>
    <row r="1085" spans="1:44">
      <c r="R1085" s="588"/>
      <c r="T1085" s="1"/>
      <c r="U1085" s="1"/>
      <c r="V1085" s="1"/>
      <c r="W1085" s="1"/>
      <c r="X1085" s="1"/>
      <c r="Y1085" s="1"/>
      <c r="Z1085" s="1"/>
      <c r="AA1085" s="1"/>
      <c r="AB1085" s="1"/>
      <c r="AC1085" s="1"/>
      <c r="AD1085" s="1"/>
      <c r="AE1085" s="1"/>
      <c r="AF1085" s="1"/>
      <c r="AG1085" s="1"/>
      <c r="AH1085" s="1"/>
      <c r="AI1085" s="1"/>
      <c r="AJ1085" s="1"/>
      <c r="AK1085" s="1"/>
      <c r="AL1085" s="1"/>
      <c r="AM1085" s="586"/>
      <c r="AN1085" s="1"/>
      <c r="AO1085" s="1"/>
      <c r="AP1085" s="1"/>
      <c r="AQ1085" s="1"/>
      <c r="AR1085" s="620"/>
    </row>
    <row r="1086" spans="1:44">
      <c r="R1086" s="588"/>
      <c r="T1086" s="1"/>
      <c r="U1086" s="1"/>
      <c r="V1086" s="1"/>
      <c r="W1086" s="1"/>
      <c r="X1086" s="1"/>
      <c r="Y1086" s="1"/>
      <c r="Z1086" s="1"/>
      <c r="AA1086" s="1"/>
      <c r="AB1086" s="1"/>
      <c r="AC1086" s="1"/>
      <c r="AD1086" s="1"/>
      <c r="AE1086" s="1"/>
      <c r="AF1086" s="1"/>
      <c r="AG1086" s="1"/>
      <c r="AH1086" s="1"/>
      <c r="AI1086" s="1"/>
      <c r="AJ1086" s="1"/>
      <c r="AK1086" s="1"/>
      <c r="AL1086" s="1"/>
      <c r="AM1086" s="586"/>
      <c r="AN1086" s="1"/>
      <c r="AO1086" s="1"/>
      <c r="AP1086" s="1"/>
      <c r="AQ1086" s="1"/>
      <c r="AR1086" s="620"/>
    </row>
    <row r="1087" spans="1:44">
      <c r="R1087" s="588"/>
      <c r="T1087" s="1"/>
      <c r="U1087" s="1"/>
      <c r="V1087" s="1"/>
      <c r="W1087" s="1"/>
      <c r="X1087" s="1"/>
      <c r="Y1087" s="1"/>
      <c r="Z1087" s="1"/>
      <c r="AA1087" s="1"/>
      <c r="AB1087" s="1"/>
      <c r="AC1087" s="1"/>
      <c r="AD1087" s="1"/>
      <c r="AE1087" s="1"/>
      <c r="AF1087" s="1"/>
      <c r="AG1087" s="1"/>
      <c r="AH1087" s="1"/>
      <c r="AI1087" s="1"/>
      <c r="AJ1087" s="1"/>
      <c r="AK1087" s="1"/>
      <c r="AL1087" s="1"/>
      <c r="AM1087" s="586"/>
      <c r="AN1087" s="1"/>
      <c r="AO1087" s="1"/>
      <c r="AP1087" s="1"/>
      <c r="AQ1087" s="1"/>
      <c r="AR1087" s="620"/>
    </row>
    <row r="1088" spans="1:44">
      <c r="R1088" s="588"/>
      <c r="T1088" s="1"/>
      <c r="U1088" s="1"/>
      <c r="V1088" s="1"/>
      <c r="W1088" s="1"/>
      <c r="X1088" s="1"/>
      <c r="Y1088" s="1"/>
      <c r="Z1088" s="1"/>
      <c r="AA1088" s="1"/>
      <c r="AB1088" s="1"/>
      <c r="AC1088" s="1"/>
      <c r="AD1088" s="1"/>
      <c r="AE1088" s="1"/>
      <c r="AF1088" s="1"/>
      <c r="AG1088" s="1"/>
      <c r="AH1088" s="1"/>
      <c r="AI1088" s="1"/>
      <c r="AJ1088" s="1"/>
      <c r="AK1088" s="1"/>
      <c r="AL1088" s="1"/>
      <c r="AM1088" s="586"/>
      <c r="AN1088" s="1"/>
      <c r="AO1088" s="1"/>
      <c r="AP1088" s="1"/>
      <c r="AQ1088" s="1"/>
      <c r="AR1088" s="620"/>
    </row>
    <row r="1089" spans="18:44">
      <c r="R1089" s="588"/>
      <c r="T1089" s="1"/>
      <c r="U1089" s="1"/>
      <c r="V1089" s="1"/>
      <c r="W1089" s="1"/>
      <c r="X1089" s="1"/>
      <c r="Y1089" s="1"/>
      <c r="Z1089" s="1"/>
      <c r="AA1089" s="1"/>
      <c r="AB1089" s="1"/>
      <c r="AC1089" s="1"/>
      <c r="AD1089" s="1"/>
      <c r="AE1089" s="1"/>
      <c r="AF1089" s="1"/>
      <c r="AG1089" s="1"/>
      <c r="AH1089" s="1"/>
      <c r="AI1089" s="1"/>
      <c r="AJ1089" s="1"/>
      <c r="AK1089" s="1"/>
      <c r="AL1089" s="1"/>
      <c r="AM1089" s="586"/>
      <c r="AN1089" s="1"/>
      <c r="AO1089" s="1"/>
      <c r="AP1089" s="1"/>
      <c r="AQ1089" s="1"/>
      <c r="AR1089" s="620"/>
    </row>
    <row r="1090" spans="18:44">
      <c r="R1090" s="588"/>
      <c r="T1090" s="1"/>
      <c r="U1090" s="1"/>
      <c r="V1090" s="1"/>
      <c r="W1090" s="1"/>
      <c r="X1090" s="1"/>
      <c r="Y1090" s="1"/>
      <c r="Z1090" s="1"/>
      <c r="AA1090" s="1"/>
      <c r="AB1090" s="1"/>
      <c r="AC1090" s="1"/>
      <c r="AD1090" s="1"/>
      <c r="AE1090" s="1"/>
      <c r="AF1090" s="1"/>
      <c r="AG1090" s="1"/>
      <c r="AH1090" s="1"/>
      <c r="AI1090" s="1"/>
      <c r="AJ1090" s="1"/>
      <c r="AK1090" s="1"/>
      <c r="AL1090" s="1"/>
      <c r="AM1090" s="586"/>
      <c r="AN1090" s="1"/>
      <c r="AO1090" s="1"/>
      <c r="AP1090" s="1"/>
      <c r="AQ1090" s="1"/>
      <c r="AR1090" s="620"/>
    </row>
    <row r="1091" spans="18:44">
      <c r="R1091" s="588"/>
      <c r="T1091" s="1"/>
      <c r="U1091" s="1"/>
      <c r="V1091" s="1"/>
      <c r="W1091" s="1"/>
      <c r="X1091" s="1"/>
      <c r="Y1091" s="1"/>
      <c r="Z1091" s="1"/>
      <c r="AA1091" s="1"/>
      <c r="AB1091" s="1"/>
      <c r="AC1091" s="1"/>
      <c r="AD1091" s="1"/>
      <c r="AE1091" s="1"/>
      <c r="AF1091" s="1"/>
      <c r="AG1091" s="1"/>
      <c r="AH1091" s="1"/>
      <c r="AI1091" s="1"/>
      <c r="AJ1091" s="1"/>
      <c r="AK1091" s="1"/>
      <c r="AL1091" s="1"/>
      <c r="AM1091" s="586"/>
      <c r="AN1091" s="1"/>
      <c r="AO1091" s="1"/>
      <c r="AP1091" s="1"/>
      <c r="AQ1091" s="1"/>
      <c r="AR1091" s="620"/>
    </row>
    <row r="1092" spans="18:44">
      <c r="R1092" s="588"/>
      <c r="T1092" s="1"/>
      <c r="U1092" s="1"/>
      <c r="V1092" s="1"/>
      <c r="W1092" s="1"/>
      <c r="X1092" s="1"/>
      <c r="Y1092" s="1"/>
      <c r="Z1092" s="1"/>
      <c r="AA1092" s="1"/>
      <c r="AB1092" s="1"/>
      <c r="AC1092" s="1"/>
      <c r="AD1092" s="1"/>
      <c r="AE1092" s="1"/>
      <c r="AF1092" s="1"/>
      <c r="AG1092" s="1"/>
      <c r="AH1092" s="1"/>
      <c r="AI1092" s="1"/>
      <c r="AJ1092" s="1"/>
      <c r="AK1092" s="1"/>
      <c r="AL1092" s="1"/>
      <c r="AM1092" s="586"/>
      <c r="AN1092" s="1"/>
      <c r="AO1092" s="1"/>
      <c r="AP1092" s="1"/>
      <c r="AQ1092" s="1"/>
      <c r="AR1092" s="620"/>
    </row>
    <row r="1093" spans="18:44">
      <c r="R1093" s="588"/>
      <c r="T1093" s="1"/>
      <c r="U1093" s="1"/>
      <c r="V1093" s="1"/>
      <c r="W1093" s="1"/>
      <c r="X1093" s="1"/>
      <c r="Y1093" s="1"/>
      <c r="Z1093" s="1"/>
      <c r="AA1093" s="1"/>
      <c r="AB1093" s="1"/>
      <c r="AC1093" s="1"/>
      <c r="AD1093" s="1"/>
      <c r="AE1093" s="1"/>
      <c r="AF1093" s="1"/>
      <c r="AG1093" s="1"/>
      <c r="AH1093" s="1"/>
      <c r="AI1093" s="1"/>
      <c r="AJ1093" s="1"/>
      <c r="AK1093" s="1"/>
      <c r="AL1093" s="1"/>
      <c r="AM1093" s="586"/>
      <c r="AN1093" s="1"/>
      <c r="AO1093" s="1"/>
      <c r="AP1093" s="1"/>
      <c r="AQ1093" s="1"/>
      <c r="AR1093" s="620"/>
    </row>
    <row r="1094" spans="18:44">
      <c r="R1094" s="588"/>
      <c r="T1094" s="1"/>
      <c r="U1094" s="1"/>
      <c r="V1094" s="1"/>
      <c r="W1094" s="1"/>
      <c r="X1094" s="1"/>
      <c r="Y1094" s="1"/>
      <c r="Z1094" s="1"/>
      <c r="AA1094" s="1"/>
      <c r="AB1094" s="1"/>
      <c r="AC1094" s="1"/>
      <c r="AD1094" s="1"/>
      <c r="AE1094" s="1"/>
      <c r="AF1094" s="1"/>
      <c r="AG1094" s="1"/>
      <c r="AH1094" s="1"/>
      <c r="AI1094" s="1"/>
      <c r="AJ1094" s="1"/>
      <c r="AK1094" s="1"/>
      <c r="AL1094" s="1"/>
      <c r="AM1094" s="586"/>
      <c r="AN1094" s="1"/>
      <c r="AO1094" s="1"/>
      <c r="AP1094" s="1"/>
      <c r="AQ1094" s="1"/>
      <c r="AR1094" s="620"/>
    </row>
    <row r="1095" spans="18:44">
      <c r="R1095" s="588"/>
      <c r="T1095" s="1"/>
      <c r="U1095" s="1"/>
      <c r="V1095" s="1"/>
      <c r="W1095" s="1"/>
      <c r="X1095" s="1"/>
      <c r="Y1095" s="1"/>
      <c r="Z1095" s="1"/>
      <c r="AA1095" s="1"/>
      <c r="AB1095" s="1"/>
      <c r="AC1095" s="1"/>
      <c r="AD1095" s="1"/>
      <c r="AE1095" s="1"/>
      <c r="AF1095" s="1"/>
      <c r="AG1095" s="1"/>
      <c r="AH1095" s="1"/>
      <c r="AI1095" s="1"/>
      <c r="AJ1095" s="1"/>
      <c r="AK1095" s="1"/>
      <c r="AL1095" s="1"/>
      <c r="AM1095" s="586"/>
      <c r="AN1095" s="1"/>
      <c r="AO1095" s="1"/>
      <c r="AP1095" s="1"/>
      <c r="AQ1095" s="1"/>
      <c r="AR1095" s="620"/>
    </row>
    <row r="1096" spans="18:44">
      <c r="R1096" s="588"/>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c r="AR1096" s="620"/>
    </row>
    <row r="1097" spans="18:44">
      <c r="R1097" s="588"/>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c r="AR1097" s="620"/>
    </row>
    <row r="1098" spans="18:44">
      <c r="R1098" s="588"/>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c r="AR1098" s="620"/>
    </row>
    <row r="1099" spans="18:44">
      <c r="R1099" s="588"/>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c r="AR1099" s="620"/>
    </row>
    <row r="1100" spans="18:44">
      <c r="R1100" s="588"/>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c r="AR1100" s="620"/>
    </row>
    <row r="1101" spans="18:44">
      <c r="R1101" s="588"/>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c r="AR1101" s="620"/>
    </row>
    <row r="1102" spans="18:44">
      <c r="R1102" s="588"/>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c r="AR1102" s="620"/>
    </row>
    <row r="1103" spans="18:44">
      <c r="R1103" s="588"/>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c r="AR1103" s="620"/>
    </row>
    <row r="1104" spans="18:44">
      <c r="R1104" s="588"/>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c r="AR1104" s="620"/>
    </row>
    <row r="1105" spans="18:44">
      <c r="R1105" s="588"/>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c r="AR1105" s="620"/>
    </row>
    <row r="1106" spans="18:44">
      <c r="R1106" s="588"/>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c r="AR1106" s="620"/>
    </row>
    <row r="1107" spans="18:44">
      <c r="R1107" s="588"/>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c r="AR1107" s="620"/>
    </row>
    <row r="1108" spans="18:44">
      <c r="R1108" s="588"/>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c r="AR1108" s="620"/>
    </row>
    <row r="1109" spans="18:44">
      <c r="R1109" s="588"/>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c r="AR1109" s="620"/>
    </row>
    <row r="1110" spans="18:44">
      <c r="R1110" s="588"/>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c r="AR1110" s="620"/>
    </row>
    <row r="1111" spans="18:44">
      <c r="R1111" s="588"/>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c r="AR1111" s="620"/>
    </row>
    <row r="1112" spans="18:44">
      <c r="R1112" s="588"/>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c r="AR1112" s="620"/>
    </row>
    <row r="1113" spans="18:44">
      <c r="R1113" s="588"/>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c r="AR1113" s="620"/>
    </row>
    <row r="1114" spans="18:44">
      <c r="R1114" s="588"/>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c r="AR1114" s="620"/>
    </row>
    <row r="1115" spans="18:44">
      <c r="R1115" s="588"/>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c r="AR1115" s="620"/>
    </row>
    <row r="1116" spans="18:44">
      <c r="R1116" s="588"/>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c r="AR1116" s="620"/>
    </row>
    <row r="1117" spans="18:44">
      <c r="R1117" s="588"/>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c r="AR1117" s="620"/>
    </row>
    <row r="1118" spans="18:44">
      <c r="R1118" s="588"/>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c r="AR1118" s="620"/>
    </row>
    <row r="1119" spans="18:44">
      <c r="R1119" s="588"/>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c r="AR1119" s="620"/>
    </row>
    <row r="1120" spans="18:44">
      <c r="R1120" s="588"/>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c r="AR1120" s="620"/>
    </row>
    <row r="1121" spans="18:44">
      <c r="R1121" s="588"/>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c r="AR1121" s="620"/>
    </row>
    <row r="1122" spans="18:44">
      <c r="R1122" s="588"/>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c r="AR1122" s="620"/>
    </row>
    <row r="1123" spans="18:44">
      <c r="R1123" s="588"/>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c r="AR1123" s="620"/>
    </row>
    <row r="1124" spans="18:44">
      <c r="R1124" s="588"/>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c r="AR1124" s="620"/>
    </row>
    <row r="1125" spans="18:44">
      <c r="R1125" s="588"/>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c r="AR1125" s="620"/>
    </row>
    <row r="1126" spans="18:44">
      <c r="R1126" s="588"/>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c r="AR1126" s="620"/>
    </row>
    <row r="1127" spans="18:44">
      <c r="R1127" s="588"/>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c r="AR1127" s="620"/>
    </row>
    <row r="1128" spans="18:44">
      <c r="R1128" s="588"/>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c r="AR1128" s="620"/>
    </row>
    <row r="1129" spans="18:44">
      <c r="R1129" s="588"/>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c r="AR1129" s="620"/>
    </row>
    <row r="1130" spans="18:44">
      <c r="R1130" s="588"/>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c r="AR1130" s="620"/>
    </row>
    <row r="1131" spans="18:44">
      <c r="R1131" s="588"/>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c r="AR1131" s="620"/>
    </row>
    <row r="1132" spans="18:44">
      <c r="R1132" s="588"/>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c r="AR1132" s="620"/>
    </row>
    <row r="1133" spans="18:44">
      <c r="R1133" s="588"/>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c r="AR1133" s="620"/>
    </row>
    <row r="1134" spans="18:44">
      <c r="R1134" s="588"/>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c r="AR1134" s="620"/>
    </row>
    <row r="1135" spans="18:44">
      <c r="R1135" s="588"/>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c r="AR1135" s="620"/>
    </row>
    <row r="1136" spans="18:44">
      <c r="R1136" s="588"/>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c r="AR1136" s="620"/>
    </row>
    <row r="1137" spans="18:44">
      <c r="R1137" s="588"/>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c r="AR1137" s="620"/>
    </row>
    <row r="1138" spans="18:44">
      <c r="R1138" s="588"/>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c r="AR1138" s="620"/>
    </row>
    <row r="1139" spans="18:44">
      <c r="R1139" s="588"/>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c r="AR1139" s="620"/>
    </row>
    <row r="1140" spans="18:44">
      <c r="R1140" s="588"/>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c r="AR1140" s="620"/>
    </row>
    <row r="1141" spans="18:44">
      <c r="R1141" s="588"/>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c r="AR1141" s="620"/>
    </row>
    <row r="1142" spans="18:44">
      <c r="R1142" s="588"/>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c r="AR1142" s="620"/>
    </row>
    <row r="1143" spans="18:44">
      <c r="R1143" s="588"/>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c r="AR1143" s="620"/>
    </row>
    <row r="1144" spans="18:44">
      <c r="R1144" s="588"/>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c r="AR1144" s="620"/>
    </row>
    <row r="1145" spans="18:44">
      <c r="R1145" s="588"/>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c r="AR1145" s="620"/>
    </row>
    <row r="1146" spans="18:44">
      <c r="R1146" s="588"/>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c r="AR1146" s="620"/>
    </row>
    <row r="1147" spans="18:44">
      <c r="R1147" s="588"/>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c r="AR1147" s="620"/>
    </row>
    <row r="1148" spans="18:44">
      <c r="R1148" s="588"/>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c r="AR1148" s="620"/>
    </row>
    <row r="1149" spans="18:44">
      <c r="R1149" s="588"/>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c r="AR1149" s="620"/>
    </row>
    <row r="1150" spans="18:44">
      <c r="R1150" s="588"/>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620"/>
    </row>
    <row r="1151" spans="18:44">
      <c r="R1151" s="588"/>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620"/>
    </row>
    <row r="1152" spans="18:44">
      <c r="R1152" s="588"/>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c r="AR1152" s="620"/>
    </row>
    <row r="1153" spans="18:44">
      <c r="R1153" s="588"/>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c r="AR1153" s="620"/>
    </row>
    <row r="1154" spans="18:44">
      <c r="R1154" s="588"/>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c r="AR1154" s="620"/>
    </row>
    <row r="1155" spans="18:44">
      <c r="R1155" s="588"/>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620"/>
    </row>
    <row r="1156" spans="18:44">
      <c r="R1156" s="588"/>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620"/>
    </row>
    <row r="1157" spans="18:44">
      <c r="R1157" s="588"/>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c r="AR1157" s="620"/>
    </row>
    <row r="1158" spans="18:44">
      <c r="R1158" s="588"/>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c r="AR1158" s="620"/>
    </row>
    <row r="1159" spans="18:44">
      <c r="R1159" s="588"/>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620"/>
    </row>
    <row r="1160" spans="18:44">
      <c r="R1160" s="588"/>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c r="AR1160" s="620"/>
    </row>
    <row r="1161" spans="18:44">
      <c r="R1161" s="588"/>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c r="AR1161" s="620"/>
    </row>
    <row r="1162" spans="18:44">
      <c r="R1162" s="588"/>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c r="AR1162" s="620"/>
    </row>
    <row r="1163" spans="18:44">
      <c r="R1163" s="588"/>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c r="AR1163" s="620"/>
    </row>
    <row r="1164" spans="18:44">
      <c r="R1164" s="588"/>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c r="AR1164" s="620"/>
    </row>
    <row r="1165" spans="18:44">
      <c r="R1165" s="588"/>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c r="AR1165" s="620"/>
    </row>
    <row r="1166" spans="18:44">
      <c r="R1166" s="588"/>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c r="AR1166" s="620"/>
    </row>
    <row r="1167" spans="18:44">
      <c r="R1167" s="588"/>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c r="AR1167" s="620"/>
    </row>
    <row r="1168" spans="18:44">
      <c r="R1168" s="588"/>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c r="AR1168" s="620"/>
    </row>
    <row r="1169" spans="18:44">
      <c r="R1169" s="588"/>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c r="AR1169" s="620"/>
    </row>
    <row r="1170" spans="18:44">
      <c r="R1170" s="588"/>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c r="AR1170" s="620"/>
    </row>
    <row r="1171" spans="18:44">
      <c r="R1171" s="588"/>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c r="AR1171" s="620"/>
    </row>
    <row r="1172" spans="18:44">
      <c r="R1172" s="588"/>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620"/>
    </row>
    <row r="1173" spans="18:44">
      <c r="R1173" s="588"/>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c r="AR1173" s="620"/>
    </row>
    <row r="1174" spans="18:44">
      <c r="R1174" s="588"/>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c r="AR1174" s="620"/>
    </row>
    <row r="1175" spans="18:44">
      <c r="R1175" s="588"/>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c r="AR1175" s="620"/>
    </row>
    <row r="1176" spans="18:44">
      <c r="R1176" s="588"/>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c r="AR1176" s="620"/>
    </row>
    <row r="1177" spans="18:44">
      <c r="R1177" s="588"/>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620"/>
    </row>
    <row r="1178" spans="18:44">
      <c r="R1178" s="588"/>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620"/>
    </row>
    <row r="1179" spans="18:44">
      <c r="R1179" s="588"/>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c r="AR1179" s="620"/>
    </row>
    <row r="1180" spans="18:44">
      <c r="R1180" s="588"/>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c r="AR1180" s="620"/>
    </row>
    <row r="1181" spans="18:44">
      <c r="R1181" s="588"/>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c r="AR1181" s="620"/>
    </row>
    <row r="1182" spans="18:44">
      <c r="R1182" s="588"/>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c r="AR1182" s="620"/>
    </row>
    <row r="1183" spans="18:44">
      <c r="R1183" s="588"/>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c r="AR1183" s="620"/>
    </row>
    <row r="1184" spans="18:44">
      <c r="R1184" s="588"/>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c r="AR1184" s="620"/>
    </row>
    <row r="1185" spans="18:44">
      <c r="R1185" s="588"/>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c r="AR1185" s="620"/>
    </row>
    <row r="1186" spans="18:44">
      <c r="R1186" s="588"/>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c r="AR1186" s="620"/>
    </row>
    <row r="1187" spans="18:44">
      <c r="R1187" s="588"/>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c r="AR1187" s="620"/>
    </row>
    <row r="1188" spans="18:44">
      <c r="R1188" s="588"/>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c r="AR1188" s="620"/>
    </row>
    <row r="1189" spans="18:44">
      <c r="R1189" s="588"/>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c r="AR1189" s="620"/>
    </row>
    <row r="1190" spans="18:44">
      <c r="R1190" s="588"/>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c r="AR1190" s="620"/>
    </row>
    <row r="1191" spans="18:44">
      <c r="R1191" s="588"/>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c r="AR1191" s="620"/>
    </row>
    <row r="1192" spans="18:44">
      <c r="R1192" s="588"/>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c r="AR1192" s="620"/>
    </row>
    <row r="1193" spans="18:44">
      <c r="R1193" s="588"/>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c r="AR1193" s="620"/>
    </row>
    <row r="1194" spans="18:44">
      <c r="R1194" s="588"/>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c r="AR1194" s="620"/>
    </row>
    <row r="1195" spans="18:44">
      <c r="R1195" s="588"/>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c r="AR1195" s="620"/>
    </row>
    <row r="1196" spans="18:44">
      <c r="R1196" s="588"/>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c r="AR1196" s="620"/>
    </row>
    <row r="1197" spans="18:44">
      <c r="R1197" s="588"/>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c r="AR1197" s="620"/>
    </row>
    <row r="1198" spans="18:44">
      <c r="R1198" s="588"/>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c r="AR1198" s="620"/>
    </row>
    <row r="1199" spans="18:44">
      <c r="R1199" s="588"/>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620"/>
    </row>
    <row r="1200" spans="18:44">
      <c r="R1200" s="588"/>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c r="AR1200" s="620"/>
    </row>
    <row r="1201" spans="18:44">
      <c r="R1201" s="588"/>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c r="AR1201" s="620"/>
    </row>
    <row r="1202" spans="18:44">
      <c r="R1202" s="588"/>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c r="AR1202" s="620"/>
    </row>
    <row r="1203" spans="18:44">
      <c r="R1203" s="588"/>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620"/>
    </row>
    <row r="1204" spans="18:44">
      <c r="R1204" s="588"/>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c r="AR1204" s="620"/>
    </row>
    <row r="1205" spans="18:44">
      <c r="R1205" s="588"/>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c r="AR1205" s="620"/>
    </row>
    <row r="1206" spans="18:44">
      <c r="R1206" s="588"/>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c r="AR1206" s="620"/>
    </row>
    <row r="1207" spans="18:44">
      <c r="R1207" s="588"/>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c r="AR1207" s="620"/>
    </row>
    <row r="1208" spans="18:44">
      <c r="R1208" s="588"/>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c r="AR1208" s="620"/>
    </row>
    <row r="1209" spans="18:44">
      <c r="R1209" s="588"/>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c r="AR1209" s="620"/>
    </row>
    <row r="1210" spans="18:44">
      <c r="R1210" s="588"/>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c r="AR1210" s="620"/>
    </row>
    <row r="1211" spans="18:44">
      <c r="R1211" s="588"/>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c r="AR1211" s="620"/>
    </row>
    <row r="1212" spans="18:44">
      <c r="R1212" s="588"/>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c r="AR1212" s="620"/>
    </row>
    <row r="1213" spans="18:44">
      <c r="R1213" s="588"/>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c r="AR1213" s="620"/>
    </row>
    <row r="1214" spans="18:44">
      <c r="R1214" s="588"/>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c r="AR1214" s="620"/>
    </row>
    <row r="1215" spans="18:44">
      <c r="R1215" s="588"/>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c r="AR1215" s="620"/>
    </row>
    <row r="1216" spans="18:44">
      <c r="R1216" s="588"/>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c r="AR1216" s="620"/>
    </row>
    <row r="1217" spans="18:44">
      <c r="R1217" s="588"/>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c r="AR1217" s="620"/>
    </row>
    <row r="1218" spans="18:44">
      <c r="R1218" s="588"/>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c r="AR1218" s="620"/>
    </row>
    <row r="1219" spans="18:44">
      <c r="R1219" s="588"/>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c r="AR1219" s="620"/>
    </row>
    <row r="1220" spans="18:44">
      <c r="R1220" s="588"/>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c r="AR1220" s="620"/>
    </row>
    <row r="1221" spans="18:44">
      <c r="R1221" s="588"/>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c r="AR1221" s="620"/>
    </row>
    <row r="1222" spans="18:44">
      <c r="R1222" s="588"/>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c r="AR1222" s="620"/>
    </row>
    <row r="1223" spans="18:44">
      <c r="R1223" s="588"/>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c r="AR1223" s="620"/>
    </row>
    <row r="1224" spans="18:44">
      <c r="R1224" s="588"/>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c r="AR1224" s="620"/>
    </row>
    <row r="1225" spans="18:44">
      <c r="R1225" s="588"/>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c r="AR1225" s="620"/>
    </row>
    <row r="1226" spans="18:44">
      <c r="R1226" s="588"/>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620"/>
    </row>
    <row r="1227" spans="18:44">
      <c r="R1227" s="588"/>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620"/>
    </row>
    <row r="1228" spans="18:44">
      <c r="R1228" s="588"/>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c r="AR1228" s="620"/>
    </row>
    <row r="1229" spans="18:44">
      <c r="R1229" s="588"/>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c r="AR1229" s="620"/>
    </row>
    <row r="1230" spans="18:44">
      <c r="R1230" s="588"/>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c r="AR1230" s="620"/>
    </row>
    <row r="1231" spans="18:44">
      <c r="R1231" s="588"/>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620"/>
    </row>
    <row r="1232" spans="18:44">
      <c r="R1232" s="588"/>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620"/>
    </row>
    <row r="1233" spans="18:44">
      <c r="R1233" s="588"/>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c r="AR1233" s="620"/>
    </row>
    <row r="1234" spans="18:44">
      <c r="R1234" s="588"/>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c r="AR1234" s="620"/>
    </row>
    <row r="1235" spans="18:44">
      <c r="R1235" s="588"/>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620"/>
    </row>
    <row r="1236" spans="18:44">
      <c r="R1236" s="588"/>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c r="AR1236" s="620"/>
    </row>
    <row r="1237" spans="18:44">
      <c r="R1237" s="588"/>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620"/>
    </row>
    <row r="1238" spans="18:44">
      <c r="R1238" s="588"/>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620"/>
    </row>
    <row r="1239" spans="18:44">
      <c r="R1239" s="588"/>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620"/>
    </row>
    <row r="1240" spans="18:44">
      <c r="R1240" s="588"/>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620"/>
    </row>
    <row r="1241" spans="18:44">
      <c r="R1241" s="588"/>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c r="AR1241" s="620"/>
    </row>
    <row r="1242" spans="18:44">
      <c r="R1242" s="588"/>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620"/>
    </row>
    <row r="1243" spans="18:44">
      <c r="R1243" s="588"/>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620"/>
    </row>
    <row r="1244" spans="18:44">
      <c r="R1244" s="588"/>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620"/>
    </row>
    <row r="1245" spans="18:44">
      <c r="R1245" s="588"/>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338"/>
    </row>
    <row r="1246" spans="18:44">
      <c r="R1246" s="588"/>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338"/>
    </row>
    <row r="1247" spans="18:44">
      <c r="R1247" s="588"/>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338"/>
    </row>
    <row r="1248" spans="18:44">
      <c r="R1248" s="588"/>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338"/>
    </row>
    <row r="1249" spans="18:44">
      <c r="R1249" s="588"/>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338"/>
    </row>
    <row r="1250" spans="18:44">
      <c r="R1250" s="588"/>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c r="AR1250" s="338"/>
    </row>
    <row r="1251" spans="18:44">
      <c r="R1251" s="588"/>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c r="AR1251" s="338"/>
    </row>
    <row r="1252" spans="18:44">
      <c r="R1252" s="588"/>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c r="AR1252" s="338"/>
    </row>
    <row r="1253" spans="18:44">
      <c r="R1253" s="588"/>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c r="AR1253" s="338"/>
    </row>
    <row r="1254" spans="18:44">
      <c r="R1254" s="588"/>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338"/>
    </row>
    <row r="1255" spans="18:44">
      <c r="R1255" s="588"/>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c r="AR1255" s="338"/>
    </row>
    <row r="1256" spans="18:44">
      <c r="R1256" s="588"/>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c r="AR1256" s="338"/>
    </row>
    <row r="1257" spans="18:44">
      <c r="R1257" s="588"/>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c r="AR1257" s="338"/>
    </row>
    <row r="1258" spans="18:44">
      <c r="R1258" s="588"/>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c r="AR1258" s="338"/>
    </row>
    <row r="1259" spans="18:44">
      <c r="R1259" s="588"/>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c r="AR1259" s="338"/>
    </row>
    <row r="1260" spans="18:44">
      <c r="R1260" s="588"/>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c r="AR1260" s="338"/>
    </row>
    <row r="1261" spans="18:44">
      <c r="R1261" s="588"/>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c r="AR1261" s="338"/>
    </row>
    <row r="1262" spans="18:44">
      <c r="R1262" s="588"/>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c r="AR1262" s="338"/>
    </row>
    <row r="1263" spans="18:44">
      <c r="R1263" s="588"/>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c r="AR1263" s="338"/>
    </row>
    <row r="1264" spans="18:44">
      <c r="R1264" s="588"/>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c r="AR1264" s="338"/>
    </row>
    <row r="1265" spans="18:44">
      <c r="R1265" s="588"/>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c r="AR1265" s="338"/>
    </row>
    <row r="1266" spans="18:44">
      <c r="R1266" s="588"/>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c r="AR1266" s="338"/>
    </row>
    <row r="1267" spans="18:44">
      <c r="R1267" s="588"/>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c r="AR1267" s="338"/>
    </row>
    <row r="1268" spans="18:44">
      <c r="R1268" s="588"/>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c r="AR1268" s="338"/>
    </row>
    <row r="1269" spans="18:44">
      <c r="R1269" s="588"/>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c r="AR1269" s="338"/>
    </row>
    <row r="1270" spans="18:44">
      <c r="R1270" s="588"/>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c r="AR1270" s="338"/>
    </row>
    <row r="1271" spans="18:44">
      <c r="R1271" s="588"/>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c r="AR1271" s="338"/>
    </row>
    <row r="1272" spans="18:44">
      <c r="R1272" s="588"/>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c r="AR1272" s="338"/>
    </row>
    <row r="1273" spans="18:44">
      <c r="R1273" s="588"/>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c r="AR1273" s="338"/>
    </row>
    <row r="1274" spans="18:44">
      <c r="R1274" s="588"/>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c r="AR1274" s="338"/>
    </row>
    <row r="1275" spans="18:44">
      <c r="R1275" s="588"/>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c r="AR1275" s="338"/>
    </row>
    <row r="1276" spans="18:44">
      <c r="R1276" s="588"/>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c r="AR1276" s="338"/>
    </row>
    <row r="1277" spans="18:44">
      <c r="R1277" s="588"/>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c r="AR1277" s="338"/>
    </row>
    <row r="1278" spans="18:44">
      <c r="R1278" s="588"/>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c r="AR1278" s="338"/>
    </row>
    <row r="1279" spans="18:44">
      <c r="R1279" s="588"/>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338"/>
    </row>
    <row r="1280" spans="18:44">
      <c r="R1280" s="588"/>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c r="AR1280" s="338"/>
    </row>
    <row r="1281" spans="18:44">
      <c r="R1281" s="588"/>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338"/>
    </row>
    <row r="1282" spans="18:44">
      <c r="R1282" s="588"/>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338"/>
    </row>
    <row r="1283" spans="18:44">
      <c r="R1283" s="588"/>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338"/>
    </row>
    <row r="1284" spans="18:44">
      <c r="R1284" s="588"/>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338"/>
    </row>
    <row r="1285" spans="18:44">
      <c r="R1285" s="588"/>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c r="AR1285" s="338"/>
    </row>
    <row r="1286" spans="18:44">
      <c r="R1286" s="588"/>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338"/>
    </row>
    <row r="1287" spans="18:44">
      <c r="R1287" s="588"/>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338"/>
    </row>
    <row r="1288" spans="18:44">
      <c r="R1288" s="588"/>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338"/>
    </row>
    <row r="1289" spans="18:44">
      <c r="R1289" s="588"/>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338"/>
    </row>
    <row r="1290" spans="18:44">
      <c r="R1290" s="588"/>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338"/>
    </row>
    <row r="1291" spans="18:44">
      <c r="R1291" s="588"/>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c r="AR1291" s="338"/>
    </row>
    <row r="1292" spans="18:44">
      <c r="R1292" s="588"/>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338"/>
    </row>
    <row r="1293" spans="18:44">
      <c r="R1293" s="588"/>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338"/>
    </row>
    <row r="1294" spans="18:44">
      <c r="R1294" s="588"/>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c r="AR1294" s="338"/>
    </row>
    <row r="1295" spans="18:44">
      <c r="R1295" s="588"/>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c r="AR1295" s="338"/>
    </row>
    <row r="1296" spans="18:44">
      <c r="R1296" s="588"/>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338"/>
    </row>
    <row r="1297" spans="18:44">
      <c r="R1297" s="588"/>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338"/>
    </row>
    <row r="1298" spans="18:44">
      <c r="R1298" s="588"/>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c r="AR1298" s="338"/>
    </row>
    <row r="1299" spans="18:44">
      <c r="R1299" s="588"/>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c r="AR1299" s="338"/>
    </row>
    <row r="1300" spans="18:44">
      <c r="R1300" s="588"/>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c r="AR1300" s="338"/>
    </row>
    <row r="1301" spans="18:44">
      <c r="R1301" s="588"/>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c r="AR1301" s="338"/>
    </row>
    <row r="1302" spans="18:44">
      <c r="R1302" s="588"/>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c r="AR1302" s="338"/>
    </row>
    <row r="1303" spans="18:44">
      <c r="R1303" s="588"/>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c r="AR1303" s="338"/>
    </row>
    <row r="1304" spans="18:44">
      <c r="R1304" s="588"/>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c r="AR1304" s="338"/>
    </row>
    <row r="1305" spans="18:44">
      <c r="R1305" s="588"/>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c r="AR1305" s="338"/>
    </row>
    <row r="1306" spans="18:44">
      <c r="R1306" s="588"/>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c r="AR1306" s="338"/>
    </row>
    <row r="1307" spans="18:44">
      <c r="R1307" s="588"/>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c r="AR1307" s="338"/>
    </row>
    <row r="1308" spans="18:44">
      <c r="R1308" s="588"/>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c r="AR1308" s="338"/>
    </row>
    <row r="1309" spans="18:44">
      <c r="R1309" s="588"/>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c r="AR1309" s="338"/>
    </row>
    <row r="1310" spans="18:44">
      <c r="R1310" s="588"/>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c r="AR1310" s="338"/>
    </row>
    <row r="1311" spans="18:44">
      <c r="R1311" s="588"/>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c r="AR1311" s="338"/>
    </row>
    <row r="1312" spans="18:44">
      <c r="R1312" s="588"/>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c r="AR1312" s="338"/>
    </row>
    <row r="1313" spans="18:44">
      <c r="R1313" s="588"/>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c r="AR1313" s="338"/>
    </row>
    <row r="1314" spans="18:44">
      <c r="R1314" s="588"/>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c r="AR1314" s="338"/>
    </row>
    <row r="1315" spans="18:44">
      <c r="R1315" s="588"/>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c r="AR1315" s="338"/>
    </row>
    <row r="1316" spans="18:44">
      <c r="R1316" s="588"/>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c r="AR1316" s="338"/>
    </row>
    <row r="1317" spans="18:44">
      <c r="R1317" s="588"/>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338"/>
    </row>
    <row r="1318" spans="18:44">
      <c r="R1318" s="588"/>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338"/>
    </row>
    <row r="1319" spans="18:44">
      <c r="R1319" s="588"/>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c r="AR1319" s="338"/>
    </row>
    <row r="1320" spans="18:44">
      <c r="R1320" s="588"/>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c r="AR1320" s="338"/>
    </row>
    <row r="1321" spans="18:44">
      <c r="R1321" s="588"/>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c r="AR1321" s="338"/>
    </row>
    <row r="1322" spans="18:44">
      <c r="R1322" s="588"/>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c r="AR1322" s="338"/>
    </row>
    <row r="1323" spans="18:44">
      <c r="R1323" s="588"/>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c r="AR1323" s="338"/>
    </row>
    <row r="1324" spans="18:44">
      <c r="R1324" s="588"/>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c r="AR1324" s="338"/>
    </row>
    <row r="1325" spans="18:44">
      <c r="R1325" s="588"/>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c r="AR1325" s="338"/>
    </row>
    <row r="1326" spans="18:44">
      <c r="R1326" s="588"/>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c r="AR1326" s="338"/>
    </row>
    <row r="1327" spans="18:44">
      <c r="R1327" s="588"/>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c r="AR1327" s="338"/>
    </row>
    <row r="1328" spans="18:44">
      <c r="R1328" s="588"/>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c r="AR1328" s="338"/>
    </row>
    <row r="1329" spans="18:44">
      <c r="R1329" s="588"/>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c r="AR1329" s="338"/>
    </row>
    <row r="1330" spans="18:44">
      <c r="R1330" s="588"/>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c r="AR1330" s="338"/>
    </row>
    <row r="1331" spans="18:44">
      <c r="R1331" s="588"/>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c r="AR1331" s="338"/>
    </row>
    <row r="1332" spans="18:44">
      <c r="R1332" s="588"/>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c r="AR1332" s="338"/>
    </row>
    <row r="1333" spans="18:44">
      <c r="R1333" s="588"/>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c r="AR1333" s="338"/>
    </row>
    <row r="1334" spans="18:44">
      <c r="R1334" s="588"/>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338"/>
    </row>
    <row r="1335" spans="18:44">
      <c r="R1335" s="588"/>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c r="AR1335" s="338"/>
    </row>
    <row r="1336" spans="18:44">
      <c r="R1336" s="588"/>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c r="AR1336" s="338"/>
    </row>
    <row r="1337" spans="18:44">
      <c r="R1337" s="588"/>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c r="AR1337" s="338"/>
    </row>
    <row r="1338" spans="18:44">
      <c r="R1338" s="588"/>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c r="AR1338" s="338"/>
    </row>
    <row r="1339" spans="18:44">
      <c r="R1339" s="588"/>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c r="AR1339" s="338"/>
    </row>
    <row r="1340" spans="18:44">
      <c r="R1340" s="588"/>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c r="AR1340" s="338"/>
    </row>
    <row r="1341" spans="18:44">
      <c r="R1341" s="588"/>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c r="AR1341" s="338"/>
    </row>
    <row r="1342" spans="18:44">
      <c r="R1342" s="588"/>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c r="AR1342" s="338"/>
    </row>
    <row r="1343" spans="18:44">
      <c r="R1343" s="588"/>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c r="AR1343" s="338"/>
    </row>
    <row r="1344" spans="18:44">
      <c r="R1344" s="588"/>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c r="AR1344" s="338"/>
    </row>
    <row r="1345" spans="18:44">
      <c r="R1345" s="588"/>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c r="AR1345" s="338"/>
    </row>
    <row r="1346" spans="18:44">
      <c r="R1346" s="588"/>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c r="AR1346" s="338"/>
    </row>
    <row r="1347" spans="18:44">
      <c r="R1347" s="588"/>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c r="AR1347" s="338"/>
    </row>
    <row r="1348" spans="18:44">
      <c r="R1348" s="588"/>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c r="AR1348" s="338"/>
    </row>
    <row r="1349" spans="18:44">
      <c r="R1349" s="588"/>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c r="AR1349" s="338"/>
    </row>
    <row r="1350" spans="18:44">
      <c r="R1350" s="588"/>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c r="AR1350" s="338"/>
    </row>
    <row r="1351" spans="18:44">
      <c r="R1351" s="588"/>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c r="AR1351" s="338"/>
    </row>
    <row r="1352" spans="18:44">
      <c r="R1352" s="588"/>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c r="AR1352" s="338"/>
    </row>
    <row r="1353" spans="18:44">
      <c r="R1353" s="588"/>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c r="AR1353" s="338"/>
    </row>
    <row r="1354" spans="18:44">
      <c r="R1354" s="588"/>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c r="AR1354" s="338"/>
    </row>
    <row r="1355" spans="18:44">
      <c r="R1355" s="588"/>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c r="AR1355" s="338"/>
    </row>
    <row r="1356" spans="18:44">
      <c r="R1356" s="588"/>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c r="AR1356" s="338"/>
    </row>
    <row r="1357" spans="18:44">
      <c r="R1357" s="588"/>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c r="AR1357" s="338"/>
    </row>
    <row r="1358" spans="18:44">
      <c r="R1358" s="588"/>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c r="AR1358" s="338"/>
    </row>
    <row r="1359" spans="18:44">
      <c r="R1359" s="588"/>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c r="AR1359" s="338"/>
    </row>
    <row r="1360" spans="18:44">
      <c r="R1360" s="588"/>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c r="AR1360" s="338"/>
    </row>
    <row r="1361" spans="18:44">
      <c r="R1361" s="588"/>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c r="AR1361" s="338"/>
    </row>
    <row r="1362" spans="18:44">
      <c r="R1362" s="588"/>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c r="AR1362" s="338"/>
    </row>
    <row r="1363" spans="18:44">
      <c r="R1363" s="588"/>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c r="AR1363" s="338"/>
    </row>
    <row r="1364" spans="18:44">
      <c r="R1364" s="588"/>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c r="AR1364" s="338"/>
    </row>
    <row r="1365" spans="18:44">
      <c r="R1365" s="588"/>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c r="AR1365" s="338"/>
    </row>
    <row r="1366" spans="18:44">
      <c r="R1366" s="588"/>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c r="AR1366" s="338"/>
    </row>
    <row r="1367" spans="18:44">
      <c r="R1367" s="588"/>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c r="AR1367" s="338"/>
    </row>
    <row r="1368" spans="18:44">
      <c r="R1368" s="588"/>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c r="AR1368" s="338"/>
    </row>
    <row r="1369" spans="18:44">
      <c r="R1369" s="588"/>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c r="AR1369" s="338"/>
    </row>
    <row r="1370" spans="18:44">
      <c r="R1370" s="588"/>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c r="AR1370" s="338"/>
    </row>
    <row r="1371" spans="18:44">
      <c r="R1371" s="588"/>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c r="AR1371" s="338"/>
    </row>
    <row r="1372" spans="18:44">
      <c r="R1372" s="588"/>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338"/>
    </row>
    <row r="1373" spans="18:44">
      <c r="R1373" s="588"/>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338"/>
    </row>
    <row r="1374" spans="18:44">
      <c r="R1374" s="588"/>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c r="AR1374" s="338"/>
    </row>
    <row r="1375" spans="18:44">
      <c r="R1375" s="588"/>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c r="AR1375" s="338"/>
    </row>
    <row r="1376" spans="18:44">
      <c r="R1376" s="588"/>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c r="AR1376" s="338"/>
    </row>
    <row r="1377" spans="18:44">
      <c r="R1377" s="588"/>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c r="AR1377" s="338"/>
    </row>
    <row r="1378" spans="18:44">
      <c r="R1378" s="588"/>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c r="AR1378" s="338"/>
    </row>
    <row r="1379" spans="18:44">
      <c r="R1379" s="588"/>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c r="AR1379" s="338"/>
    </row>
    <row r="1380" spans="18:44">
      <c r="R1380" s="588"/>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c r="AR1380" s="338"/>
    </row>
    <row r="1381" spans="18:44">
      <c r="R1381" s="588"/>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c r="AR1381" s="338"/>
    </row>
    <row r="1382" spans="18:44">
      <c r="R1382" s="588"/>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c r="AR1382" s="338"/>
    </row>
    <row r="1383" spans="18:44">
      <c r="R1383" s="588"/>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c r="AR1383" s="338"/>
    </row>
    <row r="1384" spans="18:44">
      <c r="R1384" s="588"/>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c r="AR1384" s="338"/>
    </row>
    <row r="1385" spans="18:44">
      <c r="R1385" s="588"/>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c r="AR1385" s="338"/>
    </row>
    <row r="1386" spans="18:44">
      <c r="R1386" s="588"/>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c r="AR1386" s="338"/>
    </row>
    <row r="1387" spans="18:44">
      <c r="R1387" s="588"/>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c r="AR1387" s="338"/>
    </row>
    <row r="1388" spans="18:44">
      <c r="R1388" s="588"/>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c r="AR1388" s="338"/>
    </row>
    <row r="1389" spans="18:44">
      <c r="R1389" s="588"/>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c r="AR1389" s="338"/>
    </row>
    <row r="1390" spans="18:44">
      <c r="R1390" s="588"/>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c r="AR1390" s="338"/>
    </row>
    <row r="1391" spans="18:44">
      <c r="R1391" s="588"/>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c r="AR1391" s="338"/>
    </row>
    <row r="1392" spans="18:44">
      <c r="R1392" s="588"/>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c r="AR1392" s="338"/>
    </row>
    <row r="1393" spans="18:44">
      <c r="R1393" s="588"/>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c r="AR1393" s="338"/>
    </row>
    <row r="1394" spans="18:44">
      <c r="R1394" s="588"/>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c r="AR1394" s="338"/>
    </row>
    <row r="1395" spans="18:44">
      <c r="R1395" s="588"/>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c r="AR1395" s="338"/>
    </row>
    <row r="1396" spans="18:44">
      <c r="R1396" s="588"/>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c r="AR1396" s="338"/>
    </row>
    <row r="1397" spans="18:44">
      <c r="R1397" s="588"/>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c r="AR1397" s="338"/>
    </row>
    <row r="1398" spans="18:44">
      <c r="R1398" s="588"/>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c r="AR1398" s="338"/>
    </row>
    <row r="1399" spans="18:44">
      <c r="R1399" s="588"/>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c r="AR1399" s="338"/>
    </row>
    <row r="1400" spans="18:44">
      <c r="R1400" s="588"/>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c r="AR1400" s="338"/>
    </row>
    <row r="1401" spans="18:44">
      <c r="R1401" s="588"/>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c r="AR1401" s="338"/>
    </row>
    <row r="1402" spans="18:44">
      <c r="R1402" s="588"/>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c r="AR1402" s="338"/>
    </row>
    <row r="1403" spans="18:44">
      <c r="R1403" s="588"/>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c r="AR1403" s="338"/>
    </row>
    <row r="1404" spans="18:44">
      <c r="R1404" s="588"/>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c r="AR1404" s="338"/>
    </row>
    <row r="1405" spans="18:44">
      <c r="R1405" s="588"/>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c r="AR1405" s="338"/>
    </row>
    <row r="1406" spans="18:44">
      <c r="R1406" s="588"/>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c r="AR1406" s="338"/>
    </row>
    <row r="1407" spans="18:44">
      <c r="R1407" s="588"/>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c r="AR1407" s="338"/>
    </row>
    <row r="1408" spans="18:44">
      <c r="R1408" s="588"/>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c r="AR1408" s="338"/>
    </row>
    <row r="1409" spans="18:44">
      <c r="R1409" s="588"/>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c r="AR1409" s="338"/>
    </row>
    <row r="1410" spans="18:44">
      <c r="R1410" s="588"/>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c r="AR1410" s="338"/>
    </row>
    <row r="1411" spans="18:44">
      <c r="R1411" s="588"/>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c r="AR1411" s="338"/>
    </row>
    <row r="1412" spans="18:44">
      <c r="R1412" s="588"/>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c r="AR1412" s="338"/>
    </row>
    <row r="1413" spans="18:44">
      <c r="R1413" s="588"/>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c r="AR1413" s="338"/>
    </row>
    <row r="1414" spans="18:44">
      <c r="R1414" s="588"/>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c r="AR1414" s="338"/>
    </row>
    <row r="1415" spans="18:44">
      <c r="R1415" s="588"/>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c r="AR1415" s="338"/>
    </row>
    <row r="1416" spans="18:44">
      <c r="R1416" s="588"/>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c r="AR1416" s="338"/>
    </row>
    <row r="1417" spans="18:44">
      <c r="R1417" s="588"/>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c r="AR1417" s="338"/>
    </row>
    <row r="1418" spans="18:44">
      <c r="R1418" s="588"/>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c r="AR1418" s="338"/>
    </row>
    <row r="1419" spans="18:44">
      <c r="R1419" s="588"/>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c r="AR1419" s="338"/>
    </row>
    <row r="1420" spans="18:44">
      <c r="R1420" s="588"/>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c r="AR1420" s="338"/>
    </row>
    <row r="1421" spans="18:44">
      <c r="R1421" s="588"/>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c r="AR1421" s="338"/>
    </row>
    <row r="1422" spans="18:44">
      <c r="R1422" s="588"/>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c r="AR1422" s="338"/>
    </row>
    <row r="1423" spans="18:44">
      <c r="R1423" s="588"/>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c r="AR1423" s="338"/>
    </row>
    <row r="1424" spans="18:44">
      <c r="R1424" s="588"/>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c r="AR1424" s="338"/>
    </row>
    <row r="1425" spans="18:44">
      <c r="R1425" s="588"/>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c r="AR1425" s="338"/>
    </row>
    <row r="1426" spans="18:44">
      <c r="R1426" s="588"/>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c r="AR1426" s="338"/>
    </row>
    <row r="1427" spans="18:44">
      <c r="R1427" s="588"/>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338"/>
    </row>
    <row r="1428" spans="18:44">
      <c r="R1428" s="588"/>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338"/>
    </row>
    <row r="1429" spans="18:44">
      <c r="R1429" s="588"/>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c r="AR1429" s="338"/>
    </row>
    <row r="1430" spans="18:44">
      <c r="R1430" s="588"/>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c r="AR1430" s="338"/>
    </row>
    <row r="1431" spans="18:44">
      <c r="R1431" s="588"/>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c r="AR1431" s="338"/>
    </row>
    <row r="1432" spans="18:44">
      <c r="R1432" s="588"/>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c r="AR1432" s="338"/>
    </row>
    <row r="1433" spans="18:44">
      <c r="R1433" s="588"/>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c r="AR1433" s="338"/>
    </row>
    <row r="1434" spans="18:44">
      <c r="R1434" s="588"/>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c r="AR1434" s="338"/>
    </row>
    <row r="1435" spans="18:44">
      <c r="R1435" s="588"/>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c r="AR1435" s="338"/>
    </row>
    <row r="1436" spans="18:44">
      <c r="R1436" s="588"/>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c r="AR1436" s="338"/>
    </row>
    <row r="1437" spans="18:44">
      <c r="R1437" s="588"/>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c r="AR1437" s="338"/>
    </row>
    <row r="1438" spans="18:44">
      <c r="R1438" s="588"/>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c r="AR1438" s="338"/>
    </row>
    <row r="1439" spans="18:44">
      <c r="R1439" s="588"/>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c r="AR1439" s="338"/>
    </row>
    <row r="1440" spans="18:44">
      <c r="R1440" s="588"/>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c r="AR1440" s="338"/>
    </row>
    <row r="1441" spans="18:44">
      <c r="R1441" s="588"/>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c r="AR1441" s="338"/>
    </row>
    <row r="1442" spans="18:44">
      <c r="R1442" s="588"/>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c r="AR1442" s="338"/>
    </row>
    <row r="1443" spans="18:44">
      <c r="R1443" s="588"/>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c r="AR1443" s="338"/>
    </row>
    <row r="1444" spans="18:44">
      <c r="R1444" s="588"/>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c r="AR1444" s="338"/>
    </row>
    <row r="1445" spans="18:44">
      <c r="R1445" s="588"/>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c r="AR1445" s="338"/>
    </row>
    <row r="1446" spans="18:44">
      <c r="R1446" s="588"/>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c r="AR1446" s="338"/>
    </row>
    <row r="1447" spans="18:44">
      <c r="R1447" s="588"/>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c r="AR1447" s="338"/>
    </row>
    <row r="1448" spans="18:44">
      <c r="R1448" s="588"/>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c r="AR1448" s="338"/>
    </row>
    <row r="1449" spans="18:44">
      <c r="R1449" s="588"/>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c r="AR1449" s="338"/>
    </row>
    <row r="1450" spans="18:44">
      <c r="R1450" s="588"/>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c r="AR1450" s="338"/>
    </row>
    <row r="1451" spans="18:44">
      <c r="R1451" s="588"/>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338"/>
    </row>
    <row r="1452" spans="18:44">
      <c r="R1452" s="588"/>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338"/>
    </row>
    <row r="1453" spans="18:44">
      <c r="R1453" s="588"/>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c r="AR1453" s="338"/>
    </row>
    <row r="1454" spans="18:44">
      <c r="R1454" s="588"/>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c r="AR1454" s="338"/>
    </row>
    <row r="1455" spans="18:44">
      <c r="R1455" s="588"/>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c r="AR1455" s="338"/>
    </row>
    <row r="1456" spans="18:44">
      <c r="R1456" s="588"/>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c r="AR1456" s="338"/>
    </row>
    <row r="1457" spans="18:44">
      <c r="R1457" s="588"/>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c r="AR1457" s="338"/>
    </row>
    <row r="1458" spans="18:44">
      <c r="R1458" s="588"/>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c r="AR1458" s="338"/>
    </row>
    <row r="1459" spans="18:44">
      <c r="R1459" s="588"/>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c r="AR1459" s="338"/>
    </row>
    <row r="1460" spans="18:44">
      <c r="R1460" s="588"/>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c r="AR1460" s="338"/>
    </row>
    <row r="1461" spans="18:44">
      <c r="R1461" s="588"/>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c r="AR1461" s="338"/>
    </row>
    <row r="1462" spans="18:44">
      <c r="R1462" s="588"/>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c r="AR1462" s="338"/>
    </row>
    <row r="1463" spans="18:44">
      <c r="R1463" s="588"/>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c r="AR1463" s="338"/>
    </row>
    <row r="1464" spans="18:44">
      <c r="R1464" s="588"/>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c r="AR1464" s="338"/>
    </row>
    <row r="1465" spans="18:44">
      <c r="R1465" s="588"/>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c r="AR1465" s="338"/>
    </row>
    <row r="1466" spans="18:44">
      <c r="R1466" s="588"/>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c r="AR1466" s="338"/>
    </row>
    <row r="1467" spans="18:44">
      <c r="R1467" s="588"/>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c r="AR1467" s="338"/>
    </row>
    <row r="1468" spans="18:44">
      <c r="R1468" s="588"/>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c r="AR1468" s="338"/>
    </row>
    <row r="1469" spans="18:44">
      <c r="R1469" s="588"/>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c r="AR1469" s="338"/>
    </row>
    <row r="1470" spans="18:44">
      <c r="R1470" s="588"/>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c r="AR1470" s="338"/>
    </row>
    <row r="1471" spans="18:44">
      <c r="R1471" s="588"/>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c r="AR1471" s="338"/>
    </row>
    <row r="1472" spans="18:44">
      <c r="R1472" s="588"/>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c r="AR1472" s="338"/>
    </row>
    <row r="1473" spans="18:44">
      <c r="R1473" s="588"/>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c r="AR1473" s="338"/>
    </row>
    <row r="1474" spans="18:44">
      <c r="R1474" s="588"/>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c r="AR1474" s="338"/>
    </row>
    <row r="1475" spans="18:44">
      <c r="R1475" s="588"/>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c r="AR1475" s="338"/>
    </row>
    <row r="1476" spans="18:44">
      <c r="R1476" s="588"/>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c r="AR1476" s="338"/>
    </row>
    <row r="1477" spans="18:44">
      <c r="R1477" s="588"/>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c r="AR1477" s="338"/>
    </row>
    <row r="1478" spans="18:44">
      <c r="R1478" s="588"/>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c r="AR1478" s="338"/>
    </row>
    <row r="1479" spans="18:44">
      <c r="R1479" s="588"/>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c r="AR1479" s="338"/>
    </row>
    <row r="1480" spans="18:44">
      <c r="R1480" s="588"/>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c r="AR1480" s="338"/>
    </row>
    <row r="1481" spans="18:44">
      <c r="R1481" s="588"/>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c r="AR1481" s="338"/>
    </row>
    <row r="1482" spans="18:44">
      <c r="R1482" s="588"/>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c r="AR1482" s="338"/>
    </row>
    <row r="1483" spans="18:44">
      <c r="R1483" s="588"/>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c r="AR1483" s="338"/>
    </row>
    <row r="1484" spans="18:44">
      <c r="R1484" s="588"/>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c r="AR1484" s="338"/>
    </row>
    <row r="1485" spans="18:44">
      <c r="R1485" s="588"/>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338"/>
    </row>
    <row r="1486" spans="18:44">
      <c r="R1486" s="588"/>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338"/>
    </row>
    <row r="1487" spans="18:44">
      <c r="R1487" s="588"/>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c r="AR1487" s="338"/>
    </row>
    <row r="1488" spans="18:44">
      <c r="R1488" s="588"/>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c r="AR1488" s="338"/>
    </row>
    <row r="1489" spans="18:44">
      <c r="R1489" s="588"/>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c r="AR1489" s="338"/>
    </row>
    <row r="1490" spans="18:44">
      <c r="R1490" s="588"/>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338"/>
    </row>
    <row r="1491" spans="18:44">
      <c r="R1491" s="588"/>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338"/>
    </row>
    <row r="1492" spans="18:44">
      <c r="R1492" s="588"/>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c r="AR1492" s="338"/>
    </row>
    <row r="1493" spans="18:44">
      <c r="R1493" s="588"/>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c r="AR1493" s="338"/>
    </row>
    <row r="1494" spans="18:44">
      <c r="R1494" s="588"/>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338"/>
    </row>
    <row r="1495" spans="18:44">
      <c r="R1495" s="588"/>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c r="AR1495" s="338"/>
    </row>
    <row r="1496" spans="18:44">
      <c r="R1496" s="588"/>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c r="AR1496" s="338"/>
    </row>
    <row r="1497" spans="18:44">
      <c r="R1497" s="588"/>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c r="AR1497" s="338"/>
    </row>
    <row r="1498" spans="18:44">
      <c r="R1498" s="588"/>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c r="AR1498" s="338"/>
    </row>
    <row r="1499" spans="18:44">
      <c r="R1499" s="588"/>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c r="AR1499" s="338"/>
    </row>
    <row r="1500" spans="18:44">
      <c r="R1500" s="588"/>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c r="AR1500" s="338"/>
    </row>
    <row r="1501" spans="18:44">
      <c r="R1501" s="588"/>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c r="AR1501" s="338"/>
    </row>
    <row r="1502" spans="18:44">
      <c r="R1502" s="588"/>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c r="AR1502" s="338"/>
    </row>
    <row r="1503" spans="18:44">
      <c r="R1503" s="588"/>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c r="AR1503" s="338"/>
    </row>
    <row r="1504" spans="18:44">
      <c r="R1504" s="588"/>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c r="AR1504" s="338"/>
    </row>
    <row r="1505" spans="18:44">
      <c r="R1505" s="588"/>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c r="AR1505" s="338"/>
    </row>
    <row r="1506" spans="18:44">
      <c r="R1506" s="588"/>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c r="AR1506" s="338"/>
    </row>
    <row r="1507" spans="18:44">
      <c r="R1507" s="588"/>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c r="AR1507" s="338"/>
    </row>
    <row r="1508" spans="18:44">
      <c r="R1508" s="588"/>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c r="AR1508" s="338"/>
    </row>
    <row r="1509" spans="18:44">
      <c r="R1509" s="588"/>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c r="AR1509" s="338"/>
    </row>
    <row r="1510" spans="18:44">
      <c r="R1510" s="588"/>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c r="AR1510" s="338"/>
    </row>
    <row r="1511" spans="18:44">
      <c r="R1511" s="588"/>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c r="AR1511" s="338"/>
    </row>
    <row r="1512" spans="18:44">
      <c r="R1512" s="588"/>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c r="AR1512" s="338"/>
    </row>
    <row r="1513" spans="18:44">
      <c r="R1513" s="588"/>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338"/>
    </row>
    <row r="1514" spans="18:44">
      <c r="R1514" s="588"/>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338"/>
    </row>
    <row r="1515" spans="18:44">
      <c r="R1515" s="588"/>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c r="AR1515" s="338"/>
    </row>
    <row r="1516" spans="18:44">
      <c r="R1516" s="588"/>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c r="AR1516" s="338"/>
    </row>
    <row r="1517" spans="18:44">
      <c r="R1517" s="588"/>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c r="AR1517" s="338"/>
    </row>
    <row r="1518" spans="18:44">
      <c r="R1518" s="588"/>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338"/>
    </row>
    <row r="1519" spans="18:44">
      <c r="R1519" s="588"/>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338"/>
    </row>
    <row r="1520" spans="18:44">
      <c r="R1520" s="588"/>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c r="AR1520" s="338"/>
    </row>
    <row r="1521" spans="18:44">
      <c r="R1521" s="588"/>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c r="AR1521" s="338"/>
    </row>
    <row r="1522" spans="18:44">
      <c r="R1522" s="588"/>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338"/>
    </row>
    <row r="1523" spans="18:44">
      <c r="R1523" s="588"/>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c r="AR1523" s="338"/>
    </row>
    <row r="1524" spans="18:44">
      <c r="R1524" s="588"/>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c r="AR1524" s="338"/>
    </row>
    <row r="1525" spans="18:44">
      <c r="R1525" s="588"/>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c r="AR1525" s="338"/>
    </row>
    <row r="1526" spans="18:44">
      <c r="R1526" s="588"/>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c r="AR1526" s="338"/>
    </row>
    <row r="1527" spans="18:44">
      <c r="R1527" s="588"/>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c r="AR1527" s="338"/>
    </row>
    <row r="1528" spans="18:44">
      <c r="R1528" s="588"/>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c r="AR1528" s="338"/>
    </row>
    <row r="1529" spans="18:44">
      <c r="R1529" s="588"/>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338"/>
    </row>
    <row r="1530" spans="18:44">
      <c r="R1530" s="588"/>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338"/>
    </row>
    <row r="1531" spans="18:44">
      <c r="R1531" s="588"/>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c r="AR1531" s="338"/>
    </row>
    <row r="1532" spans="18:44">
      <c r="R1532" s="588"/>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c r="AR1532" s="338"/>
    </row>
    <row r="1533" spans="18:44">
      <c r="R1533" s="588"/>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c r="AR1533" s="338"/>
    </row>
    <row r="1534" spans="18:44">
      <c r="R1534" s="588"/>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338"/>
    </row>
    <row r="1535" spans="18:44">
      <c r="R1535" s="588"/>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338"/>
    </row>
    <row r="1536" spans="18:44">
      <c r="R1536" s="588"/>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c r="AR1536" s="338"/>
    </row>
    <row r="1537" spans="18:44">
      <c r="R1537" s="588"/>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c r="AR1537" s="338"/>
    </row>
    <row r="1538" spans="18:44">
      <c r="R1538" s="588"/>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c r="AR1538" s="338"/>
    </row>
    <row r="1539" spans="18:44">
      <c r="R1539" s="588"/>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c r="AR1539" s="338"/>
    </row>
    <row r="1540" spans="18:44">
      <c r="R1540" s="588"/>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c r="AR1540" s="338"/>
    </row>
    <row r="1541" spans="18:44">
      <c r="R1541" s="588"/>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c r="AR1541" s="338"/>
    </row>
    <row r="1542" spans="18:44">
      <c r="R1542" s="588"/>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c r="AR1542" s="338"/>
    </row>
    <row r="1543" spans="18:44">
      <c r="R1543" s="588"/>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c r="AR1543" s="338"/>
    </row>
    <row r="1544" spans="18:44">
      <c r="R1544" s="588"/>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c r="AR1544" s="338"/>
    </row>
    <row r="1545" spans="18:44">
      <c r="R1545" s="588"/>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c r="AR1545" s="338"/>
    </row>
    <row r="1546" spans="18:44">
      <c r="R1546" s="588"/>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c r="AR1546" s="338"/>
    </row>
    <row r="1547" spans="18:44">
      <c r="R1547" s="588"/>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c r="AR1547" s="338"/>
    </row>
    <row r="1548" spans="18:44">
      <c r="R1548" s="588"/>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c r="AR1548" s="338"/>
    </row>
    <row r="1549" spans="18:44">
      <c r="R1549" s="588"/>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c r="AR1549" s="338"/>
    </row>
    <row r="1550" spans="18:44">
      <c r="R1550" s="588"/>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c r="AR1550" s="338"/>
    </row>
    <row r="1551" spans="18:44">
      <c r="R1551" s="588"/>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c r="AR1551" s="338"/>
    </row>
    <row r="1552" spans="18:44">
      <c r="R1552" s="588"/>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c r="AR1552" s="338"/>
    </row>
    <row r="1553" spans="18:44">
      <c r="R1553" s="588"/>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c r="AR1553" s="338"/>
    </row>
    <row r="1554" spans="18:44">
      <c r="R1554" s="588"/>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c r="AR1554" s="338"/>
    </row>
    <row r="1555" spans="18:44">
      <c r="R1555" s="588"/>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c r="AR1555" s="338"/>
    </row>
    <row r="1556" spans="18:44">
      <c r="R1556" s="588"/>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c r="AR1556" s="338"/>
    </row>
    <row r="1557" spans="18:44">
      <c r="R1557" s="588"/>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338"/>
    </row>
    <row r="1558" spans="18:44">
      <c r="R1558" s="588"/>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338"/>
    </row>
    <row r="1559" spans="18:44">
      <c r="R1559" s="588"/>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c r="AR1559" s="338"/>
    </row>
    <row r="1560" spans="18:44">
      <c r="R1560" s="588"/>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c r="AR1560" s="338"/>
    </row>
    <row r="1561" spans="18:44">
      <c r="R1561" s="588"/>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c r="AR1561" s="338"/>
    </row>
    <row r="1562" spans="18:44">
      <c r="R1562" s="588"/>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338"/>
    </row>
    <row r="1563" spans="18:44">
      <c r="R1563" s="588"/>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338"/>
    </row>
    <row r="1564" spans="18:44">
      <c r="R1564" s="588"/>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c r="AR1564" s="338"/>
    </row>
    <row r="1565" spans="18:44">
      <c r="R1565" s="588"/>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c r="AR1565" s="338"/>
    </row>
    <row r="1566" spans="18:44">
      <c r="R1566" s="588"/>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c r="AR1566" s="338"/>
    </row>
    <row r="1567" spans="18:44">
      <c r="R1567" s="588"/>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c r="AR1567" s="338"/>
    </row>
    <row r="1568" spans="18:44">
      <c r="R1568" s="588"/>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c r="AR1568" s="338"/>
    </row>
    <row r="1569" spans="18:44">
      <c r="R1569" s="588"/>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c r="AR1569" s="338"/>
    </row>
    <row r="1570" spans="18:44">
      <c r="R1570" s="588"/>
    </row>
    <row r="1571" spans="18:44">
      <c r="R1571" s="588"/>
    </row>
    <row r="1572" spans="18:44">
      <c r="R1572" s="588"/>
    </row>
    <row r="1573" spans="18:44">
      <c r="R1573" s="588"/>
    </row>
    <row r="1574" spans="18:44">
      <c r="R1574" s="588"/>
    </row>
    <row r="1575" spans="18:44">
      <c r="R1575" s="588"/>
    </row>
    <row r="1576" spans="18:44">
      <c r="R1576" s="588"/>
    </row>
    <row r="1577" spans="18:44">
      <c r="R1577" s="588"/>
    </row>
    <row r="1578" spans="18:44">
      <c r="R1578" s="588"/>
    </row>
    <row r="1579" spans="18:44">
      <c r="R1579" s="588"/>
    </row>
    <row r="1580" spans="18:44">
      <c r="R1580" s="588"/>
    </row>
    <row r="1581" spans="18:44">
      <c r="R1581" s="588"/>
    </row>
    <row r="1582" spans="18:44">
      <c r="R1582" s="588"/>
    </row>
    <row r="1583" spans="18:44">
      <c r="R1583" s="588"/>
    </row>
    <row r="1584" spans="18:44">
      <c r="R1584" s="588"/>
    </row>
    <row r="1585" spans="18:18">
      <c r="R1585" s="588"/>
    </row>
    <row r="1586" spans="18:18">
      <c r="R1586" s="588"/>
    </row>
    <row r="1587" spans="18:18">
      <c r="R1587" s="588"/>
    </row>
    <row r="1588" spans="18:18">
      <c r="R1588" s="588"/>
    </row>
    <row r="1589" spans="18:18">
      <c r="R1589" s="588"/>
    </row>
    <row r="1590" spans="18:18">
      <c r="R1590" s="588"/>
    </row>
    <row r="1591" spans="18:18">
      <c r="R1591" s="588"/>
    </row>
    <row r="1592" spans="18:18">
      <c r="R1592" s="588"/>
    </row>
    <row r="1593" spans="18:18">
      <c r="R1593" s="588"/>
    </row>
    <row r="1594" spans="18:18">
      <c r="R1594" s="588"/>
    </row>
    <row r="1595" spans="18:18">
      <c r="R1595" s="588"/>
    </row>
    <row r="1596" spans="18:18">
      <c r="R1596" s="588"/>
    </row>
    <row r="1597" spans="18:18">
      <c r="R1597" s="588"/>
    </row>
    <row r="1598" spans="18:18">
      <c r="R1598" s="588"/>
    </row>
    <row r="1599" spans="18:18">
      <c r="R1599" s="588"/>
    </row>
    <row r="1600" spans="18:18">
      <c r="R1600" s="588"/>
    </row>
    <row r="1601" spans="18:18">
      <c r="R1601" s="588"/>
    </row>
    <row r="1602" spans="18:18">
      <c r="R1602" s="588"/>
    </row>
    <row r="1603" spans="18:18">
      <c r="R1603" s="588"/>
    </row>
    <row r="1604" spans="18:18">
      <c r="R1604" s="588"/>
    </row>
    <row r="1605" spans="18:18">
      <c r="R1605" s="588"/>
    </row>
    <row r="1606" spans="18:18">
      <c r="R1606" s="588"/>
    </row>
    <row r="1607" spans="18:18">
      <c r="R1607" s="588"/>
    </row>
    <row r="1608" spans="18:18">
      <c r="R1608" s="588"/>
    </row>
    <row r="1609" spans="18:18">
      <c r="R1609" s="588"/>
    </row>
    <row r="1610" spans="18:18">
      <c r="R1610" s="588"/>
    </row>
    <row r="1611" spans="18:18">
      <c r="R1611" s="588"/>
    </row>
    <row r="1612" spans="18:18">
      <c r="R1612" s="588"/>
    </row>
    <row r="1613" spans="18:18">
      <c r="R1613" s="588"/>
    </row>
    <row r="1614" spans="18:18">
      <c r="R1614" s="588"/>
    </row>
    <row r="1615" spans="18:18">
      <c r="R1615" s="588"/>
    </row>
    <row r="1616" spans="18:18">
      <c r="R1616" s="588"/>
    </row>
    <row r="1617" spans="18:18">
      <c r="R1617" s="588"/>
    </row>
    <row r="1618" spans="18:18">
      <c r="R1618" s="588"/>
    </row>
    <row r="1619" spans="18:18">
      <c r="R1619" s="588"/>
    </row>
    <row r="1620" spans="18:18">
      <c r="R1620" s="588"/>
    </row>
    <row r="1621" spans="18:18">
      <c r="R1621" s="588"/>
    </row>
    <row r="1622" spans="18:18">
      <c r="R1622" s="588"/>
    </row>
    <row r="1623" spans="18:18">
      <c r="R1623" s="588"/>
    </row>
    <row r="1624" spans="18:18">
      <c r="R1624" s="588"/>
    </row>
    <row r="1625" spans="18:18">
      <c r="R1625" s="588"/>
    </row>
    <row r="1626" spans="18:18">
      <c r="R1626" s="588"/>
    </row>
    <row r="1627" spans="18:18">
      <c r="R1627" s="588"/>
    </row>
    <row r="1628" spans="18:18">
      <c r="R1628" s="588"/>
    </row>
    <row r="1629" spans="18:18">
      <c r="R1629" s="588"/>
    </row>
    <row r="1630" spans="18:18">
      <c r="R1630" s="588"/>
    </row>
    <row r="1631" spans="18:18">
      <c r="R1631" s="588"/>
    </row>
    <row r="1632" spans="18:18">
      <c r="R1632" s="588"/>
    </row>
    <row r="1633" spans="18:18">
      <c r="R1633" s="588"/>
    </row>
    <row r="1634" spans="18:18">
      <c r="R1634" s="588"/>
    </row>
    <row r="1635" spans="18:18">
      <c r="R1635" s="588"/>
    </row>
    <row r="1636" spans="18:18">
      <c r="R1636" s="588"/>
    </row>
    <row r="1637" spans="18:18">
      <c r="R1637" s="588"/>
    </row>
    <row r="1638" spans="18:18">
      <c r="R1638" s="588"/>
    </row>
    <row r="1639" spans="18:18">
      <c r="R1639" s="588"/>
    </row>
    <row r="1640" spans="18:18">
      <c r="R1640" s="588"/>
    </row>
    <row r="1641" spans="18:18">
      <c r="R1641" s="588"/>
    </row>
    <row r="1642" spans="18:18">
      <c r="R1642" s="588"/>
    </row>
    <row r="1643" spans="18:18">
      <c r="R1643" s="588"/>
    </row>
    <row r="1644" spans="18:18">
      <c r="R1644" s="588"/>
    </row>
    <row r="1645" spans="18:18">
      <c r="R1645" s="588"/>
    </row>
    <row r="1646" spans="18:18">
      <c r="R1646" s="588"/>
    </row>
    <row r="1647" spans="18:18">
      <c r="R1647" s="588"/>
    </row>
    <row r="1648" spans="18:18">
      <c r="R1648" s="588"/>
    </row>
    <row r="1649" spans="18:18">
      <c r="R1649" s="588"/>
    </row>
    <row r="1650" spans="18:18">
      <c r="R1650" s="588"/>
    </row>
    <row r="1651" spans="18:18">
      <c r="R1651" s="588"/>
    </row>
    <row r="1652" spans="18:18">
      <c r="R1652" s="588"/>
    </row>
    <row r="1653" spans="18:18">
      <c r="R1653" s="588"/>
    </row>
    <row r="1654" spans="18:18">
      <c r="R1654" s="588"/>
    </row>
    <row r="1655" spans="18:18">
      <c r="R1655" s="588"/>
    </row>
    <row r="1656" spans="18:18">
      <c r="R1656" s="588"/>
    </row>
    <row r="1657" spans="18:18">
      <c r="R1657" s="588"/>
    </row>
    <row r="1658" spans="18:18">
      <c r="R1658" s="588"/>
    </row>
    <row r="1659" spans="18:18">
      <c r="R1659" s="588"/>
    </row>
    <row r="1660" spans="18:18">
      <c r="R1660" s="588"/>
    </row>
    <row r="1661" spans="18:18">
      <c r="R1661" s="588"/>
    </row>
    <row r="1662" spans="18:18">
      <c r="R1662" s="588"/>
    </row>
    <row r="1663" spans="18:18">
      <c r="R1663" s="588"/>
    </row>
    <row r="1664" spans="18:18">
      <c r="R1664" s="588"/>
    </row>
    <row r="1665" spans="18:18">
      <c r="R1665" s="588"/>
    </row>
    <row r="1666" spans="18:18">
      <c r="R1666" s="588"/>
    </row>
    <row r="1667" spans="18:18">
      <c r="R1667" s="588"/>
    </row>
    <row r="1668" spans="18:18">
      <c r="R1668" s="588"/>
    </row>
    <row r="1669" spans="18:18">
      <c r="R1669" s="588"/>
    </row>
    <row r="1670" spans="18:18">
      <c r="R1670" s="588"/>
    </row>
    <row r="1671" spans="18:18">
      <c r="R1671" s="588"/>
    </row>
    <row r="1672" spans="18:18">
      <c r="R1672" s="588"/>
    </row>
    <row r="1673" spans="18:18">
      <c r="R1673" s="588"/>
    </row>
    <row r="1674" spans="18:18">
      <c r="R1674" s="588"/>
    </row>
    <row r="1675" spans="18:18">
      <c r="R1675" s="588"/>
    </row>
    <row r="1676" spans="18:18">
      <c r="R1676" s="588"/>
    </row>
    <row r="1677" spans="18:18">
      <c r="R1677" s="588"/>
    </row>
    <row r="1678" spans="18:18">
      <c r="R1678" s="588"/>
    </row>
    <row r="1679" spans="18:18">
      <c r="R1679" s="588"/>
    </row>
    <row r="1680" spans="18:18">
      <c r="R1680" s="588"/>
    </row>
    <row r="1681" spans="18:18">
      <c r="R1681" s="588"/>
    </row>
    <row r="1682" spans="18:18">
      <c r="R1682" s="588"/>
    </row>
    <row r="1683" spans="18:18">
      <c r="R1683" s="588"/>
    </row>
    <row r="1684" spans="18:18">
      <c r="R1684" s="588"/>
    </row>
    <row r="1685" spans="18:18">
      <c r="R1685" s="588"/>
    </row>
    <row r="1686" spans="18:18">
      <c r="R1686" s="588"/>
    </row>
    <row r="1687" spans="18:18">
      <c r="R1687" s="588"/>
    </row>
    <row r="1688" spans="18:18">
      <c r="R1688" s="588"/>
    </row>
    <row r="1689" spans="18:18">
      <c r="R1689" s="588"/>
    </row>
    <row r="1690" spans="18:18">
      <c r="R1690" s="588"/>
    </row>
    <row r="1691" spans="18:18">
      <c r="R1691" s="588"/>
    </row>
    <row r="1692" spans="18:18">
      <c r="R1692" s="588"/>
    </row>
    <row r="1693" spans="18:18">
      <c r="R1693" s="588"/>
    </row>
    <row r="1694" spans="18:18">
      <c r="R1694" s="588"/>
    </row>
    <row r="1695" spans="18:18">
      <c r="R1695" s="588"/>
    </row>
    <row r="1696" spans="18:18">
      <c r="R1696" s="588"/>
    </row>
    <row r="1697" spans="18:18">
      <c r="R1697" s="588"/>
    </row>
    <row r="1698" spans="18:18">
      <c r="R1698" s="588"/>
    </row>
    <row r="1699" spans="18:18">
      <c r="R1699" s="588"/>
    </row>
    <row r="1700" spans="18:18">
      <c r="R1700" s="588"/>
    </row>
    <row r="1701" spans="18:18">
      <c r="R1701" s="588"/>
    </row>
    <row r="1702" spans="18:18">
      <c r="R1702" s="588"/>
    </row>
    <row r="1703" spans="18:18">
      <c r="R1703" s="588"/>
    </row>
    <row r="1704" spans="18:18">
      <c r="R1704" s="588"/>
    </row>
    <row r="1705" spans="18:18">
      <c r="R1705" s="588"/>
    </row>
    <row r="1706" spans="18:18">
      <c r="R1706" s="588"/>
    </row>
    <row r="1707" spans="18:18">
      <c r="R1707" s="588"/>
    </row>
    <row r="1708" spans="18:18">
      <c r="R1708" s="588"/>
    </row>
    <row r="1709" spans="18:18">
      <c r="R1709" s="588"/>
    </row>
    <row r="1710" spans="18:18">
      <c r="R1710" s="588"/>
    </row>
    <row r="1711" spans="18:18">
      <c r="R1711" s="588"/>
    </row>
    <row r="1712" spans="18:18">
      <c r="R1712" s="588"/>
    </row>
    <row r="1713" spans="18:18">
      <c r="R1713" s="588"/>
    </row>
    <row r="1714" spans="18:18">
      <c r="R1714" s="588"/>
    </row>
    <row r="1715" spans="18:18">
      <c r="R1715" s="588"/>
    </row>
    <row r="1716" spans="18:18">
      <c r="R1716" s="588"/>
    </row>
    <row r="1717" spans="18:18">
      <c r="R1717" s="588"/>
    </row>
    <row r="1718" spans="18:18">
      <c r="R1718" s="588"/>
    </row>
    <row r="1719" spans="18:18">
      <c r="R1719" s="588"/>
    </row>
    <row r="1720" spans="18:18">
      <c r="R1720" s="588"/>
    </row>
    <row r="1721" spans="18:18">
      <c r="R1721" s="588"/>
    </row>
    <row r="1722" spans="18:18">
      <c r="R1722" s="588"/>
    </row>
    <row r="1723" spans="18:18">
      <c r="R1723" s="588"/>
    </row>
    <row r="1724" spans="18:18">
      <c r="R1724" s="588"/>
    </row>
    <row r="1725" spans="18:18">
      <c r="R1725" s="588"/>
    </row>
    <row r="1726" spans="18:18">
      <c r="R1726" s="588"/>
    </row>
    <row r="1727" spans="18:18">
      <c r="R1727" s="588"/>
    </row>
    <row r="1728" spans="18:18">
      <c r="R1728" s="588"/>
    </row>
    <row r="1729" spans="18:18">
      <c r="R1729" s="588"/>
    </row>
    <row r="1730" spans="18:18">
      <c r="R1730" s="588"/>
    </row>
    <row r="1731" spans="18:18">
      <c r="R1731" s="588"/>
    </row>
    <row r="1732" spans="18:18">
      <c r="R1732" s="588"/>
    </row>
    <row r="1733" spans="18:18">
      <c r="R1733" s="588"/>
    </row>
    <row r="1734" spans="18:18">
      <c r="R1734" s="588"/>
    </row>
    <row r="1735" spans="18:18">
      <c r="R1735" s="588"/>
    </row>
    <row r="1736" spans="18:18">
      <c r="R1736" s="588"/>
    </row>
    <row r="1737" spans="18:18">
      <c r="R1737" s="588"/>
    </row>
    <row r="1738" spans="18:18">
      <c r="R1738" s="588"/>
    </row>
    <row r="1739" spans="18:18">
      <c r="R1739" s="588"/>
    </row>
    <row r="1740" spans="18:18">
      <c r="R1740" s="588"/>
    </row>
    <row r="1741" spans="18:18">
      <c r="R1741" s="588"/>
    </row>
    <row r="1742" spans="18:18">
      <c r="R1742" s="588"/>
    </row>
    <row r="1743" spans="18:18">
      <c r="R1743" s="588"/>
    </row>
    <row r="1744" spans="18:18">
      <c r="R1744" s="588"/>
    </row>
    <row r="1745" spans="18:18">
      <c r="R1745" s="588"/>
    </row>
    <row r="1746" spans="18:18">
      <c r="R1746" s="588"/>
    </row>
    <row r="1747" spans="18:18">
      <c r="R1747" s="588"/>
    </row>
    <row r="1748" spans="18:18">
      <c r="R1748" s="588"/>
    </row>
    <row r="1749" spans="18:18">
      <c r="R1749" s="588"/>
    </row>
    <row r="1750" spans="18:18">
      <c r="R1750" s="588"/>
    </row>
    <row r="1751" spans="18:18">
      <c r="R1751" s="588"/>
    </row>
    <row r="1752" spans="18:18">
      <c r="R1752" s="588"/>
    </row>
    <row r="1753" spans="18:18">
      <c r="R1753" s="588"/>
    </row>
    <row r="1754" spans="18:18">
      <c r="R1754" s="588"/>
    </row>
    <row r="1755" spans="18:18">
      <c r="R1755" s="588"/>
    </row>
    <row r="1756" spans="18:18">
      <c r="R1756" s="588"/>
    </row>
    <row r="1757" spans="18:18">
      <c r="R1757" s="588"/>
    </row>
    <row r="1758" spans="18:18">
      <c r="R1758" s="588"/>
    </row>
    <row r="1759" spans="18:18">
      <c r="R1759" s="588"/>
    </row>
    <row r="1760" spans="18:18">
      <c r="R1760" s="588"/>
    </row>
    <row r="1761" spans="18:18">
      <c r="R1761" s="588"/>
    </row>
    <row r="1762" spans="18:18">
      <c r="R1762" s="588"/>
    </row>
    <row r="1763" spans="18:18">
      <c r="R1763" s="588"/>
    </row>
    <row r="1764" spans="18:18">
      <c r="R1764" s="588"/>
    </row>
    <row r="1765" spans="18:18">
      <c r="R1765" s="588"/>
    </row>
    <row r="1766" spans="18:18">
      <c r="R1766" s="588"/>
    </row>
    <row r="1767" spans="18:18">
      <c r="R1767" s="588"/>
    </row>
    <row r="1768" spans="18:18">
      <c r="R1768" s="588"/>
    </row>
    <row r="1769" spans="18:18">
      <c r="R1769" s="588"/>
    </row>
    <row r="1770" spans="18:18">
      <c r="R1770" s="588"/>
    </row>
    <row r="1771" spans="18:18">
      <c r="R1771" s="588"/>
    </row>
    <row r="1772" spans="18:18">
      <c r="R1772" s="588"/>
    </row>
    <row r="1773" spans="18:18">
      <c r="R1773" s="588"/>
    </row>
    <row r="1774" spans="18:18">
      <c r="R1774" s="588"/>
    </row>
    <row r="1775" spans="18:18">
      <c r="R1775" s="588"/>
    </row>
    <row r="1776" spans="18:18">
      <c r="R1776" s="588"/>
    </row>
    <row r="1777" spans="18:18">
      <c r="R1777" s="588"/>
    </row>
    <row r="1778" spans="18:18">
      <c r="R1778" s="588"/>
    </row>
    <row r="1779" spans="18:18">
      <c r="R1779" s="588"/>
    </row>
    <row r="1780" spans="18:18">
      <c r="R1780" s="588"/>
    </row>
    <row r="1781" spans="18:18">
      <c r="R1781" s="588"/>
    </row>
    <row r="1782" spans="18:18">
      <c r="R1782" s="588"/>
    </row>
    <row r="1783" spans="18:18">
      <c r="R1783" s="588"/>
    </row>
    <row r="1784" spans="18:18">
      <c r="R1784" s="588"/>
    </row>
    <row r="1785" spans="18:18">
      <c r="R1785" s="588"/>
    </row>
    <row r="1786" spans="18:18">
      <c r="R1786" s="588"/>
    </row>
    <row r="1787" spans="18:18">
      <c r="R1787" s="588"/>
    </row>
    <row r="1788" spans="18:18">
      <c r="R1788" s="588"/>
    </row>
    <row r="1789" spans="18:18">
      <c r="R1789" s="588"/>
    </row>
    <row r="1790" spans="18:18">
      <c r="R1790" s="588"/>
    </row>
    <row r="1791" spans="18:18">
      <c r="R1791" s="588"/>
    </row>
    <row r="1792" spans="18:18">
      <c r="R1792" s="588"/>
    </row>
    <row r="1793" spans="18:18">
      <c r="R1793" s="588"/>
    </row>
    <row r="1794" spans="18:18">
      <c r="R1794" s="588"/>
    </row>
    <row r="1795" spans="18:18">
      <c r="R1795" s="588"/>
    </row>
    <row r="1796" spans="18:18">
      <c r="R1796" s="588"/>
    </row>
    <row r="1797" spans="18:18">
      <c r="R1797" s="588"/>
    </row>
    <row r="1798" spans="18:18">
      <c r="R1798" s="588"/>
    </row>
    <row r="1799" spans="18:18">
      <c r="R1799" s="588"/>
    </row>
    <row r="1800" spans="18:18">
      <c r="R1800" s="588"/>
    </row>
    <row r="1801" spans="18:18">
      <c r="R1801" s="588"/>
    </row>
    <row r="1802" spans="18:18">
      <c r="R1802" s="588"/>
    </row>
    <row r="1803" spans="18:18">
      <c r="R1803" s="588"/>
    </row>
    <row r="1804" spans="18:18">
      <c r="R1804" s="588"/>
    </row>
    <row r="1805" spans="18:18">
      <c r="R1805" s="588"/>
    </row>
    <row r="1806" spans="18:18">
      <c r="R1806" s="588"/>
    </row>
    <row r="1807" spans="18:18">
      <c r="R1807" s="588"/>
    </row>
    <row r="1808" spans="18:18">
      <c r="R1808" s="588"/>
    </row>
    <row r="1809" spans="18:18">
      <c r="R1809" s="588"/>
    </row>
    <row r="1810" spans="18:18">
      <c r="R1810" s="588"/>
    </row>
    <row r="1811" spans="18:18">
      <c r="R1811" s="588"/>
    </row>
    <row r="1812" spans="18:18">
      <c r="R1812" s="588"/>
    </row>
    <row r="1813" spans="18:18">
      <c r="R1813" s="588"/>
    </row>
    <row r="1814" spans="18:18">
      <c r="R1814" s="588"/>
    </row>
    <row r="1815" spans="18:18">
      <c r="R1815" s="588"/>
    </row>
    <row r="1816" spans="18:18">
      <c r="R1816" s="588"/>
    </row>
    <row r="1817" spans="18:18">
      <c r="R1817" s="588"/>
    </row>
    <row r="1818" spans="18:18">
      <c r="R1818" s="588"/>
    </row>
    <row r="1819" spans="18:18">
      <c r="R1819" s="588"/>
    </row>
    <row r="1820" spans="18:18">
      <c r="R1820" s="588"/>
    </row>
    <row r="1821" spans="18:18">
      <c r="R1821" s="588"/>
    </row>
    <row r="1822" spans="18:18">
      <c r="R1822" s="588"/>
    </row>
    <row r="1823" spans="18:18">
      <c r="R1823" s="588"/>
    </row>
    <row r="1824" spans="18:18">
      <c r="R1824" s="588"/>
    </row>
    <row r="1825" spans="18:18">
      <c r="R1825" s="588"/>
    </row>
    <row r="1826" spans="18:18">
      <c r="R1826" s="588"/>
    </row>
    <row r="1827" spans="18:18">
      <c r="R1827" s="588"/>
    </row>
    <row r="1828" spans="18:18">
      <c r="R1828" s="588"/>
    </row>
    <row r="1829" spans="18:18">
      <c r="R1829" s="588"/>
    </row>
    <row r="1830" spans="18:18">
      <c r="R1830" s="588"/>
    </row>
    <row r="1831" spans="18:18">
      <c r="R1831" s="588"/>
    </row>
    <row r="1832" spans="18:18">
      <c r="R1832" s="588"/>
    </row>
    <row r="1833" spans="18:18">
      <c r="R1833" s="588"/>
    </row>
    <row r="1834" spans="18:18">
      <c r="R1834" s="588"/>
    </row>
    <row r="1835" spans="18:18">
      <c r="R1835" s="588"/>
    </row>
    <row r="1836" spans="18:18">
      <c r="R1836" s="588"/>
    </row>
    <row r="1837" spans="18:18">
      <c r="R1837" s="588"/>
    </row>
    <row r="1838" spans="18:18">
      <c r="R1838" s="588"/>
    </row>
    <row r="1839" spans="18:18">
      <c r="R1839" s="588"/>
    </row>
    <row r="1840" spans="18:18">
      <c r="R1840" s="588"/>
    </row>
    <row r="1841" spans="18:18">
      <c r="R1841" s="588"/>
    </row>
    <row r="1842" spans="18:18">
      <c r="R1842" s="588"/>
    </row>
    <row r="1843" spans="18:18">
      <c r="R1843" s="588"/>
    </row>
    <row r="1844" spans="18:18">
      <c r="R1844" s="588"/>
    </row>
    <row r="1845" spans="18:18">
      <c r="R1845" s="588"/>
    </row>
    <row r="1846" spans="18:18">
      <c r="R1846" s="588"/>
    </row>
    <row r="1847" spans="18:18">
      <c r="R1847" s="588"/>
    </row>
    <row r="1848" spans="18:18">
      <c r="R1848" s="588"/>
    </row>
    <row r="1849" spans="18:18">
      <c r="R1849" s="588"/>
    </row>
    <row r="1850" spans="18:18">
      <c r="R1850" s="588"/>
    </row>
    <row r="1851" spans="18:18">
      <c r="R1851" s="588"/>
    </row>
    <row r="1852" spans="18:18">
      <c r="R1852" s="588"/>
    </row>
    <row r="1853" spans="18:18">
      <c r="R1853" s="588"/>
    </row>
    <row r="1854" spans="18:18">
      <c r="R1854" s="588"/>
    </row>
    <row r="1855" spans="18:18">
      <c r="R1855" s="588"/>
    </row>
    <row r="1856" spans="18:18">
      <c r="R1856" s="588"/>
    </row>
    <row r="1857" spans="18:18">
      <c r="R1857" s="588"/>
    </row>
    <row r="1858" spans="18:18">
      <c r="R1858" s="588"/>
    </row>
    <row r="1859" spans="18:18">
      <c r="R1859" s="588"/>
    </row>
    <row r="1860" spans="18:18">
      <c r="R1860" s="588"/>
    </row>
    <row r="1861" spans="18:18">
      <c r="R1861" s="588"/>
    </row>
    <row r="1862" spans="18:18">
      <c r="R1862" s="588"/>
    </row>
    <row r="1863" spans="18:18">
      <c r="R1863" s="588"/>
    </row>
    <row r="1864" spans="18:18">
      <c r="R1864" s="588"/>
    </row>
    <row r="1865" spans="18:18">
      <c r="R1865" s="588"/>
    </row>
    <row r="1866" spans="18:18">
      <c r="R1866" s="588"/>
    </row>
    <row r="1867" spans="18:18">
      <c r="R1867" s="588"/>
    </row>
    <row r="1868" spans="18:18">
      <c r="R1868" s="588"/>
    </row>
    <row r="1869" spans="18:18">
      <c r="R1869" s="588"/>
    </row>
    <row r="1870" spans="18:18">
      <c r="R1870" s="588"/>
    </row>
    <row r="1871" spans="18:18">
      <c r="R1871" s="588"/>
    </row>
    <row r="1872" spans="18:18">
      <c r="R1872" s="588"/>
    </row>
    <row r="1873" spans="18:18">
      <c r="R1873" s="588"/>
    </row>
    <row r="1874" spans="18:18">
      <c r="R1874" s="588"/>
    </row>
    <row r="1875" spans="18:18">
      <c r="R1875" s="588"/>
    </row>
    <row r="1876" spans="18:18">
      <c r="R1876" s="588"/>
    </row>
    <row r="1877" spans="18:18">
      <c r="R1877" s="588"/>
    </row>
    <row r="1878" spans="18:18">
      <c r="R1878" s="588"/>
    </row>
    <row r="1879" spans="18:18">
      <c r="R1879" s="588"/>
    </row>
    <row r="1880" spans="18:18">
      <c r="R1880" s="588"/>
    </row>
    <row r="1881" spans="18:18">
      <c r="R1881" s="588"/>
    </row>
    <row r="1882" spans="18:18">
      <c r="R1882" s="588"/>
    </row>
    <row r="1883" spans="18:18">
      <c r="R1883" s="588"/>
    </row>
    <row r="1884" spans="18:18">
      <c r="R1884" s="588"/>
    </row>
    <row r="1885" spans="18:18">
      <c r="R1885" s="588"/>
    </row>
    <row r="1886" spans="18:18">
      <c r="R1886" s="588"/>
    </row>
    <row r="1887" spans="18:18">
      <c r="R1887" s="588"/>
    </row>
    <row r="1888" spans="18:18">
      <c r="R1888" s="588"/>
    </row>
    <row r="1889" spans="18:18">
      <c r="R1889" s="588"/>
    </row>
    <row r="1890" spans="18:18">
      <c r="R1890" s="588"/>
    </row>
    <row r="1891" spans="18:18">
      <c r="R1891" s="588"/>
    </row>
    <row r="1892" spans="18:18">
      <c r="R1892" s="588"/>
    </row>
    <row r="1893" spans="18:18">
      <c r="R1893" s="588"/>
    </row>
    <row r="1894" spans="18:18">
      <c r="R1894" s="588"/>
    </row>
    <row r="1895" spans="18:18">
      <c r="R1895" s="588"/>
    </row>
    <row r="1896" spans="18:18">
      <c r="R1896" s="588"/>
    </row>
    <row r="1897" spans="18:18">
      <c r="R1897" s="588"/>
    </row>
    <row r="1898" spans="18:18">
      <c r="R1898" s="588"/>
    </row>
    <row r="1899" spans="18:18">
      <c r="R1899" s="588"/>
    </row>
    <row r="1900" spans="18:18">
      <c r="R1900" s="588"/>
    </row>
    <row r="1901" spans="18:18">
      <c r="R1901" s="588"/>
    </row>
    <row r="1902" spans="18:18">
      <c r="R1902" s="588"/>
    </row>
    <row r="1903" spans="18:18">
      <c r="R1903" s="588"/>
    </row>
    <row r="1904" spans="18:18">
      <c r="R1904" s="588"/>
    </row>
    <row r="1905" spans="18:18">
      <c r="R1905" s="588"/>
    </row>
    <row r="1906" spans="18:18">
      <c r="R1906" s="588"/>
    </row>
    <row r="1907" spans="18:18">
      <c r="R1907" s="588"/>
    </row>
    <row r="1908" spans="18:18">
      <c r="R1908" s="588"/>
    </row>
    <row r="1909" spans="18:18">
      <c r="R1909" s="588"/>
    </row>
    <row r="1910" spans="18:18">
      <c r="R1910" s="588"/>
    </row>
    <row r="1911" spans="18:18">
      <c r="R1911" s="588"/>
    </row>
    <row r="1912" spans="18:18">
      <c r="R1912" s="588"/>
    </row>
    <row r="1913" spans="18:18">
      <c r="R1913" s="588"/>
    </row>
    <row r="1914" spans="18:18">
      <c r="R1914" s="588"/>
    </row>
    <row r="1915" spans="18:18">
      <c r="R1915" s="588"/>
    </row>
    <row r="1916" spans="18:18">
      <c r="R1916" s="588"/>
    </row>
    <row r="1917" spans="18:18">
      <c r="R1917" s="588"/>
    </row>
    <row r="1918" spans="18:18">
      <c r="R1918" s="588"/>
    </row>
    <row r="1919" spans="18:18">
      <c r="R1919" s="588"/>
    </row>
    <row r="1920" spans="18:18">
      <c r="R1920" s="588"/>
    </row>
    <row r="1921" spans="18:18">
      <c r="R1921" s="588"/>
    </row>
    <row r="1922" spans="18:18">
      <c r="R1922" s="588"/>
    </row>
    <row r="1923" spans="18:18">
      <c r="R1923" s="588"/>
    </row>
    <row r="1924" spans="18:18">
      <c r="R1924" s="588"/>
    </row>
    <row r="1925" spans="18:18">
      <c r="R1925" s="588"/>
    </row>
    <row r="1926" spans="18:18">
      <c r="R1926" s="588"/>
    </row>
    <row r="1927" spans="18:18">
      <c r="R1927" s="588"/>
    </row>
    <row r="1928" spans="18:18">
      <c r="R1928" s="588"/>
    </row>
    <row r="1929" spans="18:18">
      <c r="R1929" s="588"/>
    </row>
    <row r="1930" spans="18:18">
      <c r="R1930" s="588"/>
    </row>
    <row r="1931" spans="18:18">
      <c r="R1931" s="588"/>
    </row>
    <row r="1932" spans="18:18">
      <c r="R1932" s="588"/>
    </row>
    <row r="1933" spans="18:18">
      <c r="R1933" s="588"/>
    </row>
    <row r="1934" spans="18:18">
      <c r="R1934" s="588"/>
    </row>
    <row r="1935" spans="18:18">
      <c r="R1935" s="588"/>
    </row>
    <row r="1936" spans="18:18">
      <c r="R1936" s="588"/>
    </row>
    <row r="1937" spans="18:18">
      <c r="R1937" s="588"/>
    </row>
    <row r="1938" spans="18:18">
      <c r="R1938" s="588"/>
    </row>
    <row r="1939" spans="18:18">
      <c r="R1939" s="588"/>
    </row>
    <row r="1940" spans="18:18">
      <c r="R1940" s="588"/>
    </row>
    <row r="1941" spans="18:18">
      <c r="R1941" s="588"/>
    </row>
    <row r="1942" spans="18:18">
      <c r="R1942" s="588"/>
    </row>
    <row r="1943" spans="18:18">
      <c r="R1943" s="588"/>
    </row>
    <row r="1944" spans="18:18">
      <c r="R1944" s="588"/>
    </row>
    <row r="1945" spans="18:18">
      <c r="R1945" s="588"/>
    </row>
    <row r="1946" spans="18:18">
      <c r="R1946" s="588"/>
    </row>
    <row r="1947" spans="18:18">
      <c r="R1947" s="588"/>
    </row>
    <row r="1948" spans="18:18">
      <c r="R1948" s="588"/>
    </row>
    <row r="1949" spans="18:18">
      <c r="R1949" s="588"/>
    </row>
    <row r="1950" spans="18:18">
      <c r="R1950" s="588"/>
    </row>
    <row r="1951" spans="18:18">
      <c r="R1951" s="588"/>
    </row>
    <row r="1952" spans="18:18">
      <c r="R1952" s="588"/>
    </row>
    <row r="1953" spans="18:18">
      <c r="R1953" s="588"/>
    </row>
    <row r="1954" spans="18:18">
      <c r="R1954" s="588"/>
    </row>
    <row r="1955" spans="18:18">
      <c r="R1955" s="588"/>
    </row>
    <row r="1956" spans="18:18">
      <c r="R1956" s="588"/>
    </row>
    <row r="1957" spans="18:18">
      <c r="R1957" s="588"/>
    </row>
    <row r="1958" spans="18:18">
      <c r="R1958" s="588"/>
    </row>
    <row r="1959" spans="18:18">
      <c r="R1959" s="588"/>
    </row>
    <row r="1960" spans="18:18">
      <c r="R1960" s="588"/>
    </row>
    <row r="1961" spans="18:18">
      <c r="R1961" s="588"/>
    </row>
    <row r="1962" spans="18:18">
      <c r="R1962" s="588"/>
    </row>
    <row r="1963" spans="18:18">
      <c r="R1963" s="588"/>
    </row>
    <row r="1964" spans="18:18">
      <c r="R1964" s="588"/>
    </row>
    <row r="1965" spans="18:18">
      <c r="R1965" s="588"/>
    </row>
    <row r="1966" spans="18:18">
      <c r="R1966" s="588"/>
    </row>
    <row r="1967" spans="18:18">
      <c r="R1967" s="588"/>
    </row>
    <row r="1968" spans="18:18">
      <c r="R1968" s="588"/>
    </row>
    <row r="1969" spans="18:18">
      <c r="R1969" s="588"/>
    </row>
    <row r="1970" spans="18:18">
      <c r="R1970" s="588"/>
    </row>
    <row r="1971" spans="18:18">
      <c r="R1971" s="588"/>
    </row>
    <row r="1972" spans="18:18">
      <c r="R1972" s="588"/>
    </row>
    <row r="1973" spans="18:18">
      <c r="R1973" s="588"/>
    </row>
    <row r="1974" spans="18:18">
      <c r="R1974" s="588"/>
    </row>
    <row r="1975" spans="18:18">
      <c r="R1975" s="588"/>
    </row>
    <row r="1976" spans="18:18">
      <c r="R1976" s="588"/>
    </row>
    <row r="1977" spans="18:18">
      <c r="R1977" s="588"/>
    </row>
    <row r="1978" spans="18:18">
      <c r="R1978" s="588"/>
    </row>
    <row r="1979" spans="18:18">
      <c r="R1979" s="588"/>
    </row>
    <row r="1980" spans="18:18">
      <c r="R1980" s="588"/>
    </row>
    <row r="1981" spans="18:18">
      <c r="R1981" s="588"/>
    </row>
    <row r="1982" spans="18:18">
      <c r="R1982" s="588"/>
    </row>
    <row r="1983" spans="18:18">
      <c r="R1983" s="588"/>
    </row>
    <row r="1984" spans="18:18">
      <c r="R1984" s="588"/>
    </row>
    <row r="1985" spans="18:18">
      <c r="R1985" s="588"/>
    </row>
    <row r="1986" spans="18:18">
      <c r="R1986" s="588"/>
    </row>
    <row r="1987" spans="18:18">
      <c r="R1987" s="588"/>
    </row>
    <row r="1988" spans="18:18">
      <c r="R1988" s="588"/>
    </row>
    <row r="1989" spans="18:18">
      <c r="R1989" s="588"/>
    </row>
    <row r="1990" spans="18:18">
      <c r="R1990" s="588"/>
    </row>
    <row r="1991" spans="18:18">
      <c r="R1991" s="588"/>
    </row>
    <row r="1992" spans="18:18">
      <c r="R1992" s="588"/>
    </row>
    <row r="1993" spans="18:18">
      <c r="R1993" s="588"/>
    </row>
    <row r="1994" spans="18:18">
      <c r="R1994" s="588"/>
    </row>
    <row r="1995" spans="18:18">
      <c r="R1995" s="588"/>
    </row>
    <row r="1996" spans="18:18">
      <c r="R1996" s="588"/>
    </row>
    <row r="1997" spans="18:18">
      <c r="R1997" s="588"/>
    </row>
    <row r="1998" spans="18:18">
      <c r="R1998" s="588"/>
    </row>
    <row r="1999" spans="18:18">
      <c r="R1999" s="588"/>
    </row>
    <row r="2000" spans="18:18">
      <c r="R2000" s="588"/>
    </row>
    <row r="2001" spans="18:18">
      <c r="R2001" s="588"/>
    </row>
    <row r="2002" spans="18:18">
      <c r="R2002" s="588"/>
    </row>
    <row r="2003" spans="18:18">
      <c r="R2003" s="588"/>
    </row>
    <row r="2004" spans="18:18">
      <c r="R2004" s="588"/>
    </row>
    <row r="2005" spans="18:18">
      <c r="R2005" s="588"/>
    </row>
    <row r="2006" spans="18:18">
      <c r="R2006" s="588"/>
    </row>
    <row r="2007" spans="18:18">
      <c r="R2007" s="588"/>
    </row>
    <row r="2008" spans="18:18">
      <c r="R2008" s="588"/>
    </row>
    <row r="2009" spans="18:18">
      <c r="R2009" s="588"/>
    </row>
    <row r="2010" spans="18:18">
      <c r="R2010" s="588"/>
    </row>
    <row r="2011" spans="18:18">
      <c r="R2011" s="588"/>
    </row>
    <row r="2012" spans="18:18">
      <c r="R2012" s="588"/>
    </row>
    <row r="2013" spans="18:18">
      <c r="R2013" s="588"/>
    </row>
    <row r="2014" spans="18:18">
      <c r="R2014" s="588"/>
    </row>
    <row r="2015" spans="18:18">
      <c r="R2015" s="588"/>
    </row>
    <row r="2016" spans="18:18">
      <c r="R2016" s="588"/>
    </row>
    <row r="2017" spans="18:18">
      <c r="R2017" s="588"/>
    </row>
    <row r="2018" spans="18:18">
      <c r="R2018" s="588"/>
    </row>
    <row r="2019" spans="18:18">
      <c r="R2019" s="588"/>
    </row>
    <row r="2020" spans="18:18">
      <c r="R2020" s="588"/>
    </row>
    <row r="2021" spans="18:18">
      <c r="R2021" s="588"/>
    </row>
    <row r="2022" spans="18:18">
      <c r="R2022" s="588"/>
    </row>
    <row r="2023" spans="18:18">
      <c r="R2023" s="588"/>
    </row>
    <row r="2024" spans="18:18">
      <c r="R2024" s="588"/>
    </row>
    <row r="2025" spans="18:18">
      <c r="R2025" s="588"/>
    </row>
    <row r="2026" spans="18:18">
      <c r="R2026" s="588"/>
    </row>
    <row r="2027" spans="18:18">
      <c r="R2027" s="588"/>
    </row>
    <row r="2028" spans="18:18">
      <c r="R2028" s="588"/>
    </row>
    <row r="2029" spans="18:18">
      <c r="R2029" s="588"/>
    </row>
    <row r="2030" spans="18:18">
      <c r="R2030" s="588"/>
    </row>
    <row r="2031" spans="18:18">
      <c r="R2031" s="588"/>
    </row>
    <row r="2032" spans="18:18">
      <c r="R2032" s="588"/>
    </row>
    <row r="2033" spans="18:18">
      <c r="R2033" s="588"/>
    </row>
    <row r="2034" spans="18:18">
      <c r="R2034" s="588"/>
    </row>
    <row r="2035" spans="18:18">
      <c r="R2035" s="588"/>
    </row>
    <row r="2036" spans="18:18">
      <c r="R2036" s="588"/>
    </row>
    <row r="2037" spans="18:18">
      <c r="R2037" s="588"/>
    </row>
    <row r="2038" spans="18:18">
      <c r="R2038" s="588"/>
    </row>
    <row r="2039" spans="18:18">
      <c r="R2039" s="588"/>
    </row>
    <row r="2040" spans="18:18">
      <c r="R2040" s="588"/>
    </row>
    <row r="2041" spans="18:18">
      <c r="R2041" s="588"/>
    </row>
    <row r="2042" spans="18:18">
      <c r="R2042" s="588"/>
    </row>
    <row r="2043" spans="18:18">
      <c r="R2043" s="588"/>
    </row>
    <row r="2044" spans="18:18">
      <c r="R2044" s="588"/>
    </row>
    <row r="2045" spans="18:18">
      <c r="R2045" s="588"/>
    </row>
    <row r="2046" spans="18:18">
      <c r="R2046" s="588"/>
    </row>
    <row r="2047" spans="18:18">
      <c r="R2047" s="588"/>
    </row>
    <row r="2048" spans="18:18">
      <c r="R2048" s="588"/>
    </row>
    <row r="2049" spans="18:18">
      <c r="R2049" s="588"/>
    </row>
    <row r="2050" spans="18:18">
      <c r="R2050" s="588"/>
    </row>
    <row r="2051" spans="18:18">
      <c r="R2051" s="588"/>
    </row>
    <row r="2052" spans="18:18">
      <c r="R2052" s="588"/>
    </row>
    <row r="2053" spans="18:18">
      <c r="R2053" s="588"/>
    </row>
    <row r="2054" spans="18:18">
      <c r="R2054" s="588"/>
    </row>
    <row r="2055" spans="18:18">
      <c r="R2055" s="588"/>
    </row>
    <row r="2056" spans="18:18">
      <c r="R2056" s="588"/>
    </row>
    <row r="2057" spans="18:18">
      <c r="R2057" s="588"/>
    </row>
    <row r="2058" spans="18:18">
      <c r="R2058" s="588"/>
    </row>
    <row r="2059" spans="18:18">
      <c r="R2059" s="588"/>
    </row>
    <row r="2060" spans="18:18">
      <c r="R2060" s="588"/>
    </row>
    <row r="2061" spans="18:18">
      <c r="R2061" s="588"/>
    </row>
    <row r="2062" spans="18:18">
      <c r="R2062" s="588"/>
    </row>
    <row r="2063" spans="18:18">
      <c r="R2063" s="588"/>
    </row>
    <row r="2064" spans="18:18">
      <c r="R2064" s="588"/>
    </row>
    <row r="2065" spans="18:18">
      <c r="R2065" s="588"/>
    </row>
    <row r="2066" spans="18:18">
      <c r="R2066" s="588"/>
    </row>
    <row r="2067" spans="18:18">
      <c r="R2067" s="588"/>
    </row>
    <row r="2068" spans="18:18">
      <c r="R2068" s="588"/>
    </row>
    <row r="2069" spans="18:18">
      <c r="R2069" s="588"/>
    </row>
    <row r="2070" spans="18:18">
      <c r="R2070" s="588"/>
    </row>
    <row r="2071" spans="18:18">
      <c r="R2071" s="588"/>
    </row>
    <row r="2072" spans="18:18">
      <c r="R2072" s="588"/>
    </row>
    <row r="2073" spans="18:18">
      <c r="R2073" s="588"/>
    </row>
    <row r="2074" spans="18:18">
      <c r="R2074" s="588"/>
    </row>
    <row r="2075" spans="18:18">
      <c r="R2075" s="588"/>
    </row>
    <row r="2076" spans="18:18">
      <c r="R2076" s="588"/>
    </row>
    <row r="2077" spans="18:18">
      <c r="R2077" s="588"/>
    </row>
    <row r="2078" spans="18:18">
      <c r="R2078" s="588"/>
    </row>
    <row r="2079" spans="18:18">
      <c r="R2079" s="588"/>
    </row>
    <row r="2080" spans="18:18">
      <c r="R2080" s="588"/>
    </row>
    <row r="2081" spans="18:18">
      <c r="R2081" s="588"/>
    </row>
    <row r="2082" spans="18:18">
      <c r="R2082" s="588"/>
    </row>
    <row r="2083" spans="18:18">
      <c r="R2083" s="588"/>
    </row>
    <row r="2084" spans="18:18">
      <c r="R2084" s="588"/>
    </row>
    <row r="2085" spans="18:18">
      <c r="R2085" s="588"/>
    </row>
    <row r="2086" spans="18:18">
      <c r="R2086" s="588"/>
    </row>
    <row r="2087" spans="18:18">
      <c r="R2087" s="588"/>
    </row>
    <row r="2088" spans="18:18">
      <c r="R2088" s="588"/>
    </row>
    <row r="2089" spans="18:18">
      <c r="R2089" s="588"/>
    </row>
    <row r="2090" spans="18:18">
      <c r="R2090" s="588"/>
    </row>
    <row r="2091" spans="18:18">
      <c r="R2091" s="588"/>
    </row>
    <row r="2092" spans="18:18">
      <c r="R2092" s="588"/>
    </row>
    <row r="2093" spans="18:18">
      <c r="R2093" s="588"/>
    </row>
    <row r="2094" spans="18:18">
      <c r="R2094" s="588"/>
    </row>
    <row r="2095" spans="18:18">
      <c r="R2095" s="588"/>
    </row>
    <row r="2096" spans="18:18">
      <c r="R2096" s="588"/>
    </row>
    <row r="2097" spans="18:18">
      <c r="R2097" s="588"/>
    </row>
    <row r="2098" spans="18:18">
      <c r="R2098" s="588"/>
    </row>
    <row r="2099" spans="18:18">
      <c r="R2099" s="588"/>
    </row>
    <row r="2100" spans="18:18">
      <c r="R2100" s="588"/>
    </row>
    <row r="2101" spans="18:18">
      <c r="R2101" s="588"/>
    </row>
    <row r="2102" spans="18:18">
      <c r="R2102" s="588"/>
    </row>
    <row r="2103" spans="18:18">
      <c r="R2103" s="588"/>
    </row>
    <row r="2104" spans="18:18">
      <c r="R2104" s="588"/>
    </row>
    <row r="2105" spans="18:18">
      <c r="R2105" s="588"/>
    </row>
    <row r="2106" spans="18:18">
      <c r="R2106" s="588"/>
    </row>
    <row r="2107" spans="18:18">
      <c r="R2107" s="588"/>
    </row>
    <row r="2108" spans="18:18">
      <c r="R2108" s="588"/>
    </row>
    <row r="2109" spans="18:18">
      <c r="R2109" s="588"/>
    </row>
    <row r="2110" spans="18:18">
      <c r="R2110" s="588"/>
    </row>
    <row r="2111" spans="18:18">
      <c r="R2111" s="588"/>
    </row>
    <row r="2112" spans="18:18">
      <c r="R2112" s="588"/>
    </row>
    <row r="2113" spans="18:18">
      <c r="R2113" s="588"/>
    </row>
    <row r="2114" spans="18:18">
      <c r="R2114" s="588"/>
    </row>
    <row r="2115" spans="18:18">
      <c r="R2115" s="588"/>
    </row>
    <row r="2116" spans="18:18">
      <c r="R2116" s="588"/>
    </row>
    <row r="2117" spans="18:18">
      <c r="R2117" s="588"/>
    </row>
    <row r="2118" spans="18:18">
      <c r="R2118" s="588"/>
    </row>
    <row r="2119" spans="18:18">
      <c r="R2119" s="588"/>
    </row>
    <row r="2120" spans="18:18">
      <c r="R2120" s="588"/>
    </row>
    <row r="2121" spans="18:18">
      <c r="R2121" s="588"/>
    </row>
    <row r="2122" spans="18:18">
      <c r="R2122" s="588"/>
    </row>
    <row r="2123" spans="18:18">
      <c r="R2123" s="588"/>
    </row>
    <row r="2124" spans="18:18">
      <c r="R2124" s="588"/>
    </row>
    <row r="2125" spans="18:18">
      <c r="R2125" s="588"/>
    </row>
    <row r="2126" spans="18:18">
      <c r="R2126" s="588"/>
    </row>
    <row r="2127" spans="18:18">
      <c r="R2127" s="588"/>
    </row>
    <row r="2128" spans="18:18">
      <c r="R2128" s="588"/>
    </row>
    <row r="2129" spans="18:18">
      <c r="R2129" s="588"/>
    </row>
    <row r="2130" spans="18:18">
      <c r="R2130" s="588"/>
    </row>
    <row r="2131" spans="18:18">
      <c r="R2131" s="588"/>
    </row>
    <row r="2132" spans="18:18">
      <c r="R2132" s="588"/>
    </row>
    <row r="2133" spans="18:18">
      <c r="R2133" s="588"/>
    </row>
    <row r="2134" spans="18:18">
      <c r="R2134" s="588"/>
    </row>
    <row r="2135" spans="18:18">
      <c r="R2135" s="588"/>
    </row>
    <row r="2136" spans="18:18">
      <c r="R2136" s="588"/>
    </row>
    <row r="2137" spans="18:18">
      <c r="R2137" s="588"/>
    </row>
    <row r="2138" spans="18:18">
      <c r="R2138" s="588"/>
    </row>
    <row r="2139" spans="18:18">
      <c r="R2139" s="588"/>
    </row>
    <row r="2140" spans="18:18">
      <c r="R2140" s="588"/>
    </row>
    <row r="2141" spans="18:18">
      <c r="R2141" s="588"/>
    </row>
    <row r="2142" spans="18:18">
      <c r="R2142" s="588"/>
    </row>
    <row r="2143" spans="18:18">
      <c r="R2143" s="588"/>
    </row>
    <row r="2144" spans="18:18">
      <c r="R2144" s="588"/>
    </row>
    <row r="2145" spans="18:18">
      <c r="R2145" s="588"/>
    </row>
    <row r="2146" spans="18:18">
      <c r="R2146" s="588"/>
    </row>
    <row r="2147" spans="18:18">
      <c r="R2147" s="588"/>
    </row>
    <row r="2148" spans="18:18">
      <c r="R2148" s="588"/>
    </row>
    <row r="2149" spans="18:18">
      <c r="R2149" s="588"/>
    </row>
    <row r="2150" spans="18:18">
      <c r="R2150" s="588"/>
    </row>
    <row r="2151" spans="18:18">
      <c r="R2151" s="588"/>
    </row>
    <row r="2152" spans="18:18">
      <c r="R2152" s="588"/>
    </row>
    <row r="2153" spans="18:18">
      <c r="R2153" s="588"/>
    </row>
    <row r="2154" spans="18:18">
      <c r="R2154" s="588"/>
    </row>
    <row r="2155" spans="18:18">
      <c r="R2155" s="588"/>
    </row>
    <row r="2156" spans="18:18">
      <c r="R2156" s="588"/>
    </row>
    <row r="2157" spans="18:18">
      <c r="R2157" s="588"/>
    </row>
    <row r="2158" spans="18:18">
      <c r="R2158" s="588"/>
    </row>
    <row r="2159" spans="18:18">
      <c r="R2159" s="588"/>
    </row>
    <row r="2160" spans="18:18">
      <c r="R2160" s="588"/>
    </row>
    <row r="2161" spans="18:18">
      <c r="R2161" s="588"/>
    </row>
    <row r="2162" spans="18:18">
      <c r="R2162" s="588"/>
    </row>
    <row r="2163" spans="18:18">
      <c r="R2163" s="588"/>
    </row>
    <row r="2164" spans="18:18">
      <c r="R2164" s="588"/>
    </row>
    <row r="2165" spans="18:18">
      <c r="R2165" s="588"/>
    </row>
    <row r="2166" spans="18:18">
      <c r="R2166" s="588"/>
    </row>
    <row r="2167" spans="18:18">
      <c r="R2167" s="588"/>
    </row>
    <row r="2168" spans="18:18">
      <c r="R2168" s="588"/>
    </row>
    <row r="2169" spans="18:18">
      <c r="R2169" s="588"/>
    </row>
    <row r="2170" spans="18:18">
      <c r="R2170" s="588"/>
    </row>
    <row r="2171" spans="18:18">
      <c r="R2171" s="588"/>
    </row>
    <row r="2172" spans="18:18">
      <c r="R2172" s="588"/>
    </row>
    <row r="2173" spans="18:18">
      <c r="R2173" s="588"/>
    </row>
    <row r="2174" spans="18:18">
      <c r="R2174" s="588"/>
    </row>
    <row r="2175" spans="18:18">
      <c r="R2175" s="588"/>
    </row>
    <row r="2176" spans="18:18">
      <c r="R2176" s="588"/>
    </row>
    <row r="2177" spans="18:18">
      <c r="R2177" s="588"/>
    </row>
    <row r="2178" spans="18:18">
      <c r="R2178" s="588"/>
    </row>
    <row r="2179" spans="18:18">
      <c r="R2179" s="588"/>
    </row>
    <row r="2180" spans="18:18">
      <c r="R2180" s="588"/>
    </row>
    <row r="2181" spans="18:18">
      <c r="R2181" s="588"/>
    </row>
    <row r="2182" spans="18:18">
      <c r="R2182" s="588"/>
    </row>
    <row r="2183" spans="18:18">
      <c r="R2183" s="588"/>
    </row>
    <row r="2184" spans="18:18">
      <c r="R2184" s="588"/>
    </row>
    <row r="2185" spans="18:18">
      <c r="R2185" s="588"/>
    </row>
    <row r="2186" spans="18:18">
      <c r="R2186" s="588"/>
    </row>
    <row r="2187" spans="18:18">
      <c r="R2187" s="588"/>
    </row>
    <row r="2188" spans="18:18">
      <c r="R2188" s="588"/>
    </row>
    <row r="2189" spans="18:18">
      <c r="R2189" s="588"/>
    </row>
    <row r="2190" spans="18:18">
      <c r="R2190" s="588"/>
    </row>
    <row r="2191" spans="18:18">
      <c r="R2191" s="588"/>
    </row>
    <row r="2192" spans="18:18">
      <c r="R2192" s="588"/>
    </row>
    <row r="2193" spans="18:18">
      <c r="R2193" s="588"/>
    </row>
    <row r="2194" spans="18:18">
      <c r="R2194" s="588"/>
    </row>
    <row r="2195" spans="18:18">
      <c r="R2195" s="588"/>
    </row>
    <row r="2196" spans="18:18">
      <c r="R2196" s="588"/>
    </row>
    <row r="2197" spans="18:18">
      <c r="R2197" s="588"/>
    </row>
    <row r="2198" spans="18:18">
      <c r="R2198" s="588"/>
    </row>
    <row r="2199" spans="18:18">
      <c r="R2199" s="588"/>
    </row>
    <row r="2200" spans="18:18">
      <c r="R2200" s="588"/>
    </row>
    <row r="2201" spans="18:18">
      <c r="R2201" s="588"/>
    </row>
    <row r="2202" spans="18:18">
      <c r="R2202" s="588"/>
    </row>
    <row r="2203" spans="18:18">
      <c r="R2203" s="588"/>
    </row>
    <row r="2204" spans="18:18">
      <c r="R2204" s="588"/>
    </row>
    <row r="2205" spans="18:18">
      <c r="R2205" s="588"/>
    </row>
    <row r="2206" spans="18:18">
      <c r="R2206" s="588"/>
    </row>
    <row r="2207" spans="18:18">
      <c r="R2207" s="588"/>
    </row>
    <row r="2208" spans="18:18">
      <c r="R2208" s="588"/>
    </row>
    <row r="2209" spans="18:18">
      <c r="R2209" s="588"/>
    </row>
    <row r="2210" spans="18:18">
      <c r="R2210" s="588"/>
    </row>
    <row r="2211" spans="18:18">
      <c r="R2211" s="588"/>
    </row>
    <row r="2212" spans="18:18">
      <c r="R2212" s="588"/>
    </row>
    <row r="2213" spans="18:18">
      <c r="R2213" s="588"/>
    </row>
    <row r="2214" spans="18:18">
      <c r="R2214" s="588"/>
    </row>
    <row r="2215" spans="18:18">
      <c r="R2215" s="588"/>
    </row>
    <row r="2216" spans="18:18">
      <c r="R2216" s="588"/>
    </row>
    <row r="2217" spans="18:18">
      <c r="R2217" s="588"/>
    </row>
    <row r="2218" spans="18:18">
      <c r="R2218" s="588"/>
    </row>
    <row r="2219" spans="18:18">
      <c r="R2219" s="588"/>
    </row>
    <row r="2220" spans="18:18">
      <c r="R2220" s="588"/>
    </row>
    <row r="2221" spans="18:18">
      <c r="R2221" s="588"/>
    </row>
    <row r="2222" spans="18:18">
      <c r="R2222" s="588"/>
    </row>
    <row r="2223" spans="18:18">
      <c r="R2223" s="588"/>
    </row>
    <row r="2224" spans="18:18">
      <c r="R2224" s="588"/>
    </row>
    <row r="2225" spans="18:18">
      <c r="R2225" s="588"/>
    </row>
    <row r="2226" spans="18:18">
      <c r="R2226" s="588"/>
    </row>
    <row r="2227" spans="18:18">
      <c r="R2227" s="588"/>
    </row>
    <row r="2228" spans="18:18">
      <c r="R2228" s="588"/>
    </row>
    <row r="2229" spans="18:18">
      <c r="R2229" s="588"/>
    </row>
    <row r="2230" spans="18:18">
      <c r="R2230" s="588"/>
    </row>
    <row r="2231" spans="18:18">
      <c r="R2231" s="588"/>
    </row>
    <row r="2232" spans="18:18">
      <c r="R2232" s="588"/>
    </row>
    <row r="2233" spans="18:18">
      <c r="R2233" s="588"/>
    </row>
    <row r="2234" spans="18:18">
      <c r="R2234" s="588"/>
    </row>
    <row r="2235" spans="18:18">
      <c r="R2235" s="588"/>
    </row>
    <row r="2236" spans="18:18">
      <c r="R2236" s="588"/>
    </row>
    <row r="2237" spans="18:18">
      <c r="R2237" s="588"/>
    </row>
    <row r="2238" spans="18:18">
      <c r="R2238" s="588"/>
    </row>
    <row r="2239" spans="18:18">
      <c r="R2239" s="588"/>
    </row>
    <row r="2240" spans="18:18">
      <c r="R2240" s="588"/>
    </row>
    <row r="2241" spans="18:18">
      <c r="R2241" s="588"/>
    </row>
    <row r="2242" spans="18:18">
      <c r="R2242" s="588"/>
    </row>
    <row r="2243" spans="18:18">
      <c r="R2243" s="588"/>
    </row>
    <row r="2244" spans="18:18">
      <c r="R2244" s="588"/>
    </row>
    <row r="2245" spans="18:18">
      <c r="R2245" s="588"/>
    </row>
    <row r="2246" spans="18:18">
      <c r="R2246" s="588"/>
    </row>
    <row r="2247" spans="18:18">
      <c r="R2247" s="588"/>
    </row>
    <row r="2248" spans="18:18">
      <c r="R2248" s="588"/>
    </row>
    <row r="2249" spans="18:18">
      <c r="R2249" s="588"/>
    </row>
    <row r="2250" spans="18:18">
      <c r="R2250" s="588"/>
    </row>
    <row r="2251" spans="18:18">
      <c r="R2251" s="588"/>
    </row>
    <row r="2252" spans="18:18">
      <c r="R2252" s="588"/>
    </row>
    <row r="2253" spans="18:18">
      <c r="R2253" s="588"/>
    </row>
    <row r="2254" spans="18:18">
      <c r="R2254" s="588"/>
    </row>
    <row r="2255" spans="18:18">
      <c r="R2255" s="588"/>
    </row>
    <row r="2256" spans="18:18">
      <c r="R2256" s="588"/>
    </row>
    <row r="2257" spans="18:18">
      <c r="R2257" s="588"/>
    </row>
    <row r="2258" spans="18:18">
      <c r="R2258" s="588"/>
    </row>
    <row r="2259" spans="18:18">
      <c r="R2259" s="588"/>
    </row>
    <row r="2260" spans="18:18">
      <c r="R2260" s="588"/>
    </row>
    <row r="2261" spans="18:18">
      <c r="R2261" s="588"/>
    </row>
    <row r="2262" spans="18:18">
      <c r="R2262" s="588"/>
    </row>
    <row r="2263" spans="18:18">
      <c r="R2263" s="588"/>
    </row>
    <row r="2264" spans="18:18">
      <c r="R2264" s="588"/>
    </row>
    <row r="2265" spans="18:18">
      <c r="R2265" s="588"/>
    </row>
    <row r="2266" spans="18:18">
      <c r="R2266" s="588"/>
    </row>
    <row r="2267" spans="18:18">
      <c r="R2267" s="588"/>
    </row>
    <row r="2268" spans="18:18">
      <c r="R2268" s="588"/>
    </row>
    <row r="2269" spans="18:18">
      <c r="R2269" s="588"/>
    </row>
    <row r="2270" spans="18:18">
      <c r="R2270" s="588"/>
    </row>
    <row r="2271" spans="18:18">
      <c r="R2271" s="588"/>
    </row>
    <row r="2272" spans="18:18">
      <c r="R2272" s="588"/>
    </row>
    <row r="2273" spans="18:18">
      <c r="R2273" s="588"/>
    </row>
    <row r="2274" spans="18:18">
      <c r="R2274" s="588"/>
    </row>
    <row r="2275" spans="18:18">
      <c r="R2275" s="588"/>
    </row>
    <row r="2276" spans="18:18">
      <c r="R2276" s="588"/>
    </row>
    <row r="2277" spans="18:18">
      <c r="R2277" s="588"/>
    </row>
    <row r="2278" spans="18:18">
      <c r="R2278" s="588"/>
    </row>
    <row r="2279" spans="18:18">
      <c r="R2279" s="588"/>
    </row>
    <row r="2280" spans="18:18">
      <c r="R2280" s="588"/>
    </row>
    <row r="2281" spans="18:18">
      <c r="R2281" s="588"/>
    </row>
    <row r="2282" spans="18:18">
      <c r="R2282" s="588"/>
    </row>
    <row r="2283" spans="18:18">
      <c r="R2283" s="588"/>
    </row>
    <row r="2284" spans="18:18">
      <c r="R2284" s="588"/>
    </row>
    <row r="2285" spans="18:18">
      <c r="R2285" s="588"/>
    </row>
    <row r="2286" spans="18:18">
      <c r="R2286" s="588"/>
    </row>
    <row r="2287" spans="18:18">
      <c r="R2287" s="588"/>
    </row>
    <row r="2288" spans="18:18">
      <c r="R2288" s="588"/>
    </row>
    <row r="2289" spans="18:18">
      <c r="R2289" s="588"/>
    </row>
    <row r="2290" spans="18:18">
      <c r="R2290" s="588"/>
    </row>
    <row r="2291" spans="18:18">
      <c r="R2291" s="588"/>
    </row>
    <row r="2292" spans="18:18">
      <c r="R2292" s="588"/>
    </row>
    <row r="2293" spans="18:18">
      <c r="R2293" s="588"/>
    </row>
    <row r="2294" spans="18:18">
      <c r="R2294" s="588"/>
    </row>
    <row r="2295" spans="18:18">
      <c r="R2295" s="588"/>
    </row>
    <row r="2296" spans="18:18">
      <c r="R2296" s="588"/>
    </row>
    <row r="2297" spans="18:18">
      <c r="R2297" s="588"/>
    </row>
    <row r="2298" spans="18:18">
      <c r="R2298" s="588"/>
    </row>
    <row r="2299" spans="18:18">
      <c r="R2299" s="588"/>
    </row>
    <row r="2300" spans="18:18">
      <c r="R2300" s="588"/>
    </row>
    <row r="2301" spans="18:18">
      <c r="R2301" s="588"/>
    </row>
    <row r="2302" spans="18:18">
      <c r="R2302" s="588"/>
    </row>
    <row r="2303" spans="18:18">
      <c r="R2303" s="588"/>
    </row>
    <row r="2304" spans="18:18">
      <c r="R2304" s="588"/>
    </row>
    <row r="2305" spans="18:18">
      <c r="R2305" s="588"/>
    </row>
    <row r="2306" spans="18:18">
      <c r="R2306" s="588"/>
    </row>
    <row r="2307" spans="18:18">
      <c r="R2307" s="588"/>
    </row>
    <row r="2308" spans="18:18">
      <c r="R2308" s="588"/>
    </row>
    <row r="2309" spans="18:18">
      <c r="R2309" s="588"/>
    </row>
    <row r="2310" spans="18:18">
      <c r="R2310" s="588"/>
    </row>
    <row r="2311" spans="18:18">
      <c r="R2311" s="588"/>
    </row>
    <row r="2312" spans="18:18">
      <c r="R2312" s="588"/>
    </row>
    <row r="2313" spans="18:18">
      <c r="R2313" s="588"/>
    </row>
    <row r="2314" spans="18:18">
      <c r="R2314" s="588"/>
    </row>
    <row r="2315" spans="18:18">
      <c r="R2315" s="588"/>
    </row>
    <row r="2316" spans="18:18">
      <c r="R2316" s="588"/>
    </row>
    <row r="2317" spans="18:18">
      <c r="R2317" s="588"/>
    </row>
    <row r="2318" spans="18:18">
      <c r="R2318" s="588"/>
    </row>
    <row r="2319" spans="18:18">
      <c r="R2319" s="588"/>
    </row>
    <row r="2320" spans="18:18">
      <c r="R2320" s="588"/>
    </row>
    <row r="2321" spans="18:18">
      <c r="R2321" s="588"/>
    </row>
    <row r="2322" spans="18:18">
      <c r="R2322" s="588"/>
    </row>
    <row r="2323" spans="18:18">
      <c r="R2323" s="588"/>
    </row>
    <row r="2324" spans="18:18">
      <c r="R2324" s="588"/>
    </row>
    <row r="2325" spans="18:18">
      <c r="R2325" s="588"/>
    </row>
    <row r="2326" spans="18:18">
      <c r="R2326" s="588"/>
    </row>
    <row r="2327" spans="18:18">
      <c r="R2327" s="588"/>
    </row>
    <row r="2328" spans="18:18">
      <c r="R2328" s="588"/>
    </row>
    <row r="2329" spans="18:18">
      <c r="R2329" s="588"/>
    </row>
    <row r="2330" spans="18:18">
      <c r="R2330" s="588"/>
    </row>
    <row r="2331" spans="18:18">
      <c r="R2331" s="588"/>
    </row>
    <row r="2332" spans="18:18">
      <c r="R2332" s="588"/>
    </row>
    <row r="2333" spans="18:18">
      <c r="R2333" s="588"/>
    </row>
    <row r="2334" spans="18:18">
      <c r="R2334" s="588"/>
    </row>
    <row r="2335" spans="18:18">
      <c r="R2335" s="588"/>
    </row>
    <row r="2336" spans="18:18">
      <c r="R2336" s="588"/>
    </row>
    <row r="2337" spans="18:18">
      <c r="R2337" s="588"/>
    </row>
    <row r="2338" spans="18:18">
      <c r="R2338" s="588"/>
    </row>
    <row r="2339" spans="18:18">
      <c r="R2339" s="588"/>
    </row>
    <row r="2340" spans="18:18">
      <c r="R2340" s="588"/>
    </row>
    <row r="2341" spans="18:18">
      <c r="R2341" s="588"/>
    </row>
    <row r="2342" spans="18:18">
      <c r="R2342" s="588"/>
    </row>
    <row r="2343" spans="18:18">
      <c r="R2343" s="588"/>
    </row>
    <row r="2344" spans="18:18">
      <c r="R2344" s="588"/>
    </row>
    <row r="2345" spans="18:18">
      <c r="R2345" s="588"/>
    </row>
    <row r="2346" spans="18:18">
      <c r="R2346" s="588"/>
    </row>
    <row r="2347" spans="18:18">
      <c r="R2347" s="588"/>
    </row>
    <row r="2348" spans="18:18">
      <c r="R2348" s="588"/>
    </row>
    <row r="2349" spans="18:18">
      <c r="R2349" s="588"/>
    </row>
    <row r="2350" spans="18:18">
      <c r="R2350" s="588"/>
    </row>
    <row r="2351" spans="18:18">
      <c r="R2351" s="588"/>
    </row>
    <row r="2352" spans="18:18">
      <c r="R2352" s="588"/>
    </row>
    <row r="2353" spans="18:18">
      <c r="R2353" s="588"/>
    </row>
    <row r="2354" spans="18:18">
      <c r="R2354" s="588"/>
    </row>
    <row r="2355" spans="18:18">
      <c r="R2355" s="588"/>
    </row>
    <row r="2356" spans="18:18">
      <c r="R2356" s="588"/>
    </row>
    <row r="2357" spans="18:18">
      <c r="R2357" s="588"/>
    </row>
    <row r="2358" spans="18:18">
      <c r="R2358" s="588"/>
    </row>
    <row r="2359" spans="18:18">
      <c r="R2359" s="588"/>
    </row>
    <row r="2360" spans="18:18">
      <c r="R2360" s="588"/>
    </row>
    <row r="2361" spans="18:18">
      <c r="R2361" s="588"/>
    </row>
    <row r="2362" spans="18:18">
      <c r="R2362" s="588"/>
    </row>
    <row r="2363" spans="18:18">
      <c r="R2363" s="588"/>
    </row>
    <row r="2364" spans="18:18">
      <c r="R2364" s="588"/>
    </row>
    <row r="2365" spans="18:18">
      <c r="R2365" s="588"/>
    </row>
    <row r="2366" spans="18:18">
      <c r="R2366" s="588"/>
    </row>
    <row r="2367" spans="18:18">
      <c r="R2367" s="588"/>
    </row>
    <row r="2368" spans="18:18">
      <c r="R2368" s="588"/>
    </row>
    <row r="2369" spans="18:18">
      <c r="R2369" s="588"/>
    </row>
    <row r="2370" spans="18:18">
      <c r="R2370" s="588"/>
    </row>
    <row r="2371" spans="18:18">
      <c r="R2371" s="588"/>
    </row>
    <row r="2372" spans="18:18">
      <c r="R2372" s="588"/>
    </row>
    <row r="2373" spans="18:18">
      <c r="R2373" s="588"/>
    </row>
    <row r="2374" spans="18:18">
      <c r="R2374" s="588"/>
    </row>
    <row r="2375" spans="18:18">
      <c r="R2375" s="588"/>
    </row>
    <row r="2376" spans="18:18">
      <c r="R2376" s="588"/>
    </row>
    <row r="2377" spans="18:18">
      <c r="R2377" s="588"/>
    </row>
    <row r="2378" spans="18:18">
      <c r="R2378" s="588"/>
    </row>
    <row r="2379" spans="18:18">
      <c r="R2379" s="588"/>
    </row>
    <row r="2380" spans="18:18">
      <c r="R2380" s="588"/>
    </row>
    <row r="2381" spans="18:18">
      <c r="R2381" s="588"/>
    </row>
    <row r="2382" spans="18:18">
      <c r="R2382" s="588"/>
    </row>
    <row r="2383" spans="18:18">
      <c r="R2383" s="588"/>
    </row>
    <row r="2384" spans="18:18">
      <c r="R2384" s="588"/>
    </row>
    <row r="2385" spans="18:18">
      <c r="R2385" s="588"/>
    </row>
    <row r="2386" spans="18:18">
      <c r="R2386" s="588"/>
    </row>
    <row r="2387" spans="18:18">
      <c r="R2387" s="588"/>
    </row>
    <row r="2388" spans="18:18">
      <c r="R2388" s="588"/>
    </row>
    <row r="2389" spans="18:18">
      <c r="R2389" s="588"/>
    </row>
    <row r="2390" spans="18:18">
      <c r="R2390" s="588"/>
    </row>
    <row r="2391" spans="18:18">
      <c r="R2391" s="588"/>
    </row>
    <row r="2392" spans="18:18">
      <c r="R2392" s="588"/>
    </row>
    <row r="2393" spans="18:18">
      <c r="R2393" s="588"/>
    </row>
    <row r="2394" spans="18:18">
      <c r="R2394" s="588"/>
    </row>
    <row r="2395" spans="18:18">
      <c r="R2395" s="588"/>
    </row>
    <row r="2396" spans="18:18">
      <c r="R2396" s="588"/>
    </row>
    <row r="2397" spans="18:18">
      <c r="R2397" s="588"/>
    </row>
    <row r="2398" spans="18:18">
      <c r="R2398" s="588"/>
    </row>
    <row r="2399" spans="18:18">
      <c r="R2399" s="588"/>
    </row>
    <row r="2400" spans="18:18">
      <c r="R2400" s="588"/>
    </row>
    <row r="2401" spans="18:18">
      <c r="R2401" s="588"/>
    </row>
    <row r="2402" spans="18:18">
      <c r="R2402" s="588"/>
    </row>
    <row r="2403" spans="18:18">
      <c r="R2403" s="588"/>
    </row>
    <row r="2404" spans="18:18">
      <c r="R2404" s="588"/>
    </row>
    <row r="2405" spans="18:18">
      <c r="R2405" s="588"/>
    </row>
    <row r="2406" spans="18:18">
      <c r="R2406" s="588"/>
    </row>
    <row r="2407" spans="18:18">
      <c r="R2407" s="588"/>
    </row>
    <row r="2408" spans="18:18">
      <c r="R2408" s="588"/>
    </row>
    <row r="2409" spans="18:18">
      <c r="R2409" s="588"/>
    </row>
    <row r="2410" spans="18:18">
      <c r="R2410" s="588"/>
    </row>
    <row r="2411" spans="18:18">
      <c r="R2411" s="588"/>
    </row>
    <row r="2412" spans="18:18">
      <c r="R2412" s="588"/>
    </row>
    <row r="2413" spans="18:18">
      <c r="R2413" s="588"/>
    </row>
    <row r="2414" spans="18:18">
      <c r="R2414" s="588"/>
    </row>
    <row r="2415" spans="18:18">
      <c r="R2415" s="588"/>
    </row>
    <row r="2416" spans="18:18">
      <c r="R2416" s="588"/>
    </row>
    <row r="2417" spans="18:18">
      <c r="R2417" s="588"/>
    </row>
    <row r="2418" spans="18:18">
      <c r="R2418" s="588"/>
    </row>
    <row r="2419" spans="18:18">
      <c r="R2419" s="588"/>
    </row>
    <row r="2420" spans="18:18">
      <c r="R2420" s="588"/>
    </row>
    <row r="2421" spans="18:18">
      <c r="R2421" s="588"/>
    </row>
    <row r="2422" spans="18:18">
      <c r="R2422" s="588"/>
    </row>
    <row r="2423" spans="18:18">
      <c r="R2423" s="588"/>
    </row>
    <row r="2424" spans="18:18">
      <c r="R2424" s="588"/>
    </row>
    <row r="2425" spans="18:18">
      <c r="R2425" s="588"/>
    </row>
    <row r="2426" spans="18:18">
      <c r="R2426" s="588"/>
    </row>
    <row r="2427" spans="18:18">
      <c r="R2427" s="588"/>
    </row>
    <row r="2428" spans="18:18">
      <c r="R2428" s="588"/>
    </row>
    <row r="2429" spans="18:18">
      <c r="R2429" s="588"/>
    </row>
    <row r="2430" spans="18:18">
      <c r="R2430" s="588"/>
    </row>
    <row r="2431" spans="18:18">
      <c r="R2431" s="588"/>
    </row>
    <row r="2432" spans="18:18">
      <c r="R2432" s="588"/>
    </row>
    <row r="2433" spans="18:18">
      <c r="R2433" s="588"/>
    </row>
    <row r="2434" spans="18:18">
      <c r="R2434" s="588"/>
    </row>
    <row r="2435" spans="18:18">
      <c r="R2435" s="588"/>
    </row>
    <row r="2436" spans="18:18">
      <c r="R2436" s="588"/>
    </row>
    <row r="2437" spans="18:18">
      <c r="R2437" s="588"/>
    </row>
    <row r="2438" spans="18:18">
      <c r="R2438" s="588"/>
    </row>
    <row r="2439" spans="18:18">
      <c r="R2439" s="588"/>
    </row>
    <row r="2440" spans="18:18">
      <c r="R2440" s="588"/>
    </row>
    <row r="2441" spans="18:18">
      <c r="R2441" s="588"/>
    </row>
    <row r="2442" spans="18:18">
      <c r="R2442" s="588"/>
    </row>
    <row r="2443" spans="18:18">
      <c r="R2443" s="588"/>
    </row>
    <row r="2444" spans="18:18">
      <c r="R2444" s="588"/>
    </row>
    <row r="2445" spans="18:18">
      <c r="R2445" s="588"/>
    </row>
    <row r="2446" spans="18:18">
      <c r="R2446" s="588"/>
    </row>
    <row r="2447" spans="18:18">
      <c r="R2447" s="588"/>
    </row>
    <row r="2448" spans="18:18">
      <c r="R2448" s="588"/>
    </row>
    <row r="2449" spans="18:18">
      <c r="R2449" s="588"/>
    </row>
    <row r="2450" spans="18:18">
      <c r="R2450" s="588"/>
    </row>
    <row r="2451" spans="18:18">
      <c r="R2451" s="588"/>
    </row>
    <row r="2452" spans="18:18">
      <c r="R2452" s="588"/>
    </row>
    <row r="2453" spans="18:18">
      <c r="R2453" s="588"/>
    </row>
    <row r="2454" spans="18:18">
      <c r="R2454" s="588"/>
    </row>
    <row r="2455" spans="18:18">
      <c r="R2455" s="588"/>
    </row>
    <row r="2456" spans="18:18">
      <c r="R2456" s="588"/>
    </row>
    <row r="2457" spans="18:18">
      <c r="R2457" s="588"/>
    </row>
    <row r="2458" spans="18:18">
      <c r="R2458" s="588"/>
    </row>
    <row r="2459" spans="18:18">
      <c r="R2459" s="588"/>
    </row>
    <row r="2460" spans="18:18">
      <c r="R2460" s="588"/>
    </row>
    <row r="2461" spans="18:18">
      <c r="R2461" s="588"/>
    </row>
    <row r="2462" spans="18:18">
      <c r="R2462" s="588"/>
    </row>
    <row r="2463" spans="18:18">
      <c r="R2463" s="588"/>
    </row>
    <row r="2464" spans="18:18">
      <c r="R2464" s="588"/>
    </row>
    <row r="2465" spans="18:18">
      <c r="R2465" s="588"/>
    </row>
    <row r="2466" spans="18:18">
      <c r="R2466" s="588"/>
    </row>
    <row r="2467" spans="18:18">
      <c r="R2467" s="588"/>
    </row>
    <row r="2468" spans="18:18">
      <c r="R2468" s="588"/>
    </row>
    <row r="2469" spans="18:18">
      <c r="R2469" s="588"/>
    </row>
    <row r="2470" spans="18:18">
      <c r="R2470" s="588"/>
    </row>
    <row r="2471" spans="18:18">
      <c r="R2471" s="588"/>
    </row>
    <row r="2472" spans="18:18">
      <c r="R2472" s="588"/>
    </row>
    <row r="2473" spans="18:18">
      <c r="R2473" s="588"/>
    </row>
    <row r="2474" spans="18:18">
      <c r="R2474" s="588"/>
    </row>
    <row r="2475" spans="18:18">
      <c r="R2475" s="588"/>
    </row>
    <row r="2476" spans="18:18">
      <c r="R2476" s="588"/>
    </row>
    <row r="2477" spans="18:18">
      <c r="R2477" s="588"/>
    </row>
    <row r="2478" spans="18:18">
      <c r="R2478" s="588"/>
    </row>
    <row r="2479" spans="18:18">
      <c r="R2479" s="588"/>
    </row>
    <row r="2480" spans="18:18">
      <c r="R2480" s="588"/>
    </row>
    <row r="2481" spans="18:18">
      <c r="R2481" s="588"/>
    </row>
    <row r="2482" spans="18:18">
      <c r="R2482" s="588"/>
    </row>
    <row r="2483" spans="18:18">
      <c r="R2483" s="588"/>
    </row>
    <row r="2484" spans="18:18">
      <c r="R2484" s="588"/>
    </row>
    <row r="2485" spans="18:18">
      <c r="R2485" s="588"/>
    </row>
    <row r="2486" spans="18:18">
      <c r="R2486" s="588"/>
    </row>
    <row r="2487" spans="18:18">
      <c r="R2487" s="588"/>
    </row>
    <row r="2488" spans="18:18">
      <c r="R2488" s="588"/>
    </row>
    <row r="2489" spans="18:18">
      <c r="R2489" s="588"/>
    </row>
    <row r="2490" spans="18:18">
      <c r="R2490" s="588"/>
    </row>
    <row r="2491" spans="18:18">
      <c r="R2491" s="588"/>
    </row>
    <row r="2492" spans="18:18">
      <c r="R2492" s="588"/>
    </row>
    <row r="2493" spans="18:18">
      <c r="R2493" s="588"/>
    </row>
    <row r="2494" spans="18:18">
      <c r="R2494" s="588"/>
    </row>
    <row r="2495" spans="18:18">
      <c r="R2495" s="588"/>
    </row>
    <row r="2496" spans="18:18">
      <c r="R2496" s="588"/>
    </row>
    <row r="2497" spans="18:18">
      <c r="R2497" s="588"/>
    </row>
    <row r="2498" spans="18:18">
      <c r="R2498" s="588"/>
    </row>
    <row r="2499" spans="18:18">
      <c r="R2499" s="588"/>
    </row>
    <row r="2500" spans="18:18">
      <c r="R2500" s="588"/>
    </row>
    <row r="2501" spans="18:18">
      <c r="R2501" s="588"/>
    </row>
    <row r="2502" spans="18:18">
      <c r="R2502" s="588"/>
    </row>
    <row r="2503" spans="18:18">
      <c r="R2503" s="588"/>
    </row>
    <row r="2504" spans="18:18">
      <c r="R2504" s="588"/>
    </row>
    <row r="2505" spans="18:18">
      <c r="R2505" s="588"/>
    </row>
    <row r="2506" spans="18:18">
      <c r="R2506" s="588"/>
    </row>
    <row r="2507" spans="18:18">
      <c r="R2507" s="588"/>
    </row>
    <row r="2508" spans="18:18">
      <c r="R2508" s="588"/>
    </row>
    <row r="2509" spans="18:18">
      <c r="R2509" s="588"/>
    </row>
    <row r="2510" spans="18:18">
      <c r="R2510" s="588"/>
    </row>
    <row r="2511" spans="18:18">
      <c r="R2511" s="588"/>
    </row>
    <row r="2512" spans="18:18">
      <c r="R2512" s="588"/>
    </row>
    <row r="2513" spans="18:18">
      <c r="R2513" s="588"/>
    </row>
    <row r="2514" spans="18:18">
      <c r="R2514" s="588"/>
    </row>
    <row r="2515" spans="18:18">
      <c r="R2515" s="588"/>
    </row>
    <row r="2516" spans="18:18">
      <c r="R2516" s="588"/>
    </row>
    <row r="2517" spans="18:18">
      <c r="R2517" s="588"/>
    </row>
    <row r="2518" spans="18:18">
      <c r="R2518" s="588"/>
    </row>
    <row r="2519" spans="18:18">
      <c r="R2519" s="588"/>
    </row>
    <row r="2520" spans="18:18">
      <c r="R2520" s="588"/>
    </row>
    <row r="2521" spans="18:18">
      <c r="R2521" s="588"/>
    </row>
    <row r="2522" spans="18:18">
      <c r="R2522" s="588"/>
    </row>
    <row r="2523" spans="18:18">
      <c r="R2523" s="588"/>
    </row>
    <row r="2524" spans="18:18">
      <c r="R2524" s="588"/>
    </row>
    <row r="2525" spans="18:18">
      <c r="R2525" s="588"/>
    </row>
    <row r="2526" spans="18:18">
      <c r="R2526" s="588"/>
    </row>
    <row r="2527" spans="18:18">
      <c r="R2527" s="588"/>
    </row>
    <row r="2528" spans="18:18">
      <c r="R2528" s="588"/>
    </row>
    <row r="2529" spans="18:18">
      <c r="R2529" s="588"/>
    </row>
    <row r="2530" spans="18:18">
      <c r="R2530" s="588"/>
    </row>
    <row r="2531" spans="18:18">
      <c r="R2531" s="588"/>
    </row>
    <row r="2532" spans="18:18">
      <c r="R2532" s="588"/>
    </row>
    <row r="2533" spans="18:18">
      <c r="R2533" s="588"/>
    </row>
    <row r="2534" spans="18:18">
      <c r="R2534" s="588"/>
    </row>
    <row r="2535" spans="18:18">
      <c r="R2535" s="588"/>
    </row>
    <row r="2536" spans="18:18">
      <c r="R2536" s="588"/>
    </row>
    <row r="2537" spans="18:18">
      <c r="R2537" s="588"/>
    </row>
    <row r="2538" spans="18:18">
      <c r="R2538" s="588"/>
    </row>
    <row r="2539" spans="18:18">
      <c r="R2539" s="588"/>
    </row>
    <row r="2540" spans="18:18">
      <c r="R2540" s="588"/>
    </row>
    <row r="2541" spans="18:18">
      <c r="R2541" s="588"/>
    </row>
    <row r="2542" spans="18:18">
      <c r="R2542" s="588"/>
    </row>
    <row r="2543" spans="18:18">
      <c r="R2543" s="588"/>
    </row>
    <row r="2544" spans="18:18">
      <c r="R2544" s="588"/>
    </row>
    <row r="2545" spans="18:18">
      <c r="R2545" s="588"/>
    </row>
    <row r="2546" spans="18:18">
      <c r="R2546" s="588"/>
    </row>
    <row r="2547" spans="18:18">
      <c r="R2547" s="588"/>
    </row>
    <row r="2548" spans="18:18">
      <c r="R2548" s="588"/>
    </row>
    <row r="2549" spans="18:18">
      <c r="R2549" s="588"/>
    </row>
    <row r="2550" spans="18:18">
      <c r="R2550" s="588"/>
    </row>
    <row r="2551" spans="18:18">
      <c r="R2551" s="588"/>
    </row>
    <row r="2552" spans="18:18">
      <c r="R2552" s="588"/>
    </row>
    <row r="2553" spans="18:18">
      <c r="R2553" s="588"/>
    </row>
    <row r="2554" spans="18:18">
      <c r="R2554" s="588"/>
    </row>
    <row r="2555" spans="18:18">
      <c r="R2555" s="588"/>
    </row>
    <row r="2556" spans="18:18">
      <c r="R2556" s="588"/>
    </row>
    <row r="2557" spans="18:18">
      <c r="R2557" s="588"/>
    </row>
    <row r="2558" spans="18:18">
      <c r="R2558" s="588"/>
    </row>
    <row r="2559" spans="18:18">
      <c r="R2559" s="588"/>
    </row>
    <row r="2560" spans="18:18">
      <c r="R2560" s="588"/>
    </row>
    <row r="2561" spans="18:18">
      <c r="R2561" s="588"/>
    </row>
    <row r="2562" spans="18:18">
      <c r="R2562" s="588"/>
    </row>
    <row r="2563" spans="18:18">
      <c r="R2563" s="588"/>
    </row>
    <row r="2564" spans="18:18">
      <c r="R2564" s="588"/>
    </row>
    <row r="2565" spans="18:18">
      <c r="R2565" s="588"/>
    </row>
    <row r="2566" spans="18:18">
      <c r="R2566" s="588"/>
    </row>
    <row r="2567" spans="18:18">
      <c r="R2567" s="588"/>
    </row>
    <row r="2568" spans="18:18">
      <c r="R2568" s="588"/>
    </row>
    <row r="2569" spans="18:18">
      <c r="R2569" s="588"/>
    </row>
    <row r="2570" spans="18:18">
      <c r="R2570" s="588"/>
    </row>
    <row r="2571" spans="18:18">
      <c r="R2571" s="588"/>
    </row>
    <row r="2572" spans="18:18">
      <c r="R2572" s="588"/>
    </row>
    <row r="2573" spans="18:18">
      <c r="R2573" s="588"/>
    </row>
    <row r="2574" spans="18:18">
      <c r="R2574" s="588"/>
    </row>
    <row r="2575" spans="18:18">
      <c r="R2575" s="588"/>
    </row>
    <row r="2576" spans="18:18">
      <c r="R2576" s="588"/>
    </row>
    <row r="2577" spans="18:18">
      <c r="R2577" s="588"/>
    </row>
    <row r="2578" spans="18:18">
      <c r="R2578" s="588"/>
    </row>
    <row r="2579" spans="18:18">
      <c r="R2579" s="588"/>
    </row>
    <row r="2580" spans="18:18">
      <c r="R2580" s="588"/>
    </row>
    <row r="2581" spans="18:18">
      <c r="R2581" s="588"/>
    </row>
    <row r="2582" spans="18:18">
      <c r="R2582" s="588"/>
    </row>
    <row r="2583" spans="18:18">
      <c r="R2583" s="588"/>
    </row>
    <row r="2584" spans="18:18">
      <c r="R2584" s="588"/>
    </row>
    <row r="2585" spans="18:18">
      <c r="R2585" s="588"/>
    </row>
    <row r="2586" spans="18:18">
      <c r="R2586" s="588"/>
    </row>
    <row r="2587" spans="18:18">
      <c r="R2587" s="588"/>
    </row>
    <row r="2588" spans="18:18">
      <c r="R2588" s="588"/>
    </row>
    <row r="2589" spans="18:18">
      <c r="R2589" s="588"/>
    </row>
    <row r="2590" spans="18:18">
      <c r="R2590" s="588"/>
    </row>
    <row r="2591" spans="18:18">
      <c r="R2591" s="588"/>
    </row>
    <row r="2592" spans="18:18">
      <c r="R2592" s="588"/>
    </row>
    <row r="2593" spans="18:18">
      <c r="R2593" s="588"/>
    </row>
    <row r="2594" spans="18:18">
      <c r="R2594" s="588"/>
    </row>
    <row r="2595" spans="18:18">
      <c r="R2595" s="588"/>
    </row>
    <row r="2596" spans="18:18">
      <c r="R2596" s="588"/>
    </row>
    <row r="2597" spans="18:18">
      <c r="R2597" s="588"/>
    </row>
    <row r="2598" spans="18:18">
      <c r="R2598" s="588"/>
    </row>
    <row r="2599" spans="18:18">
      <c r="R2599" s="588"/>
    </row>
    <row r="2600" spans="18:18">
      <c r="R2600" s="588"/>
    </row>
    <row r="2601" spans="18:18">
      <c r="R2601" s="588"/>
    </row>
    <row r="2602" spans="18:18">
      <c r="R2602" s="588"/>
    </row>
    <row r="2603" spans="18:18">
      <c r="R2603" s="588"/>
    </row>
    <row r="2604" spans="18:18">
      <c r="R2604" s="588"/>
    </row>
    <row r="2605" spans="18:18">
      <c r="R2605" s="588"/>
    </row>
    <row r="2606" spans="18:18">
      <c r="R2606" s="588"/>
    </row>
    <row r="2607" spans="18:18">
      <c r="R2607" s="588"/>
    </row>
    <row r="2608" spans="18:18">
      <c r="R2608" s="588"/>
    </row>
    <row r="2609" spans="18:18">
      <c r="R2609" s="588"/>
    </row>
    <row r="2610" spans="18:18">
      <c r="R2610" s="588"/>
    </row>
    <row r="2611" spans="18:18">
      <c r="R2611" s="588"/>
    </row>
    <row r="2612" spans="18:18">
      <c r="R2612" s="588"/>
    </row>
    <row r="2613" spans="18:18">
      <c r="R2613" s="588"/>
    </row>
    <row r="2614" spans="18:18">
      <c r="R2614" s="588"/>
    </row>
    <row r="2615" spans="18:18">
      <c r="R2615" s="588"/>
    </row>
    <row r="2616" spans="18:18">
      <c r="R2616" s="588"/>
    </row>
    <row r="2617" spans="18:18">
      <c r="R2617" s="588"/>
    </row>
    <row r="2618" spans="18:18">
      <c r="R2618" s="588"/>
    </row>
    <row r="2619" spans="18:18">
      <c r="R2619" s="588"/>
    </row>
    <row r="2620" spans="18:18">
      <c r="R2620" s="588"/>
    </row>
    <row r="2621" spans="18:18">
      <c r="R2621" s="588"/>
    </row>
    <row r="2622" spans="18:18">
      <c r="R2622" s="588"/>
    </row>
    <row r="2623" spans="18:18">
      <c r="R2623" s="588"/>
    </row>
    <row r="2624" spans="18:18">
      <c r="R2624" s="588"/>
    </row>
  </sheetData>
  <mergeCells count="2">
    <mergeCell ref="A1:R1"/>
    <mergeCell ref="T1:AS1"/>
  </mergeCells>
  <dataValidations count="6">
    <dataValidation type="list" allowBlank="1" showInputMessage="1" showErrorMessage="1" sqref="N3:N39" xr:uid="{96B9E216-9AA8-4787-ADEC-1DC815AC8BFE}">
      <formula1>"Rien,Brillant,Mat,Soft Touch"</formula1>
    </dataValidation>
    <dataValidation type="list" allowBlank="1" showInputMessage="1" showErrorMessage="1" sqref="O3:O39" xr:uid="{06D08707-5D53-4CB3-82DA-FACB57CF7D33}">
      <formula1>"Oui,Non"</formula1>
    </dataValidation>
    <dataValidation type="list" allowBlank="1" showInputMessage="1" showErrorMessage="1" sqref="J3:J39 H3:H39" xr:uid="{E6F425D7-29DE-479A-BF64-7764B17F3CC0}">
      <formula1>"Autre,Couché Mat,Couché Satin,Brillant,Carte 1 face,Offset,Recyclé"</formula1>
    </dataValidation>
    <dataValidation type="list" allowBlank="1" showErrorMessage="1" prompt="_x000a_" sqref="L3:L39" xr:uid="{DCB7FDEE-2E5F-4BF4-A28B-983853616311}">
      <formula1>"Rien,Dos carré collé,Dos carré collé PUR,Dos carré collé avec couture, Piqûre"</formula1>
    </dataValidation>
    <dataValidation type="list" allowBlank="1" showInputMessage="1" showErrorMessage="1" sqref="M3:M39" xr:uid="{3A80C284-D26E-4620-A698-8CAFB0CA17AE}">
      <formula1>IF(OR(K5="Dos carré collé",K5="Dos carré collé PUR",K5="Dos carré collé avec couture"),PelliculageSimple,PelliculageComplet)</formula1>
    </dataValidation>
    <dataValidation type="list" allowBlank="1" showInputMessage="1" showErrorMessage="1" sqref="D3:D698 E3:E607" xr:uid="{C6E3CAD1-AA28-4AC0-9613-6BF8F76F27F5}">
      <formula1>"Quadrichromie,Quadrichromie + Vernis Machine,Bichromie,Noir"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8" r:id="rId3" name="Button 4">
              <controlPr defaultSize="0" print="0" autoFill="0" autoPict="0" macro="[0]!Generer_Devis_OFFSET_COMPLET">
                <anchor moveWithCells="1" sizeWithCells="1">
                  <from>
                    <xdr:col>0</xdr:col>
                    <xdr:colOff>428625</xdr:colOff>
                    <xdr:row>0</xdr:row>
                    <xdr:rowOff>57150</xdr:rowOff>
                  </from>
                  <to>
                    <xdr:col>1</xdr:col>
                    <xdr:colOff>752475</xdr:colOff>
                    <xdr:row>0</xdr:row>
                    <xdr:rowOff>523875</xdr:rowOff>
                  </to>
                </anchor>
              </controlPr>
            </control>
          </mc:Choice>
        </mc:AlternateContent>
        <mc:AlternateContent xmlns:mc="http://schemas.openxmlformats.org/markup-compatibility/2006">
          <mc:Choice Requires="x14">
            <control shapeId="21513" r:id="rId4" name="Button 9">
              <controlPr defaultSize="0" print="0" autoFill="0" autoPict="0" macro="[0]!Rejouer_Ligne_Devis_OFFSET.Rejouer_Ligne_Devis_OFFSET">
                <anchor moveWithCells="1" sizeWithCells="1">
                  <from>
                    <xdr:col>18</xdr:col>
                    <xdr:colOff>38100</xdr:colOff>
                    <xdr:row>0</xdr:row>
                    <xdr:rowOff>400050</xdr:rowOff>
                  </from>
                  <to>
                    <xdr:col>18</xdr:col>
                    <xdr:colOff>514350</xdr:colOff>
                    <xdr:row>0</xdr:row>
                    <xdr:rowOff>590550</xdr:rowOff>
                  </to>
                </anchor>
              </controlPr>
            </control>
          </mc:Choice>
        </mc:AlternateContent>
        <mc:AlternateContent xmlns:mc="http://schemas.openxmlformats.org/markup-compatibility/2006">
          <mc:Choice Requires="x14">
            <control shapeId="21521" r:id="rId5" name="Button 17">
              <controlPr defaultSize="0" print="0" autoFill="0" autoPict="0" macro="[0]!Generer_Devis_OFFSET_COMPLET">
                <anchor moveWithCells="1" sizeWithCells="1">
                  <from>
                    <xdr:col>0</xdr:col>
                    <xdr:colOff>428625</xdr:colOff>
                    <xdr:row>0</xdr:row>
                    <xdr:rowOff>57150</xdr:rowOff>
                  </from>
                  <to>
                    <xdr:col>1</xdr:col>
                    <xdr:colOff>752475</xdr:colOff>
                    <xdr:row>0</xdr:row>
                    <xdr:rowOff>523875</xdr:rowOff>
                  </to>
                </anchor>
              </controlPr>
            </control>
          </mc:Choice>
        </mc:AlternateContent>
        <mc:AlternateContent xmlns:mc="http://schemas.openxmlformats.org/markup-compatibility/2006">
          <mc:Choice Requires="x14">
            <control shapeId="21526" r:id="rId6" name="Button 22">
              <controlPr defaultSize="0" print="0" autoFill="0" autoPict="0" macro="[0]!Demarrage_Simulation_Amalgame">
                <anchor moveWithCells="1" sizeWithCells="1">
                  <from>
                    <xdr:col>1</xdr:col>
                    <xdr:colOff>828675</xdr:colOff>
                    <xdr:row>0</xdr:row>
                    <xdr:rowOff>57150</xdr:rowOff>
                  </from>
                  <to>
                    <xdr:col>3</xdr:col>
                    <xdr:colOff>2076450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CA178-F9A5-440B-845F-919206762414}">
  <sheetPr codeName="Feuil18">
    <tabColor rgb="FFFFFF00"/>
  </sheetPr>
  <dimension ref="A1:AL2624"/>
  <sheetViews>
    <sheetView zoomScale="85" zoomScaleNormal="85" workbookViewId="0">
      <selection activeCell="G8" sqref="G8"/>
    </sheetView>
  </sheetViews>
  <sheetFormatPr baseColWidth="10" defaultRowHeight="15"/>
  <cols>
    <col min="1" max="1" width="30.140625" customWidth="1"/>
    <col min="2" max="3" width="26.5703125" customWidth="1"/>
    <col min="4" max="6" width="17.85546875" customWidth="1"/>
    <col min="7" max="7" width="33.140625" customWidth="1"/>
    <col min="8" max="8" width="19" customWidth="1"/>
    <col min="9" max="17" width="17.85546875" customWidth="1"/>
    <col min="18" max="18" width="31" style="188" customWidth="1"/>
    <col min="19" max="19" width="29.28515625" customWidth="1"/>
    <col min="20" max="20" width="29.28515625" style="188" customWidth="1"/>
    <col min="21" max="21" width="32.42578125" customWidth="1"/>
    <col min="22" max="23" width="27.85546875" customWidth="1"/>
    <col min="24" max="26" width="29.140625" customWidth="1"/>
    <col min="27" max="28" width="23.140625" customWidth="1"/>
    <col min="29" max="29" width="16.5703125" customWidth="1"/>
    <col min="30" max="30" width="18.140625" customWidth="1"/>
    <col min="31" max="31" width="14.85546875" customWidth="1"/>
    <col min="32" max="32" width="18.5703125" customWidth="1"/>
    <col min="33" max="33" width="21.140625" customWidth="1"/>
    <col min="34" max="34" width="17.7109375" customWidth="1"/>
    <col min="36" max="36" width="20.140625" customWidth="1"/>
    <col min="37" max="37" width="18.140625" style="618" customWidth="1"/>
    <col min="38" max="38" width="15.5703125" style="618" customWidth="1"/>
  </cols>
  <sheetData>
    <row r="1" spans="1:38" ht="54.75" customHeight="1">
      <c r="A1" s="823" t="s">
        <v>1034</v>
      </c>
      <c r="B1" s="823"/>
      <c r="C1" s="823"/>
      <c r="D1" s="823"/>
      <c r="E1" s="823"/>
      <c r="F1" s="823"/>
      <c r="G1" s="823"/>
      <c r="H1" s="823"/>
      <c r="I1" s="823"/>
      <c r="J1" s="823"/>
      <c r="K1" s="823"/>
      <c r="L1" s="823"/>
      <c r="M1" s="823"/>
      <c r="N1" s="823"/>
      <c r="O1" s="823"/>
      <c r="P1" s="823"/>
      <c r="Q1" s="823"/>
      <c r="R1" s="823"/>
      <c r="S1" s="823"/>
      <c r="T1" s="824"/>
      <c r="U1" s="585" t="s">
        <v>1009</v>
      </c>
      <c r="V1" s="825" t="s">
        <v>1051</v>
      </c>
      <c r="W1" s="826"/>
      <c r="X1" s="826"/>
      <c r="Y1" s="826"/>
      <c r="Z1" s="826"/>
      <c r="AA1" s="826"/>
      <c r="AB1" s="826"/>
      <c r="AC1" s="826"/>
      <c r="AD1" s="826"/>
      <c r="AE1" s="826"/>
      <c r="AF1" s="826"/>
      <c r="AG1" s="826"/>
      <c r="AH1" s="826"/>
      <c r="AI1" s="826"/>
      <c r="AJ1" s="826"/>
      <c r="AK1" s="826"/>
      <c r="AL1" s="826"/>
    </row>
    <row r="2" spans="1:38" ht="45">
      <c r="A2" s="587" t="s">
        <v>1041</v>
      </c>
      <c r="B2" s="587" t="s">
        <v>838</v>
      </c>
      <c r="C2" s="587" t="s">
        <v>953</v>
      </c>
      <c r="D2" s="587" t="s">
        <v>0</v>
      </c>
      <c r="E2" s="587" t="s">
        <v>843</v>
      </c>
      <c r="F2" s="638" t="s">
        <v>1042</v>
      </c>
      <c r="G2" s="587" t="s">
        <v>914</v>
      </c>
      <c r="H2" s="587" t="s">
        <v>842</v>
      </c>
      <c r="I2" s="587" t="s">
        <v>1040</v>
      </c>
      <c r="J2" s="593" t="s">
        <v>1039</v>
      </c>
      <c r="K2" s="643" t="s">
        <v>839</v>
      </c>
      <c r="L2" s="643" t="s">
        <v>1043</v>
      </c>
      <c r="M2" s="643" t="s">
        <v>840</v>
      </c>
      <c r="N2" s="643" t="s">
        <v>1044</v>
      </c>
      <c r="O2" s="594" t="s">
        <v>469</v>
      </c>
      <c r="P2" s="587" t="s">
        <v>987</v>
      </c>
      <c r="Q2" s="587" t="s">
        <v>988</v>
      </c>
      <c r="R2" s="587" t="s">
        <v>989</v>
      </c>
      <c r="S2" s="587" t="s">
        <v>990</v>
      </c>
      <c r="T2" s="587"/>
      <c r="U2" s="595">
        <v>3</v>
      </c>
      <c r="V2" s="591" t="s">
        <v>1052</v>
      </c>
      <c r="W2" s="591" t="s">
        <v>1053</v>
      </c>
      <c r="X2" s="591" t="s">
        <v>1054</v>
      </c>
      <c r="Y2" s="591" t="s">
        <v>1055</v>
      </c>
      <c r="Z2" s="591" t="s">
        <v>1056</v>
      </c>
      <c r="AA2" s="591" t="s">
        <v>1057</v>
      </c>
      <c r="AB2" s="591" t="s">
        <v>1058</v>
      </c>
      <c r="AC2" s="591" t="s">
        <v>999</v>
      </c>
      <c r="AD2" s="591" t="s">
        <v>1059</v>
      </c>
      <c r="AE2" s="591" t="s">
        <v>1001</v>
      </c>
      <c r="AF2" s="591" t="s">
        <v>1002</v>
      </c>
      <c r="AG2" s="591" t="s">
        <v>1005</v>
      </c>
      <c r="AH2" s="591" t="s">
        <v>1006</v>
      </c>
      <c r="AI2" s="591" t="s">
        <v>1007</v>
      </c>
      <c r="AJ2" s="591" t="s">
        <v>1008</v>
      </c>
      <c r="AK2" s="592" t="s">
        <v>1032</v>
      </c>
      <c r="AL2" s="616" t="s">
        <v>1033</v>
      </c>
    </row>
    <row r="3" spans="1:38" ht="15.75">
      <c r="A3" s="190"/>
      <c r="B3" s="324" t="s">
        <v>1035</v>
      </c>
      <c r="C3" s="324"/>
      <c r="D3" s="366"/>
      <c r="E3" s="366"/>
      <c r="F3" s="639"/>
      <c r="G3" s="324"/>
      <c r="H3" s="324"/>
      <c r="I3" s="335"/>
      <c r="J3" s="324"/>
      <c r="K3" s="641"/>
      <c r="L3" s="641"/>
      <c r="M3" s="641"/>
      <c r="N3" s="641"/>
      <c r="O3" s="596"/>
      <c r="P3" s="597"/>
      <c r="Q3" s="597"/>
      <c r="R3" s="610"/>
      <c r="S3" s="613"/>
      <c r="T3" s="609"/>
      <c r="U3" s="604"/>
      <c r="V3" s="601"/>
      <c r="W3" s="601"/>
      <c r="X3" s="366"/>
      <c r="Y3" s="315"/>
      <c r="Z3" s="601"/>
      <c r="AA3" s="601"/>
      <c r="AB3" s="601"/>
      <c r="AC3" s="601"/>
      <c r="AD3" s="601"/>
      <c r="AE3" s="601"/>
      <c r="AF3" s="601"/>
      <c r="AG3" s="601"/>
      <c r="AH3" s="601"/>
      <c r="AI3" s="601"/>
      <c r="AJ3" s="601"/>
      <c r="AK3" s="619"/>
      <c r="AL3" s="617"/>
    </row>
    <row r="4" spans="1:38" ht="15.75">
      <c r="A4" s="190"/>
      <c r="B4" s="324"/>
      <c r="C4" s="324"/>
      <c r="D4" s="366"/>
      <c r="E4" s="366"/>
      <c r="F4" s="639"/>
      <c r="G4" s="324"/>
      <c r="H4" s="324"/>
      <c r="I4" s="335"/>
      <c r="J4" s="599"/>
      <c r="K4" s="641"/>
      <c r="L4" s="641"/>
      <c r="M4" s="641"/>
      <c r="N4" s="641"/>
      <c r="O4" s="596"/>
      <c r="P4" s="597"/>
      <c r="Q4" s="597"/>
      <c r="R4" s="610"/>
      <c r="S4" s="613"/>
      <c r="T4" s="609"/>
      <c r="U4" s="604"/>
      <c r="V4" s="601"/>
      <c r="W4" s="601"/>
      <c r="X4" s="366"/>
      <c r="Y4" s="366"/>
      <c r="Z4" s="601"/>
      <c r="AA4" s="601"/>
      <c r="AB4" s="601"/>
      <c r="AC4" s="601"/>
      <c r="AD4" s="601"/>
      <c r="AE4" s="601"/>
      <c r="AF4" s="601"/>
      <c r="AG4" s="601"/>
      <c r="AH4" s="601"/>
      <c r="AI4" s="601"/>
      <c r="AJ4" s="601"/>
      <c r="AK4" s="619"/>
      <c r="AL4" s="617"/>
    </row>
    <row r="5" spans="1:38" ht="15.75">
      <c r="A5" s="190"/>
      <c r="B5" s="324"/>
      <c r="C5" s="324"/>
      <c r="D5" s="366"/>
      <c r="E5" s="366"/>
      <c r="F5" s="639"/>
      <c r="G5" s="324"/>
      <c r="H5" s="324"/>
      <c r="I5" s="335"/>
      <c r="J5" s="599"/>
      <c r="K5" s="641"/>
      <c r="L5" s="641"/>
      <c r="M5" s="641"/>
      <c r="N5" s="641"/>
      <c r="O5" s="596"/>
      <c r="P5" s="597"/>
      <c r="Q5" s="597"/>
      <c r="R5" s="610"/>
      <c r="S5" s="613"/>
      <c r="T5" s="609"/>
      <c r="U5" s="604"/>
      <c r="V5" s="601"/>
      <c r="W5" s="601"/>
      <c r="X5" s="366"/>
      <c r="Y5" s="366"/>
      <c r="Z5" s="601"/>
      <c r="AA5" s="601"/>
      <c r="AB5" s="601"/>
      <c r="AC5" s="601"/>
      <c r="AD5" s="601"/>
      <c r="AE5" s="601"/>
      <c r="AF5" s="601"/>
      <c r="AG5" s="601"/>
      <c r="AH5" s="601"/>
      <c r="AI5" s="601"/>
      <c r="AJ5" s="601"/>
      <c r="AK5" s="619"/>
      <c r="AL5" s="617"/>
    </row>
    <row r="6" spans="1:38" ht="15.75">
      <c r="A6" s="190"/>
      <c r="B6" s="324"/>
      <c r="C6" s="324"/>
      <c r="D6" s="366"/>
      <c r="E6" s="366"/>
      <c r="F6" s="639"/>
      <c r="G6" s="324"/>
      <c r="H6" s="324"/>
      <c r="I6" s="335"/>
      <c r="J6" s="599"/>
      <c r="K6" s="641"/>
      <c r="L6" s="641"/>
      <c r="M6" s="641"/>
      <c r="N6" s="641"/>
      <c r="O6" s="596"/>
      <c r="P6" s="597"/>
      <c r="Q6" s="597"/>
      <c r="R6" s="610"/>
      <c r="S6" s="613"/>
      <c r="T6" s="609"/>
      <c r="U6" s="604"/>
      <c r="V6" s="601"/>
      <c r="W6" s="601"/>
      <c r="X6" s="366"/>
      <c r="Y6" s="366"/>
      <c r="Z6" s="601"/>
      <c r="AA6" s="601"/>
      <c r="AB6" s="601"/>
      <c r="AC6" s="601"/>
      <c r="AD6" s="601"/>
      <c r="AE6" s="601"/>
      <c r="AF6" s="601"/>
      <c r="AG6" s="601"/>
      <c r="AH6" s="601"/>
      <c r="AI6" s="601"/>
      <c r="AJ6" s="601"/>
      <c r="AK6" s="619"/>
      <c r="AL6" s="617"/>
    </row>
    <row r="7" spans="1:38" ht="15.75">
      <c r="A7" s="190"/>
      <c r="B7" s="324"/>
      <c r="C7" s="324"/>
      <c r="D7" s="366"/>
      <c r="E7" s="366"/>
      <c r="F7" s="639"/>
      <c r="G7" s="324"/>
      <c r="H7" s="324"/>
      <c r="I7" s="335"/>
      <c r="J7" s="599"/>
      <c r="K7" s="641"/>
      <c r="L7" s="641"/>
      <c r="M7" s="641"/>
      <c r="N7" s="641"/>
      <c r="O7" s="596"/>
      <c r="P7" s="597"/>
      <c r="Q7" s="597"/>
      <c r="R7" s="610"/>
      <c r="S7" s="613"/>
      <c r="T7" s="609"/>
      <c r="U7" s="604"/>
      <c r="V7" s="601"/>
      <c r="W7" s="601"/>
      <c r="X7" s="366"/>
      <c r="Y7" s="366"/>
      <c r="Z7" s="601"/>
      <c r="AA7" s="601"/>
      <c r="AB7" s="601"/>
      <c r="AC7" s="601"/>
      <c r="AD7" s="601"/>
      <c r="AE7" s="601"/>
      <c r="AF7" s="601"/>
      <c r="AG7" s="601"/>
      <c r="AH7" s="601"/>
      <c r="AI7" s="601"/>
      <c r="AJ7" s="601"/>
      <c r="AK7" s="619"/>
      <c r="AL7" s="617"/>
    </row>
    <row r="8" spans="1:38" ht="15.75">
      <c r="A8" s="190"/>
      <c r="B8" s="324"/>
      <c r="C8" s="324"/>
      <c r="D8" s="366"/>
      <c r="E8" s="366"/>
      <c r="F8" s="639"/>
      <c r="G8" s="324"/>
      <c r="H8" s="324"/>
      <c r="I8" s="335"/>
      <c r="J8" s="599"/>
      <c r="K8" s="641"/>
      <c r="L8" s="641"/>
      <c r="M8" s="641"/>
      <c r="N8" s="641"/>
      <c r="O8" s="596"/>
      <c r="P8" s="597"/>
      <c r="Q8" s="597"/>
      <c r="R8" s="610"/>
      <c r="S8" s="613"/>
      <c r="T8" s="608"/>
      <c r="U8" s="604"/>
      <c r="V8" s="601"/>
      <c r="W8" s="601"/>
      <c r="X8" s="366"/>
      <c r="Y8" s="366"/>
      <c r="Z8" s="601"/>
      <c r="AA8" s="601"/>
      <c r="AB8" s="601"/>
      <c r="AC8" s="601"/>
      <c r="AD8" s="601"/>
      <c r="AE8" s="601"/>
      <c r="AF8" s="601"/>
      <c r="AG8" s="601"/>
      <c r="AH8" s="601"/>
      <c r="AI8" s="601"/>
      <c r="AJ8" s="601"/>
      <c r="AK8" s="619"/>
      <c r="AL8" s="617"/>
    </row>
    <row r="9" spans="1:38" ht="15.75">
      <c r="A9" s="190"/>
      <c r="B9" s="324"/>
      <c r="C9" s="324"/>
      <c r="D9" s="366"/>
      <c r="E9" s="366"/>
      <c r="F9" s="639"/>
      <c r="G9" s="324"/>
      <c r="H9" s="324"/>
      <c r="I9" s="335"/>
      <c r="J9" s="599"/>
      <c r="K9" s="641"/>
      <c r="L9" s="641"/>
      <c r="M9" s="641"/>
      <c r="N9" s="641"/>
      <c r="O9" s="596"/>
      <c r="P9" s="597"/>
      <c r="Q9" s="597"/>
      <c r="R9" s="610"/>
      <c r="S9" s="613"/>
      <c r="T9" s="588"/>
      <c r="U9" s="604"/>
      <c r="V9" s="601"/>
      <c r="W9" s="601"/>
      <c r="X9" s="366"/>
      <c r="Y9" s="366"/>
      <c r="Z9" s="601"/>
      <c r="AA9" s="601"/>
      <c r="AB9" s="601"/>
      <c r="AC9" s="601"/>
      <c r="AD9" s="601"/>
      <c r="AE9" s="601"/>
      <c r="AF9" s="601"/>
      <c r="AG9" s="601"/>
      <c r="AH9" s="601"/>
      <c r="AI9" s="601"/>
      <c r="AJ9" s="601"/>
      <c r="AK9" s="619"/>
      <c r="AL9" s="617"/>
    </row>
    <row r="10" spans="1:38" ht="15.75">
      <c r="A10" s="190"/>
      <c r="B10" s="324"/>
      <c r="C10" s="324"/>
      <c r="D10" s="366"/>
      <c r="E10" s="366"/>
      <c r="F10" s="639"/>
      <c r="G10" s="324"/>
      <c r="H10" s="324"/>
      <c r="I10" s="335"/>
      <c r="J10" s="599"/>
      <c r="K10" s="641"/>
      <c r="L10" s="641"/>
      <c r="M10" s="641"/>
      <c r="N10" s="641"/>
      <c r="O10" s="596"/>
      <c r="P10" s="597"/>
      <c r="Q10" s="597"/>
      <c r="R10" s="610"/>
      <c r="S10" s="613"/>
      <c r="T10" s="588"/>
      <c r="U10" s="604"/>
      <c r="V10" s="601"/>
      <c r="W10" s="601"/>
      <c r="X10" s="366"/>
      <c r="Y10" s="366"/>
      <c r="Z10" s="601"/>
      <c r="AA10" s="601"/>
      <c r="AB10" s="601"/>
      <c r="AC10" s="601"/>
      <c r="AD10" s="601"/>
      <c r="AE10" s="601"/>
      <c r="AF10" s="601"/>
      <c r="AG10" s="601"/>
      <c r="AH10" s="601"/>
      <c r="AI10" s="601"/>
      <c r="AJ10" s="601"/>
      <c r="AK10" s="619"/>
      <c r="AL10" s="617"/>
    </row>
    <row r="11" spans="1:38" ht="15.75">
      <c r="A11" s="190"/>
      <c r="B11" s="324"/>
      <c r="C11" s="324"/>
      <c r="D11" s="366"/>
      <c r="E11" s="366"/>
      <c r="F11" s="639"/>
      <c r="G11" s="324"/>
      <c r="H11" s="324"/>
      <c r="I11" s="335"/>
      <c r="J11" s="599"/>
      <c r="K11" s="641"/>
      <c r="L11" s="641"/>
      <c r="M11" s="641"/>
      <c r="N11" s="641"/>
      <c r="O11" s="596"/>
      <c r="P11" s="597"/>
      <c r="Q11" s="597"/>
      <c r="R11" s="610"/>
      <c r="S11" s="613"/>
      <c r="T11" s="588"/>
      <c r="U11" s="604"/>
      <c r="V11" s="601"/>
      <c r="W11" s="601"/>
      <c r="X11" s="366"/>
      <c r="Y11" s="366"/>
      <c r="Z11" s="601"/>
      <c r="AA11" s="601"/>
      <c r="AB11" s="601"/>
      <c r="AC11" s="601"/>
      <c r="AD11" s="601"/>
      <c r="AE11" s="601"/>
      <c r="AF11" s="601"/>
      <c r="AG11" s="601"/>
      <c r="AH11" s="601"/>
      <c r="AI11" s="601"/>
      <c r="AJ11" s="601"/>
      <c r="AK11" s="619"/>
      <c r="AL11" s="617"/>
    </row>
    <row r="12" spans="1:38" ht="15.75">
      <c r="A12" s="190"/>
      <c r="B12" s="324"/>
      <c r="C12" s="324"/>
      <c r="D12" s="366"/>
      <c r="E12" s="366"/>
      <c r="F12" s="639"/>
      <c r="G12" s="324"/>
      <c r="H12" s="324"/>
      <c r="I12" s="335"/>
      <c r="J12" s="599"/>
      <c r="K12" s="641"/>
      <c r="L12" s="641"/>
      <c r="M12" s="641"/>
      <c r="N12" s="641"/>
      <c r="O12" s="596"/>
      <c r="P12" s="597"/>
      <c r="Q12" s="597"/>
      <c r="R12" s="610"/>
      <c r="S12" s="613"/>
      <c r="T12" s="588"/>
      <c r="U12" s="604"/>
      <c r="V12" s="601"/>
      <c r="W12" s="601"/>
      <c r="X12" s="366"/>
      <c r="Y12" s="366"/>
      <c r="Z12" s="601"/>
      <c r="AA12" s="601"/>
      <c r="AB12" s="601"/>
      <c r="AC12" s="601"/>
      <c r="AD12" s="601"/>
      <c r="AE12" s="601"/>
      <c r="AF12" s="601"/>
      <c r="AG12" s="601"/>
      <c r="AH12" s="601"/>
      <c r="AI12" s="601"/>
      <c r="AJ12" s="601"/>
      <c r="AK12" s="619"/>
      <c r="AL12" s="617"/>
    </row>
    <row r="13" spans="1:38" ht="15.75">
      <c r="A13" s="190"/>
      <c r="B13" s="324"/>
      <c r="C13" s="324"/>
      <c r="D13" s="366"/>
      <c r="E13" s="366"/>
      <c r="F13" s="639"/>
      <c r="G13" s="324"/>
      <c r="H13" s="324"/>
      <c r="I13" s="335"/>
      <c r="J13" s="599"/>
      <c r="K13" s="641"/>
      <c r="L13" s="641"/>
      <c r="M13" s="641"/>
      <c r="N13" s="641"/>
      <c r="O13" s="596"/>
      <c r="P13" s="597"/>
      <c r="Q13" s="597"/>
      <c r="R13" s="611"/>
      <c r="S13" s="614"/>
      <c r="T13" s="588"/>
      <c r="U13" s="604"/>
      <c r="V13" s="605"/>
      <c r="W13" s="605"/>
      <c r="X13" s="138"/>
      <c r="Y13" s="138"/>
      <c r="Z13" s="605"/>
      <c r="AA13" s="605"/>
      <c r="AB13" s="605"/>
      <c r="AC13" s="605"/>
      <c r="AD13" s="605"/>
      <c r="AE13" s="605"/>
      <c r="AF13" s="138"/>
      <c r="AG13" s="605"/>
      <c r="AH13" s="605"/>
      <c r="AI13" s="605"/>
      <c r="AJ13" s="605"/>
      <c r="AK13" s="619"/>
      <c r="AL13" s="617"/>
    </row>
    <row r="14" spans="1:38" ht="15.75">
      <c r="A14" s="190"/>
      <c r="B14" s="324"/>
      <c r="C14" s="324"/>
      <c r="D14" s="366"/>
      <c r="E14" s="366"/>
      <c r="F14" s="639"/>
      <c r="G14" s="324"/>
      <c r="H14" s="324"/>
      <c r="I14" s="335"/>
      <c r="J14" s="599"/>
      <c r="K14" s="641"/>
      <c r="L14" s="641"/>
      <c r="M14" s="641"/>
      <c r="N14" s="641"/>
      <c r="O14" s="596"/>
      <c r="P14" s="597"/>
      <c r="Q14" s="597"/>
      <c r="R14" s="611"/>
      <c r="S14" s="614"/>
      <c r="T14" s="588"/>
      <c r="U14" s="604"/>
      <c r="V14" s="605"/>
      <c r="W14" s="605"/>
      <c r="X14" s="138"/>
      <c r="Y14" s="138"/>
      <c r="Z14" s="605"/>
      <c r="AA14" s="605"/>
      <c r="AB14" s="605"/>
      <c r="AC14" s="605"/>
      <c r="AD14" s="605"/>
      <c r="AE14" s="605"/>
      <c r="AF14" s="138"/>
      <c r="AG14" s="605"/>
      <c r="AH14" s="605"/>
      <c r="AI14" s="605"/>
      <c r="AJ14" s="605"/>
      <c r="AK14" s="619"/>
      <c r="AL14" s="617"/>
    </row>
    <row r="15" spans="1:38" ht="15.75">
      <c r="A15" s="190"/>
      <c r="B15" s="324"/>
      <c r="C15" s="324"/>
      <c r="D15" s="366"/>
      <c r="E15" s="366"/>
      <c r="F15" s="639"/>
      <c r="G15" s="324"/>
      <c r="H15" s="324"/>
      <c r="I15" s="335"/>
      <c r="J15" s="599"/>
      <c r="K15" s="641"/>
      <c r="L15" s="641"/>
      <c r="M15" s="641"/>
      <c r="N15" s="641"/>
      <c r="O15" s="596"/>
      <c r="P15" s="597"/>
      <c r="Q15" s="597"/>
      <c r="R15" s="611"/>
      <c r="S15" s="614"/>
      <c r="T15" s="588"/>
      <c r="U15" s="604"/>
      <c r="V15" s="605"/>
      <c r="W15" s="605"/>
      <c r="X15" s="138"/>
      <c r="Y15" s="138"/>
      <c r="Z15" s="605"/>
      <c r="AA15" s="605"/>
      <c r="AB15" s="605"/>
      <c r="AC15" s="605"/>
      <c r="AD15" s="605"/>
      <c r="AE15" s="605"/>
      <c r="AF15" s="138"/>
      <c r="AG15" s="605"/>
      <c r="AH15" s="605"/>
      <c r="AI15" s="605"/>
      <c r="AJ15" s="605"/>
      <c r="AK15" s="619"/>
      <c r="AL15" s="617"/>
    </row>
    <row r="16" spans="1:38" ht="15.75">
      <c r="A16" s="190"/>
      <c r="B16" s="324"/>
      <c r="C16" s="324"/>
      <c r="D16" s="366"/>
      <c r="E16" s="366"/>
      <c r="F16" s="639"/>
      <c r="G16" s="324"/>
      <c r="H16" s="324"/>
      <c r="I16" s="335"/>
      <c r="J16" s="599"/>
      <c r="K16" s="641"/>
      <c r="L16" s="641"/>
      <c r="M16" s="641"/>
      <c r="N16" s="641"/>
      <c r="O16" s="596"/>
      <c r="P16" s="597"/>
      <c r="Q16" s="597"/>
      <c r="R16" s="611"/>
      <c r="S16" s="614"/>
      <c r="T16" s="588"/>
      <c r="U16" s="604"/>
      <c r="V16" s="605"/>
      <c r="W16" s="605"/>
      <c r="X16" s="138"/>
      <c r="Y16" s="138"/>
      <c r="Z16" s="605"/>
      <c r="AA16" s="605"/>
      <c r="AB16" s="605"/>
      <c r="AC16" s="605"/>
      <c r="AD16" s="605"/>
      <c r="AE16" s="605"/>
      <c r="AF16" s="138"/>
      <c r="AG16" s="605"/>
      <c r="AH16" s="605"/>
      <c r="AI16" s="605"/>
      <c r="AJ16" s="605"/>
      <c r="AK16" s="619"/>
      <c r="AL16" s="617"/>
    </row>
    <row r="17" spans="1:38" ht="15.75">
      <c r="A17" s="190"/>
      <c r="B17" s="324"/>
      <c r="C17" s="324"/>
      <c r="D17" s="366"/>
      <c r="E17" s="366"/>
      <c r="F17" s="639"/>
      <c r="G17" s="324"/>
      <c r="H17" s="324"/>
      <c r="I17" s="335"/>
      <c r="J17" s="599"/>
      <c r="K17" s="641"/>
      <c r="L17" s="641"/>
      <c r="M17" s="641"/>
      <c r="N17" s="641"/>
      <c r="O17" s="596"/>
      <c r="P17" s="597"/>
      <c r="Q17" s="597"/>
      <c r="R17" s="611"/>
      <c r="S17" s="614"/>
      <c r="T17" s="588"/>
      <c r="U17" s="604"/>
      <c r="V17" s="605"/>
      <c r="W17" s="605"/>
      <c r="X17" s="138"/>
      <c r="Y17" s="138"/>
      <c r="Z17" s="605"/>
      <c r="AA17" s="605"/>
      <c r="AB17" s="605"/>
      <c r="AC17" s="605"/>
      <c r="AD17" s="605"/>
      <c r="AE17" s="605"/>
      <c r="AF17" s="138"/>
      <c r="AG17" s="605"/>
      <c r="AH17" s="605"/>
      <c r="AI17" s="605"/>
      <c r="AJ17" s="605"/>
      <c r="AK17" s="619"/>
      <c r="AL17" s="617"/>
    </row>
    <row r="18" spans="1:38" ht="15.75">
      <c r="A18" s="190"/>
      <c r="B18" s="324"/>
      <c r="C18" s="324"/>
      <c r="D18" s="366"/>
      <c r="E18" s="366"/>
      <c r="F18" s="639"/>
      <c r="G18" s="324"/>
      <c r="H18" s="324"/>
      <c r="I18" s="335"/>
      <c r="J18" s="599"/>
      <c r="K18" s="641"/>
      <c r="L18" s="641"/>
      <c r="M18" s="641"/>
      <c r="N18" s="641"/>
      <c r="O18" s="596"/>
      <c r="P18" s="597"/>
      <c r="Q18" s="597"/>
      <c r="R18" s="611"/>
      <c r="S18" s="614"/>
      <c r="T18" s="588"/>
      <c r="U18" s="604"/>
      <c r="V18" s="605"/>
      <c r="W18" s="605"/>
      <c r="X18" s="138"/>
      <c r="Y18" s="138"/>
      <c r="Z18" s="605"/>
      <c r="AA18" s="605"/>
      <c r="AB18" s="605"/>
      <c r="AC18" s="605"/>
      <c r="AD18" s="605"/>
      <c r="AE18" s="605"/>
      <c r="AF18" s="138"/>
      <c r="AG18" s="605"/>
      <c r="AH18" s="605"/>
      <c r="AI18" s="605"/>
      <c r="AJ18" s="605"/>
      <c r="AK18" s="619"/>
      <c r="AL18" s="617"/>
    </row>
    <row r="19" spans="1:38" ht="15.75">
      <c r="A19" s="190"/>
      <c r="B19" s="324"/>
      <c r="C19" s="324"/>
      <c r="D19" s="366"/>
      <c r="E19" s="366"/>
      <c r="F19" s="639"/>
      <c r="G19" s="324"/>
      <c r="H19" s="324"/>
      <c r="I19" s="335"/>
      <c r="J19" s="599"/>
      <c r="K19" s="641"/>
      <c r="L19" s="641"/>
      <c r="M19" s="641"/>
      <c r="N19" s="641"/>
      <c r="O19" s="596"/>
      <c r="P19" s="597"/>
      <c r="Q19" s="597"/>
      <c r="R19" s="611"/>
      <c r="S19" s="614"/>
      <c r="T19" s="588"/>
      <c r="U19" s="604"/>
      <c r="V19" s="605"/>
      <c r="W19" s="605"/>
      <c r="X19" s="138"/>
      <c r="Y19" s="138"/>
      <c r="Z19" s="605"/>
      <c r="AA19" s="605"/>
      <c r="AB19" s="605"/>
      <c r="AC19" s="605"/>
      <c r="AD19" s="605"/>
      <c r="AE19" s="605"/>
      <c r="AF19" s="138"/>
      <c r="AG19" s="605"/>
      <c r="AH19" s="605"/>
      <c r="AI19" s="605"/>
      <c r="AJ19" s="605"/>
      <c r="AK19" s="619"/>
      <c r="AL19" s="617"/>
    </row>
    <row r="20" spans="1:38" ht="15.75">
      <c r="A20" s="190"/>
      <c r="B20" s="324"/>
      <c r="C20" s="324"/>
      <c r="D20" s="366"/>
      <c r="E20" s="366"/>
      <c r="F20" s="639"/>
      <c r="G20" s="324"/>
      <c r="H20" s="324"/>
      <c r="I20" s="335"/>
      <c r="J20" s="599"/>
      <c r="K20" s="641"/>
      <c r="L20" s="641"/>
      <c r="M20" s="641"/>
      <c r="N20" s="641"/>
      <c r="O20" s="596"/>
      <c r="P20" s="597"/>
      <c r="Q20" s="597"/>
      <c r="R20" s="611"/>
      <c r="S20" s="614"/>
      <c r="T20" s="588"/>
      <c r="U20" s="604"/>
      <c r="V20" s="605"/>
      <c r="W20" s="605"/>
      <c r="X20" s="138"/>
      <c r="Y20" s="138"/>
      <c r="Z20" s="605"/>
      <c r="AA20" s="605"/>
      <c r="AB20" s="605"/>
      <c r="AC20" s="605"/>
      <c r="AD20" s="605"/>
      <c r="AE20" s="605"/>
      <c r="AF20" s="138"/>
      <c r="AG20" s="605"/>
      <c r="AH20" s="605"/>
      <c r="AI20" s="605"/>
      <c r="AJ20" s="605"/>
      <c r="AK20" s="619"/>
      <c r="AL20" s="617"/>
    </row>
    <row r="21" spans="1:38" ht="15.75">
      <c r="A21" s="190"/>
      <c r="B21" s="324"/>
      <c r="C21" s="324"/>
      <c r="D21" s="366"/>
      <c r="E21" s="366"/>
      <c r="F21" s="639"/>
      <c r="G21" s="324"/>
      <c r="H21" s="324"/>
      <c r="I21" s="335"/>
      <c r="J21" s="599"/>
      <c r="K21" s="641"/>
      <c r="L21" s="641"/>
      <c r="M21" s="641"/>
      <c r="N21" s="641"/>
      <c r="O21" s="596"/>
      <c r="P21" s="597"/>
      <c r="Q21" s="597"/>
      <c r="R21" s="611"/>
      <c r="S21" s="614"/>
      <c r="T21" s="588"/>
      <c r="U21" s="604"/>
      <c r="V21" s="605"/>
      <c r="W21" s="605"/>
      <c r="X21" s="138"/>
      <c r="Y21" s="138"/>
      <c r="Z21" s="605"/>
      <c r="AA21" s="605"/>
      <c r="AB21" s="605"/>
      <c r="AC21" s="605"/>
      <c r="AD21" s="605"/>
      <c r="AE21" s="605"/>
      <c r="AF21" s="138"/>
      <c r="AG21" s="605"/>
      <c r="AH21" s="605"/>
      <c r="AI21" s="605"/>
      <c r="AJ21" s="605"/>
      <c r="AK21" s="619"/>
      <c r="AL21" s="617"/>
    </row>
    <row r="22" spans="1:38" ht="15.75">
      <c r="A22" s="190"/>
      <c r="B22" s="324"/>
      <c r="C22" s="324"/>
      <c r="D22" s="366"/>
      <c r="E22" s="366"/>
      <c r="F22" s="639"/>
      <c r="G22" s="324"/>
      <c r="H22" s="324"/>
      <c r="I22" s="335"/>
      <c r="J22" s="599"/>
      <c r="K22" s="641"/>
      <c r="L22" s="641"/>
      <c r="M22" s="641"/>
      <c r="N22" s="641"/>
      <c r="O22" s="596"/>
      <c r="P22" s="597"/>
      <c r="Q22" s="597"/>
      <c r="R22" s="611"/>
      <c r="S22" s="614"/>
      <c r="T22" s="588"/>
      <c r="U22" s="604"/>
      <c r="V22" s="605"/>
      <c r="W22" s="605"/>
      <c r="X22" s="138"/>
      <c r="Y22" s="138"/>
      <c r="Z22" s="605"/>
      <c r="AA22" s="605"/>
      <c r="AB22" s="605"/>
      <c r="AC22" s="605"/>
      <c r="AD22" s="605"/>
      <c r="AE22" s="605"/>
      <c r="AF22" s="138"/>
      <c r="AG22" s="605"/>
      <c r="AH22" s="605"/>
      <c r="AI22" s="605"/>
      <c r="AJ22" s="605"/>
      <c r="AK22" s="619"/>
      <c r="AL22" s="617"/>
    </row>
    <row r="23" spans="1:38" ht="15.75">
      <c r="A23" s="190"/>
      <c r="B23" s="324"/>
      <c r="C23" s="324"/>
      <c r="D23" s="366"/>
      <c r="E23" s="366"/>
      <c r="F23" s="639"/>
      <c r="G23" s="324"/>
      <c r="H23" s="324"/>
      <c r="I23" s="335"/>
      <c r="J23" s="599"/>
      <c r="K23" s="641"/>
      <c r="L23" s="641"/>
      <c r="M23" s="641"/>
      <c r="N23" s="641"/>
      <c r="O23" s="596"/>
      <c r="P23" s="597"/>
      <c r="Q23" s="597"/>
      <c r="R23" s="611"/>
      <c r="S23" s="614"/>
      <c r="T23" s="588"/>
      <c r="U23" s="604"/>
      <c r="V23" s="605"/>
      <c r="W23" s="605"/>
      <c r="X23" s="138"/>
      <c r="Y23" s="138"/>
      <c r="Z23" s="605"/>
      <c r="AA23" s="605"/>
      <c r="AB23" s="605"/>
      <c r="AC23" s="605"/>
      <c r="AD23" s="605"/>
      <c r="AE23" s="605"/>
      <c r="AF23" s="138"/>
      <c r="AG23" s="605"/>
      <c r="AH23" s="605"/>
      <c r="AI23" s="605"/>
      <c r="AJ23" s="605"/>
      <c r="AK23" s="619"/>
      <c r="AL23" s="617"/>
    </row>
    <row r="24" spans="1:38" ht="15.75">
      <c r="A24" s="190"/>
      <c r="B24" s="324"/>
      <c r="C24" s="324"/>
      <c r="D24" s="366"/>
      <c r="E24" s="366"/>
      <c r="F24" s="639"/>
      <c r="G24" s="324"/>
      <c r="H24" s="324"/>
      <c r="I24" s="335"/>
      <c r="J24" s="599"/>
      <c r="K24" s="641"/>
      <c r="L24" s="641"/>
      <c r="M24" s="641"/>
      <c r="N24" s="641"/>
      <c r="O24" s="596"/>
      <c r="P24" s="597"/>
      <c r="Q24" s="597"/>
      <c r="R24" s="611"/>
      <c r="S24" s="614"/>
      <c r="T24" s="588"/>
      <c r="U24" s="604"/>
      <c r="V24" s="605"/>
      <c r="W24" s="605"/>
      <c r="X24" s="138"/>
      <c r="Y24" s="138"/>
      <c r="Z24" s="605"/>
      <c r="AA24" s="605"/>
      <c r="AB24" s="605"/>
      <c r="AC24" s="605"/>
      <c r="AD24" s="605"/>
      <c r="AE24" s="605"/>
      <c r="AF24" s="138"/>
      <c r="AG24" s="605"/>
      <c r="AH24" s="605"/>
      <c r="AI24" s="605"/>
      <c r="AJ24" s="605"/>
      <c r="AK24" s="619"/>
      <c r="AL24" s="617"/>
    </row>
    <row r="25" spans="1:38" ht="15.75">
      <c r="A25" s="190"/>
      <c r="B25" s="324"/>
      <c r="C25" s="324"/>
      <c r="D25" s="366"/>
      <c r="E25" s="366"/>
      <c r="F25" s="639"/>
      <c r="G25" s="324"/>
      <c r="H25" s="324"/>
      <c r="I25" s="335"/>
      <c r="J25" s="599"/>
      <c r="K25" s="641"/>
      <c r="L25" s="641"/>
      <c r="M25" s="641"/>
      <c r="N25" s="641"/>
      <c r="O25" s="596"/>
      <c r="P25" s="597"/>
      <c r="Q25" s="597"/>
      <c r="R25" s="611"/>
      <c r="S25" s="614"/>
      <c r="T25" s="588"/>
      <c r="U25" s="604"/>
      <c r="V25" s="605"/>
      <c r="W25" s="605"/>
      <c r="X25" s="138"/>
      <c r="Y25" s="138"/>
      <c r="Z25" s="605"/>
      <c r="AA25" s="605"/>
      <c r="AB25" s="605"/>
      <c r="AC25" s="605"/>
      <c r="AD25" s="605"/>
      <c r="AE25" s="605"/>
      <c r="AF25" s="138"/>
      <c r="AG25" s="605"/>
      <c r="AH25" s="605"/>
      <c r="AI25" s="605"/>
      <c r="AJ25" s="605"/>
      <c r="AK25" s="619"/>
      <c r="AL25" s="617"/>
    </row>
    <row r="26" spans="1:38" ht="15.75">
      <c r="A26" s="190"/>
      <c r="B26" s="324"/>
      <c r="C26" s="324"/>
      <c r="D26" s="366"/>
      <c r="E26" s="366"/>
      <c r="F26" s="639"/>
      <c r="G26" s="324"/>
      <c r="H26" s="324"/>
      <c r="I26" s="335"/>
      <c r="J26" s="599"/>
      <c r="K26" s="641"/>
      <c r="L26" s="641"/>
      <c r="M26" s="641"/>
      <c r="N26" s="641"/>
      <c r="O26" s="596"/>
      <c r="P26" s="597"/>
      <c r="Q26" s="597"/>
      <c r="R26" s="611"/>
      <c r="S26" s="614"/>
      <c r="T26" s="588"/>
      <c r="U26" s="604"/>
      <c r="V26" s="605"/>
      <c r="W26" s="605"/>
      <c r="X26" s="138"/>
      <c r="Y26" s="138"/>
      <c r="Z26" s="605"/>
      <c r="AA26" s="605"/>
      <c r="AB26" s="605"/>
      <c r="AC26" s="605"/>
      <c r="AD26" s="605"/>
      <c r="AE26" s="605"/>
      <c r="AF26" s="138"/>
      <c r="AG26" s="605"/>
      <c r="AH26" s="605"/>
      <c r="AI26" s="605"/>
      <c r="AJ26" s="605"/>
      <c r="AK26" s="619"/>
      <c r="AL26" s="617"/>
    </row>
    <row r="27" spans="1:38" ht="15.75">
      <c r="A27" s="190"/>
      <c r="B27" s="324"/>
      <c r="C27" s="324"/>
      <c r="D27" s="366"/>
      <c r="E27" s="366"/>
      <c r="F27" s="639"/>
      <c r="G27" s="324"/>
      <c r="H27" s="324"/>
      <c r="I27" s="335"/>
      <c r="J27" s="599"/>
      <c r="K27" s="641"/>
      <c r="L27" s="641"/>
      <c r="M27" s="641"/>
      <c r="N27" s="641"/>
      <c r="O27" s="596"/>
      <c r="P27" s="597"/>
      <c r="Q27" s="597"/>
      <c r="R27" s="611"/>
      <c r="S27" s="614"/>
      <c r="T27" s="588"/>
      <c r="U27" s="604"/>
      <c r="V27" s="605"/>
      <c r="W27" s="605"/>
      <c r="X27" s="138"/>
      <c r="Y27" s="138"/>
      <c r="Z27" s="605"/>
      <c r="AA27" s="605"/>
      <c r="AB27" s="605"/>
      <c r="AC27" s="605"/>
      <c r="AD27" s="605"/>
      <c r="AE27" s="605"/>
      <c r="AF27" s="138"/>
      <c r="AG27" s="605"/>
      <c r="AH27" s="605"/>
      <c r="AI27" s="605"/>
      <c r="AJ27" s="605"/>
      <c r="AK27" s="619"/>
      <c r="AL27" s="617"/>
    </row>
    <row r="28" spans="1:38" ht="15.75">
      <c r="A28" s="190"/>
      <c r="B28" s="324"/>
      <c r="C28" s="324"/>
      <c r="D28" s="366"/>
      <c r="E28" s="366"/>
      <c r="F28" s="639"/>
      <c r="G28" s="324"/>
      <c r="H28" s="324"/>
      <c r="I28" s="335"/>
      <c r="J28" s="599"/>
      <c r="K28" s="641"/>
      <c r="L28" s="641"/>
      <c r="M28" s="641"/>
      <c r="N28" s="641"/>
      <c r="O28" s="596"/>
      <c r="P28" s="597"/>
      <c r="Q28" s="597"/>
      <c r="R28" s="611"/>
      <c r="S28" s="614"/>
      <c r="T28" s="588"/>
      <c r="U28" s="604"/>
      <c r="V28" s="605"/>
      <c r="W28" s="605"/>
      <c r="X28" s="138"/>
      <c r="Y28" s="138"/>
      <c r="Z28" s="605"/>
      <c r="AA28" s="605"/>
      <c r="AB28" s="605"/>
      <c r="AC28" s="605"/>
      <c r="AD28" s="605"/>
      <c r="AE28" s="605"/>
      <c r="AF28" s="138"/>
      <c r="AG28" s="605"/>
      <c r="AH28" s="605"/>
      <c r="AI28" s="605"/>
      <c r="AJ28" s="605"/>
      <c r="AK28" s="619"/>
      <c r="AL28" s="617"/>
    </row>
    <row r="29" spans="1:38" ht="15.75">
      <c r="A29" s="190"/>
      <c r="B29" s="324"/>
      <c r="C29" s="324"/>
      <c r="D29" s="366"/>
      <c r="E29" s="366"/>
      <c r="F29" s="639"/>
      <c r="G29" s="324"/>
      <c r="H29" s="324"/>
      <c r="I29" s="335"/>
      <c r="J29" s="599"/>
      <c r="K29" s="641"/>
      <c r="L29" s="641"/>
      <c r="M29" s="641"/>
      <c r="N29" s="641"/>
      <c r="O29" s="596"/>
      <c r="P29" s="597"/>
      <c r="Q29" s="597"/>
      <c r="R29" s="611"/>
      <c r="S29" s="614"/>
      <c r="T29" s="588"/>
      <c r="U29" s="604"/>
      <c r="V29" s="605"/>
      <c r="W29" s="605"/>
      <c r="X29" s="138"/>
      <c r="Y29" s="138"/>
      <c r="Z29" s="605"/>
      <c r="AA29" s="605"/>
      <c r="AB29" s="605"/>
      <c r="AC29" s="605"/>
      <c r="AD29" s="605"/>
      <c r="AE29" s="605"/>
      <c r="AF29" s="138"/>
      <c r="AG29" s="605"/>
      <c r="AH29" s="605"/>
      <c r="AI29" s="605"/>
      <c r="AJ29" s="605"/>
      <c r="AK29" s="619"/>
      <c r="AL29" s="617"/>
    </row>
    <row r="30" spans="1:38" ht="15.75">
      <c r="A30" s="190"/>
      <c r="B30" s="324"/>
      <c r="C30" s="324"/>
      <c r="D30" s="366"/>
      <c r="E30" s="366"/>
      <c r="F30" s="639"/>
      <c r="G30" s="324"/>
      <c r="H30" s="324"/>
      <c r="I30" s="335"/>
      <c r="J30" s="599"/>
      <c r="K30" s="641"/>
      <c r="L30" s="641"/>
      <c r="M30" s="641"/>
      <c r="N30" s="641"/>
      <c r="O30" s="596"/>
      <c r="P30" s="597"/>
      <c r="Q30" s="597"/>
      <c r="R30" s="611"/>
      <c r="S30" s="614"/>
      <c r="T30" s="588"/>
      <c r="U30" s="604"/>
      <c r="V30" s="605"/>
      <c r="W30" s="605"/>
      <c r="X30" s="138"/>
      <c r="Y30" s="138"/>
      <c r="Z30" s="605"/>
      <c r="AA30" s="605"/>
      <c r="AB30" s="605"/>
      <c r="AC30" s="605"/>
      <c r="AD30" s="605"/>
      <c r="AE30" s="605"/>
      <c r="AF30" s="138"/>
      <c r="AG30" s="605"/>
      <c r="AH30" s="605"/>
      <c r="AI30" s="605"/>
      <c r="AJ30" s="605"/>
      <c r="AK30" s="619"/>
      <c r="AL30" s="617"/>
    </row>
    <row r="31" spans="1:38" ht="15.75">
      <c r="A31" s="190"/>
      <c r="B31" s="324"/>
      <c r="C31" s="324"/>
      <c r="D31" s="366"/>
      <c r="E31" s="366"/>
      <c r="F31" s="639"/>
      <c r="G31" s="324"/>
      <c r="H31" s="324"/>
      <c r="I31" s="335"/>
      <c r="J31" s="599"/>
      <c r="K31" s="641"/>
      <c r="L31" s="641"/>
      <c r="M31" s="641"/>
      <c r="N31" s="641"/>
      <c r="O31" s="596"/>
      <c r="P31" s="597"/>
      <c r="Q31" s="597"/>
      <c r="R31" s="611"/>
      <c r="S31" s="614"/>
      <c r="T31" s="588"/>
      <c r="U31" s="604"/>
      <c r="V31" s="605"/>
      <c r="W31" s="605"/>
      <c r="X31" s="138"/>
      <c r="Y31" s="138"/>
      <c r="Z31" s="605"/>
      <c r="AA31" s="605"/>
      <c r="AB31" s="605"/>
      <c r="AC31" s="605"/>
      <c r="AD31" s="605"/>
      <c r="AE31" s="605"/>
      <c r="AF31" s="138"/>
      <c r="AG31" s="605"/>
      <c r="AH31" s="605"/>
      <c r="AI31" s="605"/>
      <c r="AJ31" s="605"/>
      <c r="AK31" s="619"/>
      <c r="AL31" s="617"/>
    </row>
    <row r="32" spans="1:38" ht="15.75">
      <c r="A32" s="190"/>
      <c r="B32" s="324"/>
      <c r="C32" s="324"/>
      <c r="D32" s="366"/>
      <c r="E32" s="366"/>
      <c r="F32" s="639"/>
      <c r="G32" s="324"/>
      <c r="H32" s="324"/>
      <c r="I32" s="335"/>
      <c r="J32" s="599"/>
      <c r="K32" s="641"/>
      <c r="L32" s="641"/>
      <c r="M32" s="641"/>
      <c r="N32" s="641"/>
      <c r="O32" s="596"/>
      <c r="P32" s="597"/>
      <c r="Q32" s="597"/>
      <c r="R32" s="611"/>
      <c r="S32" s="614"/>
      <c r="T32" s="588"/>
      <c r="U32" s="604"/>
      <c r="V32" s="605"/>
      <c r="W32" s="605"/>
      <c r="X32" s="138"/>
      <c r="Y32" s="138"/>
      <c r="Z32" s="605"/>
      <c r="AA32" s="605"/>
      <c r="AB32" s="605"/>
      <c r="AC32" s="605"/>
      <c r="AD32" s="605"/>
      <c r="AE32" s="605"/>
      <c r="AF32" s="138"/>
      <c r="AG32" s="605"/>
      <c r="AH32" s="605"/>
      <c r="AI32" s="605"/>
      <c r="AJ32" s="605"/>
      <c r="AK32" s="619"/>
      <c r="AL32" s="617"/>
    </row>
    <row r="33" spans="1:38" ht="15.75">
      <c r="A33" s="190"/>
      <c r="B33" s="324"/>
      <c r="C33" s="324"/>
      <c r="D33" s="366"/>
      <c r="E33" s="366"/>
      <c r="F33" s="639"/>
      <c r="G33" s="324"/>
      <c r="H33" s="324"/>
      <c r="I33" s="335"/>
      <c r="J33" s="599"/>
      <c r="K33" s="641"/>
      <c r="L33" s="641"/>
      <c r="M33" s="641"/>
      <c r="N33" s="641"/>
      <c r="O33" s="596"/>
      <c r="P33" s="597"/>
      <c r="Q33" s="597"/>
      <c r="R33" s="611"/>
      <c r="S33" s="614"/>
      <c r="T33" s="588"/>
      <c r="U33" s="604"/>
      <c r="V33" s="605"/>
      <c r="W33" s="605"/>
      <c r="X33" s="138"/>
      <c r="Y33" s="138"/>
      <c r="Z33" s="605"/>
      <c r="AA33" s="605"/>
      <c r="AB33" s="605"/>
      <c r="AC33" s="605"/>
      <c r="AD33" s="605"/>
      <c r="AE33" s="605"/>
      <c r="AF33" s="138"/>
      <c r="AG33" s="605"/>
      <c r="AH33" s="605"/>
      <c r="AI33" s="605"/>
      <c r="AJ33" s="605"/>
      <c r="AK33" s="619"/>
      <c r="AL33" s="617"/>
    </row>
    <row r="34" spans="1:38" ht="15.75">
      <c r="A34" s="190"/>
      <c r="B34" s="324"/>
      <c r="C34" s="324"/>
      <c r="D34" s="366"/>
      <c r="E34" s="366"/>
      <c r="F34" s="639"/>
      <c r="G34" s="324"/>
      <c r="H34" s="324"/>
      <c r="I34" s="335"/>
      <c r="J34" s="599"/>
      <c r="K34" s="641"/>
      <c r="L34" s="641"/>
      <c r="M34" s="641"/>
      <c r="N34" s="641"/>
      <c r="O34" s="596"/>
      <c r="P34" s="597"/>
      <c r="Q34" s="597"/>
      <c r="R34" s="611"/>
      <c r="S34" s="614"/>
      <c r="T34" s="588"/>
      <c r="U34" s="604"/>
      <c r="V34" s="605"/>
      <c r="W34" s="605"/>
      <c r="X34" s="138"/>
      <c r="Y34" s="138"/>
      <c r="Z34" s="605"/>
      <c r="AA34" s="605"/>
      <c r="AB34" s="605"/>
      <c r="AC34" s="605"/>
      <c r="AD34" s="605"/>
      <c r="AE34" s="605"/>
      <c r="AF34" s="138"/>
      <c r="AG34" s="605"/>
      <c r="AH34" s="605"/>
      <c r="AI34" s="605"/>
      <c r="AJ34" s="605"/>
      <c r="AK34" s="619"/>
      <c r="AL34" s="617"/>
    </row>
    <row r="35" spans="1:38" ht="15.75">
      <c r="A35" s="190"/>
      <c r="B35" s="324"/>
      <c r="C35" s="324"/>
      <c r="D35" s="366"/>
      <c r="E35" s="366"/>
      <c r="F35" s="639"/>
      <c r="G35" s="324"/>
      <c r="H35" s="324"/>
      <c r="I35" s="335"/>
      <c r="J35" s="599"/>
      <c r="K35" s="641"/>
      <c r="L35" s="641"/>
      <c r="M35" s="641"/>
      <c r="N35" s="641"/>
      <c r="O35" s="596"/>
      <c r="P35" s="597"/>
      <c r="Q35" s="597"/>
      <c r="R35" s="611"/>
      <c r="S35" s="614"/>
      <c r="T35" s="588"/>
      <c r="U35" s="604"/>
      <c r="V35" s="605"/>
      <c r="W35" s="605"/>
      <c r="X35" s="138"/>
      <c r="Y35" s="138"/>
      <c r="Z35" s="605"/>
      <c r="AA35" s="605"/>
      <c r="AB35" s="605"/>
      <c r="AC35" s="605"/>
      <c r="AD35" s="605"/>
      <c r="AE35" s="605"/>
      <c r="AF35" s="138"/>
      <c r="AG35" s="605"/>
      <c r="AH35" s="605"/>
      <c r="AI35" s="605"/>
      <c r="AJ35" s="605"/>
      <c r="AK35" s="619"/>
      <c r="AL35" s="617"/>
    </row>
    <row r="36" spans="1:38" ht="15.75">
      <c r="A36" s="190"/>
      <c r="B36" s="324"/>
      <c r="C36" s="324"/>
      <c r="D36" s="366"/>
      <c r="E36" s="366"/>
      <c r="F36" s="639"/>
      <c r="G36" s="324"/>
      <c r="H36" s="324"/>
      <c r="I36" s="335"/>
      <c r="J36" s="599"/>
      <c r="K36" s="641"/>
      <c r="L36" s="641"/>
      <c r="M36" s="641"/>
      <c r="N36" s="641"/>
      <c r="O36" s="596"/>
      <c r="P36" s="597"/>
      <c r="Q36" s="597"/>
      <c r="R36" s="611"/>
      <c r="S36" s="614"/>
      <c r="T36" s="588"/>
      <c r="U36" s="604"/>
      <c r="V36" s="605"/>
      <c r="W36" s="605"/>
      <c r="X36" s="138"/>
      <c r="Y36" s="138"/>
      <c r="Z36" s="605"/>
      <c r="AA36" s="605"/>
      <c r="AB36" s="605"/>
      <c r="AC36" s="605"/>
      <c r="AD36" s="605"/>
      <c r="AE36" s="605"/>
      <c r="AF36" s="138"/>
      <c r="AG36" s="605"/>
      <c r="AH36" s="605"/>
      <c r="AI36" s="605"/>
      <c r="AJ36" s="605"/>
      <c r="AK36" s="619"/>
      <c r="AL36" s="617"/>
    </row>
    <row r="37" spans="1:38" ht="15.75">
      <c r="A37" s="190"/>
      <c r="B37" s="324"/>
      <c r="C37" s="324"/>
      <c r="D37" s="366"/>
      <c r="E37" s="366"/>
      <c r="F37" s="639"/>
      <c r="G37" s="324"/>
      <c r="H37" s="324"/>
      <c r="I37" s="335"/>
      <c r="J37" s="599"/>
      <c r="K37" s="641"/>
      <c r="L37" s="641"/>
      <c r="M37" s="641"/>
      <c r="N37" s="641"/>
      <c r="O37" s="596"/>
      <c r="P37" s="597"/>
      <c r="Q37" s="597"/>
      <c r="R37" s="611"/>
      <c r="S37" s="614"/>
      <c r="T37" s="588"/>
      <c r="U37" s="604"/>
      <c r="V37" s="605"/>
      <c r="W37" s="605"/>
      <c r="X37" s="138"/>
      <c r="Y37" s="138"/>
      <c r="Z37" s="605"/>
      <c r="AA37" s="605"/>
      <c r="AB37" s="605"/>
      <c r="AC37" s="605"/>
      <c r="AD37" s="605"/>
      <c r="AE37" s="605"/>
      <c r="AF37" s="138"/>
      <c r="AG37" s="605"/>
      <c r="AH37" s="605"/>
      <c r="AI37" s="605"/>
      <c r="AJ37" s="605"/>
      <c r="AK37" s="619"/>
      <c r="AL37" s="617"/>
    </row>
    <row r="38" spans="1:38" ht="15.75">
      <c r="A38" s="190"/>
      <c r="B38" s="324"/>
      <c r="C38" s="324"/>
      <c r="D38" s="366"/>
      <c r="E38" s="366"/>
      <c r="F38" s="639"/>
      <c r="G38" s="324"/>
      <c r="H38" s="324"/>
      <c r="I38" s="335"/>
      <c r="J38" s="599"/>
      <c r="K38" s="641"/>
      <c r="L38" s="641"/>
      <c r="M38" s="641"/>
      <c r="N38" s="641"/>
      <c r="O38" s="596"/>
      <c r="P38" s="597"/>
      <c r="Q38" s="597"/>
      <c r="R38" s="611"/>
      <c r="S38" s="614"/>
      <c r="T38" s="588"/>
      <c r="U38" s="604"/>
      <c r="V38" s="605"/>
      <c r="W38" s="605"/>
      <c r="X38" s="138"/>
      <c r="Y38" s="138"/>
      <c r="Z38" s="605"/>
      <c r="AA38" s="605"/>
      <c r="AB38" s="605"/>
      <c r="AC38" s="605"/>
      <c r="AD38" s="605"/>
      <c r="AE38" s="605"/>
      <c r="AF38" s="138"/>
      <c r="AG38" s="605"/>
      <c r="AH38" s="605"/>
      <c r="AI38" s="605"/>
      <c r="AJ38" s="605"/>
      <c r="AK38" s="619"/>
      <c r="AL38" s="617"/>
    </row>
    <row r="39" spans="1:38" ht="15.75">
      <c r="A39" s="190"/>
      <c r="B39" s="324"/>
      <c r="C39" s="324"/>
      <c r="D39" s="366"/>
      <c r="E39" s="366"/>
      <c r="F39" s="639"/>
      <c r="G39" s="324"/>
      <c r="H39" s="324"/>
      <c r="I39" s="335"/>
      <c r="J39" s="599"/>
      <c r="K39" s="641"/>
      <c r="L39" s="641"/>
      <c r="M39" s="641"/>
      <c r="N39" s="641"/>
      <c r="O39" s="596"/>
      <c r="P39" s="597"/>
      <c r="Q39" s="597"/>
      <c r="R39" s="611"/>
      <c r="S39" s="614"/>
      <c r="T39" s="588"/>
      <c r="U39" s="188"/>
      <c r="V39" s="601"/>
      <c r="W39" s="601"/>
      <c r="X39" s="366"/>
      <c r="Y39" s="366"/>
      <c r="Z39" s="366"/>
      <c r="AA39" s="601"/>
      <c r="AB39" s="366"/>
      <c r="AC39" s="601"/>
      <c r="AD39" s="366"/>
      <c r="AE39" s="601"/>
      <c r="AF39" s="366"/>
      <c r="AG39" s="601"/>
      <c r="AH39" s="601"/>
      <c r="AI39" s="601"/>
      <c r="AJ39" s="601"/>
      <c r="AK39" s="619"/>
      <c r="AL39" s="617"/>
    </row>
    <row r="40" spans="1:38" ht="15.75">
      <c r="A40" s="190"/>
      <c r="B40" s="324"/>
      <c r="C40" s="324"/>
      <c r="D40" s="366"/>
      <c r="E40" s="366"/>
      <c r="F40" s="639"/>
      <c r="G40" s="324"/>
      <c r="H40" s="324"/>
      <c r="I40" s="335"/>
      <c r="J40" s="366"/>
      <c r="K40" s="641"/>
      <c r="L40" s="641"/>
      <c r="M40" s="641"/>
      <c r="N40" s="641"/>
      <c r="O40" s="366"/>
      <c r="P40" s="366"/>
      <c r="Q40" s="366"/>
      <c r="R40" s="611"/>
      <c r="S40" s="614"/>
      <c r="T40" s="588"/>
      <c r="U40" s="188"/>
      <c r="V40" s="366"/>
      <c r="W40" s="366"/>
      <c r="X40" s="366"/>
      <c r="Y40" s="366"/>
      <c r="Z40" s="366"/>
      <c r="AA40" s="366"/>
      <c r="AB40" s="366"/>
      <c r="AC40" s="366"/>
      <c r="AD40" s="366"/>
      <c r="AE40" s="366"/>
      <c r="AF40" s="366"/>
      <c r="AG40" s="366"/>
      <c r="AH40" s="366"/>
      <c r="AI40" s="366"/>
      <c r="AJ40" s="366"/>
      <c r="AK40" s="619"/>
      <c r="AL40" s="617"/>
    </row>
    <row r="41" spans="1:38" ht="15.75">
      <c r="A41" s="190"/>
      <c r="B41" s="324"/>
      <c r="C41" s="324"/>
      <c r="D41" s="366"/>
      <c r="E41" s="366"/>
      <c r="F41" s="639"/>
      <c r="G41" s="324"/>
      <c r="H41" s="324"/>
      <c r="I41" s="335"/>
      <c r="J41" s="366"/>
      <c r="K41" s="641"/>
      <c r="L41" s="641"/>
      <c r="M41" s="641"/>
      <c r="N41" s="641"/>
      <c r="O41" s="366"/>
      <c r="P41" s="366"/>
      <c r="Q41" s="366"/>
      <c r="R41" s="611"/>
      <c r="S41" s="614"/>
      <c r="T41" s="588"/>
      <c r="U41" s="188"/>
      <c r="V41" s="366"/>
      <c r="W41" s="366"/>
      <c r="X41" s="366"/>
      <c r="Y41" s="366"/>
      <c r="Z41" s="366"/>
      <c r="AA41" s="366"/>
      <c r="AB41" s="366"/>
      <c r="AC41" s="366"/>
      <c r="AD41" s="366"/>
      <c r="AE41" s="366"/>
      <c r="AF41" s="366"/>
      <c r="AG41" s="366"/>
      <c r="AH41" s="366"/>
      <c r="AI41" s="366"/>
      <c r="AJ41" s="366"/>
      <c r="AK41" s="619"/>
      <c r="AL41" s="617"/>
    </row>
    <row r="42" spans="1:38" ht="15.75">
      <c r="A42" s="190"/>
      <c r="B42" s="324"/>
      <c r="C42" s="324"/>
      <c r="D42" s="366"/>
      <c r="E42" s="366"/>
      <c r="F42" s="639"/>
      <c r="G42" s="324"/>
      <c r="H42" s="324"/>
      <c r="I42" s="335"/>
      <c r="J42" s="366"/>
      <c r="K42" s="641"/>
      <c r="L42" s="641"/>
      <c r="M42" s="641"/>
      <c r="N42" s="641"/>
      <c r="O42" s="366"/>
      <c r="P42" s="366"/>
      <c r="Q42" s="366"/>
      <c r="R42" s="611"/>
      <c r="S42" s="614"/>
      <c r="T42" s="588"/>
      <c r="U42" s="188"/>
      <c r="V42" s="366"/>
      <c r="W42" s="366"/>
      <c r="X42" s="366"/>
      <c r="Y42" s="366"/>
      <c r="Z42" s="366"/>
      <c r="AA42" s="366"/>
      <c r="AB42" s="366"/>
      <c r="AC42" s="366"/>
      <c r="AD42" s="366"/>
      <c r="AE42" s="366"/>
      <c r="AF42" s="366"/>
      <c r="AG42" s="366"/>
      <c r="AH42" s="366"/>
      <c r="AI42" s="366"/>
      <c r="AJ42" s="366"/>
      <c r="AK42" s="619"/>
      <c r="AL42" s="617"/>
    </row>
    <row r="43" spans="1:38" ht="15.75">
      <c r="A43" s="190"/>
      <c r="B43" s="324"/>
      <c r="C43" s="324"/>
      <c r="D43" s="366"/>
      <c r="E43" s="366"/>
      <c r="F43" s="639"/>
      <c r="G43" s="324"/>
      <c r="H43" s="324"/>
      <c r="I43" s="335"/>
      <c r="J43" s="366"/>
      <c r="K43" s="641"/>
      <c r="L43" s="641"/>
      <c r="M43" s="641"/>
      <c r="N43" s="641"/>
      <c r="O43" s="366"/>
      <c r="P43" s="366"/>
      <c r="Q43" s="366"/>
      <c r="R43" s="611"/>
      <c r="S43" s="614"/>
      <c r="T43" s="588"/>
      <c r="U43" s="188"/>
      <c r="V43" s="366"/>
      <c r="W43" s="366"/>
      <c r="X43" s="366"/>
      <c r="Y43" s="366"/>
      <c r="Z43" s="366"/>
      <c r="AA43" s="366"/>
      <c r="AB43" s="366"/>
      <c r="AC43" s="366"/>
      <c r="AD43" s="366"/>
      <c r="AE43" s="366"/>
      <c r="AF43" s="366"/>
      <c r="AG43" s="366"/>
      <c r="AH43" s="366"/>
      <c r="AI43" s="366"/>
      <c r="AJ43" s="366"/>
      <c r="AK43" s="619"/>
      <c r="AL43" s="617"/>
    </row>
    <row r="44" spans="1:38" ht="15.75">
      <c r="A44" s="190"/>
      <c r="B44" s="324"/>
      <c r="C44" s="324"/>
      <c r="D44" s="366"/>
      <c r="E44" s="366"/>
      <c r="F44" s="639"/>
      <c r="G44" s="324"/>
      <c r="H44" s="324"/>
      <c r="I44" s="335"/>
      <c r="J44" s="366"/>
      <c r="K44" s="641"/>
      <c r="L44" s="641"/>
      <c r="M44" s="641"/>
      <c r="N44" s="641"/>
      <c r="O44" s="366"/>
      <c r="P44" s="366"/>
      <c r="Q44" s="366"/>
      <c r="R44" s="611"/>
      <c r="S44" s="614"/>
      <c r="T44" s="588"/>
      <c r="U44" s="188"/>
      <c r="V44" s="366"/>
      <c r="W44" s="366"/>
      <c r="X44" s="366"/>
      <c r="Y44" s="366"/>
      <c r="Z44" s="366"/>
      <c r="AA44" s="366"/>
      <c r="AB44" s="366"/>
      <c r="AC44" s="366"/>
      <c r="AD44" s="366"/>
      <c r="AE44" s="366"/>
      <c r="AF44" s="366"/>
      <c r="AG44" s="366"/>
      <c r="AH44" s="366"/>
      <c r="AI44" s="366"/>
      <c r="AJ44" s="366"/>
      <c r="AK44" s="619"/>
      <c r="AL44" s="617"/>
    </row>
    <row r="45" spans="1:38" ht="15.75">
      <c r="A45" s="190"/>
      <c r="B45" s="324"/>
      <c r="C45" s="324"/>
      <c r="D45" s="366"/>
      <c r="E45" s="366"/>
      <c r="F45" s="639"/>
      <c r="G45" s="324"/>
      <c r="H45" s="324"/>
      <c r="I45" s="335"/>
      <c r="J45" s="366"/>
      <c r="K45" s="641"/>
      <c r="L45" s="641"/>
      <c r="M45" s="641"/>
      <c r="N45" s="641"/>
      <c r="O45" s="366"/>
      <c r="P45" s="366"/>
      <c r="Q45" s="366"/>
      <c r="R45" s="611"/>
      <c r="S45" s="614"/>
      <c r="T45" s="588"/>
      <c r="U45" s="188"/>
      <c r="V45" s="366"/>
      <c r="W45" s="366"/>
      <c r="X45" s="366"/>
      <c r="Y45" s="366"/>
      <c r="Z45" s="366"/>
      <c r="AA45" s="366"/>
      <c r="AB45" s="366"/>
      <c r="AC45" s="366"/>
      <c r="AD45" s="366"/>
      <c r="AE45" s="366"/>
      <c r="AF45" s="366"/>
      <c r="AG45" s="366"/>
      <c r="AH45" s="366"/>
      <c r="AI45" s="366"/>
      <c r="AJ45" s="366"/>
      <c r="AK45" s="619"/>
      <c r="AL45" s="617"/>
    </row>
    <row r="46" spans="1:38" ht="15.75">
      <c r="A46" s="190"/>
      <c r="B46" s="324"/>
      <c r="C46" s="324"/>
      <c r="D46" s="366"/>
      <c r="E46" s="366"/>
      <c r="F46" s="639"/>
      <c r="G46" s="324"/>
      <c r="H46" s="324"/>
      <c r="I46" s="335"/>
      <c r="J46" s="366"/>
      <c r="K46" s="641"/>
      <c r="L46" s="641"/>
      <c r="M46" s="641"/>
      <c r="N46" s="641"/>
      <c r="O46" s="366"/>
      <c r="P46" s="366"/>
      <c r="Q46" s="366"/>
      <c r="R46" s="611"/>
      <c r="S46" s="614"/>
      <c r="T46" s="588"/>
      <c r="U46" s="188"/>
      <c r="V46" s="366"/>
      <c r="W46" s="366"/>
      <c r="X46" s="366"/>
      <c r="Y46" s="366"/>
      <c r="Z46" s="366"/>
      <c r="AA46" s="366"/>
      <c r="AB46" s="366"/>
      <c r="AC46" s="366"/>
      <c r="AD46" s="366"/>
      <c r="AE46" s="366"/>
      <c r="AF46" s="366"/>
      <c r="AG46" s="366"/>
      <c r="AH46" s="366"/>
      <c r="AI46" s="366"/>
      <c r="AJ46" s="366"/>
      <c r="AK46" s="619"/>
      <c r="AL46" s="617"/>
    </row>
    <row r="47" spans="1:38" ht="15.75">
      <c r="A47" s="190"/>
      <c r="B47" s="324"/>
      <c r="C47" s="324"/>
      <c r="D47" s="366"/>
      <c r="E47" s="366"/>
      <c r="F47" s="639"/>
      <c r="G47" s="324"/>
      <c r="H47" s="324"/>
      <c r="I47" s="335"/>
      <c r="J47" s="366"/>
      <c r="K47" s="641"/>
      <c r="L47" s="641"/>
      <c r="M47" s="641"/>
      <c r="N47" s="641"/>
      <c r="O47" s="366"/>
      <c r="P47" s="366"/>
      <c r="Q47" s="366"/>
      <c r="R47" s="611"/>
      <c r="S47" s="614"/>
      <c r="T47" s="588"/>
      <c r="U47" s="188"/>
      <c r="V47" s="366"/>
      <c r="W47" s="366"/>
      <c r="X47" s="366"/>
      <c r="Y47" s="366"/>
      <c r="Z47" s="366"/>
      <c r="AA47" s="366"/>
      <c r="AB47" s="366"/>
      <c r="AC47" s="366"/>
      <c r="AD47" s="366"/>
      <c r="AE47" s="366"/>
      <c r="AF47" s="366"/>
      <c r="AG47" s="366"/>
      <c r="AH47" s="366"/>
      <c r="AI47" s="366"/>
      <c r="AJ47" s="366"/>
      <c r="AK47" s="619"/>
      <c r="AL47" s="617"/>
    </row>
    <row r="48" spans="1:38" ht="15.75">
      <c r="A48" s="190"/>
      <c r="B48" s="324"/>
      <c r="C48" s="324"/>
      <c r="D48" s="366"/>
      <c r="E48" s="366"/>
      <c r="F48" s="639"/>
      <c r="G48" s="324"/>
      <c r="H48" s="324"/>
      <c r="I48" s="335"/>
      <c r="J48" s="366"/>
      <c r="K48" s="641"/>
      <c r="L48" s="641"/>
      <c r="M48" s="641"/>
      <c r="N48" s="641"/>
      <c r="O48" s="366"/>
      <c r="P48" s="366"/>
      <c r="Q48" s="366"/>
      <c r="R48" s="611"/>
      <c r="S48" s="614"/>
      <c r="T48" s="588"/>
      <c r="U48" s="188"/>
      <c r="V48" s="366"/>
      <c r="W48" s="366"/>
      <c r="X48" s="366"/>
      <c r="Y48" s="366"/>
      <c r="Z48" s="366"/>
      <c r="AA48" s="366"/>
      <c r="AB48" s="366"/>
      <c r="AC48" s="366"/>
      <c r="AD48" s="366"/>
      <c r="AE48" s="366"/>
      <c r="AF48" s="366"/>
      <c r="AG48" s="366"/>
      <c r="AH48" s="366"/>
      <c r="AI48" s="366"/>
      <c r="AJ48" s="366"/>
      <c r="AK48" s="619"/>
      <c r="AL48" s="617"/>
    </row>
    <row r="49" spans="1:38" ht="15.75">
      <c r="A49" s="190"/>
      <c r="B49" s="324"/>
      <c r="C49" s="324"/>
      <c r="D49" s="366"/>
      <c r="E49" s="366"/>
      <c r="F49" s="639"/>
      <c r="G49" s="324"/>
      <c r="H49" s="324"/>
      <c r="I49" s="335"/>
      <c r="J49" s="366"/>
      <c r="K49" s="641"/>
      <c r="L49" s="641"/>
      <c r="M49" s="641"/>
      <c r="N49" s="641"/>
      <c r="O49" s="366"/>
      <c r="P49" s="366"/>
      <c r="Q49" s="366"/>
      <c r="R49" s="611"/>
      <c r="S49" s="614"/>
      <c r="T49" s="588"/>
      <c r="U49" s="188"/>
      <c r="V49" s="366"/>
      <c r="W49" s="366"/>
      <c r="X49" s="366"/>
      <c r="Y49" s="366"/>
      <c r="Z49" s="366"/>
      <c r="AA49" s="366"/>
      <c r="AB49" s="366"/>
      <c r="AC49" s="366"/>
      <c r="AD49" s="366"/>
      <c r="AE49" s="366"/>
      <c r="AF49" s="366"/>
      <c r="AG49" s="366"/>
      <c r="AH49" s="366"/>
      <c r="AI49" s="366"/>
      <c r="AJ49" s="366"/>
      <c r="AK49" s="619"/>
      <c r="AL49" s="617"/>
    </row>
    <row r="50" spans="1:38" ht="15.75">
      <c r="A50" s="190"/>
      <c r="B50" s="324"/>
      <c r="C50" s="324"/>
      <c r="D50" s="366"/>
      <c r="E50" s="366"/>
      <c r="F50" s="639"/>
      <c r="G50" s="324"/>
      <c r="H50" s="324"/>
      <c r="I50" s="335"/>
      <c r="J50" s="366"/>
      <c r="K50" s="641"/>
      <c r="L50" s="641"/>
      <c r="M50" s="641"/>
      <c r="N50" s="641"/>
      <c r="O50" s="366"/>
      <c r="P50" s="366"/>
      <c r="Q50" s="366"/>
      <c r="R50" s="611"/>
      <c r="S50" s="614"/>
      <c r="T50" s="588"/>
      <c r="U50" s="188"/>
      <c r="V50" s="366"/>
      <c r="W50" s="366"/>
      <c r="X50" s="366"/>
      <c r="Y50" s="366"/>
      <c r="Z50" s="366"/>
      <c r="AA50" s="366"/>
      <c r="AB50" s="366"/>
      <c r="AC50" s="366"/>
      <c r="AD50" s="366"/>
      <c r="AE50" s="366"/>
      <c r="AF50" s="366"/>
      <c r="AG50" s="366"/>
      <c r="AH50" s="366"/>
      <c r="AI50" s="366"/>
      <c r="AJ50" s="366"/>
      <c r="AK50" s="619"/>
      <c r="AL50" s="617"/>
    </row>
    <row r="51" spans="1:38" ht="15.75">
      <c r="A51" s="190"/>
      <c r="B51" s="324"/>
      <c r="C51" s="324"/>
      <c r="D51" s="366"/>
      <c r="E51" s="366"/>
      <c r="F51" s="639"/>
      <c r="G51" s="324"/>
      <c r="H51" s="324"/>
      <c r="I51" s="335"/>
      <c r="J51" s="366"/>
      <c r="K51" s="641"/>
      <c r="L51" s="641"/>
      <c r="M51" s="641"/>
      <c r="N51" s="641"/>
      <c r="O51" s="366"/>
      <c r="P51" s="366"/>
      <c r="Q51" s="366"/>
      <c r="R51" s="611"/>
      <c r="S51" s="614"/>
      <c r="T51" s="588"/>
      <c r="U51" s="188"/>
      <c r="V51" s="366"/>
      <c r="W51" s="366"/>
      <c r="X51" s="366"/>
      <c r="Y51" s="366"/>
      <c r="Z51" s="366"/>
      <c r="AA51" s="366"/>
      <c r="AB51" s="366"/>
      <c r="AC51" s="366"/>
      <c r="AD51" s="366"/>
      <c r="AE51" s="366"/>
      <c r="AF51" s="366"/>
      <c r="AG51" s="366"/>
      <c r="AH51" s="366"/>
      <c r="AI51" s="366"/>
      <c r="AJ51" s="366"/>
      <c r="AK51" s="619"/>
      <c r="AL51" s="617"/>
    </row>
    <row r="52" spans="1:38" ht="15.75">
      <c r="A52" s="190"/>
      <c r="B52" s="324"/>
      <c r="C52" s="324"/>
      <c r="D52" s="366"/>
      <c r="E52" s="366"/>
      <c r="F52" s="639"/>
      <c r="G52" s="324"/>
      <c r="H52" s="324"/>
      <c r="I52" s="335"/>
      <c r="J52" s="366"/>
      <c r="K52" s="641"/>
      <c r="L52" s="641"/>
      <c r="M52" s="641"/>
      <c r="N52" s="641"/>
      <c r="O52" s="366"/>
      <c r="P52" s="366"/>
      <c r="Q52" s="366"/>
      <c r="R52" s="611"/>
      <c r="S52" s="614"/>
      <c r="T52" s="588"/>
      <c r="U52" s="188"/>
      <c r="V52" s="366"/>
      <c r="W52" s="366"/>
      <c r="X52" s="366"/>
      <c r="Y52" s="366"/>
      <c r="Z52" s="366"/>
      <c r="AA52" s="366"/>
      <c r="AB52" s="366"/>
      <c r="AC52" s="366"/>
      <c r="AD52" s="366"/>
      <c r="AE52" s="366"/>
      <c r="AF52" s="366"/>
      <c r="AG52" s="366"/>
      <c r="AH52" s="366"/>
      <c r="AI52" s="366"/>
      <c r="AJ52" s="366"/>
      <c r="AK52" s="619"/>
      <c r="AL52" s="617"/>
    </row>
    <row r="53" spans="1:38" ht="15.75">
      <c r="A53" s="190"/>
      <c r="B53" s="324"/>
      <c r="C53" s="324"/>
      <c r="D53" s="366"/>
      <c r="E53" s="366"/>
      <c r="F53" s="639"/>
      <c r="G53" s="324"/>
      <c r="H53" s="324"/>
      <c r="I53" s="335"/>
      <c r="J53" s="366"/>
      <c r="K53" s="641"/>
      <c r="L53" s="641"/>
      <c r="M53" s="641"/>
      <c r="N53" s="641"/>
      <c r="O53" s="366"/>
      <c r="P53" s="366"/>
      <c r="Q53" s="366"/>
      <c r="R53" s="611"/>
      <c r="S53" s="614"/>
      <c r="T53" s="588"/>
      <c r="U53" s="188"/>
      <c r="V53" s="366"/>
      <c r="W53" s="366"/>
      <c r="X53" s="366"/>
      <c r="Y53" s="366"/>
      <c r="Z53" s="366"/>
      <c r="AA53" s="366"/>
      <c r="AB53" s="366"/>
      <c r="AC53" s="366"/>
      <c r="AD53" s="366"/>
      <c r="AE53" s="366"/>
      <c r="AF53" s="366"/>
      <c r="AG53" s="366"/>
      <c r="AH53" s="366"/>
      <c r="AI53" s="366"/>
      <c r="AJ53" s="366"/>
      <c r="AK53" s="619"/>
      <c r="AL53" s="617"/>
    </row>
    <row r="54" spans="1:38" ht="15.75">
      <c r="A54" s="190"/>
      <c r="B54" s="324"/>
      <c r="C54" s="324"/>
      <c r="D54" s="366"/>
      <c r="E54" s="366"/>
      <c r="F54" s="639"/>
      <c r="G54" s="324"/>
      <c r="H54" s="324"/>
      <c r="I54" s="335"/>
      <c r="J54" s="366"/>
      <c r="K54" s="641"/>
      <c r="L54" s="641"/>
      <c r="M54" s="641"/>
      <c r="N54" s="641"/>
      <c r="O54" s="366"/>
      <c r="P54" s="366"/>
      <c r="Q54" s="366"/>
      <c r="R54" s="611"/>
      <c r="S54" s="614"/>
      <c r="T54" s="588"/>
      <c r="U54" s="188"/>
      <c r="V54" s="366"/>
      <c r="W54" s="366"/>
      <c r="X54" s="366"/>
      <c r="Y54" s="366"/>
      <c r="Z54" s="366"/>
      <c r="AA54" s="366"/>
      <c r="AB54" s="366"/>
      <c r="AC54" s="366"/>
      <c r="AD54" s="366"/>
      <c r="AE54" s="366"/>
      <c r="AF54" s="366"/>
      <c r="AG54" s="366"/>
      <c r="AH54" s="366"/>
      <c r="AI54" s="366"/>
      <c r="AJ54" s="366"/>
      <c r="AK54" s="619"/>
      <c r="AL54" s="617"/>
    </row>
    <row r="55" spans="1:38" ht="15.75">
      <c r="A55" s="190"/>
      <c r="B55" s="324"/>
      <c r="C55" s="324"/>
      <c r="D55" s="366"/>
      <c r="E55" s="366"/>
      <c r="F55" s="639"/>
      <c r="G55" s="324"/>
      <c r="H55" s="324"/>
      <c r="I55" s="335"/>
      <c r="J55" s="366"/>
      <c r="K55" s="641"/>
      <c r="L55" s="641"/>
      <c r="M55" s="641"/>
      <c r="N55" s="641"/>
      <c r="O55" s="366"/>
      <c r="P55" s="366"/>
      <c r="Q55" s="366"/>
      <c r="R55" s="611"/>
      <c r="S55" s="614"/>
      <c r="T55" s="588"/>
      <c r="U55" s="188"/>
      <c r="V55" s="366"/>
      <c r="W55" s="366"/>
      <c r="X55" s="366"/>
      <c r="Y55" s="366"/>
      <c r="Z55" s="366"/>
      <c r="AA55" s="366"/>
      <c r="AB55" s="366"/>
      <c r="AC55" s="366"/>
      <c r="AD55" s="366"/>
      <c r="AE55" s="366"/>
      <c r="AF55" s="366"/>
      <c r="AG55" s="366"/>
      <c r="AH55" s="366"/>
      <c r="AI55" s="366"/>
      <c r="AJ55" s="366"/>
      <c r="AK55" s="619"/>
      <c r="AL55" s="617"/>
    </row>
    <row r="56" spans="1:38" ht="15.75">
      <c r="A56" s="190"/>
      <c r="B56" s="324"/>
      <c r="C56" s="324"/>
      <c r="D56" s="366"/>
      <c r="E56" s="366"/>
      <c r="F56" s="639"/>
      <c r="G56" s="324"/>
      <c r="H56" s="324"/>
      <c r="I56" s="335"/>
      <c r="J56" s="366"/>
      <c r="K56" s="641"/>
      <c r="L56" s="641"/>
      <c r="M56" s="641"/>
      <c r="N56" s="641"/>
      <c r="O56" s="366"/>
      <c r="P56" s="366"/>
      <c r="Q56" s="366"/>
      <c r="R56" s="611"/>
      <c r="S56" s="614"/>
      <c r="T56" s="588"/>
      <c r="U56" s="188"/>
      <c r="V56" s="366"/>
      <c r="W56" s="366"/>
      <c r="X56" s="366"/>
      <c r="Y56" s="366"/>
      <c r="Z56" s="366"/>
      <c r="AA56" s="366"/>
      <c r="AB56" s="366"/>
      <c r="AC56" s="366"/>
      <c r="AD56" s="366"/>
      <c r="AE56" s="366"/>
      <c r="AF56" s="366"/>
      <c r="AG56" s="366"/>
      <c r="AH56" s="366"/>
      <c r="AI56" s="366"/>
      <c r="AJ56" s="366"/>
      <c r="AK56" s="619"/>
      <c r="AL56" s="617"/>
    </row>
    <row r="57" spans="1:38" ht="15.75">
      <c r="A57" s="190"/>
      <c r="B57" s="324"/>
      <c r="C57" s="324"/>
      <c r="D57" s="366"/>
      <c r="E57" s="366"/>
      <c r="F57" s="639"/>
      <c r="G57" s="324"/>
      <c r="H57" s="324"/>
      <c r="I57" s="335"/>
      <c r="J57" s="366"/>
      <c r="K57" s="641"/>
      <c r="L57" s="641"/>
      <c r="M57" s="641"/>
      <c r="N57" s="641"/>
      <c r="O57" s="366"/>
      <c r="P57" s="366"/>
      <c r="Q57" s="366"/>
      <c r="R57" s="611"/>
      <c r="S57" s="614"/>
      <c r="T57" s="588"/>
      <c r="U57" s="188"/>
      <c r="V57" s="366"/>
      <c r="W57" s="366"/>
      <c r="X57" s="366"/>
      <c r="Y57" s="366"/>
      <c r="Z57" s="366"/>
      <c r="AA57" s="366"/>
      <c r="AB57" s="366"/>
      <c r="AC57" s="366"/>
      <c r="AD57" s="366"/>
      <c r="AE57" s="366"/>
      <c r="AF57" s="366"/>
      <c r="AG57" s="366"/>
      <c r="AH57" s="366"/>
      <c r="AI57" s="366"/>
      <c r="AJ57" s="366"/>
      <c r="AK57" s="619"/>
      <c r="AL57" s="617"/>
    </row>
    <row r="58" spans="1:38" ht="15.75">
      <c r="A58" s="190"/>
      <c r="B58" s="324"/>
      <c r="C58" s="324"/>
      <c r="D58" s="366"/>
      <c r="E58" s="366"/>
      <c r="F58" s="639"/>
      <c r="G58" s="324"/>
      <c r="H58" s="324"/>
      <c r="I58" s="335"/>
      <c r="J58" s="366"/>
      <c r="K58" s="641"/>
      <c r="L58" s="641"/>
      <c r="M58" s="641"/>
      <c r="N58" s="641"/>
      <c r="O58" s="366"/>
      <c r="P58" s="366"/>
      <c r="Q58" s="366"/>
      <c r="R58" s="611"/>
      <c r="S58" s="614"/>
      <c r="T58" s="588"/>
      <c r="U58" s="188"/>
      <c r="V58" s="366"/>
      <c r="W58" s="366"/>
      <c r="X58" s="366"/>
      <c r="Y58" s="366"/>
      <c r="Z58" s="366"/>
      <c r="AA58" s="366"/>
      <c r="AB58" s="366"/>
      <c r="AC58" s="366"/>
      <c r="AD58" s="366"/>
      <c r="AE58" s="366"/>
      <c r="AF58" s="366"/>
      <c r="AG58" s="366"/>
      <c r="AH58" s="366"/>
      <c r="AI58" s="366"/>
      <c r="AJ58" s="366"/>
      <c r="AK58" s="619"/>
      <c r="AL58" s="617"/>
    </row>
    <row r="59" spans="1:38" ht="15.75">
      <c r="A59" s="190"/>
      <c r="B59" s="324"/>
      <c r="C59" s="324"/>
      <c r="D59" s="366"/>
      <c r="E59" s="366"/>
      <c r="F59" s="639"/>
      <c r="G59" s="324"/>
      <c r="H59" s="324"/>
      <c r="I59" s="335"/>
      <c r="J59" s="366"/>
      <c r="K59" s="641"/>
      <c r="L59" s="641"/>
      <c r="M59" s="641"/>
      <c r="N59" s="641"/>
      <c r="O59" s="366"/>
      <c r="P59" s="366"/>
      <c r="Q59" s="366"/>
      <c r="R59" s="611"/>
      <c r="S59" s="614"/>
      <c r="T59" s="588"/>
      <c r="U59" s="188"/>
      <c r="V59" s="366"/>
      <c r="W59" s="366"/>
      <c r="X59" s="366"/>
      <c r="Y59" s="366"/>
      <c r="Z59" s="366"/>
      <c r="AA59" s="366"/>
      <c r="AB59" s="366"/>
      <c r="AC59" s="366"/>
      <c r="AD59" s="366"/>
      <c r="AE59" s="366"/>
      <c r="AF59" s="366"/>
      <c r="AG59" s="366"/>
      <c r="AH59" s="366"/>
      <c r="AI59" s="366"/>
      <c r="AJ59" s="366"/>
      <c r="AK59" s="619"/>
      <c r="AL59" s="617"/>
    </row>
    <row r="60" spans="1:38" ht="15.75">
      <c r="A60" s="190"/>
      <c r="B60" s="324"/>
      <c r="C60" s="324"/>
      <c r="D60" s="366"/>
      <c r="E60" s="366"/>
      <c r="F60" s="639"/>
      <c r="G60" s="324"/>
      <c r="H60" s="324"/>
      <c r="I60" s="335"/>
      <c r="J60" s="366"/>
      <c r="K60" s="641"/>
      <c r="L60" s="641"/>
      <c r="M60" s="641"/>
      <c r="N60" s="641"/>
      <c r="O60" s="366"/>
      <c r="P60" s="366"/>
      <c r="Q60" s="366"/>
      <c r="R60" s="611"/>
      <c r="S60" s="614"/>
      <c r="T60" s="588"/>
      <c r="U60" s="188"/>
      <c r="V60" s="366"/>
      <c r="W60" s="366"/>
      <c r="X60" s="366"/>
      <c r="Y60" s="366"/>
      <c r="Z60" s="366"/>
      <c r="AA60" s="366"/>
      <c r="AB60" s="366"/>
      <c r="AC60" s="366"/>
      <c r="AD60" s="366"/>
      <c r="AE60" s="366"/>
      <c r="AF60" s="366"/>
      <c r="AG60" s="366"/>
      <c r="AH60" s="366"/>
      <c r="AI60" s="366"/>
      <c r="AJ60" s="366"/>
      <c r="AK60" s="619"/>
      <c r="AL60" s="617"/>
    </row>
    <row r="61" spans="1:38" ht="15.75">
      <c r="A61" s="190"/>
      <c r="B61" s="324"/>
      <c r="C61" s="324"/>
      <c r="D61" s="366"/>
      <c r="E61" s="366"/>
      <c r="F61" s="639"/>
      <c r="G61" s="324"/>
      <c r="H61" s="324"/>
      <c r="I61" s="335"/>
      <c r="J61" s="366"/>
      <c r="K61" s="641"/>
      <c r="L61" s="641"/>
      <c r="M61" s="641"/>
      <c r="N61" s="641"/>
      <c r="O61" s="366"/>
      <c r="P61" s="366"/>
      <c r="Q61" s="366"/>
      <c r="R61" s="611"/>
      <c r="S61" s="614"/>
      <c r="T61" s="588"/>
      <c r="U61" s="188"/>
      <c r="V61" s="366"/>
      <c r="W61" s="366"/>
      <c r="X61" s="366"/>
      <c r="Y61" s="366"/>
      <c r="Z61" s="366"/>
      <c r="AA61" s="366"/>
      <c r="AB61" s="366"/>
      <c r="AC61" s="366"/>
      <c r="AD61" s="366"/>
      <c r="AE61" s="366"/>
      <c r="AF61" s="366"/>
      <c r="AG61" s="366"/>
      <c r="AH61" s="366"/>
      <c r="AI61" s="366"/>
      <c r="AJ61" s="366"/>
      <c r="AK61" s="619"/>
      <c r="AL61" s="617"/>
    </row>
    <row r="62" spans="1:38" ht="15.75">
      <c r="A62" s="190"/>
      <c r="B62" s="324"/>
      <c r="C62" s="324"/>
      <c r="D62" s="366"/>
      <c r="E62" s="366"/>
      <c r="F62" s="639"/>
      <c r="G62" s="324"/>
      <c r="H62" s="324"/>
      <c r="I62" s="335"/>
      <c r="J62" s="366"/>
      <c r="K62" s="641"/>
      <c r="L62" s="641"/>
      <c r="M62" s="641"/>
      <c r="N62" s="641"/>
      <c r="O62" s="366"/>
      <c r="P62" s="366"/>
      <c r="Q62" s="366"/>
      <c r="R62" s="611"/>
      <c r="S62" s="614"/>
      <c r="T62" s="588"/>
      <c r="U62" s="188"/>
      <c r="V62" s="366"/>
      <c r="W62" s="366"/>
      <c r="X62" s="366"/>
      <c r="Y62" s="366"/>
      <c r="Z62" s="366"/>
      <c r="AA62" s="366"/>
      <c r="AB62" s="366"/>
      <c r="AC62" s="366"/>
      <c r="AD62" s="366"/>
      <c r="AE62" s="366"/>
      <c r="AF62" s="366"/>
      <c r="AG62" s="366"/>
      <c r="AH62" s="366"/>
      <c r="AI62" s="366"/>
      <c r="AJ62" s="366"/>
      <c r="AK62" s="619"/>
      <c r="AL62" s="617"/>
    </row>
    <row r="63" spans="1:38" ht="15.75">
      <c r="A63" s="190"/>
      <c r="B63" s="324"/>
      <c r="C63" s="324"/>
      <c r="D63" s="366"/>
      <c r="E63" s="366"/>
      <c r="F63" s="639"/>
      <c r="G63" s="324"/>
      <c r="H63" s="324"/>
      <c r="I63" s="335"/>
      <c r="J63" s="366"/>
      <c r="K63" s="641"/>
      <c r="L63" s="641"/>
      <c r="M63" s="641"/>
      <c r="N63" s="641"/>
      <c r="O63" s="366"/>
      <c r="P63" s="366"/>
      <c r="Q63" s="366"/>
      <c r="R63" s="611"/>
      <c r="S63" s="614"/>
      <c r="T63" s="588"/>
      <c r="U63" s="188"/>
      <c r="V63" s="366"/>
      <c r="W63" s="366"/>
      <c r="X63" s="366"/>
      <c r="Y63" s="366"/>
      <c r="Z63" s="366"/>
      <c r="AA63" s="366"/>
      <c r="AB63" s="366"/>
      <c r="AC63" s="366"/>
      <c r="AD63" s="366"/>
      <c r="AE63" s="366"/>
      <c r="AF63" s="366"/>
      <c r="AG63" s="366"/>
      <c r="AH63" s="366"/>
      <c r="AI63" s="366"/>
      <c r="AJ63" s="366"/>
      <c r="AK63" s="619"/>
      <c r="AL63" s="617"/>
    </row>
    <row r="64" spans="1:38" ht="15.75">
      <c r="A64" s="190"/>
      <c r="B64" s="324"/>
      <c r="C64" s="324"/>
      <c r="D64" s="366"/>
      <c r="E64" s="366"/>
      <c r="F64" s="639"/>
      <c r="G64" s="324"/>
      <c r="H64" s="324"/>
      <c r="I64" s="335"/>
      <c r="J64" s="366"/>
      <c r="K64" s="641"/>
      <c r="L64" s="641"/>
      <c r="M64" s="641"/>
      <c r="N64" s="641"/>
      <c r="O64" s="366"/>
      <c r="P64" s="366"/>
      <c r="Q64" s="366"/>
      <c r="R64" s="611"/>
      <c r="S64" s="614"/>
      <c r="T64" s="588"/>
      <c r="U64" s="188"/>
      <c r="V64" s="366"/>
      <c r="W64" s="366"/>
      <c r="X64" s="366"/>
      <c r="Y64" s="366"/>
      <c r="Z64" s="366"/>
      <c r="AA64" s="366"/>
      <c r="AB64" s="366"/>
      <c r="AC64" s="366"/>
      <c r="AD64" s="366"/>
      <c r="AE64" s="366"/>
      <c r="AF64" s="366"/>
      <c r="AG64" s="366"/>
      <c r="AH64" s="366"/>
      <c r="AI64" s="366"/>
      <c r="AJ64" s="366"/>
      <c r="AK64" s="619"/>
      <c r="AL64" s="617"/>
    </row>
    <row r="65" spans="1:38" ht="15.75">
      <c r="A65" s="190"/>
      <c r="B65" s="324"/>
      <c r="C65" s="324"/>
      <c r="D65" s="366"/>
      <c r="E65" s="366"/>
      <c r="F65" s="639"/>
      <c r="G65" s="324"/>
      <c r="H65" s="324"/>
      <c r="I65" s="335"/>
      <c r="J65" s="366"/>
      <c r="K65" s="641"/>
      <c r="L65" s="641"/>
      <c r="M65" s="641"/>
      <c r="N65" s="641"/>
      <c r="O65" s="366"/>
      <c r="P65" s="366"/>
      <c r="Q65" s="366"/>
      <c r="R65" s="611"/>
      <c r="S65" s="614"/>
      <c r="T65" s="588"/>
      <c r="U65" s="188"/>
      <c r="V65" s="366"/>
      <c r="W65" s="366"/>
      <c r="X65" s="366"/>
      <c r="Y65" s="366"/>
      <c r="Z65" s="366"/>
      <c r="AA65" s="366"/>
      <c r="AB65" s="366"/>
      <c r="AC65" s="366"/>
      <c r="AD65" s="366"/>
      <c r="AE65" s="366"/>
      <c r="AF65" s="366"/>
      <c r="AG65" s="366"/>
      <c r="AH65" s="366"/>
      <c r="AI65" s="366"/>
      <c r="AJ65" s="366"/>
      <c r="AK65" s="619"/>
      <c r="AL65" s="617"/>
    </row>
    <row r="66" spans="1:38" ht="15.75">
      <c r="A66" s="190"/>
      <c r="B66" s="324"/>
      <c r="C66" s="324"/>
      <c r="D66" s="366"/>
      <c r="E66" s="366"/>
      <c r="F66" s="639"/>
      <c r="G66" s="324"/>
      <c r="H66" s="324"/>
      <c r="I66" s="335"/>
      <c r="J66" s="366"/>
      <c r="K66" s="641"/>
      <c r="L66" s="641"/>
      <c r="M66" s="641"/>
      <c r="N66" s="641"/>
      <c r="O66" s="366"/>
      <c r="P66" s="366"/>
      <c r="Q66" s="366"/>
      <c r="R66" s="611"/>
      <c r="S66" s="614"/>
      <c r="T66" s="588"/>
      <c r="U66" s="188"/>
      <c r="V66" s="366"/>
      <c r="W66" s="366"/>
      <c r="X66" s="366"/>
      <c r="Y66" s="366"/>
      <c r="Z66" s="366"/>
      <c r="AA66" s="366"/>
      <c r="AB66" s="366"/>
      <c r="AC66" s="366"/>
      <c r="AD66" s="366"/>
      <c r="AE66" s="366"/>
      <c r="AF66" s="366"/>
      <c r="AG66" s="366"/>
      <c r="AH66" s="366"/>
      <c r="AI66" s="366"/>
      <c r="AJ66" s="366"/>
      <c r="AK66" s="619"/>
      <c r="AL66" s="617"/>
    </row>
    <row r="67" spans="1:38" ht="15.75">
      <c r="A67" s="190"/>
      <c r="B67" s="324"/>
      <c r="C67" s="324"/>
      <c r="D67" s="366"/>
      <c r="E67" s="366"/>
      <c r="F67" s="639"/>
      <c r="G67" s="324"/>
      <c r="H67" s="324"/>
      <c r="I67" s="335"/>
      <c r="J67" s="366"/>
      <c r="K67" s="641"/>
      <c r="L67" s="641"/>
      <c r="M67" s="641"/>
      <c r="N67" s="641"/>
      <c r="O67" s="366"/>
      <c r="P67" s="366"/>
      <c r="Q67" s="366"/>
      <c r="R67" s="611"/>
      <c r="S67" s="614"/>
      <c r="T67" s="588"/>
      <c r="U67" s="188"/>
      <c r="V67" s="366"/>
      <c r="W67" s="366"/>
      <c r="X67" s="366"/>
      <c r="Y67" s="366"/>
      <c r="Z67" s="366"/>
      <c r="AA67" s="366"/>
      <c r="AB67" s="366"/>
      <c r="AC67" s="366"/>
      <c r="AD67" s="366"/>
      <c r="AE67" s="366"/>
      <c r="AF67" s="366"/>
      <c r="AG67" s="366"/>
      <c r="AH67" s="366"/>
      <c r="AI67" s="366"/>
      <c r="AJ67" s="366"/>
      <c r="AK67" s="619"/>
      <c r="AL67" s="617"/>
    </row>
    <row r="68" spans="1:38" ht="15.75">
      <c r="A68" s="190"/>
      <c r="B68" s="324"/>
      <c r="C68" s="324"/>
      <c r="D68" s="366"/>
      <c r="E68" s="366"/>
      <c r="F68" s="639"/>
      <c r="G68" s="324"/>
      <c r="H68" s="324"/>
      <c r="I68" s="335"/>
      <c r="J68" s="366"/>
      <c r="K68" s="641"/>
      <c r="L68" s="641"/>
      <c r="M68" s="641"/>
      <c r="N68" s="641"/>
      <c r="O68" s="366"/>
      <c r="P68" s="366"/>
      <c r="Q68" s="366"/>
      <c r="R68" s="611"/>
      <c r="S68" s="614"/>
      <c r="T68" s="588"/>
      <c r="U68" s="188"/>
      <c r="V68" s="366"/>
      <c r="W68" s="366"/>
      <c r="X68" s="366"/>
      <c r="Y68" s="366"/>
      <c r="Z68" s="366"/>
      <c r="AA68" s="366"/>
      <c r="AB68" s="366"/>
      <c r="AC68" s="366"/>
      <c r="AD68" s="366"/>
      <c r="AE68" s="366"/>
      <c r="AF68" s="366"/>
      <c r="AG68" s="366"/>
      <c r="AH68" s="366"/>
      <c r="AI68" s="366"/>
      <c r="AJ68" s="366"/>
      <c r="AK68" s="619"/>
      <c r="AL68" s="617"/>
    </row>
    <row r="69" spans="1:38" ht="15.75">
      <c r="A69" s="190"/>
      <c r="B69" s="324"/>
      <c r="C69" s="324"/>
      <c r="D69" s="366"/>
      <c r="E69" s="366"/>
      <c r="F69" s="639"/>
      <c r="G69" s="324"/>
      <c r="H69" s="324"/>
      <c r="I69" s="335"/>
      <c r="J69" s="366"/>
      <c r="K69" s="641"/>
      <c r="L69" s="641"/>
      <c r="M69" s="641"/>
      <c r="N69" s="641"/>
      <c r="O69" s="366"/>
      <c r="P69" s="366"/>
      <c r="Q69" s="366"/>
      <c r="R69" s="611"/>
      <c r="S69" s="614"/>
      <c r="T69" s="588"/>
      <c r="U69" s="188"/>
      <c r="V69" s="366"/>
      <c r="W69" s="366"/>
      <c r="X69" s="366"/>
      <c r="Y69" s="366"/>
      <c r="Z69" s="366"/>
      <c r="AA69" s="366"/>
      <c r="AB69" s="366"/>
      <c r="AC69" s="366"/>
      <c r="AD69" s="366"/>
      <c r="AE69" s="366"/>
      <c r="AF69" s="366"/>
      <c r="AG69" s="366"/>
      <c r="AH69" s="366"/>
      <c r="AI69" s="366"/>
      <c r="AJ69" s="366"/>
      <c r="AK69" s="619"/>
      <c r="AL69" s="617"/>
    </row>
    <row r="70" spans="1:38" ht="15.75">
      <c r="A70" s="190"/>
      <c r="B70" s="324"/>
      <c r="C70" s="324"/>
      <c r="D70" s="366"/>
      <c r="E70" s="366"/>
      <c r="F70" s="639"/>
      <c r="G70" s="324"/>
      <c r="H70" s="324"/>
      <c r="I70" s="335"/>
      <c r="J70" s="366"/>
      <c r="K70" s="641"/>
      <c r="L70" s="641"/>
      <c r="M70" s="641"/>
      <c r="N70" s="641"/>
      <c r="O70" s="366"/>
      <c r="P70" s="366"/>
      <c r="Q70" s="366"/>
      <c r="R70" s="611"/>
      <c r="S70" s="614"/>
      <c r="T70" s="588"/>
      <c r="U70" s="188"/>
      <c r="V70" s="366"/>
      <c r="W70" s="366"/>
      <c r="X70" s="366"/>
      <c r="Y70" s="366"/>
      <c r="Z70" s="366"/>
      <c r="AA70" s="366"/>
      <c r="AB70" s="366"/>
      <c r="AC70" s="366"/>
      <c r="AD70" s="366"/>
      <c r="AE70" s="366"/>
      <c r="AF70" s="366"/>
      <c r="AG70" s="366"/>
      <c r="AH70" s="366"/>
      <c r="AI70" s="366"/>
      <c r="AJ70" s="366"/>
      <c r="AK70" s="619"/>
      <c r="AL70" s="617"/>
    </row>
    <row r="71" spans="1:38" ht="15.75">
      <c r="A71" s="190"/>
      <c r="B71" s="324"/>
      <c r="C71" s="324"/>
      <c r="D71" s="366"/>
      <c r="E71" s="366"/>
      <c r="F71" s="639"/>
      <c r="G71" s="324"/>
      <c r="H71" s="324"/>
      <c r="I71" s="335"/>
      <c r="J71" s="366"/>
      <c r="K71" s="641"/>
      <c r="L71" s="641"/>
      <c r="M71" s="641"/>
      <c r="N71" s="641"/>
      <c r="O71" s="366"/>
      <c r="P71" s="366"/>
      <c r="Q71" s="366"/>
      <c r="R71" s="611"/>
      <c r="S71" s="614"/>
      <c r="T71" s="588"/>
      <c r="U71" s="188"/>
      <c r="V71" s="366"/>
      <c r="W71" s="366"/>
      <c r="X71" s="366"/>
      <c r="Y71" s="366"/>
      <c r="Z71" s="366"/>
      <c r="AA71" s="366"/>
      <c r="AB71" s="366"/>
      <c r="AC71" s="366"/>
      <c r="AD71" s="366"/>
      <c r="AE71" s="366"/>
      <c r="AF71" s="366"/>
      <c r="AG71" s="366"/>
      <c r="AH71" s="366"/>
      <c r="AI71" s="366"/>
      <c r="AJ71" s="366"/>
      <c r="AK71" s="619"/>
      <c r="AL71" s="617"/>
    </row>
    <row r="72" spans="1:38" ht="15.75">
      <c r="A72" s="190"/>
      <c r="B72" s="324"/>
      <c r="C72" s="324"/>
      <c r="D72" s="366"/>
      <c r="E72" s="366"/>
      <c r="F72" s="639"/>
      <c r="G72" s="324"/>
      <c r="H72" s="324"/>
      <c r="I72" s="335"/>
      <c r="J72" s="366"/>
      <c r="K72" s="641"/>
      <c r="L72" s="641"/>
      <c r="M72" s="641"/>
      <c r="N72" s="641"/>
      <c r="O72" s="366"/>
      <c r="P72" s="366"/>
      <c r="Q72" s="366"/>
      <c r="R72" s="611"/>
      <c r="S72" s="614"/>
      <c r="T72" s="588"/>
      <c r="U72" s="188"/>
      <c r="V72" s="366"/>
      <c r="W72" s="366"/>
      <c r="X72" s="366"/>
      <c r="Y72" s="366"/>
      <c r="Z72" s="366"/>
      <c r="AA72" s="366"/>
      <c r="AB72" s="366"/>
      <c r="AC72" s="366"/>
      <c r="AD72" s="366"/>
      <c r="AE72" s="366"/>
      <c r="AF72" s="366"/>
      <c r="AG72" s="366"/>
      <c r="AH72" s="366"/>
      <c r="AI72" s="366"/>
      <c r="AJ72" s="366"/>
      <c r="AK72" s="619"/>
      <c r="AL72" s="617"/>
    </row>
    <row r="73" spans="1:38" ht="15.75">
      <c r="A73" s="190"/>
      <c r="B73" s="324"/>
      <c r="C73" s="324"/>
      <c r="D73" s="366"/>
      <c r="E73" s="366"/>
      <c r="F73" s="639"/>
      <c r="G73" s="324"/>
      <c r="H73" s="324"/>
      <c r="I73" s="335"/>
      <c r="J73" s="366"/>
      <c r="K73" s="641"/>
      <c r="L73" s="641"/>
      <c r="M73" s="641"/>
      <c r="N73" s="641"/>
      <c r="O73" s="366"/>
      <c r="P73" s="366"/>
      <c r="Q73" s="366"/>
      <c r="R73" s="611"/>
      <c r="S73" s="614"/>
      <c r="T73" s="588"/>
      <c r="U73" s="188"/>
      <c r="V73" s="366"/>
      <c r="W73" s="366"/>
      <c r="X73" s="366"/>
      <c r="Y73" s="366"/>
      <c r="Z73" s="366"/>
      <c r="AA73" s="366"/>
      <c r="AB73" s="366"/>
      <c r="AC73" s="366"/>
      <c r="AD73" s="366"/>
      <c r="AE73" s="366"/>
      <c r="AF73" s="366"/>
      <c r="AG73" s="366"/>
      <c r="AH73" s="366"/>
      <c r="AI73" s="366"/>
      <c r="AJ73" s="366"/>
      <c r="AK73" s="619"/>
      <c r="AL73" s="617"/>
    </row>
    <row r="74" spans="1:38" ht="15.75">
      <c r="A74" s="190"/>
      <c r="B74" s="324"/>
      <c r="C74" s="324"/>
      <c r="D74" s="366"/>
      <c r="E74" s="366"/>
      <c r="F74" s="639"/>
      <c r="G74" s="324"/>
      <c r="H74" s="324"/>
      <c r="I74" s="335"/>
      <c r="J74" s="366"/>
      <c r="K74" s="641"/>
      <c r="L74" s="641"/>
      <c r="M74" s="641"/>
      <c r="N74" s="641"/>
      <c r="O74" s="366"/>
      <c r="P74" s="366"/>
      <c r="Q74" s="366"/>
      <c r="R74" s="611"/>
      <c r="S74" s="614"/>
      <c r="T74" s="588"/>
      <c r="U74" s="188"/>
      <c r="V74" s="366"/>
      <c r="W74" s="366"/>
      <c r="X74" s="366"/>
      <c r="Y74" s="366"/>
      <c r="Z74" s="366"/>
      <c r="AA74" s="366"/>
      <c r="AB74" s="366"/>
      <c r="AC74" s="366"/>
      <c r="AD74" s="366"/>
      <c r="AE74" s="366"/>
      <c r="AF74" s="366"/>
      <c r="AG74" s="366"/>
      <c r="AH74" s="366"/>
      <c r="AI74" s="366"/>
      <c r="AJ74" s="366"/>
      <c r="AK74" s="619"/>
      <c r="AL74" s="617"/>
    </row>
    <row r="75" spans="1:38" ht="15.75">
      <c r="A75" s="190"/>
      <c r="B75" s="324"/>
      <c r="C75" s="324"/>
      <c r="D75" s="366"/>
      <c r="E75" s="366"/>
      <c r="F75" s="639"/>
      <c r="G75" s="324"/>
      <c r="H75" s="324"/>
      <c r="I75" s="335"/>
      <c r="J75" s="366"/>
      <c r="K75" s="641"/>
      <c r="L75" s="641"/>
      <c r="M75" s="641"/>
      <c r="N75" s="641"/>
      <c r="O75" s="366"/>
      <c r="P75" s="366"/>
      <c r="Q75" s="366"/>
      <c r="R75" s="611"/>
      <c r="S75" s="614"/>
      <c r="T75" s="588"/>
      <c r="U75" s="188"/>
      <c r="V75" s="366"/>
      <c r="W75" s="366"/>
      <c r="X75" s="366"/>
      <c r="Y75" s="366"/>
      <c r="Z75" s="366"/>
      <c r="AA75" s="366"/>
      <c r="AB75" s="366"/>
      <c r="AC75" s="366"/>
      <c r="AD75" s="366"/>
      <c r="AE75" s="366"/>
      <c r="AF75" s="366"/>
      <c r="AG75" s="366"/>
      <c r="AH75" s="366"/>
      <c r="AI75" s="366"/>
      <c r="AJ75" s="366"/>
      <c r="AK75" s="619"/>
      <c r="AL75" s="617"/>
    </row>
    <row r="76" spans="1:38" ht="15.75">
      <c r="A76" s="190"/>
      <c r="B76" s="324"/>
      <c r="C76" s="324"/>
      <c r="D76" s="366"/>
      <c r="E76" s="366"/>
      <c r="F76" s="639"/>
      <c r="G76" s="324"/>
      <c r="H76" s="324"/>
      <c r="I76" s="335"/>
      <c r="J76" s="366"/>
      <c r="K76" s="641"/>
      <c r="L76" s="641"/>
      <c r="M76" s="641"/>
      <c r="N76" s="641"/>
      <c r="O76" s="366"/>
      <c r="P76" s="366"/>
      <c r="Q76" s="366"/>
      <c r="R76" s="611"/>
      <c r="S76" s="614"/>
      <c r="T76" s="588"/>
      <c r="U76" s="188"/>
      <c r="V76" s="366"/>
      <c r="W76" s="366"/>
      <c r="X76" s="366"/>
      <c r="Y76" s="366"/>
      <c r="Z76" s="366"/>
      <c r="AA76" s="366"/>
      <c r="AB76" s="366"/>
      <c r="AC76" s="366"/>
      <c r="AD76" s="366"/>
      <c r="AE76" s="366"/>
      <c r="AF76" s="366"/>
      <c r="AG76" s="366"/>
      <c r="AH76" s="366"/>
      <c r="AI76" s="366"/>
      <c r="AJ76" s="366"/>
      <c r="AK76" s="619"/>
      <c r="AL76" s="617"/>
    </row>
    <row r="77" spans="1:38" ht="15.75">
      <c r="A77" s="190"/>
      <c r="B77" s="324"/>
      <c r="C77" s="324"/>
      <c r="D77" s="366"/>
      <c r="E77" s="366"/>
      <c r="F77" s="639"/>
      <c r="G77" s="324"/>
      <c r="H77" s="324"/>
      <c r="I77" s="335"/>
      <c r="J77" s="366"/>
      <c r="K77" s="641"/>
      <c r="L77" s="641"/>
      <c r="M77" s="641"/>
      <c r="N77" s="641"/>
      <c r="O77" s="366"/>
      <c r="P77" s="366"/>
      <c r="Q77" s="366"/>
      <c r="R77" s="611"/>
      <c r="S77" s="614"/>
      <c r="T77" s="588"/>
      <c r="U77" s="188"/>
      <c r="V77" s="366"/>
      <c r="W77" s="366"/>
      <c r="X77" s="366"/>
      <c r="Y77" s="366"/>
      <c r="Z77" s="366"/>
      <c r="AA77" s="366"/>
      <c r="AB77" s="366"/>
      <c r="AC77" s="366"/>
      <c r="AD77" s="366"/>
      <c r="AE77" s="366"/>
      <c r="AF77" s="366"/>
      <c r="AG77" s="366"/>
      <c r="AH77" s="366"/>
      <c r="AI77" s="366"/>
      <c r="AJ77" s="366"/>
      <c r="AK77" s="619"/>
      <c r="AL77" s="617"/>
    </row>
    <row r="78" spans="1:38" ht="15.75">
      <c r="A78" s="190"/>
      <c r="B78" s="324"/>
      <c r="C78" s="324"/>
      <c r="D78" s="366"/>
      <c r="E78" s="366"/>
      <c r="F78" s="639"/>
      <c r="G78" s="324"/>
      <c r="H78" s="324"/>
      <c r="I78" s="335"/>
      <c r="J78" s="366"/>
      <c r="K78" s="641"/>
      <c r="L78" s="641"/>
      <c r="M78" s="641"/>
      <c r="N78" s="641"/>
      <c r="O78" s="366"/>
      <c r="P78" s="366"/>
      <c r="Q78" s="366"/>
      <c r="R78" s="611"/>
      <c r="S78" s="614"/>
      <c r="T78" s="588"/>
      <c r="U78" s="188"/>
      <c r="V78" s="366"/>
      <c r="W78" s="366"/>
      <c r="X78" s="366"/>
      <c r="Y78" s="366"/>
      <c r="Z78" s="366"/>
      <c r="AA78" s="366"/>
      <c r="AB78" s="366"/>
      <c r="AC78" s="366"/>
      <c r="AD78" s="366"/>
      <c r="AE78" s="366"/>
      <c r="AF78" s="366"/>
      <c r="AG78" s="366"/>
      <c r="AH78" s="366"/>
      <c r="AI78" s="366"/>
      <c r="AJ78" s="366"/>
      <c r="AK78" s="619"/>
      <c r="AL78" s="617"/>
    </row>
    <row r="79" spans="1:38" ht="15.75">
      <c r="A79" s="190"/>
      <c r="B79" s="324"/>
      <c r="C79" s="324"/>
      <c r="D79" s="366"/>
      <c r="E79" s="366"/>
      <c r="F79" s="639"/>
      <c r="G79" s="324"/>
      <c r="H79" s="324"/>
      <c r="I79" s="335"/>
      <c r="J79" s="366"/>
      <c r="K79" s="641"/>
      <c r="L79" s="641"/>
      <c r="M79" s="641"/>
      <c r="N79" s="641"/>
      <c r="O79" s="366"/>
      <c r="P79" s="366"/>
      <c r="Q79" s="366"/>
      <c r="R79" s="611"/>
      <c r="S79" s="614"/>
      <c r="T79" s="588"/>
      <c r="U79" s="188"/>
      <c r="V79" s="366"/>
      <c r="W79" s="366"/>
      <c r="X79" s="366"/>
      <c r="Y79" s="366"/>
      <c r="Z79" s="366"/>
      <c r="AA79" s="366"/>
      <c r="AB79" s="366"/>
      <c r="AC79" s="366"/>
      <c r="AD79" s="366"/>
      <c r="AE79" s="366"/>
      <c r="AF79" s="366"/>
      <c r="AG79" s="366"/>
      <c r="AH79" s="366"/>
      <c r="AI79" s="366"/>
      <c r="AJ79" s="366"/>
      <c r="AK79" s="619"/>
      <c r="AL79" s="617"/>
    </row>
    <row r="80" spans="1:38" ht="15.75">
      <c r="A80" s="190"/>
      <c r="B80" s="324"/>
      <c r="C80" s="324"/>
      <c r="D80" s="366"/>
      <c r="E80" s="366"/>
      <c r="F80" s="639"/>
      <c r="G80" s="324"/>
      <c r="H80" s="324"/>
      <c r="I80" s="335"/>
      <c r="J80" s="366"/>
      <c r="K80" s="641"/>
      <c r="L80" s="641"/>
      <c r="M80" s="641"/>
      <c r="N80" s="641"/>
      <c r="O80" s="366"/>
      <c r="P80" s="366"/>
      <c r="Q80" s="366"/>
      <c r="R80" s="611"/>
      <c r="S80" s="614"/>
      <c r="T80" s="588"/>
      <c r="U80" s="188"/>
      <c r="V80" s="366"/>
      <c r="W80" s="366"/>
      <c r="X80" s="366"/>
      <c r="Y80" s="366"/>
      <c r="Z80" s="366"/>
      <c r="AA80" s="366"/>
      <c r="AB80" s="366"/>
      <c r="AC80" s="366"/>
      <c r="AD80" s="366"/>
      <c r="AE80" s="366"/>
      <c r="AF80" s="366"/>
      <c r="AG80" s="366"/>
      <c r="AH80" s="366"/>
      <c r="AI80" s="366"/>
      <c r="AJ80" s="366"/>
      <c r="AK80" s="619"/>
      <c r="AL80" s="617"/>
    </row>
    <row r="81" spans="1:38" ht="15.75">
      <c r="A81" s="190"/>
      <c r="B81" s="324"/>
      <c r="C81" s="324"/>
      <c r="D81" s="366"/>
      <c r="E81" s="366"/>
      <c r="F81" s="639"/>
      <c r="G81" s="324"/>
      <c r="H81" s="324"/>
      <c r="I81" s="335"/>
      <c r="J81" s="366"/>
      <c r="K81" s="641"/>
      <c r="L81" s="641"/>
      <c r="M81" s="641"/>
      <c r="N81" s="641"/>
      <c r="O81" s="366"/>
      <c r="P81" s="366"/>
      <c r="Q81" s="366"/>
      <c r="R81" s="611"/>
      <c r="S81" s="614"/>
      <c r="T81" s="588"/>
      <c r="U81" s="188"/>
      <c r="V81" s="366"/>
      <c r="W81" s="366"/>
      <c r="X81" s="366"/>
      <c r="Y81" s="366"/>
      <c r="Z81" s="366"/>
      <c r="AA81" s="366"/>
      <c r="AB81" s="366"/>
      <c r="AC81" s="366"/>
      <c r="AD81" s="366"/>
      <c r="AE81" s="366"/>
      <c r="AF81" s="366"/>
      <c r="AG81" s="366"/>
      <c r="AH81" s="366"/>
      <c r="AI81" s="366"/>
      <c r="AJ81" s="366"/>
      <c r="AK81" s="619"/>
      <c r="AL81" s="617"/>
    </row>
    <row r="82" spans="1:38" ht="15.75">
      <c r="A82" s="190"/>
      <c r="B82" s="324"/>
      <c r="C82" s="324"/>
      <c r="D82" s="366"/>
      <c r="E82" s="366"/>
      <c r="F82" s="639"/>
      <c r="G82" s="324"/>
      <c r="H82" s="324"/>
      <c r="I82" s="335"/>
      <c r="J82" s="366"/>
      <c r="K82" s="641"/>
      <c r="L82" s="641"/>
      <c r="M82" s="641"/>
      <c r="N82" s="641"/>
      <c r="O82" s="366"/>
      <c r="P82" s="366"/>
      <c r="Q82" s="366"/>
      <c r="R82" s="611"/>
      <c r="S82" s="614"/>
      <c r="T82" s="588"/>
      <c r="U82" s="188"/>
      <c r="V82" s="366"/>
      <c r="W82" s="366"/>
      <c r="X82" s="366"/>
      <c r="Y82" s="366"/>
      <c r="Z82" s="366"/>
      <c r="AA82" s="366"/>
      <c r="AB82" s="366"/>
      <c r="AC82" s="366"/>
      <c r="AD82" s="366"/>
      <c r="AE82" s="366"/>
      <c r="AF82" s="366"/>
      <c r="AG82" s="366"/>
      <c r="AH82" s="366"/>
      <c r="AI82" s="366"/>
      <c r="AJ82" s="366"/>
      <c r="AK82" s="619"/>
      <c r="AL82" s="617"/>
    </row>
    <row r="83" spans="1:38" ht="15.75">
      <c r="A83" s="190"/>
      <c r="B83" s="324"/>
      <c r="C83" s="324"/>
      <c r="D83" s="366"/>
      <c r="E83" s="366"/>
      <c r="F83" s="639"/>
      <c r="G83" s="324"/>
      <c r="H83" s="324"/>
      <c r="I83" s="335"/>
      <c r="J83" s="366"/>
      <c r="K83" s="641"/>
      <c r="L83" s="641"/>
      <c r="M83" s="641"/>
      <c r="N83" s="641"/>
      <c r="O83" s="366"/>
      <c r="P83" s="366"/>
      <c r="Q83" s="366"/>
      <c r="R83" s="611"/>
      <c r="S83" s="614"/>
      <c r="T83" s="588"/>
      <c r="U83" s="188"/>
      <c r="V83" s="366"/>
      <c r="W83" s="366"/>
      <c r="X83" s="366"/>
      <c r="Y83" s="366"/>
      <c r="Z83" s="366"/>
      <c r="AA83" s="366"/>
      <c r="AB83" s="366"/>
      <c r="AC83" s="366"/>
      <c r="AD83" s="366"/>
      <c r="AE83" s="366"/>
      <c r="AF83" s="366"/>
      <c r="AG83" s="366"/>
      <c r="AH83" s="366"/>
      <c r="AI83" s="366"/>
      <c r="AJ83" s="366"/>
      <c r="AK83" s="619"/>
      <c r="AL83" s="617"/>
    </row>
    <row r="84" spans="1:38" ht="15.75">
      <c r="A84" s="190"/>
      <c r="B84" s="324"/>
      <c r="C84" s="324"/>
      <c r="D84" s="366"/>
      <c r="E84" s="366"/>
      <c r="F84" s="639"/>
      <c r="G84" s="324"/>
      <c r="H84" s="324"/>
      <c r="I84" s="335"/>
      <c r="J84" s="366"/>
      <c r="K84" s="641"/>
      <c r="L84" s="641"/>
      <c r="M84" s="641"/>
      <c r="N84" s="641"/>
      <c r="O84" s="366"/>
      <c r="P84" s="366"/>
      <c r="Q84" s="366"/>
      <c r="R84" s="611"/>
      <c r="S84" s="614"/>
      <c r="T84" s="588"/>
      <c r="U84" s="188"/>
      <c r="V84" s="366"/>
      <c r="W84" s="366"/>
      <c r="X84" s="366"/>
      <c r="Y84" s="366"/>
      <c r="Z84" s="366"/>
      <c r="AA84" s="366"/>
      <c r="AB84" s="366"/>
      <c r="AC84" s="366"/>
      <c r="AD84" s="366"/>
      <c r="AE84" s="366"/>
      <c r="AF84" s="366"/>
      <c r="AG84" s="366"/>
      <c r="AH84" s="366"/>
      <c r="AI84" s="366"/>
      <c r="AJ84" s="366"/>
      <c r="AK84" s="619"/>
      <c r="AL84" s="617"/>
    </row>
    <row r="85" spans="1:38" ht="15.75">
      <c r="A85" s="190"/>
      <c r="B85" s="324"/>
      <c r="C85" s="324"/>
      <c r="D85" s="366"/>
      <c r="E85" s="366"/>
      <c r="F85" s="639"/>
      <c r="G85" s="324"/>
      <c r="H85" s="324"/>
      <c r="I85" s="335"/>
      <c r="J85" s="366"/>
      <c r="K85" s="641"/>
      <c r="L85" s="641"/>
      <c r="M85" s="641"/>
      <c r="N85" s="641"/>
      <c r="O85" s="366"/>
      <c r="P85" s="366"/>
      <c r="Q85" s="366"/>
      <c r="R85" s="611"/>
      <c r="S85" s="614"/>
      <c r="T85" s="588"/>
      <c r="U85" s="188"/>
      <c r="V85" s="366"/>
      <c r="W85" s="366"/>
      <c r="X85" s="366"/>
      <c r="Y85" s="366"/>
      <c r="Z85" s="366"/>
      <c r="AA85" s="366"/>
      <c r="AB85" s="366"/>
      <c r="AC85" s="366"/>
      <c r="AD85" s="366"/>
      <c r="AE85" s="366"/>
      <c r="AF85" s="366"/>
      <c r="AG85" s="366"/>
      <c r="AH85" s="366"/>
      <c r="AI85" s="366"/>
      <c r="AJ85" s="366"/>
      <c r="AK85" s="619"/>
      <c r="AL85" s="617"/>
    </row>
    <row r="86" spans="1:38" ht="15.75">
      <c r="A86" s="190"/>
      <c r="B86" s="324"/>
      <c r="C86" s="324"/>
      <c r="D86" s="366"/>
      <c r="E86" s="366"/>
      <c r="F86" s="639"/>
      <c r="G86" s="324"/>
      <c r="H86" s="324"/>
      <c r="I86" s="335"/>
      <c r="J86" s="366"/>
      <c r="K86" s="641"/>
      <c r="L86" s="641"/>
      <c r="M86" s="641"/>
      <c r="N86" s="641"/>
      <c r="O86" s="366"/>
      <c r="P86" s="366"/>
      <c r="Q86" s="366"/>
      <c r="R86" s="611"/>
      <c r="S86" s="614"/>
      <c r="T86" s="588"/>
      <c r="U86" s="188"/>
      <c r="V86" s="366"/>
      <c r="W86" s="366"/>
      <c r="X86" s="366"/>
      <c r="Y86" s="366"/>
      <c r="Z86" s="366"/>
      <c r="AA86" s="366"/>
      <c r="AB86" s="366"/>
      <c r="AC86" s="366"/>
      <c r="AD86" s="366"/>
      <c r="AE86" s="366"/>
      <c r="AF86" s="366"/>
      <c r="AG86" s="366"/>
      <c r="AH86" s="366"/>
      <c r="AI86" s="366"/>
      <c r="AJ86" s="366"/>
      <c r="AK86" s="619"/>
      <c r="AL86" s="617"/>
    </row>
    <row r="87" spans="1:38" ht="15.75">
      <c r="A87" s="190"/>
      <c r="B87" s="324"/>
      <c r="C87" s="324"/>
      <c r="D87" s="366"/>
      <c r="E87" s="366"/>
      <c r="F87" s="639"/>
      <c r="G87" s="324"/>
      <c r="H87" s="324"/>
      <c r="I87" s="335"/>
      <c r="J87" s="366"/>
      <c r="K87" s="641"/>
      <c r="L87" s="641"/>
      <c r="M87" s="641"/>
      <c r="N87" s="641"/>
      <c r="O87" s="366"/>
      <c r="P87" s="366"/>
      <c r="Q87" s="366"/>
      <c r="R87" s="611"/>
      <c r="S87" s="614"/>
      <c r="T87" s="588"/>
      <c r="U87" s="188"/>
      <c r="V87" s="366"/>
      <c r="W87" s="366"/>
      <c r="X87" s="366"/>
      <c r="Y87" s="366"/>
      <c r="Z87" s="366"/>
      <c r="AA87" s="366"/>
      <c r="AB87" s="366"/>
      <c r="AC87" s="366"/>
      <c r="AD87" s="366"/>
      <c r="AE87" s="366"/>
      <c r="AF87" s="366"/>
      <c r="AG87" s="366"/>
      <c r="AH87" s="366"/>
      <c r="AI87" s="366"/>
      <c r="AJ87" s="366"/>
      <c r="AK87" s="619"/>
      <c r="AL87" s="617"/>
    </row>
    <row r="88" spans="1:38" ht="15.75">
      <c r="A88" s="190"/>
      <c r="B88" s="324"/>
      <c r="C88" s="324"/>
      <c r="D88" s="366"/>
      <c r="E88" s="366"/>
      <c r="F88" s="639"/>
      <c r="G88" s="324"/>
      <c r="H88" s="324"/>
      <c r="I88" s="335"/>
      <c r="J88" s="366"/>
      <c r="K88" s="641"/>
      <c r="L88" s="641"/>
      <c r="M88" s="641"/>
      <c r="N88" s="641"/>
      <c r="O88" s="366"/>
      <c r="P88" s="366"/>
      <c r="Q88" s="366"/>
      <c r="R88" s="611"/>
      <c r="S88" s="614"/>
      <c r="T88" s="588"/>
      <c r="U88" s="188"/>
      <c r="V88" s="366"/>
      <c r="W88" s="366"/>
      <c r="X88" s="366"/>
      <c r="Y88" s="366"/>
      <c r="Z88" s="366"/>
      <c r="AA88" s="366"/>
      <c r="AB88" s="366"/>
      <c r="AC88" s="366"/>
      <c r="AD88" s="366"/>
      <c r="AE88" s="366"/>
      <c r="AF88" s="366"/>
      <c r="AG88" s="366"/>
      <c r="AH88" s="366"/>
      <c r="AI88" s="366"/>
      <c r="AJ88" s="366"/>
      <c r="AK88" s="619"/>
      <c r="AL88" s="617"/>
    </row>
    <row r="89" spans="1:38" ht="15.75">
      <c r="A89" s="190"/>
      <c r="B89" s="324"/>
      <c r="C89" s="324"/>
      <c r="D89" s="366"/>
      <c r="E89" s="366"/>
      <c r="F89" s="639"/>
      <c r="G89" s="324"/>
      <c r="H89" s="324"/>
      <c r="I89" s="335"/>
      <c r="J89" s="366"/>
      <c r="K89" s="641"/>
      <c r="L89" s="641"/>
      <c r="M89" s="641"/>
      <c r="N89" s="641"/>
      <c r="O89" s="366"/>
      <c r="P89" s="366"/>
      <c r="Q89" s="366"/>
      <c r="R89" s="611"/>
      <c r="S89" s="614"/>
      <c r="T89" s="588"/>
      <c r="U89" s="188"/>
      <c r="V89" s="366"/>
      <c r="W89" s="366"/>
      <c r="X89" s="366"/>
      <c r="Y89" s="366"/>
      <c r="Z89" s="366"/>
      <c r="AA89" s="366"/>
      <c r="AB89" s="366"/>
      <c r="AC89" s="366"/>
      <c r="AD89" s="366"/>
      <c r="AE89" s="366"/>
      <c r="AF89" s="366"/>
      <c r="AG89" s="366"/>
      <c r="AH89" s="366"/>
      <c r="AI89" s="366"/>
      <c r="AJ89" s="366"/>
      <c r="AK89" s="619"/>
      <c r="AL89" s="617"/>
    </row>
    <row r="90" spans="1:38" ht="15.75">
      <c r="A90" s="190"/>
      <c r="B90" s="324"/>
      <c r="C90" s="324"/>
      <c r="D90" s="366"/>
      <c r="E90" s="366"/>
      <c r="F90" s="639"/>
      <c r="G90" s="324"/>
      <c r="H90" s="324"/>
      <c r="I90" s="335"/>
      <c r="J90" s="366"/>
      <c r="K90" s="641"/>
      <c r="L90" s="641"/>
      <c r="M90" s="641"/>
      <c r="N90" s="641"/>
      <c r="O90" s="366"/>
      <c r="P90" s="366"/>
      <c r="Q90" s="366"/>
      <c r="R90" s="611"/>
      <c r="S90" s="614"/>
      <c r="T90" s="588"/>
      <c r="U90" s="188"/>
      <c r="V90" s="366"/>
      <c r="W90" s="366"/>
      <c r="X90" s="366"/>
      <c r="Y90" s="366"/>
      <c r="Z90" s="366"/>
      <c r="AA90" s="366"/>
      <c r="AB90" s="366"/>
      <c r="AC90" s="366"/>
      <c r="AD90" s="366"/>
      <c r="AE90" s="366"/>
      <c r="AF90" s="366"/>
      <c r="AG90" s="366"/>
      <c r="AH90" s="366"/>
      <c r="AI90" s="366"/>
      <c r="AJ90" s="366"/>
      <c r="AK90" s="619"/>
      <c r="AL90" s="617"/>
    </row>
    <row r="91" spans="1:38" ht="15.75">
      <c r="A91" s="190"/>
      <c r="B91" s="324"/>
      <c r="C91" s="324"/>
      <c r="D91" s="366"/>
      <c r="E91" s="366"/>
      <c r="F91" s="639"/>
      <c r="G91" s="324"/>
      <c r="H91" s="324"/>
      <c r="I91" s="335"/>
      <c r="J91" s="366"/>
      <c r="K91" s="641"/>
      <c r="L91" s="641"/>
      <c r="M91" s="641"/>
      <c r="N91" s="641"/>
      <c r="O91" s="366"/>
      <c r="P91" s="366"/>
      <c r="Q91" s="366"/>
      <c r="R91" s="611"/>
      <c r="S91" s="614"/>
      <c r="T91" s="588"/>
      <c r="U91" s="188"/>
      <c r="V91" s="366"/>
      <c r="W91" s="366"/>
      <c r="X91" s="366"/>
      <c r="Y91" s="366"/>
      <c r="Z91" s="366"/>
      <c r="AA91" s="366"/>
      <c r="AB91" s="366"/>
      <c r="AC91" s="366"/>
      <c r="AD91" s="366"/>
      <c r="AE91" s="366"/>
      <c r="AF91" s="366"/>
      <c r="AG91" s="366"/>
      <c r="AH91" s="366"/>
      <c r="AI91" s="366"/>
      <c r="AJ91" s="366"/>
      <c r="AK91" s="619"/>
      <c r="AL91" s="617"/>
    </row>
    <row r="92" spans="1:38" ht="15.75">
      <c r="A92" s="190"/>
      <c r="B92" s="324"/>
      <c r="C92" s="324"/>
      <c r="D92" s="366"/>
      <c r="E92" s="366"/>
      <c r="F92" s="639"/>
      <c r="G92" s="324"/>
      <c r="H92" s="324"/>
      <c r="I92" s="335"/>
      <c r="J92" s="366"/>
      <c r="K92" s="641"/>
      <c r="L92" s="641"/>
      <c r="M92" s="641"/>
      <c r="N92" s="641"/>
      <c r="O92" s="366"/>
      <c r="P92" s="366"/>
      <c r="Q92" s="366"/>
      <c r="R92" s="611"/>
      <c r="S92" s="614"/>
      <c r="T92" s="588"/>
      <c r="U92" s="188"/>
      <c r="V92" s="366"/>
      <c r="W92" s="366"/>
      <c r="X92" s="366"/>
      <c r="Y92" s="366"/>
      <c r="Z92" s="366"/>
      <c r="AA92" s="366"/>
      <c r="AB92" s="366"/>
      <c r="AC92" s="366"/>
      <c r="AD92" s="366"/>
      <c r="AE92" s="366"/>
      <c r="AF92" s="366"/>
      <c r="AG92" s="366"/>
      <c r="AH92" s="366"/>
      <c r="AI92" s="366"/>
      <c r="AJ92" s="366"/>
      <c r="AK92" s="619"/>
      <c r="AL92" s="617"/>
    </row>
    <row r="93" spans="1:38" ht="15.75">
      <c r="A93" s="190"/>
      <c r="B93" s="324"/>
      <c r="C93" s="324"/>
      <c r="D93" s="366"/>
      <c r="E93" s="366"/>
      <c r="F93" s="639"/>
      <c r="G93" s="324"/>
      <c r="H93" s="324"/>
      <c r="I93" s="335"/>
      <c r="J93" s="366"/>
      <c r="K93" s="641"/>
      <c r="L93" s="641"/>
      <c r="M93" s="641"/>
      <c r="N93" s="641"/>
      <c r="O93" s="366"/>
      <c r="P93" s="366"/>
      <c r="Q93" s="366"/>
      <c r="R93" s="611"/>
      <c r="S93" s="614"/>
      <c r="T93" s="588"/>
      <c r="U93" s="188"/>
      <c r="V93" s="366"/>
      <c r="W93" s="366"/>
      <c r="X93" s="366"/>
      <c r="Y93" s="366"/>
      <c r="Z93" s="366"/>
      <c r="AA93" s="366"/>
      <c r="AB93" s="366"/>
      <c r="AC93" s="366"/>
      <c r="AD93" s="366"/>
      <c r="AE93" s="366"/>
      <c r="AF93" s="366"/>
      <c r="AG93" s="366"/>
      <c r="AH93" s="366"/>
      <c r="AI93" s="366"/>
      <c r="AJ93" s="366"/>
      <c r="AK93" s="619"/>
      <c r="AL93" s="617"/>
    </row>
    <row r="94" spans="1:38" ht="15.75">
      <c r="A94" s="190"/>
      <c r="B94" s="324"/>
      <c r="C94" s="324"/>
      <c r="D94" s="366"/>
      <c r="E94" s="366"/>
      <c r="F94" s="639"/>
      <c r="G94" s="324"/>
      <c r="H94" s="324"/>
      <c r="I94" s="335"/>
      <c r="J94" s="366"/>
      <c r="K94" s="641"/>
      <c r="L94" s="641"/>
      <c r="M94" s="641"/>
      <c r="N94" s="641"/>
      <c r="O94" s="366"/>
      <c r="P94" s="366"/>
      <c r="Q94" s="366"/>
      <c r="R94" s="611"/>
      <c r="S94" s="614"/>
      <c r="T94" s="588"/>
      <c r="U94" s="188"/>
      <c r="V94" s="366"/>
      <c r="W94" s="366"/>
      <c r="X94" s="366"/>
      <c r="Y94" s="366"/>
      <c r="Z94" s="366"/>
      <c r="AA94" s="366"/>
      <c r="AB94" s="366"/>
      <c r="AC94" s="366"/>
      <c r="AD94" s="366"/>
      <c r="AE94" s="366"/>
      <c r="AF94" s="366"/>
      <c r="AG94" s="366"/>
      <c r="AH94" s="366"/>
      <c r="AI94" s="366"/>
      <c r="AJ94" s="366"/>
      <c r="AK94" s="619"/>
      <c r="AL94" s="617"/>
    </row>
    <row r="95" spans="1:38" ht="15.75">
      <c r="A95" s="190"/>
      <c r="B95" s="324"/>
      <c r="C95" s="324"/>
      <c r="D95" s="366"/>
      <c r="E95" s="366"/>
      <c r="F95" s="639"/>
      <c r="G95" s="324"/>
      <c r="H95" s="324"/>
      <c r="I95" s="335"/>
      <c r="J95" s="366"/>
      <c r="K95" s="641"/>
      <c r="L95" s="641"/>
      <c r="M95" s="641"/>
      <c r="N95" s="641"/>
      <c r="O95" s="366"/>
      <c r="P95" s="366"/>
      <c r="Q95" s="366"/>
      <c r="R95" s="611"/>
      <c r="S95" s="614"/>
      <c r="T95" s="588"/>
      <c r="U95" s="188"/>
      <c r="V95" s="366"/>
      <c r="W95" s="366"/>
      <c r="X95" s="366"/>
      <c r="Y95" s="366"/>
      <c r="Z95" s="366"/>
      <c r="AA95" s="366"/>
      <c r="AB95" s="366"/>
      <c r="AC95" s="366"/>
      <c r="AD95" s="366"/>
      <c r="AE95" s="366"/>
      <c r="AF95" s="366"/>
      <c r="AG95" s="366"/>
      <c r="AH95" s="366"/>
      <c r="AI95" s="366"/>
      <c r="AJ95" s="366"/>
      <c r="AK95" s="619"/>
      <c r="AL95" s="617"/>
    </row>
    <row r="96" spans="1:38" ht="15.75">
      <c r="A96" s="190"/>
      <c r="B96" s="324"/>
      <c r="C96" s="324"/>
      <c r="D96" s="366"/>
      <c r="E96" s="366"/>
      <c r="F96" s="639"/>
      <c r="G96" s="324"/>
      <c r="H96" s="324"/>
      <c r="I96" s="335"/>
      <c r="J96" s="366"/>
      <c r="K96" s="641"/>
      <c r="L96" s="641"/>
      <c r="M96" s="641"/>
      <c r="N96" s="641"/>
      <c r="O96" s="366"/>
      <c r="P96" s="366"/>
      <c r="Q96" s="366"/>
      <c r="R96" s="611"/>
      <c r="S96" s="614"/>
      <c r="T96" s="588"/>
      <c r="U96" s="188"/>
      <c r="V96" s="366"/>
      <c r="W96" s="366"/>
      <c r="X96" s="366"/>
      <c r="Y96" s="366"/>
      <c r="Z96" s="366"/>
      <c r="AA96" s="366"/>
      <c r="AB96" s="366"/>
      <c r="AC96" s="366"/>
      <c r="AD96" s="366"/>
      <c r="AE96" s="366"/>
      <c r="AF96" s="366"/>
      <c r="AG96" s="366"/>
      <c r="AH96" s="366"/>
      <c r="AI96" s="366"/>
      <c r="AJ96" s="366"/>
      <c r="AK96" s="619"/>
      <c r="AL96" s="617"/>
    </row>
    <row r="97" spans="1:38" ht="15.75">
      <c r="A97" s="190"/>
      <c r="B97" s="324"/>
      <c r="C97" s="324"/>
      <c r="D97" s="366"/>
      <c r="E97" s="366"/>
      <c r="F97" s="639"/>
      <c r="G97" s="324"/>
      <c r="H97" s="324"/>
      <c r="I97" s="335"/>
      <c r="J97" s="366"/>
      <c r="K97" s="641"/>
      <c r="L97" s="641"/>
      <c r="M97" s="641"/>
      <c r="N97" s="641"/>
      <c r="O97" s="366"/>
      <c r="P97" s="366"/>
      <c r="Q97" s="366"/>
      <c r="R97" s="611"/>
      <c r="S97" s="614"/>
      <c r="T97" s="588"/>
      <c r="U97" s="188"/>
      <c r="V97" s="366"/>
      <c r="W97" s="366"/>
      <c r="X97" s="366"/>
      <c r="Y97" s="366"/>
      <c r="Z97" s="366"/>
      <c r="AA97" s="366"/>
      <c r="AB97" s="366"/>
      <c r="AC97" s="366"/>
      <c r="AD97" s="366"/>
      <c r="AE97" s="366"/>
      <c r="AF97" s="366"/>
      <c r="AG97" s="366"/>
      <c r="AH97" s="366"/>
      <c r="AI97" s="366"/>
      <c r="AJ97" s="366"/>
      <c r="AK97" s="619"/>
      <c r="AL97" s="617"/>
    </row>
    <row r="98" spans="1:38" ht="15.75">
      <c r="A98" s="190"/>
      <c r="B98" s="324"/>
      <c r="C98" s="324"/>
      <c r="D98" s="366"/>
      <c r="E98" s="366"/>
      <c r="F98" s="639"/>
      <c r="G98" s="324"/>
      <c r="H98" s="324"/>
      <c r="I98" s="335"/>
      <c r="J98" s="366"/>
      <c r="K98" s="641"/>
      <c r="L98" s="641"/>
      <c r="M98" s="641"/>
      <c r="N98" s="641"/>
      <c r="O98" s="366"/>
      <c r="P98" s="366"/>
      <c r="Q98" s="366"/>
      <c r="R98" s="611"/>
      <c r="S98" s="614"/>
      <c r="T98" s="588"/>
      <c r="U98" s="188"/>
      <c r="V98" s="366"/>
      <c r="W98" s="366"/>
      <c r="X98" s="366"/>
      <c r="Y98" s="366"/>
      <c r="Z98" s="366"/>
      <c r="AA98" s="366"/>
      <c r="AB98" s="366"/>
      <c r="AC98" s="366"/>
      <c r="AD98" s="366"/>
      <c r="AE98" s="366"/>
      <c r="AF98" s="366"/>
      <c r="AG98" s="366"/>
      <c r="AH98" s="366"/>
      <c r="AI98" s="366"/>
      <c r="AJ98" s="366"/>
      <c r="AK98" s="619"/>
      <c r="AL98" s="617"/>
    </row>
    <row r="99" spans="1:38" ht="15.75">
      <c r="A99" s="190"/>
      <c r="B99" s="324"/>
      <c r="C99" s="324"/>
      <c r="D99" s="366"/>
      <c r="E99" s="366"/>
      <c r="F99" s="639"/>
      <c r="G99" s="324"/>
      <c r="H99" s="324"/>
      <c r="I99" s="335"/>
      <c r="J99" s="366"/>
      <c r="K99" s="641"/>
      <c r="L99" s="641"/>
      <c r="M99" s="641"/>
      <c r="N99" s="641"/>
      <c r="O99" s="366"/>
      <c r="P99" s="366"/>
      <c r="Q99" s="366"/>
      <c r="R99" s="611"/>
      <c r="S99" s="614"/>
      <c r="T99" s="588"/>
      <c r="U99" s="188"/>
      <c r="V99" s="366"/>
      <c r="W99" s="366"/>
      <c r="X99" s="366"/>
      <c r="Y99" s="366"/>
      <c r="Z99" s="366"/>
      <c r="AA99" s="366"/>
      <c r="AB99" s="366"/>
      <c r="AC99" s="366"/>
      <c r="AD99" s="366"/>
      <c r="AE99" s="366"/>
      <c r="AF99" s="366"/>
      <c r="AG99" s="366"/>
      <c r="AH99" s="366"/>
      <c r="AI99" s="366"/>
      <c r="AJ99" s="366"/>
      <c r="AK99" s="619"/>
      <c r="AL99" s="617"/>
    </row>
    <row r="100" spans="1:38" ht="15.75">
      <c r="A100" s="190"/>
      <c r="B100" s="324"/>
      <c r="C100" s="324"/>
      <c r="D100" s="366"/>
      <c r="E100" s="366"/>
      <c r="F100" s="639"/>
      <c r="G100" s="324"/>
      <c r="H100" s="324"/>
      <c r="I100" s="335"/>
      <c r="J100" s="366"/>
      <c r="K100" s="641"/>
      <c r="L100" s="641"/>
      <c r="M100" s="641"/>
      <c r="N100" s="641"/>
      <c r="O100" s="366"/>
      <c r="P100" s="366"/>
      <c r="Q100" s="366"/>
      <c r="R100" s="611"/>
      <c r="S100" s="614"/>
      <c r="T100" s="588"/>
      <c r="U100" s="188"/>
      <c r="V100" s="366"/>
      <c r="W100" s="366"/>
      <c r="X100" s="366"/>
      <c r="Y100" s="366"/>
      <c r="Z100" s="366"/>
      <c r="AA100" s="366"/>
      <c r="AB100" s="366"/>
      <c r="AC100" s="366"/>
      <c r="AD100" s="366"/>
      <c r="AE100" s="366"/>
      <c r="AF100" s="366"/>
      <c r="AG100" s="366"/>
      <c r="AH100" s="366"/>
      <c r="AI100" s="366"/>
      <c r="AJ100" s="366"/>
      <c r="AK100" s="619"/>
      <c r="AL100" s="617"/>
    </row>
    <row r="101" spans="1:38" ht="15.75">
      <c r="A101" s="190"/>
      <c r="B101" s="324"/>
      <c r="C101" s="324"/>
      <c r="D101" s="366"/>
      <c r="E101" s="366"/>
      <c r="F101" s="639"/>
      <c r="G101" s="324"/>
      <c r="H101" s="324"/>
      <c r="I101" s="335"/>
      <c r="J101" s="366"/>
      <c r="K101" s="641"/>
      <c r="L101" s="641"/>
      <c r="M101" s="641"/>
      <c r="N101" s="641"/>
      <c r="O101" s="366"/>
      <c r="P101" s="366"/>
      <c r="Q101" s="366"/>
      <c r="R101" s="611"/>
      <c r="S101" s="614"/>
      <c r="T101" s="588"/>
      <c r="U101" s="188"/>
      <c r="V101" s="366"/>
      <c r="W101" s="366"/>
      <c r="X101" s="366"/>
      <c r="Y101" s="366"/>
      <c r="Z101" s="366"/>
      <c r="AA101" s="366"/>
      <c r="AB101" s="366"/>
      <c r="AC101" s="366"/>
      <c r="AD101" s="366"/>
      <c r="AE101" s="366"/>
      <c r="AF101" s="366"/>
      <c r="AG101" s="366"/>
      <c r="AH101" s="366"/>
      <c r="AI101" s="366"/>
      <c r="AJ101" s="366"/>
      <c r="AK101" s="619"/>
      <c r="AL101" s="617"/>
    </row>
    <row r="102" spans="1:38" ht="15.75">
      <c r="A102" s="190"/>
      <c r="B102" s="324"/>
      <c r="C102" s="324"/>
      <c r="D102" s="366"/>
      <c r="E102" s="366"/>
      <c r="F102" s="639"/>
      <c r="G102" s="324"/>
      <c r="H102" s="324"/>
      <c r="I102" s="335"/>
      <c r="J102" s="366"/>
      <c r="K102" s="641"/>
      <c r="L102" s="641"/>
      <c r="M102" s="641"/>
      <c r="N102" s="641"/>
      <c r="O102" s="366"/>
      <c r="P102" s="366"/>
      <c r="Q102" s="366"/>
      <c r="R102" s="611"/>
      <c r="S102" s="614"/>
      <c r="T102" s="588"/>
      <c r="U102" s="188"/>
      <c r="V102" s="366"/>
      <c r="W102" s="366"/>
      <c r="X102" s="366"/>
      <c r="Y102" s="366"/>
      <c r="Z102" s="366"/>
      <c r="AA102" s="366"/>
      <c r="AB102" s="366"/>
      <c r="AC102" s="366"/>
      <c r="AD102" s="366"/>
      <c r="AE102" s="366"/>
      <c r="AF102" s="366"/>
      <c r="AG102" s="366"/>
      <c r="AH102" s="366"/>
      <c r="AI102" s="366"/>
      <c r="AJ102" s="366"/>
      <c r="AK102" s="619"/>
      <c r="AL102" s="617"/>
    </row>
    <row r="103" spans="1:38" ht="15.75">
      <c r="A103" s="190"/>
      <c r="B103" s="324"/>
      <c r="C103" s="324"/>
      <c r="D103" s="366"/>
      <c r="E103" s="366"/>
      <c r="F103" s="639"/>
      <c r="G103" s="324"/>
      <c r="H103" s="324"/>
      <c r="I103" s="335"/>
      <c r="J103" s="366"/>
      <c r="K103" s="641"/>
      <c r="L103" s="641"/>
      <c r="M103" s="641"/>
      <c r="N103" s="641"/>
      <c r="O103" s="366"/>
      <c r="P103" s="366"/>
      <c r="Q103" s="366"/>
      <c r="R103" s="611"/>
      <c r="S103" s="614"/>
      <c r="T103" s="588"/>
      <c r="U103" s="188"/>
      <c r="V103" s="366"/>
      <c r="W103" s="366"/>
      <c r="X103" s="366"/>
      <c r="Y103" s="366"/>
      <c r="Z103" s="366"/>
      <c r="AA103" s="366"/>
      <c r="AB103" s="366"/>
      <c r="AC103" s="366"/>
      <c r="AD103" s="366"/>
      <c r="AE103" s="366"/>
      <c r="AF103" s="366"/>
      <c r="AG103" s="366"/>
      <c r="AH103" s="366"/>
      <c r="AI103" s="366"/>
      <c r="AJ103" s="366"/>
      <c r="AK103" s="619"/>
      <c r="AL103" s="617"/>
    </row>
    <row r="104" spans="1:38" ht="15.75">
      <c r="A104" s="190"/>
      <c r="B104" s="324"/>
      <c r="C104" s="324"/>
      <c r="D104" s="366"/>
      <c r="E104" s="366"/>
      <c r="F104" s="639"/>
      <c r="G104" s="324"/>
      <c r="H104" s="324"/>
      <c r="I104" s="335"/>
      <c r="J104" s="366"/>
      <c r="K104" s="641"/>
      <c r="L104" s="641"/>
      <c r="M104" s="641"/>
      <c r="N104" s="641"/>
      <c r="O104" s="366"/>
      <c r="P104" s="366"/>
      <c r="Q104" s="366"/>
      <c r="R104" s="611"/>
      <c r="S104" s="614"/>
      <c r="T104" s="588"/>
      <c r="U104" s="188"/>
      <c r="V104" s="366"/>
      <c r="W104" s="366"/>
      <c r="X104" s="366"/>
      <c r="Y104" s="366"/>
      <c r="Z104" s="366"/>
      <c r="AA104" s="366"/>
      <c r="AB104" s="366"/>
      <c r="AC104" s="366"/>
      <c r="AD104" s="366"/>
      <c r="AE104" s="366"/>
      <c r="AF104" s="366"/>
      <c r="AG104" s="366"/>
      <c r="AH104" s="366"/>
      <c r="AI104" s="366"/>
      <c r="AJ104" s="366"/>
      <c r="AK104" s="619"/>
      <c r="AL104" s="617"/>
    </row>
    <row r="105" spans="1:38" ht="15.75">
      <c r="A105" s="190"/>
      <c r="B105" s="324"/>
      <c r="C105" s="324"/>
      <c r="D105" s="366"/>
      <c r="E105" s="366"/>
      <c r="F105" s="639"/>
      <c r="G105" s="324"/>
      <c r="H105" s="324"/>
      <c r="I105" s="335"/>
      <c r="J105" s="366"/>
      <c r="K105" s="641"/>
      <c r="L105" s="641"/>
      <c r="M105" s="641"/>
      <c r="N105" s="641"/>
      <c r="O105" s="366"/>
      <c r="P105" s="366"/>
      <c r="Q105" s="366"/>
      <c r="R105" s="611"/>
      <c r="S105" s="614"/>
      <c r="T105" s="588"/>
      <c r="U105" s="188"/>
      <c r="V105" s="366"/>
      <c r="W105" s="366"/>
      <c r="X105" s="366"/>
      <c r="Y105" s="366"/>
      <c r="Z105" s="366"/>
      <c r="AA105" s="366"/>
      <c r="AB105" s="366"/>
      <c r="AC105" s="366"/>
      <c r="AD105" s="366"/>
      <c r="AE105" s="366"/>
      <c r="AF105" s="366"/>
      <c r="AG105" s="366"/>
      <c r="AH105" s="366"/>
      <c r="AI105" s="366"/>
      <c r="AJ105" s="366"/>
      <c r="AK105" s="619"/>
      <c r="AL105" s="617"/>
    </row>
    <row r="106" spans="1:38" ht="15.75">
      <c r="A106" s="190"/>
      <c r="B106" s="324"/>
      <c r="C106" s="324"/>
      <c r="D106" s="366"/>
      <c r="E106" s="366"/>
      <c r="F106" s="639"/>
      <c r="G106" s="324"/>
      <c r="H106" s="324"/>
      <c r="I106" s="335"/>
      <c r="J106" s="366"/>
      <c r="K106" s="641"/>
      <c r="L106" s="641"/>
      <c r="M106" s="641"/>
      <c r="N106" s="641"/>
      <c r="O106" s="366"/>
      <c r="P106" s="366"/>
      <c r="Q106" s="366"/>
      <c r="R106" s="611"/>
      <c r="S106" s="614"/>
      <c r="T106" s="588"/>
      <c r="U106" s="188"/>
      <c r="V106" s="366"/>
      <c r="W106" s="366"/>
      <c r="X106" s="366"/>
      <c r="Y106" s="366"/>
      <c r="Z106" s="366"/>
      <c r="AA106" s="366"/>
      <c r="AB106" s="366"/>
      <c r="AC106" s="366"/>
      <c r="AD106" s="366"/>
      <c r="AE106" s="366"/>
      <c r="AF106" s="366"/>
      <c r="AG106" s="366"/>
      <c r="AH106" s="366"/>
      <c r="AI106" s="366"/>
      <c r="AJ106" s="366"/>
      <c r="AK106" s="619"/>
      <c r="AL106" s="617"/>
    </row>
    <row r="107" spans="1:38" ht="15.75">
      <c r="A107" s="190"/>
      <c r="B107" s="324"/>
      <c r="C107" s="324"/>
      <c r="D107" s="366"/>
      <c r="E107" s="366"/>
      <c r="F107" s="639"/>
      <c r="G107" s="324"/>
      <c r="H107" s="324"/>
      <c r="I107" s="335"/>
      <c r="J107" s="366"/>
      <c r="K107" s="641"/>
      <c r="L107" s="641"/>
      <c r="M107" s="641"/>
      <c r="N107" s="641"/>
      <c r="O107" s="366"/>
      <c r="P107" s="366"/>
      <c r="Q107" s="366"/>
      <c r="R107" s="611"/>
      <c r="S107" s="614"/>
      <c r="T107" s="588"/>
      <c r="U107" s="188"/>
      <c r="V107" s="366"/>
      <c r="W107" s="366"/>
      <c r="X107" s="366"/>
      <c r="Y107" s="366"/>
      <c r="Z107" s="366"/>
      <c r="AA107" s="366"/>
      <c r="AB107" s="366"/>
      <c r="AC107" s="366"/>
      <c r="AD107" s="366"/>
      <c r="AE107" s="366"/>
      <c r="AF107" s="366"/>
      <c r="AG107" s="366"/>
      <c r="AH107" s="366"/>
      <c r="AI107" s="366"/>
      <c r="AJ107" s="366"/>
      <c r="AK107" s="619"/>
      <c r="AL107" s="617"/>
    </row>
    <row r="108" spans="1:38" ht="15.75">
      <c r="A108" s="190"/>
      <c r="B108" s="324"/>
      <c r="C108" s="324"/>
      <c r="D108" s="366"/>
      <c r="E108" s="366"/>
      <c r="F108" s="639"/>
      <c r="G108" s="324"/>
      <c r="H108" s="324"/>
      <c r="I108" s="335"/>
      <c r="J108" s="366"/>
      <c r="K108" s="641"/>
      <c r="L108" s="641"/>
      <c r="M108" s="641"/>
      <c r="N108" s="641"/>
      <c r="O108" s="366"/>
      <c r="P108" s="366"/>
      <c r="Q108" s="366"/>
      <c r="R108" s="611"/>
      <c r="S108" s="614"/>
      <c r="T108" s="588"/>
      <c r="U108" s="188"/>
      <c r="V108" s="366"/>
      <c r="W108" s="366"/>
      <c r="X108" s="366"/>
      <c r="Y108" s="366"/>
      <c r="Z108" s="366"/>
      <c r="AA108" s="366"/>
      <c r="AB108" s="366"/>
      <c r="AC108" s="366"/>
      <c r="AD108" s="366"/>
      <c r="AE108" s="366"/>
      <c r="AF108" s="366"/>
      <c r="AG108" s="366"/>
      <c r="AH108" s="366"/>
      <c r="AI108" s="366"/>
      <c r="AJ108" s="366"/>
      <c r="AK108" s="619"/>
      <c r="AL108" s="617"/>
    </row>
    <row r="109" spans="1:38" ht="15.75">
      <c r="A109" s="190"/>
      <c r="B109" s="324"/>
      <c r="C109" s="324"/>
      <c r="D109" s="366"/>
      <c r="E109" s="366"/>
      <c r="F109" s="639"/>
      <c r="G109" s="324"/>
      <c r="H109" s="324"/>
      <c r="I109" s="335"/>
      <c r="J109" s="366"/>
      <c r="K109" s="641"/>
      <c r="L109" s="641"/>
      <c r="M109" s="641"/>
      <c r="N109" s="641"/>
      <c r="O109" s="366"/>
      <c r="P109" s="366"/>
      <c r="Q109" s="366"/>
      <c r="R109" s="611"/>
      <c r="S109" s="614"/>
      <c r="T109" s="588"/>
      <c r="U109" s="188"/>
      <c r="V109" s="366"/>
      <c r="W109" s="366"/>
      <c r="X109" s="366"/>
      <c r="Y109" s="366"/>
      <c r="Z109" s="366"/>
      <c r="AA109" s="366"/>
      <c r="AB109" s="366"/>
      <c r="AC109" s="366"/>
      <c r="AD109" s="366"/>
      <c r="AE109" s="366"/>
      <c r="AF109" s="366"/>
      <c r="AG109" s="366"/>
      <c r="AH109" s="366"/>
      <c r="AI109" s="366"/>
      <c r="AJ109" s="366"/>
      <c r="AK109" s="619"/>
      <c r="AL109" s="617"/>
    </row>
    <row r="110" spans="1:38" ht="15.75">
      <c r="A110" s="190"/>
      <c r="B110" s="324"/>
      <c r="C110" s="324"/>
      <c r="D110" s="366"/>
      <c r="E110" s="366"/>
      <c r="F110" s="639"/>
      <c r="G110" s="324"/>
      <c r="H110" s="324"/>
      <c r="I110" s="335"/>
      <c r="J110" s="366"/>
      <c r="K110" s="641"/>
      <c r="L110" s="641"/>
      <c r="M110" s="641"/>
      <c r="N110" s="641"/>
      <c r="O110" s="366"/>
      <c r="P110" s="366"/>
      <c r="Q110" s="366"/>
      <c r="R110" s="611"/>
      <c r="S110" s="614"/>
      <c r="T110" s="588"/>
      <c r="U110" s="188"/>
      <c r="V110" s="366"/>
      <c r="W110" s="366"/>
      <c r="X110" s="366"/>
      <c r="Y110" s="366"/>
      <c r="Z110" s="366"/>
      <c r="AA110" s="366"/>
      <c r="AB110" s="366"/>
      <c r="AC110" s="366"/>
      <c r="AD110" s="366"/>
      <c r="AE110" s="366"/>
      <c r="AF110" s="366"/>
      <c r="AG110" s="366"/>
      <c r="AH110" s="366"/>
      <c r="AI110" s="366"/>
      <c r="AJ110" s="366"/>
      <c r="AK110" s="619"/>
      <c r="AL110" s="617"/>
    </row>
    <row r="111" spans="1:38" ht="15.75">
      <c r="A111" s="190"/>
      <c r="B111" s="324"/>
      <c r="C111" s="324"/>
      <c r="D111" s="366"/>
      <c r="E111" s="366"/>
      <c r="F111" s="639"/>
      <c r="G111" s="324"/>
      <c r="H111" s="324"/>
      <c r="I111" s="335"/>
      <c r="J111" s="366"/>
      <c r="K111" s="641"/>
      <c r="L111" s="641"/>
      <c r="M111" s="641"/>
      <c r="N111" s="641"/>
      <c r="O111" s="366"/>
      <c r="P111" s="366"/>
      <c r="Q111" s="366"/>
      <c r="R111" s="611"/>
      <c r="S111" s="614"/>
      <c r="T111" s="588"/>
      <c r="U111" s="188"/>
      <c r="V111" s="366"/>
      <c r="W111" s="366"/>
      <c r="X111" s="366"/>
      <c r="Y111" s="366"/>
      <c r="Z111" s="366"/>
      <c r="AA111" s="366"/>
      <c r="AB111" s="366"/>
      <c r="AC111" s="366"/>
      <c r="AD111" s="366"/>
      <c r="AE111" s="366"/>
      <c r="AF111" s="366"/>
      <c r="AG111" s="366"/>
      <c r="AH111" s="366"/>
      <c r="AI111" s="366"/>
      <c r="AJ111" s="366"/>
      <c r="AK111" s="619"/>
      <c r="AL111" s="617"/>
    </row>
    <row r="112" spans="1:38" ht="15.75">
      <c r="A112" s="190"/>
      <c r="B112" s="324"/>
      <c r="C112" s="324"/>
      <c r="D112" s="366"/>
      <c r="E112" s="366"/>
      <c r="F112" s="639"/>
      <c r="G112" s="324"/>
      <c r="H112" s="324"/>
      <c r="I112" s="335"/>
      <c r="J112" s="366"/>
      <c r="K112" s="641"/>
      <c r="L112" s="641"/>
      <c r="M112" s="641"/>
      <c r="N112" s="641"/>
      <c r="O112" s="366"/>
      <c r="P112" s="366"/>
      <c r="Q112" s="366"/>
      <c r="R112" s="611"/>
      <c r="S112" s="614"/>
      <c r="T112" s="588"/>
      <c r="U112" s="188"/>
      <c r="V112" s="366"/>
      <c r="W112" s="366"/>
      <c r="X112" s="366"/>
      <c r="Y112" s="366"/>
      <c r="Z112" s="366"/>
      <c r="AA112" s="366"/>
      <c r="AB112" s="366"/>
      <c r="AC112" s="366"/>
      <c r="AD112" s="366"/>
      <c r="AE112" s="366"/>
      <c r="AF112" s="366"/>
      <c r="AG112" s="366"/>
      <c r="AH112" s="366"/>
      <c r="AI112" s="366"/>
      <c r="AJ112" s="366"/>
      <c r="AK112" s="619"/>
      <c r="AL112" s="617"/>
    </row>
    <row r="113" spans="1:38" ht="15.75">
      <c r="A113" s="190"/>
      <c r="B113" s="324"/>
      <c r="C113" s="324"/>
      <c r="D113" s="366"/>
      <c r="E113" s="366"/>
      <c r="F113" s="639"/>
      <c r="G113" s="324"/>
      <c r="H113" s="324"/>
      <c r="I113" s="335"/>
      <c r="J113" s="366"/>
      <c r="K113" s="641"/>
      <c r="L113" s="641"/>
      <c r="M113" s="641"/>
      <c r="N113" s="641"/>
      <c r="O113" s="366"/>
      <c r="P113" s="366"/>
      <c r="Q113" s="366"/>
      <c r="R113" s="611"/>
      <c r="S113" s="614"/>
      <c r="T113" s="588"/>
      <c r="U113" s="188"/>
      <c r="V113" s="366"/>
      <c r="W113" s="366"/>
      <c r="X113" s="366"/>
      <c r="Y113" s="366"/>
      <c r="Z113" s="366"/>
      <c r="AA113" s="366"/>
      <c r="AB113" s="366"/>
      <c r="AC113" s="366"/>
      <c r="AD113" s="366"/>
      <c r="AE113" s="366"/>
      <c r="AF113" s="366"/>
      <c r="AG113" s="366"/>
      <c r="AH113" s="366"/>
      <c r="AI113" s="366"/>
      <c r="AJ113" s="366"/>
      <c r="AK113" s="619"/>
      <c r="AL113" s="617"/>
    </row>
    <row r="114" spans="1:38" ht="15.75">
      <c r="A114" s="190"/>
      <c r="B114" s="324"/>
      <c r="C114" s="324"/>
      <c r="D114" s="366"/>
      <c r="E114" s="366"/>
      <c r="F114" s="639"/>
      <c r="G114" s="324"/>
      <c r="H114" s="324"/>
      <c r="I114" s="335"/>
      <c r="J114" s="366"/>
      <c r="K114" s="641"/>
      <c r="L114" s="641"/>
      <c r="M114" s="641"/>
      <c r="N114" s="641"/>
      <c r="O114" s="366"/>
      <c r="P114" s="366"/>
      <c r="Q114" s="366"/>
      <c r="R114" s="611"/>
      <c r="S114" s="614"/>
      <c r="T114" s="588"/>
      <c r="U114" s="188"/>
      <c r="V114" s="366"/>
      <c r="W114" s="366"/>
      <c r="X114" s="366"/>
      <c r="Y114" s="366"/>
      <c r="Z114" s="366"/>
      <c r="AA114" s="366"/>
      <c r="AB114" s="366"/>
      <c r="AC114" s="366"/>
      <c r="AD114" s="366"/>
      <c r="AE114" s="366"/>
      <c r="AF114" s="366"/>
      <c r="AG114" s="366"/>
      <c r="AH114" s="366"/>
      <c r="AI114" s="366"/>
      <c r="AJ114" s="366"/>
      <c r="AK114" s="619"/>
      <c r="AL114" s="617"/>
    </row>
    <row r="115" spans="1:38" ht="15.75">
      <c r="A115" s="190"/>
      <c r="B115" s="324"/>
      <c r="C115" s="324"/>
      <c r="D115" s="366"/>
      <c r="E115" s="366"/>
      <c r="F115" s="639"/>
      <c r="G115" s="324"/>
      <c r="H115" s="324"/>
      <c r="I115" s="335"/>
      <c r="J115" s="366"/>
      <c r="K115" s="641"/>
      <c r="L115" s="641"/>
      <c r="M115" s="641"/>
      <c r="N115" s="641"/>
      <c r="O115" s="366"/>
      <c r="P115" s="366"/>
      <c r="Q115" s="366"/>
      <c r="R115" s="611"/>
      <c r="S115" s="614"/>
      <c r="T115" s="588"/>
      <c r="U115" s="188"/>
      <c r="V115" s="366"/>
      <c r="W115" s="366"/>
      <c r="X115" s="366"/>
      <c r="Y115" s="366"/>
      <c r="Z115" s="366"/>
      <c r="AA115" s="366"/>
      <c r="AB115" s="366"/>
      <c r="AC115" s="366"/>
      <c r="AD115" s="366"/>
      <c r="AE115" s="366"/>
      <c r="AF115" s="366"/>
      <c r="AG115" s="366"/>
      <c r="AH115" s="366"/>
      <c r="AI115" s="366"/>
      <c r="AJ115" s="366"/>
      <c r="AK115" s="619"/>
      <c r="AL115" s="617"/>
    </row>
    <row r="116" spans="1:38" ht="15.75">
      <c r="A116" s="190"/>
      <c r="B116" s="324"/>
      <c r="C116" s="324"/>
      <c r="D116" s="366"/>
      <c r="E116" s="366"/>
      <c r="F116" s="639"/>
      <c r="G116" s="324"/>
      <c r="H116" s="324"/>
      <c r="I116" s="335"/>
      <c r="J116" s="366"/>
      <c r="K116" s="641"/>
      <c r="L116" s="641"/>
      <c r="M116" s="641"/>
      <c r="N116" s="641"/>
      <c r="O116" s="366"/>
      <c r="P116" s="366"/>
      <c r="Q116" s="366"/>
      <c r="R116" s="611"/>
      <c r="S116" s="614"/>
      <c r="T116" s="588"/>
      <c r="U116" s="188"/>
      <c r="V116" s="366"/>
      <c r="W116" s="366"/>
      <c r="X116" s="366"/>
      <c r="Y116" s="366"/>
      <c r="Z116" s="366"/>
      <c r="AA116" s="366"/>
      <c r="AB116" s="366"/>
      <c r="AC116" s="366"/>
      <c r="AD116" s="366"/>
      <c r="AE116" s="366"/>
      <c r="AF116" s="366"/>
      <c r="AG116" s="366"/>
      <c r="AH116" s="366"/>
      <c r="AI116" s="366"/>
      <c r="AJ116" s="366"/>
      <c r="AK116" s="619"/>
      <c r="AL116" s="617"/>
    </row>
    <row r="117" spans="1:38" ht="15.75">
      <c r="A117" s="190"/>
      <c r="B117" s="324"/>
      <c r="C117" s="324"/>
      <c r="D117" s="366"/>
      <c r="E117" s="366"/>
      <c r="F117" s="639"/>
      <c r="G117" s="324"/>
      <c r="H117" s="324"/>
      <c r="I117" s="335"/>
      <c r="J117" s="366"/>
      <c r="K117" s="641"/>
      <c r="L117" s="641"/>
      <c r="M117" s="641"/>
      <c r="N117" s="641"/>
      <c r="O117" s="366"/>
      <c r="P117" s="366"/>
      <c r="Q117" s="366"/>
      <c r="R117" s="611"/>
      <c r="S117" s="614"/>
      <c r="T117" s="588"/>
      <c r="U117" s="188"/>
      <c r="V117" s="366"/>
      <c r="W117" s="366"/>
      <c r="X117" s="366"/>
      <c r="Y117" s="366"/>
      <c r="Z117" s="366"/>
      <c r="AA117" s="366"/>
      <c r="AB117" s="366"/>
      <c r="AC117" s="366"/>
      <c r="AD117" s="366"/>
      <c r="AE117" s="366"/>
      <c r="AF117" s="366"/>
      <c r="AG117" s="366"/>
      <c r="AH117" s="366"/>
      <c r="AI117" s="366"/>
      <c r="AJ117" s="366"/>
      <c r="AK117" s="619"/>
      <c r="AL117" s="617"/>
    </row>
    <row r="118" spans="1:38" ht="15.75">
      <c r="A118" s="190"/>
      <c r="B118" s="324"/>
      <c r="C118" s="324"/>
      <c r="D118" s="366"/>
      <c r="E118" s="366"/>
      <c r="F118" s="639"/>
      <c r="G118" s="324"/>
      <c r="H118" s="324"/>
      <c r="I118" s="335"/>
      <c r="J118" s="366"/>
      <c r="K118" s="641"/>
      <c r="L118" s="641"/>
      <c r="M118" s="641"/>
      <c r="N118" s="641"/>
      <c r="O118" s="366"/>
      <c r="P118" s="366"/>
      <c r="Q118" s="366"/>
      <c r="R118" s="611"/>
      <c r="S118" s="614"/>
      <c r="T118" s="588"/>
      <c r="U118" s="188"/>
      <c r="V118" s="366"/>
      <c r="W118" s="366"/>
      <c r="X118" s="366"/>
      <c r="Y118" s="366"/>
      <c r="Z118" s="366"/>
      <c r="AA118" s="366"/>
      <c r="AB118" s="366"/>
      <c r="AC118" s="366"/>
      <c r="AD118" s="366"/>
      <c r="AE118" s="366"/>
      <c r="AF118" s="366"/>
      <c r="AG118" s="366"/>
      <c r="AH118" s="366"/>
      <c r="AI118" s="366"/>
      <c r="AJ118" s="366"/>
      <c r="AK118" s="619"/>
      <c r="AL118" s="617"/>
    </row>
    <row r="119" spans="1:38" ht="15.75">
      <c r="A119" s="190"/>
      <c r="B119" s="324"/>
      <c r="C119" s="324"/>
      <c r="D119" s="366"/>
      <c r="E119" s="366"/>
      <c r="F119" s="639"/>
      <c r="G119" s="324"/>
      <c r="H119" s="324"/>
      <c r="I119" s="335"/>
      <c r="J119" s="366"/>
      <c r="K119" s="641"/>
      <c r="L119" s="641"/>
      <c r="M119" s="641"/>
      <c r="N119" s="641"/>
      <c r="O119" s="366"/>
      <c r="P119" s="366"/>
      <c r="Q119" s="366"/>
      <c r="R119" s="611"/>
      <c r="S119" s="614"/>
      <c r="T119" s="588"/>
      <c r="U119" s="188"/>
      <c r="V119" s="366"/>
      <c r="W119" s="366"/>
      <c r="X119" s="366"/>
      <c r="Y119" s="366"/>
      <c r="Z119" s="366"/>
      <c r="AA119" s="366"/>
      <c r="AB119" s="366"/>
      <c r="AC119" s="366"/>
      <c r="AD119" s="366"/>
      <c r="AE119" s="366"/>
      <c r="AF119" s="366"/>
      <c r="AG119" s="366"/>
      <c r="AH119" s="366"/>
      <c r="AI119" s="366"/>
      <c r="AJ119" s="366"/>
      <c r="AK119" s="619"/>
      <c r="AL119" s="617"/>
    </row>
    <row r="120" spans="1:38" ht="15.75">
      <c r="A120" s="190"/>
      <c r="B120" s="324"/>
      <c r="C120" s="324"/>
      <c r="D120" s="366"/>
      <c r="E120" s="366"/>
      <c r="F120" s="639"/>
      <c r="G120" s="324"/>
      <c r="H120" s="324"/>
      <c r="I120" s="335"/>
      <c r="J120" s="366"/>
      <c r="K120" s="641"/>
      <c r="L120" s="641"/>
      <c r="M120" s="641"/>
      <c r="N120" s="641"/>
      <c r="O120" s="366"/>
      <c r="P120" s="366"/>
      <c r="Q120" s="366"/>
      <c r="R120" s="611"/>
      <c r="S120" s="614"/>
      <c r="T120" s="588"/>
      <c r="U120" s="188"/>
      <c r="V120" s="366"/>
      <c r="W120" s="366"/>
      <c r="X120" s="366"/>
      <c r="Y120" s="366"/>
      <c r="Z120" s="366"/>
      <c r="AA120" s="366"/>
      <c r="AB120" s="366"/>
      <c r="AC120" s="366"/>
      <c r="AD120" s="366"/>
      <c r="AE120" s="366"/>
      <c r="AF120" s="366"/>
      <c r="AG120" s="366"/>
      <c r="AH120" s="366"/>
      <c r="AI120" s="366"/>
      <c r="AJ120" s="366"/>
      <c r="AK120" s="619"/>
      <c r="AL120" s="617"/>
    </row>
    <row r="121" spans="1:38" ht="15.75">
      <c r="A121" s="190"/>
      <c r="B121" s="324"/>
      <c r="C121" s="324"/>
      <c r="D121" s="366"/>
      <c r="E121" s="366"/>
      <c r="F121" s="639"/>
      <c r="G121" s="324"/>
      <c r="H121" s="324"/>
      <c r="I121" s="335"/>
      <c r="J121" s="366"/>
      <c r="K121" s="641"/>
      <c r="L121" s="641"/>
      <c r="M121" s="641"/>
      <c r="N121" s="641"/>
      <c r="O121" s="366"/>
      <c r="P121" s="366"/>
      <c r="Q121" s="366"/>
      <c r="R121" s="611"/>
      <c r="S121" s="614"/>
      <c r="T121" s="588"/>
      <c r="U121" s="188"/>
      <c r="V121" s="366"/>
      <c r="W121" s="366"/>
      <c r="X121" s="366"/>
      <c r="Y121" s="366"/>
      <c r="Z121" s="366"/>
      <c r="AA121" s="366"/>
      <c r="AB121" s="366"/>
      <c r="AC121" s="366"/>
      <c r="AD121" s="366"/>
      <c r="AE121" s="366"/>
      <c r="AF121" s="366"/>
      <c r="AG121" s="366"/>
      <c r="AH121" s="366"/>
      <c r="AI121" s="366"/>
      <c r="AJ121" s="366"/>
      <c r="AK121" s="619"/>
      <c r="AL121" s="617"/>
    </row>
    <row r="122" spans="1:38" ht="15.75">
      <c r="A122" s="190"/>
      <c r="B122" s="324"/>
      <c r="C122" s="324"/>
      <c r="D122" s="366"/>
      <c r="E122" s="366"/>
      <c r="F122" s="639"/>
      <c r="G122" s="324"/>
      <c r="H122" s="324"/>
      <c r="I122" s="335"/>
      <c r="J122" s="366"/>
      <c r="K122" s="641"/>
      <c r="L122" s="641"/>
      <c r="M122" s="641"/>
      <c r="N122" s="641"/>
      <c r="O122" s="366"/>
      <c r="P122" s="366"/>
      <c r="Q122" s="366"/>
      <c r="R122" s="611"/>
      <c r="S122" s="614"/>
      <c r="T122" s="588"/>
      <c r="U122" s="188"/>
      <c r="V122" s="366"/>
      <c r="W122" s="366"/>
      <c r="X122" s="366"/>
      <c r="Y122" s="366"/>
      <c r="Z122" s="366"/>
      <c r="AA122" s="366"/>
      <c r="AB122" s="366"/>
      <c r="AC122" s="366"/>
      <c r="AD122" s="366"/>
      <c r="AE122" s="366"/>
      <c r="AF122" s="366"/>
      <c r="AG122" s="366"/>
      <c r="AH122" s="366"/>
      <c r="AI122" s="366"/>
      <c r="AJ122" s="366"/>
      <c r="AK122" s="619"/>
      <c r="AL122" s="617"/>
    </row>
    <row r="123" spans="1:38" ht="15.75">
      <c r="A123" s="190"/>
      <c r="B123" s="324"/>
      <c r="C123" s="324"/>
      <c r="D123" s="366"/>
      <c r="E123" s="366"/>
      <c r="F123" s="639"/>
      <c r="G123" s="324"/>
      <c r="H123" s="324"/>
      <c r="I123" s="335"/>
      <c r="J123" s="366"/>
      <c r="K123" s="641"/>
      <c r="L123" s="641"/>
      <c r="M123" s="641"/>
      <c r="N123" s="641"/>
      <c r="O123" s="366"/>
      <c r="P123" s="366"/>
      <c r="Q123" s="366"/>
      <c r="R123" s="611"/>
      <c r="S123" s="614"/>
      <c r="T123" s="588"/>
      <c r="U123" s="188"/>
      <c r="V123" s="366"/>
      <c r="W123" s="366"/>
      <c r="X123" s="366"/>
      <c r="Y123" s="366"/>
      <c r="Z123" s="366"/>
      <c r="AA123" s="366"/>
      <c r="AB123" s="366"/>
      <c r="AC123" s="366"/>
      <c r="AD123" s="366"/>
      <c r="AE123" s="366"/>
      <c r="AF123" s="366"/>
      <c r="AG123" s="366"/>
      <c r="AH123" s="366"/>
      <c r="AI123" s="366"/>
      <c r="AJ123" s="366"/>
      <c r="AK123" s="619"/>
      <c r="AL123" s="617"/>
    </row>
    <row r="124" spans="1:38" ht="15.75">
      <c r="A124" s="190"/>
      <c r="B124" s="324"/>
      <c r="C124" s="324"/>
      <c r="D124" s="366"/>
      <c r="E124" s="366"/>
      <c r="F124" s="639"/>
      <c r="G124" s="324"/>
      <c r="H124" s="324"/>
      <c r="I124" s="335"/>
      <c r="J124" s="366"/>
      <c r="K124" s="641"/>
      <c r="L124" s="641"/>
      <c r="M124" s="641"/>
      <c r="N124" s="641"/>
      <c r="O124" s="366"/>
      <c r="P124" s="366"/>
      <c r="Q124" s="366"/>
      <c r="R124" s="611"/>
      <c r="S124" s="614"/>
      <c r="T124" s="588"/>
      <c r="U124" s="188"/>
      <c r="V124" s="366"/>
      <c r="W124" s="366"/>
      <c r="X124" s="366"/>
      <c r="Y124" s="366"/>
      <c r="Z124" s="366"/>
      <c r="AA124" s="366"/>
      <c r="AB124" s="366"/>
      <c r="AC124" s="366"/>
      <c r="AD124" s="366"/>
      <c r="AE124" s="366"/>
      <c r="AF124" s="366"/>
      <c r="AG124" s="366"/>
      <c r="AH124" s="366"/>
      <c r="AI124" s="366"/>
      <c r="AJ124" s="366"/>
      <c r="AK124" s="619"/>
      <c r="AL124" s="617"/>
    </row>
    <row r="125" spans="1:38" ht="15.75">
      <c r="A125" s="190"/>
      <c r="B125" s="324"/>
      <c r="C125" s="324"/>
      <c r="D125" s="366"/>
      <c r="E125" s="366"/>
      <c r="F125" s="639"/>
      <c r="G125" s="324"/>
      <c r="H125" s="324"/>
      <c r="I125" s="335"/>
      <c r="J125" s="366"/>
      <c r="K125" s="641"/>
      <c r="L125" s="641"/>
      <c r="M125" s="641"/>
      <c r="N125" s="641"/>
      <c r="O125" s="366"/>
      <c r="P125" s="366"/>
      <c r="Q125" s="366"/>
      <c r="R125" s="611"/>
      <c r="S125" s="614"/>
      <c r="T125" s="588"/>
      <c r="U125" s="188"/>
      <c r="V125" s="366"/>
      <c r="W125" s="366"/>
      <c r="X125" s="366"/>
      <c r="Y125" s="366"/>
      <c r="Z125" s="366"/>
      <c r="AA125" s="366"/>
      <c r="AB125" s="366"/>
      <c r="AC125" s="366"/>
      <c r="AD125" s="366"/>
      <c r="AE125" s="366"/>
      <c r="AF125" s="366"/>
      <c r="AG125" s="366"/>
      <c r="AH125" s="366"/>
      <c r="AI125" s="366"/>
      <c r="AJ125" s="366"/>
      <c r="AK125" s="619"/>
      <c r="AL125" s="617"/>
    </row>
    <row r="126" spans="1:38" ht="15.75">
      <c r="A126" s="190"/>
      <c r="B126" s="324"/>
      <c r="C126" s="324"/>
      <c r="D126" s="366"/>
      <c r="E126" s="366"/>
      <c r="F126" s="639"/>
      <c r="G126" s="324"/>
      <c r="H126" s="324"/>
      <c r="I126" s="335"/>
      <c r="J126" s="366"/>
      <c r="K126" s="641"/>
      <c r="L126" s="641"/>
      <c r="M126" s="641"/>
      <c r="N126" s="641"/>
      <c r="O126" s="366"/>
      <c r="P126" s="366"/>
      <c r="Q126" s="366"/>
      <c r="R126" s="611"/>
      <c r="S126" s="614"/>
      <c r="T126" s="588"/>
      <c r="U126" s="188"/>
      <c r="V126" s="366"/>
      <c r="W126" s="366"/>
      <c r="X126" s="366"/>
      <c r="Y126" s="366"/>
      <c r="Z126" s="366"/>
      <c r="AA126" s="366"/>
      <c r="AB126" s="366"/>
      <c r="AC126" s="366"/>
      <c r="AD126" s="366"/>
      <c r="AE126" s="366"/>
      <c r="AF126" s="366"/>
      <c r="AG126" s="366"/>
      <c r="AH126" s="366"/>
      <c r="AI126" s="366"/>
      <c r="AJ126" s="366"/>
      <c r="AK126" s="619"/>
      <c r="AL126" s="617"/>
    </row>
    <row r="127" spans="1:38" ht="15.75">
      <c r="A127" s="190"/>
      <c r="B127" s="324"/>
      <c r="C127" s="324"/>
      <c r="D127" s="366"/>
      <c r="E127" s="366"/>
      <c r="F127" s="639"/>
      <c r="G127" s="324"/>
      <c r="H127" s="324"/>
      <c r="I127" s="335"/>
      <c r="J127" s="366"/>
      <c r="K127" s="641"/>
      <c r="L127" s="641"/>
      <c r="M127" s="641"/>
      <c r="N127" s="641"/>
      <c r="O127" s="366"/>
      <c r="P127" s="366"/>
      <c r="Q127" s="366"/>
      <c r="R127" s="611"/>
      <c r="S127" s="614"/>
      <c r="T127" s="588"/>
      <c r="U127" s="188"/>
      <c r="V127" s="366"/>
      <c r="W127" s="366"/>
      <c r="X127" s="366"/>
      <c r="Y127" s="366"/>
      <c r="Z127" s="366"/>
      <c r="AA127" s="366"/>
      <c r="AB127" s="366"/>
      <c r="AC127" s="366"/>
      <c r="AD127" s="366"/>
      <c r="AE127" s="366"/>
      <c r="AF127" s="366"/>
      <c r="AG127" s="366"/>
      <c r="AH127" s="366"/>
      <c r="AI127" s="366"/>
      <c r="AJ127" s="366"/>
      <c r="AK127" s="619"/>
      <c r="AL127" s="617"/>
    </row>
    <row r="128" spans="1:38" ht="15.75">
      <c r="A128" s="190"/>
      <c r="B128" s="324"/>
      <c r="C128" s="324"/>
      <c r="D128" s="366"/>
      <c r="E128" s="366"/>
      <c r="F128" s="639"/>
      <c r="G128" s="324"/>
      <c r="H128" s="324"/>
      <c r="I128" s="335"/>
      <c r="J128" s="366"/>
      <c r="K128" s="641"/>
      <c r="L128" s="641"/>
      <c r="M128" s="641"/>
      <c r="N128" s="641"/>
      <c r="O128" s="366"/>
      <c r="P128" s="366"/>
      <c r="Q128" s="366"/>
      <c r="R128" s="611"/>
      <c r="S128" s="614"/>
      <c r="T128" s="588"/>
      <c r="U128" s="188"/>
      <c r="V128" s="366"/>
      <c r="W128" s="366"/>
      <c r="X128" s="366"/>
      <c r="Y128" s="366"/>
      <c r="Z128" s="366"/>
      <c r="AA128" s="366"/>
      <c r="AB128" s="366"/>
      <c r="AC128" s="366"/>
      <c r="AD128" s="366"/>
      <c r="AE128" s="366"/>
      <c r="AF128" s="366"/>
      <c r="AG128" s="366"/>
      <c r="AH128" s="366"/>
      <c r="AI128" s="366"/>
      <c r="AJ128" s="366"/>
      <c r="AK128" s="619"/>
      <c r="AL128" s="617"/>
    </row>
    <row r="129" spans="1:38" ht="15.75">
      <c r="A129" s="190"/>
      <c r="B129" s="324"/>
      <c r="C129" s="324"/>
      <c r="D129" s="366"/>
      <c r="E129" s="366"/>
      <c r="F129" s="639"/>
      <c r="G129" s="324"/>
      <c r="H129" s="324"/>
      <c r="I129" s="335"/>
      <c r="J129" s="366"/>
      <c r="K129" s="641"/>
      <c r="L129" s="641"/>
      <c r="M129" s="641"/>
      <c r="N129" s="641"/>
      <c r="O129" s="366"/>
      <c r="P129" s="366"/>
      <c r="Q129" s="366"/>
      <c r="R129" s="611"/>
      <c r="S129" s="614"/>
      <c r="T129" s="588"/>
      <c r="U129" s="188"/>
      <c r="V129" s="366"/>
      <c r="W129" s="366"/>
      <c r="X129" s="366"/>
      <c r="Y129" s="366"/>
      <c r="Z129" s="366"/>
      <c r="AA129" s="366"/>
      <c r="AB129" s="366"/>
      <c r="AC129" s="366"/>
      <c r="AD129" s="366"/>
      <c r="AE129" s="366"/>
      <c r="AF129" s="366"/>
      <c r="AG129" s="366"/>
      <c r="AH129" s="366"/>
      <c r="AI129" s="366"/>
      <c r="AJ129" s="366"/>
      <c r="AK129" s="619"/>
      <c r="AL129" s="617"/>
    </row>
    <row r="130" spans="1:38" ht="15.75">
      <c r="A130" s="190"/>
      <c r="B130" s="324"/>
      <c r="C130" s="324"/>
      <c r="D130" s="366"/>
      <c r="E130" s="366"/>
      <c r="F130" s="639"/>
      <c r="G130" s="324"/>
      <c r="H130" s="324"/>
      <c r="I130" s="335"/>
      <c r="J130" s="366"/>
      <c r="K130" s="641"/>
      <c r="L130" s="641"/>
      <c r="M130" s="641"/>
      <c r="N130" s="641"/>
      <c r="O130" s="366"/>
      <c r="P130" s="366"/>
      <c r="Q130" s="366"/>
      <c r="R130" s="611"/>
      <c r="S130" s="614"/>
      <c r="T130" s="588"/>
      <c r="U130" s="188"/>
      <c r="V130" s="366"/>
      <c r="W130" s="366"/>
      <c r="X130" s="366"/>
      <c r="Y130" s="366"/>
      <c r="Z130" s="366"/>
      <c r="AA130" s="366"/>
      <c r="AB130" s="366"/>
      <c r="AC130" s="366"/>
      <c r="AD130" s="366"/>
      <c r="AE130" s="366"/>
      <c r="AF130" s="366"/>
      <c r="AG130" s="366"/>
      <c r="AH130" s="366"/>
      <c r="AI130" s="366"/>
      <c r="AJ130" s="366"/>
      <c r="AK130" s="619"/>
      <c r="AL130" s="617"/>
    </row>
    <row r="131" spans="1:38" ht="15.75">
      <c r="A131" s="190"/>
      <c r="B131" s="324"/>
      <c r="C131" s="324"/>
      <c r="D131" s="366"/>
      <c r="E131" s="366"/>
      <c r="F131" s="639"/>
      <c r="G131" s="324"/>
      <c r="H131" s="324"/>
      <c r="I131" s="335"/>
      <c r="J131" s="366"/>
      <c r="K131" s="641"/>
      <c r="L131" s="641"/>
      <c r="M131" s="641"/>
      <c r="N131" s="641"/>
      <c r="O131" s="366"/>
      <c r="P131" s="366"/>
      <c r="Q131" s="366"/>
      <c r="R131" s="611"/>
      <c r="S131" s="614"/>
      <c r="T131" s="588"/>
      <c r="U131" s="188"/>
      <c r="V131" s="366"/>
      <c r="W131" s="366"/>
      <c r="X131" s="366"/>
      <c r="Y131" s="366"/>
      <c r="Z131" s="366"/>
      <c r="AA131" s="366"/>
      <c r="AB131" s="366"/>
      <c r="AC131" s="366"/>
      <c r="AD131" s="366"/>
      <c r="AE131" s="366"/>
      <c r="AF131" s="366"/>
      <c r="AG131" s="366"/>
      <c r="AH131" s="366"/>
      <c r="AI131" s="366"/>
      <c r="AJ131" s="366"/>
      <c r="AK131" s="619"/>
      <c r="AL131" s="617"/>
    </row>
    <row r="132" spans="1:38" ht="15.75">
      <c r="A132" s="190"/>
      <c r="B132" s="324"/>
      <c r="C132" s="324"/>
      <c r="D132" s="366"/>
      <c r="E132" s="366"/>
      <c r="F132" s="639"/>
      <c r="G132" s="324"/>
      <c r="H132" s="324"/>
      <c r="I132" s="335"/>
      <c r="J132" s="366"/>
      <c r="K132" s="641"/>
      <c r="L132" s="641"/>
      <c r="M132" s="641"/>
      <c r="N132" s="641"/>
      <c r="O132" s="366"/>
      <c r="P132" s="366"/>
      <c r="Q132" s="366"/>
      <c r="R132" s="611"/>
      <c r="S132" s="614"/>
      <c r="T132" s="588"/>
      <c r="U132" s="188"/>
      <c r="V132" s="366"/>
      <c r="W132" s="366"/>
      <c r="X132" s="366"/>
      <c r="Y132" s="366"/>
      <c r="Z132" s="366"/>
      <c r="AA132" s="366"/>
      <c r="AB132" s="366"/>
      <c r="AC132" s="366"/>
      <c r="AD132" s="366"/>
      <c r="AE132" s="366"/>
      <c r="AF132" s="366"/>
      <c r="AG132" s="366"/>
      <c r="AH132" s="366"/>
      <c r="AI132" s="366"/>
      <c r="AJ132" s="366"/>
      <c r="AK132" s="619"/>
      <c r="AL132" s="617"/>
    </row>
    <row r="133" spans="1:38" ht="15.75">
      <c r="A133" s="190"/>
      <c r="B133" s="324"/>
      <c r="C133" s="324"/>
      <c r="D133" s="366"/>
      <c r="E133" s="366"/>
      <c r="F133" s="639"/>
      <c r="G133" s="324"/>
      <c r="H133" s="324"/>
      <c r="I133" s="335"/>
      <c r="J133" s="366"/>
      <c r="K133" s="641"/>
      <c r="L133" s="641"/>
      <c r="M133" s="641"/>
      <c r="N133" s="641"/>
      <c r="O133" s="366"/>
      <c r="P133" s="366"/>
      <c r="Q133" s="366"/>
      <c r="R133" s="611"/>
      <c r="S133" s="614"/>
      <c r="T133" s="588"/>
      <c r="U133" s="188"/>
      <c r="V133" s="366"/>
      <c r="W133" s="366"/>
      <c r="X133" s="366"/>
      <c r="Y133" s="366"/>
      <c r="Z133" s="366"/>
      <c r="AA133" s="366"/>
      <c r="AB133" s="366"/>
      <c r="AC133" s="366"/>
      <c r="AD133" s="366"/>
      <c r="AE133" s="366"/>
      <c r="AF133" s="366"/>
      <c r="AG133" s="366"/>
      <c r="AH133" s="366"/>
      <c r="AI133" s="366"/>
      <c r="AJ133" s="366"/>
      <c r="AK133" s="619"/>
      <c r="AL133" s="617"/>
    </row>
    <row r="134" spans="1:38" ht="15.75">
      <c r="A134" s="190"/>
      <c r="B134" s="324"/>
      <c r="C134" s="324"/>
      <c r="D134" s="366"/>
      <c r="E134" s="366"/>
      <c r="F134" s="639"/>
      <c r="G134" s="324"/>
      <c r="H134" s="324"/>
      <c r="I134" s="335"/>
      <c r="J134" s="366"/>
      <c r="K134" s="641"/>
      <c r="L134" s="641"/>
      <c r="M134" s="641"/>
      <c r="N134" s="641"/>
      <c r="O134" s="366"/>
      <c r="P134" s="366"/>
      <c r="Q134" s="366"/>
      <c r="R134" s="611"/>
      <c r="S134" s="614"/>
      <c r="T134" s="588"/>
      <c r="U134" s="188"/>
      <c r="V134" s="366"/>
      <c r="W134" s="366"/>
      <c r="X134" s="366"/>
      <c r="Y134" s="366"/>
      <c r="Z134" s="366"/>
      <c r="AA134" s="366"/>
      <c r="AB134" s="366"/>
      <c r="AC134" s="366"/>
      <c r="AD134" s="366"/>
      <c r="AE134" s="366"/>
      <c r="AF134" s="366"/>
      <c r="AG134" s="366"/>
      <c r="AH134" s="366"/>
      <c r="AI134" s="366"/>
      <c r="AJ134" s="366"/>
      <c r="AK134" s="619"/>
      <c r="AL134" s="617"/>
    </row>
    <row r="135" spans="1:38" ht="15.75">
      <c r="A135" s="190"/>
      <c r="B135" s="324"/>
      <c r="C135" s="324"/>
      <c r="D135" s="366"/>
      <c r="E135" s="366"/>
      <c r="F135" s="639"/>
      <c r="G135" s="324"/>
      <c r="H135" s="324"/>
      <c r="I135" s="335"/>
      <c r="J135" s="366"/>
      <c r="K135" s="641"/>
      <c r="L135" s="641"/>
      <c r="M135" s="641"/>
      <c r="N135" s="641"/>
      <c r="O135" s="366"/>
      <c r="P135" s="366"/>
      <c r="Q135" s="366"/>
      <c r="R135" s="611"/>
      <c r="S135" s="614"/>
      <c r="T135" s="588"/>
      <c r="U135" s="188"/>
      <c r="V135" s="366"/>
      <c r="W135" s="366"/>
      <c r="X135" s="366"/>
      <c r="Y135" s="366"/>
      <c r="Z135" s="366"/>
      <c r="AA135" s="366"/>
      <c r="AB135" s="366"/>
      <c r="AC135" s="366"/>
      <c r="AD135" s="366"/>
      <c r="AE135" s="366"/>
      <c r="AF135" s="366"/>
      <c r="AG135" s="366"/>
      <c r="AH135" s="366"/>
      <c r="AI135" s="366"/>
      <c r="AJ135" s="366"/>
      <c r="AK135" s="619"/>
      <c r="AL135" s="617"/>
    </row>
    <row r="136" spans="1:38" ht="15.75">
      <c r="A136" s="190"/>
      <c r="B136" s="324"/>
      <c r="C136" s="324"/>
      <c r="D136" s="366"/>
      <c r="E136" s="366"/>
      <c r="F136" s="639"/>
      <c r="G136" s="324"/>
      <c r="H136" s="324"/>
      <c r="I136" s="335"/>
      <c r="J136" s="366"/>
      <c r="K136" s="641"/>
      <c r="L136" s="641"/>
      <c r="M136" s="641"/>
      <c r="N136" s="641"/>
      <c r="O136" s="366"/>
      <c r="P136" s="366"/>
      <c r="Q136" s="366"/>
      <c r="R136" s="611"/>
      <c r="S136" s="614"/>
      <c r="T136" s="588"/>
      <c r="U136" s="188"/>
      <c r="V136" s="366"/>
      <c r="W136" s="366"/>
      <c r="X136" s="366"/>
      <c r="Y136" s="366"/>
      <c r="Z136" s="366"/>
      <c r="AA136" s="366"/>
      <c r="AB136" s="366"/>
      <c r="AC136" s="366"/>
      <c r="AD136" s="366"/>
      <c r="AE136" s="366"/>
      <c r="AF136" s="366"/>
      <c r="AG136" s="366"/>
      <c r="AH136" s="366"/>
      <c r="AI136" s="366"/>
      <c r="AJ136" s="366"/>
      <c r="AK136" s="619"/>
      <c r="AL136" s="617"/>
    </row>
    <row r="137" spans="1:38" ht="15.75">
      <c r="A137" s="190"/>
      <c r="B137" s="324"/>
      <c r="C137" s="324"/>
      <c r="D137" s="366"/>
      <c r="E137" s="366"/>
      <c r="F137" s="639"/>
      <c r="G137" s="324"/>
      <c r="H137" s="324"/>
      <c r="I137" s="335"/>
      <c r="J137" s="366"/>
      <c r="K137" s="641"/>
      <c r="L137" s="641"/>
      <c r="M137" s="641"/>
      <c r="N137" s="641"/>
      <c r="O137" s="366"/>
      <c r="P137" s="366"/>
      <c r="Q137" s="366"/>
      <c r="R137" s="611"/>
      <c r="S137" s="614"/>
      <c r="T137" s="588"/>
      <c r="U137" s="188"/>
      <c r="V137" s="366"/>
      <c r="W137" s="366"/>
      <c r="X137" s="366"/>
      <c r="Y137" s="366"/>
      <c r="Z137" s="366"/>
      <c r="AA137" s="366"/>
      <c r="AB137" s="366"/>
      <c r="AC137" s="366"/>
      <c r="AD137" s="366"/>
      <c r="AE137" s="366"/>
      <c r="AF137" s="366"/>
      <c r="AG137" s="366"/>
      <c r="AH137" s="366"/>
      <c r="AI137" s="366"/>
      <c r="AJ137" s="366"/>
      <c r="AK137" s="619"/>
      <c r="AL137" s="617"/>
    </row>
    <row r="138" spans="1:38" ht="15.75">
      <c r="A138" s="190"/>
      <c r="B138" s="324"/>
      <c r="C138" s="324"/>
      <c r="D138" s="366"/>
      <c r="E138" s="366"/>
      <c r="F138" s="639"/>
      <c r="G138" s="324"/>
      <c r="H138" s="324"/>
      <c r="I138" s="335"/>
      <c r="J138" s="366"/>
      <c r="K138" s="641"/>
      <c r="L138" s="641"/>
      <c r="M138" s="641"/>
      <c r="N138" s="641"/>
      <c r="O138" s="366"/>
      <c r="P138" s="366"/>
      <c r="Q138" s="366"/>
      <c r="R138" s="611"/>
      <c r="S138" s="614"/>
      <c r="T138" s="588"/>
      <c r="U138" s="188"/>
      <c r="V138" s="366"/>
      <c r="W138" s="366"/>
      <c r="X138" s="366"/>
      <c r="Y138" s="366"/>
      <c r="Z138" s="366"/>
      <c r="AA138" s="366"/>
      <c r="AB138" s="366"/>
      <c r="AC138" s="366"/>
      <c r="AD138" s="366"/>
      <c r="AE138" s="366"/>
      <c r="AF138" s="366"/>
      <c r="AG138" s="366"/>
      <c r="AH138" s="366"/>
      <c r="AI138" s="366"/>
      <c r="AJ138" s="366"/>
      <c r="AK138" s="619"/>
      <c r="AL138" s="617"/>
    </row>
    <row r="139" spans="1:38" ht="15.75">
      <c r="A139" s="190"/>
      <c r="B139" s="324"/>
      <c r="C139" s="324"/>
      <c r="D139" s="366"/>
      <c r="E139" s="366"/>
      <c r="F139" s="639"/>
      <c r="G139" s="324"/>
      <c r="H139" s="324"/>
      <c r="I139" s="335"/>
      <c r="J139" s="366"/>
      <c r="K139" s="641"/>
      <c r="L139" s="641"/>
      <c r="M139" s="641"/>
      <c r="N139" s="641"/>
      <c r="O139" s="366"/>
      <c r="P139" s="366"/>
      <c r="Q139" s="366"/>
      <c r="R139" s="611"/>
      <c r="S139" s="614"/>
      <c r="T139" s="588"/>
      <c r="U139" s="188"/>
      <c r="V139" s="366"/>
      <c r="W139" s="366"/>
      <c r="X139" s="366"/>
      <c r="Y139" s="366"/>
      <c r="Z139" s="366"/>
      <c r="AA139" s="366"/>
      <c r="AB139" s="366"/>
      <c r="AC139" s="366"/>
      <c r="AD139" s="366"/>
      <c r="AE139" s="366"/>
      <c r="AF139" s="366"/>
      <c r="AG139" s="366"/>
      <c r="AH139" s="366"/>
      <c r="AI139" s="366"/>
      <c r="AJ139" s="366"/>
      <c r="AK139" s="619"/>
      <c r="AL139" s="617"/>
    </row>
    <row r="140" spans="1:38" ht="15.75">
      <c r="A140" s="190"/>
      <c r="B140" s="324"/>
      <c r="C140" s="324"/>
      <c r="D140" s="366"/>
      <c r="E140" s="366"/>
      <c r="F140" s="639"/>
      <c r="G140" s="324"/>
      <c r="H140" s="324"/>
      <c r="I140" s="335"/>
      <c r="J140" s="366"/>
      <c r="K140" s="641"/>
      <c r="L140" s="641"/>
      <c r="M140" s="641"/>
      <c r="N140" s="641"/>
      <c r="O140" s="366"/>
      <c r="P140" s="366"/>
      <c r="Q140" s="366"/>
      <c r="R140" s="611"/>
      <c r="S140" s="614"/>
      <c r="T140" s="588"/>
      <c r="U140" s="188"/>
      <c r="V140" s="366"/>
      <c r="W140" s="366"/>
      <c r="X140" s="366"/>
      <c r="Y140" s="366"/>
      <c r="Z140" s="366"/>
      <c r="AA140" s="366"/>
      <c r="AB140" s="366"/>
      <c r="AC140" s="366"/>
      <c r="AD140" s="366"/>
      <c r="AE140" s="366"/>
      <c r="AF140" s="366"/>
      <c r="AG140" s="366"/>
      <c r="AH140" s="366"/>
      <c r="AI140" s="366"/>
      <c r="AJ140" s="366"/>
      <c r="AK140" s="619"/>
      <c r="AL140" s="617"/>
    </row>
    <row r="141" spans="1:38" ht="15.75">
      <c r="A141" s="190"/>
      <c r="B141" s="324"/>
      <c r="C141" s="324"/>
      <c r="D141" s="366"/>
      <c r="E141" s="366"/>
      <c r="F141" s="639"/>
      <c r="G141" s="324"/>
      <c r="H141" s="324"/>
      <c r="I141" s="335"/>
      <c r="J141" s="366"/>
      <c r="K141" s="641"/>
      <c r="L141" s="641"/>
      <c r="M141" s="641"/>
      <c r="N141" s="641"/>
      <c r="O141" s="366"/>
      <c r="P141" s="366"/>
      <c r="Q141" s="366"/>
      <c r="R141" s="611"/>
      <c r="S141" s="614"/>
      <c r="T141" s="588"/>
      <c r="U141" s="188"/>
      <c r="V141" s="366"/>
      <c r="W141" s="366"/>
      <c r="X141" s="366"/>
      <c r="Y141" s="366"/>
      <c r="Z141" s="366"/>
      <c r="AA141" s="366"/>
      <c r="AB141" s="366"/>
      <c r="AC141" s="366"/>
      <c r="AD141" s="366"/>
      <c r="AE141" s="366"/>
      <c r="AF141" s="366"/>
      <c r="AG141" s="366"/>
      <c r="AH141" s="366"/>
      <c r="AI141" s="366"/>
      <c r="AJ141" s="366"/>
      <c r="AK141" s="619"/>
      <c r="AL141" s="617"/>
    </row>
    <row r="142" spans="1:38" ht="15.75">
      <c r="A142" s="190"/>
      <c r="B142" s="324"/>
      <c r="C142" s="324"/>
      <c r="D142" s="366"/>
      <c r="E142" s="366"/>
      <c r="F142" s="639"/>
      <c r="G142" s="324"/>
      <c r="H142" s="324"/>
      <c r="I142" s="335"/>
      <c r="J142" s="366"/>
      <c r="K142" s="641"/>
      <c r="L142" s="641"/>
      <c r="M142" s="641"/>
      <c r="N142" s="641"/>
      <c r="O142" s="366"/>
      <c r="P142" s="366"/>
      <c r="Q142" s="366"/>
      <c r="R142" s="611"/>
      <c r="S142" s="614"/>
      <c r="T142" s="588"/>
      <c r="U142" s="188"/>
      <c r="V142" s="366"/>
      <c r="W142" s="366"/>
      <c r="X142" s="366"/>
      <c r="Y142" s="366"/>
      <c r="Z142" s="366"/>
      <c r="AA142" s="366"/>
      <c r="AB142" s="366"/>
      <c r="AC142" s="366"/>
      <c r="AD142" s="366"/>
      <c r="AE142" s="366"/>
      <c r="AF142" s="366"/>
      <c r="AG142" s="366"/>
      <c r="AH142" s="366"/>
      <c r="AI142" s="366"/>
      <c r="AJ142" s="366"/>
      <c r="AK142" s="619"/>
      <c r="AL142" s="617"/>
    </row>
    <row r="143" spans="1:38" ht="15.75">
      <c r="A143" s="190"/>
      <c r="B143" s="324"/>
      <c r="C143" s="324"/>
      <c r="D143" s="366"/>
      <c r="E143" s="366"/>
      <c r="F143" s="639"/>
      <c r="G143" s="324"/>
      <c r="H143" s="324"/>
      <c r="I143" s="335"/>
      <c r="J143" s="366"/>
      <c r="K143" s="641"/>
      <c r="L143" s="641"/>
      <c r="M143" s="641"/>
      <c r="N143" s="641"/>
      <c r="O143" s="366"/>
      <c r="P143" s="366"/>
      <c r="Q143" s="366"/>
      <c r="R143" s="611"/>
      <c r="S143" s="614"/>
      <c r="T143" s="588"/>
      <c r="U143" s="188"/>
      <c r="V143" s="366"/>
      <c r="W143" s="366"/>
      <c r="X143" s="366"/>
      <c r="Y143" s="366"/>
      <c r="Z143" s="366"/>
      <c r="AA143" s="366"/>
      <c r="AB143" s="366"/>
      <c r="AC143" s="366"/>
      <c r="AD143" s="366"/>
      <c r="AE143" s="366"/>
      <c r="AF143" s="366"/>
      <c r="AG143" s="366"/>
      <c r="AH143" s="366"/>
      <c r="AI143" s="366"/>
      <c r="AJ143" s="366"/>
      <c r="AK143" s="619"/>
      <c r="AL143" s="617"/>
    </row>
    <row r="144" spans="1:38" ht="15.75">
      <c r="A144" s="190"/>
      <c r="B144" s="324"/>
      <c r="C144" s="324"/>
      <c r="D144" s="366"/>
      <c r="E144" s="366"/>
      <c r="F144" s="639"/>
      <c r="G144" s="324"/>
      <c r="H144" s="324"/>
      <c r="I144" s="335"/>
      <c r="J144" s="366"/>
      <c r="K144" s="641"/>
      <c r="L144" s="641"/>
      <c r="M144" s="641"/>
      <c r="N144" s="641"/>
      <c r="O144" s="366"/>
      <c r="P144" s="366"/>
      <c r="Q144" s="366"/>
      <c r="R144" s="611"/>
      <c r="S144" s="614"/>
      <c r="T144" s="588"/>
      <c r="U144" s="188"/>
      <c r="V144" s="366"/>
      <c r="W144" s="366"/>
      <c r="X144" s="366"/>
      <c r="Y144" s="366"/>
      <c r="Z144" s="366"/>
      <c r="AA144" s="366"/>
      <c r="AB144" s="366"/>
      <c r="AC144" s="366"/>
      <c r="AD144" s="366"/>
      <c r="AE144" s="366"/>
      <c r="AF144" s="366"/>
      <c r="AG144" s="366"/>
      <c r="AH144" s="366"/>
      <c r="AI144" s="366"/>
      <c r="AJ144" s="366"/>
      <c r="AK144" s="619"/>
      <c r="AL144" s="617"/>
    </row>
    <row r="145" spans="1:38" ht="15.75">
      <c r="A145" s="190"/>
      <c r="B145" s="324"/>
      <c r="C145" s="324"/>
      <c r="D145" s="366"/>
      <c r="E145" s="366"/>
      <c r="F145" s="639"/>
      <c r="G145" s="324"/>
      <c r="H145" s="324"/>
      <c r="I145" s="335"/>
      <c r="J145" s="366"/>
      <c r="K145" s="641"/>
      <c r="L145" s="641"/>
      <c r="M145" s="641"/>
      <c r="N145" s="641"/>
      <c r="O145" s="366"/>
      <c r="P145" s="366"/>
      <c r="Q145" s="366"/>
      <c r="R145" s="611"/>
      <c r="S145" s="614"/>
      <c r="T145" s="588"/>
      <c r="U145" s="188"/>
      <c r="V145" s="366"/>
      <c r="W145" s="366"/>
      <c r="X145" s="366"/>
      <c r="Y145" s="366"/>
      <c r="Z145" s="366"/>
      <c r="AA145" s="366"/>
      <c r="AB145" s="366"/>
      <c r="AC145" s="366"/>
      <c r="AD145" s="366"/>
      <c r="AE145" s="366"/>
      <c r="AF145" s="366"/>
      <c r="AG145" s="366"/>
      <c r="AH145" s="366"/>
      <c r="AI145" s="366"/>
      <c r="AJ145" s="366"/>
      <c r="AK145" s="619"/>
      <c r="AL145" s="617"/>
    </row>
    <row r="146" spans="1:38" ht="15.75">
      <c r="A146" s="190"/>
      <c r="B146" s="324"/>
      <c r="C146" s="324"/>
      <c r="D146" s="366"/>
      <c r="E146" s="366"/>
      <c r="F146" s="639"/>
      <c r="G146" s="324"/>
      <c r="H146" s="324"/>
      <c r="I146" s="335"/>
      <c r="J146" s="366"/>
      <c r="K146" s="641"/>
      <c r="L146" s="641"/>
      <c r="M146" s="641"/>
      <c r="N146" s="641"/>
      <c r="O146" s="366"/>
      <c r="P146" s="366"/>
      <c r="Q146" s="366"/>
      <c r="R146" s="611"/>
      <c r="S146" s="614"/>
      <c r="T146" s="588"/>
      <c r="U146" s="188"/>
      <c r="V146" s="366"/>
      <c r="W146" s="366"/>
      <c r="X146" s="366"/>
      <c r="Y146" s="366"/>
      <c r="Z146" s="366"/>
      <c r="AA146" s="366"/>
      <c r="AB146" s="366"/>
      <c r="AC146" s="366"/>
      <c r="AD146" s="366"/>
      <c r="AE146" s="366"/>
      <c r="AF146" s="366"/>
      <c r="AG146" s="366"/>
      <c r="AH146" s="366"/>
      <c r="AI146" s="366"/>
      <c r="AJ146" s="366"/>
      <c r="AK146" s="619"/>
      <c r="AL146" s="617"/>
    </row>
    <row r="147" spans="1:38" ht="15.75">
      <c r="A147" s="190"/>
      <c r="B147" s="324"/>
      <c r="C147" s="324"/>
      <c r="D147" s="366"/>
      <c r="E147" s="366"/>
      <c r="F147" s="639"/>
      <c r="G147" s="324"/>
      <c r="H147" s="324"/>
      <c r="I147" s="335"/>
      <c r="J147" s="366"/>
      <c r="K147" s="641"/>
      <c r="L147" s="641"/>
      <c r="M147" s="641"/>
      <c r="N147" s="641"/>
      <c r="O147" s="366"/>
      <c r="P147" s="366"/>
      <c r="Q147" s="366"/>
      <c r="R147" s="611"/>
      <c r="S147" s="614"/>
      <c r="T147" s="588"/>
      <c r="U147" s="188"/>
      <c r="V147" s="366"/>
      <c r="W147" s="366"/>
      <c r="X147" s="366"/>
      <c r="Y147" s="366"/>
      <c r="Z147" s="366"/>
      <c r="AA147" s="366"/>
      <c r="AB147" s="366"/>
      <c r="AC147" s="366"/>
      <c r="AD147" s="366"/>
      <c r="AE147" s="366"/>
      <c r="AF147" s="366"/>
      <c r="AG147" s="366"/>
      <c r="AH147" s="366"/>
      <c r="AI147" s="366"/>
      <c r="AJ147" s="366"/>
      <c r="AK147" s="619"/>
      <c r="AL147" s="617"/>
    </row>
    <row r="148" spans="1:38" ht="15.75">
      <c r="A148" s="190"/>
      <c r="B148" s="324"/>
      <c r="C148" s="324"/>
      <c r="D148" s="366"/>
      <c r="E148" s="366"/>
      <c r="F148" s="639"/>
      <c r="G148" s="324"/>
      <c r="H148" s="324"/>
      <c r="I148" s="335"/>
      <c r="J148" s="366"/>
      <c r="K148" s="641"/>
      <c r="L148" s="641"/>
      <c r="M148" s="641"/>
      <c r="N148" s="641"/>
      <c r="O148" s="366"/>
      <c r="P148" s="366"/>
      <c r="Q148" s="366"/>
      <c r="R148" s="611"/>
      <c r="S148" s="614"/>
      <c r="T148" s="588"/>
      <c r="U148" s="188"/>
      <c r="V148" s="366"/>
      <c r="W148" s="366"/>
      <c r="X148" s="366"/>
      <c r="Y148" s="366"/>
      <c r="Z148" s="366"/>
      <c r="AA148" s="366"/>
      <c r="AB148" s="366"/>
      <c r="AC148" s="366"/>
      <c r="AD148" s="366"/>
      <c r="AE148" s="366"/>
      <c r="AF148" s="366"/>
      <c r="AG148" s="366"/>
      <c r="AH148" s="366"/>
      <c r="AI148" s="366"/>
      <c r="AJ148" s="366"/>
      <c r="AK148" s="619"/>
      <c r="AL148" s="617"/>
    </row>
    <row r="149" spans="1:38" ht="15.75">
      <c r="A149" s="190"/>
      <c r="B149" s="324"/>
      <c r="C149" s="324"/>
      <c r="D149" s="366"/>
      <c r="E149" s="366"/>
      <c r="F149" s="639"/>
      <c r="G149" s="324"/>
      <c r="H149" s="324"/>
      <c r="I149" s="335"/>
      <c r="J149" s="366"/>
      <c r="K149" s="641"/>
      <c r="L149" s="641"/>
      <c r="M149" s="641"/>
      <c r="N149" s="641"/>
      <c r="O149" s="366"/>
      <c r="P149" s="366"/>
      <c r="Q149" s="366"/>
      <c r="R149" s="611"/>
      <c r="S149" s="614"/>
      <c r="T149" s="588"/>
      <c r="U149" s="188"/>
      <c r="V149" s="366"/>
      <c r="W149" s="366"/>
      <c r="X149" s="366"/>
      <c r="Y149" s="366"/>
      <c r="Z149" s="366"/>
      <c r="AA149" s="366"/>
      <c r="AB149" s="366"/>
      <c r="AC149" s="366"/>
      <c r="AD149" s="366"/>
      <c r="AE149" s="366"/>
      <c r="AF149" s="366"/>
      <c r="AG149" s="366"/>
      <c r="AH149" s="366"/>
      <c r="AI149" s="366"/>
      <c r="AJ149" s="366"/>
      <c r="AK149" s="619"/>
      <c r="AL149" s="617"/>
    </row>
    <row r="150" spans="1:38" ht="15.75">
      <c r="A150" s="190"/>
      <c r="B150" s="324"/>
      <c r="C150" s="324"/>
      <c r="D150" s="366"/>
      <c r="E150" s="366"/>
      <c r="F150" s="639"/>
      <c r="G150" s="324"/>
      <c r="H150" s="324"/>
      <c r="I150" s="335"/>
      <c r="J150" s="366"/>
      <c r="K150" s="641"/>
      <c r="L150" s="641"/>
      <c r="M150" s="641"/>
      <c r="N150" s="641"/>
      <c r="O150" s="366"/>
      <c r="P150" s="366"/>
      <c r="Q150" s="366"/>
      <c r="R150" s="611"/>
      <c r="S150" s="614"/>
      <c r="T150" s="588"/>
      <c r="U150" s="188"/>
      <c r="V150" s="366"/>
      <c r="W150" s="366"/>
      <c r="X150" s="366"/>
      <c r="Y150" s="366"/>
      <c r="Z150" s="366"/>
      <c r="AA150" s="366"/>
      <c r="AB150" s="366"/>
      <c r="AC150" s="366"/>
      <c r="AD150" s="366"/>
      <c r="AE150" s="366"/>
      <c r="AF150" s="366"/>
      <c r="AG150" s="366"/>
      <c r="AH150" s="366"/>
      <c r="AI150" s="366"/>
      <c r="AJ150" s="366"/>
      <c r="AK150" s="619"/>
      <c r="AL150" s="617"/>
    </row>
    <row r="151" spans="1:38" ht="15.75">
      <c r="A151" s="190"/>
      <c r="B151" s="324"/>
      <c r="C151" s="324"/>
      <c r="D151" s="366"/>
      <c r="E151" s="366"/>
      <c r="F151" s="639"/>
      <c r="G151" s="324"/>
      <c r="H151" s="324"/>
      <c r="I151" s="335"/>
      <c r="J151" s="366"/>
      <c r="K151" s="641"/>
      <c r="L151" s="641"/>
      <c r="M151" s="641"/>
      <c r="N151" s="641"/>
      <c r="O151" s="366"/>
      <c r="P151" s="366"/>
      <c r="Q151" s="366"/>
      <c r="R151" s="611"/>
      <c r="S151" s="614"/>
      <c r="T151" s="588"/>
      <c r="U151" s="188"/>
      <c r="V151" s="366"/>
      <c r="W151" s="366"/>
      <c r="X151" s="366"/>
      <c r="Y151" s="366"/>
      <c r="Z151" s="366"/>
      <c r="AA151" s="366"/>
      <c r="AB151" s="366"/>
      <c r="AC151" s="366"/>
      <c r="AD151" s="366"/>
      <c r="AE151" s="366"/>
      <c r="AF151" s="366"/>
      <c r="AG151" s="366"/>
      <c r="AH151" s="366"/>
      <c r="AI151" s="366"/>
      <c r="AJ151" s="366"/>
      <c r="AK151" s="619"/>
      <c r="AL151" s="617"/>
    </row>
    <row r="152" spans="1:38" ht="15.75">
      <c r="A152" s="190"/>
      <c r="B152" s="324"/>
      <c r="C152" s="324"/>
      <c r="D152" s="366"/>
      <c r="E152" s="366"/>
      <c r="F152" s="639"/>
      <c r="G152" s="324"/>
      <c r="H152" s="324"/>
      <c r="I152" s="335"/>
      <c r="J152" s="366"/>
      <c r="K152" s="641"/>
      <c r="L152" s="641"/>
      <c r="M152" s="641"/>
      <c r="N152" s="641"/>
      <c r="O152" s="366"/>
      <c r="P152" s="366"/>
      <c r="Q152" s="366"/>
      <c r="R152" s="611"/>
      <c r="S152" s="614"/>
      <c r="T152" s="588"/>
      <c r="U152" s="188"/>
      <c r="V152" s="366"/>
      <c r="W152" s="366"/>
      <c r="X152" s="366"/>
      <c r="Y152" s="366"/>
      <c r="Z152" s="366"/>
      <c r="AA152" s="366"/>
      <c r="AB152" s="366"/>
      <c r="AC152" s="366"/>
      <c r="AD152" s="366"/>
      <c r="AE152" s="366"/>
      <c r="AF152" s="366"/>
      <c r="AG152" s="366"/>
      <c r="AH152" s="366"/>
      <c r="AI152" s="366"/>
      <c r="AJ152" s="366"/>
      <c r="AK152" s="619"/>
      <c r="AL152" s="617"/>
    </row>
    <row r="153" spans="1:38" ht="15.75">
      <c r="A153" s="190"/>
      <c r="B153" s="324"/>
      <c r="C153" s="324"/>
      <c r="D153" s="366"/>
      <c r="E153" s="366"/>
      <c r="F153" s="639"/>
      <c r="G153" s="324"/>
      <c r="H153" s="324"/>
      <c r="I153" s="335"/>
      <c r="J153" s="366"/>
      <c r="K153" s="641"/>
      <c r="L153" s="641"/>
      <c r="M153" s="641"/>
      <c r="N153" s="641"/>
      <c r="O153" s="366"/>
      <c r="P153" s="366"/>
      <c r="Q153" s="366"/>
      <c r="R153" s="611"/>
      <c r="S153" s="614"/>
      <c r="T153" s="588"/>
      <c r="U153" s="188"/>
      <c r="V153" s="366"/>
      <c r="W153" s="366"/>
      <c r="X153" s="366"/>
      <c r="Y153" s="366"/>
      <c r="Z153" s="366"/>
      <c r="AA153" s="366"/>
      <c r="AB153" s="366"/>
      <c r="AC153" s="366"/>
      <c r="AD153" s="366"/>
      <c r="AE153" s="366"/>
      <c r="AF153" s="366"/>
      <c r="AG153" s="366"/>
      <c r="AH153" s="366"/>
      <c r="AI153" s="366"/>
      <c r="AJ153" s="366"/>
      <c r="AK153" s="619"/>
      <c r="AL153" s="617"/>
    </row>
    <row r="154" spans="1:38" ht="15.75">
      <c r="A154" s="190"/>
      <c r="B154" s="324"/>
      <c r="C154" s="324"/>
      <c r="D154" s="366"/>
      <c r="E154" s="366"/>
      <c r="F154" s="639"/>
      <c r="G154" s="324"/>
      <c r="H154" s="324"/>
      <c r="I154" s="335"/>
      <c r="J154" s="366"/>
      <c r="K154" s="641"/>
      <c r="L154" s="641"/>
      <c r="M154" s="641"/>
      <c r="N154" s="641"/>
      <c r="O154" s="366"/>
      <c r="P154" s="366"/>
      <c r="Q154" s="366"/>
      <c r="R154" s="611"/>
      <c r="S154" s="614"/>
      <c r="T154" s="588"/>
      <c r="U154" s="188"/>
      <c r="V154" s="366"/>
      <c r="W154" s="366"/>
      <c r="X154" s="366"/>
      <c r="Y154" s="366"/>
      <c r="Z154" s="366"/>
      <c r="AA154" s="366"/>
      <c r="AB154" s="366"/>
      <c r="AC154" s="366"/>
      <c r="AD154" s="366"/>
      <c r="AE154" s="366"/>
      <c r="AF154" s="366"/>
      <c r="AG154" s="366"/>
      <c r="AH154" s="366"/>
      <c r="AI154" s="366"/>
      <c r="AJ154" s="366"/>
      <c r="AK154" s="619"/>
      <c r="AL154" s="617"/>
    </row>
    <row r="155" spans="1:38" ht="15.75">
      <c r="A155" s="190"/>
      <c r="B155" s="324"/>
      <c r="C155" s="324"/>
      <c r="D155" s="366"/>
      <c r="E155" s="366"/>
      <c r="F155" s="639"/>
      <c r="G155" s="324"/>
      <c r="H155" s="324"/>
      <c r="I155" s="335"/>
      <c r="J155" s="366"/>
      <c r="K155" s="641"/>
      <c r="L155" s="641"/>
      <c r="M155" s="641"/>
      <c r="N155" s="641"/>
      <c r="O155" s="366"/>
      <c r="P155" s="366"/>
      <c r="Q155" s="366"/>
      <c r="R155" s="611"/>
      <c r="S155" s="614"/>
      <c r="T155" s="588"/>
      <c r="U155" s="188"/>
      <c r="V155" s="366"/>
      <c r="W155" s="366"/>
      <c r="X155" s="366"/>
      <c r="Y155" s="366"/>
      <c r="Z155" s="366"/>
      <c r="AA155" s="366"/>
      <c r="AB155" s="366"/>
      <c r="AC155" s="366"/>
      <c r="AD155" s="366"/>
      <c r="AE155" s="366"/>
      <c r="AF155" s="366"/>
      <c r="AG155" s="366"/>
      <c r="AH155" s="366"/>
      <c r="AI155" s="366"/>
      <c r="AJ155" s="366"/>
      <c r="AK155" s="619"/>
      <c r="AL155" s="617"/>
    </row>
    <row r="156" spans="1:38" ht="15.75">
      <c r="A156" s="190"/>
      <c r="B156" s="324"/>
      <c r="C156" s="324"/>
      <c r="D156" s="366"/>
      <c r="E156" s="366"/>
      <c r="F156" s="639"/>
      <c r="G156" s="324"/>
      <c r="H156" s="324"/>
      <c r="I156" s="335"/>
      <c r="J156" s="366"/>
      <c r="K156" s="641"/>
      <c r="L156" s="641"/>
      <c r="M156" s="641"/>
      <c r="N156" s="641"/>
      <c r="O156" s="366"/>
      <c r="P156" s="366"/>
      <c r="Q156" s="366"/>
      <c r="R156" s="611"/>
      <c r="S156" s="614"/>
      <c r="T156" s="588"/>
      <c r="U156" s="188"/>
      <c r="V156" s="366"/>
      <c r="W156" s="366"/>
      <c r="X156" s="366"/>
      <c r="Y156" s="366"/>
      <c r="Z156" s="366"/>
      <c r="AA156" s="366"/>
      <c r="AB156" s="366"/>
      <c r="AC156" s="366"/>
      <c r="AD156" s="366"/>
      <c r="AE156" s="366"/>
      <c r="AF156" s="366"/>
      <c r="AG156" s="366"/>
      <c r="AH156" s="366"/>
      <c r="AI156" s="366"/>
      <c r="AJ156" s="366"/>
      <c r="AK156" s="619"/>
      <c r="AL156" s="617"/>
    </row>
    <row r="157" spans="1:38" ht="15.75">
      <c r="A157" s="190"/>
      <c r="B157" s="324"/>
      <c r="C157" s="324"/>
      <c r="D157" s="366"/>
      <c r="E157" s="366"/>
      <c r="F157" s="639"/>
      <c r="G157" s="324"/>
      <c r="H157" s="324"/>
      <c r="I157" s="335"/>
      <c r="J157" s="366"/>
      <c r="K157" s="641"/>
      <c r="L157" s="641"/>
      <c r="M157" s="641"/>
      <c r="N157" s="641"/>
      <c r="O157" s="366"/>
      <c r="P157" s="366"/>
      <c r="Q157" s="366"/>
      <c r="R157" s="611"/>
      <c r="S157" s="614"/>
      <c r="T157" s="588"/>
      <c r="U157" s="188"/>
      <c r="V157" s="366"/>
      <c r="W157" s="366"/>
      <c r="X157" s="366"/>
      <c r="Y157" s="366"/>
      <c r="Z157" s="366"/>
      <c r="AA157" s="366"/>
      <c r="AB157" s="366"/>
      <c r="AC157" s="366"/>
      <c r="AD157" s="366"/>
      <c r="AE157" s="366"/>
      <c r="AF157" s="366"/>
      <c r="AG157" s="366"/>
      <c r="AH157" s="366"/>
      <c r="AI157" s="366"/>
      <c r="AJ157" s="366"/>
      <c r="AK157" s="619"/>
      <c r="AL157" s="617"/>
    </row>
    <row r="158" spans="1:38" ht="15.75">
      <c r="A158" s="190"/>
      <c r="B158" s="324"/>
      <c r="C158" s="324"/>
      <c r="D158" s="366"/>
      <c r="E158" s="366"/>
      <c r="F158" s="639"/>
      <c r="G158" s="324"/>
      <c r="H158" s="324"/>
      <c r="I158" s="335"/>
      <c r="J158" s="366"/>
      <c r="K158" s="641"/>
      <c r="L158" s="641"/>
      <c r="M158" s="641"/>
      <c r="N158" s="641"/>
      <c r="O158" s="366"/>
      <c r="P158" s="366"/>
      <c r="Q158" s="366"/>
      <c r="R158" s="611"/>
      <c r="S158" s="614"/>
      <c r="T158" s="588"/>
      <c r="U158" s="188"/>
      <c r="V158" s="366"/>
      <c r="W158" s="366"/>
      <c r="X158" s="366"/>
      <c r="Y158" s="366"/>
      <c r="Z158" s="366"/>
      <c r="AA158" s="366"/>
      <c r="AB158" s="366"/>
      <c r="AC158" s="366"/>
      <c r="AD158" s="366"/>
      <c r="AE158" s="366"/>
      <c r="AF158" s="366"/>
      <c r="AG158" s="366"/>
      <c r="AH158" s="366"/>
      <c r="AI158" s="366"/>
      <c r="AJ158" s="366"/>
      <c r="AK158" s="619"/>
      <c r="AL158" s="617"/>
    </row>
    <row r="159" spans="1:38" ht="15.75">
      <c r="A159" s="190"/>
      <c r="B159" s="324"/>
      <c r="C159" s="324"/>
      <c r="D159" s="366"/>
      <c r="E159" s="366"/>
      <c r="F159" s="639"/>
      <c r="G159" s="324"/>
      <c r="H159" s="324"/>
      <c r="I159" s="335"/>
      <c r="J159" s="366"/>
      <c r="K159" s="641"/>
      <c r="L159" s="641"/>
      <c r="M159" s="641"/>
      <c r="N159" s="641"/>
      <c r="O159" s="366"/>
      <c r="P159" s="366"/>
      <c r="Q159" s="366"/>
      <c r="R159" s="611"/>
      <c r="S159" s="614"/>
      <c r="T159" s="588"/>
      <c r="U159" s="188"/>
      <c r="V159" s="366"/>
      <c r="W159" s="366"/>
      <c r="X159" s="366"/>
      <c r="Y159" s="366"/>
      <c r="Z159" s="366"/>
      <c r="AA159" s="366"/>
      <c r="AB159" s="366"/>
      <c r="AC159" s="366"/>
      <c r="AD159" s="366"/>
      <c r="AE159" s="366"/>
      <c r="AF159" s="366"/>
      <c r="AG159" s="366"/>
      <c r="AH159" s="366"/>
      <c r="AI159" s="366"/>
      <c r="AJ159" s="366"/>
      <c r="AK159" s="619"/>
      <c r="AL159" s="617"/>
    </row>
    <row r="160" spans="1:38" ht="15.75">
      <c r="A160" s="190"/>
      <c r="B160" s="324"/>
      <c r="C160" s="324"/>
      <c r="D160" s="366"/>
      <c r="E160" s="366"/>
      <c r="F160" s="639"/>
      <c r="G160" s="324"/>
      <c r="H160" s="324"/>
      <c r="I160" s="335"/>
      <c r="J160" s="366"/>
      <c r="K160" s="641"/>
      <c r="L160" s="641"/>
      <c r="M160" s="641"/>
      <c r="N160" s="641"/>
      <c r="O160" s="366"/>
      <c r="P160" s="366"/>
      <c r="Q160" s="366"/>
      <c r="R160" s="611"/>
      <c r="S160" s="614"/>
      <c r="T160" s="588"/>
      <c r="U160" s="188"/>
      <c r="V160" s="366"/>
      <c r="W160" s="366"/>
      <c r="X160" s="366"/>
      <c r="Y160" s="366"/>
      <c r="Z160" s="366"/>
      <c r="AA160" s="366"/>
      <c r="AB160" s="366"/>
      <c r="AC160" s="366"/>
      <c r="AD160" s="366"/>
      <c r="AE160" s="366"/>
      <c r="AF160" s="366"/>
      <c r="AG160" s="366"/>
      <c r="AH160" s="366"/>
      <c r="AI160" s="366"/>
      <c r="AJ160" s="366"/>
      <c r="AK160" s="619"/>
      <c r="AL160" s="617"/>
    </row>
    <row r="161" spans="1:38" ht="15.75">
      <c r="A161" s="190"/>
      <c r="B161" s="324"/>
      <c r="C161" s="324"/>
      <c r="D161" s="366"/>
      <c r="E161" s="366"/>
      <c r="F161" s="639"/>
      <c r="G161" s="324"/>
      <c r="H161" s="324"/>
      <c r="I161" s="335"/>
      <c r="J161" s="366"/>
      <c r="K161" s="641"/>
      <c r="L161" s="641"/>
      <c r="M161" s="641"/>
      <c r="N161" s="641"/>
      <c r="O161" s="366"/>
      <c r="P161" s="366"/>
      <c r="Q161" s="366"/>
      <c r="R161" s="611"/>
      <c r="S161" s="614"/>
      <c r="T161" s="588"/>
      <c r="U161" s="188"/>
      <c r="V161" s="366"/>
      <c r="W161" s="366"/>
      <c r="X161" s="366"/>
      <c r="Y161" s="366"/>
      <c r="Z161" s="366"/>
      <c r="AA161" s="366"/>
      <c r="AB161" s="366"/>
      <c r="AC161" s="366"/>
      <c r="AD161" s="366"/>
      <c r="AE161" s="366"/>
      <c r="AF161" s="366"/>
      <c r="AG161" s="366"/>
      <c r="AH161" s="366"/>
      <c r="AI161" s="366"/>
      <c r="AJ161" s="366"/>
      <c r="AK161" s="619"/>
      <c r="AL161" s="617"/>
    </row>
    <row r="162" spans="1:38" ht="15.75">
      <c r="A162" s="190"/>
      <c r="B162" s="324"/>
      <c r="C162" s="324"/>
      <c r="D162" s="366"/>
      <c r="E162" s="366"/>
      <c r="F162" s="639"/>
      <c r="G162" s="324"/>
      <c r="H162" s="324"/>
      <c r="I162" s="335"/>
      <c r="J162" s="366"/>
      <c r="K162" s="641"/>
      <c r="L162" s="641"/>
      <c r="M162" s="641"/>
      <c r="N162" s="641"/>
      <c r="O162" s="366"/>
      <c r="P162" s="366"/>
      <c r="Q162" s="366"/>
      <c r="R162" s="611"/>
      <c r="S162" s="614"/>
      <c r="T162" s="588"/>
      <c r="U162" s="188"/>
      <c r="V162" s="366"/>
      <c r="W162" s="366"/>
      <c r="X162" s="366"/>
      <c r="Y162" s="366"/>
      <c r="Z162" s="366"/>
      <c r="AA162" s="366"/>
      <c r="AB162" s="366"/>
      <c r="AC162" s="366"/>
      <c r="AD162" s="366"/>
      <c r="AE162" s="366"/>
      <c r="AF162" s="366"/>
      <c r="AG162" s="366"/>
      <c r="AH162" s="366"/>
      <c r="AI162" s="366"/>
      <c r="AJ162" s="366"/>
      <c r="AK162" s="619"/>
      <c r="AL162" s="617"/>
    </row>
    <row r="163" spans="1:38" ht="15.75">
      <c r="A163" s="190"/>
      <c r="B163" s="324"/>
      <c r="C163" s="324"/>
      <c r="D163" s="366"/>
      <c r="E163" s="366"/>
      <c r="F163" s="639"/>
      <c r="G163" s="324"/>
      <c r="H163" s="324"/>
      <c r="I163" s="335"/>
      <c r="J163" s="366"/>
      <c r="K163" s="641"/>
      <c r="L163" s="641"/>
      <c r="M163" s="641"/>
      <c r="N163" s="641"/>
      <c r="O163" s="366"/>
      <c r="P163" s="366"/>
      <c r="Q163" s="366"/>
      <c r="R163" s="611"/>
      <c r="S163" s="614"/>
      <c r="T163" s="588"/>
      <c r="U163" s="188"/>
      <c r="V163" s="366"/>
      <c r="W163" s="366"/>
      <c r="X163" s="366"/>
      <c r="Y163" s="366"/>
      <c r="Z163" s="366"/>
      <c r="AA163" s="366"/>
      <c r="AB163" s="366"/>
      <c r="AC163" s="366"/>
      <c r="AD163" s="366"/>
      <c r="AE163" s="366"/>
      <c r="AF163" s="366"/>
      <c r="AG163" s="366"/>
      <c r="AH163" s="366"/>
      <c r="AI163" s="366"/>
      <c r="AJ163" s="366"/>
      <c r="AK163" s="619"/>
      <c r="AL163" s="617"/>
    </row>
    <row r="164" spans="1:38" ht="15.75">
      <c r="A164" s="190"/>
      <c r="B164" s="324"/>
      <c r="C164" s="324"/>
      <c r="D164" s="366"/>
      <c r="E164" s="366"/>
      <c r="F164" s="639"/>
      <c r="G164" s="324"/>
      <c r="H164" s="324"/>
      <c r="I164" s="335"/>
      <c r="J164" s="366"/>
      <c r="K164" s="641"/>
      <c r="L164" s="641"/>
      <c r="M164" s="641"/>
      <c r="N164" s="641"/>
      <c r="O164" s="366"/>
      <c r="P164" s="366"/>
      <c r="Q164" s="366"/>
      <c r="R164" s="611"/>
      <c r="S164" s="614"/>
      <c r="T164" s="588"/>
      <c r="U164" s="188"/>
      <c r="V164" s="366"/>
      <c r="W164" s="366"/>
      <c r="X164" s="366"/>
      <c r="Y164" s="366"/>
      <c r="Z164" s="366"/>
      <c r="AA164" s="366"/>
      <c r="AB164" s="366"/>
      <c r="AC164" s="366"/>
      <c r="AD164" s="366"/>
      <c r="AE164" s="366"/>
      <c r="AF164" s="366"/>
      <c r="AG164" s="366"/>
      <c r="AH164" s="366"/>
      <c r="AI164" s="366"/>
      <c r="AJ164" s="366"/>
      <c r="AK164" s="619"/>
      <c r="AL164" s="617"/>
    </row>
    <row r="165" spans="1:38" ht="15.75">
      <c r="A165" s="190"/>
      <c r="B165" s="324"/>
      <c r="C165" s="324"/>
      <c r="D165" s="366"/>
      <c r="E165" s="366"/>
      <c r="F165" s="639"/>
      <c r="G165" s="324"/>
      <c r="H165" s="324"/>
      <c r="I165" s="335"/>
      <c r="J165" s="366"/>
      <c r="K165" s="641"/>
      <c r="L165" s="641"/>
      <c r="M165" s="641"/>
      <c r="N165" s="641"/>
      <c r="O165" s="366"/>
      <c r="P165" s="366"/>
      <c r="Q165" s="366"/>
      <c r="R165" s="611"/>
      <c r="S165" s="614"/>
      <c r="T165" s="588"/>
      <c r="U165" s="188"/>
      <c r="V165" s="366"/>
      <c r="W165" s="366"/>
      <c r="X165" s="366"/>
      <c r="Y165" s="366"/>
      <c r="Z165" s="366"/>
      <c r="AA165" s="366"/>
      <c r="AB165" s="366"/>
      <c r="AC165" s="366"/>
      <c r="AD165" s="366"/>
      <c r="AE165" s="366"/>
      <c r="AF165" s="366"/>
      <c r="AG165" s="366"/>
      <c r="AH165" s="366"/>
      <c r="AI165" s="366"/>
      <c r="AJ165" s="366"/>
      <c r="AK165" s="619"/>
      <c r="AL165" s="617"/>
    </row>
    <row r="166" spans="1:38" ht="15.75">
      <c r="A166" s="190"/>
      <c r="B166" s="324"/>
      <c r="C166" s="324"/>
      <c r="D166" s="366"/>
      <c r="E166" s="366"/>
      <c r="F166" s="639"/>
      <c r="G166" s="324"/>
      <c r="H166" s="324"/>
      <c r="I166" s="335"/>
      <c r="J166" s="366"/>
      <c r="K166" s="641"/>
      <c r="L166" s="641"/>
      <c r="M166" s="641"/>
      <c r="N166" s="641"/>
      <c r="O166" s="366"/>
      <c r="P166" s="366"/>
      <c r="Q166" s="366"/>
      <c r="R166" s="611"/>
      <c r="S166" s="614"/>
      <c r="T166" s="588"/>
      <c r="U166" s="188"/>
      <c r="V166" s="366"/>
      <c r="W166" s="366"/>
      <c r="X166" s="366"/>
      <c r="Y166" s="366"/>
      <c r="Z166" s="366"/>
      <c r="AA166" s="366"/>
      <c r="AB166" s="366"/>
      <c r="AC166" s="366"/>
      <c r="AD166" s="366"/>
      <c r="AE166" s="366"/>
      <c r="AF166" s="366"/>
      <c r="AG166" s="366"/>
      <c r="AH166" s="366"/>
      <c r="AI166" s="366"/>
      <c r="AJ166" s="366"/>
      <c r="AK166" s="619"/>
      <c r="AL166" s="617"/>
    </row>
    <row r="167" spans="1:38" ht="15.75">
      <c r="A167" s="190"/>
      <c r="B167" s="324"/>
      <c r="C167" s="324"/>
      <c r="D167" s="366"/>
      <c r="E167" s="366"/>
      <c r="F167" s="639"/>
      <c r="G167" s="324"/>
      <c r="H167" s="324"/>
      <c r="I167" s="335"/>
      <c r="J167" s="366"/>
      <c r="K167" s="641"/>
      <c r="L167" s="641"/>
      <c r="M167" s="641"/>
      <c r="N167" s="641"/>
      <c r="O167" s="366"/>
      <c r="P167" s="366"/>
      <c r="Q167" s="366"/>
      <c r="R167" s="611"/>
      <c r="S167" s="614"/>
      <c r="T167" s="588"/>
      <c r="U167" s="188"/>
      <c r="V167" s="366"/>
      <c r="W167" s="366"/>
      <c r="X167" s="366"/>
      <c r="Y167" s="366"/>
      <c r="Z167" s="366"/>
      <c r="AA167" s="366"/>
      <c r="AB167" s="366"/>
      <c r="AC167" s="366"/>
      <c r="AD167" s="366"/>
      <c r="AE167" s="366"/>
      <c r="AF167" s="366"/>
      <c r="AG167" s="366"/>
      <c r="AH167" s="366"/>
      <c r="AI167" s="366"/>
      <c r="AJ167" s="366"/>
      <c r="AK167" s="619"/>
      <c r="AL167" s="617"/>
    </row>
    <row r="168" spans="1:38" ht="15.75">
      <c r="A168" s="190"/>
      <c r="B168" s="324"/>
      <c r="C168" s="324"/>
      <c r="D168" s="366"/>
      <c r="E168" s="366"/>
      <c r="F168" s="639"/>
      <c r="G168" s="324"/>
      <c r="H168" s="324"/>
      <c r="I168" s="335"/>
      <c r="J168" s="366"/>
      <c r="K168" s="641"/>
      <c r="L168" s="641"/>
      <c r="M168" s="641"/>
      <c r="N168" s="641"/>
      <c r="O168" s="366"/>
      <c r="P168" s="366"/>
      <c r="Q168" s="366"/>
      <c r="R168" s="611"/>
      <c r="S168" s="614"/>
      <c r="T168" s="588"/>
      <c r="U168" s="188"/>
      <c r="V168" s="366"/>
      <c r="W168" s="366"/>
      <c r="X168" s="366"/>
      <c r="Y168" s="366"/>
      <c r="Z168" s="366"/>
      <c r="AA168" s="366"/>
      <c r="AB168" s="366"/>
      <c r="AC168" s="366"/>
      <c r="AD168" s="366"/>
      <c r="AE168" s="366"/>
      <c r="AF168" s="366"/>
      <c r="AG168" s="366"/>
      <c r="AH168" s="366"/>
      <c r="AI168" s="366"/>
      <c r="AJ168" s="366"/>
      <c r="AK168" s="619"/>
      <c r="AL168" s="617"/>
    </row>
    <row r="169" spans="1:38" ht="15.75">
      <c r="A169" s="190"/>
      <c r="B169" s="324"/>
      <c r="C169" s="324"/>
      <c r="D169" s="366"/>
      <c r="E169" s="366"/>
      <c r="F169" s="639"/>
      <c r="G169" s="324"/>
      <c r="H169" s="324"/>
      <c r="I169" s="335"/>
      <c r="J169" s="366"/>
      <c r="K169" s="641"/>
      <c r="L169" s="641"/>
      <c r="M169" s="641"/>
      <c r="N169" s="641"/>
      <c r="O169" s="366"/>
      <c r="P169" s="366"/>
      <c r="Q169" s="366"/>
      <c r="R169" s="611"/>
      <c r="S169" s="614"/>
      <c r="T169" s="588"/>
      <c r="U169" s="188"/>
      <c r="V169" s="366"/>
      <c r="W169" s="366"/>
      <c r="X169" s="366"/>
      <c r="Y169" s="366"/>
      <c r="Z169" s="366"/>
      <c r="AA169" s="366"/>
      <c r="AB169" s="366"/>
      <c r="AC169" s="366"/>
      <c r="AD169" s="366"/>
      <c r="AE169" s="366"/>
      <c r="AF169" s="366"/>
      <c r="AG169" s="366"/>
      <c r="AH169" s="366"/>
      <c r="AI169" s="366"/>
      <c r="AJ169" s="366"/>
      <c r="AK169" s="619"/>
      <c r="AL169" s="617"/>
    </row>
    <row r="170" spans="1:38" ht="15.75">
      <c r="A170" s="190"/>
      <c r="B170" s="324"/>
      <c r="C170" s="324"/>
      <c r="D170" s="366"/>
      <c r="E170" s="366"/>
      <c r="F170" s="639"/>
      <c r="G170" s="324"/>
      <c r="H170" s="324"/>
      <c r="I170" s="335"/>
      <c r="J170" s="366"/>
      <c r="K170" s="641"/>
      <c r="L170" s="641"/>
      <c r="M170" s="641"/>
      <c r="N170" s="641"/>
      <c r="O170" s="366"/>
      <c r="P170" s="366"/>
      <c r="Q170" s="366"/>
      <c r="R170" s="611"/>
      <c r="S170" s="614"/>
      <c r="T170" s="588"/>
      <c r="U170" s="188"/>
      <c r="V170" s="366"/>
      <c r="W170" s="366"/>
      <c r="X170" s="366"/>
      <c r="Y170" s="366"/>
      <c r="Z170" s="366"/>
      <c r="AA170" s="366"/>
      <c r="AB170" s="366"/>
      <c r="AC170" s="366"/>
      <c r="AD170" s="366"/>
      <c r="AE170" s="366"/>
      <c r="AF170" s="366"/>
      <c r="AG170" s="366"/>
      <c r="AH170" s="366"/>
      <c r="AI170" s="366"/>
      <c r="AJ170" s="366"/>
      <c r="AK170" s="619"/>
      <c r="AL170" s="617"/>
    </row>
    <row r="171" spans="1:38" ht="15.75">
      <c r="A171" s="190"/>
      <c r="B171" s="324"/>
      <c r="C171" s="324"/>
      <c r="D171" s="366"/>
      <c r="E171" s="366"/>
      <c r="F171" s="639"/>
      <c r="G171" s="324"/>
      <c r="H171" s="324"/>
      <c r="I171" s="335"/>
      <c r="J171" s="366"/>
      <c r="K171" s="641"/>
      <c r="L171" s="641"/>
      <c r="M171" s="641"/>
      <c r="N171" s="641"/>
      <c r="O171" s="366"/>
      <c r="P171" s="366"/>
      <c r="Q171" s="366"/>
      <c r="R171" s="611"/>
      <c r="S171" s="614"/>
      <c r="T171" s="588"/>
      <c r="U171" s="188"/>
      <c r="V171" s="366"/>
      <c r="W171" s="366"/>
      <c r="X171" s="366"/>
      <c r="Y171" s="366"/>
      <c r="Z171" s="366"/>
      <c r="AA171" s="366"/>
      <c r="AB171" s="366"/>
      <c r="AC171" s="366"/>
      <c r="AD171" s="366"/>
      <c r="AE171" s="366"/>
      <c r="AF171" s="366"/>
      <c r="AG171" s="366"/>
      <c r="AH171" s="366"/>
      <c r="AI171" s="366"/>
      <c r="AJ171" s="366"/>
      <c r="AK171" s="619"/>
      <c r="AL171" s="617"/>
    </row>
    <row r="172" spans="1:38" ht="15.75">
      <c r="A172" s="190"/>
      <c r="B172" s="324"/>
      <c r="C172" s="324"/>
      <c r="D172" s="366"/>
      <c r="E172" s="366"/>
      <c r="F172" s="639"/>
      <c r="G172" s="324"/>
      <c r="H172" s="324"/>
      <c r="I172" s="335"/>
      <c r="J172" s="366"/>
      <c r="K172" s="641"/>
      <c r="L172" s="641"/>
      <c r="M172" s="641"/>
      <c r="N172" s="641"/>
      <c r="O172" s="366"/>
      <c r="P172" s="366"/>
      <c r="Q172" s="366"/>
      <c r="R172" s="611"/>
      <c r="S172" s="614"/>
      <c r="T172" s="588"/>
      <c r="U172" s="188"/>
      <c r="V172" s="366"/>
      <c r="W172" s="366"/>
      <c r="X172" s="366"/>
      <c r="Y172" s="366"/>
      <c r="Z172" s="366"/>
      <c r="AA172" s="366"/>
      <c r="AB172" s="366"/>
      <c r="AC172" s="366"/>
      <c r="AD172" s="366"/>
      <c r="AE172" s="366"/>
      <c r="AF172" s="366"/>
      <c r="AG172" s="366"/>
      <c r="AH172" s="366"/>
      <c r="AI172" s="366"/>
      <c r="AJ172" s="366"/>
      <c r="AK172" s="619"/>
      <c r="AL172" s="617"/>
    </row>
    <row r="173" spans="1:38" ht="15.75">
      <c r="A173" s="190"/>
      <c r="B173" s="324"/>
      <c r="C173" s="324"/>
      <c r="D173" s="366"/>
      <c r="E173" s="366"/>
      <c r="F173" s="639"/>
      <c r="G173" s="324"/>
      <c r="H173" s="324"/>
      <c r="I173" s="335"/>
      <c r="J173" s="366"/>
      <c r="K173" s="641"/>
      <c r="L173" s="641"/>
      <c r="M173" s="641"/>
      <c r="N173" s="641"/>
      <c r="O173" s="366"/>
      <c r="P173" s="366"/>
      <c r="Q173" s="366"/>
      <c r="R173" s="611"/>
      <c r="S173" s="614"/>
      <c r="T173" s="588"/>
      <c r="U173" s="188"/>
      <c r="V173" s="366"/>
      <c r="W173" s="366"/>
      <c r="X173" s="366"/>
      <c r="Y173" s="366"/>
      <c r="Z173" s="366"/>
      <c r="AA173" s="366"/>
      <c r="AB173" s="366"/>
      <c r="AC173" s="366"/>
      <c r="AD173" s="366"/>
      <c r="AE173" s="366"/>
      <c r="AF173" s="366"/>
      <c r="AG173" s="366"/>
      <c r="AH173" s="366"/>
      <c r="AI173" s="366"/>
      <c r="AJ173" s="366"/>
      <c r="AK173" s="619"/>
      <c r="AL173" s="617"/>
    </row>
    <row r="174" spans="1:38" ht="15.75">
      <c r="A174" s="190"/>
      <c r="B174" s="324"/>
      <c r="C174" s="324"/>
      <c r="D174" s="366"/>
      <c r="E174" s="366"/>
      <c r="F174" s="639"/>
      <c r="G174" s="324"/>
      <c r="H174" s="324"/>
      <c r="I174" s="335"/>
      <c r="J174" s="366"/>
      <c r="K174" s="641"/>
      <c r="L174" s="641"/>
      <c r="M174" s="641"/>
      <c r="N174" s="641"/>
      <c r="O174" s="366"/>
      <c r="P174" s="366"/>
      <c r="Q174" s="366"/>
      <c r="R174" s="611"/>
      <c r="S174" s="614"/>
      <c r="T174" s="588"/>
      <c r="U174" s="188"/>
      <c r="V174" s="366"/>
      <c r="W174" s="366"/>
      <c r="X174" s="366"/>
      <c r="Y174" s="366"/>
      <c r="Z174" s="366"/>
      <c r="AA174" s="366"/>
      <c r="AB174" s="366"/>
      <c r="AC174" s="366"/>
      <c r="AD174" s="366"/>
      <c r="AE174" s="366"/>
      <c r="AF174" s="366"/>
      <c r="AG174" s="366"/>
      <c r="AH174" s="366"/>
      <c r="AI174" s="366"/>
      <c r="AJ174" s="366"/>
      <c r="AK174" s="619"/>
      <c r="AL174" s="617"/>
    </row>
    <row r="175" spans="1:38" ht="15.75">
      <c r="A175" s="190"/>
      <c r="B175" s="324"/>
      <c r="C175" s="324"/>
      <c r="D175" s="366"/>
      <c r="E175" s="366"/>
      <c r="F175" s="639"/>
      <c r="G175" s="324"/>
      <c r="H175" s="324"/>
      <c r="I175" s="335"/>
      <c r="J175" s="366"/>
      <c r="K175" s="641"/>
      <c r="L175" s="641"/>
      <c r="M175" s="641"/>
      <c r="N175" s="641"/>
      <c r="O175" s="366"/>
      <c r="P175" s="366"/>
      <c r="Q175" s="366"/>
      <c r="R175" s="611"/>
      <c r="S175" s="614"/>
      <c r="T175" s="588"/>
      <c r="U175" s="188"/>
      <c r="V175" s="366"/>
      <c r="W175" s="366"/>
      <c r="X175" s="366"/>
      <c r="Y175" s="366"/>
      <c r="Z175" s="366"/>
      <c r="AA175" s="366"/>
      <c r="AB175" s="366"/>
      <c r="AC175" s="366"/>
      <c r="AD175" s="366"/>
      <c r="AE175" s="366"/>
      <c r="AF175" s="366"/>
      <c r="AG175" s="366"/>
      <c r="AH175" s="366"/>
      <c r="AI175" s="366"/>
      <c r="AJ175" s="366"/>
      <c r="AK175" s="619"/>
      <c r="AL175" s="617"/>
    </row>
    <row r="176" spans="1:38" ht="15.75">
      <c r="A176" s="190"/>
      <c r="B176" s="324"/>
      <c r="C176" s="324"/>
      <c r="D176" s="366"/>
      <c r="E176" s="366"/>
      <c r="F176" s="639"/>
      <c r="G176" s="324"/>
      <c r="H176" s="324"/>
      <c r="I176" s="335"/>
      <c r="J176" s="366"/>
      <c r="K176" s="641"/>
      <c r="L176" s="641"/>
      <c r="M176" s="641"/>
      <c r="N176" s="641"/>
      <c r="O176" s="366"/>
      <c r="P176" s="366"/>
      <c r="Q176" s="366"/>
      <c r="R176" s="611"/>
      <c r="S176" s="614"/>
      <c r="T176" s="588"/>
      <c r="U176" s="188"/>
      <c r="V176" s="366"/>
      <c r="W176" s="366"/>
      <c r="X176" s="366"/>
      <c r="Y176" s="366"/>
      <c r="Z176" s="366"/>
      <c r="AA176" s="366"/>
      <c r="AB176" s="366"/>
      <c r="AC176" s="366"/>
      <c r="AD176" s="366"/>
      <c r="AE176" s="366"/>
      <c r="AF176" s="366"/>
      <c r="AG176" s="366"/>
      <c r="AH176" s="366"/>
      <c r="AI176" s="366"/>
      <c r="AJ176" s="366"/>
      <c r="AK176" s="619"/>
      <c r="AL176" s="617"/>
    </row>
    <row r="177" spans="1:38" ht="15.75">
      <c r="A177" s="190"/>
      <c r="B177" s="324"/>
      <c r="C177" s="324"/>
      <c r="D177" s="366"/>
      <c r="E177" s="366"/>
      <c r="F177" s="639"/>
      <c r="G177" s="324"/>
      <c r="H177" s="324"/>
      <c r="I177" s="335"/>
      <c r="J177" s="366"/>
      <c r="K177" s="641"/>
      <c r="L177" s="641"/>
      <c r="M177" s="641"/>
      <c r="N177" s="641"/>
      <c r="O177" s="366"/>
      <c r="P177" s="366"/>
      <c r="Q177" s="366"/>
      <c r="R177" s="611"/>
      <c r="S177" s="614"/>
      <c r="T177" s="588"/>
      <c r="U177" s="188"/>
      <c r="V177" s="366"/>
      <c r="W177" s="366"/>
      <c r="X177" s="366"/>
      <c r="Y177" s="366"/>
      <c r="Z177" s="366"/>
      <c r="AA177" s="366"/>
      <c r="AB177" s="366"/>
      <c r="AC177" s="366"/>
      <c r="AD177" s="366"/>
      <c r="AE177" s="366"/>
      <c r="AF177" s="366"/>
      <c r="AG177" s="366"/>
      <c r="AH177" s="366"/>
      <c r="AI177" s="366"/>
      <c r="AJ177" s="366"/>
      <c r="AK177" s="619"/>
      <c r="AL177" s="617"/>
    </row>
    <row r="178" spans="1:38" ht="15.75">
      <c r="A178" s="190"/>
      <c r="B178" s="324"/>
      <c r="C178" s="324"/>
      <c r="D178" s="366"/>
      <c r="E178" s="366"/>
      <c r="F178" s="639"/>
      <c r="G178" s="324"/>
      <c r="H178" s="324"/>
      <c r="I178" s="335"/>
      <c r="J178" s="366"/>
      <c r="K178" s="641"/>
      <c r="L178" s="641"/>
      <c r="M178" s="641"/>
      <c r="N178" s="641"/>
      <c r="O178" s="366"/>
      <c r="P178" s="366"/>
      <c r="Q178" s="366"/>
      <c r="R178" s="611"/>
      <c r="S178" s="614"/>
      <c r="T178" s="588"/>
      <c r="U178" s="188"/>
      <c r="V178" s="366"/>
      <c r="W178" s="366"/>
      <c r="X178" s="366"/>
      <c r="Y178" s="366"/>
      <c r="Z178" s="366"/>
      <c r="AA178" s="366"/>
      <c r="AB178" s="366"/>
      <c r="AC178" s="366"/>
      <c r="AD178" s="366"/>
      <c r="AE178" s="366"/>
      <c r="AF178" s="366"/>
      <c r="AG178" s="366"/>
      <c r="AH178" s="366"/>
      <c r="AI178" s="366"/>
      <c r="AJ178" s="366"/>
      <c r="AK178" s="619"/>
      <c r="AL178" s="617"/>
    </row>
    <row r="179" spans="1:38" ht="15.75">
      <c r="A179" s="190"/>
      <c r="B179" s="324"/>
      <c r="C179" s="324"/>
      <c r="D179" s="366"/>
      <c r="E179" s="366"/>
      <c r="F179" s="639"/>
      <c r="G179" s="324"/>
      <c r="H179" s="324"/>
      <c r="I179" s="335"/>
      <c r="J179" s="366"/>
      <c r="K179" s="641"/>
      <c r="L179" s="641"/>
      <c r="M179" s="641"/>
      <c r="N179" s="641"/>
      <c r="O179" s="366"/>
      <c r="P179" s="366"/>
      <c r="Q179" s="366"/>
      <c r="R179" s="611"/>
      <c r="S179" s="614"/>
      <c r="T179" s="588"/>
      <c r="U179" s="188"/>
      <c r="V179" s="366"/>
      <c r="W179" s="366"/>
      <c r="X179" s="366"/>
      <c r="Y179" s="366"/>
      <c r="Z179" s="366"/>
      <c r="AA179" s="366"/>
      <c r="AB179" s="366"/>
      <c r="AC179" s="366"/>
      <c r="AD179" s="366"/>
      <c r="AE179" s="366"/>
      <c r="AF179" s="366"/>
      <c r="AG179" s="366"/>
      <c r="AH179" s="366"/>
      <c r="AI179" s="366"/>
      <c r="AJ179" s="366"/>
      <c r="AK179" s="619"/>
      <c r="AL179" s="617"/>
    </row>
    <row r="180" spans="1:38" ht="15.75">
      <c r="A180" s="190"/>
      <c r="B180" s="324"/>
      <c r="C180" s="324"/>
      <c r="D180" s="366"/>
      <c r="E180" s="366"/>
      <c r="F180" s="639"/>
      <c r="G180" s="324"/>
      <c r="H180" s="324"/>
      <c r="I180" s="335"/>
      <c r="J180" s="366"/>
      <c r="K180" s="641"/>
      <c r="L180" s="641"/>
      <c r="M180" s="641"/>
      <c r="N180" s="641"/>
      <c r="O180" s="366"/>
      <c r="P180" s="366"/>
      <c r="Q180" s="366"/>
      <c r="R180" s="611"/>
      <c r="S180" s="614"/>
      <c r="T180" s="588"/>
      <c r="U180" s="188"/>
      <c r="V180" s="366"/>
      <c r="W180" s="366"/>
      <c r="X180" s="366"/>
      <c r="Y180" s="366"/>
      <c r="Z180" s="366"/>
      <c r="AA180" s="366"/>
      <c r="AB180" s="366"/>
      <c r="AC180" s="366"/>
      <c r="AD180" s="366"/>
      <c r="AE180" s="366"/>
      <c r="AF180" s="366"/>
      <c r="AG180" s="366"/>
      <c r="AH180" s="366"/>
      <c r="AI180" s="366"/>
      <c r="AJ180" s="366"/>
      <c r="AK180" s="619"/>
      <c r="AL180" s="617"/>
    </row>
    <row r="181" spans="1:38" ht="15.75">
      <c r="A181" s="190"/>
      <c r="B181" s="324"/>
      <c r="C181" s="324"/>
      <c r="D181" s="366"/>
      <c r="E181" s="366"/>
      <c r="F181" s="639"/>
      <c r="G181" s="324"/>
      <c r="H181" s="324"/>
      <c r="I181" s="335"/>
      <c r="J181" s="366"/>
      <c r="K181" s="641"/>
      <c r="L181" s="641"/>
      <c r="M181" s="641"/>
      <c r="N181" s="641"/>
      <c r="O181" s="366"/>
      <c r="P181" s="366"/>
      <c r="Q181" s="366"/>
      <c r="R181" s="611"/>
      <c r="S181" s="614"/>
      <c r="T181" s="588"/>
      <c r="U181" s="188"/>
      <c r="V181" s="366"/>
      <c r="W181" s="366"/>
      <c r="X181" s="366"/>
      <c r="Y181" s="366"/>
      <c r="Z181" s="366"/>
      <c r="AA181" s="366"/>
      <c r="AB181" s="366"/>
      <c r="AC181" s="366"/>
      <c r="AD181" s="366"/>
      <c r="AE181" s="366"/>
      <c r="AF181" s="366"/>
      <c r="AG181" s="366"/>
      <c r="AH181" s="366"/>
      <c r="AI181" s="366"/>
      <c r="AJ181" s="366"/>
      <c r="AK181" s="619"/>
      <c r="AL181" s="617"/>
    </row>
    <row r="182" spans="1:38" ht="15.75">
      <c r="A182" s="190"/>
      <c r="B182" s="324"/>
      <c r="C182" s="324"/>
      <c r="D182" s="366"/>
      <c r="E182" s="366"/>
      <c r="F182" s="639"/>
      <c r="G182" s="324"/>
      <c r="H182" s="324"/>
      <c r="I182" s="335"/>
      <c r="J182" s="366"/>
      <c r="K182" s="641"/>
      <c r="L182" s="641"/>
      <c r="M182" s="641"/>
      <c r="N182" s="641"/>
      <c r="O182" s="366"/>
      <c r="P182" s="366"/>
      <c r="Q182" s="366"/>
      <c r="R182" s="611"/>
      <c r="S182" s="614"/>
      <c r="T182" s="588"/>
      <c r="U182" s="188"/>
      <c r="V182" s="366"/>
      <c r="W182" s="366"/>
      <c r="X182" s="366"/>
      <c r="Y182" s="366"/>
      <c r="Z182" s="366"/>
      <c r="AA182" s="366"/>
      <c r="AB182" s="366"/>
      <c r="AC182" s="366"/>
      <c r="AD182" s="366"/>
      <c r="AE182" s="366"/>
      <c r="AF182" s="366"/>
      <c r="AG182" s="366"/>
      <c r="AH182" s="366"/>
      <c r="AI182" s="366"/>
      <c r="AJ182" s="366"/>
      <c r="AK182" s="619"/>
      <c r="AL182" s="617"/>
    </row>
    <row r="183" spans="1:38" ht="15.75">
      <c r="A183" s="190"/>
      <c r="B183" s="324"/>
      <c r="C183" s="324"/>
      <c r="D183" s="366"/>
      <c r="E183" s="366"/>
      <c r="F183" s="639"/>
      <c r="G183" s="324"/>
      <c r="H183" s="324"/>
      <c r="I183" s="335"/>
      <c r="J183" s="366"/>
      <c r="K183" s="641"/>
      <c r="L183" s="641"/>
      <c r="M183" s="641"/>
      <c r="N183" s="641"/>
      <c r="O183" s="366"/>
      <c r="P183" s="366"/>
      <c r="Q183" s="366"/>
      <c r="R183" s="611"/>
      <c r="S183" s="614"/>
      <c r="T183" s="588"/>
      <c r="U183" s="188"/>
      <c r="V183" s="366"/>
      <c r="W183" s="366"/>
      <c r="X183" s="366"/>
      <c r="Y183" s="366"/>
      <c r="Z183" s="366"/>
      <c r="AA183" s="366"/>
      <c r="AB183" s="366"/>
      <c r="AC183" s="366"/>
      <c r="AD183" s="366"/>
      <c r="AE183" s="366"/>
      <c r="AF183" s="366"/>
      <c r="AG183" s="366"/>
      <c r="AH183" s="366"/>
      <c r="AI183" s="366"/>
      <c r="AJ183" s="366"/>
      <c r="AK183" s="619"/>
      <c r="AL183" s="617"/>
    </row>
    <row r="184" spans="1:38" ht="15.75">
      <c r="A184" s="190"/>
      <c r="B184" s="324"/>
      <c r="C184" s="324"/>
      <c r="D184" s="366"/>
      <c r="E184" s="366"/>
      <c r="F184" s="639"/>
      <c r="G184" s="324"/>
      <c r="H184" s="324"/>
      <c r="I184" s="335"/>
      <c r="J184" s="366"/>
      <c r="K184" s="641"/>
      <c r="L184" s="641"/>
      <c r="M184" s="641"/>
      <c r="N184" s="641"/>
      <c r="O184" s="366"/>
      <c r="P184" s="366"/>
      <c r="Q184" s="366"/>
      <c r="R184" s="611"/>
      <c r="S184" s="614"/>
      <c r="T184" s="588"/>
      <c r="U184" s="188"/>
      <c r="V184" s="366"/>
      <c r="W184" s="366"/>
      <c r="X184" s="366"/>
      <c r="Y184" s="366"/>
      <c r="Z184" s="366"/>
      <c r="AA184" s="366"/>
      <c r="AB184" s="366"/>
      <c r="AC184" s="366"/>
      <c r="AD184" s="366"/>
      <c r="AE184" s="366"/>
      <c r="AF184" s="366"/>
      <c r="AG184" s="366"/>
      <c r="AH184" s="366"/>
      <c r="AI184" s="366"/>
      <c r="AJ184" s="366"/>
      <c r="AK184" s="619"/>
      <c r="AL184" s="617"/>
    </row>
    <row r="185" spans="1:38" ht="15.75">
      <c r="A185" s="190"/>
      <c r="B185" s="324"/>
      <c r="C185" s="324"/>
      <c r="D185" s="366"/>
      <c r="E185" s="366"/>
      <c r="F185" s="639"/>
      <c r="G185" s="324"/>
      <c r="H185" s="324"/>
      <c r="I185" s="335"/>
      <c r="J185" s="366"/>
      <c r="K185" s="641"/>
      <c r="L185" s="641"/>
      <c r="M185" s="641"/>
      <c r="N185" s="641"/>
      <c r="O185" s="366"/>
      <c r="P185" s="366"/>
      <c r="Q185" s="366"/>
      <c r="R185" s="611"/>
      <c r="S185" s="614"/>
      <c r="T185" s="588"/>
      <c r="U185" s="188"/>
      <c r="V185" s="366"/>
      <c r="W185" s="366"/>
      <c r="X185" s="366"/>
      <c r="Y185" s="366"/>
      <c r="Z185" s="366"/>
      <c r="AA185" s="366"/>
      <c r="AB185" s="366"/>
      <c r="AC185" s="366"/>
      <c r="AD185" s="366"/>
      <c r="AE185" s="366"/>
      <c r="AF185" s="366"/>
      <c r="AG185" s="366"/>
      <c r="AH185" s="366"/>
      <c r="AI185" s="366"/>
      <c r="AJ185" s="366"/>
      <c r="AK185" s="619"/>
      <c r="AL185" s="617"/>
    </row>
    <row r="186" spans="1:38" ht="15.75">
      <c r="A186" s="190"/>
      <c r="B186" s="324"/>
      <c r="C186" s="324"/>
      <c r="D186" s="366"/>
      <c r="E186" s="366"/>
      <c r="F186" s="639"/>
      <c r="G186" s="324"/>
      <c r="H186" s="324"/>
      <c r="I186" s="335"/>
      <c r="J186" s="366"/>
      <c r="K186" s="641"/>
      <c r="L186" s="641"/>
      <c r="M186" s="641"/>
      <c r="N186" s="641"/>
      <c r="O186" s="366"/>
      <c r="P186" s="366"/>
      <c r="Q186" s="366"/>
      <c r="R186" s="611"/>
      <c r="S186" s="614"/>
      <c r="T186" s="588"/>
      <c r="U186" s="188"/>
      <c r="V186" s="366"/>
      <c r="W186" s="366"/>
      <c r="X186" s="366"/>
      <c r="Y186" s="366"/>
      <c r="Z186" s="366"/>
      <c r="AA186" s="366"/>
      <c r="AB186" s="366"/>
      <c r="AC186" s="366"/>
      <c r="AD186" s="366"/>
      <c r="AE186" s="366"/>
      <c r="AF186" s="366"/>
      <c r="AG186" s="366"/>
      <c r="AH186" s="366"/>
      <c r="AI186" s="366"/>
      <c r="AJ186" s="366"/>
      <c r="AK186" s="619"/>
      <c r="AL186" s="617"/>
    </row>
    <row r="187" spans="1:38" ht="15.75">
      <c r="A187" s="190"/>
      <c r="B187" s="324"/>
      <c r="C187" s="324"/>
      <c r="D187" s="366"/>
      <c r="E187" s="366"/>
      <c r="F187" s="639"/>
      <c r="G187" s="324"/>
      <c r="H187" s="324"/>
      <c r="I187" s="335"/>
      <c r="J187" s="366"/>
      <c r="K187" s="641"/>
      <c r="L187" s="641"/>
      <c r="M187" s="641"/>
      <c r="N187" s="641"/>
      <c r="O187" s="366"/>
      <c r="P187" s="366"/>
      <c r="Q187" s="366"/>
      <c r="R187" s="611"/>
      <c r="S187" s="614"/>
      <c r="T187" s="588"/>
      <c r="U187" s="188"/>
      <c r="V187" s="366"/>
      <c r="W187" s="366"/>
      <c r="X187" s="366"/>
      <c r="Y187" s="366"/>
      <c r="Z187" s="366"/>
      <c r="AA187" s="366"/>
      <c r="AB187" s="366"/>
      <c r="AC187" s="366"/>
      <c r="AD187" s="366"/>
      <c r="AE187" s="366"/>
      <c r="AF187" s="366"/>
      <c r="AG187" s="366"/>
      <c r="AH187" s="366"/>
      <c r="AI187" s="366"/>
      <c r="AJ187" s="366"/>
      <c r="AK187" s="619"/>
      <c r="AL187" s="617"/>
    </row>
    <row r="188" spans="1:38" ht="15.75">
      <c r="A188" s="190"/>
      <c r="B188" s="324"/>
      <c r="C188" s="324"/>
      <c r="D188" s="366"/>
      <c r="E188" s="366"/>
      <c r="F188" s="639"/>
      <c r="G188" s="324"/>
      <c r="H188" s="324"/>
      <c r="I188" s="335"/>
      <c r="J188" s="366"/>
      <c r="K188" s="641"/>
      <c r="L188" s="641"/>
      <c r="M188" s="641"/>
      <c r="N188" s="641"/>
      <c r="O188" s="366"/>
      <c r="P188" s="366"/>
      <c r="Q188" s="366"/>
      <c r="R188" s="611"/>
      <c r="S188" s="614"/>
      <c r="T188" s="588"/>
      <c r="U188" s="188"/>
      <c r="V188" s="366"/>
      <c r="W188" s="366"/>
      <c r="X188" s="366"/>
      <c r="Y188" s="366"/>
      <c r="Z188" s="366"/>
      <c r="AA188" s="366"/>
      <c r="AB188" s="366"/>
      <c r="AC188" s="366"/>
      <c r="AD188" s="366"/>
      <c r="AE188" s="366"/>
      <c r="AF188" s="366"/>
      <c r="AG188" s="366"/>
      <c r="AH188" s="366"/>
      <c r="AI188" s="366"/>
      <c r="AJ188" s="366"/>
      <c r="AK188" s="619"/>
      <c r="AL188" s="617"/>
    </row>
    <row r="189" spans="1:38" ht="15.75">
      <c r="A189" s="190"/>
      <c r="B189" s="324"/>
      <c r="C189" s="324"/>
      <c r="D189" s="366"/>
      <c r="E189" s="366"/>
      <c r="F189" s="639"/>
      <c r="G189" s="324"/>
      <c r="H189" s="324"/>
      <c r="I189" s="335"/>
      <c r="J189" s="366"/>
      <c r="K189" s="641"/>
      <c r="L189" s="641"/>
      <c r="M189" s="641"/>
      <c r="N189" s="641"/>
      <c r="O189" s="366"/>
      <c r="P189" s="366"/>
      <c r="Q189" s="366"/>
      <c r="R189" s="611"/>
      <c r="S189" s="614"/>
      <c r="T189" s="588"/>
      <c r="U189" s="188"/>
      <c r="V189" s="366"/>
      <c r="W189" s="366"/>
      <c r="X189" s="366"/>
      <c r="Y189" s="366"/>
      <c r="Z189" s="366"/>
      <c r="AA189" s="366"/>
      <c r="AB189" s="366"/>
      <c r="AC189" s="366"/>
      <c r="AD189" s="366"/>
      <c r="AE189" s="366"/>
      <c r="AF189" s="366"/>
      <c r="AG189" s="366"/>
      <c r="AH189" s="366"/>
      <c r="AI189" s="366"/>
      <c r="AJ189" s="366"/>
      <c r="AK189" s="619"/>
      <c r="AL189" s="617"/>
    </row>
    <row r="190" spans="1:38" ht="15.75">
      <c r="A190" s="190"/>
      <c r="B190" s="324"/>
      <c r="C190" s="324"/>
      <c r="D190" s="366"/>
      <c r="E190" s="366"/>
      <c r="F190" s="639"/>
      <c r="G190" s="324"/>
      <c r="H190" s="324"/>
      <c r="I190" s="335"/>
      <c r="J190" s="366"/>
      <c r="K190" s="641"/>
      <c r="L190" s="641"/>
      <c r="M190" s="641"/>
      <c r="N190" s="641"/>
      <c r="O190" s="366"/>
      <c r="P190" s="366"/>
      <c r="Q190" s="366"/>
      <c r="R190" s="611"/>
      <c r="S190" s="614"/>
      <c r="T190" s="588"/>
      <c r="U190" s="188"/>
      <c r="V190" s="366"/>
      <c r="W190" s="366"/>
      <c r="X190" s="366"/>
      <c r="Y190" s="366"/>
      <c r="Z190" s="366"/>
      <c r="AA190" s="366"/>
      <c r="AB190" s="366"/>
      <c r="AC190" s="366"/>
      <c r="AD190" s="366"/>
      <c r="AE190" s="366"/>
      <c r="AF190" s="366"/>
      <c r="AG190" s="366"/>
      <c r="AH190" s="366"/>
      <c r="AI190" s="366"/>
      <c r="AJ190" s="366"/>
      <c r="AK190" s="619"/>
      <c r="AL190" s="617"/>
    </row>
    <row r="191" spans="1:38" ht="15.75">
      <c r="A191" s="190"/>
      <c r="B191" s="324"/>
      <c r="C191" s="324"/>
      <c r="D191" s="366"/>
      <c r="E191" s="366"/>
      <c r="F191" s="639"/>
      <c r="G191" s="324"/>
      <c r="H191" s="324"/>
      <c r="I191" s="335"/>
      <c r="J191" s="366"/>
      <c r="K191" s="641"/>
      <c r="L191" s="641"/>
      <c r="M191" s="641"/>
      <c r="N191" s="641"/>
      <c r="O191" s="366"/>
      <c r="P191" s="366"/>
      <c r="Q191" s="366"/>
      <c r="R191" s="611"/>
      <c r="S191" s="614"/>
      <c r="T191" s="588"/>
      <c r="U191" s="188"/>
      <c r="V191" s="366"/>
      <c r="W191" s="366"/>
      <c r="X191" s="366"/>
      <c r="Y191" s="366"/>
      <c r="Z191" s="366"/>
      <c r="AA191" s="366"/>
      <c r="AB191" s="366"/>
      <c r="AC191" s="366"/>
      <c r="AD191" s="366"/>
      <c r="AE191" s="366"/>
      <c r="AF191" s="366"/>
      <c r="AG191" s="366"/>
      <c r="AH191" s="366"/>
      <c r="AI191" s="366"/>
      <c r="AJ191" s="366"/>
      <c r="AK191" s="619"/>
      <c r="AL191" s="617"/>
    </row>
    <row r="192" spans="1:38" ht="15.75">
      <c r="A192" s="190"/>
      <c r="B192" s="324"/>
      <c r="C192" s="324"/>
      <c r="D192" s="366"/>
      <c r="E192" s="366"/>
      <c r="F192" s="639"/>
      <c r="G192" s="324"/>
      <c r="H192" s="324"/>
      <c r="I192" s="335"/>
      <c r="J192" s="366"/>
      <c r="K192" s="641"/>
      <c r="L192" s="641"/>
      <c r="M192" s="641"/>
      <c r="N192" s="641"/>
      <c r="O192" s="366"/>
      <c r="P192" s="366"/>
      <c r="Q192" s="366"/>
      <c r="R192" s="611"/>
      <c r="S192" s="614"/>
      <c r="T192" s="588"/>
      <c r="U192" s="188"/>
      <c r="V192" s="366"/>
      <c r="W192" s="366"/>
      <c r="X192" s="366"/>
      <c r="Y192" s="366"/>
      <c r="Z192" s="366"/>
      <c r="AA192" s="366"/>
      <c r="AB192" s="366"/>
      <c r="AC192" s="366"/>
      <c r="AD192" s="366"/>
      <c r="AE192" s="366"/>
      <c r="AF192" s="366"/>
      <c r="AG192" s="366"/>
      <c r="AH192" s="366"/>
      <c r="AI192" s="366"/>
      <c r="AJ192" s="366"/>
      <c r="AK192" s="619"/>
      <c r="AL192" s="617"/>
    </row>
    <row r="193" spans="1:38" ht="15.75">
      <c r="A193" s="190"/>
      <c r="B193" s="324"/>
      <c r="C193" s="324"/>
      <c r="D193" s="366"/>
      <c r="E193" s="366"/>
      <c r="F193" s="639"/>
      <c r="G193" s="324"/>
      <c r="H193" s="324"/>
      <c r="I193" s="335"/>
      <c r="J193" s="366"/>
      <c r="K193" s="641"/>
      <c r="L193" s="641"/>
      <c r="M193" s="641"/>
      <c r="N193" s="641"/>
      <c r="O193" s="366"/>
      <c r="P193" s="366"/>
      <c r="Q193" s="366"/>
      <c r="R193" s="611"/>
      <c r="S193" s="614"/>
      <c r="T193" s="588"/>
      <c r="U193" s="188"/>
      <c r="V193" s="366"/>
      <c r="W193" s="366"/>
      <c r="X193" s="366"/>
      <c r="Y193" s="366"/>
      <c r="Z193" s="366"/>
      <c r="AA193" s="366"/>
      <c r="AB193" s="366"/>
      <c r="AC193" s="366"/>
      <c r="AD193" s="366"/>
      <c r="AE193" s="366"/>
      <c r="AF193" s="366"/>
      <c r="AG193" s="366"/>
      <c r="AH193" s="366"/>
      <c r="AI193" s="366"/>
      <c r="AJ193" s="366"/>
      <c r="AK193" s="619"/>
      <c r="AL193" s="617"/>
    </row>
    <row r="194" spans="1:38" ht="15.75">
      <c r="A194" s="190"/>
      <c r="B194" s="324"/>
      <c r="C194" s="324"/>
      <c r="D194" s="366"/>
      <c r="E194" s="366"/>
      <c r="F194" s="639"/>
      <c r="G194" s="324"/>
      <c r="H194" s="324"/>
      <c r="I194" s="335"/>
      <c r="J194" s="366"/>
      <c r="K194" s="641"/>
      <c r="L194" s="641"/>
      <c r="M194" s="641"/>
      <c r="N194" s="641"/>
      <c r="O194" s="366"/>
      <c r="P194" s="366"/>
      <c r="Q194" s="366"/>
      <c r="R194" s="611"/>
      <c r="S194" s="614"/>
      <c r="T194" s="588"/>
      <c r="U194" s="188"/>
      <c r="V194" s="366"/>
      <c r="W194" s="366"/>
      <c r="X194" s="366"/>
      <c r="Y194" s="366"/>
      <c r="Z194" s="366"/>
      <c r="AA194" s="366"/>
      <c r="AB194" s="366"/>
      <c r="AC194" s="366"/>
      <c r="AD194" s="366"/>
      <c r="AE194" s="366"/>
      <c r="AF194" s="366"/>
      <c r="AG194" s="366"/>
      <c r="AH194" s="366"/>
      <c r="AI194" s="366"/>
      <c r="AJ194" s="366"/>
      <c r="AK194" s="619"/>
      <c r="AL194" s="617"/>
    </row>
    <row r="195" spans="1:38" ht="15.75">
      <c r="A195" s="190"/>
      <c r="B195" s="324"/>
      <c r="C195" s="324"/>
      <c r="D195" s="366"/>
      <c r="E195" s="366"/>
      <c r="F195" s="639"/>
      <c r="G195" s="324"/>
      <c r="H195" s="324"/>
      <c r="I195" s="335"/>
      <c r="J195" s="366"/>
      <c r="K195" s="641"/>
      <c r="L195" s="641"/>
      <c r="M195" s="641"/>
      <c r="N195" s="641"/>
      <c r="O195" s="366"/>
      <c r="P195" s="366"/>
      <c r="Q195" s="366"/>
      <c r="R195" s="611"/>
      <c r="S195" s="614"/>
      <c r="T195" s="588"/>
      <c r="U195" s="188"/>
      <c r="V195" s="366"/>
      <c r="W195" s="366"/>
      <c r="X195" s="366"/>
      <c r="Y195" s="366"/>
      <c r="Z195" s="366"/>
      <c r="AA195" s="366"/>
      <c r="AB195" s="366"/>
      <c r="AC195" s="366"/>
      <c r="AD195" s="366"/>
      <c r="AE195" s="366"/>
      <c r="AF195" s="366"/>
      <c r="AG195" s="366"/>
      <c r="AH195" s="366"/>
      <c r="AI195" s="366"/>
      <c r="AJ195" s="366"/>
      <c r="AK195" s="619"/>
      <c r="AL195" s="617"/>
    </row>
    <row r="196" spans="1:38" ht="15.75">
      <c r="A196" s="190"/>
      <c r="B196" s="324"/>
      <c r="C196" s="324"/>
      <c r="D196" s="366"/>
      <c r="E196" s="366"/>
      <c r="F196" s="639"/>
      <c r="G196" s="324"/>
      <c r="H196" s="324"/>
      <c r="I196" s="335"/>
      <c r="J196" s="366"/>
      <c r="K196" s="641"/>
      <c r="L196" s="641"/>
      <c r="M196" s="641"/>
      <c r="N196" s="641"/>
      <c r="O196" s="366"/>
      <c r="P196" s="366"/>
      <c r="Q196" s="366"/>
      <c r="R196" s="611"/>
      <c r="S196" s="614"/>
      <c r="T196" s="588"/>
      <c r="U196" s="188"/>
      <c r="V196" s="366"/>
      <c r="W196" s="366"/>
      <c r="X196" s="366"/>
      <c r="Y196" s="366"/>
      <c r="Z196" s="366"/>
      <c r="AA196" s="366"/>
      <c r="AB196" s="366"/>
      <c r="AC196" s="366"/>
      <c r="AD196" s="366"/>
      <c r="AE196" s="366"/>
      <c r="AF196" s="366"/>
      <c r="AG196" s="366"/>
      <c r="AH196" s="366"/>
      <c r="AI196" s="366"/>
      <c r="AJ196" s="366"/>
      <c r="AK196" s="619"/>
      <c r="AL196" s="617"/>
    </row>
    <row r="197" spans="1:38" ht="15.75">
      <c r="A197" s="190"/>
      <c r="B197" s="324"/>
      <c r="C197" s="324"/>
      <c r="D197" s="366"/>
      <c r="E197" s="366"/>
      <c r="F197" s="639"/>
      <c r="G197" s="324"/>
      <c r="H197" s="324"/>
      <c r="I197" s="335"/>
      <c r="J197" s="366"/>
      <c r="K197" s="641"/>
      <c r="L197" s="641"/>
      <c r="M197" s="641"/>
      <c r="N197" s="641"/>
      <c r="O197" s="366"/>
      <c r="P197" s="366"/>
      <c r="Q197" s="366"/>
      <c r="R197" s="611"/>
      <c r="S197" s="614"/>
      <c r="T197" s="588"/>
      <c r="U197" s="188"/>
      <c r="V197" s="366"/>
      <c r="W197" s="366"/>
      <c r="X197" s="366"/>
      <c r="Y197" s="366"/>
      <c r="Z197" s="366"/>
      <c r="AA197" s="366"/>
      <c r="AB197" s="366"/>
      <c r="AC197" s="366"/>
      <c r="AD197" s="366"/>
      <c r="AE197" s="366"/>
      <c r="AF197" s="366"/>
      <c r="AG197" s="366"/>
      <c r="AH197" s="366"/>
      <c r="AI197" s="366"/>
      <c r="AJ197" s="366"/>
      <c r="AK197" s="619"/>
      <c r="AL197" s="617"/>
    </row>
    <row r="198" spans="1:38" ht="15.75">
      <c r="A198" s="190"/>
      <c r="B198" s="324"/>
      <c r="C198" s="324"/>
      <c r="D198" s="366"/>
      <c r="E198" s="366"/>
      <c r="F198" s="639"/>
      <c r="G198" s="324"/>
      <c r="H198" s="324"/>
      <c r="I198" s="335"/>
      <c r="J198" s="366"/>
      <c r="K198" s="641"/>
      <c r="L198" s="641"/>
      <c r="M198" s="641"/>
      <c r="N198" s="641"/>
      <c r="O198" s="366"/>
      <c r="P198" s="366"/>
      <c r="Q198" s="366"/>
      <c r="R198" s="611"/>
      <c r="S198" s="614"/>
      <c r="T198" s="588"/>
      <c r="U198" s="188"/>
      <c r="V198" s="366"/>
      <c r="W198" s="366"/>
      <c r="X198" s="366"/>
      <c r="Y198" s="366"/>
      <c r="Z198" s="366"/>
      <c r="AA198" s="366"/>
      <c r="AB198" s="366"/>
      <c r="AC198" s="366"/>
      <c r="AD198" s="366"/>
      <c r="AE198" s="366"/>
      <c r="AF198" s="366"/>
      <c r="AG198" s="366"/>
      <c r="AH198" s="366"/>
      <c r="AI198" s="366"/>
      <c r="AJ198" s="366"/>
      <c r="AK198" s="619"/>
      <c r="AL198" s="617"/>
    </row>
    <row r="199" spans="1:38" ht="15.75">
      <c r="A199" s="190"/>
      <c r="B199" s="324"/>
      <c r="C199" s="324"/>
      <c r="D199" s="366"/>
      <c r="E199" s="366"/>
      <c r="F199" s="639"/>
      <c r="G199" s="324"/>
      <c r="H199" s="324"/>
      <c r="I199" s="335"/>
      <c r="J199" s="366"/>
      <c r="K199" s="641"/>
      <c r="L199" s="641"/>
      <c r="M199" s="641"/>
      <c r="N199" s="641"/>
      <c r="O199" s="366"/>
      <c r="P199" s="366"/>
      <c r="Q199" s="366"/>
      <c r="R199" s="611"/>
      <c r="S199" s="614"/>
      <c r="T199" s="588"/>
      <c r="U199" s="188"/>
      <c r="V199" s="366"/>
      <c r="W199" s="366"/>
      <c r="X199" s="366"/>
      <c r="Y199" s="366"/>
      <c r="Z199" s="366"/>
      <c r="AA199" s="366"/>
      <c r="AB199" s="366"/>
      <c r="AC199" s="366"/>
      <c r="AD199" s="366"/>
      <c r="AE199" s="366"/>
      <c r="AF199" s="366"/>
      <c r="AG199" s="366"/>
      <c r="AH199" s="366"/>
      <c r="AI199" s="366"/>
      <c r="AJ199" s="366"/>
      <c r="AK199" s="619"/>
      <c r="AL199" s="617"/>
    </row>
    <row r="200" spans="1:38" ht="15.75">
      <c r="A200" s="190"/>
      <c r="B200" s="324"/>
      <c r="C200" s="324"/>
      <c r="D200" s="366"/>
      <c r="E200" s="366"/>
      <c r="F200" s="639"/>
      <c r="G200" s="324"/>
      <c r="H200" s="324"/>
      <c r="I200" s="335"/>
      <c r="J200" s="366"/>
      <c r="K200" s="641"/>
      <c r="L200" s="641"/>
      <c r="M200" s="641"/>
      <c r="N200" s="641"/>
      <c r="O200" s="366"/>
      <c r="P200" s="366"/>
      <c r="Q200" s="366"/>
      <c r="R200" s="611"/>
      <c r="S200" s="614"/>
      <c r="T200" s="588"/>
      <c r="U200" s="188"/>
      <c r="V200" s="366"/>
      <c r="W200" s="366"/>
      <c r="X200" s="366"/>
      <c r="Y200" s="366"/>
      <c r="Z200" s="366"/>
      <c r="AA200" s="366"/>
      <c r="AB200" s="366"/>
      <c r="AC200" s="366"/>
      <c r="AD200" s="366"/>
      <c r="AE200" s="366"/>
      <c r="AF200" s="366"/>
      <c r="AG200" s="366"/>
      <c r="AH200" s="366"/>
      <c r="AI200" s="366"/>
      <c r="AJ200" s="366"/>
      <c r="AK200" s="619"/>
      <c r="AL200" s="617"/>
    </row>
    <row r="201" spans="1:38" ht="15.75">
      <c r="A201" s="190"/>
      <c r="B201" s="324"/>
      <c r="C201" s="324"/>
      <c r="D201" s="366"/>
      <c r="E201" s="366"/>
      <c r="F201" s="639"/>
      <c r="G201" s="324"/>
      <c r="H201" s="324"/>
      <c r="I201" s="335"/>
      <c r="J201" s="366"/>
      <c r="K201" s="641"/>
      <c r="L201" s="641"/>
      <c r="M201" s="641"/>
      <c r="N201" s="641"/>
      <c r="O201" s="366"/>
      <c r="P201" s="366"/>
      <c r="Q201" s="366"/>
      <c r="R201" s="611"/>
      <c r="S201" s="614"/>
      <c r="T201" s="588"/>
      <c r="U201" s="188"/>
      <c r="V201" s="366"/>
      <c r="W201" s="366"/>
      <c r="X201" s="366"/>
      <c r="Y201" s="366"/>
      <c r="Z201" s="366"/>
      <c r="AA201" s="366"/>
      <c r="AB201" s="366"/>
      <c r="AC201" s="366"/>
      <c r="AD201" s="366"/>
      <c r="AE201" s="366"/>
      <c r="AF201" s="366"/>
      <c r="AG201" s="366"/>
      <c r="AH201" s="366"/>
      <c r="AI201" s="366"/>
      <c r="AJ201" s="366"/>
      <c r="AK201" s="619"/>
      <c r="AL201" s="617"/>
    </row>
    <row r="202" spans="1:38" ht="15.75">
      <c r="A202" s="190"/>
      <c r="B202" s="324"/>
      <c r="C202" s="324"/>
      <c r="D202" s="366"/>
      <c r="E202" s="366"/>
      <c r="F202" s="639"/>
      <c r="G202" s="324"/>
      <c r="H202" s="324"/>
      <c r="I202" s="335"/>
      <c r="J202" s="366"/>
      <c r="K202" s="641"/>
      <c r="L202" s="641"/>
      <c r="M202" s="641"/>
      <c r="N202" s="641"/>
      <c r="O202" s="366"/>
      <c r="P202" s="366"/>
      <c r="Q202" s="366"/>
      <c r="R202" s="611"/>
      <c r="S202" s="614"/>
      <c r="T202" s="588"/>
      <c r="U202" s="188"/>
      <c r="V202" s="366"/>
      <c r="W202" s="366"/>
      <c r="X202" s="366"/>
      <c r="Y202" s="366"/>
      <c r="Z202" s="366"/>
      <c r="AA202" s="366"/>
      <c r="AB202" s="366"/>
      <c r="AC202" s="366"/>
      <c r="AD202" s="366"/>
      <c r="AE202" s="366"/>
      <c r="AF202" s="366"/>
      <c r="AG202" s="366"/>
      <c r="AH202" s="366"/>
      <c r="AI202" s="366"/>
      <c r="AJ202" s="366"/>
      <c r="AK202" s="619"/>
      <c r="AL202" s="617"/>
    </row>
    <row r="203" spans="1:38" ht="15.75">
      <c r="A203" s="190"/>
      <c r="B203" s="324"/>
      <c r="C203" s="324"/>
      <c r="D203" s="366"/>
      <c r="E203" s="366"/>
      <c r="F203" s="639"/>
      <c r="G203" s="324"/>
      <c r="H203" s="324"/>
      <c r="I203" s="335"/>
      <c r="J203" s="366"/>
      <c r="K203" s="641"/>
      <c r="L203" s="641"/>
      <c r="M203" s="641"/>
      <c r="N203" s="641"/>
      <c r="O203" s="366"/>
      <c r="P203" s="366"/>
      <c r="Q203" s="366"/>
      <c r="R203" s="611"/>
      <c r="S203" s="614"/>
      <c r="T203" s="588"/>
      <c r="U203" s="188"/>
      <c r="V203" s="366"/>
      <c r="W203" s="366"/>
      <c r="X203" s="366"/>
      <c r="Y203" s="366"/>
      <c r="Z203" s="366"/>
      <c r="AA203" s="366"/>
      <c r="AB203" s="366"/>
      <c r="AC203" s="366"/>
      <c r="AD203" s="366"/>
      <c r="AE203" s="366"/>
      <c r="AF203" s="366"/>
      <c r="AG203" s="366"/>
      <c r="AH203" s="366"/>
      <c r="AI203" s="366"/>
      <c r="AJ203" s="366"/>
      <c r="AK203" s="619"/>
      <c r="AL203" s="617"/>
    </row>
    <row r="204" spans="1:38" ht="15.75">
      <c r="A204" s="190"/>
      <c r="B204" s="324"/>
      <c r="C204" s="324"/>
      <c r="D204" s="366"/>
      <c r="E204" s="366"/>
      <c r="F204" s="639"/>
      <c r="G204" s="324"/>
      <c r="H204" s="324"/>
      <c r="I204" s="335"/>
      <c r="J204" s="366"/>
      <c r="K204" s="641"/>
      <c r="L204" s="641"/>
      <c r="M204" s="641"/>
      <c r="N204" s="641"/>
      <c r="O204" s="366"/>
      <c r="P204" s="366"/>
      <c r="Q204" s="366"/>
      <c r="R204" s="611"/>
      <c r="S204" s="614"/>
      <c r="T204" s="588"/>
      <c r="U204" s="188"/>
      <c r="V204" s="366"/>
      <c r="W204" s="366"/>
      <c r="X204" s="366"/>
      <c r="Y204" s="366"/>
      <c r="Z204" s="366"/>
      <c r="AA204" s="366"/>
      <c r="AB204" s="366"/>
      <c r="AC204" s="366"/>
      <c r="AD204" s="366"/>
      <c r="AE204" s="366"/>
      <c r="AF204" s="366"/>
      <c r="AG204" s="366"/>
      <c r="AH204" s="366"/>
      <c r="AI204" s="366"/>
      <c r="AJ204" s="366"/>
      <c r="AK204" s="619"/>
      <c r="AL204" s="617"/>
    </row>
    <row r="205" spans="1:38" ht="15.75">
      <c r="A205" s="190"/>
      <c r="B205" s="324"/>
      <c r="C205" s="324"/>
      <c r="D205" s="366"/>
      <c r="E205" s="366"/>
      <c r="F205" s="639"/>
      <c r="G205" s="324"/>
      <c r="H205" s="324"/>
      <c r="I205" s="335"/>
      <c r="J205" s="366"/>
      <c r="K205" s="641"/>
      <c r="L205" s="641"/>
      <c r="M205" s="641"/>
      <c r="N205" s="641"/>
      <c r="O205" s="366"/>
      <c r="P205" s="366"/>
      <c r="Q205" s="366"/>
      <c r="R205" s="611"/>
      <c r="S205" s="614"/>
      <c r="T205" s="588"/>
      <c r="U205" s="188"/>
      <c r="V205" s="366"/>
      <c r="W205" s="366"/>
      <c r="X205" s="366"/>
      <c r="Y205" s="366"/>
      <c r="Z205" s="366"/>
      <c r="AA205" s="366"/>
      <c r="AB205" s="366"/>
      <c r="AC205" s="366"/>
      <c r="AD205" s="366"/>
      <c r="AE205" s="366"/>
      <c r="AF205" s="366"/>
      <c r="AG205" s="366"/>
      <c r="AH205" s="366"/>
      <c r="AI205" s="366"/>
      <c r="AJ205" s="366"/>
      <c r="AK205" s="619"/>
      <c r="AL205" s="617"/>
    </row>
    <row r="206" spans="1:38" ht="15.75">
      <c r="A206" s="190"/>
      <c r="B206" s="324"/>
      <c r="C206" s="324"/>
      <c r="D206" s="366"/>
      <c r="E206" s="366"/>
      <c r="F206" s="639"/>
      <c r="G206" s="324"/>
      <c r="H206" s="324"/>
      <c r="I206" s="335"/>
      <c r="J206" s="366"/>
      <c r="K206" s="641"/>
      <c r="L206" s="641"/>
      <c r="M206" s="641"/>
      <c r="N206" s="641"/>
      <c r="O206" s="366"/>
      <c r="P206" s="366"/>
      <c r="Q206" s="366"/>
      <c r="R206" s="611"/>
      <c r="S206" s="614"/>
      <c r="T206" s="588"/>
      <c r="U206" s="188"/>
      <c r="V206" s="366"/>
      <c r="W206" s="366"/>
      <c r="X206" s="366"/>
      <c r="Y206" s="366"/>
      <c r="Z206" s="366"/>
      <c r="AA206" s="366"/>
      <c r="AB206" s="366"/>
      <c r="AC206" s="366"/>
      <c r="AD206" s="366"/>
      <c r="AE206" s="366"/>
      <c r="AF206" s="366"/>
      <c r="AG206" s="366"/>
      <c r="AH206" s="366"/>
      <c r="AI206" s="366"/>
      <c r="AJ206" s="366"/>
      <c r="AK206" s="619"/>
      <c r="AL206" s="617"/>
    </row>
    <row r="207" spans="1:38" ht="15.75">
      <c r="A207" s="190"/>
      <c r="B207" s="324"/>
      <c r="C207" s="324"/>
      <c r="D207" s="366"/>
      <c r="E207" s="366"/>
      <c r="F207" s="639"/>
      <c r="G207" s="324"/>
      <c r="H207" s="324"/>
      <c r="I207" s="335"/>
      <c r="J207" s="366"/>
      <c r="K207" s="641"/>
      <c r="L207" s="641"/>
      <c r="M207" s="641"/>
      <c r="N207" s="641"/>
      <c r="O207" s="366"/>
      <c r="P207" s="366"/>
      <c r="Q207" s="366"/>
      <c r="R207" s="611"/>
      <c r="S207" s="614"/>
      <c r="T207" s="588"/>
      <c r="U207" s="188"/>
      <c r="V207" s="366"/>
      <c r="W207" s="366"/>
      <c r="X207" s="366"/>
      <c r="Y207" s="366"/>
      <c r="Z207" s="366"/>
      <c r="AA207" s="366"/>
      <c r="AB207" s="366"/>
      <c r="AC207" s="366"/>
      <c r="AD207" s="366"/>
      <c r="AE207" s="366"/>
      <c r="AF207" s="366"/>
      <c r="AG207" s="366"/>
      <c r="AH207" s="366"/>
      <c r="AI207" s="366"/>
      <c r="AJ207" s="366"/>
      <c r="AK207" s="619"/>
      <c r="AL207" s="617"/>
    </row>
    <row r="208" spans="1:38" ht="15.75">
      <c r="A208" s="190"/>
      <c r="B208" s="324"/>
      <c r="C208" s="324"/>
      <c r="D208" s="366"/>
      <c r="E208" s="366"/>
      <c r="F208" s="639"/>
      <c r="G208" s="324"/>
      <c r="H208" s="324"/>
      <c r="I208" s="335"/>
      <c r="J208" s="366"/>
      <c r="K208" s="641"/>
      <c r="L208" s="641"/>
      <c r="M208" s="641"/>
      <c r="N208" s="641"/>
      <c r="O208" s="366"/>
      <c r="P208" s="366"/>
      <c r="Q208" s="366"/>
      <c r="R208" s="611"/>
      <c r="S208" s="614"/>
      <c r="T208" s="588"/>
      <c r="U208" s="188"/>
      <c r="V208" s="366"/>
      <c r="W208" s="366"/>
      <c r="X208" s="366"/>
      <c r="Y208" s="366"/>
      <c r="Z208" s="366"/>
      <c r="AA208" s="366"/>
      <c r="AB208" s="366"/>
      <c r="AC208" s="366"/>
      <c r="AD208" s="366"/>
      <c r="AE208" s="366"/>
      <c r="AF208" s="366"/>
      <c r="AG208" s="366"/>
      <c r="AH208" s="366"/>
      <c r="AI208" s="366"/>
      <c r="AJ208" s="366"/>
      <c r="AK208" s="619"/>
      <c r="AL208" s="617"/>
    </row>
    <row r="209" spans="1:38" ht="15.75">
      <c r="A209" s="190"/>
      <c r="B209" s="324"/>
      <c r="C209" s="324"/>
      <c r="D209" s="366"/>
      <c r="E209" s="366"/>
      <c r="F209" s="639"/>
      <c r="G209" s="324"/>
      <c r="H209" s="324"/>
      <c r="I209" s="335"/>
      <c r="J209" s="366"/>
      <c r="K209" s="641"/>
      <c r="L209" s="641"/>
      <c r="M209" s="641"/>
      <c r="N209" s="641"/>
      <c r="O209" s="366"/>
      <c r="P209" s="366"/>
      <c r="Q209" s="366"/>
      <c r="R209" s="611"/>
      <c r="S209" s="614"/>
      <c r="T209" s="588"/>
      <c r="U209" s="188"/>
      <c r="V209" s="366"/>
      <c r="W209" s="366"/>
      <c r="X209" s="366"/>
      <c r="Y209" s="366"/>
      <c r="Z209" s="366"/>
      <c r="AA209" s="366"/>
      <c r="AB209" s="366"/>
      <c r="AC209" s="366"/>
      <c r="AD209" s="366"/>
      <c r="AE209" s="366"/>
      <c r="AF209" s="366"/>
      <c r="AG209" s="366"/>
      <c r="AH209" s="366"/>
      <c r="AI209" s="366"/>
      <c r="AJ209" s="366"/>
      <c r="AK209" s="619"/>
      <c r="AL209" s="617"/>
    </row>
    <row r="210" spans="1:38" ht="15.75">
      <c r="A210" s="190"/>
      <c r="B210" s="324"/>
      <c r="C210" s="324"/>
      <c r="D210" s="366"/>
      <c r="E210" s="366"/>
      <c r="F210" s="639"/>
      <c r="G210" s="324"/>
      <c r="H210" s="324"/>
      <c r="I210" s="335"/>
      <c r="J210" s="366"/>
      <c r="K210" s="641"/>
      <c r="L210" s="641"/>
      <c r="M210" s="641"/>
      <c r="N210" s="641"/>
      <c r="O210" s="366"/>
      <c r="P210" s="366"/>
      <c r="Q210" s="366"/>
      <c r="R210" s="611"/>
      <c r="S210" s="614"/>
      <c r="T210" s="588"/>
      <c r="U210" s="188"/>
      <c r="V210" s="366"/>
      <c r="W210" s="366"/>
      <c r="X210" s="366"/>
      <c r="Y210" s="366"/>
      <c r="Z210" s="366"/>
      <c r="AA210" s="366"/>
      <c r="AB210" s="366"/>
      <c r="AC210" s="366"/>
      <c r="AD210" s="366"/>
      <c r="AE210" s="366"/>
      <c r="AF210" s="366"/>
      <c r="AG210" s="366"/>
      <c r="AH210" s="366"/>
      <c r="AI210" s="366"/>
      <c r="AJ210" s="366"/>
      <c r="AK210" s="619"/>
      <c r="AL210" s="617"/>
    </row>
    <row r="211" spans="1:38" ht="15.75">
      <c r="A211" s="190"/>
      <c r="B211" s="324"/>
      <c r="C211" s="324"/>
      <c r="D211" s="366"/>
      <c r="E211" s="366"/>
      <c r="F211" s="639"/>
      <c r="G211" s="324"/>
      <c r="H211" s="324"/>
      <c r="I211" s="335"/>
      <c r="J211" s="366"/>
      <c r="K211" s="641"/>
      <c r="L211" s="641"/>
      <c r="M211" s="641"/>
      <c r="N211" s="641"/>
      <c r="O211" s="366"/>
      <c r="P211" s="366"/>
      <c r="Q211" s="366"/>
      <c r="R211" s="611"/>
      <c r="S211" s="614"/>
      <c r="T211" s="588"/>
      <c r="U211" s="188"/>
      <c r="V211" s="366"/>
      <c r="W211" s="366"/>
      <c r="X211" s="366"/>
      <c r="Y211" s="366"/>
      <c r="Z211" s="366"/>
      <c r="AA211" s="366"/>
      <c r="AB211" s="366"/>
      <c r="AC211" s="366"/>
      <c r="AD211" s="366"/>
      <c r="AE211" s="366"/>
      <c r="AF211" s="366"/>
      <c r="AG211" s="366"/>
      <c r="AH211" s="366"/>
      <c r="AI211" s="366"/>
      <c r="AJ211" s="366"/>
      <c r="AK211" s="619"/>
      <c r="AL211" s="617"/>
    </row>
    <row r="212" spans="1:38" ht="15.75">
      <c r="A212" s="190"/>
      <c r="B212" s="324"/>
      <c r="C212" s="324"/>
      <c r="D212" s="366"/>
      <c r="E212" s="366"/>
      <c r="F212" s="639"/>
      <c r="G212" s="324"/>
      <c r="H212" s="324"/>
      <c r="I212" s="335"/>
      <c r="J212" s="366"/>
      <c r="K212" s="641"/>
      <c r="L212" s="641"/>
      <c r="M212" s="641"/>
      <c r="N212" s="641"/>
      <c r="O212" s="366"/>
      <c r="P212" s="366"/>
      <c r="Q212" s="366"/>
      <c r="R212" s="611"/>
      <c r="S212" s="614"/>
      <c r="T212" s="588"/>
      <c r="U212" s="188"/>
      <c r="V212" s="366"/>
      <c r="W212" s="366"/>
      <c r="X212" s="366"/>
      <c r="Y212" s="366"/>
      <c r="Z212" s="366"/>
      <c r="AA212" s="366"/>
      <c r="AB212" s="366"/>
      <c r="AC212" s="366"/>
      <c r="AD212" s="366"/>
      <c r="AE212" s="366"/>
      <c r="AF212" s="366"/>
      <c r="AG212" s="366"/>
      <c r="AH212" s="366"/>
      <c r="AI212" s="366"/>
      <c r="AJ212" s="366"/>
      <c r="AK212" s="619"/>
      <c r="AL212" s="617"/>
    </row>
    <row r="213" spans="1:38" ht="15.75">
      <c r="A213" s="190"/>
      <c r="B213" s="324"/>
      <c r="C213" s="324"/>
      <c r="D213" s="366"/>
      <c r="E213" s="366"/>
      <c r="F213" s="639"/>
      <c r="G213" s="324"/>
      <c r="H213" s="324"/>
      <c r="I213" s="335"/>
      <c r="J213" s="366"/>
      <c r="K213" s="641"/>
      <c r="L213" s="641"/>
      <c r="M213" s="641"/>
      <c r="N213" s="641"/>
      <c r="O213" s="366"/>
      <c r="P213" s="366"/>
      <c r="Q213" s="366"/>
      <c r="R213" s="611"/>
      <c r="S213" s="614"/>
      <c r="T213" s="588"/>
      <c r="U213" s="188"/>
      <c r="V213" s="366"/>
      <c r="W213" s="366"/>
      <c r="X213" s="366"/>
      <c r="Y213" s="366"/>
      <c r="Z213" s="366"/>
      <c r="AA213" s="366"/>
      <c r="AB213" s="366"/>
      <c r="AC213" s="366"/>
      <c r="AD213" s="366"/>
      <c r="AE213" s="366"/>
      <c r="AF213" s="366"/>
      <c r="AG213" s="366"/>
      <c r="AH213" s="366"/>
      <c r="AI213" s="366"/>
      <c r="AJ213" s="366"/>
      <c r="AK213" s="619"/>
      <c r="AL213" s="617"/>
    </row>
    <row r="214" spans="1:38" ht="15.75">
      <c r="A214" s="190"/>
      <c r="B214" s="324"/>
      <c r="C214" s="324"/>
      <c r="D214" s="366"/>
      <c r="E214" s="366"/>
      <c r="F214" s="639"/>
      <c r="G214" s="324"/>
      <c r="H214" s="324"/>
      <c r="I214" s="335"/>
      <c r="J214" s="366"/>
      <c r="K214" s="641"/>
      <c r="L214" s="641"/>
      <c r="M214" s="641"/>
      <c r="N214" s="641"/>
      <c r="O214" s="366"/>
      <c r="P214" s="366"/>
      <c r="Q214" s="366"/>
      <c r="R214" s="611"/>
      <c r="S214" s="614"/>
      <c r="T214" s="588"/>
      <c r="U214" s="188"/>
      <c r="V214" s="366"/>
      <c r="W214" s="366"/>
      <c r="X214" s="366"/>
      <c r="Y214" s="366"/>
      <c r="Z214" s="366"/>
      <c r="AA214" s="366"/>
      <c r="AB214" s="366"/>
      <c r="AC214" s="366"/>
      <c r="AD214" s="366"/>
      <c r="AE214" s="366"/>
      <c r="AF214" s="366"/>
      <c r="AG214" s="366"/>
      <c r="AH214" s="366"/>
      <c r="AI214" s="366"/>
      <c r="AJ214" s="366"/>
      <c r="AK214" s="619"/>
      <c r="AL214" s="617"/>
    </row>
    <row r="215" spans="1:38" ht="15.75">
      <c r="A215" s="190"/>
      <c r="B215" s="324"/>
      <c r="C215" s="324"/>
      <c r="D215" s="366"/>
      <c r="E215" s="366"/>
      <c r="F215" s="639"/>
      <c r="G215" s="324"/>
      <c r="H215" s="324"/>
      <c r="I215" s="335"/>
      <c r="J215" s="366"/>
      <c r="K215" s="641"/>
      <c r="L215" s="641"/>
      <c r="M215" s="641"/>
      <c r="N215" s="641"/>
      <c r="O215" s="366"/>
      <c r="P215" s="366"/>
      <c r="Q215" s="366"/>
      <c r="R215" s="611"/>
      <c r="S215" s="614"/>
      <c r="T215" s="588"/>
      <c r="U215" s="188"/>
      <c r="V215" s="366"/>
      <c r="W215" s="366"/>
      <c r="X215" s="366"/>
      <c r="Y215" s="366"/>
      <c r="Z215" s="366"/>
      <c r="AA215" s="366"/>
      <c r="AB215" s="366"/>
      <c r="AC215" s="366"/>
      <c r="AD215" s="366"/>
      <c r="AE215" s="366"/>
      <c r="AF215" s="366"/>
      <c r="AG215" s="366"/>
      <c r="AH215" s="366"/>
      <c r="AI215" s="366"/>
      <c r="AJ215" s="366"/>
      <c r="AK215" s="619"/>
      <c r="AL215" s="617"/>
    </row>
    <row r="216" spans="1:38" ht="15.75">
      <c r="A216" s="190"/>
      <c r="B216" s="324"/>
      <c r="C216" s="324"/>
      <c r="D216" s="366"/>
      <c r="E216" s="366"/>
      <c r="F216" s="639"/>
      <c r="G216" s="324"/>
      <c r="H216" s="324"/>
      <c r="I216" s="335"/>
      <c r="J216" s="366"/>
      <c r="K216" s="641"/>
      <c r="L216" s="641"/>
      <c r="M216" s="641"/>
      <c r="N216" s="641"/>
      <c r="O216" s="366"/>
      <c r="P216" s="366"/>
      <c r="Q216" s="366"/>
      <c r="R216" s="611"/>
      <c r="S216" s="614"/>
      <c r="T216" s="588"/>
      <c r="U216" s="188"/>
      <c r="V216" s="366"/>
      <c r="W216" s="366"/>
      <c r="X216" s="366"/>
      <c r="Y216" s="366"/>
      <c r="Z216" s="366"/>
      <c r="AA216" s="366"/>
      <c r="AB216" s="366"/>
      <c r="AC216" s="366"/>
      <c r="AD216" s="366"/>
      <c r="AE216" s="366"/>
      <c r="AF216" s="366"/>
      <c r="AG216" s="366"/>
      <c r="AH216" s="366"/>
      <c r="AI216" s="366"/>
      <c r="AJ216" s="366"/>
      <c r="AK216" s="619"/>
      <c r="AL216" s="617"/>
    </row>
    <row r="217" spans="1:38" ht="15.75">
      <c r="A217" s="190"/>
      <c r="B217" s="324"/>
      <c r="C217" s="324"/>
      <c r="D217" s="366"/>
      <c r="E217" s="366"/>
      <c r="F217" s="639"/>
      <c r="G217" s="324"/>
      <c r="H217" s="324"/>
      <c r="I217" s="335"/>
      <c r="J217" s="366"/>
      <c r="K217" s="641"/>
      <c r="L217" s="641"/>
      <c r="M217" s="641"/>
      <c r="N217" s="641"/>
      <c r="O217" s="366"/>
      <c r="P217" s="366"/>
      <c r="Q217" s="366"/>
      <c r="R217" s="611"/>
      <c r="S217" s="614"/>
      <c r="T217" s="588"/>
      <c r="U217" s="188"/>
      <c r="V217" s="366"/>
      <c r="W217" s="366"/>
      <c r="X217" s="366"/>
      <c r="Y217" s="366"/>
      <c r="Z217" s="366"/>
      <c r="AA217" s="366"/>
      <c r="AB217" s="366"/>
      <c r="AC217" s="366"/>
      <c r="AD217" s="366"/>
      <c r="AE217" s="366"/>
      <c r="AF217" s="366"/>
      <c r="AG217" s="366"/>
      <c r="AH217" s="366"/>
      <c r="AI217" s="366"/>
      <c r="AJ217" s="366"/>
      <c r="AK217" s="619"/>
      <c r="AL217" s="617"/>
    </row>
    <row r="218" spans="1:38" ht="15.75">
      <c r="A218" s="190"/>
      <c r="B218" s="324"/>
      <c r="C218" s="324"/>
      <c r="D218" s="366"/>
      <c r="E218" s="366"/>
      <c r="F218" s="639"/>
      <c r="G218" s="324"/>
      <c r="H218" s="324"/>
      <c r="I218" s="335"/>
      <c r="J218" s="366"/>
      <c r="K218" s="641"/>
      <c r="L218" s="641"/>
      <c r="M218" s="641"/>
      <c r="N218" s="641"/>
      <c r="O218" s="366"/>
      <c r="P218" s="366"/>
      <c r="Q218" s="366"/>
      <c r="R218" s="611"/>
      <c r="S218" s="614"/>
      <c r="T218" s="588"/>
      <c r="U218" s="188"/>
      <c r="V218" s="366"/>
      <c r="W218" s="366"/>
      <c r="X218" s="366"/>
      <c r="Y218" s="366"/>
      <c r="Z218" s="366"/>
      <c r="AA218" s="366"/>
      <c r="AB218" s="366"/>
      <c r="AC218" s="366"/>
      <c r="AD218" s="366"/>
      <c r="AE218" s="366"/>
      <c r="AF218" s="366"/>
      <c r="AG218" s="366"/>
      <c r="AH218" s="366"/>
      <c r="AI218" s="366"/>
      <c r="AJ218" s="366"/>
      <c r="AK218" s="619"/>
      <c r="AL218" s="617"/>
    </row>
    <row r="219" spans="1:38" ht="15.75">
      <c r="A219" s="190"/>
      <c r="B219" s="324"/>
      <c r="C219" s="324"/>
      <c r="D219" s="366"/>
      <c r="E219" s="366"/>
      <c r="F219" s="639"/>
      <c r="G219" s="324"/>
      <c r="H219" s="324"/>
      <c r="I219" s="335"/>
      <c r="J219" s="366"/>
      <c r="K219" s="641"/>
      <c r="L219" s="641"/>
      <c r="M219" s="641"/>
      <c r="N219" s="641"/>
      <c r="O219" s="366"/>
      <c r="P219" s="366"/>
      <c r="Q219" s="366"/>
      <c r="R219" s="611"/>
      <c r="S219" s="614"/>
      <c r="T219" s="588"/>
      <c r="U219" s="188"/>
      <c r="V219" s="366"/>
      <c r="W219" s="366"/>
      <c r="X219" s="366"/>
      <c r="Y219" s="366"/>
      <c r="Z219" s="366"/>
      <c r="AA219" s="366"/>
      <c r="AB219" s="366"/>
      <c r="AC219" s="366"/>
      <c r="AD219" s="366"/>
      <c r="AE219" s="366"/>
      <c r="AF219" s="366"/>
      <c r="AG219" s="366"/>
      <c r="AH219" s="366"/>
      <c r="AI219" s="366"/>
      <c r="AJ219" s="366"/>
      <c r="AK219" s="619"/>
      <c r="AL219" s="617"/>
    </row>
    <row r="220" spans="1:38" ht="15.75">
      <c r="A220" s="190"/>
      <c r="B220" s="324"/>
      <c r="C220" s="324"/>
      <c r="D220" s="366"/>
      <c r="E220" s="366"/>
      <c r="F220" s="639"/>
      <c r="G220" s="324"/>
      <c r="H220" s="324"/>
      <c r="I220" s="335"/>
      <c r="J220" s="366"/>
      <c r="K220" s="641"/>
      <c r="L220" s="641"/>
      <c r="M220" s="641"/>
      <c r="N220" s="641"/>
      <c r="O220" s="366"/>
      <c r="P220" s="366"/>
      <c r="Q220" s="366"/>
      <c r="R220" s="611"/>
      <c r="S220" s="614"/>
      <c r="T220" s="588"/>
      <c r="U220" s="188"/>
      <c r="V220" s="366"/>
      <c r="W220" s="366"/>
      <c r="X220" s="366"/>
      <c r="Y220" s="366"/>
      <c r="Z220" s="366"/>
      <c r="AA220" s="366"/>
      <c r="AB220" s="366"/>
      <c r="AC220" s="366"/>
      <c r="AD220" s="366"/>
      <c r="AE220" s="366"/>
      <c r="AF220" s="366"/>
      <c r="AG220" s="366"/>
      <c r="AH220" s="366"/>
      <c r="AI220" s="366"/>
      <c r="AJ220" s="366"/>
      <c r="AK220" s="619"/>
      <c r="AL220" s="617"/>
    </row>
    <row r="221" spans="1:38" ht="15.75">
      <c r="A221" s="190"/>
      <c r="B221" s="324"/>
      <c r="C221" s="324"/>
      <c r="D221" s="366"/>
      <c r="E221" s="366"/>
      <c r="F221" s="639"/>
      <c r="G221" s="324"/>
      <c r="H221" s="324"/>
      <c r="I221" s="335"/>
      <c r="J221" s="366"/>
      <c r="K221" s="641"/>
      <c r="L221" s="641"/>
      <c r="M221" s="641"/>
      <c r="N221" s="641"/>
      <c r="O221" s="366"/>
      <c r="P221" s="366"/>
      <c r="Q221" s="366"/>
      <c r="R221" s="611"/>
      <c r="S221" s="614"/>
      <c r="T221" s="588"/>
      <c r="U221" s="188"/>
      <c r="V221" s="366"/>
      <c r="W221" s="366"/>
      <c r="X221" s="366"/>
      <c r="Y221" s="366"/>
      <c r="Z221" s="366"/>
      <c r="AA221" s="366"/>
      <c r="AB221" s="366"/>
      <c r="AC221" s="366"/>
      <c r="AD221" s="366"/>
      <c r="AE221" s="366"/>
      <c r="AF221" s="366"/>
      <c r="AG221" s="366"/>
      <c r="AH221" s="366"/>
      <c r="AI221" s="366"/>
      <c r="AJ221" s="366"/>
      <c r="AK221" s="619"/>
      <c r="AL221" s="617"/>
    </row>
    <row r="222" spans="1:38" ht="15.75">
      <c r="A222" s="190"/>
      <c r="B222" s="324"/>
      <c r="C222" s="324"/>
      <c r="D222" s="366"/>
      <c r="E222" s="366"/>
      <c r="F222" s="639"/>
      <c r="G222" s="324"/>
      <c r="H222" s="324"/>
      <c r="I222" s="335"/>
      <c r="J222" s="366"/>
      <c r="K222" s="641"/>
      <c r="L222" s="641"/>
      <c r="M222" s="641"/>
      <c r="N222" s="641"/>
      <c r="O222" s="366"/>
      <c r="P222" s="366"/>
      <c r="Q222" s="366"/>
      <c r="R222" s="611"/>
      <c r="S222" s="614"/>
      <c r="T222" s="588"/>
      <c r="U222" s="188"/>
      <c r="V222" s="366"/>
      <c r="W222" s="366"/>
      <c r="X222" s="366"/>
      <c r="Y222" s="366"/>
      <c r="Z222" s="366"/>
      <c r="AA222" s="366"/>
      <c r="AB222" s="366"/>
      <c r="AC222" s="366"/>
      <c r="AD222" s="366"/>
      <c r="AE222" s="366"/>
      <c r="AF222" s="366"/>
      <c r="AG222" s="366"/>
      <c r="AH222" s="366"/>
      <c r="AI222" s="366"/>
      <c r="AJ222" s="366"/>
      <c r="AK222" s="619"/>
      <c r="AL222" s="617"/>
    </row>
    <row r="223" spans="1:38" ht="15.75">
      <c r="A223" s="190"/>
      <c r="B223" s="324"/>
      <c r="C223" s="324"/>
      <c r="D223" s="366"/>
      <c r="E223" s="366"/>
      <c r="F223" s="639"/>
      <c r="G223" s="324"/>
      <c r="H223" s="324"/>
      <c r="I223" s="335"/>
      <c r="J223" s="366"/>
      <c r="K223" s="641"/>
      <c r="L223" s="641"/>
      <c r="M223" s="641"/>
      <c r="N223" s="641"/>
      <c r="O223" s="366"/>
      <c r="P223" s="366"/>
      <c r="Q223" s="366"/>
      <c r="R223" s="611"/>
      <c r="S223" s="614"/>
      <c r="T223" s="588"/>
      <c r="U223" s="188"/>
      <c r="V223" s="366"/>
      <c r="W223" s="366"/>
      <c r="X223" s="366"/>
      <c r="Y223" s="366"/>
      <c r="Z223" s="366"/>
      <c r="AA223" s="366"/>
      <c r="AB223" s="366"/>
      <c r="AC223" s="366"/>
      <c r="AD223" s="366"/>
      <c r="AE223" s="366"/>
      <c r="AF223" s="366"/>
      <c r="AG223" s="366"/>
      <c r="AH223" s="366"/>
      <c r="AI223" s="366"/>
      <c r="AJ223" s="366"/>
      <c r="AK223" s="619"/>
      <c r="AL223" s="617"/>
    </row>
    <row r="224" spans="1:38" ht="15.75">
      <c r="A224" s="190"/>
      <c r="B224" s="324"/>
      <c r="C224" s="324"/>
      <c r="D224" s="366"/>
      <c r="E224" s="366"/>
      <c r="F224" s="639"/>
      <c r="G224" s="324"/>
      <c r="H224" s="324"/>
      <c r="I224" s="335"/>
      <c r="J224" s="366"/>
      <c r="K224" s="641"/>
      <c r="L224" s="641"/>
      <c r="M224" s="641"/>
      <c r="N224" s="641"/>
      <c r="O224" s="366"/>
      <c r="P224" s="366"/>
      <c r="Q224" s="366"/>
      <c r="R224" s="611"/>
      <c r="S224" s="614"/>
      <c r="T224" s="588"/>
      <c r="U224" s="188"/>
      <c r="V224" s="366"/>
      <c r="W224" s="366"/>
      <c r="X224" s="366"/>
      <c r="Y224" s="366"/>
      <c r="Z224" s="366"/>
      <c r="AA224" s="366"/>
      <c r="AB224" s="366"/>
      <c r="AC224" s="366"/>
      <c r="AD224" s="366"/>
      <c r="AE224" s="366"/>
      <c r="AF224" s="366"/>
      <c r="AG224" s="366"/>
      <c r="AH224" s="366"/>
      <c r="AI224" s="366"/>
      <c r="AJ224" s="366"/>
      <c r="AK224" s="619"/>
      <c r="AL224" s="617"/>
    </row>
    <row r="225" spans="1:38" ht="15.75">
      <c r="A225" s="190"/>
      <c r="B225" s="324"/>
      <c r="C225" s="324"/>
      <c r="D225" s="366"/>
      <c r="E225" s="366"/>
      <c r="F225" s="639"/>
      <c r="G225" s="324"/>
      <c r="H225" s="324"/>
      <c r="I225" s="335"/>
      <c r="J225" s="366"/>
      <c r="K225" s="641"/>
      <c r="L225" s="641"/>
      <c r="M225" s="641"/>
      <c r="N225" s="641"/>
      <c r="O225" s="366"/>
      <c r="P225" s="366"/>
      <c r="Q225" s="366"/>
      <c r="R225" s="611"/>
      <c r="S225" s="614"/>
      <c r="T225" s="588"/>
      <c r="U225" s="188"/>
      <c r="V225" s="366"/>
      <c r="W225" s="366"/>
      <c r="X225" s="366"/>
      <c r="Y225" s="366"/>
      <c r="Z225" s="366"/>
      <c r="AA225" s="366"/>
      <c r="AB225" s="366"/>
      <c r="AC225" s="366"/>
      <c r="AD225" s="366"/>
      <c r="AE225" s="366"/>
      <c r="AF225" s="366"/>
      <c r="AG225" s="366"/>
      <c r="AH225" s="366"/>
      <c r="AI225" s="366"/>
      <c r="AJ225" s="366"/>
      <c r="AK225" s="619"/>
      <c r="AL225" s="617"/>
    </row>
    <row r="226" spans="1:38" ht="15.75">
      <c r="A226" s="190"/>
      <c r="B226" s="324"/>
      <c r="C226" s="324"/>
      <c r="D226" s="366"/>
      <c r="E226" s="366"/>
      <c r="F226" s="639"/>
      <c r="G226" s="324"/>
      <c r="H226" s="324"/>
      <c r="I226" s="335"/>
      <c r="J226" s="366"/>
      <c r="K226" s="641"/>
      <c r="L226" s="641"/>
      <c r="M226" s="641"/>
      <c r="N226" s="641"/>
      <c r="O226" s="366"/>
      <c r="P226" s="366"/>
      <c r="Q226" s="366"/>
      <c r="R226" s="611"/>
      <c r="S226" s="614"/>
      <c r="T226" s="588"/>
      <c r="U226" s="188"/>
      <c r="V226" s="366"/>
      <c r="W226" s="366"/>
      <c r="X226" s="366"/>
      <c r="Y226" s="366"/>
      <c r="Z226" s="366"/>
      <c r="AA226" s="366"/>
      <c r="AB226" s="366"/>
      <c r="AC226" s="366"/>
      <c r="AD226" s="366"/>
      <c r="AE226" s="366"/>
      <c r="AF226" s="366"/>
      <c r="AG226" s="366"/>
      <c r="AH226" s="366"/>
      <c r="AI226" s="366"/>
      <c r="AJ226" s="366"/>
      <c r="AK226" s="619"/>
      <c r="AL226" s="617"/>
    </row>
    <row r="227" spans="1:38" ht="15.75">
      <c r="A227" s="190"/>
      <c r="B227" s="324"/>
      <c r="C227" s="324"/>
      <c r="D227" s="366"/>
      <c r="E227" s="366"/>
      <c r="F227" s="639"/>
      <c r="G227" s="324"/>
      <c r="H227" s="324"/>
      <c r="I227" s="335"/>
      <c r="J227" s="366"/>
      <c r="K227" s="641"/>
      <c r="L227" s="641"/>
      <c r="M227" s="641"/>
      <c r="N227" s="641"/>
      <c r="O227" s="366"/>
      <c r="P227" s="366"/>
      <c r="Q227" s="366"/>
      <c r="R227" s="611"/>
      <c r="S227" s="614"/>
      <c r="T227" s="588"/>
      <c r="U227" s="188"/>
      <c r="V227" s="366"/>
      <c r="W227" s="366"/>
      <c r="X227" s="366"/>
      <c r="Y227" s="366"/>
      <c r="Z227" s="366"/>
      <c r="AA227" s="366"/>
      <c r="AB227" s="366"/>
      <c r="AC227" s="366"/>
      <c r="AD227" s="366"/>
      <c r="AE227" s="366"/>
      <c r="AF227" s="366"/>
      <c r="AG227" s="366"/>
      <c r="AH227" s="366"/>
      <c r="AI227" s="366"/>
      <c r="AJ227" s="366"/>
      <c r="AK227" s="619"/>
      <c r="AL227" s="617"/>
    </row>
    <row r="228" spans="1:38" ht="15.75">
      <c r="A228" s="190"/>
      <c r="B228" s="324"/>
      <c r="C228" s="324"/>
      <c r="D228" s="366"/>
      <c r="E228" s="366"/>
      <c r="F228" s="639"/>
      <c r="G228" s="324"/>
      <c r="H228" s="324"/>
      <c r="I228" s="335"/>
      <c r="J228" s="366"/>
      <c r="K228" s="641"/>
      <c r="L228" s="641"/>
      <c r="M228" s="641"/>
      <c r="N228" s="641"/>
      <c r="O228" s="366"/>
      <c r="P228" s="366"/>
      <c r="Q228" s="366"/>
      <c r="R228" s="611"/>
      <c r="S228" s="614"/>
      <c r="T228" s="588"/>
      <c r="U228" s="188"/>
      <c r="V228" s="366"/>
      <c r="W228" s="366"/>
      <c r="X228" s="366"/>
      <c r="Y228" s="366"/>
      <c r="Z228" s="366"/>
      <c r="AA228" s="366"/>
      <c r="AB228" s="366"/>
      <c r="AC228" s="366"/>
      <c r="AD228" s="366"/>
      <c r="AE228" s="366"/>
      <c r="AF228" s="366"/>
      <c r="AG228" s="366"/>
      <c r="AH228" s="366"/>
      <c r="AI228" s="366"/>
      <c r="AJ228" s="366"/>
      <c r="AK228" s="619"/>
      <c r="AL228" s="617"/>
    </row>
    <row r="229" spans="1:38" ht="15.75">
      <c r="A229" s="190"/>
      <c r="B229" s="324"/>
      <c r="C229" s="324"/>
      <c r="D229" s="366"/>
      <c r="E229" s="366"/>
      <c r="F229" s="639"/>
      <c r="G229" s="324"/>
      <c r="H229" s="324"/>
      <c r="I229" s="335"/>
      <c r="J229" s="366"/>
      <c r="K229" s="641"/>
      <c r="L229" s="641"/>
      <c r="M229" s="641"/>
      <c r="N229" s="641"/>
      <c r="O229" s="366"/>
      <c r="P229" s="366"/>
      <c r="Q229" s="366"/>
      <c r="R229" s="611"/>
      <c r="S229" s="614"/>
      <c r="T229" s="588"/>
      <c r="U229" s="188"/>
      <c r="V229" s="366"/>
      <c r="W229" s="366"/>
      <c r="X229" s="366"/>
      <c r="Y229" s="366"/>
      <c r="Z229" s="366"/>
      <c r="AA229" s="366"/>
      <c r="AB229" s="366"/>
      <c r="AC229" s="366"/>
      <c r="AD229" s="366"/>
      <c r="AE229" s="366"/>
      <c r="AF229" s="366"/>
      <c r="AG229" s="366"/>
      <c r="AH229" s="366"/>
      <c r="AI229" s="366"/>
      <c r="AJ229" s="366"/>
      <c r="AK229" s="619"/>
      <c r="AL229" s="617"/>
    </row>
    <row r="230" spans="1:38" ht="15.75">
      <c r="A230" s="190"/>
      <c r="B230" s="324"/>
      <c r="C230" s="324"/>
      <c r="D230" s="366"/>
      <c r="E230" s="366"/>
      <c r="F230" s="639"/>
      <c r="G230" s="324"/>
      <c r="H230" s="324"/>
      <c r="I230" s="335"/>
      <c r="J230" s="366"/>
      <c r="K230" s="641"/>
      <c r="L230" s="641"/>
      <c r="M230" s="641"/>
      <c r="N230" s="641"/>
      <c r="O230" s="366"/>
      <c r="P230" s="366"/>
      <c r="Q230" s="366"/>
      <c r="R230" s="611"/>
      <c r="S230" s="614"/>
      <c r="T230" s="588"/>
      <c r="U230" s="188"/>
      <c r="V230" s="366"/>
      <c r="W230" s="366"/>
      <c r="X230" s="366"/>
      <c r="Y230" s="366"/>
      <c r="Z230" s="366"/>
      <c r="AA230" s="366"/>
      <c r="AB230" s="366"/>
      <c r="AC230" s="366"/>
      <c r="AD230" s="366"/>
      <c r="AE230" s="366"/>
      <c r="AF230" s="366"/>
      <c r="AG230" s="366"/>
      <c r="AH230" s="366"/>
      <c r="AI230" s="366"/>
      <c r="AJ230" s="366"/>
      <c r="AK230" s="619"/>
      <c r="AL230" s="617"/>
    </row>
    <row r="231" spans="1:38" ht="15.75">
      <c r="A231" s="190"/>
      <c r="B231" s="324"/>
      <c r="C231" s="324"/>
      <c r="D231" s="366"/>
      <c r="E231" s="366"/>
      <c r="F231" s="639"/>
      <c r="G231" s="324"/>
      <c r="H231" s="324"/>
      <c r="I231" s="335"/>
      <c r="J231" s="366"/>
      <c r="K231" s="641"/>
      <c r="L231" s="641"/>
      <c r="M231" s="641"/>
      <c r="N231" s="641"/>
      <c r="O231" s="366"/>
      <c r="P231" s="366"/>
      <c r="Q231" s="366"/>
      <c r="R231" s="611"/>
      <c r="S231" s="614"/>
      <c r="T231" s="588"/>
      <c r="U231" s="188"/>
      <c r="V231" s="366"/>
      <c r="W231" s="366"/>
      <c r="X231" s="366"/>
      <c r="Y231" s="366"/>
      <c r="Z231" s="366"/>
      <c r="AA231" s="366"/>
      <c r="AB231" s="366"/>
      <c r="AC231" s="366"/>
      <c r="AD231" s="366"/>
      <c r="AE231" s="366"/>
      <c r="AF231" s="366"/>
      <c r="AG231" s="366"/>
      <c r="AH231" s="366"/>
      <c r="AI231" s="366"/>
      <c r="AJ231" s="366"/>
      <c r="AK231" s="619"/>
      <c r="AL231" s="617"/>
    </row>
    <row r="232" spans="1:38" ht="15.75">
      <c r="A232" s="190"/>
      <c r="B232" s="324"/>
      <c r="C232" s="324"/>
      <c r="D232" s="366"/>
      <c r="E232" s="366"/>
      <c r="F232" s="639"/>
      <c r="G232" s="324"/>
      <c r="H232" s="324"/>
      <c r="I232" s="335"/>
      <c r="J232" s="366"/>
      <c r="K232" s="641"/>
      <c r="L232" s="641"/>
      <c r="M232" s="641"/>
      <c r="N232" s="641"/>
      <c r="O232" s="366"/>
      <c r="P232" s="366"/>
      <c r="Q232" s="366"/>
      <c r="R232" s="611"/>
      <c r="S232" s="614"/>
      <c r="T232" s="588"/>
      <c r="U232" s="188"/>
      <c r="V232" s="366"/>
      <c r="W232" s="366"/>
      <c r="X232" s="366"/>
      <c r="Y232" s="366"/>
      <c r="Z232" s="366"/>
      <c r="AA232" s="366"/>
      <c r="AB232" s="366"/>
      <c r="AC232" s="366"/>
      <c r="AD232" s="366"/>
      <c r="AE232" s="366"/>
      <c r="AF232" s="366"/>
      <c r="AG232" s="366"/>
      <c r="AH232" s="366"/>
      <c r="AI232" s="366"/>
      <c r="AJ232" s="366"/>
      <c r="AK232" s="619"/>
      <c r="AL232" s="617"/>
    </row>
    <row r="233" spans="1:38" ht="15.75">
      <c r="A233" s="190"/>
      <c r="B233" s="324"/>
      <c r="C233" s="324"/>
      <c r="D233" s="366"/>
      <c r="E233" s="366"/>
      <c r="F233" s="639"/>
      <c r="G233" s="324"/>
      <c r="H233" s="324"/>
      <c r="I233" s="335"/>
      <c r="J233" s="366"/>
      <c r="K233" s="641"/>
      <c r="L233" s="641"/>
      <c r="M233" s="641"/>
      <c r="N233" s="641"/>
      <c r="O233" s="366"/>
      <c r="P233" s="366"/>
      <c r="Q233" s="366"/>
      <c r="R233" s="611"/>
      <c r="S233" s="614"/>
      <c r="T233" s="588"/>
      <c r="U233" s="188"/>
      <c r="V233" s="366"/>
      <c r="W233" s="366"/>
      <c r="X233" s="366"/>
      <c r="Y233" s="366"/>
      <c r="Z233" s="366"/>
      <c r="AA233" s="366"/>
      <c r="AB233" s="366"/>
      <c r="AC233" s="366"/>
      <c r="AD233" s="366"/>
      <c r="AE233" s="366"/>
      <c r="AF233" s="366"/>
      <c r="AG233" s="366"/>
      <c r="AH233" s="366"/>
      <c r="AI233" s="366"/>
      <c r="AJ233" s="366"/>
      <c r="AK233" s="619"/>
      <c r="AL233" s="617"/>
    </row>
    <row r="234" spans="1:38" ht="15.75">
      <c r="A234" s="190"/>
      <c r="B234" s="324"/>
      <c r="C234" s="324"/>
      <c r="D234" s="366"/>
      <c r="E234" s="366"/>
      <c r="F234" s="639"/>
      <c r="G234" s="324"/>
      <c r="H234" s="324"/>
      <c r="I234" s="335"/>
      <c r="J234" s="366"/>
      <c r="K234" s="641"/>
      <c r="L234" s="641"/>
      <c r="M234" s="641"/>
      <c r="N234" s="641"/>
      <c r="O234" s="366"/>
      <c r="P234" s="366"/>
      <c r="Q234" s="366"/>
      <c r="R234" s="611"/>
      <c r="S234" s="614"/>
      <c r="T234" s="588"/>
      <c r="U234" s="188"/>
      <c r="V234" s="366"/>
      <c r="W234" s="366"/>
      <c r="X234" s="366"/>
      <c r="Y234" s="366"/>
      <c r="Z234" s="366"/>
      <c r="AA234" s="366"/>
      <c r="AB234" s="366"/>
      <c r="AC234" s="366"/>
      <c r="AD234" s="366"/>
      <c r="AE234" s="366"/>
      <c r="AF234" s="366"/>
      <c r="AG234" s="366"/>
      <c r="AH234" s="366"/>
      <c r="AI234" s="366"/>
      <c r="AJ234" s="366"/>
      <c r="AK234" s="619"/>
      <c r="AL234" s="617"/>
    </row>
    <row r="235" spans="1:38" ht="15.75">
      <c r="A235" s="190"/>
      <c r="B235" s="324"/>
      <c r="C235" s="324"/>
      <c r="D235" s="366"/>
      <c r="E235" s="366"/>
      <c r="F235" s="639"/>
      <c r="G235" s="324"/>
      <c r="H235" s="324"/>
      <c r="I235" s="335"/>
      <c r="J235" s="366"/>
      <c r="K235" s="641"/>
      <c r="L235" s="641"/>
      <c r="M235" s="641"/>
      <c r="N235" s="641"/>
      <c r="O235" s="366"/>
      <c r="P235" s="366"/>
      <c r="Q235" s="366"/>
      <c r="R235" s="611"/>
      <c r="S235" s="614"/>
      <c r="T235" s="588"/>
      <c r="U235" s="188"/>
      <c r="V235" s="366"/>
      <c r="W235" s="366"/>
      <c r="X235" s="366"/>
      <c r="Y235" s="366"/>
      <c r="Z235" s="366"/>
      <c r="AA235" s="366"/>
      <c r="AB235" s="366"/>
      <c r="AC235" s="366"/>
      <c r="AD235" s="366"/>
      <c r="AE235" s="366"/>
      <c r="AF235" s="366"/>
      <c r="AG235" s="366"/>
      <c r="AH235" s="366"/>
      <c r="AI235" s="366"/>
      <c r="AJ235" s="366"/>
      <c r="AK235" s="619"/>
      <c r="AL235" s="617"/>
    </row>
    <row r="236" spans="1:38" ht="15.75">
      <c r="A236" s="190"/>
      <c r="B236" s="324"/>
      <c r="C236" s="324"/>
      <c r="D236" s="366"/>
      <c r="E236" s="366"/>
      <c r="F236" s="639"/>
      <c r="G236" s="324"/>
      <c r="H236" s="324"/>
      <c r="I236" s="335"/>
      <c r="J236" s="366"/>
      <c r="K236" s="641"/>
      <c r="L236" s="641"/>
      <c r="M236" s="641"/>
      <c r="N236" s="641"/>
      <c r="O236" s="366"/>
      <c r="P236" s="366"/>
      <c r="Q236" s="366"/>
      <c r="R236" s="611"/>
      <c r="S236" s="614"/>
      <c r="T236" s="588"/>
      <c r="U236" s="188"/>
      <c r="V236" s="366"/>
      <c r="W236" s="366"/>
      <c r="X236" s="366"/>
      <c r="Y236" s="366"/>
      <c r="Z236" s="366"/>
      <c r="AA236" s="366"/>
      <c r="AB236" s="366"/>
      <c r="AC236" s="366"/>
      <c r="AD236" s="366"/>
      <c r="AE236" s="366"/>
      <c r="AF236" s="366"/>
      <c r="AG236" s="366"/>
      <c r="AH236" s="366"/>
      <c r="AI236" s="366"/>
      <c r="AJ236" s="366"/>
      <c r="AK236" s="619"/>
      <c r="AL236" s="617"/>
    </row>
    <row r="237" spans="1:38" ht="15.75">
      <c r="A237" s="190"/>
      <c r="B237" s="324"/>
      <c r="C237" s="324"/>
      <c r="D237" s="366"/>
      <c r="E237" s="366"/>
      <c r="F237" s="639"/>
      <c r="G237" s="324"/>
      <c r="H237" s="324"/>
      <c r="I237" s="335"/>
      <c r="J237" s="366"/>
      <c r="K237" s="641"/>
      <c r="L237" s="641"/>
      <c r="M237" s="641"/>
      <c r="N237" s="641"/>
      <c r="O237" s="366"/>
      <c r="P237" s="366"/>
      <c r="Q237" s="366"/>
      <c r="R237" s="611"/>
      <c r="S237" s="614"/>
      <c r="T237" s="588"/>
      <c r="U237" s="188"/>
      <c r="V237" s="366"/>
      <c r="W237" s="366"/>
      <c r="X237" s="366"/>
      <c r="Y237" s="366"/>
      <c r="Z237" s="366"/>
      <c r="AA237" s="366"/>
      <c r="AB237" s="366"/>
      <c r="AC237" s="366"/>
      <c r="AD237" s="366"/>
      <c r="AE237" s="366"/>
      <c r="AF237" s="366"/>
      <c r="AG237" s="366"/>
      <c r="AH237" s="366"/>
      <c r="AI237" s="366"/>
      <c r="AJ237" s="366"/>
      <c r="AK237" s="619"/>
      <c r="AL237" s="617"/>
    </row>
    <row r="238" spans="1:38" ht="15.75">
      <c r="A238" s="190"/>
      <c r="B238" s="324"/>
      <c r="C238" s="324"/>
      <c r="D238" s="366"/>
      <c r="E238" s="366"/>
      <c r="F238" s="639"/>
      <c r="G238" s="324"/>
      <c r="H238" s="324"/>
      <c r="I238" s="335"/>
      <c r="J238" s="366"/>
      <c r="K238" s="641"/>
      <c r="L238" s="641"/>
      <c r="M238" s="641"/>
      <c r="N238" s="641"/>
      <c r="O238" s="366"/>
      <c r="P238" s="366"/>
      <c r="Q238" s="366"/>
      <c r="R238" s="611"/>
      <c r="S238" s="614"/>
      <c r="T238" s="588"/>
      <c r="U238" s="188"/>
      <c r="V238" s="366"/>
      <c r="W238" s="366"/>
      <c r="X238" s="366"/>
      <c r="Y238" s="366"/>
      <c r="Z238" s="366"/>
      <c r="AA238" s="366"/>
      <c r="AB238" s="366"/>
      <c r="AC238" s="366"/>
      <c r="AD238" s="366"/>
      <c r="AE238" s="366"/>
      <c r="AF238" s="366"/>
      <c r="AG238" s="366"/>
      <c r="AH238" s="366"/>
      <c r="AI238" s="366"/>
      <c r="AJ238" s="366"/>
      <c r="AK238" s="619"/>
      <c r="AL238" s="617"/>
    </row>
    <row r="239" spans="1:38" ht="15.75">
      <c r="A239" s="190"/>
      <c r="B239" s="324"/>
      <c r="C239" s="324"/>
      <c r="D239" s="366"/>
      <c r="E239" s="366"/>
      <c r="F239" s="639"/>
      <c r="G239" s="324"/>
      <c r="H239" s="324"/>
      <c r="I239" s="335"/>
      <c r="J239" s="366"/>
      <c r="K239" s="641"/>
      <c r="L239" s="641"/>
      <c r="M239" s="641"/>
      <c r="N239" s="641"/>
      <c r="O239" s="366"/>
      <c r="P239" s="366"/>
      <c r="Q239" s="366"/>
      <c r="R239" s="611"/>
      <c r="S239" s="614"/>
      <c r="T239" s="588"/>
      <c r="U239" s="188"/>
      <c r="V239" s="366"/>
      <c r="W239" s="366"/>
      <c r="X239" s="366"/>
      <c r="Y239" s="366"/>
      <c r="Z239" s="366"/>
      <c r="AA239" s="366"/>
      <c r="AB239" s="366"/>
      <c r="AC239" s="366"/>
      <c r="AD239" s="366"/>
      <c r="AE239" s="366"/>
      <c r="AF239" s="366"/>
      <c r="AG239" s="366"/>
      <c r="AH239" s="366"/>
      <c r="AI239" s="366"/>
      <c r="AJ239" s="366"/>
      <c r="AK239" s="619"/>
      <c r="AL239" s="617"/>
    </row>
    <row r="240" spans="1:38" ht="15.75">
      <c r="A240" s="190"/>
      <c r="B240" s="324"/>
      <c r="C240" s="324"/>
      <c r="D240" s="366"/>
      <c r="E240" s="366"/>
      <c r="F240" s="639"/>
      <c r="G240" s="324"/>
      <c r="H240" s="324"/>
      <c r="I240" s="335"/>
      <c r="J240" s="366"/>
      <c r="K240" s="641"/>
      <c r="L240" s="641"/>
      <c r="M240" s="641"/>
      <c r="N240" s="641"/>
      <c r="O240" s="366"/>
      <c r="P240" s="366"/>
      <c r="Q240" s="366"/>
      <c r="R240" s="611"/>
      <c r="S240" s="614"/>
      <c r="T240" s="588"/>
      <c r="U240" s="188"/>
      <c r="V240" s="366"/>
      <c r="W240" s="366"/>
      <c r="X240" s="366"/>
      <c r="Y240" s="366"/>
      <c r="Z240" s="366"/>
      <c r="AA240" s="366"/>
      <c r="AB240" s="366"/>
      <c r="AC240" s="366"/>
      <c r="AD240" s="366"/>
      <c r="AE240" s="366"/>
      <c r="AF240" s="366"/>
      <c r="AG240" s="366"/>
      <c r="AH240" s="366"/>
      <c r="AI240" s="366"/>
      <c r="AJ240" s="366"/>
      <c r="AK240" s="619"/>
      <c r="AL240" s="617"/>
    </row>
    <row r="241" spans="1:38" ht="15.75">
      <c r="A241" s="190"/>
      <c r="B241" s="324"/>
      <c r="C241" s="324"/>
      <c r="D241" s="366"/>
      <c r="E241" s="366"/>
      <c r="F241" s="639"/>
      <c r="G241" s="324"/>
      <c r="H241" s="324"/>
      <c r="I241" s="335"/>
      <c r="J241" s="366"/>
      <c r="K241" s="641"/>
      <c r="L241" s="641"/>
      <c r="M241" s="641"/>
      <c r="N241" s="641"/>
      <c r="O241" s="366"/>
      <c r="P241" s="366"/>
      <c r="Q241" s="366"/>
      <c r="R241" s="611"/>
      <c r="S241" s="614"/>
      <c r="T241" s="588"/>
      <c r="U241" s="188"/>
      <c r="V241" s="366"/>
      <c r="W241" s="366"/>
      <c r="X241" s="366"/>
      <c r="Y241" s="366"/>
      <c r="Z241" s="366"/>
      <c r="AA241" s="366"/>
      <c r="AB241" s="366"/>
      <c r="AC241" s="366"/>
      <c r="AD241" s="366"/>
      <c r="AE241" s="366"/>
      <c r="AF241" s="366"/>
      <c r="AG241" s="366"/>
      <c r="AH241" s="366"/>
      <c r="AI241" s="366"/>
      <c r="AJ241" s="366"/>
      <c r="AK241" s="619"/>
      <c r="AL241" s="617"/>
    </row>
    <row r="242" spans="1:38" ht="15.75">
      <c r="A242" s="190"/>
      <c r="B242" s="324"/>
      <c r="C242" s="324"/>
      <c r="D242" s="366"/>
      <c r="E242" s="366"/>
      <c r="F242" s="639"/>
      <c r="G242" s="324"/>
      <c r="H242" s="324"/>
      <c r="I242" s="335"/>
      <c r="J242" s="366"/>
      <c r="K242" s="641"/>
      <c r="L242" s="641"/>
      <c r="M242" s="641"/>
      <c r="N242" s="641"/>
      <c r="O242" s="366"/>
      <c r="P242" s="366"/>
      <c r="Q242" s="366"/>
      <c r="R242" s="611"/>
      <c r="S242" s="614"/>
      <c r="T242" s="588"/>
      <c r="U242" s="188"/>
      <c r="V242" s="366"/>
      <c r="W242" s="366"/>
      <c r="X242" s="366"/>
      <c r="Y242" s="366"/>
      <c r="Z242" s="366"/>
      <c r="AA242" s="366"/>
      <c r="AB242" s="366"/>
      <c r="AC242" s="366"/>
      <c r="AD242" s="366"/>
      <c r="AE242" s="366"/>
      <c r="AF242" s="366"/>
      <c r="AG242" s="366"/>
      <c r="AH242" s="366"/>
      <c r="AI242" s="366"/>
      <c r="AJ242" s="366"/>
      <c r="AK242" s="619"/>
      <c r="AL242" s="617"/>
    </row>
    <row r="243" spans="1:38" ht="15.75">
      <c r="A243" s="190"/>
      <c r="B243" s="324"/>
      <c r="C243" s="324"/>
      <c r="D243" s="366"/>
      <c r="E243" s="366"/>
      <c r="F243" s="639"/>
      <c r="G243" s="324"/>
      <c r="H243" s="324"/>
      <c r="I243" s="335"/>
      <c r="J243" s="366"/>
      <c r="K243" s="641"/>
      <c r="L243" s="641"/>
      <c r="M243" s="641"/>
      <c r="N243" s="641"/>
      <c r="O243" s="366"/>
      <c r="P243" s="366"/>
      <c r="Q243" s="366"/>
      <c r="R243" s="611"/>
      <c r="S243" s="614"/>
      <c r="T243" s="588"/>
      <c r="U243" s="188"/>
      <c r="V243" s="366"/>
      <c r="W243" s="366"/>
      <c r="X243" s="366"/>
      <c r="Y243" s="366"/>
      <c r="Z243" s="366"/>
      <c r="AA243" s="366"/>
      <c r="AB243" s="366"/>
      <c r="AC243" s="366"/>
      <c r="AD243" s="366"/>
      <c r="AE243" s="366"/>
      <c r="AF243" s="366"/>
      <c r="AG243" s="366"/>
      <c r="AH243" s="366"/>
      <c r="AI243" s="366"/>
      <c r="AJ243" s="366"/>
      <c r="AK243" s="619"/>
      <c r="AL243" s="617"/>
    </row>
    <row r="244" spans="1:38" ht="15.75">
      <c r="A244" s="190"/>
      <c r="B244" s="324"/>
      <c r="C244" s="324"/>
      <c r="D244" s="366"/>
      <c r="E244" s="366"/>
      <c r="F244" s="639"/>
      <c r="G244" s="324"/>
      <c r="H244" s="324"/>
      <c r="I244" s="335"/>
      <c r="J244" s="366"/>
      <c r="K244" s="641"/>
      <c r="L244" s="641"/>
      <c r="M244" s="641"/>
      <c r="N244" s="641"/>
      <c r="O244" s="366"/>
      <c r="P244" s="366"/>
      <c r="Q244" s="366"/>
      <c r="R244" s="611"/>
      <c r="S244" s="614"/>
      <c r="T244" s="588"/>
      <c r="U244" s="188"/>
      <c r="V244" s="366"/>
      <c r="W244" s="366"/>
      <c r="X244" s="366"/>
      <c r="Y244" s="366"/>
      <c r="Z244" s="366"/>
      <c r="AA244" s="366"/>
      <c r="AB244" s="366"/>
      <c r="AC244" s="366"/>
      <c r="AD244" s="366"/>
      <c r="AE244" s="366"/>
      <c r="AF244" s="366"/>
      <c r="AG244" s="366"/>
      <c r="AH244" s="366"/>
      <c r="AI244" s="366"/>
      <c r="AJ244" s="366"/>
      <c r="AK244" s="619"/>
      <c r="AL244" s="617"/>
    </row>
    <row r="245" spans="1:38" ht="15.75">
      <c r="A245" s="190"/>
      <c r="B245" s="324"/>
      <c r="C245" s="324"/>
      <c r="D245" s="366"/>
      <c r="E245" s="366"/>
      <c r="F245" s="639"/>
      <c r="G245" s="324"/>
      <c r="H245" s="324"/>
      <c r="I245" s="335"/>
      <c r="J245" s="366"/>
      <c r="K245" s="641"/>
      <c r="L245" s="641"/>
      <c r="M245" s="641"/>
      <c r="N245" s="641"/>
      <c r="O245" s="366"/>
      <c r="P245" s="366"/>
      <c r="Q245" s="366"/>
      <c r="R245" s="611"/>
      <c r="S245" s="614"/>
      <c r="T245" s="588"/>
      <c r="U245" s="188"/>
      <c r="V245" s="366"/>
      <c r="W245" s="366"/>
      <c r="X245" s="366"/>
      <c r="Y245" s="366"/>
      <c r="Z245" s="366"/>
      <c r="AA245" s="366"/>
      <c r="AB245" s="366"/>
      <c r="AC245" s="366"/>
      <c r="AD245" s="366"/>
      <c r="AE245" s="366"/>
      <c r="AF245" s="366"/>
      <c r="AG245" s="366"/>
      <c r="AH245" s="366"/>
      <c r="AI245" s="366"/>
      <c r="AJ245" s="366"/>
      <c r="AK245" s="619"/>
      <c r="AL245" s="617"/>
    </row>
    <row r="246" spans="1:38" ht="15.75">
      <c r="A246" s="190"/>
      <c r="B246" s="324"/>
      <c r="C246" s="324"/>
      <c r="D246" s="366"/>
      <c r="E246" s="366"/>
      <c r="F246" s="639"/>
      <c r="G246" s="324"/>
      <c r="H246" s="324"/>
      <c r="I246" s="335"/>
      <c r="J246" s="366"/>
      <c r="K246" s="641"/>
      <c r="L246" s="641"/>
      <c r="M246" s="641"/>
      <c r="N246" s="641"/>
      <c r="O246" s="366"/>
      <c r="P246" s="366"/>
      <c r="Q246" s="366"/>
      <c r="R246" s="611"/>
      <c r="S246" s="614"/>
      <c r="T246" s="588"/>
      <c r="U246" s="188"/>
      <c r="V246" s="366"/>
      <c r="W246" s="366"/>
      <c r="X246" s="366"/>
      <c r="Y246" s="366"/>
      <c r="Z246" s="366"/>
      <c r="AA246" s="366"/>
      <c r="AB246" s="366"/>
      <c r="AC246" s="366"/>
      <c r="AD246" s="366"/>
      <c r="AE246" s="366"/>
      <c r="AF246" s="366"/>
      <c r="AG246" s="366"/>
      <c r="AH246" s="366"/>
      <c r="AI246" s="366"/>
      <c r="AJ246" s="366"/>
      <c r="AK246" s="619"/>
      <c r="AL246" s="617"/>
    </row>
    <row r="247" spans="1:38" ht="15.75">
      <c r="A247" s="190"/>
      <c r="B247" s="324"/>
      <c r="C247" s="324"/>
      <c r="D247" s="366"/>
      <c r="E247" s="366"/>
      <c r="F247" s="639"/>
      <c r="G247" s="324"/>
      <c r="H247" s="324"/>
      <c r="I247" s="335"/>
      <c r="J247" s="366"/>
      <c r="K247" s="641"/>
      <c r="L247" s="641"/>
      <c r="M247" s="641"/>
      <c r="N247" s="641"/>
      <c r="O247" s="366"/>
      <c r="P247" s="366"/>
      <c r="Q247" s="366"/>
      <c r="R247" s="611"/>
      <c r="S247" s="614"/>
      <c r="T247" s="588"/>
      <c r="U247" s="188"/>
      <c r="V247" s="366"/>
      <c r="W247" s="366"/>
      <c r="X247" s="366"/>
      <c r="Y247" s="366"/>
      <c r="Z247" s="366"/>
      <c r="AA247" s="366"/>
      <c r="AB247" s="366"/>
      <c r="AC247" s="366"/>
      <c r="AD247" s="366"/>
      <c r="AE247" s="366"/>
      <c r="AF247" s="366"/>
      <c r="AG247" s="366"/>
      <c r="AH247" s="366"/>
      <c r="AI247" s="366"/>
      <c r="AJ247" s="366"/>
      <c r="AK247" s="619"/>
      <c r="AL247" s="617"/>
    </row>
    <row r="248" spans="1:38" ht="15.75">
      <c r="A248" s="190"/>
      <c r="B248" s="324"/>
      <c r="C248" s="324"/>
      <c r="D248" s="366"/>
      <c r="E248" s="366"/>
      <c r="F248" s="639"/>
      <c r="G248" s="324"/>
      <c r="H248" s="324"/>
      <c r="I248" s="335"/>
      <c r="J248" s="366"/>
      <c r="K248" s="641"/>
      <c r="L248" s="641"/>
      <c r="M248" s="641"/>
      <c r="N248" s="641"/>
      <c r="O248" s="366"/>
      <c r="P248" s="366"/>
      <c r="Q248" s="366"/>
      <c r="R248" s="611"/>
      <c r="S248" s="614"/>
      <c r="T248" s="588"/>
      <c r="U248" s="188"/>
      <c r="V248" s="366"/>
      <c r="W248" s="366"/>
      <c r="X248" s="366"/>
      <c r="Y248" s="366"/>
      <c r="Z248" s="366"/>
      <c r="AA248" s="366"/>
      <c r="AB248" s="366"/>
      <c r="AC248" s="366"/>
      <c r="AD248" s="366"/>
      <c r="AE248" s="366"/>
      <c r="AF248" s="366"/>
      <c r="AG248" s="366"/>
      <c r="AH248" s="366"/>
      <c r="AI248" s="366"/>
      <c r="AJ248" s="366"/>
      <c r="AK248" s="619"/>
      <c r="AL248" s="617"/>
    </row>
    <row r="249" spans="1:38" ht="15.75">
      <c r="A249" s="190"/>
      <c r="B249" s="324"/>
      <c r="C249" s="324"/>
      <c r="D249" s="366"/>
      <c r="E249" s="366"/>
      <c r="F249" s="639"/>
      <c r="G249" s="324"/>
      <c r="H249" s="324"/>
      <c r="I249" s="335"/>
      <c r="J249" s="366"/>
      <c r="K249" s="641"/>
      <c r="L249" s="641"/>
      <c r="M249" s="641"/>
      <c r="N249" s="641"/>
      <c r="O249" s="366"/>
      <c r="P249" s="366"/>
      <c r="Q249" s="366"/>
      <c r="R249" s="611"/>
      <c r="S249" s="614"/>
      <c r="T249" s="588"/>
      <c r="U249" s="188"/>
      <c r="V249" s="366"/>
      <c r="W249" s="366"/>
      <c r="X249" s="366"/>
      <c r="Y249" s="366"/>
      <c r="Z249" s="366"/>
      <c r="AA249" s="366"/>
      <c r="AB249" s="366"/>
      <c r="AC249" s="366"/>
      <c r="AD249" s="366"/>
      <c r="AE249" s="366"/>
      <c r="AF249" s="366"/>
      <c r="AG249" s="366"/>
      <c r="AH249" s="366"/>
      <c r="AI249" s="366"/>
      <c r="AJ249" s="366"/>
      <c r="AK249" s="619"/>
      <c r="AL249" s="617"/>
    </row>
    <row r="250" spans="1:38" ht="15.75">
      <c r="A250" s="190"/>
      <c r="B250" s="324"/>
      <c r="C250" s="324"/>
      <c r="D250" s="366"/>
      <c r="E250" s="366"/>
      <c r="F250" s="639"/>
      <c r="G250" s="324"/>
      <c r="H250" s="324"/>
      <c r="I250" s="335"/>
      <c r="J250" s="366"/>
      <c r="K250" s="641"/>
      <c r="L250" s="641"/>
      <c r="M250" s="641"/>
      <c r="N250" s="641"/>
      <c r="O250" s="366"/>
      <c r="P250" s="366"/>
      <c r="Q250" s="366"/>
      <c r="R250" s="611"/>
      <c r="S250" s="614"/>
      <c r="T250" s="588"/>
      <c r="U250" s="188"/>
      <c r="V250" s="366"/>
      <c r="W250" s="366"/>
      <c r="X250" s="366"/>
      <c r="Y250" s="366"/>
      <c r="Z250" s="366"/>
      <c r="AA250" s="366"/>
      <c r="AB250" s="366"/>
      <c r="AC250" s="366"/>
      <c r="AD250" s="366"/>
      <c r="AE250" s="366"/>
      <c r="AF250" s="366"/>
      <c r="AG250" s="366"/>
      <c r="AH250" s="366"/>
      <c r="AI250" s="366"/>
      <c r="AJ250" s="366"/>
      <c r="AK250" s="619"/>
      <c r="AL250" s="617"/>
    </row>
    <row r="251" spans="1:38" ht="15.75">
      <c r="A251" s="190"/>
      <c r="B251" s="324"/>
      <c r="C251" s="324"/>
      <c r="D251" s="366"/>
      <c r="E251" s="366"/>
      <c r="F251" s="639"/>
      <c r="G251" s="324"/>
      <c r="H251" s="324"/>
      <c r="I251" s="335"/>
      <c r="J251" s="366"/>
      <c r="K251" s="641"/>
      <c r="L251" s="641"/>
      <c r="M251" s="641"/>
      <c r="N251" s="641"/>
      <c r="O251" s="366"/>
      <c r="P251" s="366"/>
      <c r="Q251" s="366"/>
      <c r="R251" s="611"/>
      <c r="S251" s="614"/>
      <c r="T251" s="588"/>
      <c r="U251" s="188"/>
      <c r="V251" s="366"/>
      <c r="W251" s="366"/>
      <c r="X251" s="366"/>
      <c r="Y251" s="366"/>
      <c r="Z251" s="366"/>
      <c r="AA251" s="366"/>
      <c r="AB251" s="366"/>
      <c r="AC251" s="366"/>
      <c r="AD251" s="366"/>
      <c r="AE251" s="366"/>
      <c r="AF251" s="366"/>
      <c r="AG251" s="366"/>
      <c r="AH251" s="366"/>
      <c r="AI251" s="366"/>
      <c r="AJ251" s="366"/>
      <c r="AK251" s="619"/>
      <c r="AL251" s="617"/>
    </row>
    <row r="252" spans="1:38" ht="15.75">
      <c r="A252" s="190"/>
      <c r="B252" s="324"/>
      <c r="C252" s="324"/>
      <c r="D252" s="366"/>
      <c r="E252" s="366"/>
      <c r="F252" s="639"/>
      <c r="G252" s="324"/>
      <c r="H252" s="324"/>
      <c r="I252" s="335"/>
      <c r="J252" s="366"/>
      <c r="K252" s="641"/>
      <c r="L252" s="641"/>
      <c r="M252" s="641"/>
      <c r="N252" s="641"/>
      <c r="O252" s="366"/>
      <c r="P252" s="366"/>
      <c r="Q252" s="366"/>
      <c r="R252" s="611"/>
      <c r="S252" s="614"/>
      <c r="T252" s="588"/>
      <c r="U252" s="188"/>
      <c r="V252" s="366"/>
      <c r="W252" s="366"/>
      <c r="X252" s="366"/>
      <c r="Y252" s="366"/>
      <c r="Z252" s="366"/>
      <c r="AA252" s="366"/>
      <c r="AB252" s="366"/>
      <c r="AC252" s="366"/>
      <c r="AD252" s="366"/>
      <c r="AE252" s="366"/>
      <c r="AF252" s="366"/>
      <c r="AG252" s="366"/>
      <c r="AH252" s="366"/>
      <c r="AI252" s="366"/>
      <c r="AJ252" s="366"/>
      <c r="AK252" s="619"/>
      <c r="AL252" s="617"/>
    </row>
    <row r="253" spans="1:38" ht="15.75">
      <c r="A253" s="190"/>
      <c r="B253" s="324"/>
      <c r="C253" s="324"/>
      <c r="D253" s="366"/>
      <c r="E253" s="366"/>
      <c r="F253" s="639"/>
      <c r="G253" s="324"/>
      <c r="H253" s="324"/>
      <c r="I253" s="335"/>
      <c r="J253" s="366"/>
      <c r="K253" s="641"/>
      <c r="L253" s="641"/>
      <c r="M253" s="641"/>
      <c r="N253" s="641"/>
      <c r="O253" s="366"/>
      <c r="P253" s="366"/>
      <c r="Q253" s="366"/>
      <c r="R253" s="611"/>
      <c r="S253" s="614"/>
      <c r="T253" s="588"/>
      <c r="U253" s="188"/>
      <c r="V253" s="366"/>
      <c r="W253" s="366"/>
      <c r="X253" s="366"/>
      <c r="Y253" s="366"/>
      <c r="Z253" s="366"/>
      <c r="AA253" s="366"/>
      <c r="AB253" s="366"/>
      <c r="AC253" s="366"/>
      <c r="AD253" s="366"/>
      <c r="AE253" s="366"/>
      <c r="AF253" s="366"/>
      <c r="AG253" s="366"/>
      <c r="AH253" s="366"/>
      <c r="AI253" s="366"/>
      <c r="AJ253" s="366"/>
      <c r="AK253" s="619"/>
      <c r="AL253" s="617"/>
    </row>
    <row r="254" spans="1:38" ht="15.75">
      <c r="A254" s="190"/>
      <c r="B254" s="324"/>
      <c r="C254" s="324"/>
      <c r="D254" s="366"/>
      <c r="E254" s="366"/>
      <c r="F254" s="639"/>
      <c r="G254" s="324"/>
      <c r="H254" s="324"/>
      <c r="I254" s="335"/>
      <c r="J254" s="366"/>
      <c r="K254" s="641"/>
      <c r="L254" s="641"/>
      <c r="M254" s="641"/>
      <c r="N254" s="641"/>
      <c r="O254" s="366"/>
      <c r="P254" s="366"/>
      <c r="Q254" s="366"/>
      <c r="R254" s="611"/>
      <c r="S254" s="614"/>
      <c r="T254" s="588"/>
      <c r="U254" s="188"/>
      <c r="V254" s="366"/>
      <c r="W254" s="366"/>
      <c r="X254" s="366"/>
      <c r="Y254" s="366"/>
      <c r="Z254" s="366"/>
      <c r="AA254" s="366"/>
      <c r="AB254" s="366"/>
      <c r="AC254" s="366"/>
      <c r="AD254" s="366"/>
      <c r="AE254" s="366"/>
      <c r="AF254" s="366"/>
      <c r="AG254" s="366"/>
      <c r="AH254" s="366"/>
      <c r="AI254" s="366"/>
      <c r="AJ254" s="366"/>
      <c r="AK254" s="619"/>
      <c r="AL254" s="617"/>
    </row>
    <row r="255" spans="1:38" ht="15.75">
      <c r="A255" s="190"/>
      <c r="B255" s="324"/>
      <c r="C255" s="324"/>
      <c r="D255" s="366"/>
      <c r="E255" s="366"/>
      <c r="F255" s="639"/>
      <c r="G255" s="324"/>
      <c r="H255" s="324"/>
      <c r="I255" s="335"/>
      <c r="J255" s="366"/>
      <c r="K255" s="641"/>
      <c r="L255" s="641"/>
      <c r="M255" s="641"/>
      <c r="N255" s="641"/>
      <c r="O255" s="366"/>
      <c r="P255" s="366"/>
      <c r="Q255" s="366"/>
      <c r="R255" s="611"/>
      <c r="S255" s="614"/>
      <c r="T255" s="588"/>
      <c r="U255" s="188"/>
      <c r="V255" s="366"/>
      <c r="W255" s="366"/>
      <c r="X255" s="366"/>
      <c r="Y255" s="366"/>
      <c r="Z255" s="366"/>
      <c r="AA255" s="366"/>
      <c r="AB255" s="366"/>
      <c r="AC255" s="366"/>
      <c r="AD255" s="366"/>
      <c r="AE255" s="366"/>
      <c r="AF255" s="366"/>
      <c r="AG255" s="366"/>
      <c r="AH255" s="366"/>
      <c r="AI255" s="366"/>
      <c r="AJ255" s="366"/>
      <c r="AK255" s="619"/>
      <c r="AL255" s="617"/>
    </row>
    <row r="256" spans="1:38" ht="15.75">
      <c r="A256" s="190"/>
      <c r="B256" s="324"/>
      <c r="C256" s="324"/>
      <c r="D256" s="366"/>
      <c r="E256" s="366"/>
      <c r="F256" s="639"/>
      <c r="G256" s="324"/>
      <c r="H256" s="324"/>
      <c r="I256" s="335"/>
      <c r="J256" s="366"/>
      <c r="K256" s="641"/>
      <c r="L256" s="641"/>
      <c r="M256" s="641"/>
      <c r="N256" s="641"/>
      <c r="O256" s="366"/>
      <c r="P256" s="366"/>
      <c r="Q256" s="366"/>
      <c r="R256" s="611"/>
      <c r="S256" s="614"/>
      <c r="T256" s="588"/>
      <c r="U256" s="188"/>
      <c r="V256" s="366"/>
      <c r="W256" s="366"/>
      <c r="X256" s="366"/>
      <c r="Y256" s="366"/>
      <c r="Z256" s="366"/>
      <c r="AA256" s="366"/>
      <c r="AB256" s="366"/>
      <c r="AC256" s="366"/>
      <c r="AD256" s="366"/>
      <c r="AE256" s="366"/>
      <c r="AF256" s="366"/>
      <c r="AG256" s="366"/>
      <c r="AH256" s="366"/>
      <c r="AI256" s="366"/>
      <c r="AJ256" s="366"/>
      <c r="AK256" s="619"/>
      <c r="AL256" s="617"/>
    </row>
    <row r="257" spans="1:38" ht="15.75">
      <c r="A257" s="190"/>
      <c r="B257" s="324"/>
      <c r="C257" s="324"/>
      <c r="D257" s="366"/>
      <c r="E257" s="366"/>
      <c r="F257" s="639"/>
      <c r="G257" s="324"/>
      <c r="H257" s="324"/>
      <c r="I257" s="335"/>
      <c r="J257" s="366"/>
      <c r="K257" s="641"/>
      <c r="L257" s="641"/>
      <c r="M257" s="641"/>
      <c r="N257" s="641"/>
      <c r="O257" s="366"/>
      <c r="P257" s="366"/>
      <c r="Q257" s="366"/>
      <c r="R257" s="611"/>
      <c r="S257" s="614"/>
      <c r="T257" s="588"/>
      <c r="U257" s="188"/>
      <c r="V257" s="366"/>
      <c r="W257" s="366"/>
      <c r="X257" s="366"/>
      <c r="Y257" s="366"/>
      <c r="Z257" s="366"/>
      <c r="AA257" s="366"/>
      <c r="AB257" s="366"/>
      <c r="AC257" s="366"/>
      <c r="AD257" s="366"/>
      <c r="AE257" s="366"/>
      <c r="AF257" s="366"/>
      <c r="AG257" s="366"/>
      <c r="AH257" s="366"/>
      <c r="AI257" s="366"/>
      <c r="AJ257" s="366"/>
      <c r="AK257" s="619"/>
      <c r="AL257" s="617"/>
    </row>
    <row r="258" spans="1:38" ht="15.75">
      <c r="A258" s="190"/>
      <c r="B258" s="324"/>
      <c r="C258" s="324"/>
      <c r="D258" s="366"/>
      <c r="E258" s="366"/>
      <c r="F258" s="639"/>
      <c r="G258" s="324"/>
      <c r="H258" s="324"/>
      <c r="I258" s="335"/>
      <c r="J258" s="366"/>
      <c r="K258" s="641"/>
      <c r="L258" s="641"/>
      <c r="M258" s="641"/>
      <c r="N258" s="641"/>
      <c r="O258" s="366"/>
      <c r="P258" s="366"/>
      <c r="Q258" s="366"/>
      <c r="R258" s="611"/>
      <c r="S258" s="614"/>
      <c r="T258" s="588"/>
      <c r="U258" s="188"/>
      <c r="V258" s="366"/>
      <c r="W258" s="366"/>
      <c r="X258" s="366"/>
      <c r="Y258" s="366"/>
      <c r="Z258" s="366"/>
      <c r="AA258" s="366"/>
      <c r="AB258" s="366"/>
      <c r="AC258" s="366"/>
      <c r="AD258" s="366"/>
      <c r="AE258" s="366"/>
      <c r="AF258" s="366"/>
      <c r="AG258" s="366"/>
      <c r="AH258" s="366"/>
      <c r="AI258" s="366"/>
      <c r="AJ258" s="366"/>
      <c r="AK258" s="619"/>
      <c r="AL258" s="617"/>
    </row>
    <row r="259" spans="1:38" ht="15.75">
      <c r="A259" s="190"/>
      <c r="B259" s="324"/>
      <c r="C259" s="324"/>
      <c r="D259" s="366"/>
      <c r="E259" s="366"/>
      <c r="F259" s="639"/>
      <c r="G259" s="324"/>
      <c r="H259" s="324"/>
      <c r="I259" s="335"/>
      <c r="J259" s="366"/>
      <c r="K259" s="641"/>
      <c r="L259" s="641"/>
      <c r="M259" s="641"/>
      <c r="N259" s="641"/>
      <c r="O259" s="366"/>
      <c r="P259" s="366"/>
      <c r="Q259" s="366"/>
      <c r="R259" s="611"/>
      <c r="S259" s="614"/>
      <c r="T259" s="588"/>
      <c r="U259" s="188"/>
      <c r="V259" s="366"/>
      <c r="W259" s="366"/>
      <c r="X259" s="366"/>
      <c r="Y259" s="366"/>
      <c r="Z259" s="366"/>
      <c r="AA259" s="366"/>
      <c r="AB259" s="366"/>
      <c r="AC259" s="366"/>
      <c r="AD259" s="366"/>
      <c r="AE259" s="366"/>
      <c r="AF259" s="366"/>
      <c r="AG259" s="366"/>
      <c r="AH259" s="366"/>
      <c r="AI259" s="366"/>
      <c r="AJ259" s="366"/>
      <c r="AK259" s="619"/>
      <c r="AL259" s="617"/>
    </row>
    <row r="260" spans="1:38" ht="15.75">
      <c r="A260" s="190"/>
      <c r="B260" s="324"/>
      <c r="C260" s="324"/>
      <c r="D260" s="366"/>
      <c r="E260" s="366"/>
      <c r="F260" s="639"/>
      <c r="G260" s="324"/>
      <c r="H260" s="324"/>
      <c r="I260" s="335"/>
      <c r="J260" s="366"/>
      <c r="K260" s="641"/>
      <c r="L260" s="641"/>
      <c r="M260" s="641"/>
      <c r="N260" s="641"/>
      <c r="O260" s="366"/>
      <c r="P260" s="366"/>
      <c r="Q260" s="366"/>
      <c r="R260" s="611"/>
      <c r="S260" s="614"/>
      <c r="T260" s="588"/>
      <c r="U260" s="188"/>
      <c r="V260" s="366"/>
      <c r="W260" s="366"/>
      <c r="X260" s="366"/>
      <c r="Y260" s="366"/>
      <c r="Z260" s="366"/>
      <c r="AA260" s="366"/>
      <c r="AB260" s="366"/>
      <c r="AC260" s="366"/>
      <c r="AD260" s="366"/>
      <c r="AE260" s="366"/>
      <c r="AF260" s="366"/>
      <c r="AG260" s="366"/>
      <c r="AH260" s="366"/>
      <c r="AI260" s="366"/>
      <c r="AJ260" s="366"/>
      <c r="AK260" s="619"/>
      <c r="AL260" s="617"/>
    </row>
    <row r="261" spans="1:38" ht="15.75">
      <c r="A261" s="190"/>
      <c r="B261" s="324"/>
      <c r="C261" s="324"/>
      <c r="D261" s="366"/>
      <c r="E261" s="366"/>
      <c r="F261" s="639"/>
      <c r="G261" s="324"/>
      <c r="H261" s="324"/>
      <c r="I261" s="335"/>
      <c r="J261" s="366"/>
      <c r="K261" s="641"/>
      <c r="L261" s="641"/>
      <c r="M261" s="641"/>
      <c r="N261" s="641"/>
      <c r="O261" s="366"/>
      <c r="P261" s="366"/>
      <c r="Q261" s="366"/>
      <c r="R261" s="611"/>
      <c r="S261" s="614"/>
      <c r="T261" s="588"/>
      <c r="U261" s="188"/>
      <c r="V261" s="366"/>
      <c r="W261" s="366"/>
      <c r="X261" s="366"/>
      <c r="Y261" s="366"/>
      <c r="Z261" s="366"/>
      <c r="AA261" s="366"/>
      <c r="AB261" s="366"/>
      <c r="AC261" s="366"/>
      <c r="AD261" s="366"/>
      <c r="AE261" s="366"/>
      <c r="AF261" s="366"/>
      <c r="AG261" s="366"/>
      <c r="AH261" s="366"/>
      <c r="AI261" s="366"/>
      <c r="AJ261" s="366"/>
      <c r="AK261" s="619"/>
      <c r="AL261" s="617"/>
    </row>
    <row r="262" spans="1:38" ht="15.75">
      <c r="A262" s="190"/>
      <c r="B262" s="324"/>
      <c r="C262" s="324"/>
      <c r="D262" s="366"/>
      <c r="E262" s="366"/>
      <c r="F262" s="639"/>
      <c r="G262" s="324"/>
      <c r="H262" s="324"/>
      <c r="I262" s="335"/>
      <c r="J262" s="366"/>
      <c r="K262" s="641"/>
      <c r="L262" s="641"/>
      <c r="M262" s="641"/>
      <c r="N262" s="641"/>
      <c r="O262" s="366"/>
      <c r="P262" s="366"/>
      <c r="Q262" s="366"/>
      <c r="R262" s="611"/>
      <c r="S262" s="614"/>
      <c r="T262" s="588"/>
      <c r="U262" s="188"/>
      <c r="V262" s="366"/>
      <c r="W262" s="366"/>
      <c r="X262" s="366"/>
      <c r="Y262" s="366"/>
      <c r="Z262" s="366"/>
      <c r="AA262" s="366"/>
      <c r="AB262" s="366"/>
      <c r="AC262" s="366"/>
      <c r="AD262" s="366"/>
      <c r="AE262" s="366"/>
      <c r="AF262" s="366"/>
      <c r="AG262" s="366"/>
      <c r="AH262" s="366"/>
      <c r="AI262" s="366"/>
      <c r="AJ262" s="366"/>
      <c r="AK262" s="619"/>
      <c r="AL262" s="617"/>
    </row>
    <row r="263" spans="1:38" ht="15.75">
      <c r="A263" s="190"/>
      <c r="B263" s="324"/>
      <c r="C263" s="324"/>
      <c r="D263" s="366"/>
      <c r="E263" s="366"/>
      <c r="F263" s="639"/>
      <c r="G263" s="324"/>
      <c r="H263" s="324"/>
      <c r="I263" s="335"/>
      <c r="J263" s="366"/>
      <c r="K263" s="641"/>
      <c r="L263" s="641"/>
      <c r="M263" s="641"/>
      <c r="N263" s="641"/>
      <c r="O263" s="366"/>
      <c r="P263" s="366"/>
      <c r="Q263" s="366"/>
      <c r="R263" s="611"/>
      <c r="S263" s="614"/>
      <c r="T263" s="588"/>
      <c r="U263" s="188"/>
      <c r="V263" s="366"/>
      <c r="W263" s="366"/>
      <c r="X263" s="366"/>
      <c r="Y263" s="366"/>
      <c r="Z263" s="366"/>
      <c r="AA263" s="366"/>
      <c r="AB263" s="366"/>
      <c r="AC263" s="366"/>
      <c r="AD263" s="366"/>
      <c r="AE263" s="366"/>
      <c r="AF263" s="366"/>
      <c r="AG263" s="366"/>
      <c r="AH263" s="366"/>
      <c r="AI263" s="366"/>
      <c r="AJ263" s="366"/>
      <c r="AK263" s="619"/>
      <c r="AL263" s="617"/>
    </row>
    <row r="264" spans="1:38" ht="15.75">
      <c r="A264" s="190"/>
      <c r="B264" s="324"/>
      <c r="C264" s="324"/>
      <c r="D264" s="366"/>
      <c r="E264" s="366"/>
      <c r="F264" s="639"/>
      <c r="G264" s="324"/>
      <c r="H264" s="324"/>
      <c r="I264" s="335"/>
      <c r="J264" s="366"/>
      <c r="K264" s="641"/>
      <c r="L264" s="641"/>
      <c r="M264" s="641"/>
      <c r="N264" s="641"/>
      <c r="O264" s="366"/>
      <c r="P264" s="366"/>
      <c r="Q264" s="366"/>
      <c r="R264" s="611"/>
      <c r="S264" s="614"/>
      <c r="T264" s="588"/>
      <c r="U264" s="188"/>
      <c r="V264" s="366"/>
      <c r="W264" s="366"/>
      <c r="X264" s="366"/>
      <c r="Y264" s="366"/>
      <c r="Z264" s="366"/>
      <c r="AA264" s="366"/>
      <c r="AB264" s="366"/>
      <c r="AC264" s="366"/>
      <c r="AD264" s="366"/>
      <c r="AE264" s="366"/>
      <c r="AF264" s="366"/>
      <c r="AG264" s="366"/>
      <c r="AH264" s="366"/>
      <c r="AI264" s="366"/>
      <c r="AJ264" s="366"/>
      <c r="AK264" s="619"/>
      <c r="AL264" s="617"/>
    </row>
    <row r="265" spans="1:38" ht="15.75">
      <c r="A265" s="190"/>
      <c r="B265" s="324"/>
      <c r="C265" s="324"/>
      <c r="D265" s="366"/>
      <c r="E265" s="366"/>
      <c r="F265" s="639"/>
      <c r="G265" s="324"/>
      <c r="H265" s="324"/>
      <c r="I265" s="335"/>
      <c r="J265" s="366"/>
      <c r="K265" s="641"/>
      <c r="L265" s="641"/>
      <c r="M265" s="641"/>
      <c r="N265" s="641"/>
      <c r="O265" s="366"/>
      <c r="P265" s="366"/>
      <c r="Q265" s="366"/>
      <c r="R265" s="611"/>
      <c r="S265" s="614"/>
      <c r="T265" s="588"/>
      <c r="U265" s="188"/>
      <c r="V265" s="366"/>
      <c r="W265" s="366"/>
      <c r="X265" s="366"/>
      <c r="Y265" s="366"/>
      <c r="Z265" s="366"/>
      <c r="AA265" s="366"/>
      <c r="AB265" s="366"/>
      <c r="AC265" s="366"/>
      <c r="AD265" s="366"/>
      <c r="AE265" s="366"/>
      <c r="AF265" s="366"/>
      <c r="AG265" s="366"/>
      <c r="AH265" s="366"/>
      <c r="AI265" s="366"/>
      <c r="AJ265" s="366"/>
      <c r="AK265" s="619"/>
      <c r="AL265" s="617"/>
    </row>
    <row r="266" spans="1:38" ht="15.75">
      <c r="A266" s="190"/>
      <c r="B266" s="324"/>
      <c r="C266" s="324"/>
      <c r="D266" s="366"/>
      <c r="E266" s="366"/>
      <c r="F266" s="639"/>
      <c r="G266" s="324"/>
      <c r="H266" s="324"/>
      <c r="I266" s="335"/>
      <c r="J266" s="366"/>
      <c r="K266" s="641"/>
      <c r="L266" s="641"/>
      <c r="M266" s="641"/>
      <c r="N266" s="641"/>
      <c r="O266" s="366"/>
      <c r="P266" s="366"/>
      <c r="Q266" s="366"/>
      <c r="R266" s="611"/>
      <c r="S266" s="614"/>
      <c r="T266" s="588"/>
      <c r="U266" s="188"/>
      <c r="V266" s="366"/>
      <c r="W266" s="366"/>
      <c r="X266" s="366"/>
      <c r="Y266" s="366"/>
      <c r="Z266" s="366"/>
      <c r="AA266" s="366"/>
      <c r="AB266" s="366"/>
      <c r="AC266" s="366"/>
      <c r="AD266" s="366"/>
      <c r="AE266" s="366"/>
      <c r="AF266" s="366"/>
      <c r="AG266" s="366"/>
      <c r="AH266" s="366"/>
      <c r="AI266" s="366"/>
      <c r="AJ266" s="366"/>
      <c r="AK266" s="619"/>
      <c r="AL266" s="617"/>
    </row>
    <row r="267" spans="1:38" ht="15.75">
      <c r="A267" s="190"/>
      <c r="B267" s="324"/>
      <c r="C267" s="324"/>
      <c r="D267" s="366"/>
      <c r="E267" s="366"/>
      <c r="F267" s="639"/>
      <c r="G267" s="324"/>
      <c r="H267" s="324"/>
      <c r="I267" s="335"/>
      <c r="J267" s="366"/>
      <c r="K267" s="641"/>
      <c r="L267" s="641"/>
      <c r="M267" s="641"/>
      <c r="N267" s="641"/>
      <c r="O267" s="366"/>
      <c r="P267" s="366"/>
      <c r="Q267" s="366"/>
      <c r="R267" s="611"/>
      <c r="S267" s="614"/>
      <c r="T267" s="588"/>
      <c r="U267" s="188"/>
      <c r="V267" s="366"/>
      <c r="W267" s="366"/>
      <c r="X267" s="366"/>
      <c r="Y267" s="366"/>
      <c r="Z267" s="366"/>
      <c r="AA267" s="366"/>
      <c r="AB267" s="366"/>
      <c r="AC267" s="366"/>
      <c r="AD267" s="366"/>
      <c r="AE267" s="366"/>
      <c r="AF267" s="366"/>
      <c r="AG267" s="366"/>
      <c r="AH267" s="366"/>
      <c r="AI267" s="366"/>
      <c r="AJ267" s="366"/>
      <c r="AK267" s="619"/>
      <c r="AL267" s="617"/>
    </row>
    <row r="268" spans="1:38" ht="15.75">
      <c r="A268" s="190"/>
      <c r="B268" s="324"/>
      <c r="C268" s="324"/>
      <c r="D268" s="366"/>
      <c r="E268" s="366"/>
      <c r="F268" s="639"/>
      <c r="G268" s="324"/>
      <c r="H268" s="324"/>
      <c r="I268" s="335"/>
      <c r="J268" s="366"/>
      <c r="K268" s="641"/>
      <c r="L268" s="641"/>
      <c r="M268" s="641"/>
      <c r="N268" s="641"/>
      <c r="O268" s="366"/>
      <c r="P268" s="366"/>
      <c r="Q268" s="366"/>
      <c r="R268" s="611"/>
      <c r="S268" s="614"/>
      <c r="T268" s="588"/>
      <c r="U268" s="188"/>
      <c r="V268" s="366"/>
      <c r="W268" s="366"/>
      <c r="X268" s="366"/>
      <c r="Y268" s="366"/>
      <c r="Z268" s="366"/>
      <c r="AA268" s="366"/>
      <c r="AB268" s="366"/>
      <c r="AC268" s="366"/>
      <c r="AD268" s="366"/>
      <c r="AE268" s="366"/>
      <c r="AF268" s="366"/>
      <c r="AG268" s="366"/>
      <c r="AH268" s="366"/>
      <c r="AI268" s="366"/>
      <c r="AJ268" s="366"/>
      <c r="AK268" s="619"/>
      <c r="AL268" s="617"/>
    </row>
    <row r="269" spans="1:38" ht="15.75">
      <c r="A269" s="190"/>
      <c r="B269" s="324"/>
      <c r="C269" s="324"/>
      <c r="D269" s="366"/>
      <c r="E269" s="366"/>
      <c r="F269" s="639"/>
      <c r="G269" s="324"/>
      <c r="H269" s="324"/>
      <c r="I269" s="335"/>
      <c r="J269" s="366"/>
      <c r="K269" s="641"/>
      <c r="L269" s="641"/>
      <c r="M269" s="641"/>
      <c r="N269" s="641"/>
      <c r="O269" s="366"/>
      <c r="P269" s="366"/>
      <c r="Q269" s="366"/>
      <c r="R269" s="611"/>
      <c r="S269" s="614"/>
      <c r="T269" s="588"/>
      <c r="U269" s="188"/>
      <c r="V269" s="366"/>
      <c r="W269" s="366"/>
      <c r="X269" s="366"/>
      <c r="Y269" s="366"/>
      <c r="Z269" s="366"/>
      <c r="AA269" s="366"/>
      <c r="AB269" s="366"/>
      <c r="AC269" s="366"/>
      <c r="AD269" s="366"/>
      <c r="AE269" s="366"/>
      <c r="AF269" s="366"/>
      <c r="AG269" s="366"/>
      <c r="AH269" s="366"/>
      <c r="AI269" s="366"/>
      <c r="AJ269" s="366"/>
      <c r="AK269" s="619"/>
      <c r="AL269" s="617"/>
    </row>
    <row r="270" spans="1:38" ht="15.75">
      <c r="A270" s="190"/>
      <c r="B270" s="324"/>
      <c r="C270" s="324"/>
      <c r="D270" s="366"/>
      <c r="E270" s="366"/>
      <c r="F270" s="639"/>
      <c r="G270" s="324"/>
      <c r="H270" s="324"/>
      <c r="I270" s="335"/>
      <c r="J270" s="366"/>
      <c r="K270" s="641"/>
      <c r="L270" s="641"/>
      <c r="M270" s="641"/>
      <c r="N270" s="641"/>
      <c r="O270" s="366"/>
      <c r="P270" s="366"/>
      <c r="Q270" s="366"/>
      <c r="R270" s="611"/>
      <c r="S270" s="614"/>
      <c r="T270" s="588"/>
      <c r="U270" s="188"/>
      <c r="V270" s="366"/>
      <c r="W270" s="366"/>
      <c r="X270" s="366"/>
      <c r="Y270" s="366"/>
      <c r="Z270" s="366"/>
      <c r="AA270" s="366"/>
      <c r="AB270" s="366"/>
      <c r="AC270" s="366"/>
      <c r="AD270" s="366"/>
      <c r="AE270" s="366"/>
      <c r="AF270" s="366"/>
      <c r="AG270" s="366"/>
      <c r="AH270" s="366"/>
      <c r="AI270" s="366"/>
      <c r="AJ270" s="366"/>
      <c r="AK270" s="619"/>
      <c r="AL270" s="617"/>
    </row>
    <row r="271" spans="1:38" ht="15.75">
      <c r="A271" s="190"/>
      <c r="B271" s="324"/>
      <c r="C271" s="324"/>
      <c r="D271" s="366"/>
      <c r="E271" s="366"/>
      <c r="F271" s="639"/>
      <c r="G271" s="324"/>
      <c r="H271" s="324"/>
      <c r="I271" s="335"/>
      <c r="J271" s="366"/>
      <c r="K271" s="641"/>
      <c r="L271" s="641"/>
      <c r="M271" s="641"/>
      <c r="N271" s="641"/>
      <c r="O271" s="366"/>
      <c r="P271" s="366"/>
      <c r="Q271" s="366"/>
      <c r="R271" s="611"/>
      <c r="S271" s="614"/>
      <c r="T271" s="588"/>
      <c r="U271" s="188"/>
      <c r="V271" s="366"/>
      <c r="W271" s="366"/>
      <c r="X271" s="366"/>
      <c r="Y271" s="366"/>
      <c r="Z271" s="366"/>
      <c r="AA271" s="366"/>
      <c r="AB271" s="366"/>
      <c r="AC271" s="366"/>
      <c r="AD271" s="366"/>
      <c r="AE271" s="366"/>
      <c r="AF271" s="366"/>
      <c r="AG271" s="366"/>
      <c r="AH271" s="366"/>
      <c r="AI271" s="366"/>
      <c r="AJ271" s="366"/>
      <c r="AK271" s="619"/>
      <c r="AL271" s="617"/>
    </row>
    <row r="272" spans="1:38" ht="15.75">
      <c r="A272" s="190"/>
      <c r="B272" s="324"/>
      <c r="C272" s="324"/>
      <c r="D272" s="366"/>
      <c r="E272" s="366"/>
      <c r="F272" s="639"/>
      <c r="G272" s="324"/>
      <c r="H272" s="324"/>
      <c r="I272" s="335"/>
      <c r="J272" s="366"/>
      <c r="K272" s="641"/>
      <c r="L272" s="641"/>
      <c r="M272" s="641"/>
      <c r="N272" s="641"/>
      <c r="O272" s="366"/>
      <c r="P272" s="366"/>
      <c r="Q272" s="366"/>
      <c r="R272" s="611"/>
      <c r="S272" s="614"/>
      <c r="T272" s="588"/>
      <c r="U272" s="188"/>
      <c r="V272" s="366"/>
      <c r="W272" s="366"/>
      <c r="X272" s="366"/>
      <c r="Y272" s="366"/>
      <c r="Z272" s="366"/>
      <c r="AA272" s="366"/>
      <c r="AB272" s="366"/>
      <c r="AC272" s="366"/>
      <c r="AD272" s="366"/>
      <c r="AE272" s="366"/>
      <c r="AF272" s="366"/>
      <c r="AG272" s="366"/>
      <c r="AH272" s="366"/>
      <c r="AI272" s="366"/>
      <c r="AJ272" s="366"/>
      <c r="AK272" s="619"/>
      <c r="AL272" s="617"/>
    </row>
    <row r="273" spans="1:38" ht="15.75">
      <c r="A273" s="190"/>
      <c r="B273" s="324"/>
      <c r="C273" s="324"/>
      <c r="D273" s="366"/>
      <c r="E273" s="366"/>
      <c r="F273" s="639"/>
      <c r="G273" s="324"/>
      <c r="H273" s="324"/>
      <c r="I273" s="335"/>
      <c r="J273" s="366"/>
      <c r="K273" s="641"/>
      <c r="L273" s="641"/>
      <c r="M273" s="641"/>
      <c r="N273" s="641"/>
      <c r="O273" s="366"/>
      <c r="P273" s="366"/>
      <c r="Q273" s="366"/>
      <c r="R273" s="611"/>
      <c r="S273" s="614"/>
      <c r="T273" s="588"/>
      <c r="U273" s="188"/>
      <c r="V273" s="366"/>
      <c r="W273" s="366"/>
      <c r="X273" s="366"/>
      <c r="Y273" s="366"/>
      <c r="Z273" s="366"/>
      <c r="AA273" s="366"/>
      <c r="AB273" s="366"/>
      <c r="AC273" s="366"/>
      <c r="AD273" s="366"/>
      <c r="AE273" s="366"/>
      <c r="AF273" s="366"/>
      <c r="AG273" s="366"/>
      <c r="AH273" s="366"/>
      <c r="AI273" s="366"/>
      <c r="AJ273" s="366"/>
      <c r="AK273" s="619"/>
      <c r="AL273" s="617"/>
    </row>
    <row r="274" spans="1:38" ht="15.75">
      <c r="A274" s="190"/>
      <c r="B274" s="324"/>
      <c r="C274" s="324"/>
      <c r="D274" s="366"/>
      <c r="E274" s="366"/>
      <c r="F274" s="639"/>
      <c r="G274" s="324"/>
      <c r="H274" s="324"/>
      <c r="I274" s="335"/>
      <c r="J274" s="366"/>
      <c r="K274" s="641"/>
      <c r="L274" s="641"/>
      <c r="M274" s="641"/>
      <c r="N274" s="641"/>
      <c r="O274" s="366"/>
      <c r="P274" s="366"/>
      <c r="Q274" s="366"/>
      <c r="R274" s="611"/>
      <c r="S274" s="614"/>
      <c r="T274" s="588"/>
      <c r="U274" s="188"/>
      <c r="V274" s="366"/>
      <c r="W274" s="366"/>
      <c r="X274" s="366"/>
      <c r="Y274" s="366"/>
      <c r="Z274" s="366"/>
      <c r="AA274" s="366"/>
      <c r="AB274" s="366"/>
      <c r="AC274" s="366"/>
      <c r="AD274" s="366"/>
      <c r="AE274" s="366"/>
      <c r="AF274" s="366"/>
      <c r="AG274" s="366"/>
      <c r="AH274" s="366"/>
      <c r="AI274" s="366"/>
      <c r="AJ274" s="366"/>
      <c r="AK274" s="619"/>
      <c r="AL274" s="617"/>
    </row>
    <row r="275" spans="1:38" ht="15.75">
      <c r="A275" s="190"/>
      <c r="B275" s="324"/>
      <c r="C275" s="324"/>
      <c r="D275" s="366"/>
      <c r="E275" s="366"/>
      <c r="F275" s="639"/>
      <c r="G275" s="324"/>
      <c r="H275" s="324"/>
      <c r="I275" s="335"/>
      <c r="J275" s="366"/>
      <c r="K275" s="641"/>
      <c r="L275" s="641"/>
      <c r="M275" s="641"/>
      <c r="N275" s="641"/>
      <c r="O275" s="366"/>
      <c r="P275" s="366"/>
      <c r="Q275" s="366"/>
      <c r="R275" s="611"/>
      <c r="S275" s="614"/>
      <c r="T275" s="588"/>
      <c r="U275" s="188"/>
      <c r="V275" s="366"/>
      <c r="W275" s="366"/>
      <c r="X275" s="366"/>
      <c r="Y275" s="366"/>
      <c r="Z275" s="366"/>
      <c r="AA275" s="366"/>
      <c r="AB275" s="366"/>
      <c r="AC275" s="366"/>
      <c r="AD275" s="366"/>
      <c r="AE275" s="366"/>
      <c r="AF275" s="366"/>
      <c r="AG275" s="366"/>
      <c r="AH275" s="366"/>
      <c r="AI275" s="366"/>
      <c r="AJ275" s="366"/>
      <c r="AK275" s="619"/>
      <c r="AL275" s="617"/>
    </row>
    <row r="276" spans="1:38" ht="15.75">
      <c r="A276" s="190"/>
      <c r="B276" s="324"/>
      <c r="C276" s="324"/>
      <c r="D276" s="366"/>
      <c r="E276" s="366"/>
      <c r="F276" s="639"/>
      <c r="G276" s="324"/>
      <c r="H276" s="324"/>
      <c r="I276" s="335"/>
      <c r="J276" s="366"/>
      <c r="K276" s="641"/>
      <c r="L276" s="641"/>
      <c r="M276" s="641"/>
      <c r="N276" s="641"/>
      <c r="O276" s="366"/>
      <c r="P276" s="366"/>
      <c r="Q276" s="366"/>
      <c r="R276" s="611"/>
      <c r="S276" s="614"/>
      <c r="T276" s="588"/>
      <c r="U276" s="188"/>
      <c r="V276" s="366"/>
      <c r="W276" s="366"/>
      <c r="X276" s="366"/>
      <c r="Y276" s="366"/>
      <c r="Z276" s="366"/>
      <c r="AA276" s="366"/>
      <c r="AB276" s="366"/>
      <c r="AC276" s="366"/>
      <c r="AD276" s="366"/>
      <c r="AE276" s="366"/>
      <c r="AF276" s="366"/>
      <c r="AG276" s="366"/>
      <c r="AH276" s="366"/>
      <c r="AI276" s="366"/>
      <c r="AJ276" s="366"/>
      <c r="AK276" s="619"/>
      <c r="AL276" s="617"/>
    </row>
    <row r="277" spans="1:38" ht="15.75">
      <c r="A277" s="190"/>
      <c r="B277" s="324"/>
      <c r="C277" s="324"/>
      <c r="D277" s="366"/>
      <c r="E277" s="366"/>
      <c r="F277" s="639"/>
      <c r="G277" s="324"/>
      <c r="H277" s="324"/>
      <c r="I277" s="335"/>
      <c r="J277" s="366"/>
      <c r="K277" s="641"/>
      <c r="L277" s="641"/>
      <c r="M277" s="641"/>
      <c r="N277" s="641"/>
      <c r="O277" s="366"/>
      <c r="P277" s="366"/>
      <c r="Q277" s="366"/>
      <c r="R277" s="611"/>
      <c r="S277" s="614"/>
      <c r="T277" s="588"/>
      <c r="U277" s="188"/>
      <c r="V277" s="366"/>
      <c r="W277" s="366"/>
      <c r="X277" s="366"/>
      <c r="Y277" s="366"/>
      <c r="Z277" s="366"/>
      <c r="AA277" s="366"/>
      <c r="AB277" s="366"/>
      <c r="AC277" s="366"/>
      <c r="AD277" s="366"/>
      <c r="AE277" s="366"/>
      <c r="AF277" s="366"/>
      <c r="AG277" s="366"/>
      <c r="AH277" s="366"/>
      <c r="AI277" s="366"/>
      <c r="AJ277" s="366"/>
      <c r="AK277" s="619"/>
      <c r="AL277" s="617"/>
    </row>
    <row r="278" spans="1:38" ht="15.75">
      <c r="A278" s="190"/>
      <c r="B278" s="324"/>
      <c r="C278" s="324"/>
      <c r="D278" s="366"/>
      <c r="E278" s="366"/>
      <c r="F278" s="639"/>
      <c r="G278" s="324"/>
      <c r="H278" s="324"/>
      <c r="I278" s="335"/>
      <c r="J278" s="366"/>
      <c r="K278" s="641"/>
      <c r="L278" s="641"/>
      <c r="M278" s="641"/>
      <c r="N278" s="641"/>
      <c r="O278" s="366"/>
      <c r="P278" s="366"/>
      <c r="Q278" s="366"/>
      <c r="R278" s="611"/>
      <c r="S278" s="614"/>
      <c r="T278" s="588"/>
      <c r="U278" s="188"/>
      <c r="V278" s="366"/>
      <c r="W278" s="366"/>
      <c r="X278" s="366"/>
      <c r="Y278" s="366"/>
      <c r="Z278" s="366"/>
      <c r="AA278" s="366"/>
      <c r="AB278" s="366"/>
      <c r="AC278" s="366"/>
      <c r="AD278" s="366"/>
      <c r="AE278" s="366"/>
      <c r="AF278" s="366"/>
      <c r="AG278" s="366"/>
      <c r="AH278" s="366"/>
      <c r="AI278" s="366"/>
      <c r="AJ278" s="366"/>
      <c r="AK278" s="619"/>
      <c r="AL278" s="617"/>
    </row>
    <row r="279" spans="1:38" ht="15.75">
      <c r="A279" s="190"/>
      <c r="B279" s="324"/>
      <c r="C279" s="324"/>
      <c r="D279" s="366"/>
      <c r="E279" s="366"/>
      <c r="F279" s="639"/>
      <c r="G279" s="324"/>
      <c r="H279" s="324"/>
      <c r="I279" s="335"/>
      <c r="J279" s="366"/>
      <c r="K279" s="641"/>
      <c r="L279" s="641"/>
      <c r="M279" s="641"/>
      <c r="N279" s="641"/>
      <c r="O279" s="366"/>
      <c r="P279" s="366"/>
      <c r="Q279" s="366"/>
      <c r="R279" s="611"/>
      <c r="S279" s="614"/>
      <c r="T279" s="588"/>
      <c r="U279" s="188"/>
      <c r="V279" s="366"/>
      <c r="W279" s="366"/>
      <c r="X279" s="366"/>
      <c r="Y279" s="366"/>
      <c r="Z279" s="366"/>
      <c r="AA279" s="366"/>
      <c r="AB279" s="366"/>
      <c r="AC279" s="366"/>
      <c r="AD279" s="366"/>
      <c r="AE279" s="366"/>
      <c r="AF279" s="366"/>
      <c r="AG279" s="366"/>
      <c r="AH279" s="366"/>
      <c r="AI279" s="366"/>
      <c r="AJ279" s="366"/>
      <c r="AK279" s="619"/>
      <c r="AL279" s="617"/>
    </row>
    <row r="280" spans="1:38" ht="15.75">
      <c r="A280" s="190"/>
      <c r="B280" s="324"/>
      <c r="C280" s="324"/>
      <c r="D280" s="366"/>
      <c r="E280" s="366"/>
      <c r="F280" s="639"/>
      <c r="G280" s="324"/>
      <c r="H280" s="324"/>
      <c r="I280" s="335"/>
      <c r="J280" s="366"/>
      <c r="K280" s="641"/>
      <c r="L280" s="641"/>
      <c r="M280" s="641"/>
      <c r="N280" s="641"/>
      <c r="O280" s="366"/>
      <c r="P280" s="366"/>
      <c r="Q280" s="366"/>
      <c r="R280" s="611"/>
      <c r="S280" s="614"/>
      <c r="T280" s="588"/>
      <c r="U280" s="188"/>
      <c r="V280" s="366"/>
      <c r="W280" s="366"/>
      <c r="X280" s="366"/>
      <c r="Y280" s="366"/>
      <c r="Z280" s="366"/>
      <c r="AA280" s="366"/>
      <c r="AB280" s="366"/>
      <c r="AC280" s="366"/>
      <c r="AD280" s="366"/>
      <c r="AE280" s="366"/>
      <c r="AF280" s="366"/>
      <c r="AG280" s="366"/>
      <c r="AH280" s="366"/>
      <c r="AI280" s="366"/>
      <c r="AJ280" s="366"/>
      <c r="AK280" s="619"/>
      <c r="AL280" s="617"/>
    </row>
    <row r="281" spans="1:38" ht="15.75">
      <c r="A281" s="190"/>
      <c r="B281" s="324"/>
      <c r="C281" s="324"/>
      <c r="D281" s="366"/>
      <c r="E281" s="366"/>
      <c r="F281" s="639"/>
      <c r="G281" s="324"/>
      <c r="H281" s="324"/>
      <c r="I281" s="335"/>
      <c r="J281" s="366"/>
      <c r="K281" s="641"/>
      <c r="L281" s="641"/>
      <c r="M281" s="641"/>
      <c r="N281" s="641"/>
      <c r="O281" s="366"/>
      <c r="P281" s="366"/>
      <c r="Q281" s="366"/>
      <c r="R281" s="611"/>
      <c r="S281" s="614"/>
      <c r="T281" s="588"/>
      <c r="U281" s="188"/>
      <c r="V281" s="366"/>
      <c r="W281" s="366"/>
      <c r="X281" s="366"/>
      <c r="Y281" s="366"/>
      <c r="Z281" s="366"/>
      <c r="AA281" s="366"/>
      <c r="AB281" s="366"/>
      <c r="AC281" s="366"/>
      <c r="AD281" s="366"/>
      <c r="AE281" s="366"/>
      <c r="AF281" s="366"/>
      <c r="AG281" s="366"/>
      <c r="AH281" s="366"/>
      <c r="AI281" s="366"/>
      <c r="AJ281" s="366"/>
      <c r="AK281" s="619"/>
      <c r="AL281" s="617"/>
    </row>
    <row r="282" spans="1:38" ht="15.75">
      <c r="A282" s="190"/>
      <c r="B282" s="324"/>
      <c r="C282" s="324"/>
      <c r="D282" s="366"/>
      <c r="E282" s="366"/>
      <c r="F282" s="639"/>
      <c r="G282" s="324"/>
      <c r="H282" s="324"/>
      <c r="I282" s="335"/>
      <c r="J282" s="366"/>
      <c r="K282" s="641"/>
      <c r="L282" s="641"/>
      <c r="M282" s="641"/>
      <c r="N282" s="641"/>
      <c r="O282" s="366"/>
      <c r="P282" s="366"/>
      <c r="Q282" s="366"/>
      <c r="R282" s="611"/>
      <c r="S282" s="614"/>
      <c r="T282" s="588"/>
      <c r="U282" s="188"/>
      <c r="V282" s="366"/>
      <c r="W282" s="366"/>
      <c r="X282" s="366"/>
      <c r="Y282" s="366"/>
      <c r="Z282" s="366"/>
      <c r="AA282" s="366"/>
      <c r="AB282" s="366"/>
      <c r="AC282" s="366"/>
      <c r="AD282" s="366"/>
      <c r="AE282" s="366"/>
      <c r="AF282" s="366"/>
      <c r="AG282" s="366"/>
      <c r="AH282" s="366"/>
      <c r="AI282" s="366"/>
      <c r="AJ282" s="366"/>
      <c r="AK282" s="619"/>
      <c r="AL282" s="617"/>
    </row>
    <row r="283" spans="1:38" ht="15.75">
      <c r="A283" s="190"/>
      <c r="B283" s="324"/>
      <c r="C283" s="324"/>
      <c r="D283" s="366"/>
      <c r="E283" s="366"/>
      <c r="F283" s="639"/>
      <c r="G283" s="324"/>
      <c r="H283" s="324"/>
      <c r="I283" s="335"/>
      <c r="J283" s="366"/>
      <c r="K283" s="641"/>
      <c r="L283" s="641"/>
      <c r="M283" s="641"/>
      <c r="N283" s="641"/>
      <c r="O283" s="366"/>
      <c r="P283" s="366"/>
      <c r="Q283" s="366"/>
      <c r="R283" s="611"/>
      <c r="S283" s="614"/>
      <c r="T283" s="588"/>
      <c r="U283" s="188"/>
      <c r="V283" s="366"/>
      <c r="W283" s="366"/>
      <c r="X283" s="366"/>
      <c r="Y283" s="366"/>
      <c r="Z283" s="366"/>
      <c r="AA283" s="366"/>
      <c r="AB283" s="366"/>
      <c r="AC283" s="366"/>
      <c r="AD283" s="366"/>
      <c r="AE283" s="366"/>
      <c r="AF283" s="366"/>
      <c r="AG283" s="366"/>
      <c r="AH283" s="366"/>
      <c r="AI283" s="366"/>
      <c r="AJ283" s="366"/>
      <c r="AK283" s="619"/>
      <c r="AL283" s="617"/>
    </row>
    <row r="284" spans="1:38" ht="15.75">
      <c r="A284" s="190"/>
      <c r="B284" s="324"/>
      <c r="C284" s="324"/>
      <c r="D284" s="366"/>
      <c r="E284" s="366"/>
      <c r="F284" s="639"/>
      <c r="G284" s="324"/>
      <c r="H284" s="324"/>
      <c r="I284" s="335"/>
      <c r="J284" s="366"/>
      <c r="K284" s="641"/>
      <c r="L284" s="641"/>
      <c r="M284" s="641"/>
      <c r="N284" s="641"/>
      <c r="O284" s="366"/>
      <c r="P284" s="366"/>
      <c r="Q284" s="366"/>
      <c r="R284" s="611"/>
      <c r="S284" s="614"/>
      <c r="T284" s="588"/>
      <c r="U284" s="188"/>
      <c r="V284" s="366"/>
      <c r="W284" s="366"/>
      <c r="X284" s="366"/>
      <c r="Y284" s="366"/>
      <c r="Z284" s="366"/>
      <c r="AA284" s="366"/>
      <c r="AB284" s="366"/>
      <c r="AC284" s="366"/>
      <c r="AD284" s="366"/>
      <c r="AE284" s="366"/>
      <c r="AF284" s="366"/>
      <c r="AG284" s="366"/>
      <c r="AH284" s="366"/>
      <c r="AI284" s="366"/>
      <c r="AJ284" s="366"/>
      <c r="AK284" s="619"/>
      <c r="AL284" s="617"/>
    </row>
    <row r="285" spans="1:38" ht="15.75">
      <c r="A285" s="190"/>
      <c r="B285" s="324"/>
      <c r="C285" s="324"/>
      <c r="D285" s="366"/>
      <c r="E285" s="366"/>
      <c r="F285" s="639"/>
      <c r="G285" s="324"/>
      <c r="H285" s="324"/>
      <c r="I285" s="335"/>
      <c r="J285" s="366"/>
      <c r="K285" s="641"/>
      <c r="L285" s="641"/>
      <c r="M285" s="641"/>
      <c r="N285" s="641"/>
      <c r="O285" s="366"/>
      <c r="P285" s="366"/>
      <c r="Q285" s="366"/>
      <c r="R285" s="611"/>
      <c r="S285" s="614"/>
      <c r="T285" s="588"/>
      <c r="U285" s="188"/>
      <c r="V285" s="366"/>
      <c r="W285" s="366"/>
      <c r="X285" s="366"/>
      <c r="Y285" s="366"/>
      <c r="Z285" s="366"/>
      <c r="AA285" s="366"/>
      <c r="AB285" s="366"/>
      <c r="AC285" s="366"/>
      <c r="AD285" s="366"/>
      <c r="AE285" s="366"/>
      <c r="AF285" s="366"/>
      <c r="AG285" s="366"/>
      <c r="AH285" s="366"/>
      <c r="AI285" s="366"/>
      <c r="AJ285" s="366"/>
      <c r="AK285" s="619"/>
      <c r="AL285" s="617"/>
    </row>
    <row r="286" spans="1:38" ht="15.75">
      <c r="A286" s="190"/>
      <c r="B286" s="324"/>
      <c r="C286" s="324"/>
      <c r="D286" s="366"/>
      <c r="E286" s="366"/>
      <c r="F286" s="639"/>
      <c r="G286" s="324"/>
      <c r="H286" s="324"/>
      <c r="I286" s="335"/>
      <c r="J286" s="366"/>
      <c r="K286" s="641"/>
      <c r="L286" s="641"/>
      <c r="M286" s="641"/>
      <c r="N286" s="641"/>
      <c r="O286" s="366"/>
      <c r="P286" s="366"/>
      <c r="Q286" s="366"/>
      <c r="R286" s="611"/>
      <c r="S286" s="614"/>
      <c r="T286" s="588"/>
      <c r="U286" s="188"/>
      <c r="V286" s="366"/>
      <c r="W286" s="366"/>
      <c r="X286" s="366"/>
      <c r="Y286" s="366"/>
      <c r="Z286" s="366"/>
      <c r="AA286" s="366"/>
      <c r="AB286" s="366"/>
      <c r="AC286" s="366"/>
      <c r="AD286" s="366"/>
      <c r="AE286" s="366"/>
      <c r="AF286" s="366"/>
      <c r="AG286" s="366"/>
      <c r="AH286" s="366"/>
      <c r="AI286" s="366"/>
      <c r="AJ286" s="366"/>
      <c r="AK286" s="619"/>
      <c r="AL286" s="617"/>
    </row>
    <row r="287" spans="1:38" ht="15.75">
      <c r="A287" s="190"/>
      <c r="B287" s="324"/>
      <c r="C287" s="324"/>
      <c r="D287" s="366"/>
      <c r="E287" s="366"/>
      <c r="F287" s="639"/>
      <c r="G287" s="324"/>
      <c r="H287" s="324"/>
      <c r="I287" s="335"/>
      <c r="J287" s="366"/>
      <c r="K287" s="641"/>
      <c r="L287" s="641"/>
      <c r="M287" s="641"/>
      <c r="N287" s="641"/>
      <c r="O287" s="366"/>
      <c r="P287" s="366"/>
      <c r="Q287" s="366"/>
      <c r="R287" s="611"/>
      <c r="S287" s="614"/>
      <c r="T287" s="588"/>
      <c r="U287" s="188"/>
      <c r="V287" s="366"/>
      <c r="W287" s="366"/>
      <c r="X287" s="366"/>
      <c r="Y287" s="366"/>
      <c r="Z287" s="366"/>
      <c r="AA287" s="366"/>
      <c r="AB287" s="366"/>
      <c r="AC287" s="366"/>
      <c r="AD287" s="366"/>
      <c r="AE287" s="366"/>
      <c r="AF287" s="366"/>
      <c r="AG287" s="366"/>
      <c r="AH287" s="366"/>
      <c r="AI287" s="366"/>
      <c r="AJ287" s="366"/>
      <c r="AK287" s="619"/>
      <c r="AL287" s="617"/>
    </row>
    <row r="288" spans="1:38" ht="15.75">
      <c r="A288" s="190"/>
      <c r="B288" s="324"/>
      <c r="C288" s="324"/>
      <c r="D288" s="366"/>
      <c r="E288" s="366"/>
      <c r="F288" s="639"/>
      <c r="G288" s="324"/>
      <c r="H288" s="324"/>
      <c r="I288" s="335"/>
      <c r="J288" s="366"/>
      <c r="K288" s="641"/>
      <c r="L288" s="641"/>
      <c r="M288" s="641"/>
      <c r="N288" s="641"/>
      <c r="O288" s="366"/>
      <c r="P288" s="366"/>
      <c r="Q288" s="366"/>
      <c r="R288" s="611"/>
      <c r="S288" s="614"/>
      <c r="T288" s="588"/>
      <c r="U288" s="188"/>
      <c r="V288" s="366"/>
      <c r="W288" s="366"/>
      <c r="X288" s="366"/>
      <c r="Y288" s="366"/>
      <c r="Z288" s="366"/>
      <c r="AA288" s="366"/>
      <c r="AB288" s="366"/>
      <c r="AC288" s="366"/>
      <c r="AD288" s="366"/>
      <c r="AE288" s="366"/>
      <c r="AF288" s="366"/>
      <c r="AG288" s="366"/>
      <c r="AH288" s="366"/>
      <c r="AI288" s="366"/>
      <c r="AJ288" s="366"/>
      <c r="AK288" s="619"/>
      <c r="AL288" s="617"/>
    </row>
    <row r="289" spans="1:38" ht="15.75">
      <c r="A289" s="190"/>
      <c r="B289" s="324"/>
      <c r="C289" s="324"/>
      <c r="D289" s="366"/>
      <c r="E289" s="366"/>
      <c r="F289" s="639"/>
      <c r="G289" s="324"/>
      <c r="H289" s="324"/>
      <c r="I289" s="335"/>
      <c r="J289" s="366"/>
      <c r="K289" s="641"/>
      <c r="L289" s="641"/>
      <c r="M289" s="641"/>
      <c r="N289" s="641"/>
      <c r="O289" s="366"/>
      <c r="P289" s="366"/>
      <c r="Q289" s="366"/>
      <c r="R289" s="611"/>
      <c r="S289" s="614"/>
      <c r="T289" s="588"/>
      <c r="U289" s="188"/>
      <c r="V289" s="366"/>
      <c r="W289" s="366"/>
      <c r="X289" s="366"/>
      <c r="Y289" s="366"/>
      <c r="Z289" s="366"/>
      <c r="AA289" s="366"/>
      <c r="AB289" s="366"/>
      <c r="AC289" s="366"/>
      <c r="AD289" s="366"/>
      <c r="AE289" s="366"/>
      <c r="AF289" s="366"/>
      <c r="AG289" s="366"/>
      <c r="AH289" s="366"/>
      <c r="AI289" s="366"/>
      <c r="AJ289" s="366"/>
      <c r="AK289" s="619"/>
      <c r="AL289" s="617"/>
    </row>
    <row r="290" spans="1:38" ht="15.75">
      <c r="A290" s="190"/>
      <c r="B290" s="324"/>
      <c r="C290" s="324"/>
      <c r="D290" s="366"/>
      <c r="E290" s="366"/>
      <c r="F290" s="639"/>
      <c r="G290" s="324"/>
      <c r="H290" s="324"/>
      <c r="I290" s="335"/>
      <c r="J290" s="366"/>
      <c r="K290" s="641"/>
      <c r="L290" s="641"/>
      <c r="M290" s="641"/>
      <c r="N290" s="641"/>
      <c r="O290" s="366"/>
      <c r="P290" s="366"/>
      <c r="Q290" s="366"/>
      <c r="R290" s="611"/>
      <c r="S290" s="614"/>
      <c r="T290" s="588"/>
      <c r="U290" s="188"/>
      <c r="V290" s="366"/>
      <c r="W290" s="366"/>
      <c r="X290" s="366"/>
      <c r="Y290" s="366"/>
      <c r="Z290" s="366"/>
      <c r="AA290" s="366"/>
      <c r="AB290" s="366"/>
      <c r="AC290" s="366"/>
      <c r="AD290" s="366"/>
      <c r="AE290" s="366"/>
      <c r="AF290" s="366"/>
      <c r="AG290" s="366"/>
      <c r="AH290" s="366"/>
      <c r="AI290" s="366"/>
      <c r="AJ290" s="366"/>
      <c r="AK290" s="619"/>
      <c r="AL290" s="617"/>
    </row>
    <row r="291" spans="1:38" ht="15.75">
      <c r="A291" s="190"/>
      <c r="B291" s="324"/>
      <c r="C291" s="324"/>
      <c r="D291" s="366"/>
      <c r="E291" s="366"/>
      <c r="F291" s="639"/>
      <c r="G291" s="324"/>
      <c r="H291" s="324"/>
      <c r="I291" s="335"/>
      <c r="J291" s="366"/>
      <c r="K291" s="641"/>
      <c r="L291" s="641"/>
      <c r="M291" s="641"/>
      <c r="N291" s="641"/>
      <c r="O291" s="366"/>
      <c r="P291" s="366"/>
      <c r="Q291" s="366"/>
      <c r="R291" s="611"/>
      <c r="S291" s="614"/>
      <c r="T291" s="588"/>
      <c r="U291" s="188"/>
      <c r="V291" s="366"/>
      <c r="W291" s="366"/>
      <c r="X291" s="366"/>
      <c r="Y291" s="366"/>
      <c r="Z291" s="366"/>
      <c r="AA291" s="366"/>
      <c r="AB291" s="366"/>
      <c r="AC291" s="366"/>
      <c r="AD291" s="366"/>
      <c r="AE291" s="366"/>
      <c r="AF291" s="366"/>
      <c r="AG291" s="366"/>
      <c r="AH291" s="366"/>
      <c r="AI291" s="366"/>
      <c r="AJ291" s="366"/>
      <c r="AK291" s="619"/>
      <c r="AL291" s="617"/>
    </row>
    <row r="292" spans="1:38" ht="15.75">
      <c r="A292" s="190"/>
      <c r="B292" s="324"/>
      <c r="C292" s="324"/>
      <c r="D292" s="366"/>
      <c r="E292" s="366"/>
      <c r="F292" s="639"/>
      <c r="G292" s="324"/>
      <c r="H292" s="324"/>
      <c r="I292" s="335"/>
      <c r="J292" s="366"/>
      <c r="K292" s="641"/>
      <c r="L292" s="641"/>
      <c r="M292" s="641"/>
      <c r="N292" s="641"/>
      <c r="O292" s="366"/>
      <c r="P292" s="366"/>
      <c r="Q292" s="366"/>
      <c r="R292" s="611"/>
      <c r="S292" s="614"/>
      <c r="T292" s="588"/>
      <c r="U292" s="188"/>
      <c r="V292" s="366"/>
      <c r="W292" s="366"/>
      <c r="X292" s="366"/>
      <c r="Y292" s="366"/>
      <c r="Z292" s="366"/>
      <c r="AA292" s="366"/>
      <c r="AB292" s="366"/>
      <c r="AC292" s="366"/>
      <c r="AD292" s="366"/>
      <c r="AE292" s="366"/>
      <c r="AF292" s="366"/>
      <c r="AG292" s="366"/>
      <c r="AH292" s="366"/>
      <c r="AI292" s="366"/>
      <c r="AJ292" s="366"/>
      <c r="AK292" s="619"/>
      <c r="AL292" s="617"/>
    </row>
    <row r="293" spans="1:38" ht="15.75">
      <c r="A293" s="190"/>
      <c r="B293" s="324"/>
      <c r="C293" s="324"/>
      <c r="D293" s="366"/>
      <c r="E293" s="366"/>
      <c r="F293" s="639"/>
      <c r="G293" s="324"/>
      <c r="H293" s="324"/>
      <c r="I293" s="335"/>
      <c r="J293" s="366"/>
      <c r="K293" s="641"/>
      <c r="L293" s="641"/>
      <c r="M293" s="641"/>
      <c r="N293" s="641"/>
      <c r="O293" s="366"/>
      <c r="P293" s="366"/>
      <c r="Q293" s="366"/>
      <c r="R293" s="611"/>
      <c r="S293" s="614"/>
      <c r="T293" s="588"/>
      <c r="U293" s="188"/>
      <c r="V293" s="366"/>
      <c r="W293" s="366"/>
      <c r="X293" s="366"/>
      <c r="Y293" s="366"/>
      <c r="Z293" s="366"/>
      <c r="AA293" s="366"/>
      <c r="AB293" s="366"/>
      <c r="AC293" s="366"/>
      <c r="AD293" s="366"/>
      <c r="AE293" s="366"/>
      <c r="AF293" s="366"/>
      <c r="AG293" s="366"/>
      <c r="AH293" s="366"/>
      <c r="AI293" s="366"/>
      <c r="AJ293" s="366"/>
      <c r="AK293" s="619"/>
      <c r="AL293" s="617"/>
    </row>
    <row r="294" spans="1:38" ht="15.75">
      <c r="A294" s="190"/>
      <c r="B294" s="324"/>
      <c r="C294" s="324"/>
      <c r="D294" s="366"/>
      <c r="E294" s="366"/>
      <c r="F294" s="639"/>
      <c r="G294" s="324"/>
      <c r="H294" s="324"/>
      <c r="I294" s="335"/>
      <c r="J294" s="366"/>
      <c r="K294" s="641"/>
      <c r="L294" s="641"/>
      <c r="M294" s="641"/>
      <c r="N294" s="641"/>
      <c r="O294" s="366"/>
      <c r="P294" s="366"/>
      <c r="Q294" s="366"/>
      <c r="R294" s="611"/>
      <c r="S294" s="614"/>
      <c r="T294" s="588"/>
      <c r="U294" s="188"/>
      <c r="V294" s="366"/>
      <c r="W294" s="366"/>
      <c r="X294" s="366"/>
      <c r="Y294" s="366"/>
      <c r="Z294" s="366"/>
      <c r="AA294" s="366"/>
      <c r="AB294" s="366"/>
      <c r="AC294" s="366"/>
      <c r="AD294" s="366"/>
      <c r="AE294" s="366"/>
      <c r="AF294" s="366"/>
      <c r="AG294" s="366"/>
      <c r="AH294" s="366"/>
      <c r="AI294" s="366"/>
      <c r="AJ294" s="366"/>
      <c r="AK294" s="619"/>
      <c r="AL294" s="617"/>
    </row>
    <row r="295" spans="1:38" ht="15.75">
      <c r="A295" s="190"/>
      <c r="B295" s="324"/>
      <c r="C295" s="324"/>
      <c r="D295" s="366"/>
      <c r="E295" s="366"/>
      <c r="F295" s="639"/>
      <c r="G295" s="324"/>
      <c r="H295" s="324"/>
      <c r="I295" s="335"/>
      <c r="J295" s="366"/>
      <c r="K295" s="641"/>
      <c r="L295" s="641"/>
      <c r="M295" s="641"/>
      <c r="N295" s="641"/>
      <c r="O295" s="366"/>
      <c r="P295" s="366"/>
      <c r="Q295" s="366"/>
      <c r="R295" s="611"/>
      <c r="S295" s="614"/>
      <c r="T295" s="588"/>
      <c r="U295" s="188"/>
      <c r="V295" s="366"/>
      <c r="W295" s="366"/>
      <c r="X295" s="366"/>
      <c r="Y295" s="366"/>
      <c r="Z295" s="366"/>
      <c r="AA295" s="366"/>
      <c r="AB295" s="366"/>
      <c r="AC295" s="366"/>
      <c r="AD295" s="366"/>
      <c r="AE295" s="366"/>
      <c r="AF295" s="366"/>
      <c r="AG295" s="366"/>
      <c r="AH295" s="366"/>
      <c r="AI295" s="366"/>
      <c r="AJ295" s="366"/>
      <c r="AK295" s="619"/>
      <c r="AL295" s="617"/>
    </row>
    <row r="296" spans="1:38" ht="15.75">
      <c r="A296" s="190"/>
      <c r="B296" s="324"/>
      <c r="C296" s="324"/>
      <c r="D296" s="366"/>
      <c r="E296" s="366"/>
      <c r="F296" s="639"/>
      <c r="G296" s="324"/>
      <c r="H296" s="324"/>
      <c r="I296" s="335"/>
      <c r="J296" s="366"/>
      <c r="K296" s="641"/>
      <c r="L296" s="641"/>
      <c r="M296" s="641"/>
      <c r="N296" s="641"/>
      <c r="O296" s="366"/>
      <c r="P296" s="366"/>
      <c r="Q296" s="366"/>
      <c r="R296" s="611"/>
      <c r="S296" s="614"/>
      <c r="T296" s="588"/>
      <c r="U296" s="188"/>
      <c r="V296" s="366"/>
      <c r="W296" s="366"/>
      <c r="X296" s="366"/>
      <c r="Y296" s="366"/>
      <c r="Z296" s="366"/>
      <c r="AA296" s="366"/>
      <c r="AB296" s="366"/>
      <c r="AC296" s="366"/>
      <c r="AD296" s="366"/>
      <c r="AE296" s="366"/>
      <c r="AF296" s="366"/>
      <c r="AG296" s="366"/>
      <c r="AH296" s="366"/>
      <c r="AI296" s="366"/>
      <c r="AJ296" s="366"/>
      <c r="AK296" s="619"/>
      <c r="AL296" s="617"/>
    </row>
    <row r="297" spans="1:38" ht="15.75">
      <c r="A297" s="190"/>
      <c r="B297" s="324"/>
      <c r="C297" s="324"/>
      <c r="D297" s="366"/>
      <c r="E297" s="366"/>
      <c r="F297" s="639"/>
      <c r="G297" s="324"/>
      <c r="H297" s="324"/>
      <c r="I297" s="335"/>
      <c r="J297" s="366"/>
      <c r="K297" s="641"/>
      <c r="L297" s="641"/>
      <c r="M297" s="641"/>
      <c r="N297" s="641"/>
      <c r="O297" s="366"/>
      <c r="P297" s="366"/>
      <c r="Q297" s="366"/>
      <c r="R297" s="611"/>
      <c r="S297" s="614"/>
      <c r="T297" s="588"/>
      <c r="U297" s="188"/>
      <c r="V297" s="366"/>
      <c r="W297" s="366"/>
      <c r="X297" s="366"/>
      <c r="Y297" s="366"/>
      <c r="Z297" s="366"/>
      <c r="AA297" s="366"/>
      <c r="AB297" s="366"/>
      <c r="AC297" s="366"/>
      <c r="AD297" s="366"/>
      <c r="AE297" s="366"/>
      <c r="AF297" s="366"/>
      <c r="AG297" s="366"/>
      <c r="AH297" s="366"/>
      <c r="AI297" s="366"/>
      <c r="AJ297" s="366"/>
      <c r="AK297" s="619"/>
      <c r="AL297" s="617"/>
    </row>
    <row r="298" spans="1:38" ht="15.75">
      <c r="A298" s="190"/>
      <c r="B298" s="324"/>
      <c r="C298" s="324"/>
      <c r="D298" s="366"/>
      <c r="E298" s="366"/>
      <c r="F298" s="639"/>
      <c r="G298" s="324"/>
      <c r="H298" s="324"/>
      <c r="I298" s="335"/>
      <c r="J298" s="366"/>
      <c r="K298" s="641"/>
      <c r="L298" s="641"/>
      <c r="M298" s="641"/>
      <c r="N298" s="641"/>
      <c r="O298" s="366"/>
      <c r="P298" s="366"/>
      <c r="Q298" s="366"/>
      <c r="R298" s="611"/>
      <c r="S298" s="614"/>
      <c r="T298" s="588"/>
      <c r="U298" s="188"/>
      <c r="V298" s="366"/>
      <c r="W298" s="366"/>
      <c r="X298" s="366"/>
      <c r="Y298" s="366"/>
      <c r="Z298" s="366"/>
      <c r="AA298" s="366"/>
      <c r="AB298" s="366"/>
      <c r="AC298" s="366"/>
      <c r="AD298" s="366"/>
      <c r="AE298" s="366"/>
      <c r="AF298" s="366"/>
      <c r="AG298" s="366"/>
      <c r="AH298" s="366"/>
      <c r="AI298" s="366"/>
      <c r="AJ298" s="366"/>
      <c r="AK298" s="619"/>
      <c r="AL298" s="617"/>
    </row>
    <row r="299" spans="1:38" ht="15.75">
      <c r="A299" s="190"/>
      <c r="B299" s="324"/>
      <c r="C299" s="324"/>
      <c r="D299" s="366"/>
      <c r="E299" s="366"/>
      <c r="F299" s="639"/>
      <c r="G299" s="324"/>
      <c r="H299" s="324"/>
      <c r="I299" s="335"/>
      <c r="J299" s="366"/>
      <c r="K299" s="641"/>
      <c r="L299" s="641"/>
      <c r="M299" s="641"/>
      <c r="N299" s="641"/>
      <c r="O299" s="366"/>
      <c r="P299" s="366"/>
      <c r="Q299" s="366"/>
      <c r="R299" s="611"/>
      <c r="S299" s="614"/>
      <c r="T299" s="588"/>
      <c r="U299" s="188"/>
      <c r="V299" s="366"/>
      <c r="W299" s="366"/>
      <c r="X299" s="366"/>
      <c r="Y299" s="366"/>
      <c r="Z299" s="366"/>
      <c r="AA299" s="366"/>
      <c r="AB299" s="366"/>
      <c r="AC299" s="366"/>
      <c r="AD299" s="366"/>
      <c r="AE299" s="366"/>
      <c r="AF299" s="366"/>
      <c r="AG299" s="366"/>
      <c r="AH299" s="366"/>
      <c r="AI299" s="366"/>
      <c r="AJ299" s="366"/>
      <c r="AK299" s="619"/>
      <c r="AL299" s="617"/>
    </row>
    <row r="300" spans="1:38" ht="15.75">
      <c r="A300" s="190"/>
      <c r="B300" s="324"/>
      <c r="C300" s="324"/>
      <c r="D300" s="366"/>
      <c r="E300" s="366"/>
      <c r="F300" s="639"/>
      <c r="G300" s="324"/>
      <c r="H300" s="324"/>
      <c r="I300" s="335"/>
      <c r="J300" s="366"/>
      <c r="K300" s="641"/>
      <c r="L300" s="641"/>
      <c r="M300" s="641"/>
      <c r="N300" s="641"/>
      <c r="O300" s="366"/>
      <c r="P300" s="366"/>
      <c r="Q300" s="366"/>
      <c r="R300" s="611"/>
      <c r="S300" s="614"/>
      <c r="T300" s="588"/>
      <c r="U300" s="188"/>
      <c r="V300" s="366"/>
      <c r="W300" s="366"/>
      <c r="X300" s="366"/>
      <c r="Y300" s="366"/>
      <c r="Z300" s="366"/>
      <c r="AA300" s="366"/>
      <c r="AB300" s="366"/>
      <c r="AC300" s="366"/>
      <c r="AD300" s="366"/>
      <c r="AE300" s="366"/>
      <c r="AF300" s="366"/>
      <c r="AG300" s="366"/>
      <c r="AH300" s="366"/>
      <c r="AI300" s="366"/>
      <c r="AJ300" s="366"/>
      <c r="AK300" s="619"/>
      <c r="AL300" s="617"/>
    </row>
    <row r="301" spans="1:38" ht="15.75">
      <c r="A301" s="190"/>
      <c r="B301" s="324"/>
      <c r="C301" s="324"/>
      <c r="D301" s="366"/>
      <c r="E301" s="366"/>
      <c r="F301" s="639"/>
      <c r="G301" s="324"/>
      <c r="H301" s="324"/>
      <c r="I301" s="335"/>
      <c r="J301" s="366"/>
      <c r="K301" s="641"/>
      <c r="L301" s="641"/>
      <c r="M301" s="641"/>
      <c r="N301" s="641"/>
      <c r="O301" s="366"/>
      <c r="P301" s="366"/>
      <c r="Q301" s="366"/>
      <c r="R301" s="611"/>
      <c r="S301" s="614"/>
      <c r="T301" s="588"/>
      <c r="U301" s="188"/>
      <c r="V301" s="366"/>
      <c r="W301" s="366"/>
      <c r="X301" s="366"/>
      <c r="Y301" s="366"/>
      <c r="Z301" s="366"/>
      <c r="AA301" s="366"/>
      <c r="AB301" s="366"/>
      <c r="AC301" s="366"/>
      <c r="AD301" s="366"/>
      <c r="AE301" s="366"/>
      <c r="AF301" s="366"/>
      <c r="AG301" s="366"/>
      <c r="AH301" s="366"/>
      <c r="AI301" s="366"/>
      <c r="AJ301" s="366"/>
      <c r="AK301" s="619"/>
      <c r="AL301" s="617"/>
    </row>
    <row r="302" spans="1:38" ht="15.75">
      <c r="A302" s="190"/>
      <c r="B302" s="324"/>
      <c r="C302" s="324"/>
      <c r="D302" s="366"/>
      <c r="E302" s="366"/>
      <c r="F302" s="639"/>
      <c r="G302" s="324"/>
      <c r="H302" s="324"/>
      <c r="I302" s="335"/>
      <c r="J302" s="366"/>
      <c r="K302" s="641"/>
      <c r="L302" s="641"/>
      <c r="M302" s="641"/>
      <c r="N302" s="641"/>
      <c r="O302" s="366"/>
      <c r="P302" s="366"/>
      <c r="Q302" s="366"/>
      <c r="R302" s="611"/>
      <c r="S302" s="614"/>
      <c r="T302" s="588"/>
      <c r="U302" s="188"/>
      <c r="V302" s="366"/>
      <c r="W302" s="366"/>
      <c r="X302" s="366"/>
      <c r="Y302" s="366"/>
      <c r="Z302" s="366"/>
      <c r="AA302" s="366"/>
      <c r="AB302" s="366"/>
      <c r="AC302" s="366"/>
      <c r="AD302" s="366"/>
      <c r="AE302" s="366"/>
      <c r="AF302" s="366"/>
      <c r="AG302" s="366"/>
      <c r="AH302" s="366"/>
      <c r="AI302" s="366"/>
      <c r="AJ302" s="366"/>
      <c r="AK302" s="619"/>
      <c r="AL302" s="617"/>
    </row>
    <row r="303" spans="1:38" ht="15.75">
      <c r="A303" s="190"/>
      <c r="B303" s="324"/>
      <c r="C303" s="324"/>
      <c r="D303" s="366"/>
      <c r="E303" s="366"/>
      <c r="F303" s="639"/>
      <c r="G303" s="324"/>
      <c r="H303" s="324"/>
      <c r="I303" s="335"/>
      <c r="J303" s="366"/>
      <c r="K303" s="641"/>
      <c r="L303" s="641"/>
      <c r="M303" s="641"/>
      <c r="N303" s="641"/>
      <c r="O303" s="366"/>
      <c r="P303" s="366"/>
      <c r="Q303" s="366"/>
      <c r="R303" s="611"/>
      <c r="S303" s="614"/>
      <c r="T303" s="588"/>
      <c r="U303" s="188"/>
      <c r="V303" s="366"/>
      <c r="W303" s="366"/>
      <c r="X303" s="366"/>
      <c r="Y303" s="366"/>
      <c r="Z303" s="366"/>
      <c r="AA303" s="366"/>
      <c r="AB303" s="366"/>
      <c r="AC303" s="366"/>
      <c r="AD303" s="366"/>
      <c r="AE303" s="366"/>
      <c r="AF303" s="366"/>
      <c r="AG303" s="366"/>
      <c r="AH303" s="366"/>
      <c r="AI303" s="366"/>
      <c r="AJ303" s="366"/>
      <c r="AK303" s="619"/>
      <c r="AL303" s="617"/>
    </row>
    <row r="304" spans="1:38" ht="15.75">
      <c r="A304" s="190"/>
      <c r="B304" s="324"/>
      <c r="C304" s="324"/>
      <c r="D304" s="366"/>
      <c r="E304" s="366"/>
      <c r="F304" s="639"/>
      <c r="G304" s="324"/>
      <c r="H304" s="324"/>
      <c r="I304" s="335"/>
      <c r="J304" s="366"/>
      <c r="K304" s="641"/>
      <c r="L304" s="641"/>
      <c r="M304" s="641"/>
      <c r="N304" s="641"/>
      <c r="O304" s="366"/>
      <c r="P304" s="366"/>
      <c r="Q304" s="366"/>
      <c r="R304" s="611"/>
      <c r="S304" s="614"/>
      <c r="T304" s="588"/>
      <c r="U304" s="188"/>
      <c r="V304" s="366"/>
      <c r="W304" s="366"/>
      <c r="X304" s="366"/>
      <c r="Y304" s="366"/>
      <c r="Z304" s="366"/>
      <c r="AA304" s="366"/>
      <c r="AB304" s="366"/>
      <c r="AC304" s="366"/>
      <c r="AD304" s="366"/>
      <c r="AE304" s="366"/>
      <c r="AF304" s="366"/>
      <c r="AG304" s="366"/>
      <c r="AH304" s="366"/>
      <c r="AI304" s="366"/>
      <c r="AJ304" s="366"/>
      <c r="AK304" s="619"/>
      <c r="AL304" s="617"/>
    </row>
    <row r="305" spans="1:38" ht="15.75">
      <c r="A305" s="190"/>
      <c r="B305" s="324"/>
      <c r="C305" s="324"/>
      <c r="D305" s="366"/>
      <c r="E305" s="366"/>
      <c r="F305" s="639"/>
      <c r="G305" s="324"/>
      <c r="H305" s="324"/>
      <c r="I305" s="335"/>
      <c r="J305" s="366"/>
      <c r="K305" s="641"/>
      <c r="L305" s="641"/>
      <c r="M305" s="641"/>
      <c r="N305" s="641"/>
      <c r="O305" s="366"/>
      <c r="P305" s="366"/>
      <c r="Q305" s="366"/>
      <c r="R305" s="611"/>
      <c r="S305" s="614"/>
      <c r="T305" s="588"/>
      <c r="U305" s="188"/>
      <c r="V305" s="366"/>
      <c r="W305" s="366"/>
      <c r="X305" s="366"/>
      <c r="Y305" s="366"/>
      <c r="Z305" s="366"/>
      <c r="AA305" s="366"/>
      <c r="AB305" s="366"/>
      <c r="AC305" s="366"/>
      <c r="AD305" s="366"/>
      <c r="AE305" s="366"/>
      <c r="AF305" s="366"/>
      <c r="AG305" s="366"/>
      <c r="AH305" s="366"/>
      <c r="AI305" s="366"/>
      <c r="AJ305" s="366"/>
      <c r="AK305" s="619"/>
      <c r="AL305" s="617"/>
    </row>
    <row r="306" spans="1:38" ht="15.75">
      <c r="A306" s="190"/>
      <c r="B306" s="324"/>
      <c r="C306" s="324"/>
      <c r="D306" s="366"/>
      <c r="E306" s="366"/>
      <c r="F306" s="639"/>
      <c r="G306" s="324"/>
      <c r="H306" s="324"/>
      <c r="I306" s="335"/>
      <c r="J306" s="366"/>
      <c r="K306" s="641"/>
      <c r="L306" s="641"/>
      <c r="M306" s="641"/>
      <c r="N306" s="641"/>
      <c r="O306" s="366"/>
      <c r="P306" s="366"/>
      <c r="Q306" s="366"/>
      <c r="R306" s="611"/>
      <c r="S306" s="614"/>
      <c r="T306" s="588"/>
      <c r="U306" s="188"/>
      <c r="V306" s="366"/>
      <c r="W306" s="366"/>
      <c r="X306" s="366"/>
      <c r="Y306" s="366"/>
      <c r="Z306" s="366"/>
      <c r="AA306" s="366"/>
      <c r="AB306" s="366"/>
      <c r="AC306" s="366"/>
      <c r="AD306" s="366"/>
      <c r="AE306" s="366"/>
      <c r="AF306" s="366"/>
      <c r="AG306" s="366"/>
      <c r="AH306" s="366"/>
      <c r="AI306" s="366"/>
      <c r="AJ306" s="366"/>
      <c r="AK306" s="619"/>
      <c r="AL306" s="617"/>
    </row>
    <row r="307" spans="1:38" ht="15.75">
      <c r="A307" s="190"/>
      <c r="B307" s="324"/>
      <c r="C307" s="324"/>
      <c r="D307" s="366"/>
      <c r="E307" s="366"/>
      <c r="F307" s="639"/>
      <c r="G307" s="324"/>
      <c r="H307" s="324"/>
      <c r="I307" s="335"/>
      <c r="J307" s="366"/>
      <c r="K307" s="641"/>
      <c r="L307" s="641"/>
      <c r="M307" s="641"/>
      <c r="N307" s="641"/>
      <c r="O307" s="366"/>
      <c r="P307" s="366"/>
      <c r="Q307" s="366"/>
      <c r="R307" s="611"/>
      <c r="S307" s="614"/>
      <c r="T307" s="588"/>
      <c r="U307" s="188"/>
      <c r="V307" s="366"/>
      <c r="W307" s="366"/>
      <c r="X307" s="366"/>
      <c r="Y307" s="366"/>
      <c r="Z307" s="366"/>
      <c r="AA307" s="366"/>
      <c r="AB307" s="366"/>
      <c r="AC307" s="366"/>
      <c r="AD307" s="366"/>
      <c r="AE307" s="366"/>
      <c r="AF307" s="366"/>
      <c r="AG307" s="366"/>
      <c r="AH307" s="366"/>
      <c r="AI307" s="366"/>
      <c r="AJ307" s="366"/>
      <c r="AK307" s="619"/>
      <c r="AL307" s="617"/>
    </row>
    <row r="308" spans="1:38" ht="15.75">
      <c r="A308" s="190"/>
      <c r="B308" s="324"/>
      <c r="C308" s="324"/>
      <c r="D308" s="366"/>
      <c r="E308" s="366"/>
      <c r="F308" s="639"/>
      <c r="G308" s="324"/>
      <c r="H308" s="324"/>
      <c r="I308" s="335"/>
      <c r="J308" s="366"/>
      <c r="K308" s="641"/>
      <c r="L308" s="641"/>
      <c r="M308" s="641"/>
      <c r="N308" s="641"/>
      <c r="O308" s="366"/>
      <c r="P308" s="366"/>
      <c r="Q308" s="366"/>
      <c r="R308" s="611"/>
      <c r="S308" s="614"/>
      <c r="T308" s="588"/>
      <c r="U308" s="188"/>
      <c r="V308" s="366"/>
      <c r="W308" s="366"/>
      <c r="X308" s="366"/>
      <c r="Y308" s="366"/>
      <c r="Z308" s="366"/>
      <c r="AA308" s="366"/>
      <c r="AB308" s="366"/>
      <c r="AC308" s="366"/>
      <c r="AD308" s="366"/>
      <c r="AE308" s="366"/>
      <c r="AF308" s="366"/>
      <c r="AG308" s="366"/>
      <c r="AH308" s="366"/>
      <c r="AI308" s="366"/>
      <c r="AJ308" s="366"/>
      <c r="AK308" s="619"/>
      <c r="AL308" s="617"/>
    </row>
    <row r="309" spans="1:38" ht="15.75">
      <c r="A309" s="190"/>
      <c r="B309" s="324"/>
      <c r="C309" s="324"/>
      <c r="D309" s="366"/>
      <c r="E309" s="366"/>
      <c r="F309" s="639"/>
      <c r="G309" s="324"/>
      <c r="H309" s="324"/>
      <c r="I309" s="335"/>
      <c r="J309" s="366"/>
      <c r="K309" s="641"/>
      <c r="L309" s="641"/>
      <c r="M309" s="641"/>
      <c r="N309" s="641"/>
      <c r="O309" s="366"/>
      <c r="P309" s="366"/>
      <c r="Q309" s="366"/>
      <c r="R309" s="611"/>
      <c r="S309" s="614"/>
      <c r="T309" s="588"/>
      <c r="U309" s="188"/>
      <c r="V309" s="366"/>
      <c r="W309" s="366"/>
      <c r="X309" s="366"/>
      <c r="Y309" s="366"/>
      <c r="Z309" s="366"/>
      <c r="AA309" s="366"/>
      <c r="AB309" s="366"/>
      <c r="AC309" s="366"/>
      <c r="AD309" s="366"/>
      <c r="AE309" s="366"/>
      <c r="AF309" s="366"/>
      <c r="AG309" s="366"/>
      <c r="AH309" s="366"/>
      <c r="AI309" s="366"/>
      <c r="AJ309" s="366"/>
      <c r="AK309" s="619"/>
      <c r="AL309" s="617"/>
    </row>
    <row r="310" spans="1:38" ht="15.75">
      <c r="A310" s="190"/>
      <c r="B310" s="324"/>
      <c r="C310" s="324"/>
      <c r="D310" s="366"/>
      <c r="E310" s="366"/>
      <c r="F310" s="639"/>
      <c r="G310" s="324"/>
      <c r="H310" s="324"/>
      <c r="I310" s="335"/>
      <c r="J310" s="366"/>
      <c r="K310" s="641"/>
      <c r="L310" s="641"/>
      <c r="M310" s="641"/>
      <c r="N310" s="641"/>
      <c r="O310" s="366"/>
      <c r="P310" s="366"/>
      <c r="Q310" s="366"/>
      <c r="R310" s="611"/>
      <c r="S310" s="614"/>
      <c r="T310" s="588"/>
      <c r="U310" s="188"/>
      <c r="V310" s="366"/>
      <c r="W310" s="366"/>
      <c r="X310" s="366"/>
      <c r="Y310" s="366"/>
      <c r="Z310" s="366"/>
      <c r="AA310" s="366"/>
      <c r="AB310" s="366"/>
      <c r="AC310" s="366"/>
      <c r="AD310" s="366"/>
      <c r="AE310" s="366"/>
      <c r="AF310" s="366"/>
      <c r="AG310" s="366"/>
      <c r="AH310" s="366"/>
      <c r="AI310" s="366"/>
      <c r="AJ310" s="366"/>
      <c r="AK310" s="619"/>
      <c r="AL310" s="617"/>
    </row>
    <row r="311" spans="1:38" ht="15.75">
      <c r="A311" s="190"/>
      <c r="B311" s="324"/>
      <c r="C311" s="324"/>
      <c r="D311" s="366"/>
      <c r="E311" s="366"/>
      <c r="F311" s="639"/>
      <c r="G311" s="324"/>
      <c r="H311" s="324"/>
      <c r="I311" s="335"/>
      <c r="J311" s="366"/>
      <c r="K311" s="641"/>
      <c r="L311" s="641"/>
      <c r="M311" s="641"/>
      <c r="N311" s="641"/>
      <c r="O311" s="366"/>
      <c r="P311" s="366"/>
      <c r="Q311" s="366"/>
      <c r="R311" s="611"/>
      <c r="S311" s="614"/>
      <c r="T311" s="588"/>
      <c r="U311" s="188"/>
      <c r="V311" s="366"/>
      <c r="W311" s="366"/>
      <c r="X311" s="366"/>
      <c r="Y311" s="366"/>
      <c r="Z311" s="366"/>
      <c r="AA311" s="366"/>
      <c r="AB311" s="366"/>
      <c r="AC311" s="366"/>
      <c r="AD311" s="366"/>
      <c r="AE311" s="366"/>
      <c r="AF311" s="366"/>
      <c r="AG311" s="366"/>
      <c r="AH311" s="366"/>
      <c r="AI311" s="366"/>
      <c r="AJ311" s="366"/>
      <c r="AK311" s="619"/>
      <c r="AL311" s="617"/>
    </row>
    <row r="312" spans="1:38" ht="15.75">
      <c r="A312" s="190"/>
      <c r="B312" s="324"/>
      <c r="C312" s="324"/>
      <c r="D312" s="366"/>
      <c r="E312" s="366"/>
      <c r="F312" s="639"/>
      <c r="G312" s="324"/>
      <c r="H312" s="324"/>
      <c r="I312" s="335"/>
      <c r="J312" s="366"/>
      <c r="K312" s="641"/>
      <c r="L312" s="641"/>
      <c r="M312" s="641"/>
      <c r="N312" s="641"/>
      <c r="O312" s="366"/>
      <c r="P312" s="366"/>
      <c r="Q312" s="366"/>
      <c r="R312" s="611"/>
      <c r="S312" s="614"/>
      <c r="T312" s="588"/>
      <c r="U312" s="188"/>
      <c r="V312" s="366"/>
      <c r="W312" s="366"/>
      <c r="X312" s="366"/>
      <c r="Y312" s="366"/>
      <c r="Z312" s="366"/>
      <c r="AA312" s="366"/>
      <c r="AB312" s="366"/>
      <c r="AC312" s="366"/>
      <c r="AD312" s="366"/>
      <c r="AE312" s="366"/>
      <c r="AF312" s="366"/>
      <c r="AG312" s="366"/>
      <c r="AH312" s="366"/>
      <c r="AI312" s="366"/>
      <c r="AJ312" s="366"/>
      <c r="AK312" s="619"/>
      <c r="AL312" s="617"/>
    </row>
    <row r="313" spans="1:38" ht="15.75">
      <c r="A313" s="190"/>
      <c r="B313" s="324"/>
      <c r="C313" s="324"/>
      <c r="D313" s="366"/>
      <c r="E313" s="366"/>
      <c r="F313" s="639"/>
      <c r="G313" s="324"/>
      <c r="H313" s="324"/>
      <c r="I313" s="335"/>
      <c r="J313" s="366"/>
      <c r="K313" s="641"/>
      <c r="L313" s="641"/>
      <c r="M313" s="641"/>
      <c r="N313" s="641"/>
      <c r="O313" s="366"/>
      <c r="P313" s="366"/>
      <c r="Q313" s="366"/>
      <c r="R313" s="611"/>
      <c r="S313" s="614"/>
      <c r="T313" s="588"/>
      <c r="U313" s="188"/>
      <c r="V313" s="366"/>
      <c r="W313" s="366"/>
      <c r="X313" s="366"/>
      <c r="Y313" s="366"/>
      <c r="Z313" s="366"/>
      <c r="AA313" s="366"/>
      <c r="AB313" s="366"/>
      <c r="AC313" s="366"/>
      <c r="AD313" s="366"/>
      <c r="AE313" s="366"/>
      <c r="AF313" s="366"/>
      <c r="AG313" s="366"/>
      <c r="AH313" s="366"/>
      <c r="AI313" s="366"/>
      <c r="AJ313" s="366"/>
      <c r="AK313" s="619"/>
      <c r="AL313" s="617"/>
    </row>
    <row r="314" spans="1:38" ht="15.75">
      <c r="A314" s="190"/>
      <c r="B314" s="324"/>
      <c r="C314" s="324"/>
      <c r="D314" s="366"/>
      <c r="E314" s="366"/>
      <c r="F314" s="639"/>
      <c r="G314" s="324"/>
      <c r="H314" s="324"/>
      <c r="I314" s="335"/>
      <c r="J314" s="366"/>
      <c r="K314" s="641"/>
      <c r="L314" s="641"/>
      <c r="M314" s="641"/>
      <c r="N314" s="641"/>
      <c r="O314" s="366"/>
      <c r="P314" s="366"/>
      <c r="Q314" s="366"/>
      <c r="R314" s="611"/>
      <c r="S314" s="614"/>
      <c r="T314" s="588"/>
      <c r="U314" s="188"/>
      <c r="V314" s="366"/>
      <c r="W314" s="366"/>
      <c r="X314" s="366"/>
      <c r="Y314" s="366"/>
      <c r="Z314" s="366"/>
      <c r="AA314" s="366"/>
      <c r="AB314" s="366"/>
      <c r="AC314" s="366"/>
      <c r="AD314" s="366"/>
      <c r="AE314" s="366"/>
      <c r="AF314" s="366"/>
      <c r="AG314" s="366"/>
      <c r="AH314" s="366"/>
      <c r="AI314" s="366"/>
      <c r="AJ314" s="366"/>
      <c r="AK314" s="619"/>
      <c r="AL314" s="617"/>
    </row>
    <row r="315" spans="1:38" ht="15.75">
      <c r="A315" s="190"/>
      <c r="B315" s="324"/>
      <c r="C315" s="324"/>
      <c r="D315" s="366"/>
      <c r="E315" s="366"/>
      <c r="F315" s="639"/>
      <c r="G315" s="324"/>
      <c r="H315" s="324"/>
      <c r="I315" s="335"/>
      <c r="J315" s="366"/>
      <c r="K315" s="641"/>
      <c r="L315" s="641"/>
      <c r="M315" s="641"/>
      <c r="N315" s="641"/>
      <c r="O315" s="366"/>
      <c r="P315" s="366"/>
      <c r="Q315" s="366"/>
      <c r="R315" s="611"/>
      <c r="S315" s="614"/>
      <c r="T315" s="588"/>
      <c r="U315" s="188"/>
      <c r="V315" s="366"/>
      <c r="W315" s="366"/>
      <c r="X315" s="366"/>
      <c r="Y315" s="366"/>
      <c r="Z315" s="366"/>
      <c r="AA315" s="366"/>
      <c r="AB315" s="366"/>
      <c r="AC315" s="366"/>
      <c r="AD315" s="366"/>
      <c r="AE315" s="366"/>
      <c r="AF315" s="366"/>
      <c r="AG315" s="366"/>
      <c r="AH315" s="366"/>
      <c r="AI315" s="366"/>
      <c r="AJ315" s="366"/>
      <c r="AK315" s="619"/>
      <c r="AL315" s="617"/>
    </row>
    <row r="316" spans="1:38" ht="15.75">
      <c r="A316" s="190"/>
      <c r="B316" s="324"/>
      <c r="C316" s="324"/>
      <c r="D316" s="366"/>
      <c r="E316" s="366"/>
      <c r="F316" s="639"/>
      <c r="G316" s="324"/>
      <c r="H316" s="324"/>
      <c r="I316" s="335"/>
      <c r="J316" s="366"/>
      <c r="K316" s="641"/>
      <c r="L316" s="641"/>
      <c r="M316" s="641"/>
      <c r="N316" s="641"/>
      <c r="O316" s="366"/>
      <c r="P316" s="366"/>
      <c r="Q316" s="366"/>
      <c r="R316" s="611"/>
      <c r="S316" s="614"/>
      <c r="T316" s="588"/>
      <c r="U316" s="188"/>
      <c r="V316" s="366"/>
      <c r="W316" s="366"/>
      <c r="X316" s="366"/>
      <c r="Y316" s="366"/>
      <c r="Z316" s="366"/>
      <c r="AA316" s="366"/>
      <c r="AB316" s="366"/>
      <c r="AC316" s="366"/>
      <c r="AD316" s="366"/>
      <c r="AE316" s="366"/>
      <c r="AF316" s="366"/>
      <c r="AG316" s="366"/>
      <c r="AH316" s="366"/>
      <c r="AI316" s="366"/>
      <c r="AJ316" s="366"/>
      <c r="AK316" s="619"/>
      <c r="AL316" s="617"/>
    </row>
    <row r="317" spans="1:38" ht="15.75">
      <c r="A317" s="190"/>
      <c r="B317" s="324"/>
      <c r="C317" s="324"/>
      <c r="D317" s="366"/>
      <c r="E317" s="366"/>
      <c r="F317" s="639"/>
      <c r="G317" s="324"/>
      <c r="H317" s="324"/>
      <c r="I317" s="335"/>
      <c r="J317" s="366"/>
      <c r="K317" s="641"/>
      <c r="L317" s="641"/>
      <c r="M317" s="641"/>
      <c r="N317" s="641"/>
      <c r="O317" s="366"/>
      <c r="P317" s="366"/>
      <c r="Q317" s="366"/>
      <c r="R317" s="611"/>
      <c r="S317" s="614"/>
      <c r="T317" s="588"/>
      <c r="U317" s="188"/>
      <c r="V317" s="366"/>
      <c r="W317" s="366"/>
      <c r="X317" s="366"/>
      <c r="Y317" s="366"/>
      <c r="Z317" s="366"/>
      <c r="AA317" s="366"/>
      <c r="AB317" s="366"/>
      <c r="AC317" s="366"/>
      <c r="AD317" s="366"/>
      <c r="AE317" s="366"/>
      <c r="AF317" s="366"/>
      <c r="AG317" s="366"/>
      <c r="AH317" s="366"/>
      <c r="AI317" s="366"/>
      <c r="AJ317" s="366"/>
      <c r="AK317" s="619"/>
      <c r="AL317" s="617"/>
    </row>
    <row r="318" spans="1:38" ht="15.75">
      <c r="A318" s="190"/>
      <c r="B318" s="324"/>
      <c r="C318" s="324"/>
      <c r="D318" s="366"/>
      <c r="E318" s="366"/>
      <c r="F318" s="639"/>
      <c r="G318" s="324"/>
      <c r="H318" s="324"/>
      <c r="I318" s="335"/>
      <c r="J318" s="366"/>
      <c r="K318" s="641"/>
      <c r="L318" s="641"/>
      <c r="M318" s="641"/>
      <c r="N318" s="641"/>
      <c r="O318" s="366"/>
      <c r="P318" s="366"/>
      <c r="Q318" s="366"/>
      <c r="R318" s="611"/>
      <c r="S318" s="614"/>
      <c r="T318" s="588"/>
      <c r="U318" s="188"/>
      <c r="V318" s="366"/>
      <c r="W318" s="366"/>
      <c r="X318" s="366"/>
      <c r="Y318" s="366"/>
      <c r="Z318" s="366"/>
      <c r="AA318" s="366"/>
      <c r="AB318" s="366"/>
      <c r="AC318" s="366"/>
      <c r="AD318" s="366"/>
      <c r="AE318" s="366"/>
      <c r="AF318" s="366"/>
      <c r="AG318" s="366"/>
      <c r="AH318" s="366"/>
      <c r="AI318" s="366"/>
      <c r="AJ318" s="366"/>
      <c r="AK318" s="619"/>
      <c r="AL318" s="617"/>
    </row>
    <row r="319" spans="1:38" ht="15.75">
      <c r="A319" s="190"/>
      <c r="B319" s="324"/>
      <c r="C319" s="324"/>
      <c r="D319" s="366"/>
      <c r="E319" s="366"/>
      <c r="F319" s="639"/>
      <c r="G319" s="324"/>
      <c r="H319" s="324"/>
      <c r="I319" s="335"/>
      <c r="J319" s="366"/>
      <c r="K319" s="641"/>
      <c r="L319" s="641"/>
      <c r="M319" s="641"/>
      <c r="N319" s="641"/>
      <c r="O319" s="366"/>
      <c r="P319" s="366"/>
      <c r="Q319" s="366"/>
      <c r="R319" s="611"/>
      <c r="S319" s="614"/>
      <c r="T319" s="588"/>
      <c r="U319" s="188"/>
      <c r="V319" s="366"/>
      <c r="W319" s="366"/>
      <c r="X319" s="366"/>
      <c r="Y319" s="366"/>
      <c r="Z319" s="366"/>
      <c r="AA319" s="366"/>
      <c r="AB319" s="366"/>
      <c r="AC319" s="366"/>
      <c r="AD319" s="366"/>
      <c r="AE319" s="366"/>
      <c r="AF319" s="366"/>
      <c r="AG319" s="366"/>
      <c r="AH319" s="366"/>
      <c r="AI319" s="366"/>
      <c r="AJ319" s="366"/>
      <c r="AK319" s="619"/>
      <c r="AL319" s="617"/>
    </row>
    <row r="320" spans="1:38" ht="15.75">
      <c r="A320" s="190"/>
      <c r="B320" s="324"/>
      <c r="C320" s="324"/>
      <c r="D320" s="366"/>
      <c r="E320" s="366"/>
      <c r="F320" s="639"/>
      <c r="G320" s="324"/>
      <c r="H320" s="324"/>
      <c r="I320" s="335"/>
      <c r="J320" s="366"/>
      <c r="K320" s="641"/>
      <c r="L320" s="641"/>
      <c r="M320" s="641"/>
      <c r="N320" s="641"/>
      <c r="O320" s="366"/>
      <c r="P320" s="366"/>
      <c r="Q320" s="366"/>
      <c r="R320" s="611"/>
      <c r="S320" s="614"/>
      <c r="T320" s="588"/>
      <c r="U320" s="188"/>
      <c r="V320" s="366"/>
      <c r="W320" s="366"/>
      <c r="X320" s="366"/>
      <c r="Y320" s="366"/>
      <c r="Z320" s="366"/>
      <c r="AA320" s="366"/>
      <c r="AB320" s="366"/>
      <c r="AC320" s="366"/>
      <c r="AD320" s="366"/>
      <c r="AE320" s="366"/>
      <c r="AF320" s="366"/>
      <c r="AG320" s="366"/>
      <c r="AH320" s="366"/>
      <c r="AI320" s="366"/>
      <c r="AJ320" s="366"/>
      <c r="AK320" s="619"/>
      <c r="AL320" s="617"/>
    </row>
    <row r="321" spans="1:38" ht="15.75">
      <c r="A321" s="190"/>
      <c r="B321" s="324"/>
      <c r="C321" s="324"/>
      <c r="D321" s="366"/>
      <c r="E321" s="366"/>
      <c r="F321" s="639"/>
      <c r="G321" s="324"/>
      <c r="H321" s="324"/>
      <c r="I321" s="335"/>
      <c r="J321" s="366"/>
      <c r="K321" s="641"/>
      <c r="L321" s="641"/>
      <c r="M321" s="641"/>
      <c r="N321" s="641"/>
      <c r="O321" s="366"/>
      <c r="P321" s="366"/>
      <c r="Q321" s="366"/>
      <c r="R321" s="611"/>
      <c r="S321" s="614"/>
      <c r="T321" s="588"/>
      <c r="U321" s="188"/>
      <c r="V321" s="366"/>
      <c r="W321" s="366"/>
      <c r="X321" s="366"/>
      <c r="Y321" s="366"/>
      <c r="Z321" s="366"/>
      <c r="AA321" s="366"/>
      <c r="AB321" s="366"/>
      <c r="AC321" s="366"/>
      <c r="AD321" s="366"/>
      <c r="AE321" s="366"/>
      <c r="AF321" s="366"/>
      <c r="AG321" s="366"/>
      <c r="AH321" s="366"/>
      <c r="AI321" s="366"/>
      <c r="AJ321" s="366"/>
      <c r="AK321" s="619"/>
      <c r="AL321" s="617"/>
    </row>
    <row r="322" spans="1:38" ht="15.75">
      <c r="A322" s="190"/>
      <c r="B322" s="324"/>
      <c r="C322" s="324"/>
      <c r="D322" s="366"/>
      <c r="E322" s="366"/>
      <c r="F322" s="639"/>
      <c r="G322" s="324"/>
      <c r="H322" s="324"/>
      <c r="I322" s="335"/>
      <c r="J322" s="366"/>
      <c r="K322" s="641"/>
      <c r="L322" s="641"/>
      <c r="M322" s="641"/>
      <c r="N322" s="641"/>
      <c r="O322" s="366"/>
      <c r="P322" s="366"/>
      <c r="Q322" s="366"/>
      <c r="R322" s="611"/>
      <c r="S322" s="614"/>
      <c r="T322" s="588"/>
      <c r="U322" s="188"/>
      <c r="V322" s="366"/>
      <c r="W322" s="366"/>
      <c r="X322" s="366"/>
      <c r="Y322" s="366"/>
      <c r="Z322" s="366"/>
      <c r="AA322" s="366"/>
      <c r="AB322" s="366"/>
      <c r="AC322" s="366"/>
      <c r="AD322" s="366"/>
      <c r="AE322" s="366"/>
      <c r="AF322" s="366"/>
      <c r="AG322" s="366"/>
      <c r="AH322" s="366"/>
      <c r="AI322" s="366"/>
      <c r="AJ322" s="366"/>
      <c r="AK322" s="619"/>
      <c r="AL322" s="617"/>
    </row>
    <row r="323" spans="1:38" ht="15.75">
      <c r="A323" s="190"/>
      <c r="B323" s="324"/>
      <c r="C323" s="324"/>
      <c r="D323" s="366"/>
      <c r="E323" s="366"/>
      <c r="F323" s="639"/>
      <c r="G323" s="324"/>
      <c r="H323" s="324"/>
      <c r="I323" s="335"/>
      <c r="J323" s="366"/>
      <c r="K323" s="641"/>
      <c r="L323" s="641"/>
      <c r="M323" s="641"/>
      <c r="N323" s="641"/>
      <c r="O323" s="366"/>
      <c r="P323" s="366"/>
      <c r="Q323" s="366"/>
      <c r="R323" s="611"/>
      <c r="S323" s="614"/>
      <c r="T323" s="588"/>
      <c r="U323" s="188"/>
      <c r="V323" s="366"/>
      <c r="W323" s="366"/>
      <c r="X323" s="366"/>
      <c r="Y323" s="366"/>
      <c r="Z323" s="366"/>
      <c r="AA323" s="366"/>
      <c r="AB323" s="366"/>
      <c r="AC323" s="366"/>
      <c r="AD323" s="366"/>
      <c r="AE323" s="366"/>
      <c r="AF323" s="366"/>
      <c r="AG323" s="366"/>
      <c r="AH323" s="366"/>
      <c r="AI323" s="366"/>
      <c r="AJ323" s="366"/>
      <c r="AK323" s="619"/>
      <c r="AL323" s="617"/>
    </row>
    <row r="324" spans="1:38" ht="15.75">
      <c r="A324" s="190"/>
      <c r="B324" s="324"/>
      <c r="C324" s="324"/>
      <c r="D324" s="366"/>
      <c r="E324" s="366"/>
      <c r="F324" s="639"/>
      <c r="G324" s="324"/>
      <c r="H324" s="324"/>
      <c r="I324" s="335"/>
      <c r="J324" s="366"/>
      <c r="K324" s="641"/>
      <c r="L324" s="641"/>
      <c r="M324" s="641"/>
      <c r="N324" s="641"/>
      <c r="O324" s="366"/>
      <c r="P324" s="366"/>
      <c r="Q324" s="366"/>
      <c r="R324" s="611"/>
      <c r="S324" s="614"/>
      <c r="T324" s="588"/>
      <c r="U324" s="188"/>
      <c r="V324" s="366"/>
      <c r="W324" s="366"/>
      <c r="X324" s="366"/>
      <c r="Y324" s="366"/>
      <c r="Z324" s="366"/>
      <c r="AA324" s="366"/>
      <c r="AB324" s="366"/>
      <c r="AC324" s="366"/>
      <c r="AD324" s="366"/>
      <c r="AE324" s="366"/>
      <c r="AF324" s="366"/>
      <c r="AG324" s="366"/>
      <c r="AH324" s="366"/>
      <c r="AI324" s="366"/>
      <c r="AJ324" s="366"/>
      <c r="AK324" s="619"/>
      <c r="AL324" s="617"/>
    </row>
    <row r="325" spans="1:38" ht="15.75">
      <c r="A325" s="190"/>
      <c r="B325" s="324"/>
      <c r="C325" s="324"/>
      <c r="D325" s="366"/>
      <c r="E325" s="366"/>
      <c r="F325" s="639"/>
      <c r="G325" s="324"/>
      <c r="H325" s="324"/>
      <c r="I325" s="335"/>
      <c r="J325" s="366"/>
      <c r="K325" s="641"/>
      <c r="L325" s="641"/>
      <c r="M325" s="641"/>
      <c r="N325" s="641"/>
      <c r="O325" s="366"/>
      <c r="P325" s="366"/>
      <c r="Q325" s="366"/>
      <c r="R325" s="611"/>
      <c r="S325" s="614"/>
      <c r="T325" s="588"/>
      <c r="U325" s="188"/>
      <c r="V325" s="366"/>
      <c r="W325" s="366"/>
      <c r="X325" s="366"/>
      <c r="Y325" s="366"/>
      <c r="Z325" s="366"/>
      <c r="AA325" s="366"/>
      <c r="AB325" s="366"/>
      <c r="AC325" s="366"/>
      <c r="AD325" s="366"/>
      <c r="AE325" s="366"/>
      <c r="AF325" s="366"/>
      <c r="AG325" s="366"/>
      <c r="AH325" s="366"/>
      <c r="AI325" s="366"/>
      <c r="AJ325" s="366"/>
      <c r="AK325" s="619"/>
      <c r="AL325" s="617"/>
    </row>
    <row r="326" spans="1:38" ht="15.75">
      <c r="A326" s="190"/>
      <c r="B326" s="324"/>
      <c r="C326" s="324"/>
      <c r="D326" s="366"/>
      <c r="E326" s="366"/>
      <c r="F326" s="639"/>
      <c r="G326" s="324"/>
      <c r="H326" s="324"/>
      <c r="I326" s="335"/>
      <c r="J326" s="366"/>
      <c r="K326" s="641"/>
      <c r="L326" s="641"/>
      <c r="M326" s="641"/>
      <c r="N326" s="641"/>
      <c r="O326" s="366"/>
      <c r="P326" s="366"/>
      <c r="Q326" s="366"/>
      <c r="R326" s="611"/>
      <c r="S326" s="614"/>
      <c r="T326" s="588"/>
      <c r="U326" s="188"/>
      <c r="V326" s="366"/>
      <c r="W326" s="366"/>
      <c r="X326" s="366"/>
      <c r="Y326" s="366"/>
      <c r="Z326" s="366"/>
      <c r="AA326" s="366"/>
      <c r="AB326" s="366"/>
      <c r="AC326" s="366"/>
      <c r="AD326" s="366"/>
      <c r="AE326" s="366"/>
      <c r="AF326" s="366"/>
      <c r="AG326" s="366"/>
      <c r="AH326" s="366"/>
      <c r="AI326" s="366"/>
      <c r="AJ326" s="366"/>
      <c r="AK326" s="619"/>
      <c r="AL326" s="617"/>
    </row>
    <row r="327" spans="1:38" ht="15.75">
      <c r="A327" s="190"/>
      <c r="B327" s="324"/>
      <c r="C327" s="324"/>
      <c r="D327" s="366"/>
      <c r="E327" s="366"/>
      <c r="F327" s="639"/>
      <c r="G327" s="324"/>
      <c r="H327" s="324"/>
      <c r="I327" s="335"/>
      <c r="J327" s="366"/>
      <c r="K327" s="641"/>
      <c r="L327" s="641"/>
      <c r="M327" s="641"/>
      <c r="N327" s="641"/>
      <c r="O327" s="366"/>
      <c r="P327" s="366"/>
      <c r="Q327" s="366"/>
      <c r="R327" s="611"/>
      <c r="S327" s="614"/>
      <c r="T327" s="588"/>
      <c r="U327" s="188"/>
      <c r="V327" s="366"/>
      <c r="W327" s="366"/>
      <c r="X327" s="366"/>
      <c r="Y327" s="366"/>
      <c r="Z327" s="366"/>
      <c r="AA327" s="366"/>
      <c r="AB327" s="366"/>
      <c r="AC327" s="366"/>
      <c r="AD327" s="366"/>
      <c r="AE327" s="366"/>
      <c r="AF327" s="366"/>
      <c r="AG327" s="366"/>
      <c r="AH327" s="366"/>
      <c r="AI327" s="366"/>
      <c r="AJ327" s="366"/>
      <c r="AK327" s="619"/>
      <c r="AL327" s="617"/>
    </row>
    <row r="328" spans="1:38" ht="15.75">
      <c r="A328" s="190"/>
      <c r="B328" s="324"/>
      <c r="C328" s="324"/>
      <c r="D328" s="366"/>
      <c r="E328" s="366"/>
      <c r="F328" s="639"/>
      <c r="G328" s="324"/>
      <c r="H328" s="324"/>
      <c r="I328" s="335"/>
      <c r="J328" s="366"/>
      <c r="K328" s="641"/>
      <c r="L328" s="641"/>
      <c r="M328" s="641"/>
      <c r="N328" s="641"/>
      <c r="O328" s="366"/>
      <c r="P328" s="366"/>
      <c r="Q328" s="366"/>
      <c r="R328" s="611"/>
      <c r="S328" s="614"/>
      <c r="T328" s="588"/>
      <c r="U328" s="188"/>
      <c r="V328" s="366"/>
      <c r="W328" s="366"/>
      <c r="X328" s="366"/>
      <c r="Y328" s="366"/>
      <c r="Z328" s="366"/>
      <c r="AA328" s="366"/>
      <c r="AB328" s="366"/>
      <c r="AC328" s="366"/>
      <c r="AD328" s="366"/>
      <c r="AE328" s="366"/>
      <c r="AF328" s="366"/>
      <c r="AG328" s="366"/>
      <c r="AH328" s="366"/>
      <c r="AI328" s="366"/>
      <c r="AJ328" s="366"/>
      <c r="AK328" s="619"/>
      <c r="AL328" s="617"/>
    </row>
    <row r="329" spans="1:38" ht="15.75">
      <c r="A329" s="190"/>
      <c r="B329" s="324"/>
      <c r="C329" s="324"/>
      <c r="D329" s="366"/>
      <c r="E329" s="366"/>
      <c r="F329" s="639"/>
      <c r="G329" s="324"/>
      <c r="H329" s="324"/>
      <c r="I329" s="335"/>
      <c r="J329" s="366"/>
      <c r="K329" s="641"/>
      <c r="L329" s="641"/>
      <c r="M329" s="641"/>
      <c r="N329" s="641"/>
      <c r="O329" s="366"/>
      <c r="P329" s="366"/>
      <c r="Q329" s="366"/>
      <c r="R329" s="611"/>
      <c r="S329" s="614"/>
      <c r="T329" s="588"/>
      <c r="U329" s="188"/>
      <c r="V329" s="366"/>
      <c r="W329" s="366"/>
      <c r="X329" s="366"/>
      <c r="Y329" s="366"/>
      <c r="Z329" s="366"/>
      <c r="AA329" s="366"/>
      <c r="AB329" s="366"/>
      <c r="AC329" s="366"/>
      <c r="AD329" s="366"/>
      <c r="AE329" s="366"/>
      <c r="AF329" s="366"/>
      <c r="AG329" s="366"/>
      <c r="AH329" s="366"/>
      <c r="AI329" s="366"/>
      <c r="AJ329" s="366"/>
      <c r="AK329" s="619"/>
      <c r="AL329" s="617"/>
    </row>
    <row r="330" spans="1:38" ht="15.75">
      <c r="A330" s="190"/>
      <c r="B330" s="324"/>
      <c r="C330" s="324"/>
      <c r="D330" s="366"/>
      <c r="E330" s="366"/>
      <c r="F330" s="639"/>
      <c r="G330" s="324"/>
      <c r="H330" s="324"/>
      <c r="I330" s="335"/>
      <c r="J330" s="366"/>
      <c r="K330" s="641"/>
      <c r="L330" s="641"/>
      <c r="M330" s="641"/>
      <c r="N330" s="641"/>
      <c r="O330" s="366"/>
      <c r="P330" s="366"/>
      <c r="Q330" s="366"/>
      <c r="R330" s="611"/>
      <c r="S330" s="614"/>
      <c r="T330" s="588"/>
      <c r="U330" s="188"/>
      <c r="V330" s="366"/>
      <c r="W330" s="366"/>
      <c r="X330" s="366"/>
      <c r="Y330" s="366"/>
      <c r="Z330" s="366"/>
      <c r="AA330" s="366"/>
      <c r="AB330" s="366"/>
      <c r="AC330" s="366"/>
      <c r="AD330" s="366"/>
      <c r="AE330" s="366"/>
      <c r="AF330" s="366"/>
      <c r="AG330" s="366"/>
      <c r="AH330" s="366"/>
      <c r="AI330" s="366"/>
      <c r="AJ330" s="366"/>
      <c r="AK330" s="619"/>
      <c r="AL330" s="617"/>
    </row>
    <row r="331" spans="1:38" ht="15.75">
      <c r="A331" s="190"/>
      <c r="B331" s="324"/>
      <c r="C331" s="324"/>
      <c r="D331" s="366"/>
      <c r="E331" s="366"/>
      <c r="F331" s="639"/>
      <c r="G331" s="324"/>
      <c r="H331" s="324"/>
      <c r="I331" s="335"/>
      <c r="J331" s="366"/>
      <c r="K331" s="641"/>
      <c r="L331" s="641"/>
      <c r="M331" s="641"/>
      <c r="N331" s="641"/>
      <c r="O331" s="366"/>
      <c r="P331" s="366"/>
      <c r="Q331" s="366"/>
      <c r="R331" s="611"/>
      <c r="S331" s="614"/>
      <c r="T331" s="588"/>
      <c r="U331" s="188"/>
      <c r="V331" s="366"/>
      <c r="W331" s="366"/>
      <c r="X331" s="366"/>
      <c r="Y331" s="366"/>
      <c r="Z331" s="366"/>
      <c r="AA331" s="366"/>
      <c r="AB331" s="366"/>
      <c r="AC331" s="366"/>
      <c r="AD331" s="366"/>
      <c r="AE331" s="366"/>
      <c r="AF331" s="366"/>
      <c r="AG331" s="366"/>
      <c r="AH331" s="366"/>
      <c r="AI331" s="366"/>
      <c r="AJ331" s="366"/>
      <c r="AK331" s="619"/>
      <c r="AL331" s="617"/>
    </row>
    <row r="332" spans="1:38" ht="15.75">
      <c r="A332" s="190"/>
      <c r="B332" s="324"/>
      <c r="C332" s="324"/>
      <c r="D332" s="366"/>
      <c r="E332" s="366"/>
      <c r="F332" s="639"/>
      <c r="G332" s="324"/>
      <c r="H332" s="324"/>
      <c r="I332" s="335"/>
      <c r="J332" s="366"/>
      <c r="K332" s="641"/>
      <c r="L332" s="641"/>
      <c r="M332" s="641"/>
      <c r="N332" s="641"/>
      <c r="O332" s="366"/>
      <c r="P332" s="366"/>
      <c r="Q332" s="366"/>
      <c r="R332" s="611"/>
      <c r="S332" s="614"/>
      <c r="T332" s="588"/>
      <c r="U332" s="188"/>
      <c r="V332" s="366"/>
      <c r="W332" s="366"/>
      <c r="X332" s="366"/>
      <c r="Y332" s="366"/>
      <c r="Z332" s="366"/>
      <c r="AA332" s="366"/>
      <c r="AB332" s="366"/>
      <c r="AC332" s="366"/>
      <c r="AD332" s="366"/>
      <c r="AE332" s="366"/>
      <c r="AF332" s="366"/>
      <c r="AG332" s="366"/>
      <c r="AH332" s="366"/>
      <c r="AI332" s="366"/>
      <c r="AJ332" s="366"/>
      <c r="AK332" s="619"/>
      <c r="AL332" s="617"/>
    </row>
    <row r="333" spans="1:38" ht="15.75">
      <c r="A333" s="190"/>
      <c r="B333" s="324"/>
      <c r="C333" s="324"/>
      <c r="D333" s="366"/>
      <c r="E333" s="366"/>
      <c r="F333" s="639"/>
      <c r="G333" s="324"/>
      <c r="H333" s="324"/>
      <c r="I333" s="335"/>
      <c r="J333" s="366"/>
      <c r="K333" s="641"/>
      <c r="L333" s="641"/>
      <c r="M333" s="641"/>
      <c r="N333" s="641"/>
      <c r="O333" s="366"/>
      <c r="P333" s="366"/>
      <c r="Q333" s="366"/>
      <c r="R333" s="611"/>
      <c r="S333" s="614"/>
      <c r="T333" s="588"/>
      <c r="U333" s="188"/>
      <c r="V333" s="366"/>
      <c r="W333" s="366"/>
      <c r="X333" s="366"/>
      <c r="Y333" s="366"/>
      <c r="Z333" s="366"/>
      <c r="AA333" s="366"/>
      <c r="AB333" s="366"/>
      <c r="AC333" s="366"/>
      <c r="AD333" s="366"/>
      <c r="AE333" s="366"/>
      <c r="AF333" s="366"/>
      <c r="AG333" s="366"/>
      <c r="AH333" s="366"/>
      <c r="AI333" s="366"/>
      <c r="AJ333" s="366"/>
      <c r="AK333" s="619"/>
      <c r="AL333" s="617"/>
    </row>
    <row r="334" spans="1:38" ht="15.75">
      <c r="A334" s="190"/>
      <c r="B334" s="324"/>
      <c r="C334" s="324"/>
      <c r="D334" s="366"/>
      <c r="E334" s="366"/>
      <c r="F334" s="639"/>
      <c r="G334" s="324"/>
      <c r="H334" s="324"/>
      <c r="I334" s="335"/>
      <c r="J334" s="366"/>
      <c r="K334" s="641"/>
      <c r="L334" s="641"/>
      <c r="M334" s="641"/>
      <c r="N334" s="641"/>
      <c r="O334" s="366"/>
      <c r="P334" s="366"/>
      <c r="Q334" s="366"/>
      <c r="R334" s="611"/>
      <c r="S334" s="614"/>
      <c r="T334" s="588"/>
      <c r="U334" s="188"/>
      <c r="V334" s="366"/>
      <c r="W334" s="366"/>
      <c r="X334" s="366"/>
      <c r="Y334" s="366"/>
      <c r="Z334" s="366"/>
      <c r="AA334" s="366"/>
      <c r="AB334" s="366"/>
      <c r="AC334" s="366"/>
      <c r="AD334" s="366"/>
      <c r="AE334" s="366"/>
      <c r="AF334" s="366"/>
      <c r="AG334" s="366"/>
      <c r="AH334" s="366"/>
      <c r="AI334" s="366"/>
      <c r="AJ334" s="366"/>
      <c r="AK334" s="619"/>
      <c r="AL334" s="617"/>
    </row>
    <row r="335" spans="1:38" ht="15.75">
      <c r="A335" s="190"/>
      <c r="B335" s="324"/>
      <c r="C335" s="324"/>
      <c r="D335" s="366"/>
      <c r="E335" s="366"/>
      <c r="F335" s="639"/>
      <c r="G335" s="324"/>
      <c r="H335" s="324"/>
      <c r="I335" s="335"/>
      <c r="J335" s="366"/>
      <c r="K335" s="641"/>
      <c r="L335" s="641"/>
      <c r="M335" s="641"/>
      <c r="N335" s="641"/>
      <c r="O335" s="366"/>
      <c r="P335" s="366"/>
      <c r="Q335" s="366"/>
      <c r="R335" s="611"/>
      <c r="S335" s="614"/>
      <c r="T335" s="588"/>
      <c r="U335" s="188"/>
      <c r="V335" s="366"/>
      <c r="W335" s="366"/>
      <c r="X335" s="366"/>
      <c r="Y335" s="366"/>
      <c r="Z335" s="366"/>
      <c r="AA335" s="366"/>
      <c r="AB335" s="366"/>
      <c r="AC335" s="366"/>
      <c r="AD335" s="366"/>
      <c r="AE335" s="366"/>
      <c r="AF335" s="366"/>
      <c r="AG335" s="366"/>
      <c r="AH335" s="366"/>
      <c r="AI335" s="366"/>
      <c r="AJ335" s="366"/>
      <c r="AK335" s="619"/>
      <c r="AL335" s="617"/>
    </row>
    <row r="336" spans="1:38" ht="15.75">
      <c r="A336" s="190"/>
      <c r="B336" s="324"/>
      <c r="C336" s="324"/>
      <c r="D336" s="366"/>
      <c r="E336" s="366"/>
      <c r="F336" s="639"/>
      <c r="G336" s="324"/>
      <c r="H336" s="324"/>
      <c r="I336" s="335"/>
      <c r="J336" s="366"/>
      <c r="K336" s="641"/>
      <c r="L336" s="641"/>
      <c r="M336" s="641"/>
      <c r="N336" s="641"/>
      <c r="O336" s="366"/>
      <c r="P336" s="366"/>
      <c r="Q336" s="366"/>
      <c r="R336" s="611"/>
      <c r="S336" s="614"/>
      <c r="T336" s="588"/>
      <c r="U336" s="188"/>
      <c r="V336" s="366"/>
      <c r="W336" s="366"/>
      <c r="X336" s="366"/>
      <c r="Y336" s="366"/>
      <c r="Z336" s="366"/>
      <c r="AA336" s="366"/>
      <c r="AB336" s="366"/>
      <c r="AC336" s="366"/>
      <c r="AD336" s="366"/>
      <c r="AE336" s="366"/>
      <c r="AF336" s="366"/>
      <c r="AG336" s="366"/>
      <c r="AH336" s="366"/>
      <c r="AI336" s="366"/>
      <c r="AJ336" s="366"/>
      <c r="AK336" s="619"/>
      <c r="AL336" s="617"/>
    </row>
    <row r="337" spans="1:38" ht="15.75">
      <c r="A337" s="190"/>
      <c r="B337" s="324"/>
      <c r="C337" s="324"/>
      <c r="D337" s="366"/>
      <c r="E337" s="366"/>
      <c r="F337" s="639"/>
      <c r="G337" s="324"/>
      <c r="H337" s="324"/>
      <c r="I337" s="335"/>
      <c r="J337" s="366"/>
      <c r="K337" s="641"/>
      <c r="L337" s="641"/>
      <c r="M337" s="641"/>
      <c r="N337" s="641"/>
      <c r="O337" s="366"/>
      <c r="P337" s="366"/>
      <c r="Q337" s="366"/>
      <c r="R337" s="611"/>
      <c r="S337" s="614"/>
      <c r="T337" s="588"/>
      <c r="U337" s="188"/>
      <c r="V337" s="366"/>
      <c r="W337" s="366"/>
      <c r="X337" s="366"/>
      <c r="Y337" s="366"/>
      <c r="Z337" s="366"/>
      <c r="AA337" s="366"/>
      <c r="AB337" s="366"/>
      <c r="AC337" s="366"/>
      <c r="AD337" s="366"/>
      <c r="AE337" s="366"/>
      <c r="AF337" s="366"/>
      <c r="AG337" s="366"/>
      <c r="AH337" s="366"/>
      <c r="AI337" s="366"/>
      <c r="AJ337" s="366"/>
      <c r="AK337" s="619"/>
      <c r="AL337" s="617"/>
    </row>
    <row r="338" spans="1:38" ht="15.75">
      <c r="A338" s="190"/>
      <c r="B338" s="324"/>
      <c r="C338" s="324"/>
      <c r="D338" s="366"/>
      <c r="E338" s="366"/>
      <c r="F338" s="639"/>
      <c r="G338" s="324"/>
      <c r="H338" s="324"/>
      <c r="I338" s="335"/>
      <c r="J338" s="366"/>
      <c r="K338" s="641"/>
      <c r="L338" s="641"/>
      <c r="M338" s="641"/>
      <c r="N338" s="641"/>
      <c r="O338" s="366"/>
      <c r="P338" s="366"/>
      <c r="Q338" s="366"/>
      <c r="R338" s="611"/>
      <c r="S338" s="614"/>
      <c r="T338" s="588"/>
      <c r="U338" s="188"/>
      <c r="V338" s="366"/>
      <c r="W338" s="366"/>
      <c r="X338" s="366"/>
      <c r="Y338" s="366"/>
      <c r="Z338" s="366"/>
      <c r="AA338" s="366"/>
      <c r="AB338" s="366"/>
      <c r="AC338" s="366"/>
      <c r="AD338" s="366"/>
      <c r="AE338" s="366"/>
      <c r="AF338" s="366"/>
      <c r="AG338" s="366"/>
      <c r="AH338" s="366"/>
      <c r="AI338" s="366"/>
      <c r="AJ338" s="366"/>
      <c r="AK338" s="619"/>
      <c r="AL338" s="617"/>
    </row>
    <row r="339" spans="1:38" ht="15.75">
      <c r="A339" s="190"/>
      <c r="B339" s="324"/>
      <c r="C339" s="324"/>
      <c r="D339" s="366"/>
      <c r="E339" s="366"/>
      <c r="F339" s="639"/>
      <c r="G339" s="324"/>
      <c r="H339" s="324"/>
      <c r="I339" s="335"/>
      <c r="J339" s="366"/>
      <c r="K339" s="641"/>
      <c r="L339" s="641"/>
      <c r="M339" s="641"/>
      <c r="N339" s="641"/>
      <c r="O339" s="366"/>
      <c r="P339" s="366"/>
      <c r="Q339" s="366"/>
      <c r="R339" s="611"/>
      <c r="S339" s="614"/>
      <c r="T339" s="588"/>
      <c r="U339" s="188"/>
      <c r="V339" s="366"/>
      <c r="W339" s="366"/>
      <c r="X339" s="366"/>
      <c r="Y339" s="366"/>
      <c r="Z339" s="366"/>
      <c r="AA339" s="366"/>
      <c r="AB339" s="366"/>
      <c r="AC339" s="366"/>
      <c r="AD339" s="366"/>
      <c r="AE339" s="366"/>
      <c r="AF339" s="366"/>
      <c r="AG339" s="366"/>
      <c r="AH339" s="366"/>
      <c r="AI339" s="366"/>
      <c r="AJ339" s="366"/>
      <c r="AK339" s="619"/>
      <c r="AL339" s="617"/>
    </row>
    <row r="340" spans="1:38" ht="15.75">
      <c r="A340" s="190"/>
      <c r="B340" s="324"/>
      <c r="C340" s="324"/>
      <c r="D340" s="366"/>
      <c r="E340" s="366"/>
      <c r="F340" s="639"/>
      <c r="G340" s="324"/>
      <c r="H340" s="324"/>
      <c r="I340" s="335"/>
      <c r="J340" s="366"/>
      <c r="K340" s="641"/>
      <c r="L340" s="641"/>
      <c r="M340" s="641"/>
      <c r="N340" s="641"/>
      <c r="O340" s="366"/>
      <c r="P340" s="366"/>
      <c r="Q340" s="366"/>
      <c r="R340" s="611"/>
      <c r="S340" s="614"/>
      <c r="T340" s="588"/>
      <c r="U340" s="188"/>
      <c r="V340" s="366"/>
      <c r="W340" s="366"/>
      <c r="X340" s="366"/>
      <c r="Y340" s="366"/>
      <c r="Z340" s="366"/>
      <c r="AA340" s="366"/>
      <c r="AB340" s="366"/>
      <c r="AC340" s="366"/>
      <c r="AD340" s="366"/>
      <c r="AE340" s="366"/>
      <c r="AF340" s="366"/>
      <c r="AG340" s="366"/>
      <c r="AH340" s="366"/>
      <c r="AI340" s="366"/>
      <c r="AJ340" s="366"/>
      <c r="AK340" s="619"/>
      <c r="AL340" s="617"/>
    </row>
    <row r="341" spans="1:38" ht="15.75">
      <c r="A341" s="190"/>
      <c r="B341" s="324"/>
      <c r="C341" s="324"/>
      <c r="D341" s="366"/>
      <c r="E341" s="366"/>
      <c r="F341" s="639"/>
      <c r="G341" s="324"/>
      <c r="H341" s="324"/>
      <c r="I341" s="335"/>
      <c r="J341" s="366"/>
      <c r="K341" s="641"/>
      <c r="L341" s="641"/>
      <c r="M341" s="641"/>
      <c r="N341" s="641"/>
      <c r="O341" s="366"/>
      <c r="P341" s="366"/>
      <c r="Q341" s="366"/>
      <c r="R341" s="611"/>
      <c r="S341" s="614"/>
      <c r="T341" s="588"/>
      <c r="U341" s="188"/>
      <c r="V341" s="366"/>
      <c r="W341" s="366"/>
      <c r="X341" s="366"/>
      <c r="Y341" s="366"/>
      <c r="Z341" s="366"/>
      <c r="AA341" s="366"/>
      <c r="AB341" s="366"/>
      <c r="AC341" s="366"/>
      <c r="AD341" s="366"/>
      <c r="AE341" s="366"/>
      <c r="AF341" s="366"/>
      <c r="AG341" s="366"/>
      <c r="AH341" s="366"/>
      <c r="AI341" s="366"/>
      <c r="AJ341" s="366"/>
      <c r="AK341" s="619"/>
      <c r="AL341" s="617"/>
    </row>
    <row r="342" spans="1:38" ht="15.75">
      <c r="A342" s="190"/>
      <c r="B342" s="324"/>
      <c r="C342" s="324"/>
      <c r="D342" s="366"/>
      <c r="E342" s="366"/>
      <c r="F342" s="639"/>
      <c r="G342" s="324"/>
      <c r="H342" s="324"/>
      <c r="I342" s="335"/>
      <c r="J342" s="366"/>
      <c r="K342" s="641"/>
      <c r="L342" s="641"/>
      <c r="M342" s="641"/>
      <c r="N342" s="641"/>
      <c r="O342" s="366"/>
      <c r="P342" s="366"/>
      <c r="Q342" s="366"/>
      <c r="R342" s="611"/>
      <c r="S342" s="614"/>
      <c r="T342" s="588"/>
      <c r="U342" s="188"/>
      <c r="V342" s="366"/>
      <c r="W342" s="366"/>
      <c r="X342" s="366"/>
      <c r="Y342" s="366"/>
      <c r="Z342" s="366"/>
      <c r="AA342" s="366"/>
      <c r="AB342" s="366"/>
      <c r="AC342" s="366"/>
      <c r="AD342" s="366"/>
      <c r="AE342" s="366"/>
      <c r="AF342" s="366"/>
      <c r="AG342" s="366"/>
      <c r="AH342" s="366"/>
      <c r="AI342" s="366"/>
      <c r="AJ342" s="366"/>
      <c r="AK342" s="619"/>
      <c r="AL342" s="617"/>
    </row>
    <row r="343" spans="1:38" ht="15.75">
      <c r="A343" s="190"/>
      <c r="B343" s="324"/>
      <c r="C343" s="324"/>
      <c r="D343" s="366"/>
      <c r="E343" s="366"/>
      <c r="F343" s="639"/>
      <c r="G343" s="324"/>
      <c r="H343" s="324"/>
      <c r="I343" s="335"/>
      <c r="J343" s="366"/>
      <c r="K343" s="641"/>
      <c r="L343" s="641"/>
      <c r="M343" s="641"/>
      <c r="N343" s="641"/>
      <c r="O343" s="366"/>
      <c r="P343" s="366"/>
      <c r="Q343" s="366"/>
      <c r="R343" s="611"/>
      <c r="S343" s="614"/>
      <c r="T343" s="588"/>
      <c r="U343" s="188"/>
      <c r="V343" s="366"/>
      <c r="W343" s="366"/>
      <c r="X343" s="366"/>
      <c r="Y343" s="366"/>
      <c r="Z343" s="366"/>
      <c r="AA343" s="366"/>
      <c r="AB343" s="366"/>
      <c r="AC343" s="366"/>
      <c r="AD343" s="366"/>
      <c r="AE343" s="366"/>
      <c r="AF343" s="366"/>
      <c r="AG343" s="366"/>
      <c r="AH343" s="366"/>
      <c r="AI343" s="366"/>
      <c r="AJ343" s="366"/>
      <c r="AK343" s="619"/>
      <c r="AL343" s="617"/>
    </row>
    <row r="344" spans="1:38" ht="15.75">
      <c r="A344" s="190"/>
      <c r="B344" s="324"/>
      <c r="C344" s="324"/>
      <c r="D344" s="366"/>
      <c r="E344" s="366"/>
      <c r="F344" s="639"/>
      <c r="G344" s="324"/>
      <c r="H344" s="324"/>
      <c r="I344" s="335"/>
      <c r="J344" s="366"/>
      <c r="K344" s="641"/>
      <c r="L344" s="641"/>
      <c r="M344" s="641"/>
      <c r="N344" s="641"/>
      <c r="O344" s="366"/>
      <c r="P344" s="366"/>
      <c r="Q344" s="366"/>
      <c r="R344" s="611"/>
      <c r="S344" s="614"/>
      <c r="T344" s="588"/>
      <c r="U344" s="188"/>
      <c r="V344" s="366"/>
      <c r="W344" s="366"/>
      <c r="X344" s="366"/>
      <c r="Y344" s="366"/>
      <c r="Z344" s="366"/>
      <c r="AA344" s="366"/>
      <c r="AB344" s="366"/>
      <c r="AC344" s="366"/>
      <c r="AD344" s="366"/>
      <c r="AE344" s="366"/>
      <c r="AF344" s="366"/>
      <c r="AG344" s="366"/>
      <c r="AH344" s="366"/>
      <c r="AI344" s="366"/>
      <c r="AJ344" s="366"/>
      <c r="AK344" s="619"/>
      <c r="AL344" s="617"/>
    </row>
    <row r="345" spans="1:38" ht="15.75">
      <c r="A345" s="190"/>
      <c r="B345" s="324"/>
      <c r="C345" s="324"/>
      <c r="D345" s="366"/>
      <c r="E345" s="366"/>
      <c r="F345" s="639"/>
      <c r="G345" s="324"/>
      <c r="H345" s="324"/>
      <c r="I345" s="335"/>
      <c r="J345" s="366"/>
      <c r="K345" s="641"/>
      <c r="L345" s="641"/>
      <c r="M345" s="641"/>
      <c r="N345" s="641"/>
      <c r="O345" s="366"/>
      <c r="P345" s="366"/>
      <c r="Q345" s="366"/>
      <c r="R345" s="611"/>
      <c r="S345" s="614"/>
      <c r="T345" s="588"/>
      <c r="U345" s="188"/>
      <c r="V345" s="366"/>
      <c r="W345" s="366"/>
      <c r="X345" s="366"/>
      <c r="Y345" s="366"/>
      <c r="Z345" s="366"/>
      <c r="AA345" s="366"/>
      <c r="AB345" s="366"/>
      <c r="AC345" s="366"/>
      <c r="AD345" s="366"/>
      <c r="AE345" s="366"/>
      <c r="AF345" s="366"/>
      <c r="AG345" s="366"/>
      <c r="AH345" s="366"/>
      <c r="AI345" s="366"/>
      <c r="AJ345" s="366"/>
      <c r="AK345" s="619"/>
      <c r="AL345" s="617"/>
    </row>
    <row r="346" spans="1:38" ht="15.75">
      <c r="A346" s="190"/>
      <c r="B346" s="324"/>
      <c r="C346" s="324"/>
      <c r="D346" s="366"/>
      <c r="E346" s="366"/>
      <c r="F346" s="639"/>
      <c r="G346" s="324"/>
      <c r="H346" s="324"/>
      <c r="I346" s="335"/>
      <c r="J346" s="366"/>
      <c r="K346" s="641"/>
      <c r="L346" s="641"/>
      <c r="M346" s="641"/>
      <c r="N346" s="641"/>
      <c r="O346" s="366"/>
      <c r="P346" s="366"/>
      <c r="Q346" s="366"/>
      <c r="R346" s="611"/>
      <c r="S346" s="614"/>
      <c r="T346" s="588"/>
      <c r="U346" s="188"/>
      <c r="V346" s="366"/>
      <c r="W346" s="366"/>
      <c r="X346" s="366"/>
      <c r="Y346" s="366"/>
      <c r="Z346" s="366"/>
      <c r="AA346" s="366"/>
      <c r="AB346" s="366"/>
      <c r="AC346" s="366"/>
      <c r="AD346" s="366"/>
      <c r="AE346" s="366"/>
      <c r="AF346" s="366"/>
      <c r="AG346" s="366"/>
      <c r="AH346" s="366"/>
      <c r="AI346" s="366"/>
      <c r="AJ346" s="366"/>
      <c r="AK346" s="619"/>
      <c r="AL346" s="617"/>
    </row>
    <row r="347" spans="1:38" ht="15.75">
      <c r="A347" s="190"/>
      <c r="B347" s="324"/>
      <c r="C347" s="324"/>
      <c r="D347" s="366"/>
      <c r="E347" s="366"/>
      <c r="F347" s="639"/>
      <c r="G347" s="324"/>
      <c r="H347" s="324"/>
      <c r="I347" s="335"/>
      <c r="J347" s="366"/>
      <c r="K347" s="641"/>
      <c r="L347" s="641"/>
      <c r="M347" s="641"/>
      <c r="N347" s="641"/>
      <c r="O347" s="366"/>
      <c r="P347" s="366"/>
      <c r="Q347" s="366"/>
      <c r="R347" s="611"/>
      <c r="S347" s="614"/>
      <c r="T347" s="588"/>
      <c r="U347" s="188"/>
      <c r="V347" s="366"/>
      <c r="W347" s="366"/>
      <c r="X347" s="366"/>
      <c r="Y347" s="366"/>
      <c r="Z347" s="366"/>
      <c r="AA347" s="366"/>
      <c r="AB347" s="366"/>
      <c r="AC347" s="366"/>
      <c r="AD347" s="366"/>
      <c r="AE347" s="366"/>
      <c r="AF347" s="366"/>
      <c r="AG347" s="366"/>
      <c r="AH347" s="366"/>
      <c r="AI347" s="366"/>
      <c r="AJ347" s="366"/>
      <c r="AK347" s="619"/>
      <c r="AL347" s="617"/>
    </row>
    <row r="348" spans="1:38" ht="15.75">
      <c r="A348" s="190"/>
      <c r="B348" s="324"/>
      <c r="C348" s="324"/>
      <c r="D348" s="366"/>
      <c r="E348" s="366"/>
      <c r="F348" s="639"/>
      <c r="G348" s="324"/>
      <c r="H348" s="324"/>
      <c r="I348" s="335"/>
      <c r="J348" s="366"/>
      <c r="K348" s="641"/>
      <c r="L348" s="641"/>
      <c r="M348" s="641"/>
      <c r="N348" s="641"/>
      <c r="O348" s="366"/>
      <c r="P348" s="366"/>
      <c r="Q348" s="366"/>
      <c r="R348" s="611"/>
      <c r="S348" s="614"/>
      <c r="T348" s="588"/>
      <c r="U348" s="188"/>
      <c r="V348" s="366"/>
      <c r="W348" s="366"/>
      <c r="X348" s="366"/>
      <c r="Y348" s="366"/>
      <c r="Z348" s="366"/>
      <c r="AA348" s="366"/>
      <c r="AB348" s="366"/>
      <c r="AC348" s="366"/>
      <c r="AD348" s="366"/>
      <c r="AE348" s="366"/>
      <c r="AF348" s="366"/>
      <c r="AG348" s="366"/>
      <c r="AH348" s="366"/>
      <c r="AI348" s="366"/>
      <c r="AJ348" s="366"/>
      <c r="AK348" s="619"/>
      <c r="AL348" s="617"/>
    </row>
    <row r="349" spans="1:38" ht="15.75">
      <c r="A349" s="190"/>
      <c r="B349" s="324"/>
      <c r="C349" s="324"/>
      <c r="D349" s="366"/>
      <c r="E349" s="366"/>
      <c r="F349" s="639"/>
      <c r="G349" s="324"/>
      <c r="H349" s="324"/>
      <c r="I349" s="335"/>
      <c r="J349" s="366"/>
      <c r="K349" s="641"/>
      <c r="L349" s="641"/>
      <c r="M349" s="641"/>
      <c r="N349" s="641"/>
      <c r="O349" s="366"/>
      <c r="P349" s="366"/>
      <c r="Q349" s="366"/>
      <c r="R349" s="611"/>
      <c r="S349" s="614"/>
      <c r="T349" s="588"/>
      <c r="U349" s="188"/>
      <c r="V349" s="366"/>
      <c r="W349" s="366"/>
      <c r="X349" s="366"/>
      <c r="Y349" s="366"/>
      <c r="Z349" s="366"/>
      <c r="AA349" s="366"/>
      <c r="AB349" s="366"/>
      <c r="AC349" s="366"/>
      <c r="AD349" s="366"/>
      <c r="AE349" s="366"/>
      <c r="AF349" s="366"/>
      <c r="AG349" s="366"/>
      <c r="AH349" s="366"/>
      <c r="AI349" s="366"/>
      <c r="AJ349" s="366"/>
      <c r="AK349" s="619"/>
      <c r="AL349" s="617"/>
    </row>
    <row r="350" spans="1:38" ht="15.75">
      <c r="A350" s="190"/>
      <c r="B350" s="324"/>
      <c r="C350" s="324"/>
      <c r="D350" s="366"/>
      <c r="E350" s="366"/>
      <c r="F350" s="639"/>
      <c r="G350" s="324"/>
      <c r="H350" s="324"/>
      <c r="I350" s="335"/>
      <c r="J350" s="366"/>
      <c r="K350" s="641"/>
      <c r="L350" s="641"/>
      <c r="M350" s="641"/>
      <c r="N350" s="641"/>
      <c r="O350" s="366"/>
      <c r="P350" s="366"/>
      <c r="Q350" s="366"/>
      <c r="R350" s="611"/>
      <c r="S350" s="614"/>
      <c r="T350" s="588"/>
      <c r="U350" s="188"/>
      <c r="V350" s="366"/>
      <c r="W350" s="366"/>
      <c r="X350" s="366"/>
      <c r="Y350" s="366"/>
      <c r="Z350" s="366"/>
      <c r="AA350" s="366"/>
      <c r="AB350" s="366"/>
      <c r="AC350" s="366"/>
      <c r="AD350" s="366"/>
      <c r="AE350" s="366"/>
      <c r="AF350" s="366"/>
      <c r="AG350" s="366"/>
      <c r="AH350" s="366"/>
      <c r="AI350" s="366"/>
      <c r="AJ350" s="366"/>
      <c r="AK350" s="619"/>
      <c r="AL350" s="617"/>
    </row>
    <row r="351" spans="1:38" ht="15.75">
      <c r="A351" s="190"/>
      <c r="B351" s="324"/>
      <c r="C351" s="324"/>
      <c r="D351" s="366"/>
      <c r="E351" s="366"/>
      <c r="F351" s="639"/>
      <c r="G351" s="324"/>
      <c r="H351" s="324"/>
      <c r="I351" s="335"/>
      <c r="J351" s="366"/>
      <c r="K351" s="641"/>
      <c r="L351" s="641"/>
      <c r="M351" s="641"/>
      <c r="N351" s="641"/>
      <c r="O351" s="366"/>
      <c r="P351" s="366"/>
      <c r="Q351" s="366"/>
      <c r="R351" s="611"/>
      <c r="S351" s="614"/>
      <c r="T351" s="588"/>
      <c r="U351" s="188"/>
      <c r="V351" s="366"/>
      <c r="W351" s="366"/>
      <c r="X351" s="366"/>
      <c r="Y351" s="366"/>
      <c r="Z351" s="366"/>
      <c r="AA351" s="366"/>
      <c r="AB351" s="366"/>
      <c r="AC351" s="366"/>
      <c r="AD351" s="366"/>
      <c r="AE351" s="366"/>
      <c r="AF351" s="366"/>
      <c r="AG351" s="366"/>
      <c r="AH351" s="366"/>
      <c r="AI351" s="366"/>
      <c r="AJ351" s="366"/>
      <c r="AK351" s="619"/>
      <c r="AL351" s="617"/>
    </row>
    <row r="352" spans="1:38" ht="15.75">
      <c r="A352" s="190"/>
      <c r="B352" s="324"/>
      <c r="C352" s="324"/>
      <c r="D352" s="366"/>
      <c r="E352" s="366"/>
      <c r="F352" s="639"/>
      <c r="G352" s="324"/>
      <c r="H352" s="324"/>
      <c r="I352" s="335"/>
      <c r="J352" s="366"/>
      <c r="K352" s="641"/>
      <c r="L352" s="641"/>
      <c r="M352" s="641"/>
      <c r="N352" s="641"/>
      <c r="O352" s="366"/>
      <c r="P352" s="366"/>
      <c r="Q352" s="366"/>
      <c r="R352" s="611"/>
      <c r="S352" s="614"/>
      <c r="T352" s="588"/>
      <c r="U352" s="188"/>
      <c r="V352" s="366"/>
      <c r="W352" s="366"/>
      <c r="X352" s="366"/>
      <c r="Y352" s="366"/>
      <c r="Z352" s="366"/>
      <c r="AA352" s="366"/>
      <c r="AB352" s="366"/>
      <c r="AC352" s="366"/>
      <c r="AD352" s="366"/>
      <c r="AE352" s="366"/>
      <c r="AF352" s="366"/>
      <c r="AG352" s="366"/>
      <c r="AH352" s="366"/>
      <c r="AI352" s="366"/>
      <c r="AJ352" s="366"/>
      <c r="AK352" s="619"/>
      <c r="AL352" s="617"/>
    </row>
    <row r="353" spans="1:38" ht="15.75">
      <c r="A353" s="190"/>
      <c r="B353" s="324"/>
      <c r="C353" s="324"/>
      <c r="D353" s="366"/>
      <c r="E353" s="366"/>
      <c r="F353" s="639"/>
      <c r="G353" s="324"/>
      <c r="H353" s="324"/>
      <c r="I353" s="335"/>
      <c r="J353" s="366"/>
      <c r="K353" s="641"/>
      <c r="L353" s="641"/>
      <c r="M353" s="641"/>
      <c r="N353" s="641"/>
      <c r="O353" s="366"/>
      <c r="P353" s="366"/>
      <c r="Q353" s="366"/>
      <c r="R353" s="611"/>
      <c r="S353" s="614"/>
      <c r="T353" s="588"/>
      <c r="U353" s="188"/>
      <c r="V353" s="366"/>
      <c r="W353" s="366"/>
      <c r="X353" s="366"/>
      <c r="Y353" s="366"/>
      <c r="Z353" s="366"/>
      <c r="AA353" s="366"/>
      <c r="AB353" s="366"/>
      <c r="AC353" s="366"/>
      <c r="AD353" s="366"/>
      <c r="AE353" s="366"/>
      <c r="AF353" s="366"/>
      <c r="AG353" s="366"/>
      <c r="AH353" s="366"/>
      <c r="AI353" s="366"/>
      <c r="AJ353" s="366"/>
      <c r="AK353" s="619"/>
      <c r="AL353" s="617"/>
    </row>
    <row r="354" spans="1:38" ht="15.75">
      <c r="A354" s="190"/>
      <c r="B354" s="324"/>
      <c r="C354" s="324"/>
      <c r="D354" s="366"/>
      <c r="E354" s="366"/>
      <c r="F354" s="639"/>
      <c r="G354" s="324"/>
      <c r="H354" s="324"/>
      <c r="I354" s="335"/>
      <c r="J354" s="366"/>
      <c r="K354" s="641"/>
      <c r="L354" s="641"/>
      <c r="M354" s="641"/>
      <c r="N354" s="641"/>
      <c r="O354" s="366"/>
      <c r="P354" s="366"/>
      <c r="Q354" s="366"/>
      <c r="R354" s="611"/>
      <c r="S354" s="614"/>
      <c r="T354" s="588"/>
      <c r="U354" s="188"/>
      <c r="V354" s="366"/>
      <c r="W354" s="366"/>
      <c r="X354" s="366"/>
      <c r="Y354" s="366"/>
      <c r="Z354" s="366"/>
      <c r="AA354" s="366"/>
      <c r="AB354" s="366"/>
      <c r="AC354" s="366"/>
      <c r="AD354" s="366"/>
      <c r="AE354" s="366"/>
      <c r="AF354" s="366"/>
      <c r="AG354" s="366"/>
      <c r="AH354" s="366"/>
      <c r="AI354" s="366"/>
      <c r="AJ354" s="366"/>
      <c r="AK354" s="619"/>
      <c r="AL354" s="617"/>
    </row>
    <row r="355" spans="1:38" ht="15.75">
      <c r="A355" s="190"/>
      <c r="B355" s="324"/>
      <c r="C355" s="324"/>
      <c r="D355" s="366"/>
      <c r="E355" s="366"/>
      <c r="F355" s="639"/>
      <c r="G355" s="324"/>
      <c r="H355" s="324"/>
      <c r="I355" s="335"/>
      <c r="J355" s="366"/>
      <c r="K355" s="641"/>
      <c r="L355" s="641"/>
      <c r="M355" s="641"/>
      <c r="N355" s="641"/>
      <c r="O355" s="366"/>
      <c r="P355" s="366"/>
      <c r="Q355" s="366"/>
      <c r="R355" s="611"/>
      <c r="S355" s="614"/>
      <c r="T355" s="588"/>
      <c r="U355" s="188"/>
      <c r="V355" s="366"/>
      <c r="W355" s="366"/>
      <c r="X355" s="366"/>
      <c r="Y355" s="366"/>
      <c r="Z355" s="366"/>
      <c r="AA355" s="366"/>
      <c r="AB355" s="366"/>
      <c r="AC355" s="366"/>
      <c r="AD355" s="366"/>
      <c r="AE355" s="366"/>
      <c r="AF355" s="366"/>
      <c r="AG355" s="366"/>
      <c r="AH355" s="366"/>
      <c r="AI355" s="366"/>
      <c r="AJ355" s="366"/>
      <c r="AK355" s="619"/>
      <c r="AL355" s="617"/>
    </row>
    <row r="356" spans="1:38" ht="15.75">
      <c r="A356" s="190"/>
      <c r="B356" s="324"/>
      <c r="C356" s="324"/>
      <c r="D356" s="366"/>
      <c r="E356" s="366"/>
      <c r="F356" s="639"/>
      <c r="G356" s="324"/>
      <c r="H356" s="324"/>
      <c r="I356" s="335"/>
      <c r="J356" s="366"/>
      <c r="K356" s="641"/>
      <c r="L356" s="641"/>
      <c r="M356" s="641"/>
      <c r="N356" s="641"/>
      <c r="O356" s="366"/>
      <c r="P356" s="366"/>
      <c r="Q356" s="366"/>
      <c r="R356" s="611"/>
      <c r="S356" s="614"/>
      <c r="T356" s="588"/>
      <c r="U356" s="188"/>
      <c r="V356" s="366"/>
      <c r="W356" s="366"/>
      <c r="X356" s="366"/>
      <c r="Y356" s="366"/>
      <c r="Z356" s="366"/>
      <c r="AA356" s="366"/>
      <c r="AB356" s="366"/>
      <c r="AC356" s="366"/>
      <c r="AD356" s="366"/>
      <c r="AE356" s="366"/>
      <c r="AF356" s="366"/>
      <c r="AG356" s="366"/>
      <c r="AH356" s="366"/>
      <c r="AI356" s="366"/>
      <c r="AJ356" s="366"/>
      <c r="AK356" s="619"/>
      <c r="AL356" s="617"/>
    </row>
    <row r="357" spans="1:38" ht="15.75">
      <c r="A357" s="190"/>
      <c r="B357" s="324"/>
      <c r="C357" s="324"/>
      <c r="D357" s="366"/>
      <c r="E357" s="366"/>
      <c r="F357" s="639"/>
      <c r="G357" s="324"/>
      <c r="H357" s="324"/>
      <c r="I357" s="335"/>
      <c r="J357" s="366"/>
      <c r="K357" s="641"/>
      <c r="L357" s="641"/>
      <c r="M357" s="641"/>
      <c r="N357" s="641"/>
      <c r="O357" s="366"/>
      <c r="P357" s="366"/>
      <c r="Q357" s="366"/>
      <c r="R357" s="611"/>
      <c r="S357" s="614"/>
      <c r="T357" s="588"/>
      <c r="U357" s="188"/>
      <c r="V357" s="366"/>
      <c r="W357" s="366"/>
      <c r="X357" s="366"/>
      <c r="Y357" s="366"/>
      <c r="Z357" s="366"/>
      <c r="AA357" s="366"/>
      <c r="AB357" s="366"/>
      <c r="AC357" s="366"/>
      <c r="AD357" s="366"/>
      <c r="AE357" s="366"/>
      <c r="AF357" s="366"/>
      <c r="AG357" s="366"/>
      <c r="AH357" s="366"/>
      <c r="AI357" s="366"/>
      <c r="AJ357" s="366"/>
      <c r="AK357" s="619"/>
      <c r="AL357" s="617"/>
    </row>
    <row r="358" spans="1:38" ht="15.75">
      <c r="A358" s="190"/>
      <c r="B358" s="324"/>
      <c r="C358" s="324"/>
      <c r="D358" s="366"/>
      <c r="E358" s="366"/>
      <c r="F358" s="639"/>
      <c r="G358" s="324"/>
      <c r="H358" s="324"/>
      <c r="I358" s="335"/>
      <c r="J358" s="366"/>
      <c r="K358" s="641"/>
      <c r="L358" s="641"/>
      <c r="M358" s="641"/>
      <c r="N358" s="641"/>
      <c r="O358" s="366"/>
      <c r="P358" s="366"/>
      <c r="Q358" s="366"/>
      <c r="R358" s="611"/>
      <c r="S358" s="614"/>
      <c r="T358" s="588"/>
      <c r="U358" s="188"/>
      <c r="V358" s="366"/>
      <c r="W358" s="366"/>
      <c r="X358" s="366"/>
      <c r="Y358" s="366"/>
      <c r="Z358" s="366"/>
      <c r="AA358" s="366"/>
      <c r="AB358" s="366"/>
      <c r="AC358" s="366"/>
      <c r="AD358" s="366"/>
      <c r="AE358" s="366"/>
      <c r="AF358" s="366"/>
      <c r="AG358" s="366"/>
      <c r="AH358" s="366"/>
      <c r="AI358" s="366"/>
      <c r="AJ358" s="366"/>
      <c r="AK358" s="619"/>
      <c r="AL358" s="617"/>
    </row>
    <row r="359" spans="1:38" ht="15.75">
      <c r="A359" s="190"/>
      <c r="B359" s="324"/>
      <c r="C359" s="324"/>
      <c r="D359" s="366"/>
      <c r="E359" s="366"/>
      <c r="F359" s="639"/>
      <c r="G359" s="324"/>
      <c r="H359" s="324"/>
      <c r="I359" s="335"/>
      <c r="J359" s="366"/>
      <c r="K359" s="641"/>
      <c r="L359" s="641"/>
      <c r="M359" s="641"/>
      <c r="N359" s="641"/>
      <c r="O359" s="366"/>
      <c r="P359" s="366"/>
      <c r="Q359" s="366"/>
      <c r="R359" s="611"/>
      <c r="S359" s="614"/>
      <c r="T359" s="588"/>
      <c r="U359" s="188"/>
      <c r="V359" s="366"/>
      <c r="W359" s="366"/>
      <c r="X359" s="366"/>
      <c r="Y359" s="366"/>
      <c r="Z359" s="366"/>
      <c r="AA359" s="366"/>
      <c r="AB359" s="366"/>
      <c r="AC359" s="366"/>
      <c r="AD359" s="366"/>
      <c r="AE359" s="366"/>
      <c r="AF359" s="366"/>
      <c r="AG359" s="366"/>
      <c r="AH359" s="366"/>
      <c r="AI359" s="366"/>
      <c r="AJ359" s="366"/>
      <c r="AK359" s="619"/>
      <c r="AL359" s="617"/>
    </row>
    <row r="360" spans="1:38" ht="15.75">
      <c r="A360" s="190"/>
      <c r="B360" s="324"/>
      <c r="C360" s="324"/>
      <c r="D360" s="366"/>
      <c r="E360" s="366"/>
      <c r="F360" s="639"/>
      <c r="G360" s="324"/>
      <c r="H360" s="324"/>
      <c r="I360" s="335"/>
      <c r="J360" s="366"/>
      <c r="K360" s="641"/>
      <c r="L360" s="641"/>
      <c r="M360" s="641"/>
      <c r="N360" s="641"/>
      <c r="O360" s="366"/>
      <c r="P360" s="366"/>
      <c r="Q360" s="366"/>
      <c r="R360" s="611"/>
      <c r="S360" s="614"/>
      <c r="T360" s="588"/>
      <c r="U360" s="188"/>
      <c r="V360" s="366"/>
      <c r="W360" s="366"/>
      <c r="X360" s="366"/>
      <c r="Y360" s="366"/>
      <c r="Z360" s="366"/>
      <c r="AA360" s="366"/>
      <c r="AB360" s="366"/>
      <c r="AC360" s="366"/>
      <c r="AD360" s="366"/>
      <c r="AE360" s="366"/>
      <c r="AF360" s="366"/>
      <c r="AG360" s="366"/>
      <c r="AH360" s="366"/>
      <c r="AI360" s="366"/>
      <c r="AJ360" s="366"/>
      <c r="AK360" s="619"/>
      <c r="AL360" s="617"/>
    </row>
    <row r="361" spans="1:38" ht="15.75">
      <c r="A361" s="190"/>
      <c r="B361" s="324"/>
      <c r="C361" s="324"/>
      <c r="D361" s="366"/>
      <c r="E361" s="366"/>
      <c r="F361" s="639"/>
      <c r="G361" s="324"/>
      <c r="H361" s="324"/>
      <c r="I361" s="335"/>
      <c r="J361" s="366"/>
      <c r="K361" s="641"/>
      <c r="L361" s="641"/>
      <c r="M361" s="641"/>
      <c r="N361" s="641"/>
      <c r="O361" s="366"/>
      <c r="P361" s="366"/>
      <c r="Q361" s="366"/>
      <c r="R361" s="611"/>
      <c r="S361" s="614"/>
      <c r="T361" s="588"/>
      <c r="U361" s="188"/>
      <c r="V361" s="366"/>
      <c r="W361" s="366"/>
      <c r="X361" s="366"/>
      <c r="Y361" s="366"/>
      <c r="Z361" s="366"/>
      <c r="AA361" s="366"/>
      <c r="AB361" s="366"/>
      <c r="AC361" s="366"/>
      <c r="AD361" s="366"/>
      <c r="AE361" s="366"/>
      <c r="AF361" s="366"/>
      <c r="AG361" s="366"/>
      <c r="AH361" s="366"/>
      <c r="AI361" s="366"/>
      <c r="AJ361" s="366"/>
      <c r="AK361" s="619"/>
      <c r="AL361" s="617"/>
    </row>
    <row r="362" spans="1:38" ht="15.75">
      <c r="A362" s="190"/>
      <c r="B362" s="324"/>
      <c r="C362" s="324"/>
      <c r="D362" s="366"/>
      <c r="E362" s="366"/>
      <c r="F362" s="639"/>
      <c r="G362" s="324"/>
      <c r="H362" s="324"/>
      <c r="I362" s="335"/>
      <c r="J362" s="366"/>
      <c r="K362" s="641"/>
      <c r="L362" s="641"/>
      <c r="M362" s="641"/>
      <c r="N362" s="641"/>
      <c r="O362" s="366"/>
      <c r="P362" s="366"/>
      <c r="Q362" s="366"/>
      <c r="R362" s="611"/>
      <c r="S362" s="614"/>
      <c r="T362" s="588"/>
      <c r="U362" s="188"/>
      <c r="V362" s="366"/>
      <c r="W362" s="366"/>
      <c r="X362" s="366"/>
      <c r="Y362" s="366"/>
      <c r="Z362" s="366"/>
      <c r="AA362" s="366"/>
      <c r="AB362" s="366"/>
      <c r="AC362" s="366"/>
      <c r="AD362" s="366"/>
      <c r="AE362" s="366"/>
      <c r="AF362" s="366"/>
      <c r="AG362" s="366"/>
      <c r="AH362" s="366"/>
      <c r="AI362" s="366"/>
      <c r="AJ362" s="366"/>
      <c r="AK362" s="619"/>
      <c r="AL362" s="617"/>
    </row>
    <row r="363" spans="1:38" ht="15.75">
      <c r="A363" s="190"/>
      <c r="B363" s="324"/>
      <c r="C363" s="324"/>
      <c r="D363" s="366"/>
      <c r="E363" s="366"/>
      <c r="F363" s="639"/>
      <c r="G363" s="324"/>
      <c r="H363" s="324"/>
      <c r="I363" s="335"/>
      <c r="J363" s="366"/>
      <c r="K363" s="641"/>
      <c r="L363" s="641"/>
      <c r="M363" s="641"/>
      <c r="N363" s="641"/>
      <c r="O363" s="366"/>
      <c r="P363" s="366"/>
      <c r="Q363" s="366"/>
      <c r="R363" s="611"/>
      <c r="S363" s="614"/>
      <c r="T363" s="588"/>
      <c r="U363" s="188"/>
      <c r="V363" s="366"/>
      <c r="W363" s="366"/>
      <c r="X363" s="366"/>
      <c r="Y363" s="366"/>
      <c r="Z363" s="366"/>
      <c r="AA363" s="366"/>
      <c r="AB363" s="366"/>
      <c r="AC363" s="366"/>
      <c r="AD363" s="366"/>
      <c r="AE363" s="366"/>
      <c r="AF363" s="366"/>
      <c r="AG363" s="366"/>
      <c r="AH363" s="366"/>
      <c r="AI363" s="366"/>
      <c r="AJ363" s="366"/>
      <c r="AK363" s="619"/>
      <c r="AL363" s="617"/>
    </row>
    <row r="364" spans="1:38" ht="15.75">
      <c r="A364" s="190"/>
      <c r="B364" s="324"/>
      <c r="C364" s="324"/>
      <c r="D364" s="366"/>
      <c r="E364" s="366"/>
      <c r="F364" s="639"/>
      <c r="G364" s="324"/>
      <c r="H364" s="324"/>
      <c r="I364" s="335"/>
      <c r="J364" s="366"/>
      <c r="K364" s="641"/>
      <c r="L364" s="641"/>
      <c r="M364" s="641"/>
      <c r="N364" s="641"/>
      <c r="O364" s="366"/>
      <c r="P364" s="366"/>
      <c r="Q364" s="366"/>
      <c r="R364" s="611"/>
      <c r="S364" s="614"/>
      <c r="T364" s="588"/>
      <c r="U364" s="188"/>
      <c r="V364" s="366"/>
      <c r="W364" s="366"/>
      <c r="X364" s="366"/>
      <c r="Y364" s="366"/>
      <c r="Z364" s="366"/>
      <c r="AA364" s="366"/>
      <c r="AB364" s="366"/>
      <c r="AC364" s="366"/>
      <c r="AD364" s="366"/>
      <c r="AE364" s="366"/>
      <c r="AF364" s="366"/>
      <c r="AG364" s="366"/>
      <c r="AH364" s="366"/>
      <c r="AI364" s="366"/>
      <c r="AJ364" s="366"/>
      <c r="AK364" s="619"/>
      <c r="AL364" s="617"/>
    </row>
    <row r="365" spans="1:38" ht="15.75">
      <c r="A365" s="190"/>
      <c r="B365" s="324"/>
      <c r="C365" s="324"/>
      <c r="D365" s="366"/>
      <c r="E365" s="366"/>
      <c r="F365" s="639"/>
      <c r="G365" s="324"/>
      <c r="H365" s="324"/>
      <c r="I365" s="335"/>
      <c r="J365" s="366"/>
      <c r="K365" s="641"/>
      <c r="L365" s="641"/>
      <c r="M365" s="641"/>
      <c r="N365" s="641"/>
      <c r="O365" s="366"/>
      <c r="P365" s="366"/>
      <c r="Q365" s="366"/>
      <c r="R365" s="611"/>
      <c r="S365" s="614"/>
      <c r="T365" s="588"/>
      <c r="U365" s="188"/>
      <c r="V365" s="366"/>
      <c r="W365" s="366"/>
      <c r="X365" s="366"/>
      <c r="Y365" s="366"/>
      <c r="Z365" s="366"/>
      <c r="AA365" s="366"/>
      <c r="AB365" s="366"/>
      <c r="AC365" s="366"/>
      <c r="AD365" s="366"/>
      <c r="AE365" s="366"/>
      <c r="AF365" s="366"/>
      <c r="AG365" s="366"/>
      <c r="AH365" s="366"/>
      <c r="AI365" s="366"/>
      <c r="AJ365" s="366"/>
      <c r="AK365" s="619"/>
      <c r="AL365" s="617"/>
    </row>
    <row r="366" spans="1:38" ht="15.75">
      <c r="A366" s="190"/>
      <c r="B366" s="324"/>
      <c r="C366" s="324"/>
      <c r="D366" s="366"/>
      <c r="E366" s="366"/>
      <c r="F366" s="639"/>
      <c r="G366" s="324"/>
      <c r="H366" s="324"/>
      <c r="I366" s="335"/>
      <c r="J366" s="366"/>
      <c r="K366" s="641"/>
      <c r="L366" s="641"/>
      <c r="M366" s="641"/>
      <c r="N366" s="641"/>
      <c r="O366" s="366"/>
      <c r="P366" s="366"/>
      <c r="Q366" s="366"/>
      <c r="R366" s="611"/>
      <c r="S366" s="614"/>
      <c r="T366" s="588"/>
      <c r="U366" s="188"/>
      <c r="V366" s="366"/>
      <c r="W366" s="366"/>
      <c r="X366" s="366"/>
      <c r="Y366" s="366"/>
      <c r="Z366" s="366"/>
      <c r="AA366" s="366"/>
      <c r="AB366" s="366"/>
      <c r="AC366" s="366"/>
      <c r="AD366" s="366"/>
      <c r="AE366" s="366"/>
      <c r="AF366" s="366"/>
      <c r="AG366" s="366"/>
      <c r="AH366" s="366"/>
      <c r="AI366" s="366"/>
      <c r="AJ366" s="366"/>
      <c r="AK366" s="619"/>
      <c r="AL366" s="617"/>
    </row>
    <row r="367" spans="1:38" ht="15.75">
      <c r="A367" s="190"/>
      <c r="B367" s="324"/>
      <c r="C367" s="324"/>
      <c r="D367" s="366"/>
      <c r="E367" s="366"/>
      <c r="F367" s="639"/>
      <c r="G367" s="324"/>
      <c r="H367" s="324"/>
      <c r="I367" s="335"/>
      <c r="J367" s="366"/>
      <c r="K367" s="641"/>
      <c r="L367" s="641"/>
      <c r="M367" s="641"/>
      <c r="N367" s="641"/>
      <c r="O367" s="366"/>
      <c r="P367" s="366"/>
      <c r="Q367" s="366"/>
      <c r="R367" s="611"/>
      <c r="S367" s="614"/>
      <c r="T367" s="588"/>
      <c r="U367" s="188"/>
      <c r="V367" s="366"/>
      <c r="W367" s="366"/>
      <c r="X367" s="366"/>
      <c r="Y367" s="366"/>
      <c r="Z367" s="366"/>
      <c r="AA367" s="366"/>
      <c r="AB367" s="366"/>
      <c r="AC367" s="366"/>
      <c r="AD367" s="366"/>
      <c r="AE367" s="366"/>
      <c r="AF367" s="366"/>
      <c r="AG367" s="366"/>
      <c r="AH367" s="366"/>
      <c r="AI367" s="366"/>
      <c r="AJ367" s="366"/>
      <c r="AK367" s="619"/>
      <c r="AL367" s="617"/>
    </row>
    <row r="368" spans="1:38" ht="15.75">
      <c r="A368" s="190"/>
      <c r="B368" s="324"/>
      <c r="C368" s="324"/>
      <c r="D368" s="366"/>
      <c r="E368" s="366"/>
      <c r="F368" s="639"/>
      <c r="G368" s="324"/>
      <c r="H368" s="324"/>
      <c r="I368" s="335"/>
      <c r="J368" s="366"/>
      <c r="K368" s="641"/>
      <c r="L368" s="641"/>
      <c r="M368" s="641"/>
      <c r="N368" s="641"/>
      <c r="O368" s="366"/>
      <c r="P368" s="366"/>
      <c r="Q368" s="366"/>
      <c r="R368" s="611"/>
      <c r="S368" s="614"/>
      <c r="T368" s="588"/>
      <c r="U368" s="188"/>
      <c r="V368" s="366"/>
      <c r="W368" s="366"/>
      <c r="X368" s="366"/>
      <c r="Y368" s="366"/>
      <c r="Z368" s="366"/>
      <c r="AA368" s="366"/>
      <c r="AB368" s="366"/>
      <c r="AC368" s="366"/>
      <c r="AD368" s="366"/>
      <c r="AE368" s="366"/>
      <c r="AF368" s="366"/>
      <c r="AG368" s="366"/>
      <c r="AH368" s="366"/>
      <c r="AI368" s="366"/>
      <c r="AJ368" s="366"/>
      <c r="AK368" s="619"/>
      <c r="AL368" s="617"/>
    </row>
    <row r="369" spans="1:38" ht="15.75">
      <c r="A369" s="190"/>
      <c r="B369" s="324"/>
      <c r="C369" s="324"/>
      <c r="D369" s="366"/>
      <c r="E369" s="366"/>
      <c r="F369" s="639"/>
      <c r="G369" s="324"/>
      <c r="H369" s="324"/>
      <c r="I369" s="335"/>
      <c r="J369" s="366"/>
      <c r="K369" s="641"/>
      <c r="L369" s="641"/>
      <c r="M369" s="641"/>
      <c r="N369" s="641"/>
      <c r="O369" s="366"/>
      <c r="P369" s="366"/>
      <c r="Q369" s="366"/>
      <c r="R369" s="611"/>
      <c r="S369" s="614"/>
      <c r="T369" s="588"/>
      <c r="U369" s="188"/>
      <c r="V369" s="366"/>
      <c r="W369" s="366"/>
      <c r="X369" s="366"/>
      <c r="Y369" s="366"/>
      <c r="Z369" s="366"/>
      <c r="AA369" s="366"/>
      <c r="AB369" s="366"/>
      <c r="AC369" s="366"/>
      <c r="AD369" s="366"/>
      <c r="AE369" s="366"/>
      <c r="AF369" s="366"/>
      <c r="AG369" s="366"/>
      <c r="AH369" s="366"/>
      <c r="AI369" s="366"/>
      <c r="AJ369" s="366"/>
      <c r="AK369" s="619"/>
      <c r="AL369" s="617"/>
    </row>
    <row r="370" spans="1:38" ht="15.75">
      <c r="A370" s="190"/>
      <c r="B370" s="324"/>
      <c r="C370" s="324"/>
      <c r="D370" s="366"/>
      <c r="E370" s="366"/>
      <c r="F370" s="639"/>
      <c r="G370" s="324"/>
      <c r="H370" s="324"/>
      <c r="I370" s="335"/>
      <c r="J370" s="366"/>
      <c r="K370" s="641"/>
      <c r="L370" s="641"/>
      <c r="M370" s="641"/>
      <c r="N370" s="641"/>
      <c r="O370" s="366"/>
      <c r="P370" s="366"/>
      <c r="Q370" s="366"/>
      <c r="R370" s="611"/>
      <c r="S370" s="614"/>
      <c r="T370" s="588"/>
      <c r="U370" s="188"/>
      <c r="V370" s="366"/>
      <c r="W370" s="366"/>
      <c r="X370" s="366"/>
      <c r="Y370" s="366"/>
      <c r="Z370" s="366"/>
      <c r="AA370" s="366"/>
      <c r="AB370" s="366"/>
      <c r="AC370" s="366"/>
      <c r="AD370" s="366"/>
      <c r="AE370" s="366"/>
      <c r="AF370" s="366"/>
      <c r="AG370" s="366"/>
      <c r="AH370" s="366"/>
      <c r="AI370" s="366"/>
      <c r="AJ370" s="366"/>
      <c r="AK370" s="619"/>
      <c r="AL370" s="617"/>
    </row>
    <row r="371" spans="1:38" ht="15.75">
      <c r="A371" s="190"/>
      <c r="B371" s="324"/>
      <c r="C371" s="324"/>
      <c r="D371" s="366"/>
      <c r="E371" s="366"/>
      <c r="F371" s="639"/>
      <c r="G371" s="324"/>
      <c r="H371" s="324"/>
      <c r="I371" s="335"/>
      <c r="J371" s="366"/>
      <c r="K371" s="641"/>
      <c r="L371" s="641"/>
      <c r="M371" s="641"/>
      <c r="N371" s="641"/>
      <c r="O371" s="366"/>
      <c r="P371" s="366"/>
      <c r="Q371" s="366"/>
      <c r="R371" s="611"/>
      <c r="S371" s="614"/>
      <c r="T371" s="588"/>
      <c r="U371" s="188"/>
      <c r="V371" s="366"/>
      <c r="W371" s="366"/>
      <c r="X371" s="366"/>
      <c r="Y371" s="366"/>
      <c r="Z371" s="366"/>
      <c r="AA371" s="366"/>
      <c r="AB371" s="366"/>
      <c r="AC371" s="366"/>
      <c r="AD371" s="366"/>
      <c r="AE371" s="366"/>
      <c r="AF371" s="366"/>
      <c r="AG371" s="366"/>
      <c r="AH371" s="366"/>
      <c r="AI371" s="366"/>
      <c r="AJ371" s="366"/>
      <c r="AK371" s="619"/>
      <c r="AL371" s="617"/>
    </row>
    <row r="372" spans="1:38" ht="15.75">
      <c r="A372" s="190"/>
      <c r="B372" s="324"/>
      <c r="C372" s="324"/>
      <c r="D372" s="366"/>
      <c r="E372" s="366"/>
      <c r="F372" s="639"/>
      <c r="G372" s="324"/>
      <c r="H372" s="324"/>
      <c r="I372" s="335"/>
      <c r="J372" s="366"/>
      <c r="K372" s="641"/>
      <c r="L372" s="641"/>
      <c r="M372" s="641"/>
      <c r="N372" s="641"/>
      <c r="O372" s="366"/>
      <c r="P372" s="366"/>
      <c r="Q372" s="366"/>
      <c r="R372" s="611"/>
      <c r="S372" s="614"/>
      <c r="T372" s="588"/>
      <c r="U372" s="188"/>
      <c r="V372" s="366"/>
      <c r="W372" s="366"/>
      <c r="X372" s="366"/>
      <c r="Y372" s="366"/>
      <c r="Z372" s="366"/>
      <c r="AA372" s="366"/>
      <c r="AB372" s="366"/>
      <c r="AC372" s="366"/>
      <c r="AD372" s="366"/>
      <c r="AE372" s="366"/>
      <c r="AF372" s="366"/>
      <c r="AG372" s="366"/>
      <c r="AH372" s="366"/>
      <c r="AI372" s="366"/>
      <c r="AJ372" s="366"/>
      <c r="AK372" s="619"/>
      <c r="AL372" s="617"/>
    </row>
    <row r="373" spans="1:38" ht="15.75">
      <c r="A373" s="190"/>
      <c r="B373" s="324"/>
      <c r="C373" s="324"/>
      <c r="D373" s="366"/>
      <c r="E373" s="366"/>
      <c r="F373" s="639"/>
      <c r="G373" s="324"/>
      <c r="H373" s="324"/>
      <c r="I373" s="335"/>
      <c r="J373" s="366"/>
      <c r="K373" s="641"/>
      <c r="L373" s="641"/>
      <c r="M373" s="641"/>
      <c r="N373" s="641"/>
      <c r="O373" s="366"/>
      <c r="P373" s="366"/>
      <c r="Q373" s="366"/>
      <c r="R373" s="611"/>
      <c r="S373" s="614"/>
      <c r="T373" s="588"/>
      <c r="U373" s="188"/>
      <c r="V373" s="366"/>
      <c r="W373" s="366"/>
      <c r="X373" s="366"/>
      <c r="Y373" s="366"/>
      <c r="Z373" s="366"/>
      <c r="AA373" s="366"/>
      <c r="AB373" s="366"/>
      <c r="AC373" s="366"/>
      <c r="AD373" s="366"/>
      <c r="AE373" s="366"/>
      <c r="AF373" s="366"/>
      <c r="AG373" s="366"/>
      <c r="AH373" s="366"/>
      <c r="AI373" s="366"/>
      <c r="AJ373" s="366"/>
      <c r="AK373" s="619"/>
      <c r="AL373" s="617"/>
    </row>
    <row r="374" spans="1:38" ht="15.75">
      <c r="A374" s="190"/>
      <c r="B374" s="324"/>
      <c r="C374" s="324"/>
      <c r="D374" s="366"/>
      <c r="E374" s="366"/>
      <c r="F374" s="639"/>
      <c r="G374" s="324"/>
      <c r="H374" s="324"/>
      <c r="I374" s="335"/>
      <c r="J374" s="366"/>
      <c r="K374" s="641"/>
      <c r="L374" s="641"/>
      <c r="M374" s="641"/>
      <c r="N374" s="641"/>
      <c r="O374" s="366"/>
      <c r="P374" s="366"/>
      <c r="Q374" s="366"/>
      <c r="R374" s="611"/>
      <c r="S374" s="614"/>
      <c r="T374" s="588"/>
      <c r="U374" s="188"/>
      <c r="V374" s="366"/>
      <c r="W374" s="366"/>
      <c r="X374" s="366"/>
      <c r="Y374" s="366"/>
      <c r="Z374" s="366"/>
      <c r="AA374" s="366"/>
      <c r="AB374" s="366"/>
      <c r="AC374" s="366"/>
      <c r="AD374" s="366"/>
      <c r="AE374" s="366"/>
      <c r="AF374" s="366"/>
      <c r="AG374" s="366"/>
      <c r="AH374" s="366"/>
      <c r="AI374" s="366"/>
      <c r="AJ374" s="366"/>
      <c r="AK374" s="619"/>
      <c r="AL374" s="617"/>
    </row>
    <row r="375" spans="1:38" ht="15.75">
      <c r="A375" s="190"/>
      <c r="B375" s="324"/>
      <c r="C375" s="324"/>
      <c r="D375" s="366"/>
      <c r="E375" s="366"/>
      <c r="F375" s="639"/>
      <c r="G375" s="324"/>
      <c r="H375" s="324"/>
      <c r="I375" s="335"/>
      <c r="J375" s="366"/>
      <c r="K375" s="641"/>
      <c r="L375" s="641"/>
      <c r="M375" s="641"/>
      <c r="N375" s="641"/>
      <c r="O375" s="366"/>
      <c r="P375" s="366"/>
      <c r="Q375" s="366"/>
      <c r="R375" s="611"/>
      <c r="S375" s="614"/>
      <c r="T375" s="588"/>
      <c r="U375" s="188"/>
      <c r="V375" s="366"/>
      <c r="W375" s="366"/>
      <c r="X375" s="366"/>
      <c r="Y375" s="366"/>
      <c r="Z375" s="366"/>
      <c r="AA375" s="366"/>
      <c r="AB375" s="366"/>
      <c r="AC375" s="366"/>
      <c r="AD375" s="366"/>
      <c r="AE375" s="366"/>
      <c r="AF375" s="366"/>
      <c r="AG375" s="366"/>
      <c r="AH375" s="366"/>
      <c r="AI375" s="366"/>
      <c r="AJ375" s="366"/>
      <c r="AK375" s="619"/>
      <c r="AL375" s="617"/>
    </row>
    <row r="376" spans="1:38" ht="15.75">
      <c r="A376" s="190"/>
      <c r="B376" s="324"/>
      <c r="C376" s="324"/>
      <c r="D376" s="366"/>
      <c r="E376" s="366"/>
      <c r="F376" s="639"/>
      <c r="G376" s="324"/>
      <c r="H376" s="324"/>
      <c r="I376" s="335"/>
      <c r="J376" s="366"/>
      <c r="K376" s="641"/>
      <c r="L376" s="641"/>
      <c r="M376" s="641"/>
      <c r="N376" s="641"/>
      <c r="O376" s="366"/>
      <c r="P376" s="366"/>
      <c r="Q376" s="366"/>
      <c r="R376" s="611"/>
      <c r="S376" s="614"/>
      <c r="T376" s="588"/>
      <c r="U376" s="188"/>
      <c r="V376" s="366"/>
      <c r="W376" s="366"/>
      <c r="X376" s="366"/>
      <c r="Y376" s="366"/>
      <c r="Z376" s="366"/>
      <c r="AA376" s="366"/>
      <c r="AB376" s="366"/>
      <c r="AC376" s="366"/>
      <c r="AD376" s="366"/>
      <c r="AE376" s="366"/>
      <c r="AF376" s="366"/>
      <c r="AG376" s="366"/>
      <c r="AH376" s="366"/>
      <c r="AI376" s="366"/>
      <c r="AJ376" s="366"/>
      <c r="AK376" s="619"/>
      <c r="AL376" s="617"/>
    </row>
    <row r="377" spans="1:38" ht="15.75">
      <c r="A377" s="190"/>
      <c r="B377" s="324"/>
      <c r="C377" s="324"/>
      <c r="D377" s="366"/>
      <c r="E377" s="366"/>
      <c r="F377" s="639"/>
      <c r="G377" s="324"/>
      <c r="H377" s="324"/>
      <c r="I377" s="335"/>
      <c r="J377" s="366"/>
      <c r="K377" s="641"/>
      <c r="L377" s="641"/>
      <c r="M377" s="641"/>
      <c r="N377" s="641"/>
      <c r="O377" s="366"/>
      <c r="P377" s="366"/>
      <c r="Q377" s="366"/>
      <c r="R377" s="611"/>
      <c r="S377" s="614"/>
      <c r="T377" s="588"/>
      <c r="U377" s="188"/>
      <c r="V377" s="366"/>
      <c r="W377" s="366"/>
      <c r="X377" s="366"/>
      <c r="Y377" s="366"/>
      <c r="Z377" s="366"/>
      <c r="AA377" s="366"/>
      <c r="AB377" s="366"/>
      <c r="AC377" s="366"/>
      <c r="AD377" s="366"/>
      <c r="AE377" s="366"/>
      <c r="AF377" s="366"/>
      <c r="AG377" s="366"/>
      <c r="AH377" s="366"/>
      <c r="AI377" s="366"/>
      <c r="AJ377" s="366"/>
      <c r="AK377" s="619"/>
      <c r="AL377" s="617"/>
    </row>
    <row r="378" spans="1:38" ht="15.75">
      <c r="A378" s="190"/>
      <c r="B378" s="324"/>
      <c r="C378" s="324"/>
      <c r="D378" s="366"/>
      <c r="E378" s="366"/>
      <c r="F378" s="639"/>
      <c r="G378" s="324"/>
      <c r="H378" s="324"/>
      <c r="I378" s="335"/>
      <c r="J378" s="366"/>
      <c r="K378" s="641"/>
      <c r="L378" s="641"/>
      <c r="M378" s="641"/>
      <c r="N378" s="641"/>
      <c r="O378" s="366"/>
      <c r="P378" s="366"/>
      <c r="Q378" s="366"/>
      <c r="R378" s="611"/>
      <c r="S378" s="614"/>
      <c r="T378" s="588"/>
      <c r="U378" s="188"/>
      <c r="V378" s="366"/>
      <c r="W378" s="366"/>
      <c r="X378" s="366"/>
      <c r="Y378" s="366"/>
      <c r="Z378" s="366"/>
      <c r="AA378" s="366"/>
      <c r="AB378" s="366"/>
      <c r="AC378" s="366"/>
      <c r="AD378" s="366"/>
      <c r="AE378" s="366"/>
      <c r="AF378" s="366"/>
      <c r="AG378" s="366"/>
      <c r="AH378" s="366"/>
      <c r="AI378" s="366"/>
      <c r="AJ378" s="366"/>
      <c r="AK378" s="619"/>
      <c r="AL378" s="617"/>
    </row>
    <row r="379" spans="1:38" ht="15.75">
      <c r="A379" s="190"/>
      <c r="B379" s="324"/>
      <c r="C379" s="324"/>
      <c r="D379" s="366"/>
      <c r="E379" s="366"/>
      <c r="F379" s="639"/>
      <c r="G379" s="324"/>
      <c r="H379" s="324"/>
      <c r="I379" s="335"/>
      <c r="J379" s="366"/>
      <c r="K379" s="641"/>
      <c r="L379" s="641"/>
      <c r="M379" s="641"/>
      <c r="N379" s="641"/>
      <c r="O379" s="366"/>
      <c r="P379" s="366"/>
      <c r="Q379" s="366"/>
      <c r="R379" s="611"/>
      <c r="S379" s="614"/>
      <c r="T379" s="588"/>
      <c r="U379" s="188"/>
      <c r="V379" s="366"/>
      <c r="W379" s="366"/>
      <c r="X379" s="366"/>
      <c r="Y379" s="366"/>
      <c r="Z379" s="366"/>
      <c r="AA379" s="366"/>
      <c r="AB379" s="366"/>
      <c r="AC379" s="366"/>
      <c r="AD379" s="366"/>
      <c r="AE379" s="366"/>
      <c r="AF379" s="366"/>
      <c r="AG379" s="366"/>
      <c r="AH379" s="366"/>
      <c r="AI379" s="366"/>
      <c r="AJ379" s="366"/>
      <c r="AK379" s="619"/>
      <c r="AL379" s="617"/>
    </row>
    <row r="380" spans="1:38" ht="15.75">
      <c r="A380" s="190"/>
      <c r="B380" s="324"/>
      <c r="C380" s="324"/>
      <c r="D380" s="366"/>
      <c r="E380" s="366"/>
      <c r="F380" s="639"/>
      <c r="G380" s="324"/>
      <c r="H380" s="324"/>
      <c r="I380" s="335"/>
      <c r="J380" s="366"/>
      <c r="K380" s="641"/>
      <c r="L380" s="641"/>
      <c r="M380" s="641"/>
      <c r="N380" s="641"/>
      <c r="O380" s="366"/>
      <c r="P380" s="366"/>
      <c r="Q380" s="366"/>
      <c r="R380" s="611"/>
      <c r="S380" s="614"/>
      <c r="T380" s="588"/>
      <c r="U380" s="188"/>
      <c r="V380" s="366"/>
      <c r="W380" s="366"/>
      <c r="X380" s="366"/>
      <c r="Y380" s="366"/>
      <c r="Z380" s="366"/>
      <c r="AA380" s="366"/>
      <c r="AB380" s="366"/>
      <c r="AC380" s="366"/>
      <c r="AD380" s="366"/>
      <c r="AE380" s="366"/>
      <c r="AF380" s="366"/>
      <c r="AG380" s="366"/>
      <c r="AH380" s="366"/>
      <c r="AI380" s="366"/>
      <c r="AJ380" s="366"/>
      <c r="AK380" s="619"/>
      <c r="AL380" s="617"/>
    </row>
    <row r="381" spans="1:38" ht="15.75">
      <c r="A381" s="190"/>
      <c r="B381" s="324"/>
      <c r="C381" s="324"/>
      <c r="D381" s="366"/>
      <c r="E381" s="366"/>
      <c r="F381" s="639"/>
      <c r="G381" s="324"/>
      <c r="H381" s="324"/>
      <c r="I381" s="335"/>
      <c r="J381" s="366"/>
      <c r="K381" s="641"/>
      <c r="L381" s="641"/>
      <c r="M381" s="641"/>
      <c r="N381" s="641"/>
      <c r="O381" s="366"/>
      <c r="P381" s="366"/>
      <c r="Q381" s="366"/>
      <c r="R381" s="611"/>
      <c r="S381" s="614"/>
      <c r="T381" s="588"/>
      <c r="U381" s="188"/>
      <c r="V381" s="366"/>
      <c r="W381" s="366"/>
      <c r="X381" s="366"/>
      <c r="Y381" s="366"/>
      <c r="Z381" s="366"/>
      <c r="AA381" s="366"/>
      <c r="AB381" s="366"/>
      <c r="AC381" s="366"/>
      <c r="AD381" s="366"/>
      <c r="AE381" s="366"/>
      <c r="AF381" s="366"/>
      <c r="AG381" s="366"/>
      <c r="AH381" s="366"/>
      <c r="AI381" s="366"/>
      <c r="AJ381" s="366"/>
      <c r="AK381" s="619"/>
      <c r="AL381" s="617"/>
    </row>
    <row r="382" spans="1:38" ht="15.75">
      <c r="A382" s="190"/>
      <c r="B382" s="324"/>
      <c r="C382" s="324"/>
      <c r="D382" s="366"/>
      <c r="E382" s="366"/>
      <c r="F382" s="639"/>
      <c r="G382" s="324"/>
      <c r="H382" s="324"/>
      <c r="I382" s="335"/>
      <c r="J382" s="366"/>
      <c r="K382" s="641"/>
      <c r="L382" s="641"/>
      <c r="M382" s="641"/>
      <c r="N382" s="641"/>
      <c r="O382" s="366"/>
      <c r="P382" s="366"/>
      <c r="Q382" s="366"/>
      <c r="R382" s="611"/>
      <c r="S382" s="614"/>
      <c r="T382" s="588"/>
      <c r="U382" s="188"/>
      <c r="V382" s="366"/>
      <c r="W382" s="366"/>
      <c r="X382" s="366"/>
      <c r="Y382" s="366"/>
      <c r="Z382" s="366"/>
      <c r="AA382" s="366"/>
      <c r="AB382" s="366"/>
      <c r="AC382" s="366"/>
      <c r="AD382" s="366"/>
      <c r="AE382" s="366"/>
      <c r="AF382" s="366"/>
      <c r="AG382" s="366"/>
      <c r="AH382" s="366"/>
      <c r="AI382" s="366"/>
      <c r="AJ382" s="366"/>
      <c r="AK382" s="619"/>
      <c r="AL382" s="617"/>
    </row>
    <row r="383" spans="1:38" ht="15.75">
      <c r="A383" s="190"/>
      <c r="B383" s="324"/>
      <c r="C383" s="324"/>
      <c r="D383" s="366"/>
      <c r="E383" s="366"/>
      <c r="F383" s="639"/>
      <c r="G383" s="324"/>
      <c r="H383" s="324"/>
      <c r="I383" s="335"/>
      <c r="J383" s="366"/>
      <c r="K383" s="641"/>
      <c r="L383" s="641"/>
      <c r="M383" s="641"/>
      <c r="N383" s="641"/>
      <c r="O383" s="366"/>
      <c r="P383" s="366"/>
      <c r="Q383" s="366"/>
      <c r="R383" s="611"/>
      <c r="S383" s="614"/>
      <c r="T383" s="588"/>
      <c r="U383" s="188"/>
      <c r="V383" s="366"/>
      <c r="W383" s="366"/>
      <c r="X383" s="366"/>
      <c r="Y383" s="366"/>
      <c r="Z383" s="366"/>
      <c r="AA383" s="366"/>
      <c r="AB383" s="366"/>
      <c r="AC383" s="366"/>
      <c r="AD383" s="366"/>
      <c r="AE383" s="366"/>
      <c r="AF383" s="366"/>
      <c r="AG383" s="366"/>
      <c r="AH383" s="366"/>
      <c r="AI383" s="366"/>
      <c r="AJ383" s="366"/>
      <c r="AK383" s="619"/>
      <c r="AL383" s="617"/>
    </row>
    <row r="384" spans="1:38" ht="15.75">
      <c r="A384" s="190"/>
      <c r="B384" s="324"/>
      <c r="C384" s="324"/>
      <c r="D384" s="366"/>
      <c r="E384" s="366"/>
      <c r="F384" s="639"/>
      <c r="G384" s="324"/>
      <c r="H384" s="324"/>
      <c r="I384" s="335"/>
      <c r="J384" s="366"/>
      <c r="K384" s="641"/>
      <c r="L384" s="641"/>
      <c r="M384" s="641"/>
      <c r="N384" s="641"/>
      <c r="O384" s="366"/>
      <c r="P384" s="366"/>
      <c r="Q384" s="366"/>
      <c r="R384" s="611"/>
      <c r="S384" s="614"/>
      <c r="T384" s="588"/>
      <c r="U384" s="188"/>
      <c r="V384" s="366"/>
      <c r="W384" s="366"/>
      <c r="X384" s="366"/>
      <c r="Y384" s="366"/>
      <c r="Z384" s="366"/>
      <c r="AA384" s="366"/>
      <c r="AB384" s="366"/>
      <c r="AC384" s="366"/>
      <c r="AD384" s="366"/>
      <c r="AE384" s="366"/>
      <c r="AF384" s="366"/>
      <c r="AG384" s="366"/>
      <c r="AH384" s="366"/>
      <c r="AI384" s="366"/>
      <c r="AJ384" s="366"/>
      <c r="AK384" s="619"/>
      <c r="AL384" s="617"/>
    </row>
    <row r="385" spans="1:38" ht="15.75">
      <c r="A385" s="190"/>
      <c r="B385" s="324"/>
      <c r="C385" s="324"/>
      <c r="D385" s="366"/>
      <c r="E385" s="366"/>
      <c r="F385" s="639"/>
      <c r="G385" s="324"/>
      <c r="H385" s="324"/>
      <c r="I385" s="335"/>
      <c r="J385" s="366"/>
      <c r="K385" s="641"/>
      <c r="L385" s="641"/>
      <c r="M385" s="641"/>
      <c r="N385" s="641"/>
      <c r="O385" s="366"/>
      <c r="P385" s="366"/>
      <c r="Q385" s="366"/>
      <c r="R385" s="611"/>
      <c r="S385" s="614"/>
      <c r="T385" s="588"/>
      <c r="U385" s="188"/>
      <c r="V385" s="366"/>
      <c r="W385" s="366"/>
      <c r="X385" s="366"/>
      <c r="Y385" s="366"/>
      <c r="Z385" s="366"/>
      <c r="AA385" s="366"/>
      <c r="AB385" s="366"/>
      <c r="AC385" s="366"/>
      <c r="AD385" s="366"/>
      <c r="AE385" s="366"/>
      <c r="AF385" s="366"/>
      <c r="AG385" s="366"/>
      <c r="AH385" s="366"/>
      <c r="AI385" s="366"/>
      <c r="AJ385" s="366"/>
      <c r="AK385" s="619"/>
      <c r="AL385" s="617"/>
    </row>
    <row r="386" spans="1:38" ht="15.75">
      <c r="A386" s="190"/>
      <c r="B386" s="324"/>
      <c r="C386" s="324"/>
      <c r="D386" s="366"/>
      <c r="E386" s="366"/>
      <c r="F386" s="639"/>
      <c r="G386" s="324"/>
      <c r="H386" s="324"/>
      <c r="I386" s="335"/>
      <c r="J386" s="366"/>
      <c r="K386" s="641"/>
      <c r="L386" s="641"/>
      <c r="M386" s="641"/>
      <c r="N386" s="641"/>
      <c r="O386" s="366"/>
      <c r="P386" s="366"/>
      <c r="Q386" s="366"/>
      <c r="R386" s="611"/>
      <c r="S386" s="614"/>
      <c r="T386" s="588"/>
      <c r="U386" s="188"/>
      <c r="V386" s="366"/>
      <c r="W386" s="366"/>
      <c r="X386" s="366"/>
      <c r="Y386" s="366"/>
      <c r="Z386" s="366"/>
      <c r="AA386" s="366"/>
      <c r="AB386" s="366"/>
      <c r="AC386" s="366"/>
      <c r="AD386" s="366"/>
      <c r="AE386" s="366"/>
      <c r="AF386" s="366"/>
      <c r="AG386" s="366"/>
      <c r="AH386" s="366"/>
      <c r="AI386" s="366"/>
      <c r="AJ386" s="366"/>
      <c r="AK386" s="619"/>
      <c r="AL386" s="617"/>
    </row>
    <row r="387" spans="1:38" ht="15.75">
      <c r="A387" s="190"/>
      <c r="B387" s="324"/>
      <c r="C387" s="324"/>
      <c r="D387" s="366"/>
      <c r="E387" s="366"/>
      <c r="F387" s="639"/>
      <c r="G387" s="324"/>
      <c r="H387" s="324"/>
      <c r="I387" s="335"/>
      <c r="J387" s="366"/>
      <c r="K387" s="641"/>
      <c r="L387" s="641"/>
      <c r="M387" s="641"/>
      <c r="N387" s="641"/>
      <c r="O387" s="366"/>
      <c r="P387" s="366"/>
      <c r="Q387" s="366"/>
      <c r="R387" s="611"/>
      <c r="S387" s="614"/>
      <c r="T387" s="588"/>
      <c r="U387" s="188"/>
      <c r="V387" s="366"/>
      <c r="W387" s="366"/>
      <c r="X387" s="366"/>
      <c r="Y387" s="366"/>
      <c r="Z387" s="366"/>
      <c r="AA387" s="366"/>
      <c r="AB387" s="366"/>
      <c r="AC387" s="366"/>
      <c r="AD387" s="366"/>
      <c r="AE387" s="366"/>
      <c r="AF387" s="366"/>
      <c r="AG387" s="366"/>
      <c r="AH387" s="366"/>
      <c r="AI387" s="366"/>
      <c r="AJ387" s="366"/>
      <c r="AK387" s="619"/>
      <c r="AL387" s="617"/>
    </row>
    <row r="388" spans="1:38" ht="15.75">
      <c r="A388" s="190"/>
      <c r="B388" s="324"/>
      <c r="C388" s="324"/>
      <c r="D388" s="366"/>
      <c r="E388" s="366"/>
      <c r="F388" s="639"/>
      <c r="G388" s="324"/>
      <c r="H388" s="324"/>
      <c r="I388" s="335"/>
      <c r="J388" s="366"/>
      <c r="K388" s="641"/>
      <c r="L388" s="641"/>
      <c r="M388" s="641"/>
      <c r="N388" s="641"/>
      <c r="O388" s="366"/>
      <c r="P388" s="366"/>
      <c r="Q388" s="366"/>
      <c r="R388" s="611"/>
      <c r="S388" s="614"/>
      <c r="T388" s="588"/>
      <c r="U388" s="188"/>
      <c r="V388" s="366"/>
      <c r="W388" s="366"/>
      <c r="X388" s="366"/>
      <c r="Y388" s="366"/>
      <c r="Z388" s="366"/>
      <c r="AA388" s="366"/>
      <c r="AB388" s="366"/>
      <c r="AC388" s="366"/>
      <c r="AD388" s="366"/>
      <c r="AE388" s="366"/>
      <c r="AF388" s="366"/>
      <c r="AG388" s="366"/>
      <c r="AH388" s="366"/>
      <c r="AI388" s="366"/>
      <c r="AJ388" s="366"/>
      <c r="AK388" s="619"/>
      <c r="AL388" s="617"/>
    </row>
    <row r="389" spans="1:38" ht="15.75">
      <c r="A389" s="190"/>
      <c r="B389" s="324"/>
      <c r="C389" s="324"/>
      <c r="D389" s="366"/>
      <c r="E389" s="366"/>
      <c r="F389" s="639"/>
      <c r="G389" s="324"/>
      <c r="H389" s="324"/>
      <c r="I389" s="335"/>
      <c r="J389" s="366"/>
      <c r="K389" s="641"/>
      <c r="L389" s="641"/>
      <c r="M389" s="641"/>
      <c r="N389" s="641"/>
      <c r="O389" s="366"/>
      <c r="P389" s="366"/>
      <c r="Q389" s="366"/>
      <c r="R389" s="611"/>
      <c r="S389" s="614"/>
      <c r="T389" s="588"/>
      <c r="U389" s="188"/>
      <c r="V389" s="366"/>
      <c r="W389" s="366"/>
      <c r="X389" s="366"/>
      <c r="Y389" s="366"/>
      <c r="Z389" s="366"/>
      <c r="AA389" s="366"/>
      <c r="AB389" s="366"/>
      <c r="AC389" s="366"/>
      <c r="AD389" s="366"/>
      <c r="AE389" s="366"/>
      <c r="AF389" s="366"/>
      <c r="AG389" s="366"/>
      <c r="AH389" s="366"/>
      <c r="AI389" s="366"/>
      <c r="AJ389" s="366"/>
      <c r="AK389" s="619"/>
      <c r="AL389" s="617"/>
    </row>
    <row r="390" spans="1:38" ht="15.75">
      <c r="A390" s="190"/>
      <c r="B390" s="324"/>
      <c r="C390" s="324"/>
      <c r="D390" s="366"/>
      <c r="E390" s="366"/>
      <c r="F390" s="639"/>
      <c r="G390" s="324"/>
      <c r="H390" s="324"/>
      <c r="I390" s="335"/>
      <c r="J390" s="366"/>
      <c r="K390" s="641"/>
      <c r="L390" s="641"/>
      <c r="M390" s="641"/>
      <c r="N390" s="641"/>
      <c r="O390" s="366"/>
      <c r="P390" s="366"/>
      <c r="Q390" s="366"/>
      <c r="R390" s="611"/>
      <c r="S390" s="614"/>
      <c r="T390" s="588"/>
      <c r="U390" s="188"/>
      <c r="V390" s="366"/>
      <c r="W390" s="366"/>
      <c r="X390" s="366"/>
      <c r="Y390" s="366"/>
      <c r="Z390" s="366"/>
      <c r="AA390" s="366"/>
      <c r="AB390" s="366"/>
      <c r="AC390" s="366"/>
      <c r="AD390" s="366"/>
      <c r="AE390" s="366"/>
      <c r="AF390" s="366"/>
      <c r="AG390" s="366"/>
      <c r="AH390" s="366"/>
      <c r="AI390" s="366"/>
      <c r="AJ390" s="366"/>
      <c r="AK390" s="619"/>
      <c r="AL390" s="617"/>
    </row>
    <row r="391" spans="1:38" ht="15.75">
      <c r="A391" s="190"/>
      <c r="B391" s="324"/>
      <c r="C391" s="324"/>
      <c r="D391" s="366"/>
      <c r="E391" s="366"/>
      <c r="F391" s="639"/>
      <c r="G391" s="324"/>
      <c r="H391" s="324"/>
      <c r="I391" s="335"/>
      <c r="J391" s="366"/>
      <c r="K391" s="641"/>
      <c r="L391" s="641"/>
      <c r="M391" s="641"/>
      <c r="N391" s="641"/>
      <c r="O391" s="366"/>
      <c r="P391" s="366"/>
      <c r="Q391" s="366"/>
      <c r="R391" s="611"/>
      <c r="S391" s="614"/>
      <c r="T391" s="588"/>
      <c r="U391" s="188"/>
      <c r="V391" s="366"/>
      <c r="W391" s="366"/>
      <c r="X391" s="366"/>
      <c r="Y391" s="366"/>
      <c r="Z391" s="366"/>
      <c r="AA391" s="366"/>
      <c r="AB391" s="366"/>
      <c r="AC391" s="366"/>
      <c r="AD391" s="366"/>
      <c r="AE391" s="366"/>
      <c r="AF391" s="366"/>
      <c r="AG391" s="366"/>
      <c r="AH391" s="366"/>
      <c r="AI391" s="366"/>
      <c r="AJ391" s="366"/>
      <c r="AK391" s="619"/>
      <c r="AL391" s="617"/>
    </row>
    <row r="392" spans="1:38" ht="15.75">
      <c r="A392" s="190"/>
      <c r="B392" s="324"/>
      <c r="C392" s="324"/>
      <c r="D392" s="366"/>
      <c r="E392" s="366"/>
      <c r="F392" s="639"/>
      <c r="G392" s="324"/>
      <c r="H392" s="324"/>
      <c r="I392" s="335"/>
      <c r="J392" s="366"/>
      <c r="K392" s="641"/>
      <c r="L392" s="641"/>
      <c r="M392" s="641"/>
      <c r="N392" s="641"/>
      <c r="O392" s="366"/>
      <c r="P392" s="366"/>
      <c r="Q392" s="366"/>
      <c r="R392" s="611"/>
      <c r="S392" s="614"/>
      <c r="T392" s="588"/>
      <c r="U392" s="188"/>
      <c r="V392" s="366"/>
      <c r="W392" s="366"/>
      <c r="X392" s="366"/>
      <c r="Y392" s="366"/>
      <c r="Z392" s="366"/>
      <c r="AA392" s="366"/>
      <c r="AB392" s="366"/>
      <c r="AC392" s="366"/>
      <c r="AD392" s="366"/>
      <c r="AE392" s="366"/>
      <c r="AF392" s="366"/>
      <c r="AG392" s="366"/>
      <c r="AH392" s="366"/>
      <c r="AI392" s="366"/>
      <c r="AJ392" s="366"/>
      <c r="AK392" s="619"/>
      <c r="AL392" s="617"/>
    </row>
    <row r="393" spans="1:38" ht="15.75">
      <c r="A393" s="190"/>
      <c r="B393" s="324"/>
      <c r="C393" s="324"/>
      <c r="D393" s="366"/>
      <c r="E393" s="366"/>
      <c r="F393" s="639"/>
      <c r="G393" s="324"/>
      <c r="H393" s="324"/>
      <c r="I393" s="335"/>
      <c r="J393" s="366"/>
      <c r="K393" s="641"/>
      <c r="L393" s="641"/>
      <c r="M393" s="641"/>
      <c r="N393" s="641"/>
      <c r="O393" s="366"/>
      <c r="P393" s="366"/>
      <c r="Q393" s="366"/>
      <c r="R393" s="611"/>
      <c r="S393" s="614"/>
      <c r="T393" s="588"/>
      <c r="U393" s="188"/>
      <c r="V393" s="366"/>
      <c r="W393" s="366"/>
      <c r="X393" s="366"/>
      <c r="Y393" s="366"/>
      <c r="Z393" s="366"/>
      <c r="AA393" s="366"/>
      <c r="AB393" s="366"/>
      <c r="AC393" s="366"/>
      <c r="AD393" s="366"/>
      <c r="AE393" s="366"/>
      <c r="AF393" s="366"/>
      <c r="AG393" s="366"/>
      <c r="AH393" s="366"/>
      <c r="AI393" s="366"/>
      <c r="AJ393" s="366"/>
      <c r="AK393" s="619"/>
      <c r="AL393" s="617"/>
    </row>
    <row r="394" spans="1:38" ht="15.75">
      <c r="A394" s="190"/>
      <c r="B394" s="324"/>
      <c r="C394" s="324"/>
      <c r="D394" s="366"/>
      <c r="E394" s="366"/>
      <c r="F394" s="639"/>
      <c r="G394" s="324"/>
      <c r="H394" s="324"/>
      <c r="I394" s="335"/>
      <c r="J394" s="366"/>
      <c r="K394" s="641"/>
      <c r="L394" s="641"/>
      <c r="M394" s="641"/>
      <c r="N394" s="641"/>
      <c r="O394" s="366"/>
      <c r="P394" s="366"/>
      <c r="Q394" s="366"/>
      <c r="R394" s="611"/>
      <c r="S394" s="614"/>
      <c r="T394" s="588"/>
      <c r="U394" s="188"/>
      <c r="V394" s="366"/>
      <c r="W394" s="366"/>
      <c r="X394" s="366"/>
      <c r="Y394" s="366"/>
      <c r="Z394" s="366"/>
      <c r="AA394" s="366"/>
      <c r="AB394" s="366"/>
      <c r="AC394" s="366"/>
      <c r="AD394" s="366"/>
      <c r="AE394" s="366"/>
      <c r="AF394" s="366"/>
      <c r="AG394" s="366"/>
      <c r="AH394" s="366"/>
      <c r="AI394" s="366"/>
      <c r="AJ394" s="366"/>
      <c r="AK394" s="619"/>
      <c r="AL394" s="617"/>
    </row>
    <row r="395" spans="1:38" ht="15.75">
      <c r="A395" s="190"/>
      <c r="B395" s="324"/>
      <c r="C395" s="324"/>
      <c r="D395" s="366"/>
      <c r="E395" s="366"/>
      <c r="F395" s="639"/>
      <c r="G395" s="324"/>
      <c r="H395" s="324"/>
      <c r="I395" s="335"/>
      <c r="J395" s="366"/>
      <c r="K395" s="641"/>
      <c r="L395" s="641"/>
      <c r="M395" s="641"/>
      <c r="N395" s="641"/>
      <c r="O395" s="366"/>
      <c r="P395" s="366"/>
      <c r="Q395" s="366"/>
      <c r="R395" s="611"/>
      <c r="S395" s="614"/>
      <c r="T395" s="588"/>
      <c r="U395" s="188"/>
      <c r="V395" s="366"/>
      <c r="W395" s="366"/>
      <c r="X395" s="366"/>
      <c r="Y395" s="366"/>
      <c r="Z395" s="366"/>
      <c r="AA395" s="366"/>
      <c r="AB395" s="366"/>
      <c r="AC395" s="366"/>
      <c r="AD395" s="366"/>
      <c r="AE395" s="366"/>
      <c r="AF395" s="366"/>
      <c r="AG395" s="366"/>
      <c r="AH395" s="366"/>
      <c r="AI395" s="366"/>
      <c r="AJ395" s="366"/>
      <c r="AK395" s="619"/>
      <c r="AL395" s="617"/>
    </row>
    <row r="396" spans="1:38" ht="15.75">
      <c r="A396" s="190"/>
      <c r="B396" s="324"/>
      <c r="C396" s="324"/>
      <c r="D396" s="366"/>
      <c r="E396" s="366"/>
      <c r="F396" s="639"/>
      <c r="G396" s="324"/>
      <c r="H396" s="324"/>
      <c r="I396" s="335"/>
      <c r="J396" s="366"/>
      <c r="K396" s="641"/>
      <c r="L396" s="641"/>
      <c r="M396" s="641"/>
      <c r="N396" s="641"/>
      <c r="O396" s="366"/>
      <c r="P396" s="366"/>
      <c r="Q396" s="366"/>
      <c r="R396" s="611"/>
      <c r="S396" s="614"/>
      <c r="T396" s="588"/>
      <c r="U396" s="188"/>
      <c r="V396" s="366"/>
      <c r="W396" s="366"/>
      <c r="X396" s="366"/>
      <c r="Y396" s="366"/>
      <c r="Z396" s="366"/>
      <c r="AA396" s="366"/>
      <c r="AB396" s="366"/>
      <c r="AC396" s="366"/>
      <c r="AD396" s="366"/>
      <c r="AE396" s="366"/>
      <c r="AF396" s="366"/>
      <c r="AG396" s="366"/>
      <c r="AH396" s="366"/>
      <c r="AI396" s="366"/>
      <c r="AJ396" s="366"/>
      <c r="AK396" s="619"/>
      <c r="AL396" s="617"/>
    </row>
    <row r="397" spans="1:38" ht="15.75">
      <c r="A397" s="190"/>
      <c r="B397" s="324"/>
      <c r="C397" s="324"/>
      <c r="D397" s="366"/>
      <c r="E397" s="366"/>
      <c r="F397" s="639"/>
      <c r="G397" s="324"/>
      <c r="H397" s="324"/>
      <c r="I397" s="335"/>
      <c r="J397" s="366"/>
      <c r="K397" s="641"/>
      <c r="L397" s="641"/>
      <c r="M397" s="641"/>
      <c r="N397" s="641"/>
      <c r="O397" s="366"/>
      <c r="P397" s="366"/>
      <c r="Q397" s="366"/>
      <c r="R397" s="611"/>
      <c r="S397" s="614"/>
      <c r="T397" s="588"/>
      <c r="U397" s="188"/>
      <c r="V397" s="366"/>
      <c r="W397" s="366"/>
      <c r="X397" s="366"/>
      <c r="Y397" s="366"/>
      <c r="Z397" s="366"/>
      <c r="AA397" s="366"/>
      <c r="AB397" s="366"/>
      <c r="AC397" s="366"/>
      <c r="AD397" s="366"/>
      <c r="AE397" s="366"/>
      <c r="AF397" s="366"/>
      <c r="AG397" s="366"/>
      <c r="AH397" s="366"/>
      <c r="AI397" s="366"/>
      <c r="AJ397" s="366"/>
      <c r="AK397" s="619"/>
      <c r="AL397" s="617"/>
    </row>
    <row r="398" spans="1:38" ht="15.75">
      <c r="A398" s="190"/>
      <c r="B398" s="324"/>
      <c r="C398" s="324"/>
      <c r="D398" s="366"/>
      <c r="E398" s="366"/>
      <c r="F398" s="639"/>
      <c r="G398" s="324"/>
      <c r="H398" s="324"/>
      <c r="I398" s="335"/>
      <c r="J398" s="366"/>
      <c r="K398" s="641"/>
      <c r="L398" s="641"/>
      <c r="M398" s="641"/>
      <c r="N398" s="641"/>
      <c r="O398" s="366"/>
      <c r="P398" s="366"/>
      <c r="Q398" s="366"/>
      <c r="R398" s="611"/>
      <c r="S398" s="614"/>
      <c r="T398" s="588"/>
      <c r="U398" s="188"/>
      <c r="V398" s="366"/>
      <c r="W398" s="366"/>
      <c r="X398" s="366"/>
      <c r="Y398" s="366"/>
      <c r="Z398" s="366"/>
      <c r="AA398" s="366"/>
      <c r="AB398" s="366"/>
      <c r="AC398" s="366"/>
      <c r="AD398" s="366"/>
      <c r="AE398" s="366"/>
      <c r="AF398" s="366"/>
      <c r="AG398" s="366"/>
      <c r="AH398" s="366"/>
      <c r="AI398" s="366"/>
      <c r="AJ398" s="366"/>
      <c r="AK398" s="619"/>
      <c r="AL398" s="617"/>
    </row>
    <row r="399" spans="1:38" ht="15.75">
      <c r="A399" s="190"/>
      <c r="B399" s="324"/>
      <c r="C399" s="324"/>
      <c r="D399" s="366"/>
      <c r="E399" s="366"/>
      <c r="F399" s="639"/>
      <c r="G399" s="324"/>
      <c r="H399" s="324"/>
      <c r="I399" s="335"/>
      <c r="J399" s="366"/>
      <c r="K399" s="641"/>
      <c r="L399" s="641"/>
      <c r="M399" s="641"/>
      <c r="N399" s="641"/>
      <c r="O399" s="366"/>
      <c r="P399" s="366"/>
      <c r="Q399" s="366"/>
      <c r="R399" s="611"/>
      <c r="S399" s="614"/>
      <c r="T399" s="588"/>
      <c r="U399" s="188"/>
      <c r="V399" s="366"/>
      <c r="W399" s="366"/>
      <c r="X399" s="366"/>
      <c r="Y399" s="366"/>
      <c r="Z399" s="366"/>
      <c r="AA399" s="366"/>
      <c r="AB399" s="366"/>
      <c r="AC399" s="366"/>
      <c r="AD399" s="366"/>
      <c r="AE399" s="366"/>
      <c r="AF399" s="366"/>
      <c r="AG399" s="366"/>
      <c r="AH399" s="366"/>
      <c r="AI399" s="366"/>
      <c r="AJ399" s="366"/>
      <c r="AK399" s="619"/>
      <c r="AL399" s="617"/>
    </row>
    <row r="400" spans="1:38" ht="15.75">
      <c r="A400" s="190"/>
      <c r="B400" s="324"/>
      <c r="C400" s="324"/>
      <c r="D400" s="366"/>
      <c r="E400" s="366"/>
      <c r="F400" s="639"/>
      <c r="G400" s="324"/>
      <c r="H400" s="324"/>
      <c r="I400" s="335"/>
      <c r="J400" s="366"/>
      <c r="K400" s="641"/>
      <c r="L400" s="641"/>
      <c r="M400" s="641"/>
      <c r="N400" s="641"/>
      <c r="O400" s="366"/>
      <c r="P400" s="366"/>
      <c r="Q400" s="366"/>
      <c r="R400" s="611"/>
      <c r="S400" s="614"/>
      <c r="T400" s="588"/>
      <c r="U400" s="188"/>
      <c r="V400" s="366"/>
      <c r="W400" s="366"/>
      <c r="X400" s="366"/>
      <c r="Y400" s="366"/>
      <c r="Z400" s="366"/>
      <c r="AA400" s="366"/>
      <c r="AB400" s="366"/>
      <c r="AC400" s="366"/>
      <c r="AD400" s="366"/>
      <c r="AE400" s="366"/>
      <c r="AF400" s="366"/>
      <c r="AG400" s="366"/>
      <c r="AH400" s="366"/>
      <c r="AI400" s="366"/>
      <c r="AJ400" s="366"/>
      <c r="AK400" s="619"/>
      <c r="AL400" s="617"/>
    </row>
    <row r="401" spans="1:38" ht="15.75">
      <c r="A401" s="190"/>
      <c r="B401" s="324"/>
      <c r="C401" s="324"/>
      <c r="D401" s="366"/>
      <c r="E401" s="366"/>
      <c r="F401" s="639"/>
      <c r="G401" s="324"/>
      <c r="H401" s="324"/>
      <c r="I401" s="335"/>
      <c r="J401" s="366"/>
      <c r="K401" s="641"/>
      <c r="L401" s="641"/>
      <c r="M401" s="641"/>
      <c r="N401" s="641"/>
      <c r="O401" s="366"/>
      <c r="P401" s="366"/>
      <c r="Q401" s="366"/>
      <c r="R401" s="611"/>
      <c r="S401" s="614"/>
      <c r="T401" s="588"/>
      <c r="U401" s="188"/>
      <c r="V401" s="366"/>
      <c r="W401" s="366"/>
      <c r="X401" s="366"/>
      <c r="Y401" s="366"/>
      <c r="Z401" s="366"/>
      <c r="AA401" s="366"/>
      <c r="AB401" s="366"/>
      <c r="AC401" s="366"/>
      <c r="AD401" s="366"/>
      <c r="AE401" s="366"/>
      <c r="AF401" s="366"/>
      <c r="AG401" s="366"/>
      <c r="AH401" s="366"/>
      <c r="AI401" s="366"/>
      <c r="AJ401" s="366"/>
      <c r="AK401" s="619"/>
      <c r="AL401" s="617"/>
    </row>
    <row r="402" spans="1:38" ht="15.75">
      <c r="A402" s="190"/>
      <c r="B402" s="324"/>
      <c r="C402" s="324"/>
      <c r="D402" s="366"/>
      <c r="E402" s="366"/>
      <c r="F402" s="639"/>
      <c r="G402" s="324"/>
      <c r="H402" s="324"/>
      <c r="I402" s="335"/>
      <c r="J402" s="366"/>
      <c r="K402" s="641"/>
      <c r="L402" s="641"/>
      <c r="M402" s="641"/>
      <c r="N402" s="641"/>
      <c r="O402" s="366"/>
      <c r="P402" s="366"/>
      <c r="Q402" s="366"/>
      <c r="R402" s="611"/>
      <c r="S402" s="614"/>
      <c r="T402" s="588"/>
      <c r="U402" s="188"/>
      <c r="V402" s="366"/>
      <c r="W402" s="366"/>
      <c r="X402" s="366"/>
      <c r="Y402" s="366"/>
      <c r="Z402" s="366"/>
      <c r="AA402" s="366"/>
      <c r="AB402" s="366"/>
      <c r="AC402" s="366"/>
      <c r="AD402" s="366"/>
      <c r="AE402" s="366"/>
      <c r="AF402" s="366"/>
      <c r="AG402" s="366"/>
      <c r="AH402" s="366"/>
      <c r="AI402" s="366"/>
      <c r="AJ402" s="366"/>
      <c r="AK402" s="619"/>
      <c r="AL402" s="617"/>
    </row>
    <row r="403" spans="1:38" ht="15.75">
      <c r="A403" s="190"/>
      <c r="B403" s="324"/>
      <c r="C403" s="324"/>
      <c r="D403" s="366"/>
      <c r="E403" s="366"/>
      <c r="F403" s="639"/>
      <c r="G403" s="324"/>
      <c r="H403" s="324"/>
      <c r="I403" s="335"/>
      <c r="J403" s="366"/>
      <c r="K403" s="641"/>
      <c r="L403" s="641"/>
      <c r="M403" s="641"/>
      <c r="N403" s="641"/>
      <c r="O403" s="366"/>
      <c r="P403" s="366"/>
      <c r="Q403" s="366"/>
      <c r="R403" s="611"/>
      <c r="S403" s="614"/>
      <c r="T403" s="588"/>
      <c r="U403" s="188"/>
      <c r="V403" s="366"/>
      <c r="W403" s="366"/>
      <c r="X403" s="366"/>
      <c r="Y403" s="366"/>
      <c r="Z403" s="366"/>
      <c r="AA403" s="366"/>
      <c r="AB403" s="366"/>
      <c r="AC403" s="366"/>
      <c r="AD403" s="366"/>
      <c r="AE403" s="366"/>
      <c r="AF403" s="366"/>
      <c r="AG403" s="366"/>
      <c r="AH403" s="366"/>
      <c r="AI403" s="366"/>
      <c r="AJ403" s="366"/>
      <c r="AK403" s="619"/>
      <c r="AL403" s="617"/>
    </row>
    <row r="404" spans="1:38" ht="15.75">
      <c r="A404" s="190"/>
      <c r="B404" s="324"/>
      <c r="C404" s="324"/>
      <c r="D404" s="366"/>
      <c r="E404" s="366"/>
      <c r="F404" s="639"/>
      <c r="G404" s="324"/>
      <c r="H404" s="324"/>
      <c r="I404" s="335"/>
      <c r="J404" s="366"/>
      <c r="K404" s="641"/>
      <c r="L404" s="641"/>
      <c r="M404" s="641"/>
      <c r="N404" s="641"/>
      <c r="O404" s="366"/>
      <c r="P404" s="366"/>
      <c r="Q404" s="366"/>
      <c r="R404" s="611"/>
      <c r="S404" s="614"/>
      <c r="T404" s="588"/>
      <c r="U404" s="188"/>
      <c r="V404" s="366"/>
      <c r="W404" s="366"/>
      <c r="X404" s="366"/>
      <c r="Y404" s="366"/>
      <c r="Z404" s="366"/>
      <c r="AA404" s="366"/>
      <c r="AB404" s="366"/>
      <c r="AC404" s="366"/>
      <c r="AD404" s="366"/>
      <c r="AE404" s="366"/>
      <c r="AF404" s="366"/>
      <c r="AG404" s="366"/>
      <c r="AH404" s="366"/>
      <c r="AI404" s="366"/>
      <c r="AJ404" s="366"/>
      <c r="AK404" s="619"/>
      <c r="AL404" s="617"/>
    </row>
    <row r="405" spans="1:38" ht="15.75">
      <c r="A405" s="190"/>
      <c r="B405" s="324"/>
      <c r="C405" s="324"/>
      <c r="D405" s="366"/>
      <c r="E405" s="366"/>
      <c r="F405" s="639"/>
      <c r="G405" s="324"/>
      <c r="H405" s="324"/>
      <c r="I405" s="335"/>
      <c r="J405" s="366"/>
      <c r="K405" s="641"/>
      <c r="L405" s="641"/>
      <c r="M405" s="641"/>
      <c r="N405" s="641"/>
      <c r="O405" s="366"/>
      <c r="P405" s="366"/>
      <c r="Q405" s="366"/>
      <c r="R405" s="611"/>
      <c r="S405" s="614"/>
      <c r="T405" s="588"/>
      <c r="U405" s="188"/>
      <c r="V405" s="366"/>
      <c r="W405" s="366"/>
      <c r="X405" s="366"/>
      <c r="Y405" s="366"/>
      <c r="Z405" s="366"/>
      <c r="AA405" s="366"/>
      <c r="AB405" s="366"/>
      <c r="AC405" s="366"/>
      <c r="AD405" s="366"/>
      <c r="AE405" s="366"/>
      <c r="AF405" s="366"/>
      <c r="AG405" s="366"/>
      <c r="AH405" s="366"/>
      <c r="AI405" s="366"/>
      <c r="AJ405" s="366"/>
      <c r="AK405" s="619"/>
      <c r="AL405" s="617"/>
    </row>
    <row r="406" spans="1:38" ht="15.75">
      <c r="A406" s="190"/>
      <c r="B406" s="324"/>
      <c r="C406" s="324"/>
      <c r="D406" s="366"/>
      <c r="E406" s="366"/>
      <c r="F406" s="639"/>
      <c r="G406" s="324"/>
      <c r="H406" s="324"/>
      <c r="I406" s="335"/>
      <c r="J406" s="366"/>
      <c r="K406" s="641"/>
      <c r="L406" s="641"/>
      <c r="M406" s="641"/>
      <c r="N406" s="641"/>
      <c r="O406" s="366"/>
      <c r="P406" s="366"/>
      <c r="Q406" s="366"/>
      <c r="R406" s="611"/>
      <c r="S406" s="614"/>
      <c r="T406" s="588"/>
      <c r="U406" s="188"/>
      <c r="V406" s="366"/>
      <c r="W406" s="366"/>
      <c r="X406" s="366"/>
      <c r="Y406" s="366"/>
      <c r="Z406" s="366"/>
      <c r="AA406" s="366"/>
      <c r="AB406" s="366"/>
      <c r="AC406" s="366"/>
      <c r="AD406" s="366"/>
      <c r="AE406" s="366"/>
      <c r="AF406" s="366"/>
      <c r="AG406" s="366"/>
      <c r="AH406" s="366"/>
      <c r="AI406" s="366"/>
      <c r="AJ406" s="366"/>
      <c r="AK406" s="619"/>
      <c r="AL406" s="617"/>
    </row>
    <row r="407" spans="1:38" ht="15.75">
      <c r="A407" s="190"/>
      <c r="B407" s="324"/>
      <c r="C407" s="324"/>
      <c r="D407" s="366"/>
      <c r="E407" s="366"/>
      <c r="F407" s="639"/>
      <c r="G407" s="324"/>
      <c r="H407" s="324"/>
      <c r="I407" s="335"/>
      <c r="J407" s="366"/>
      <c r="K407" s="641"/>
      <c r="L407" s="641"/>
      <c r="M407" s="641"/>
      <c r="N407" s="641"/>
      <c r="O407" s="366"/>
      <c r="P407" s="366"/>
      <c r="Q407" s="366"/>
      <c r="R407" s="611"/>
      <c r="S407" s="614"/>
      <c r="T407" s="588"/>
      <c r="U407" s="188"/>
      <c r="V407" s="366"/>
      <c r="W407" s="366"/>
      <c r="X407" s="366"/>
      <c r="Y407" s="366"/>
      <c r="Z407" s="366"/>
      <c r="AA407" s="366"/>
      <c r="AB407" s="366"/>
      <c r="AC407" s="366"/>
      <c r="AD407" s="366"/>
      <c r="AE407" s="366"/>
      <c r="AF407" s="366"/>
      <c r="AG407" s="366"/>
      <c r="AH407" s="366"/>
      <c r="AI407" s="366"/>
      <c r="AJ407" s="366"/>
      <c r="AK407" s="619"/>
      <c r="AL407" s="617"/>
    </row>
    <row r="408" spans="1:38" ht="15.75">
      <c r="A408" s="190"/>
      <c r="B408" s="324"/>
      <c r="C408" s="324"/>
      <c r="D408" s="366"/>
      <c r="E408" s="366"/>
      <c r="F408" s="639"/>
      <c r="G408" s="324"/>
      <c r="H408" s="324"/>
      <c r="I408" s="335"/>
      <c r="J408" s="366"/>
      <c r="K408" s="641"/>
      <c r="L408" s="641"/>
      <c r="M408" s="641"/>
      <c r="N408" s="641"/>
      <c r="O408" s="366"/>
      <c r="P408" s="366"/>
      <c r="Q408" s="366"/>
      <c r="R408" s="611"/>
      <c r="S408" s="614"/>
      <c r="T408" s="588"/>
      <c r="U408" s="188"/>
      <c r="V408" s="366"/>
      <c r="W408" s="366"/>
      <c r="X408" s="366"/>
      <c r="Y408" s="366"/>
      <c r="Z408" s="366"/>
      <c r="AA408" s="366"/>
      <c r="AB408" s="366"/>
      <c r="AC408" s="366"/>
      <c r="AD408" s="366"/>
      <c r="AE408" s="366"/>
      <c r="AF408" s="366"/>
      <c r="AG408" s="366"/>
      <c r="AH408" s="366"/>
      <c r="AI408" s="366"/>
      <c r="AJ408" s="366"/>
      <c r="AK408" s="619"/>
      <c r="AL408" s="617"/>
    </row>
    <row r="409" spans="1:38" ht="15.75">
      <c r="A409" s="190"/>
      <c r="B409" s="324"/>
      <c r="C409" s="324"/>
      <c r="D409" s="366"/>
      <c r="E409" s="366"/>
      <c r="F409" s="639"/>
      <c r="G409" s="324"/>
      <c r="H409" s="324"/>
      <c r="I409" s="335"/>
      <c r="J409" s="366"/>
      <c r="K409" s="641"/>
      <c r="L409" s="641"/>
      <c r="M409" s="641"/>
      <c r="N409" s="641"/>
      <c r="O409" s="366"/>
      <c r="P409" s="366"/>
      <c r="Q409" s="366"/>
      <c r="R409" s="611"/>
      <c r="S409" s="614"/>
      <c r="T409" s="588"/>
      <c r="U409" s="188"/>
      <c r="V409" s="366"/>
      <c r="W409" s="366"/>
      <c r="X409" s="366"/>
      <c r="Y409" s="366"/>
      <c r="Z409" s="366"/>
      <c r="AA409" s="366"/>
      <c r="AB409" s="366"/>
      <c r="AC409" s="366"/>
      <c r="AD409" s="366"/>
      <c r="AE409" s="366"/>
      <c r="AF409" s="366"/>
      <c r="AG409" s="366"/>
      <c r="AH409" s="366"/>
      <c r="AI409" s="366"/>
      <c r="AJ409" s="366"/>
      <c r="AK409" s="619"/>
      <c r="AL409" s="617"/>
    </row>
    <row r="410" spans="1:38" ht="15.75">
      <c r="A410" s="190"/>
      <c r="B410" s="324"/>
      <c r="C410" s="324"/>
      <c r="D410" s="366"/>
      <c r="E410" s="366"/>
      <c r="F410" s="639"/>
      <c r="G410" s="324"/>
      <c r="H410" s="324"/>
      <c r="I410" s="335"/>
      <c r="J410" s="366"/>
      <c r="K410" s="641"/>
      <c r="L410" s="641"/>
      <c r="M410" s="641"/>
      <c r="N410" s="641"/>
      <c r="O410" s="366"/>
      <c r="P410" s="366"/>
      <c r="Q410" s="366"/>
      <c r="R410" s="611"/>
      <c r="S410" s="614"/>
      <c r="T410" s="588"/>
      <c r="U410" s="188"/>
      <c r="V410" s="366"/>
      <c r="W410" s="366"/>
      <c r="X410" s="366"/>
      <c r="Y410" s="366"/>
      <c r="Z410" s="366"/>
      <c r="AA410" s="366"/>
      <c r="AB410" s="366"/>
      <c r="AC410" s="366"/>
      <c r="AD410" s="366"/>
      <c r="AE410" s="366"/>
      <c r="AF410" s="366"/>
      <c r="AG410" s="366"/>
      <c r="AH410" s="366"/>
      <c r="AI410" s="366"/>
      <c r="AJ410" s="366"/>
      <c r="AK410" s="619"/>
      <c r="AL410" s="617"/>
    </row>
    <row r="411" spans="1:38" ht="15.75">
      <c r="A411" s="190"/>
      <c r="B411" s="324"/>
      <c r="C411" s="324"/>
      <c r="D411" s="366"/>
      <c r="E411" s="366"/>
      <c r="F411" s="639"/>
      <c r="G411" s="324"/>
      <c r="H411" s="324"/>
      <c r="I411" s="335"/>
      <c r="J411" s="366"/>
      <c r="K411" s="641"/>
      <c r="L411" s="641"/>
      <c r="M411" s="641"/>
      <c r="N411" s="641"/>
      <c r="O411" s="366"/>
      <c r="P411" s="366"/>
      <c r="Q411" s="366"/>
      <c r="R411" s="611"/>
      <c r="S411" s="614"/>
      <c r="T411" s="588"/>
      <c r="U411" s="188"/>
      <c r="V411" s="366"/>
      <c r="W411" s="366"/>
      <c r="X411" s="366"/>
      <c r="Y411" s="366"/>
      <c r="Z411" s="366"/>
      <c r="AA411" s="366"/>
      <c r="AB411" s="366"/>
      <c r="AC411" s="366"/>
      <c r="AD411" s="366"/>
      <c r="AE411" s="366"/>
      <c r="AF411" s="366"/>
      <c r="AG411" s="366"/>
      <c r="AH411" s="366"/>
      <c r="AI411" s="366"/>
      <c r="AJ411" s="366"/>
      <c r="AK411" s="619"/>
      <c r="AL411" s="617"/>
    </row>
    <row r="412" spans="1:38" ht="15.75">
      <c r="A412" s="190"/>
      <c r="B412" s="324"/>
      <c r="C412" s="324"/>
      <c r="D412" s="366"/>
      <c r="E412" s="366"/>
      <c r="F412" s="639"/>
      <c r="G412" s="324"/>
      <c r="H412" s="324"/>
      <c r="I412" s="335"/>
      <c r="J412" s="366"/>
      <c r="K412" s="641"/>
      <c r="L412" s="641"/>
      <c r="M412" s="641"/>
      <c r="N412" s="641"/>
      <c r="O412" s="366"/>
      <c r="P412" s="366"/>
      <c r="Q412" s="366"/>
      <c r="R412" s="611"/>
      <c r="S412" s="614"/>
      <c r="T412" s="588"/>
      <c r="U412" s="188"/>
      <c r="V412" s="366"/>
      <c r="W412" s="366"/>
      <c r="X412" s="366"/>
      <c r="Y412" s="366"/>
      <c r="Z412" s="366"/>
      <c r="AA412" s="366"/>
      <c r="AB412" s="366"/>
      <c r="AC412" s="366"/>
      <c r="AD412" s="366"/>
      <c r="AE412" s="366"/>
      <c r="AF412" s="366"/>
      <c r="AG412" s="366"/>
      <c r="AH412" s="366"/>
      <c r="AI412" s="366"/>
      <c r="AJ412" s="366"/>
      <c r="AK412" s="619"/>
      <c r="AL412" s="617"/>
    </row>
    <row r="413" spans="1:38" ht="15.75">
      <c r="A413" s="190"/>
      <c r="B413" s="324"/>
      <c r="C413" s="324"/>
      <c r="D413" s="366"/>
      <c r="E413" s="366"/>
      <c r="F413" s="639"/>
      <c r="G413" s="324"/>
      <c r="H413" s="324"/>
      <c r="I413" s="335"/>
      <c r="J413" s="366"/>
      <c r="K413" s="641"/>
      <c r="L413" s="641"/>
      <c r="M413" s="641"/>
      <c r="N413" s="641"/>
      <c r="O413" s="366"/>
      <c r="P413" s="366"/>
      <c r="Q413" s="366"/>
      <c r="R413" s="611"/>
      <c r="S413" s="614"/>
      <c r="T413" s="588"/>
      <c r="U413" s="188"/>
      <c r="V413" s="366"/>
      <c r="W413" s="366"/>
      <c r="X413" s="366"/>
      <c r="Y413" s="366"/>
      <c r="Z413" s="366"/>
      <c r="AA413" s="366"/>
      <c r="AB413" s="366"/>
      <c r="AC413" s="366"/>
      <c r="AD413" s="366"/>
      <c r="AE413" s="366"/>
      <c r="AF413" s="366"/>
      <c r="AG413" s="366"/>
      <c r="AH413" s="366"/>
      <c r="AI413" s="366"/>
      <c r="AJ413" s="366"/>
      <c r="AK413" s="619"/>
      <c r="AL413" s="617"/>
    </row>
    <row r="414" spans="1:38" ht="15.75">
      <c r="A414" s="190"/>
      <c r="B414" s="324"/>
      <c r="C414" s="324"/>
      <c r="D414" s="366"/>
      <c r="E414" s="366"/>
      <c r="F414" s="639"/>
      <c r="G414" s="324"/>
      <c r="H414" s="324"/>
      <c r="I414" s="335"/>
      <c r="J414" s="366"/>
      <c r="K414" s="641"/>
      <c r="L414" s="641"/>
      <c r="M414" s="641"/>
      <c r="N414" s="641"/>
      <c r="O414" s="366"/>
      <c r="P414" s="366"/>
      <c r="Q414" s="366"/>
      <c r="R414" s="611"/>
      <c r="S414" s="614"/>
      <c r="T414" s="588"/>
      <c r="U414" s="188"/>
      <c r="V414" s="366"/>
      <c r="W414" s="366"/>
      <c r="X414" s="366"/>
      <c r="Y414" s="366"/>
      <c r="Z414" s="366"/>
      <c r="AA414" s="366"/>
      <c r="AB414" s="366"/>
      <c r="AC414" s="366"/>
      <c r="AD414" s="366"/>
      <c r="AE414" s="366"/>
      <c r="AF414" s="366"/>
      <c r="AG414" s="366"/>
      <c r="AH414" s="366"/>
      <c r="AI414" s="366"/>
      <c r="AJ414" s="366"/>
      <c r="AK414" s="619"/>
      <c r="AL414" s="617"/>
    </row>
    <row r="415" spans="1:38" ht="15.75">
      <c r="A415" s="190"/>
      <c r="B415" s="324"/>
      <c r="C415" s="324"/>
      <c r="D415" s="366"/>
      <c r="E415" s="366"/>
      <c r="F415" s="639"/>
      <c r="G415" s="324"/>
      <c r="H415" s="324"/>
      <c r="I415" s="335"/>
      <c r="J415" s="366"/>
      <c r="K415" s="641"/>
      <c r="L415" s="641"/>
      <c r="M415" s="641"/>
      <c r="N415" s="641"/>
      <c r="O415" s="366"/>
      <c r="P415" s="366"/>
      <c r="Q415" s="366"/>
      <c r="R415" s="611"/>
      <c r="S415" s="614"/>
      <c r="T415" s="588"/>
      <c r="U415" s="188"/>
      <c r="V415" s="366"/>
      <c r="W415" s="366"/>
      <c r="X415" s="366"/>
      <c r="Y415" s="366"/>
      <c r="Z415" s="366"/>
      <c r="AA415" s="366"/>
      <c r="AB415" s="366"/>
      <c r="AC415" s="366"/>
      <c r="AD415" s="366"/>
      <c r="AE415" s="366"/>
      <c r="AF415" s="366"/>
      <c r="AG415" s="366"/>
      <c r="AH415" s="366"/>
      <c r="AI415" s="366"/>
      <c r="AJ415" s="366"/>
      <c r="AK415" s="619"/>
      <c r="AL415" s="617"/>
    </row>
    <row r="416" spans="1:38" ht="15.75">
      <c r="A416" s="190"/>
      <c r="B416" s="324"/>
      <c r="C416" s="324"/>
      <c r="D416" s="366"/>
      <c r="E416" s="366"/>
      <c r="F416" s="639"/>
      <c r="G416" s="324"/>
      <c r="H416" s="324"/>
      <c r="I416" s="335"/>
      <c r="J416" s="366"/>
      <c r="K416" s="641"/>
      <c r="L416" s="641"/>
      <c r="M416" s="641"/>
      <c r="N416" s="641"/>
      <c r="O416" s="366"/>
      <c r="P416" s="366"/>
      <c r="Q416" s="366"/>
      <c r="R416" s="611"/>
      <c r="S416" s="614"/>
      <c r="T416" s="588"/>
      <c r="U416" s="188"/>
      <c r="V416" s="366"/>
      <c r="W416" s="366"/>
      <c r="X416" s="366"/>
      <c r="Y416" s="366"/>
      <c r="Z416" s="366"/>
      <c r="AA416" s="366"/>
      <c r="AB416" s="366"/>
      <c r="AC416" s="366"/>
      <c r="AD416" s="366"/>
      <c r="AE416" s="366"/>
      <c r="AF416" s="366"/>
      <c r="AG416" s="366"/>
      <c r="AH416" s="366"/>
      <c r="AI416" s="366"/>
      <c r="AJ416" s="366"/>
      <c r="AK416" s="619"/>
      <c r="AL416" s="617"/>
    </row>
    <row r="417" spans="1:38" ht="15.75">
      <c r="A417" s="190"/>
      <c r="B417" s="324"/>
      <c r="C417" s="324"/>
      <c r="D417" s="366"/>
      <c r="E417" s="366"/>
      <c r="F417" s="639"/>
      <c r="G417" s="324"/>
      <c r="H417" s="324"/>
      <c r="I417" s="335"/>
      <c r="J417" s="366"/>
      <c r="K417" s="641"/>
      <c r="L417" s="641"/>
      <c r="M417" s="641"/>
      <c r="N417" s="641"/>
      <c r="O417" s="366"/>
      <c r="P417" s="366"/>
      <c r="Q417" s="366"/>
      <c r="R417" s="611"/>
      <c r="S417" s="614"/>
      <c r="T417" s="588"/>
      <c r="U417" s="188"/>
      <c r="V417" s="366"/>
      <c r="W417" s="366"/>
      <c r="X417" s="366"/>
      <c r="Y417" s="366"/>
      <c r="Z417" s="366"/>
      <c r="AA417" s="366"/>
      <c r="AB417" s="366"/>
      <c r="AC417" s="366"/>
      <c r="AD417" s="366"/>
      <c r="AE417" s="366"/>
      <c r="AF417" s="366"/>
      <c r="AG417" s="366"/>
      <c r="AH417" s="366"/>
      <c r="AI417" s="366"/>
      <c r="AJ417" s="366"/>
      <c r="AK417" s="619"/>
      <c r="AL417" s="617"/>
    </row>
    <row r="418" spans="1:38" ht="15.75">
      <c r="A418" s="190"/>
      <c r="B418" s="324"/>
      <c r="C418" s="324"/>
      <c r="D418" s="366"/>
      <c r="E418" s="366"/>
      <c r="F418" s="639"/>
      <c r="G418" s="324"/>
      <c r="H418" s="324"/>
      <c r="I418" s="335"/>
      <c r="J418" s="366"/>
      <c r="K418" s="641"/>
      <c r="L418" s="641"/>
      <c r="M418" s="641"/>
      <c r="N418" s="641"/>
      <c r="O418" s="366"/>
      <c r="P418" s="366"/>
      <c r="Q418" s="366"/>
      <c r="R418" s="611"/>
      <c r="S418" s="614"/>
      <c r="T418" s="588"/>
      <c r="U418" s="188"/>
      <c r="V418" s="366"/>
      <c r="W418" s="366"/>
      <c r="X418" s="366"/>
      <c r="Y418" s="366"/>
      <c r="Z418" s="366"/>
      <c r="AA418" s="366"/>
      <c r="AB418" s="366"/>
      <c r="AC418" s="366"/>
      <c r="AD418" s="366"/>
      <c r="AE418" s="366"/>
      <c r="AF418" s="366"/>
      <c r="AG418" s="366"/>
      <c r="AH418" s="366"/>
      <c r="AI418" s="366"/>
      <c r="AJ418" s="366"/>
      <c r="AK418" s="619"/>
      <c r="AL418" s="617"/>
    </row>
    <row r="419" spans="1:38" ht="15.75">
      <c r="A419" s="190"/>
      <c r="B419" s="324"/>
      <c r="C419" s="324"/>
      <c r="D419" s="366"/>
      <c r="E419" s="366"/>
      <c r="F419" s="639"/>
      <c r="G419" s="324"/>
      <c r="H419" s="324"/>
      <c r="I419" s="335"/>
      <c r="J419" s="366"/>
      <c r="K419" s="641"/>
      <c r="L419" s="641"/>
      <c r="M419" s="641"/>
      <c r="N419" s="641"/>
      <c r="O419" s="366"/>
      <c r="P419" s="366"/>
      <c r="Q419" s="366"/>
      <c r="R419" s="611"/>
      <c r="S419" s="614"/>
      <c r="T419" s="588"/>
      <c r="U419" s="188"/>
      <c r="V419" s="366"/>
      <c r="W419" s="366"/>
      <c r="X419" s="366"/>
      <c r="Y419" s="366"/>
      <c r="Z419" s="366"/>
      <c r="AA419" s="366"/>
      <c r="AB419" s="366"/>
      <c r="AC419" s="366"/>
      <c r="AD419" s="366"/>
      <c r="AE419" s="366"/>
      <c r="AF419" s="366"/>
      <c r="AG419" s="366"/>
      <c r="AH419" s="366"/>
      <c r="AI419" s="366"/>
      <c r="AJ419" s="366"/>
      <c r="AK419" s="619"/>
      <c r="AL419" s="617"/>
    </row>
    <row r="420" spans="1:38" ht="15.75">
      <c r="A420" s="190"/>
      <c r="B420" s="324"/>
      <c r="C420" s="324"/>
      <c r="D420" s="366"/>
      <c r="E420" s="366"/>
      <c r="F420" s="639"/>
      <c r="G420" s="324"/>
      <c r="H420" s="324"/>
      <c r="I420" s="335"/>
      <c r="J420" s="366"/>
      <c r="K420" s="641"/>
      <c r="L420" s="641"/>
      <c r="M420" s="641"/>
      <c r="N420" s="641"/>
      <c r="O420" s="366"/>
      <c r="P420" s="366"/>
      <c r="Q420" s="366"/>
      <c r="R420" s="611"/>
      <c r="S420" s="614"/>
      <c r="T420" s="588"/>
      <c r="U420" s="188"/>
      <c r="V420" s="366"/>
      <c r="W420" s="366"/>
      <c r="X420" s="366"/>
      <c r="Y420" s="366"/>
      <c r="Z420" s="366"/>
      <c r="AA420" s="366"/>
      <c r="AB420" s="366"/>
      <c r="AC420" s="366"/>
      <c r="AD420" s="366"/>
      <c r="AE420" s="366"/>
      <c r="AF420" s="366"/>
      <c r="AG420" s="366"/>
      <c r="AH420" s="366"/>
      <c r="AI420" s="366"/>
      <c r="AJ420" s="366"/>
      <c r="AK420" s="619"/>
      <c r="AL420" s="617"/>
    </row>
    <row r="421" spans="1:38" ht="15.75">
      <c r="A421" s="190"/>
      <c r="B421" s="324"/>
      <c r="C421" s="324"/>
      <c r="D421" s="366"/>
      <c r="E421" s="366"/>
      <c r="F421" s="639"/>
      <c r="G421" s="324"/>
      <c r="H421" s="324"/>
      <c r="I421" s="335"/>
      <c r="J421" s="366"/>
      <c r="K421" s="641"/>
      <c r="L421" s="641"/>
      <c r="M421" s="641"/>
      <c r="N421" s="641"/>
      <c r="O421" s="366"/>
      <c r="P421" s="366"/>
      <c r="Q421" s="366"/>
      <c r="R421" s="611"/>
      <c r="S421" s="614"/>
      <c r="T421" s="588"/>
      <c r="U421" s="188"/>
      <c r="V421" s="366"/>
      <c r="W421" s="366"/>
      <c r="X421" s="366"/>
      <c r="Y421" s="366"/>
      <c r="Z421" s="366"/>
      <c r="AA421" s="366"/>
      <c r="AB421" s="366"/>
      <c r="AC421" s="366"/>
      <c r="AD421" s="366"/>
      <c r="AE421" s="366"/>
      <c r="AF421" s="366"/>
      <c r="AG421" s="366"/>
      <c r="AH421" s="366"/>
      <c r="AI421" s="366"/>
      <c r="AJ421" s="366"/>
      <c r="AK421" s="619"/>
      <c r="AL421" s="617"/>
    </row>
    <row r="422" spans="1:38" ht="15.75">
      <c r="A422" s="190"/>
      <c r="B422" s="324"/>
      <c r="C422" s="324"/>
      <c r="D422" s="366"/>
      <c r="E422" s="366"/>
      <c r="F422" s="639"/>
      <c r="G422" s="324"/>
      <c r="H422" s="324"/>
      <c r="I422" s="335"/>
      <c r="J422" s="366"/>
      <c r="K422" s="641"/>
      <c r="L422" s="641"/>
      <c r="M422" s="641"/>
      <c r="N422" s="641"/>
      <c r="O422" s="366"/>
      <c r="P422" s="366"/>
      <c r="Q422" s="366"/>
      <c r="R422" s="611"/>
      <c r="S422" s="614"/>
      <c r="T422" s="588"/>
      <c r="U422" s="188"/>
      <c r="V422" s="366"/>
      <c r="W422" s="366"/>
      <c r="X422" s="366"/>
      <c r="Y422" s="366"/>
      <c r="Z422" s="366"/>
      <c r="AA422" s="366"/>
      <c r="AB422" s="366"/>
      <c r="AC422" s="366"/>
      <c r="AD422" s="366"/>
      <c r="AE422" s="366"/>
      <c r="AF422" s="366"/>
      <c r="AG422" s="366"/>
      <c r="AH422" s="366"/>
      <c r="AI422" s="366"/>
      <c r="AJ422" s="366"/>
      <c r="AK422" s="619"/>
      <c r="AL422" s="617"/>
    </row>
    <row r="423" spans="1:38" ht="15.75">
      <c r="A423" s="190"/>
      <c r="B423" s="324"/>
      <c r="C423" s="324"/>
      <c r="D423" s="366"/>
      <c r="E423" s="366"/>
      <c r="F423" s="639"/>
      <c r="G423" s="324"/>
      <c r="H423" s="324"/>
      <c r="I423" s="335"/>
      <c r="J423" s="366"/>
      <c r="K423" s="641"/>
      <c r="L423" s="641"/>
      <c r="M423" s="641"/>
      <c r="N423" s="641"/>
      <c r="O423" s="366"/>
      <c r="P423" s="366"/>
      <c r="Q423" s="366"/>
      <c r="R423" s="611"/>
      <c r="S423" s="614"/>
      <c r="T423" s="588"/>
      <c r="U423" s="188"/>
      <c r="V423" s="366"/>
      <c r="W423" s="366"/>
      <c r="X423" s="366"/>
      <c r="Y423" s="366"/>
      <c r="Z423" s="366"/>
      <c r="AA423" s="366"/>
      <c r="AB423" s="366"/>
      <c r="AC423" s="366"/>
      <c r="AD423" s="366"/>
      <c r="AE423" s="366"/>
      <c r="AF423" s="366"/>
      <c r="AG423" s="366"/>
      <c r="AH423" s="366"/>
      <c r="AI423" s="366"/>
      <c r="AJ423" s="366"/>
      <c r="AK423" s="619"/>
      <c r="AL423" s="617"/>
    </row>
    <row r="424" spans="1:38" ht="15.75">
      <c r="A424" s="190"/>
      <c r="B424" s="324"/>
      <c r="C424" s="324"/>
      <c r="D424" s="366"/>
      <c r="E424" s="366"/>
      <c r="F424" s="639"/>
      <c r="G424" s="324"/>
      <c r="H424" s="324"/>
      <c r="I424" s="335"/>
      <c r="J424" s="366"/>
      <c r="K424" s="641"/>
      <c r="L424" s="641"/>
      <c r="M424" s="641"/>
      <c r="N424" s="641"/>
      <c r="O424" s="366"/>
      <c r="P424" s="366"/>
      <c r="Q424" s="366"/>
      <c r="R424" s="611"/>
      <c r="S424" s="614"/>
      <c r="T424" s="588"/>
      <c r="U424" s="188"/>
      <c r="V424" s="366"/>
      <c r="W424" s="366"/>
      <c r="X424" s="366"/>
      <c r="Y424" s="366"/>
      <c r="Z424" s="366"/>
      <c r="AA424" s="366"/>
      <c r="AB424" s="366"/>
      <c r="AC424" s="366"/>
      <c r="AD424" s="366"/>
      <c r="AE424" s="366"/>
      <c r="AF424" s="366"/>
      <c r="AG424" s="366"/>
      <c r="AH424" s="366"/>
      <c r="AI424" s="366"/>
      <c r="AJ424" s="366"/>
      <c r="AK424" s="619"/>
      <c r="AL424" s="617"/>
    </row>
    <row r="425" spans="1:38" ht="15.75">
      <c r="A425" s="190"/>
      <c r="B425" s="324"/>
      <c r="C425" s="324"/>
      <c r="D425" s="366"/>
      <c r="E425" s="366"/>
      <c r="F425" s="639"/>
      <c r="G425" s="324"/>
      <c r="H425" s="324"/>
      <c r="I425" s="335"/>
      <c r="J425" s="366"/>
      <c r="K425" s="641"/>
      <c r="L425" s="641"/>
      <c r="M425" s="641"/>
      <c r="N425" s="641"/>
      <c r="O425" s="366"/>
      <c r="P425" s="366"/>
      <c r="Q425" s="366"/>
      <c r="R425" s="611"/>
      <c r="S425" s="614"/>
      <c r="T425" s="588"/>
      <c r="U425" s="188"/>
      <c r="V425" s="366"/>
      <c r="W425" s="366"/>
      <c r="X425" s="366"/>
      <c r="Y425" s="366"/>
      <c r="Z425" s="366"/>
      <c r="AA425" s="366"/>
      <c r="AB425" s="366"/>
      <c r="AC425" s="366"/>
      <c r="AD425" s="366"/>
      <c r="AE425" s="366"/>
      <c r="AF425" s="366"/>
      <c r="AG425" s="366"/>
      <c r="AH425" s="366"/>
      <c r="AI425" s="366"/>
      <c r="AJ425" s="366"/>
      <c r="AK425" s="619"/>
      <c r="AL425" s="617"/>
    </row>
    <row r="426" spans="1:38" ht="15.75">
      <c r="A426" s="190"/>
      <c r="B426" s="324"/>
      <c r="C426" s="324"/>
      <c r="D426" s="366"/>
      <c r="E426" s="366"/>
      <c r="F426" s="639"/>
      <c r="G426" s="324"/>
      <c r="H426" s="324"/>
      <c r="I426" s="335"/>
      <c r="J426" s="366"/>
      <c r="K426" s="641"/>
      <c r="L426" s="641"/>
      <c r="M426" s="641"/>
      <c r="N426" s="641"/>
      <c r="O426" s="366"/>
      <c r="P426" s="366"/>
      <c r="Q426" s="366"/>
      <c r="R426" s="611"/>
      <c r="S426" s="614"/>
      <c r="T426" s="588"/>
      <c r="U426" s="188"/>
      <c r="V426" s="366"/>
      <c r="W426" s="366"/>
      <c r="X426" s="366"/>
      <c r="Y426" s="366"/>
      <c r="Z426" s="366"/>
      <c r="AA426" s="366"/>
      <c r="AB426" s="366"/>
      <c r="AC426" s="366"/>
      <c r="AD426" s="366"/>
      <c r="AE426" s="366"/>
      <c r="AF426" s="366"/>
      <c r="AG426" s="366"/>
      <c r="AH426" s="366"/>
      <c r="AI426" s="366"/>
      <c r="AJ426" s="366"/>
      <c r="AK426" s="619"/>
      <c r="AL426" s="617"/>
    </row>
    <row r="427" spans="1:38" ht="15.75">
      <c r="A427" s="190"/>
      <c r="B427" s="324"/>
      <c r="C427" s="324"/>
      <c r="D427" s="366"/>
      <c r="E427" s="366"/>
      <c r="F427" s="639"/>
      <c r="G427" s="324"/>
      <c r="H427" s="324"/>
      <c r="I427" s="335"/>
      <c r="J427" s="366"/>
      <c r="K427" s="641"/>
      <c r="L427" s="641"/>
      <c r="M427" s="641"/>
      <c r="N427" s="641"/>
      <c r="O427" s="366"/>
      <c r="P427" s="366"/>
      <c r="Q427" s="366"/>
      <c r="R427" s="611"/>
      <c r="S427" s="614"/>
      <c r="T427" s="588"/>
      <c r="U427" s="188"/>
      <c r="V427" s="366"/>
      <c r="W427" s="366"/>
      <c r="X427" s="366"/>
      <c r="Y427" s="366"/>
      <c r="Z427" s="366"/>
      <c r="AA427" s="366"/>
      <c r="AB427" s="366"/>
      <c r="AC427" s="366"/>
      <c r="AD427" s="366"/>
      <c r="AE427" s="366"/>
      <c r="AF427" s="366"/>
      <c r="AG427" s="366"/>
      <c r="AH427" s="366"/>
      <c r="AI427" s="366"/>
      <c r="AJ427" s="366"/>
      <c r="AK427" s="619"/>
      <c r="AL427" s="617"/>
    </row>
    <row r="428" spans="1:38" ht="15.75">
      <c r="A428" s="190"/>
      <c r="B428" s="324"/>
      <c r="C428" s="324"/>
      <c r="D428" s="366"/>
      <c r="E428" s="366"/>
      <c r="F428" s="639"/>
      <c r="G428" s="324"/>
      <c r="H428" s="324"/>
      <c r="I428" s="335"/>
      <c r="J428" s="366"/>
      <c r="K428" s="641"/>
      <c r="L428" s="641"/>
      <c r="M428" s="641"/>
      <c r="N428" s="641"/>
      <c r="O428" s="366"/>
      <c r="P428" s="366"/>
      <c r="Q428" s="366"/>
      <c r="R428" s="611"/>
      <c r="S428" s="614"/>
      <c r="T428" s="588"/>
      <c r="U428" s="188"/>
      <c r="V428" s="366"/>
      <c r="W428" s="366"/>
      <c r="X428" s="366"/>
      <c r="Y428" s="366"/>
      <c r="Z428" s="366"/>
      <c r="AA428" s="366"/>
      <c r="AB428" s="366"/>
      <c r="AC428" s="366"/>
      <c r="AD428" s="366"/>
      <c r="AE428" s="366"/>
      <c r="AF428" s="366"/>
      <c r="AG428" s="366"/>
      <c r="AH428" s="366"/>
      <c r="AI428" s="366"/>
      <c r="AJ428" s="366"/>
      <c r="AK428" s="619"/>
      <c r="AL428" s="617"/>
    </row>
    <row r="429" spans="1:38" ht="15.75">
      <c r="A429" s="190"/>
      <c r="B429" s="324"/>
      <c r="C429" s="324"/>
      <c r="D429" s="366"/>
      <c r="E429" s="366"/>
      <c r="F429" s="639"/>
      <c r="G429" s="324"/>
      <c r="H429" s="324"/>
      <c r="I429" s="335"/>
      <c r="J429" s="366"/>
      <c r="K429" s="641"/>
      <c r="L429" s="641"/>
      <c r="M429" s="641"/>
      <c r="N429" s="641"/>
      <c r="O429" s="366"/>
      <c r="P429" s="366"/>
      <c r="Q429" s="366"/>
      <c r="R429" s="611"/>
      <c r="S429" s="614"/>
      <c r="T429" s="588"/>
      <c r="U429" s="188"/>
      <c r="V429" s="366"/>
      <c r="W429" s="366"/>
      <c r="X429" s="366"/>
      <c r="Y429" s="366"/>
      <c r="Z429" s="366"/>
      <c r="AA429" s="366"/>
      <c r="AB429" s="366"/>
      <c r="AC429" s="366"/>
      <c r="AD429" s="366"/>
      <c r="AE429" s="366"/>
      <c r="AF429" s="366"/>
      <c r="AG429" s="366"/>
      <c r="AH429" s="366"/>
      <c r="AI429" s="366"/>
      <c r="AJ429" s="366"/>
      <c r="AK429" s="619"/>
      <c r="AL429" s="617"/>
    </row>
    <row r="430" spans="1:38" ht="15.75">
      <c r="A430" s="190"/>
      <c r="B430" s="324"/>
      <c r="C430" s="324"/>
      <c r="D430" s="366"/>
      <c r="E430" s="366"/>
      <c r="F430" s="639"/>
      <c r="G430" s="324"/>
      <c r="H430" s="324"/>
      <c r="I430" s="335"/>
      <c r="J430" s="366"/>
      <c r="K430" s="641"/>
      <c r="L430" s="641"/>
      <c r="M430" s="641"/>
      <c r="N430" s="641"/>
      <c r="O430" s="366"/>
      <c r="P430" s="366"/>
      <c r="Q430" s="366"/>
      <c r="R430" s="611"/>
      <c r="S430" s="614"/>
      <c r="T430" s="588"/>
      <c r="U430" s="188"/>
      <c r="V430" s="366"/>
      <c r="W430" s="366"/>
      <c r="X430" s="366"/>
      <c r="Y430" s="366"/>
      <c r="Z430" s="366"/>
      <c r="AA430" s="366"/>
      <c r="AB430" s="366"/>
      <c r="AC430" s="366"/>
      <c r="AD430" s="366"/>
      <c r="AE430" s="366"/>
      <c r="AF430" s="366"/>
      <c r="AG430" s="366"/>
      <c r="AH430" s="366"/>
      <c r="AI430" s="366"/>
      <c r="AJ430" s="366"/>
      <c r="AK430" s="619"/>
      <c r="AL430" s="617"/>
    </row>
    <row r="431" spans="1:38" ht="15.75">
      <c r="A431" s="190"/>
      <c r="B431" s="324"/>
      <c r="C431" s="324"/>
      <c r="D431" s="366"/>
      <c r="E431" s="366"/>
      <c r="F431" s="639"/>
      <c r="G431" s="324"/>
      <c r="H431" s="324"/>
      <c r="I431" s="335"/>
      <c r="J431" s="366"/>
      <c r="K431" s="641"/>
      <c r="L431" s="641"/>
      <c r="M431" s="641"/>
      <c r="N431" s="641"/>
      <c r="O431" s="366"/>
      <c r="P431" s="366"/>
      <c r="Q431" s="366"/>
      <c r="R431" s="611"/>
      <c r="S431" s="614"/>
      <c r="T431" s="588"/>
      <c r="U431" s="188"/>
      <c r="V431" s="366"/>
      <c r="W431" s="366"/>
      <c r="X431" s="366"/>
      <c r="Y431" s="366"/>
      <c r="Z431" s="366"/>
      <c r="AA431" s="366"/>
      <c r="AB431" s="366"/>
      <c r="AC431" s="366"/>
      <c r="AD431" s="366"/>
      <c r="AE431" s="366"/>
      <c r="AF431" s="366"/>
      <c r="AG431" s="366"/>
      <c r="AH431" s="366"/>
      <c r="AI431" s="366"/>
      <c r="AJ431" s="366"/>
      <c r="AK431" s="619"/>
      <c r="AL431" s="617"/>
    </row>
    <row r="432" spans="1:38" ht="15.75">
      <c r="A432" s="190"/>
      <c r="B432" s="324"/>
      <c r="C432" s="324"/>
      <c r="D432" s="366"/>
      <c r="E432" s="366"/>
      <c r="F432" s="639"/>
      <c r="G432" s="324"/>
      <c r="H432" s="324"/>
      <c r="I432" s="335"/>
      <c r="J432" s="366"/>
      <c r="K432" s="641"/>
      <c r="L432" s="641"/>
      <c r="M432" s="641"/>
      <c r="N432" s="641"/>
      <c r="O432" s="366"/>
      <c r="P432" s="366"/>
      <c r="Q432" s="366"/>
      <c r="R432" s="611"/>
      <c r="S432" s="614"/>
      <c r="T432" s="588"/>
      <c r="U432" s="188"/>
      <c r="V432" s="366"/>
      <c r="W432" s="366"/>
      <c r="X432" s="366"/>
      <c r="Y432" s="366"/>
      <c r="Z432" s="366"/>
      <c r="AA432" s="366"/>
      <c r="AB432" s="366"/>
      <c r="AC432" s="366"/>
      <c r="AD432" s="366"/>
      <c r="AE432" s="366"/>
      <c r="AF432" s="366"/>
      <c r="AG432" s="366"/>
      <c r="AH432" s="366"/>
      <c r="AI432" s="366"/>
      <c r="AJ432" s="366"/>
      <c r="AK432" s="619"/>
      <c r="AL432" s="617"/>
    </row>
    <row r="433" spans="1:38" ht="15.75">
      <c r="A433" s="190"/>
      <c r="B433" s="324"/>
      <c r="C433" s="324"/>
      <c r="D433" s="366"/>
      <c r="E433" s="366"/>
      <c r="F433" s="639"/>
      <c r="G433" s="324"/>
      <c r="H433" s="324"/>
      <c r="I433" s="335"/>
      <c r="J433" s="366"/>
      <c r="K433" s="641"/>
      <c r="L433" s="641"/>
      <c r="M433" s="641"/>
      <c r="N433" s="641"/>
      <c r="O433" s="366"/>
      <c r="P433" s="366"/>
      <c r="Q433" s="366"/>
      <c r="R433" s="611"/>
      <c r="S433" s="614"/>
      <c r="T433" s="588"/>
      <c r="U433" s="188"/>
      <c r="V433" s="366"/>
      <c r="W433" s="366"/>
      <c r="X433" s="366"/>
      <c r="Y433" s="366"/>
      <c r="Z433" s="366"/>
      <c r="AA433" s="366"/>
      <c r="AB433" s="366"/>
      <c r="AC433" s="366"/>
      <c r="AD433" s="366"/>
      <c r="AE433" s="366"/>
      <c r="AF433" s="366"/>
      <c r="AG433" s="366"/>
      <c r="AH433" s="366"/>
      <c r="AI433" s="366"/>
      <c r="AJ433" s="366"/>
      <c r="AK433" s="619"/>
      <c r="AL433" s="617"/>
    </row>
    <row r="434" spans="1:38" ht="15.75">
      <c r="A434" s="190"/>
      <c r="B434" s="324"/>
      <c r="C434" s="324"/>
      <c r="D434" s="366"/>
      <c r="E434" s="366"/>
      <c r="F434" s="639"/>
      <c r="G434" s="324"/>
      <c r="H434" s="324"/>
      <c r="I434" s="335"/>
      <c r="J434" s="366"/>
      <c r="K434" s="641"/>
      <c r="L434" s="641"/>
      <c r="M434" s="641"/>
      <c r="N434" s="641"/>
      <c r="O434" s="366"/>
      <c r="P434" s="366"/>
      <c r="Q434" s="366"/>
      <c r="R434" s="611"/>
      <c r="S434" s="614"/>
      <c r="T434" s="588"/>
      <c r="U434" s="188"/>
      <c r="V434" s="366"/>
      <c r="W434" s="366"/>
      <c r="X434" s="366"/>
      <c r="Y434" s="366"/>
      <c r="Z434" s="366"/>
      <c r="AA434" s="366"/>
      <c r="AB434" s="366"/>
      <c r="AC434" s="366"/>
      <c r="AD434" s="366"/>
      <c r="AE434" s="366"/>
      <c r="AF434" s="366"/>
      <c r="AG434" s="366"/>
      <c r="AH434" s="366"/>
      <c r="AI434" s="366"/>
      <c r="AJ434" s="366"/>
      <c r="AK434" s="619"/>
      <c r="AL434" s="617"/>
    </row>
    <row r="435" spans="1:38" ht="15.75">
      <c r="A435" s="190"/>
      <c r="B435" s="324"/>
      <c r="C435" s="324"/>
      <c r="D435" s="366"/>
      <c r="E435" s="366"/>
      <c r="F435" s="639"/>
      <c r="G435" s="324"/>
      <c r="H435" s="324"/>
      <c r="I435" s="335"/>
      <c r="J435" s="366"/>
      <c r="K435" s="641"/>
      <c r="L435" s="641"/>
      <c r="M435" s="641"/>
      <c r="N435" s="641"/>
      <c r="O435" s="366"/>
      <c r="P435" s="366"/>
      <c r="Q435" s="366"/>
      <c r="R435" s="611"/>
      <c r="S435" s="614"/>
      <c r="T435" s="588"/>
      <c r="U435" s="188"/>
      <c r="V435" s="366"/>
      <c r="W435" s="366"/>
      <c r="X435" s="366"/>
      <c r="Y435" s="366"/>
      <c r="Z435" s="366"/>
      <c r="AA435" s="366"/>
      <c r="AB435" s="366"/>
      <c r="AC435" s="366"/>
      <c r="AD435" s="366"/>
      <c r="AE435" s="366"/>
      <c r="AF435" s="366"/>
      <c r="AG435" s="366"/>
      <c r="AH435" s="366"/>
      <c r="AI435" s="366"/>
      <c r="AJ435" s="366"/>
      <c r="AK435" s="619"/>
      <c r="AL435" s="617"/>
    </row>
    <row r="436" spans="1:38" ht="15.75">
      <c r="A436" s="190"/>
      <c r="B436" s="324"/>
      <c r="C436" s="324"/>
      <c r="D436" s="366"/>
      <c r="E436" s="366"/>
      <c r="F436" s="639"/>
      <c r="G436" s="324"/>
      <c r="H436" s="324"/>
      <c r="I436" s="335"/>
      <c r="J436" s="366"/>
      <c r="K436" s="641"/>
      <c r="L436" s="641"/>
      <c r="M436" s="641"/>
      <c r="N436" s="641"/>
      <c r="O436" s="366"/>
      <c r="P436" s="366"/>
      <c r="Q436" s="366"/>
      <c r="R436" s="611"/>
      <c r="S436" s="614"/>
      <c r="T436" s="588"/>
      <c r="U436" s="188"/>
      <c r="V436" s="366"/>
      <c r="W436" s="366"/>
      <c r="X436" s="366"/>
      <c r="Y436" s="366"/>
      <c r="Z436" s="366"/>
      <c r="AA436" s="366"/>
      <c r="AB436" s="366"/>
      <c r="AC436" s="366"/>
      <c r="AD436" s="366"/>
      <c r="AE436" s="366"/>
      <c r="AF436" s="366"/>
      <c r="AG436" s="366"/>
      <c r="AH436" s="366"/>
      <c r="AI436" s="366"/>
      <c r="AJ436" s="366"/>
      <c r="AK436" s="619"/>
      <c r="AL436" s="617"/>
    </row>
    <row r="437" spans="1:38" ht="15.75">
      <c r="A437" s="190"/>
      <c r="B437" s="324"/>
      <c r="C437" s="324"/>
      <c r="D437" s="366"/>
      <c r="E437" s="366"/>
      <c r="F437" s="639"/>
      <c r="G437" s="324"/>
      <c r="H437" s="324"/>
      <c r="I437" s="335"/>
      <c r="J437" s="366"/>
      <c r="K437" s="641"/>
      <c r="L437" s="641"/>
      <c r="M437" s="641"/>
      <c r="N437" s="641"/>
      <c r="O437" s="366"/>
      <c r="P437" s="366"/>
      <c r="Q437" s="366"/>
      <c r="R437" s="611"/>
      <c r="S437" s="614"/>
      <c r="T437" s="588"/>
      <c r="U437" s="188"/>
      <c r="V437" s="366"/>
      <c r="W437" s="366"/>
      <c r="X437" s="366"/>
      <c r="Y437" s="366"/>
      <c r="Z437" s="366"/>
      <c r="AA437" s="366"/>
      <c r="AB437" s="366"/>
      <c r="AC437" s="366"/>
      <c r="AD437" s="366"/>
      <c r="AE437" s="366"/>
      <c r="AF437" s="366"/>
      <c r="AG437" s="366"/>
      <c r="AH437" s="366"/>
      <c r="AI437" s="366"/>
      <c r="AJ437" s="366"/>
      <c r="AK437" s="619"/>
      <c r="AL437" s="617"/>
    </row>
    <row r="438" spans="1:38" ht="15.75">
      <c r="A438" s="190"/>
      <c r="B438" s="324"/>
      <c r="C438" s="324"/>
      <c r="D438" s="366"/>
      <c r="E438" s="366"/>
      <c r="F438" s="639"/>
      <c r="G438" s="324"/>
      <c r="H438" s="324"/>
      <c r="I438" s="335"/>
      <c r="J438" s="366"/>
      <c r="K438" s="641"/>
      <c r="L438" s="641"/>
      <c r="M438" s="641"/>
      <c r="N438" s="641"/>
      <c r="O438" s="366"/>
      <c r="P438" s="366"/>
      <c r="Q438" s="366"/>
      <c r="R438" s="611"/>
      <c r="S438" s="614"/>
      <c r="T438" s="588"/>
      <c r="U438" s="188"/>
      <c r="V438" s="366"/>
      <c r="W438" s="366"/>
      <c r="X438" s="366"/>
      <c r="Y438" s="366"/>
      <c r="Z438" s="366"/>
      <c r="AA438" s="366"/>
      <c r="AB438" s="366"/>
      <c r="AC438" s="366"/>
      <c r="AD438" s="366"/>
      <c r="AE438" s="366"/>
      <c r="AF438" s="366"/>
      <c r="AG438" s="366"/>
      <c r="AH438" s="366"/>
      <c r="AI438" s="366"/>
      <c r="AJ438" s="366"/>
      <c r="AK438" s="619"/>
      <c r="AL438" s="617"/>
    </row>
    <row r="439" spans="1:38" ht="15.75">
      <c r="A439" s="190"/>
      <c r="B439" s="324"/>
      <c r="C439" s="324"/>
      <c r="D439" s="366"/>
      <c r="E439" s="366"/>
      <c r="F439" s="639"/>
      <c r="G439" s="324"/>
      <c r="H439" s="324"/>
      <c r="I439" s="335"/>
      <c r="J439" s="366"/>
      <c r="K439" s="641"/>
      <c r="L439" s="641"/>
      <c r="M439" s="641"/>
      <c r="N439" s="641"/>
      <c r="O439" s="366"/>
      <c r="P439" s="366"/>
      <c r="Q439" s="366"/>
      <c r="R439" s="611"/>
      <c r="S439" s="614"/>
      <c r="T439" s="588"/>
      <c r="U439" s="188"/>
      <c r="V439" s="366"/>
      <c r="W439" s="366"/>
      <c r="X439" s="366"/>
      <c r="Y439" s="366"/>
      <c r="Z439" s="366"/>
      <c r="AA439" s="366"/>
      <c r="AB439" s="366"/>
      <c r="AC439" s="366"/>
      <c r="AD439" s="366"/>
      <c r="AE439" s="366"/>
      <c r="AF439" s="366"/>
      <c r="AG439" s="366"/>
      <c r="AH439" s="366"/>
      <c r="AI439" s="366"/>
      <c r="AJ439" s="366"/>
      <c r="AK439" s="619"/>
      <c r="AL439" s="617"/>
    </row>
    <row r="440" spans="1:38" ht="15.75">
      <c r="A440" s="190"/>
      <c r="B440" s="324"/>
      <c r="C440" s="324"/>
      <c r="D440" s="366"/>
      <c r="E440" s="366"/>
      <c r="F440" s="639"/>
      <c r="G440" s="324"/>
      <c r="H440" s="324"/>
      <c r="I440" s="335"/>
      <c r="J440" s="366"/>
      <c r="K440" s="641"/>
      <c r="L440" s="641"/>
      <c r="M440" s="641"/>
      <c r="N440" s="641"/>
      <c r="O440" s="366"/>
      <c r="P440" s="366"/>
      <c r="Q440" s="366"/>
      <c r="R440" s="611"/>
      <c r="S440" s="614"/>
      <c r="T440" s="588"/>
      <c r="U440" s="188"/>
      <c r="V440" s="366"/>
      <c r="W440" s="366"/>
      <c r="X440" s="366"/>
      <c r="Y440" s="366"/>
      <c r="Z440" s="366"/>
      <c r="AA440" s="366"/>
      <c r="AB440" s="366"/>
      <c r="AC440" s="366"/>
      <c r="AD440" s="366"/>
      <c r="AE440" s="366"/>
      <c r="AF440" s="366"/>
      <c r="AG440" s="366"/>
      <c r="AH440" s="366"/>
      <c r="AI440" s="366"/>
      <c r="AJ440" s="366"/>
      <c r="AK440" s="619"/>
      <c r="AL440" s="617"/>
    </row>
    <row r="441" spans="1:38" ht="15.75">
      <c r="A441" s="190"/>
      <c r="B441" s="324"/>
      <c r="C441" s="324"/>
      <c r="D441" s="366"/>
      <c r="E441" s="366"/>
      <c r="F441" s="639"/>
      <c r="G441" s="324"/>
      <c r="H441" s="324"/>
      <c r="I441" s="335"/>
      <c r="J441" s="366"/>
      <c r="K441" s="641"/>
      <c r="L441" s="641"/>
      <c r="M441" s="641"/>
      <c r="N441" s="641"/>
      <c r="O441" s="366"/>
      <c r="P441" s="366"/>
      <c r="Q441" s="366"/>
      <c r="R441" s="611"/>
      <c r="S441" s="614"/>
      <c r="T441" s="588"/>
      <c r="U441" s="188"/>
      <c r="V441" s="366"/>
      <c r="W441" s="366"/>
      <c r="X441" s="366"/>
      <c r="Y441" s="366"/>
      <c r="Z441" s="366"/>
      <c r="AA441" s="366"/>
      <c r="AB441" s="366"/>
      <c r="AC441" s="366"/>
      <c r="AD441" s="366"/>
      <c r="AE441" s="366"/>
      <c r="AF441" s="366"/>
      <c r="AG441" s="366"/>
      <c r="AH441" s="366"/>
      <c r="AI441" s="366"/>
      <c r="AJ441" s="366"/>
      <c r="AK441" s="619"/>
      <c r="AL441" s="617"/>
    </row>
    <row r="442" spans="1:38" ht="15.75">
      <c r="A442" s="190"/>
      <c r="B442" s="324"/>
      <c r="C442" s="324"/>
      <c r="D442" s="366"/>
      <c r="E442" s="366"/>
      <c r="F442" s="639"/>
      <c r="G442" s="324"/>
      <c r="H442" s="324"/>
      <c r="I442" s="335"/>
      <c r="J442" s="366"/>
      <c r="K442" s="641"/>
      <c r="L442" s="641"/>
      <c r="M442" s="641"/>
      <c r="N442" s="641"/>
      <c r="O442" s="366"/>
      <c r="P442" s="366"/>
      <c r="Q442" s="366"/>
      <c r="R442" s="611"/>
      <c r="S442" s="614"/>
      <c r="T442" s="588"/>
      <c r="U442" s="188"/>
      <c r="V442" s="366"/>
      <c r="W442" s="366"/>
      <c r="X442" s="366"/>
      <c r="Y442" s="366"/>
      <c r="Z442" s="366"/>
      <c r="AA442" s="366"/>
      <c r="AB442" s="366"/>
      <c r="AC442" s="366"/>
      <c r="AD442" s="366"/>
      <c r="AE442" s="366"/>
      <c r="AF442" s="366"/>
      <c r="AG442" s="366"/>
      <c r="AH442" s="366"/>
      <c r="AI442" s="366"/>
      <c r="AJ442" s="366"/>
      <c r="AK442" s="619"/>
      <c r="AL442" s="617"/>
    </row>
    <row r="443" spans="1:38" ht="15.75">
      <c r="A443" s="190"/>
      <c r="B443" s="324"/>
      <c r="C443" s="324"/>
      <c r="D443" s="366"/>
      <c r="E443" s="366"/>
      <c r="F443" s="639"/>
      <c r="G443" s="324"/>
      <c r="H443" s="324"/>
      <c r="I443" s="335"/>
      <c r="J443" s="366"/>
      <c r="K443" s="641"/>
      <c r="L443" s="641"/>
      <c r="M443" s="641"/>
      <c r="N443" s="641"/>
      <c r="O443" s="366"/>
      <c r="P443" s="366"/>
      <c r="Q443" s="366"/>
      <c r="R443" s="611"/>
      <c r="S443" s="614"/>
      <c r="T443" s="588"/>
      <c r="U443" s="188"/>
      <c r="V443" s="366"/>
      <c r="W443" s="366"/>
      <c r="X443" s="366"/>
      <c r="Y443" s="366"/>
      <c r="Z443" s="366"/>
      <c r="AA443" s="366"/>
      <c r="AB443" s="366"/>
      <c r="AC443" s="366"/>
      <c r="AD443" s="366"/>
      <c r="AE443" s="366"/>
      <c r="AF443" s="366"/>
      <c r="AG443" s="366"/>
      <c r="AH443" s="366"/>
      <c r="AI443" s="366"/>
      <c r="AJ443" s="366"/>
      <c r="AK443" s="619"/>
      <c r="AL443" s="617"/>
    </row>
    <row r="444" spans="1:38" ht="15.75">
      <c r="A444" s="190"/>
      <c r="B444" s="324"/>
      <c r="C444" s="324"/>
      <c r="D444" s="366"/>
      <c r="E444" s="366"/>
      <c r="F444" s="639"/>
      <c r="G444" s="324"/>
      <c r="H444" s="324"/>
      <c r="I444" s="335"/>
      <c r="J444" s="366"/>
      <c r="K444" s="641"/>
      <c r="L444" s="641"/>
      <c r="M444" s="641"/>
      <c r="N444" s="641"/>
      <c r="O444" s="366"/>
      <c r="P444" s="366"/>
      <c r="Q444" s="366"/>
      <c r="R444" s="611"/>
      <c r="S444" s="614"/>
      <c r="T444" s="588"/>
      <c r="U444" s="188"/>
      <c r="V444" s="366"/>
      <c r="W444" s="366"/>
      <c r="X444" s="366"/>
      <c r="Y444" s="366"/>
      <c r="Z444" s="366"/>
      <c r="AA444" s="366"/>
      <c r="AB444" s="366"/>
      <c r="AC444" s="366"/>
      <c r="AD444" s="366"/>
      <c r="AE444" s="366"/>
      <c r="AF444" s="366"/>
      <c r="AG444" s="366"/>
      <c r="AH444" s="366"/>
      <c r="AI444" s="366"/>
      <c r="AJ444" s="366"/>
      <c r="AK444" s="619"/>
      <c r="AL444" s="617"/>
    </row>
    <row r="445" spans="1:38" ht="15.75">
      <c r="A445" s="190"/>
      <c r="B445" s="324"/>
      <c r="C445" s="324"/>
      <c r="D445" s="366"/>
      <c r="E445" s="366"/>
      <c r="F445" s="639"/>
      <c r="G445" s="324"/>
      <c r="H445" s="324"/>
      <c r="I445" s="335"/>
      <c r="J445" s="366"/>
      <c r="K445" s="641"/>
      <c r="L445" s="641"/>
      <c r="M445" s="641"/>
      <c r="N445" s="641"/>
      <c r="O445" s="366"/>
      <c r="P445" s="366"/>
      <c r="Q445" s="366"/>
      <c r="R445" s="611"/>
      <c r="S445" s="614"/>
      <c r="T445" s="588"/>
      <c r="U445" s="188"/>
      <c r="V445" s="366"/>
      <c r="W445" s="366"/>
      <c r="X445" s="366"/>
      <c r="Y445" s="366"/>
      <c r="Z445" s="366"/>
      <c r="AA445" s="366"/>
      <c r="AB445" s="366"/>
      <c r="AC445" s="366"/>
      <c r="AD445" s="366"/>
      <c r="AE445" s="366"/>
      <c r="AF445" s="366"/>
      <c r="AG445" s="366"/>
      <c r="AH445" s="366"/>
      <c r="AI445" s="366"/>
      <c r="AJ445" s="366"/>
      <c r="AK445" s="619"/>
      <c r="AL445" s="617"/>
    </row>
    <row r="446" spans="1:38" ht="15.75">
      <c r="A446" s="190"/>
      <c r="B446" s="324"/>
      <c r="C446" s="324"/>
      <c r="D446" s="366"/>
      <c r="E446" s="366"/>
      <c r="F446" s="639"/>
      <c r="G446" s="324"/>
      <c r="H446" s="324"/>
      <c r="I446" s="335"/>
      <c r="J446" s="366"/>
      <c r="K446" s="641"/>
      <c r="L446" s="641"/>
      <c r="M446" s="641"/>
      <c r="N446" s="641"/>
      <c r="O446" s="366"/>
      <c r="P446" s="366"/>
      <c r="Q446" s="366"/>
      <c r="R446" s="611"/>
      <c r="S446" s="614"/>
      <c r="T446" s="588"/>
      <c r="U446" s="188"/>
      <c r="V446" s="366"/>
      <c r="W446" s="366"/>
      <c r="X446" s="366"/>
      <c r="Y446" s="366"/>
      <c r="Z446" s="366"/>
      <c r="AA446" s="366"/>
      <c r="AB446" s="366"/>
      <c r="AC446" s="366"/>
      <c r="AD446" s="366"/>
      <c r="AE446" s="366"/>
      <c r="AF446" s="366"/>
      <c r="AG446" s="366"/>
      <c r="AH446" s="366"/>
      <c r="AI446" s="366"/>
      <c r="AJ446" s="366"/>
      <c r="AK446" s="619"/>
      <c r="AL446" s="617"/>
    </row>
    <row r="447" spans="1:38" ht="15.75">
      <c r="A447" s="190"/>
      <c r="B447" s="324"/>
      <c r="C447" s="324"/>
      <c r="D447" s="366"/>
      <c r="E447" s="366"/>
      <c r="F447" s="639"/>
      <c r="G447" s="324"/>
      <c r="H447" s="324"/>
      <c r="I447" s="335"/>
      <c r="J447" s="366"/>
      <c r="K447" s="641"/>
      <c r="L447" s="641"/>
      <c r="M447" s="641"/>
      <c r="N447" s="641"/>
      <c r="O447" s="366"/>
      <c r="P447" s="366"/>
      <c r="Q447" s="366"/>
      <c r="R447" s="611"/>
      <c r="S447" s="614"/>
      <c r="T447" s="588"/>
      <c r="U447" s="188"/>
      <c r="V447" s="366"/>
      <c r="W447" s="366"/>
      <c r="X447" s="366"/>
      <c r="Y447" s="366"/>
      <c r="Z447" s="366"/>
      <c r="AA447" s="366"/>
      <c r="AB447" s="366"/>
      <c r="AC447" s="366"/>
      <c r="AD447" s="366"/>
      <c r="AE447" s="366"/>
      <c r="AF447" s="366"/>
      <c r="AG447" s="366"/>
      <c r="AH447" s="366"/>
      <c r="AI447" s="366"/>
      <c r="AJ447" s="366"/>
      <c r="AK447" s="619"/>
      <c r="AL447" s="617"/>
    </row>
    <row r="448" spans="1:38" ht="15.75">
      <c r="A448" s="190"/>
      <c r="B448" s="324"/>
      <c r="C448" s="324"/>
      <c r="D448" s="366"/>
      <c r="E448" s="366"/>
      <c r="F448" s="639"/>
      <c r="G448" s="324"/>
      <c r="H448" s="324"/>
      <c r="I448" s="335"/>
      <c r="J448" s="366"/>
      <c r="K448" s="641"/>
      <c r="L448" s="641"/>
      <c r="M448" s="641"/>
      <c r="N448" s="641"/>
      <c r="O448" s="366"/>
      <c r="P448" s="366"/>
      <c r="Q448" s="366"/>
      <c r="R448" s="611"/>
      <c r="S448" s="614"/>
      <c r="T448" s="588"/>
      <c r="U448" s="188"/>
      <c r="V448" s="366"/>
      <c r="W448" s="366"/>
      <c r="X448" s="366"/>
      <c r="Y448" s="366"/>
      <c r="Z448" s="366"/>
      <c r="AA448" s="366"/>
      <c r="AB448" s="366"/>
      <c r="AC448" s="366"/>
      <c r="AD448" s="366"/>
      <c r="AE448" s="366"/>
      <c r="AF448" s="366"/>
      <c r="AG448" s="366"/>
      <c r="AH448" s="366"/>
      <c r="AI448" s="366"/>
      <c r="AJ448" s="366"/>
      <c r="AK448" s="619"/>
      <c r="AL448" s="617"/>
    </row>
    <row r="449" spans="1:38" ht="15.75">
      <c r="A449" s="190"/>
      <c r="B449" s="324"/>
      <c r="C449" s="324"/>
      <c r="D449" s="366"/>
      <c r="E449" s="366"/>
      <c r="F449" s="639"/>
      <c r="G449" s="324"/>
      <c r="H449" s="324"/>
      <c r="I449" s="335"/>
      <c r="J449" s="366"/>
      <c r="K449" s="641"/>
      <c r="L449" s="641"/>
      <c r="M449" s="641"/>
      <c r="N449" s="641"/>
      <c r="O449" s="366"/>
      <c r="P449" s="366"/>
      <c r="Q449" s="366"/>
      <c r="R449" s="611"/>
      <c r="S449" s="614"/>
      <c r="T449" s="588"/>
      <c r="U449" s="188"/>
      <c r="V449" s="366"/>
      <c r="W449" s="366"/>
      <c r="X449" s="366"/>
      <c r="Y449" s="366"/>
      <c r="Z449" s="366"/>
      <c r="AA449" s="366"/>
      <c r="AB449" s="366"/>
      <c r="AC449" s="366"/>
      <c r="AD449" s="366"/>
      <c r="AE449" s="366"/>
      <c r="AF449" s="366"/>
      <c r="AG449" s="366"/>
      <c r="AH449" s="366"/>
      <c r="AI449" s="366"/>
      <c r="AJ449" s="366"/>
      <c r="AK449" s="619"/>
      <c r="AL449" s="617"/>
    </row>
    <row r="450" spans="1:38" ht="15.75">
      <c r="A450" s="190"/>
      <c r="B450" s="324"/>
      <c r="C450" s="324"/>
      <c r="D450" s="366"/>
      <c r="E450" s="366"/>
      <c r="F450" s="639"/>
      <c r="G450" s="324"/>
      <c r="H450" s="324"/>
      <c r="I450" s="335"/>
      <c r="J450" s="366"/>
      <c r="K450" s="641"/>
      <c r="L450" s="641"/>
      <c r="M450" s="641"/>
      <c r="N450" s="641"/>
      <c r="O450" s="366"/>
      <c r="P450" s="366"/>
      <c r="Q450" s="366"/>
      <c r="R450" s="611"/>
      <c r="S450" s="614"/>
      <c r="T450" s="588"/>
      <c r="U450" s="188"/>
      <c r="V450" s="366"/>
      <c r="W450" s="366"/>
      <c r="X450" s="366"/>
      <c r="Y450" s="366"/>
      <c r="Z450" s="366"/>
      <c r="AA450" s="366"/>
      <c r="AB450" s="366"/>
      <c r="AC450" s="366"/>
      <c r="AD450" s="366"/>
      <c r="AE450" s="366"/>
      <c r="AF450" s="366"/>
      <c r="AG450" s="366"/>
      <c r="AH450" s="366"/>
      <c r="AI450" s="366"/>
      <c r="AJ450" s="366"/>
      <c r="AK450" s="619"/>
      <c r="AL450" s="617"/>
    </row>
    <row r="451" spans="1:38" ht="15.75">
      <c r="A451" s="190"/>
      <c r="B451" s="324"/>
      <c r="C451" s="324"/>
      <c r="D451" s="366"/>
      <c r="E451" s="366"/>
      <c r="F451" s="639"/>
      <c r="G451" s="324"/>
      <c r="H451" s="324"/>
      <c r="I451" s="335"/>
      <c r="J451" s="366"/>
      <c r="K451" s="641"/>
      <c r="L451" s="641"/>
      <c r="M451" s="641"/>
      <c r="N451" s="641"/>
      <c r="O451" s="366"/>
      <c r="P451" s="366"/>
      <c r="Q451" s="366"/>
      <c r="R451" s="611"/>
      <c r="S451" s="614"/>
      <c r="T451" s="588"/>
      <c r="U451" s="188"/>
      <c r="V451" s="366"/>
      <c r="W451" s="366"/>
      <c r="X451" s="366"/>
      <c r="Y451" s="366"/>
      <c r="Z451" s="366"/>
      <c r="AA451" s="366"/>
      <c r="AB451" s="366"/>
      <c r="AC451" s="366"/>
      <c r="AD451" s="366"/>
      <c r="AE451" s="366"/>
      <c r="AF451" s="366"/>
      <c r="AG451" s="366"/>
      <c r="AH451" s="366"/>
      <c r="AI451" s="366"/>
      <c r="AJ451" s="366"/>
      <c r="AK451" s="619"/>
      <c r="AL451" s="617"/>
    </row>
    <row r="452" spans="1:38" ht="15.75">
      <c r="A452" s="190"/>
      <c r="B452" s="324"/>
      <c r="C452" s="324"/>
      <c r="D452" s="366"/>
      <c r="E452" s="366"/>
      <c r="F452" s="639"/>
      <c r="G452" s="324"/>
      <c r="H452" s="324"/>
      <c r="I452" s="335"/>
      <c r="J452" s="366"/>
      <c r="K452" s="641"/>
      <c r="L452" s="641"/>
      <c r="M452" s="641"/>
      <c r="N452" s="641"/>
      <c r="O452" s="366"/>
      <c r="P452" s="366"/>
      <c r="Q452" s="366"/>
      <c r="R452" s="611"/>
      <c r="S452" s="614"/>
      <c r="T452" s="588"/>
      <c r="U452" s="188"/>
      <c r="V452" s="366"/>
      <c r="W452" s="366"/>
      <c r="X452" s="366"/>
      <c r="Y452" s="366"/>
      <c r="Z452" s="366"/>
      <c r="AA452" s="366"/>
      <c r="AB452" s="366"/>
      <c r="AC452" s="366"/>
      <c r="AD452" s="366"/>
      <c r="AE452" s="366"/>
      <c r="AF452" s="366"/>
      <c r="AG452" s="366"/>
      <c r="AH452" s="366"/>
      <c r="AI452" s="366"/>
      <c r="AJ452" s="366"/>
      <c r="AK452" s="619"/>
      <c r="AL452" s="617"/>
    </row>
    <row r="453" spans="1:38" ht="15.75">
      <c r="A453" s="190"/>
      <c r="B453" s="324"/>
      <c r="C453" s="324"/>
      <c r="D453" s="366"/>
      <c r="E453" s="366"/>
      <c r="F453" s="639"/>
      <c r="G453" s="324"/>
      <c r="H453" s="324"/>
      <c r="I453" s="335"/>
      <c r="J453" s="366"/>
      <c r="K453" s="641"/>
      <c r="L453" s="641"/>
      <c r="M453" s="641"/>
      <c r="N453" s="641"/>
      <c r="O453" s="366"/>
      <c r="P453" s="366"/>
      <c r="Q453" s="366"/>
      <c r="R453" s="611"/>
      <c r="S453" s="614"/>
      <c r="T453" s="588"/>
      <c r="U453" s="188"/>
      <c r="V453" s="366"/>
      <c r="W453" s="366"/>
      <c r="X453" s="366"/>
      <c r="Y453" s="366"/>
      <c r="Z453" s="366"/>
      <c r="AA453" s="366"/>
      <c r="AB453" s="366"/>
      <c r="AC453" s="366"/>
      <c r="AD453" s="366"/>
      <c r="AE453" s="366"/>
      <c r="AF453" s="366"/>
      <c r="AG453" s="366"/>
      <c r="AH453" s="366"/>
      <c r="AI453" s="366"/>
      <c r="AJ453" s="366"/>
      <c r="AK453" s="619"/>
      <c r="AL453" s="617"/>
    </row>
    <row r="454" spans="1:38" ht="15.75">
      <c r="A454" s="190"/>
      <c r="B454" s="324"/>
      <c r="C454" s="324"/>
      <c r="D454" s="366"/>
      <c r="E454" s="366"/>
      <c r="F454" s="639"/>
      <c r="G454" s="324"/>
      <c r="H454" s="324"/>
      <c r="I454" s="335"/>
      <c r="J454" s="366"/>
      <c r="K454" s="641"/>
      <c r="L454" s="641"/>
      <c r="M454" s="641"/>
      <c r="N454" s="641"/>
      <c r="O454" s="366"/>
      <c r="P454" s="366"/>
      <c r="Q454" s="366"/>
      <c r="R454" s="611"/>
      <c r="S454" s="614"/>
      <c r="T454" s="588"/>
      <c r="U454" s="188"/>
      <c r="V454" s="366"/>
      <c r="W454" s="366"/>
      <c r="X454" s="366"/>
      <c r="Y454" s="366"/>
      <c r="Z454" s="366"/>
      <c r="AA454" s="366"/>
      <c r="AB454" s="366"/>
      <c r="AC454" s="366"/>
      <c r="AD454" s="366"/>
      <c r="AE454" s="366"/>
      <c r="AF454" s="366"/>
      <c r="AG454" s="366"/>
      <c r="AH454" s="366"/>
      <c r="AI454" s="366"/>
      <c r="AJ454" s="366"/>
      <c r="AK454" s="619"/>
      <c r="AL454" s="617"/>
    </row>
    <row r="455" spans="1:38" ht="15.75">
      <c r="A455" s="190"/>
      <c r="B455" s="324"/>
      <c r="C455" s="324"/>
      <c r="D455" s="366"/>
      <c r="E455" s="366"/>
      <c r="F455" s="639"/>
      <c r="G455" s="324"/>
      <c r="H455" s="324"/>
      <c r="I455" s="335"/>
      <c r="J455" s="366"/>
      <c r="K455" s="641"/>
      <c r="L455" s="641"/>
      <c r="M455" s="641"/>
      <c r="N455" s="641"/>
      <c r="O455" s="366"/>
      <c r="P455" s="366"/>
      <c r="Q455" s="366"/>
      <c r="R455" s="611"/>
      <c r="S455" s="614"/>
      <c r="T455" s="588"/>
      <c r="U455" s="188"/>
      <c r="V455" s="366"/>
      <c r="W455" s="366"/>
      <c r="X455" s="366"/>
      <c r="Y455" s="366"/>
      <c r="Z455" s="366"/>
      <c r="AA455" s="366"/>
      <c r="AB455" s="366"/>
      <c r="AC455" s="366"/>
      <c r="AD455" s="366"/>
      <c r="AE455" s="366"/>
      <c r="AF455" s="366"/>
      <c r="AG455" s="366"/>
      <c r="AH455" s="366"/>
      <c r="AI455" s="366"/>
      <c r="AJ455" s="366"/>
      <c r="AK455" s="619"/>
      <c r="AL455" s="617"/>
    </row>
    <row r="456" spans="1:38" ht="15.75">
      <c r="A456" s="190"/>
      <c r="B456" s="324"/>
      <c r="C456" s="324"/>
      <c r="D456" s="366"/>
      <c r="E456" s="366"/>
      <c r="F456" s="639"/>
      <c r="G456" s="324"/>
      <c r="H456" s="324"/>
      <c r="I456" s="335"/>
      <c r="J456" s="366"/>
      <c r="K456" s="641"/>
      <c r="L456" s="641"/>
      <c r="M456" s="641"/>
      <c r="N456" s="641"/>
      <c r="O456" s="366"/>
      <c r="P456" s="366"/>
      <c r="Q456" s="366"/>
      <c r="R456" s="611"/>
      <c r="S456" s="614"/>
      <c r="T456" s="588"/>
      <c r="U456" s="188"/>
      <c r="V456" s="366"/>
      <c r="W456" s="366"/>
      <c r="X456" s="366"/>
      <c r="Y456" s="366"/>
      <c r="Z456" s="366"/>
      <c r="AA456" s="366"/>
      <c r="AB456" s="366"/>
      <c r="AC456" s="366"/>
      <c r="AD456" s="366"/>
      <c r="AE456" s="366"/>
      <c r="AF456" s="366"/>
      <c r="AG456" s="366"/>
      <c r="AH456" s="366"/>
      <c r="AI456" s="366"/>
      <c r="AJ456" s="366"/>
      <c r="AK456" s="619"/>
      <c r="AL456" s="617"/>
    </row>
    <row r="457" spans="1:38" ht="15.75">
      <c r="A457" s="190"/>
      <c r="B457" s="324"/>
      <c r="C457" s="324"/>
      <c r="D457" s="366"/>
      <c r="E457" s="366"/>
      <c r="F457" s="639"/>
      <c r="G457" s="324"/>
      <c r="H457" s="324"/>
      <c r="I457" s="335"/>
      <c r="J457" s="366"/>
      <c r="K457" s="641"/>
      <c r="L457" s="641"/>
      <c r="M457" s="641"/>
      <c r="N457" s="641"/>
      <c r="O457" s="366"/>
      <c r="P457" s="366"/>
      <c r="Q457" s="366"/>
      <c r="R457" s="611"/>
      <c r="S457" s="614"/>
      <c r="T457" s="588"/>
      <c r="U457" s="188"/>
      <c r="V457" s="366"/>
      <c r="W457" s="366"/>
      <c r="X457" s="366"/>
      <c r="Y457" s="366"/>
      <c r="Z457" s="366"/>
      <c r="AA457" s="366"/>
      <c r="AB457" s="366"/>
      <c r="AC457" s="366"/>
      <c r="AD457" s="366"/>
      <c r="AE457" s="366"/>
      <c r="AF457" s="366"/>
      <c r="AG457" s="366"/>
      <c r="AH457" s="366"/>
      <c r="AI457" s="366"/>
      <c r="AJ457" s="366"/>
      <c r="AK457" s="619"/>
      <c r="AL457" s="617"/>
    </row>
    <row r="458" spans="1:38" ht="15.75">
      <c r="A458" s="190"/>
      <c r="B458" s="324"/>
      <c r="C458" s="324"/>
      <c r="D458" s="366"/>
      <c r="E458" s="366"/>
      <c r="F458" s="639"/>
      <c r="G458" s="324"/>
      <c r="H458" s="324"/>
      <c r="I458" s="335"/>
      <c r="J458" s="366"/>
      <c r="K458" s="641"/>
      <c r="L458" s="641"/>
      <c r="M458" s="641"/>
      <c r="N458" s="641"/>
      <c r="O458" s="366"/>
      <c r="P458" s="366"/>
      <c r="Q458" s="366"/>
      <c r="R458" s="611"/>
      <c r="S458" s="614"/>
      <c r="T458" s="588"/>
      <c r="U458" s="188"/>
      <c r="V458" s="366"/>
      <c r="W458" s="366"/>
      <c r="X458" s="366"/>
      <c r="Y458" s="366"/>
      <c r="Z458" s="366"/>
      <c r="AA458" s="366"/>
      <c r="AB458" s="366"/>
      <c r="AC458" s="366"/>
      <c r="AD458" s="366"/>
      <c r="AE458" s="366"/>
      <c r="AF458" s="366"/>
      <c r="AG458" s="366"/>
      <c r="AH458" s="366"/>
      <c r="AI458" s="366"/>
      <c r="AJ458" s="366"/>
      <c r="AK458" s="619"/>
      <c r="AL458" s="617"/>
    </row>
    <row r="459" spans="1:38" ht="15.75">
      <c r="A459" s="190"/>
      <c r="B459" s="324"/>
      <c r="C459" s="324"/>
      <c r="D459" s="366"/>
      <c r="E459" s="366"/>
      <c r="F459" s="639"/>
      <c r="G459" s="324"/>
      <c r="H459" s="324"/>
      <c r="I459" s="335"/>
      <c r="J459" s="366"/>
      <c r="K459" s="641"/>
      <c r="L459" s="641"/>
      <c r="M459" s="641"/>
      <c r="N459" s="641"/>
      <c r="O459" s="366"/>
      <c r="P459" s="366"/>
      <c r="Q459" s="366"/>
      <c r="R459" s="611"/>
      <c r="S459" s="614"/>
      <c r="T459" s="588"/>
      <c r="U459" s="188"/>
      <c r="V459" s="366"/>
      <c r="W459" s="366"/>
      <c r="X459" s="366"/>
      <c r="Y459" s="366"/>
      <c r="Z459" s="366"/>
      <c r="AA459" s="366"/>
      <c r="AB459" s="366"/>
      <c r="AC459" s="366"/>
      <c r="AD459" s="366"/>
      <c r="AE459" s="366"/>
      <c r="AF459" s="366"/>
      <c r="AG459" s="366"/>
      <c r="AH459" s="366"/>
      <c r="AI459" s="366"/>
      <c r="AJ459" s="366"/>
      <c r="AK459" s="619"/>
      <c r="AL459" s="617"/>
    </row>
    <row r="460" spans="1:38" ht="15.75">
      <c r="A460" s="190"/>
      <c r="B460" s="324"/>
      <c r="C460" s="324"/>
      <c r="D460" s="366"/>
      <c r="E460" s="366"/>
      <c r="F460" s="639"/>
      <c r="G460" s="324"/>
      <c r="H460" s="324"/>
      <c r="I460" s="335"/>
      <c r="J460" s="366"/>
      <c r="K460" s="641"/>
      <c r="L460" s="641"/>
      <c r="M460" s="641"/>
      <c r="N460" s="641"/>
      <c r="O460" s="366"/>
      <c r="P460" s="366"/>
      <c r="Q460" s="366"/>
      <c r="R460" s="611"/>
      <c r="S460" s="614"/>
      <c r="T460" s="588"/>
      <c r="U460" s="188"/>
      <c r="V460" s="366"/>
      <c r="W460" s="366"/>
      <c r="X460" s="366"/>
      <c r="Y460" s="366"/>
      <c r="Z460" s="366"/>
      <c r="AA460" s="366"/>
      <c r="AB460" s="366"/>
      <c r="AC460" s="366"/>
      <c r="AD460" s="366"/>
      <c r="AE460" s="366"/>
      <c r="AF460" s="366"/>
      <c r="AG460" s="366"/>
      <c r="AH460" s="366"/>
      <c r="AI460" s="366"/>
      <c r="AJ460" s="366"/>
      <c r="AK460" s="619"/>
      <c r="AL460" s="617"/>
    </row>
    <row r="461" spans="1:38" ht="15.75">
      <c r="A461" s="190"/>
      <c r="B461" s="324"/>
      <c r="C461" s="324"/>
      <c r="D461" s="366"/>
      <c r="E461" s="366"/>
      <c r="F461" s="639"/>
      <c r="G461" s="324"/>
      <c r="H461" s="324"/>
      <c r="I461" s="335"/>
      <c r="J461" s="366"/>
      <c r="K461" s="641"/>
      <c r="L461" s="641"/>
      <c r="M461" s="641"/>
      <c r="N461" s="641"/>
      <c r="O461" s="366"/>
      <c r="P461" s="366"/>
      <c r="Q461" s="366"/>
      <c r="R461" s="611"/>
      <c r="S461" s="614"/>
      <c r="T461" s="588"/>
      <c r="U461" s="188"/>
      <c r="V461" s="366"/>
      <c r="W461" s="366"/>
      <c r="X461" s="366"/>
      <c r="Y461" s="366"/>
      <c r="Z461" s="366"/>
      <c r="AA461" s="366"/>
      <c r="AB461" s="366"/>
      <c r="AC461" s="366"/>
      <c r="AD461" s="366"/>
      <c r="AE461" s="366"/>
      <c r="AF461" s="366"/>
      <c r="AG461" s="366"/>
      <c r="AH461" s="366"/>
      <c r="AI461" s="366"/>
      <c r="AJ461" s="366"/>
      <c r="AK461" s="619"/>
      <c r="AL461" s="617"/>
    </row>
    <row r="462" spans="1:38" ht="15.75">
      <c r="A462" s="190"/>
      <c r="B462" s="324"/>
      <c r="C462" s="324"/>
      <c r="D462" s="366"/>
      <c r="E462" s="366"/>
      <c r="F462" s="639"/>
      <c r="G462" s="324"/>
      <c r="H462" s="324"/>
      <c r="I462" s="335"/>
      <c r="J462" s="366"/>
      <c r="K462" s="641"/>
      <c r="L462" s="641"/>
      <c r="M462" s="641"/>
      <c r="N462" s="641"/>
      <c r="O462" s="366"/>
      <c r="P462" s="366"/>
      <c r="Q462" s="366"/>
      <c r="R462" s="611"/>
      <c r="S462" s="614"/>
      <c r="T462" s="588"/>
      <c r="U462" s="188"/>
      <c r="V462" s="366"/>
      <c r="W462" s="366"/>
      <c r="X462" s="366"/>
      <c r="Y462" s="366"/>
      <c r="Z462" s="366"/>
      <c r="AA462" s="366"/>
      <c r="AB462" s="366"/>
      <c r="AC462" s="366"/>
      <c r="AD462" s="366"/>
      <c r="AE462" s="366"/>
      <c r="AF462" s="366"/>
      <c r="AG462" s="366"/>
      <c r="AH462" s="366"/>
      <c r="AI462" s="366"/>
      <c r="AJ462" s="366"/>
      <c r="AK462" s="619"/>
      <c r="AL462" s="617"/>
    </row>
    <row r="463" spans="1:38" ht="15.75">
      <c r="A463" s="190"/>
      <c r="B463" s="324"/>
      <c r="C463" s="324"/>
      <c r="D463" s="366"/>
      <c r="E463" s="366"/>
      <c r="F463" s="639"/>
      <c r="G463" s="324"/>
      <c r="H463" s="324"/>
      <c r="I463" s="335"/>
      <c r="J463" s="366"/>
      <c r="K463" s="641"/>
      <c r="L463" s="641"/>
      <c r="M463" s="641"/>
      <c r="N463" s="641"/>
      <c r="O463" s="366"/>
      <c r="P463" s="366"/>
      <c r="Q463" s="366"/>
      <c r="R463" s="611"/>
      <c r="S463" s="614"/>
      <c r="T463" s="588"/>
      <c r="U463" s="188"/>
      <c r="V463" s="366"/>
      <c r="W463" s="366"/>
      <c r="X463" s="366"/>
      <c r="Y463" s="366"/>
      <c r="Z463" s="366"/>
      <c r="AA463" s="366"/>
      <c r="AB463" s="366"/>
      <c r="AC463" s="366"/>
      <c r="AD463" s="366"/>
      <c r="AE463" s="366"/>
      <c r="AF463" s="366"/>
      <c r="AG463" s="366"/>
      <c r="AH463" s="366"/>
      <c r="AI463" s="366"/>
      <c r="AJ463" s="366"/>
      <c r="AK463" s="619"/>
      <c r="AL463" s="617"/>
    </row>
    <row r="464" spans="1:38" ht="15.75">
      <c r="A464" s="190"/>
      <c r="B464" s="324"/>
      <c r="C464" s="324"/>
      <c r="D464" s="366"/>
      <c r="E464" s="366"/>
      <c r="F464" s="639"/>
      <c r="G464" s="324"/>
      <c r="H464" s="324"/>
      <c r="I464" s="335"/>
      <c r="J464" s="366"/>
      <c r="K464" s="641"/>
      <c r="L464" s="641"/>
      <c r="M464" s="641"/>
      <c r="N464" s="641"/>
      <c r="O464" s="366"/>
      <c r="P464" s="366"/>
      <c r="Q464" s="366"/>
      <c r="R464" s="611"/>
      <c r="S464" s="614"/>
      <c r="T464" s="588"/>
      <c r="U464" s="188"/>
      <c r="V464" s="366"/>
      <c r="W464" s="366"/>
      <c r="X464" s="366"/>
      <c r="Y464" s="366"/>
      <c r="Z464" s="366"/>
      <c r="AA464" s="366"/>
      <c r="AB464" s="366"/>
      <c r="AC464" s="366"/>
      <c r="AD464" s="366"/>
      <c r="AE464" s="366"/>
      <c r="AF464" s="366"/>
      <c r="AG464" s="366"/>
      <c r="AH464" s="366"/>
      <c r="AI464" s="366"/>
      <c r="AJ464" s="366"/>
      <c r="AK464" s="619"/>
      <c r="AL464" s="617"/>
    </row>
    <row r="465" spans="1:38" ht="15.75">
      <c r="A465" s="190"/>
      <c r="B465" s="324"/>
      <c r="C465" s="324"/>
      <c r="D465" s="366"/>
      <c r="E465" s="366"/>
      <c r="F465" s="639"/>
      <c r="G465" s="324"/>
      <c r="H465" s="324"/>
      <c r="I465" s="335"/>
      <c r="J465" s="366"/>
      <c r="K465" s="641"/>
      <c r="L465" s="641"/>
      <c r="M465" s="641"/>
      <c r="N465" s="641"/>
      <c r="O465" s="366"/>
      <c r="P465" s="366"/>
      <c r="Q465" s="366"/>
      <c r="R465" s="611"/>
      <c r="S465" s="614"/>
      <c r="T465" s="588"/>
      <c r="U465" s="188"/>
      <c r="V465" s="366"/>
      <c r="W465" s="366"/>
      <c r="X465" s="366"/>
      <c r="Y465" s="366"/>
      <c r="Z465" s="366"/>
      <c r="AA465" s="366"/>
      <c r="AB465" s="366"/>
      <c r="AC465" s="366"/>
      <c r="AD465" s="366"/>
      <c r="AE465" s="366"/>
      <c r="AF465" s="366"/>
      <c r="AG465" s="366"/>
      <c r="AH465" s="366"/>
      <c r="AI465" s="366"/>
      <c r="AJ465" s="366"/>
      <c r="AK465" s="619"/>
      <c r="AL465" s="617"/>
    </row>
    <row r="466" spans="1:38" ht="15.75">
      <c r="A466" s="190"/>
      <c r="B466" s="324"/>
      <c r="C466" s="324"/>
      <c r="D466" s="366"/>
      <c r="E466" s="366"/>
      <c r="F466" s="639"/>
      <c r="G466" s="324"/>
      <c r="H466" s="324"/>
      <c r="I466" s="335"/>
      <c r="J466" s="366"/>
      <c r="K466" s="641"/>
      <c r="L466" s="641"/>
      <c r="M466" s="641"/>
      <c r="N466" s="641"/>
      <c r="O466" s="366"/>
      <c r="P466" s="366"/>
      <c r="Q466" s="366"/>
      <c r="R466" s="611"/>
      <c r="S466" s="614"/>
      <c r="T466" s="588"/>
      <c r="U466" s="188"/>
      <c r="V466" s="366"/>
      <c r="W466" s="366"/>
      <c r="X466" s="366"/>
      <c r="Y466" s="366"/>
      <c r="Z466" s="366"/>
      <c r="AA466" s="366"/>
      <c r="AB466" s="366"/>
      <c r="AC466" s="366"/>
      <c r="AD466" s="366"/>
      <c r="AE466" s="366"/>
      <c r="AF466" s="366"/>
      <c r="AG466" s="366"/>
      <c r="AH466" s="366"/>
      <c r="AI466" s="366"/>
      <c r="AJ466" s="366"/>
      <c r="AK466" s="619"/>
      <c r="AL466" s="617"/>
    </row>
    <row r="467" spans="1:38" ht="15.75">
      <c r="A467" s="190"/>
      <c r="B467" s="324"/>
      <c r="C467" s="324"/>
      <c r="D467" s="366"/>
      <c r="E467" s="366"/>
      <c r="F467" s="639"/>
      <c r="G467" s="324"/>
      <c r="H467" s="324"/>
      <c r="I467" s="335"/>
      <c r="J467" s="366"/>
      <c r="K467" s="641"/>
      <c r="L467" s="641"/>
      <c r="M467" s="641"/>
      <c r="N467" s="641"/>
      <c r="O467" s="366"/>
      <c r="P467" s="366"/>
      <c r="Q467" s="366"/>
      <c r="R467" s="611"/>
      <c r="S467" s="614"/>
      <c r="T467" s="588"/>
      <c r="U467" s="188"/>
      <c r="V467" s="366"/>
      <c r="W467" s="366"/>
      <c r="X467" s="366"/>
      <c r="Y467" s="366"/>
      <c r="Z467" s="366"/>
      <c r="AA467" s="366"/>
      <c r="AB467" s="366"/>
      <c r="AC467" s="366"/>
      <c r="AD467" s="366"/>
      <c r="AE467" s="366"/>
      <c r="AF467" s="366"/>
      <c r="AG467" s="366"/>
      <c r="AH467" s="366"/>
      <c r="AI467" s="366"/>
      <c r="AJ467" s="366"/>
      <c r="AK467" s="619"/>
      <c r="AL467" s="617"/>
    </row>
    <row r="468" spans="1:38" ht="15.75">
      <c r="A468" s="190"/>
      <c r="B468" s="324"/>
      <c r="C468" s="324"/>
      <c r="D468" s="366"/>
      <c r="E468" s="366"/>
      <c r="F468" s="639"/>
      <c r="G468" s="324"/>
      <c r="H468" s="324"/>
      <c r="I468" s="335"/>
      <c r="J468" s="366"/>
      <c r="K468" s="641"/>
      <c r="L468" s="641"/>
      <c r="M468" s="641"/>
      <c r="N468" s="641"/>
      <c r="O468" s="366"/>
      <c r="P468" s="366"/>
      <c r="Q468" s="366"/>
      <c r="R468" s="611"/>
      <c r="S468" s="614"/>
      <c r="T468" s="588"/>
      <c r="U468" s="188"/>
      <c r="V468" s="366"/>
      <c r="W468" s="366"/>
      <c r="X468" s="366"/>
      <c r="Y468" s="366"/>
      <c r="Z468" s="366"/>
      <c r="AA468" s="366"/>
      <c r="AB468" s="366"/>
      <c r="AC468" s="366"/>
      <c r="AD468" s="366"/>
      <c r="AE468" s="366"/>
      <c r="AF468" s="366"/>
      <c r="AG468" s="366"/>
      <c r="AH468" s="366"/>
      <c r="AI468" s="366"/>
      <c r="AJ468" s="366"/>
      <c r="AK468" s="619"/>
      <c r="AL468" s="617"/>
    </row>
    <row r="469" spans="1:38" ht="15.75">
      <c r="A469" s="190"/>
      <c r="B469" s="324"/>
      <c r="C469" s="324"/>
      <c r="D469" s="366"/>
      <c r="E469" s="366"/>
      <c r="F469" s="639"/>
      <c r="G469" s="324"/>
      <c r="H469" s="324"/>
      <c r="I469" s="335"/>
      <c r="J469" s="366"/>
      <c r="K469" s="641"/>
      <c r="L469" s="641"/>
      <c r="M469" s="641"/>
      <c r="N469" s="641"/>
      <c r="O469" s="366"/>
      <c r="P469" s="366"/>
      <c r="Q469" s="366"/>
      <c r="R469" s="611"/>
      <c r="S469" s="614"/>
      <c r="T469" s="588"/>
      <c r="U469" s="188"/>
      <c r="V469" s="366"/>
      <c r="W469" s="366"/>
      <c r="X469" s="366"/>
      <c r="Y469" s="366"/>
      <c r="Z469" s="366"/>
      <c r="AA469" s="366"/>
      <c r="AB469" s="366"/>
      <c r="AC469" s="366"/>
      <c r="AD469" s="366"/>
      <c r="AE469" s="366"/>
      <c r="AF469" s="366"/>
      <c r="AG469" s="366"/>
      <c r="AH469" s="366"/>
      <c r="AI469" s="366"/>
      <c r="AJ469" s="366"/>
      <c r="AK469" s="619"/>
      <c r="AL469" s="617"/>
    </row>
    <row r="470" spans="1:38" ht="15.75">
      <c r="A470" s="190"/>
      <c r="B470" s="324"/>
      <c r="C470" s="324"/>
      <c r="D470" s="366"/>
      <c r="E470" s="366"/>
      <c r="F470" s="639"/>
      <c r="G470" s="324"/>
      <c r="H470" s="324"/>
      <c r="I470" s="335"/>
      <c r="J470" s="366"/>
      <c r="K470" s="641"/>
      <c r="L470" s="641"/>
      <c r="M470" s="641"/>
      <c r="N470" s="641"/>
      <c r="O470" s="366"/>
      <c r="P470" s="366"/>
      <c r="Q470" s="366"/>
      <c r="R470" s="611"/>
      <c r="S470" s="614"/>
      <c r="T470" s="588"/>
      <c r="U470" s="188"/>
      <c r="V470" s="366"/>
      <c r="W470" s="366"/>
      <c r="X470" s="366"/>
      <c r="Y470" s="366"/>
      <c r="Z470" s="366"/>
      <c r="AA470" s="366"/>
      <c r="AB470" s="366"/>
      <c r="AC470" s="366"/>
      <c r="AD470" s="366"/>
      <c r="AE470" s="366"/>
      <c r="AF470" s="366"/>
      <c r="AG470" s="366"/>
      <c r="AH470" s="366"/>
      <c r="AI470" s="366"/>
      <c r="AJ470" s="366"/>
      <c r="AK470" s="619"/>
      <c r="AL470" s="617"/>
    </row>
    <row r="471" spans="1:38" ht="15.75">
      <c r="A471" s="190"/>
      <c r="B471" s="324"/>
      <c r="C471" s="324"/>
      <c r="D471" s="366"/>
      <c r="E471" s="366"/>
      <c r="F471" s="639"/>
      <c r="G471" s="324"/>
      <c r="H471" s="324"/>
      <c r="I471" s="335"/>
      <c r="J471" s="366"/>
      <c r="K471" s="641"/>
      <c r="L471" s="641"/>
      <c r="M471" s="641"/>
      <c r="N471" s="641"/>
      <c r="O471" s="366"/>
      <c r="P471" s="366"/>
      <c r="Q471" s="366"/>
      <c r="R471" s="611"/>
      <c r="S471" s="614"/>
      <c r="T471" s="588"/>
      <c r="U471" s="188"/>
      <c r="V471" s="366"/>
      <c r="W471" s="366"/>
      <c r="X471" s="366"/>
      <c r="Y471" s="366"/>
      <c r="Z471" s="366"/>
      <c r="AA471" s="366"/>
      <c r="AB471" s="366"/>
      <c r="AC471" s="366"/>
      <c r="AD471" s="366"/>
      <c r="AE471" s="366"/>
      <c r="AF471" s="366"/>
      <c r="AG471" s="366"/>
      <c r="AH471" s="366"/>
      <c r="AI471" s="366"/>
      <c r="AJ471" s="366"/>
      <c r="AK471" s="619"/>
      <c r="AL471" s="617"/>
    </row>
    <row r="472" spans="1:38" ht="15.75">
      <c r="A472" s="190"/>
      <c r="B472" s="324"/>
      <c r="C472" s="324"/>
      <c r="D472" s="366"/>
      <c r="E472" s="366"/>
      <c r="F472" s="639"/>
      <c r="G472" s="324"/>
      <c r="H472" s="324"/>
      <c r="I472" s="335"/>
      <c r="J472" s="366"/>
      <c r="K472" s="641"/>
      <c r="L472" s="641"/>
      <c r="M472" s="641"/>
      <c r="N472" s="641"/>
      <c r="O472" s="366"/>
      <c r="P472" s="366"/>
      <c r="Q472" s="366"/>
      <c r="R472" s="611"/>
      <c r="S472" s="614"/>
      <c r="T472" s="588"/>
      <c r="U472" s="188"/>
      <c r="V472" s="366"/>
      <c r="W472" s="366"/>
      <c r="X472" s="366"/>
      <c r="Y472" s="366"/>
      <c r="Z472" s="366"/>
      <c r="AA472" s="366"/>
      <c r="AB472" s="366"/>
      <c r="AC472" s="366"/>
      <c r="AD472" s="366"/>
      <c r="AE472" s="366"/>
      <c r="AF472" s="366"/>
      <c r="AG472" s="366"/>
      <c r="AH472" s="366"/>
      <c r="AI472" s="366"/>
      <c r="AJ472" s="366"/>
      <c r="AK472" s="619"/>
      <c r="AL472" s="617"/>
    </row>
    <row r="473" spans="1:38" ht="15.75">
      <c r="A473" s="190"/>
      <c r="B473" s="324"/>
      <c r="C473" s="324"/>
      <c r="D473" s="366"/>
      <c r="E473" s="366"/>
      <c r="F473" s="639"/>
      <c r="G473" s="324"/>
      <c r="H473" s="324"/>
      <c r="I473" s="335"/>
      <c r="J473" s="366"/>
      <c r="K473" s="641"/>
      <c r="L473" s="641"/>
      <c r="M473" s="641"/>
      <c r="N473" s="641"/>
      <c r="O473" s="366"/>
      <c r="P473" s="366"/>
      <c r="Q473" s="366"/>
      <c r="R473" s="611"/>
      <c r="S473" s="614"/>
      <c r="T473" s="588"/>
      <c r="U473" s="188"/>
      <c r="V473" s="366"/>
      <c r="W473" s="366"/>
      <c r="X473" s="366"/>
      <c r="Y473" s="366"/>
      <c r="Z473" s="366"/>
      <c r="AA473" s="366"/>
      <c r="AB473" s="366"/>
      <c r="AC473" s="366"/>
      <c r="AD473" s="366"/>
      <c r="AE473" s="366"/>
      <c r="AF473" s="366"/>
      <c r="AG473" s="366"/>
      <c r="AH473" s="366"/>
      <c r="AI473" s="366"/>
      <c r="AJ473" s="366"/>
      <c r="AK473" s="619"/>
      <c r="AL473" s="617"/>
    </row>
    <row r="474" spans="1:38" ht="15.75">
      <c r="A474" s="190"/>
      <c r="B474" s="324"/>
      <c r="C474" s="324"/>
      <c r="D474" s="366"/>
      <c r="E474" s="366"/>
      <c r="F474" s="639"/>
      <c r="G474" s="324"/>
      <c r="H474" s="324"/>
      <c r="I474" s="335"/>
      <c r="J474" s="366"/>
      <c r="K474" s="641"/>
      <c r="L474" s="641"/>
      <c r="M474" s="641"/>
      <c r="N474" s="641"/>
      <c r="O474" s="366"/>
      <c r="P474" s="366"/>
      <c r="Q474" s="366"/>
      <c r="R474" s="611"/>
      <c r="S474" s="614"/>
      <c r="T474" s="588"/>
      <c r="U474" s="188"/>
      <c r="V474" s="366"/>
      <c r="W474" s="366"/>
      <c r="X474" s="366"/>
      <c r="Y474" s="366"/>
      <c r="Z474" s="366"/>
      <c r="AA474" s="366"/>
      <c r="AB474" s="366"/>
      <c r="AC474" s="366"/>
      <c r="AD474" s="366"/>
      <c r="AE474" s="366"/>
      <c r="AF474" s="366"/>
      <c r="AG474" s="366"/>
      <c r="AH474" s="366"/>
      <c r="AI474" s="366"/>
      <c r="AJ474" s="366"/>
      <c r="AK474" s="619"/>
      <c r="AL474" s="617"/>
    </row>
    <row r="475" spans="1:38" ht="15.75">
      <c r="A475" s="190"/>
      <c r="B475" s="324"/>
      <c r="C475" s="324"/>
      <c r="D475" s="366"/>
      <c r="E475" s="366"/>
      <c r="F475" s="639"/>
      <c r="G475" s="324"/>
      <c r="H475" s="324"/>
      <c r="I475" s="335"/>
      <c r="J475" s="366"/>
      <c r="K475" s="641"/>
      <c r="L475" s="641"/>
      <c r="M475" s="641"/>
      <c r="N475" s="641"/>
      <c r="O475" s="366"/>
      <c r="P475" s="366"/>
      <c r="Q475" s="366"/>
      <c r="R475" s="611"/>
      <c r="S475" s="614"/>
      <c r="T475" s="588"/>
      <c r="U475" s="188"/>
      <c r="V475" s="366"/>
      <c r="W475" s="366"/>
      <c r="X475" s="366"/>
      <c r="Y475" s="366"/>
      <c r="Z475" s="366"/>
      <c r="AA475" s="366"/>
      <c r="AB475" s="366"/>
      <c r="AC475" s="366"/>
      <c r="AD475" s="366"/>
      <c r="AE475" s="366"/>
      <c r="AF475" s="366"/>
      <c r="AG475" s="366"/>
      <c r="AH475" s="366"/>
      <c r="AI475" s="366"/>
      <c r="AJ475" s="366"/>
      <c r="AK475" s="619"/>
      <c r="AL475" s="617"/>
    </row>
    <row r="476" spans="1:38" ht="15.75">
      <c r="A476" s="190"/>
      <c r="B476" s="324"/>
      <c r="C476" s="324"/>
      <c r="D476" s="366"/>
      <c r="E476" s="366"/>
      <c r="F476" s="639"/>
      <c r="G476" s="324"/>
      <c r="H476" s="324"/>
      <c r="I476" s="335"/>
      <c r="J476" s="366"/>
      <c r="K476" s="641"/>
      <c r="L476" s="641"/>
      <c r="M476" s="641"/>
      <c r="N476" s="641"/>
      <c r="O476" s="366"/>
      <c r="P476" s="366"/>
      <c r="Q476" s="366"/>
      <c r="R476" s="611"/>
      <c r="S476" s="614"/>
      <c r="T476" s="588"/>
      <c r="U476" s="188"/>
      <c r="V476" s="366"/>
      <c r="W476" s="366"/>
      <c r="X476" s="366"/>
      <c r="Y476" s="366"/>
      <c r="Z476" s="366"/>
      <c r="AA476" s="366"/>
      <c r="AB476" s="366"/>
      <c r="AC476" s="366"/>
      <c r="AD476" s="366"/>
      <c r="AE476" s="366"/>
      <c r="AF476" s="366"/>
      <c r="AG476" s="366"/>
      <c r="AH476" s="366"/>
      <c r="AI476" s="366"/>
      <c r="AJ476" s="366"/>
      <c r="AK476" s="619"/>
      <c r="AL476" s="617"/>
    </row>
    <row r="477" spans="1:38" ht="15.75">
      <c r="A477" s="190"/>
      <c r="B477" s="324"/>
      <c r="C477" s="324"/>
      <c r="D477" s="366"/>
      <c r="E477" s="366"/>
      <c r="F477" s="639"/>
      <c r="G477" s="324"/>
      <c r="H477" s="324"/>
      <c r="I477" s="335"/>
      <c r="J477" s="366"/>
      <c r="K477" s="641"/>
      <c r="L477" s="641"/>
      <c r="M477" s="641"/>
      <c r="N477" s="641"/>
      <c r="O477" s="366"/>
      <c r="P477" s="366"/>
      <c r="Q477" s="366"/>
      <c r="R477" s="611"/>
      <c r="S477" s="614"/>
      <c r="T477" s="588"/>
      <c r="U477" s="188"/>
      <c r="V477" s="366"/>
      <c r="W477" s="366"/>
      <c r="X477" s="366"/>
      <c r="Y477" s="366"/>
      <c r="Z477" s="366"/>
      <c r="AA477" s="366"/>
      <c r="AB477" s="366"/>
      <c r="AC477" s="366"/>
      <c r="AD477" s="366"/>
      <c r="AE477" s="366"/>
      <c r="AF477" s="366"/>
      <c r="AG477" s="366"/>
      <c r="AH477" s="366"/>
      <c r="AI477" s="366"/>
      <c r="AJ477" s="366"/>
      <c r="AK477" s="619"/>
      <c r="AL477" s="617"/>
    </row>
    <row r="478" spans="1:38" ht="15.75">
      <c r="A478" s="190"/>
      <c r="B478" s="324"/>
      <c r="C478" s="324"/>
      <c r="D478" s="366"/>
      <c r="E478" s="366"/>
      <c r="F478" s="639"/>
      <c r="G478" s="324"/>
      <c r="H478" s="324"/>
      <c r="I478" s="335"/>
      <c r="J478" s="366"/>
      <c r="K478" s="641"/>
      <c r="L478" s="641"/>
      <c r="M478" s="641"/>
      <c r="N478" s="641"/>
      <c r="O478" s="366"/>
      <c r="P478" s="366"/>
      <c r="Q478" s="366"/>
      <c r="R478" s="611"/>
      <c r="S478" s="614"/>
      <c r="T478" s="588"/>
      <c r="U478" s="188"/>
      <c r="V478" s="366"/>
      <c r="W478" s="366"/>
      <c r="X478" s="366"/>
      <c r="Y478" s="366"/>
      <c r="Z478" s="366"/>
      <c r="AA478" s="366"/>
      <c r="AB478" s="366"/>
      <c r="AC478" s="366"/>
      <c r="AD478" s="366"/>
      <c r="AE478" s="366"/>
      <c r="AF478" s="366"/>
      <c r="AG478" s="366"/>
      <c r="AH478" s="366"/>
      <c r="AI478" s="366"/>
      <c r="AJ478" s="366"/>
      <c r="AK478" s="619"/>
      <c r="AL478" s="617"/>
    </row>
    <row r="479" spans="1:38" ht="15.75">
      <c r="A479" s="190"/>
      <c r="B479" s="324"/>
      <c r="C479" s="324"/>
      <c r="D479" s="366"/>
      <c r="E479" s="366"/>
      <c r="F479" s="639"/>
      <c r="G479" s="324"/>
      <c r="H479" s="324"/>
      <c r="I479" s="335"/>
      <c r="J479" s="366"/>
      <c r="K479" s="641"/>
      <c r="L479" s="641"/>
      <c r="M479" s="641"/>
      <c r="N479" s="641"/>
      <c r="O479" s="366"/>
      <c r="P479" s="366"/>
      <c r="Q479" s="366"/>
      <c r="R479" s="611"/>
      <c r="S479" s="614"/>
      <c r="T479" s="588"/>
      <c r="U479" s="188"/>
      <c r="V479" s="366"/>
      <c r="W479" s="366"/>
      <c r="X479" s="366"/>
      <c r="Y479" s="366"/>
      <c r="Z479" s="366"/>
      <c r="AA479" s="366"/>
      <c r="AB479" s="366"/>
      <c r="AC479" s="366"/>
      <c r="AD479" s="366"/>
      <c r="AE479" s="366"/>
      <c r="AF479" s="366"/>
      <c r="AG479" s="366"/>
      <c r="AH479" s="366"/>
      <c r="AI479" s="366"/>
      <c r="AJ479" s="366"/>
      <c r="AK479" s="619"/>
      <c r="AL479" s="617"/>
    </row>
    <row r="480" spans="1:38" ht="15.75">
      <c r="A480" s="190"/>
      <c r="B480" s="324"/>
      <c r="C480" s="324"/>
      <c r="D480" s="366"/>
      <c r="E480" s="366"/>
      <c r="F480" s="639"/>
      <c r="G480" s="324"/>
      <c r="H480" s="324"/>
      <c r="I480" s="335"/>
      <c r="J480" s="366"/>
      <c r="K480" s="641"/>
      <c r="L480" s="641"/>
      <c r="M480" s="641"/>
      <c r="N480" s="641"/>
      <c r="O480" s="366"/>
      <c r="P480" s="366"/>
      <c r="Q480" s="366"/>
      <c r="R480" s="611"/>
      <c r="S480" s="614"/>
      <c r="T480" s="588"/>
      <c r="U480" s="188"/>
      <c r="V480" s="366"/>
      <c r="W480" s="366"/>
      <c r="X480" s="366"/>
      <c r="Y480" s="366"/>
      <c r="Z480" s="366"/>
      <c r="AA480" s="366"/>
      <c r="AB480" s="366"/>
      <c r="AC480" s="366"/>
      <c r="AD480" s="366"/>
      <c r="AE480" s="366"/>
      <c r="AF480" s="366"/>
      <c r="AG480" s="366"/>
      <c r="AH480" s="366"/>
      <c r="AI480" s="366"/>
      <c r="AJ480" s="366"/>
      <c r="AK480" s="619"/>
      <c r="AL480" s="617"/>
    </row>
    <row r="481" spans="1:38" ht="15.75">
      <c r="A481" s="190"/>
      <c r="B481" s="324"/>
      <c r="C481" s="324"/>
      <c r="D481" s="366"/>
      <c r="E481" s="366"/>
      <c r="F481" s="639"/>
      <c r="G481" s="324"/>
      <c r="H481" s="324"/>
      <c r="I481" s="335"/>
      <c r="J481" s="366"/>
      <c r="K481" s="641"/>
      <c r="L481" s="641"/>
      <c r="M481" s="641"/>
      <c r="N481" s="641"/>
      <c r="O481" s="366"/>
      <c r="P481" s="366"/>
      <c r="Q481" s="366"/>
      <c r="R481" s="611"/>
      <c r="S481" s="614"/>
      <c r="T481" s="588"/>
      <c r="U481" s="188"/>
      <c r="V481" s="366"/>
      <c r="W481" s="366"/>
      <c r="X481" s="366"/>
      <c r="Y481" s="366"/>
      <c r="Z481" s="366"/>
      <c r="AA481" s="366"/>
      <c r="AB481" s="366"/>
      <c r="AC481" s="366"/>
      <c r="AD481" s="366"/>
      <c r="AE481" s="366"/>
      <c r="AF481" s="366"/>
      <c r="AG481" s="366"/>
      <c r="AH481" s="366"/>
      <c r="AI481" s="366"/>
      <c r="AJ481" s="366"/>
      <c r="AK481" s="619"/>
      <c r="AL481" s="617"/>
    </row>
    <row r="482" spans="1:38" ht="15.75">
      <c r="A482" s="190"/>
      <c r="B482" s="324"/>
      <c r="C482" s="324"/>
      <c r="D482" s="366"/>
      <c r="E482" s="366"/>
      <c r="F482" s="639"/>
      <c r="G482" s="324"/>
      <c r="H482" s="324"/>
      <c r="I482" s="335"/>
      <c r="J482" s="366"/>
      <c r="K482" s="641"/>
      <c r="L482" s="641"/>
      <c r="M482" s="641"/>
      <c r="N482" s="641"/>
      <c r="O482" s="366"/>
      <c r="P482" s="366"/>
      <c r="Q482" s="366"/>
      <c r="R482" s="611"/>
      <c r="S482" s="614"/>
      <c r="T482" s="588"/>
      <c r="U482" s="188"/>
      <c r="V482" s="366"/>
      <c r="W482" s="366"/>
      <c r="X482" s="366"/>
      <c r="Y482" s="366"/>
      <c r="Z482" s="366"/>
      <c r="AA482" s="366"/>
      <c r="AB482" s="366"/>
      <c r="AC482" s="366"/>
      <c r="AD482" s="366"/>
      <c r="AE482" s="366"/>
      <c r="AF482" s="366"/>
      <c r="AG482" s="366"/>
      <c r="AH482" s="366"/>
      <c r="AI482" s="366"/>
      <c r="AJ482" s="366"/>
      <c r="AK482" s="619"/>
      <c r="AL482" s="617"/>
    </row>
    <row r="483" spans="1:38" ht="15.75">
      <c r="A483" s="190"/>
      <c r="B483" s="324"/>
      <c r="C483" s="324"/>
      <c r="D483" s="366"/>
      <c r="E483" s="366"/>
      <c r="F483" s="639"/>
      <c r="G483" s="324"/>
      <c r="H483" s="324"/>
      <c r="I483" s="335"/>
      <c r="J483" s="366"/>
      <c r="K483" s="641"/>
      <c r="L483" s="641"/>
      <c r="M483" s="641"/>
      <c r="N483" s="641"/>
      <c r="O483" s="366"/>
      <c r="P483" s="366"/>
      <c r="Q483" s="366"/>
      <c r="R483" s="611"/>
      <c r="S483" s="614"/>
      <c r="T483" s="588"/>
      <c r="U483" s="188"/>
      <c r="V483" s="366"/>
      <c r="W483" s="366"/>
      <c r="X483" s="366"/>
      <c r="Y483" s="366"/>
      <c r="Z483" s="366"/>
      <c r="AA483" s="366"/>
      <c r="AB483" s="366"/>
      <c r="AC483" s="366"/>
      <c r="AD483" s="366"/>
      <c r="AE483" s="366"/>
      <c r="AF483" s="366"/>
      <c r="AG483" s="366"/>
      <c r="AH483" s="366"/>
      <c r="AI483" s="366"/>
      <c r="AJ483" s="366"/>
      <c r="AK483" s="619"/>
      <c r="AL483" s="617"/>
    </row>
    <row r="484" spans="1:38" ht="15.75">
      <c r="A484" s="190"/>
      <c r="B484" s="324"/>
      <c r="C484" s="324"/>
      <c r="D484" s="366"/>
      <c r="E484" s="366"/>
      <c r="F484" s="639"/>
      <c r="G484" s="324"/>
      <c r="H484" s="324"/>
      <c r="I484" s="335"/>
      <c r="J484" s="366"/>
      <c r="K484" s="641"/>
      <c r="L484" s="641"/>
      <c r="M484" s="641"/>
      <c r="N484" s="641"/>
      <c r="O484" s="366"/>
      <c r="P484" s="366"/>
      <c r="Q484" s="366"/>
      <c r="R484" s="611"/>
      <c r="S484" s="614"/>
      <c r="T484" s="588"/>
      <c r="U484" s="188"/>
      <c r="V484" s="366"/>
      <c r="W484" s="366"/>
      <c r="X484" s="366"/>
      <c r="Y484" s="366"/>
      <c r="Z484" s="366"/>
      <c r="AA484" s="366"/>
      <c r="AB484" s="366"/>
      <c r="AC484" s="366"/>
      <c r="AD484" s="366"/>
      <c r="AE484" s="366"/>
      <c r="AF484" s="366"/>
      <c r="AG484" s="366"/>
      <c r="AH484" s="366"/>
      <c r="AI484" s="366"/>
      <c r="AJ484" s="366"/>
      <c r="AK484" s="619"/>
      <c r="AL484" s="617"/>
    </row>
    <row r="485" spans="1:38" ht="15.75">
      <c r="A485" s="190"/>
      <c r="B485" s="324"/>
      <c r="C485" s="324"/>
      <c r="D485" s="366"/>
      <c r="E485" s="366"/>
      <c r="F485" s="639"/>
      <c r="G485" s="324"/>
      <c r="H485" s="324"/>
      <c r="I485" s="335"/>
      <c r="J485" s="366"/>
      <c r="K485" s="641"/>
      <c r="L485" s="641"/>
      <c r="M485" s="641"/>
      <c r="N485" s="641"/>
      <c r="O485" s="366"/>
      <c r="P485" s="366"/>
      <c r="Q485" s="366"/>
      <c r="R485" s="611"/>
      <c r="S485" s="614"/>
      <c r="T485" s="588"/>
      <c r="U485" s="188"/>
      <c r="V485" s="366"/>
      <c r="W485" s="366"/>
      <c r="X485" s="366"/>
      <c r="Y485" s="366"/>
      <c r="Z485" s="366"/>
      <c r="AA485" s="366"/>
      <c r="AB485" s="366"/>
      <c r="AC485" s="366"/>
      <c r="AD485" s="366"/>
      <c r="AE485" s="366"/>
      <c r="AF485" s="366"/>
      <c r="AG485" s="366"/>
      <c r="AH485" s="366"/>
      <c r="AI485" s="366"/>
      <c r="AJ485" s="366"/>
      <c r="AK485" s="619"/>
      <c r="AL485" s="617"/>
    </row>
    <row r="486" spans="1:38" ht="15.75">
      <c r="A486" s="190"/>
      <c r="B486" s="324"/>
      <c r="C486" s="324"/>
      <c r="D486" s="366"/>
      <c r="E486" s="366"/>
      <c r="F486" s="639"/>
      <c r="G486" s="324"/>
      <c r="H486" s="324"/>
      <c r="I486" s="335"/>
      <c r="J486" s="366"/>
      <c r="K486" s="641"/>
      <c r="L486" s="641"/>
      <c r="M486" s="641"/>
      <c r="N486" s="641"/>
      <c r="O486" s="366"/>
      <c r="P486" s="366"/>
      <c r="Q486" s="366"/>
      <c r="R486" s="611"/>
      <c r="S486" s="614"/>
      <c r="T486" s="588"/>
      <c r="U486" s="188"/>
      <c r="V486" s="366"/>
      <c r="W486" s="366"/>
      <c r="X486" s="366"/>
      <c r="Y486" s="366"/>
      <c r="Z486" s="366"/>
      <c r="AA486" s="366"/>
      <c r="AB486" s="366"/>
      <c r="AC486" s="366"/>
      <c r="AD486" s="366"/>
      <c r="AE486" s="366"/>
      <c r="AF486" s="366"/>
      <c r="AG486" s="366"/>
      <c r="AH486" s="366"/>
      <c r="AI486" s="366"/>
      <c r="AJ486" s="366"/>
      <c r="AK486" s="619"/>
      <c r="AL486" s="617"/>
    </row>
    <row r="487" spans="1:38" ht="15.75">
      <c r="A487" s="190"/>
      <c r="B487" s="324"/>
      <c r="C487" s="324"/>
      <c r="D487" s="366"/>
      <c r="E487" s="366"/>
      <c r="F487" s="639"/>
      <c r="G487" s="324"/>
      <c r="H487" s="324"/>
      <c r="I487" s="335"/>
      <c r="J487" s="366"/>
      <c r="K487" s="641"/>
      <c r="L487" s="641"/>
      <c r="M487" s="641"/>
      <c r="N487" s="641"/>
      <c r="O487" s="366"/>
      <c r="P487" s="366"/>
      <c r="Q487" s="366"/>
      <c r="R487" s="611"/>
      <c r="S487" s="614"/>
      <c r="T487" s="588"/>
      <c r="U487" s="188"/>
      <c r="V487" s="366"/>
      <c r="W487" s="366"/>
      <c r="X487" s="366"/>
      <c r="Y487" s="366"/>
      <c r="Z487" s="366"/>
      <c r="AA487" s="366"/>
      <c r="AB487" s="366"/>
      <c r="AC487" s="366"/>
      <c r="AD487" s="366"/>
      <c r="AE487" s="366"/>
      <c r="AF487" s="366"/>
      <c r="AG487" s="366"/>
      <c r="AH487" s="366"/>
      <c r="AI487" s="366"/>
      <c r="AJ487" s="366"/>
      <c r="AK487" s="619"/>
      <c r="AL487" s="617"/>
    </row>
    <row r="488" spans="1:38" ht="15.75">
      <c r="A488" s="190"/>
      <c r="B488" s="324"/>
      <c r="C488" s="324"/>
      <c r="D488" s="366"/>
      <c r="E488" s="366"/>
      <c r="F488" s="639"/>
      <c r="G488" s="324"/>
      <c r="H488" s="324"/>
      <c r="I488" s="335"/>
      <c r="J488" s="366"/>
      <c r="K488" s="641"/>
      <c r="L488" s="641"/>
      <c r="M488" s="641"/>
      <c r="N488" s="641"/>
      <c r="O488" s="366"/>
      <c r="P488" s="366"/>
      <c r="Q488" s="366"/>
      <c r="R488" s="611"/>
      <c r="S488" s="614"/>
      <c r="T488" s="588"/>
      <c r="U488" s="188"/>
      <c r="V488" s="366"/>
      <c r="W488" s="366"/>
      <c r="X488" s="366"/>
      <c r="Y488" s="366"/>
      <c r="Z488" s="366"/>
      <c r="AA488" s="366"/>
      <c r="AB488" s="366"/>
      <c r="AC488" s="366"/>
      <c r="AD488" s="366"/>
      <c r="AE488" s="366"/>
      <c r="AF488" s="366"/>
      <c r="AG488" s="366"/>
      <c r="AH488" s="366"/>
      <c r="AI488" s="366"/>
      <c r="AJ488" s="366"/>
      <c r="AK488" s="619"/>
      <c r="AL488" s="617"/>
    </row>
    <row r="489" spans="1:38" ht="15.75">
      <c r="A489" s="190"/>
      <c r="B489" s="324"/>
      <c r="C489" s="324"/>
      <c r="D489" s="366"/>
      <c r="E489" s="366"/>
      <c r="F489" s="639"/>
      <c r="G489" s="324"/>
      <c r="H489" s="324"/>
      <c r="I489" s="335"/>
      <c r="J489" s="366"/>
      <c r="K489" s="641"/>
      <c r="L489" s="641"/>
      <c r="M489" s="641"/>
      <c r="N489" s="641"/>
      <c r="O489" s="366"/>
      <c r="P489" s="366"/>
      <c r="Q489" s="366"/>
      <c r="R489" s="611"/>
      <c r="S489" s="614"/>
      <c r="T489" s="588"/>
      <c r="U489" s="188"/>
      <c r="V489" s="366"/>
      <c r="W489" s="366"/>
      <c r="X489" s="366"/>
      <c r="Y489" s="366"/>
      <c r="Z489" s="366"/>
      <c r="AA489" s="366"/>
      <c r="AB489" s="366"/>
      <c r="AC489" s="366"/>
      <c r="AD489" s="366"/>
      <c r="AE489" s="366"/>
      <c r="AF489" s="366"/>
      <c r="AG489" s="366"/>
      <c r="AH489" s="366"/>
      <c r="AI489" s="366"/>
      <c r="AJ489" s="366"/>
      <c r="AK489" s="619"/>
      <c r="AL489" s="617"/>
    </row>
    <row r="490" spans="1:38" ht="15.75">
      <c r="A490" s="190"/>
      <c r="B490" s="324"/>
      <c r="C490" s="324"/>
      <c r="D490" s="366"/>
      <c r="E490" s="366"/>
      <c r="F490" s="639"/>
      <c r="G490" s="324"/>
      <c r="H490" s="324"/>
      <c r="I490" s="335"/>
      <c r="J490" s="366"/>
      <c r="K490" s="641"/>
      <c r="L490" s="641"/>
      <c r="M490" s="641"/>
      <c r="N490" s="641"/>
      <c r="O490" s="366"/>
      <c r="P490" s="366"/>
      <c r="Q490" s="366"/>
      <c r="R490" s="611"/>
      <c r="S490" s="614"/>
      <c r="T490" s="588"/>
      <c r="U490" s="188"/>
      <c r="V490" s="366"/>
      <c r="W490" s="366"/>
      <c r="X490" s="366"/>
      <c r="Y490" s="366"/>
      <c r="Z490" s="366"/>
      <c r="AA490" s="366"/>
      <c r="AB490" s="366"/>
      <c r="AC490" s="366"/>
      <c r="AD490" s="366"/>
      <c r="AE490" s="366"/>
      <c r="AF490" s="366"/>
      <c r="AG490" s="366"/>
      <c r="AH490" s="366"/>
      <c r="AI490" s="366"/>
      <c r="AJ490" s="366"/>
      <c r="AK490" s="619"/>
      <c r="AL490" s="617"/>
    </row>
    <row r="491" spans="1:38" ht="15.75">
      <c r="A491" s="190"/>
      <c r="B491" s="324"/>
      <c r="C491" s="324"/>
      <c r="D491" s="366"/>
      <c r="E491" s="366"/>
      <c r="F491" s="639"/>
      <c r="G491" s="324"/>
      <c r="H491" s="324"/>
      <c r="I491" s="335"/>
      <c r="J491" s="366"/>
      <c r="K491" s="641"/>
      <c r="L491" s="641"/>
      <c r="M491" s="641"/>
      <c r="N491" s="641"/>
      <c r="O491" s="366"/>
      <c r="P491" s="366"/>
      <c r="Q491" s="366"/>
      <c r="R491" s="611"/>
      <c r="S491" s="614"/>
      <c r="T491" s="588"/>
      <c r="U491" s="188"/>
      <c r="V491" s="366"/>
      <c r="W491" s="366"/>
      <c r="X491" s="366"/>
      <c r="Y491" s="366"/>
      <c r="Z491" s="366"/>
      <c r="AA491" s="366"/>
      <c r="AB491" s="366"/>
      <c r="AC491" s="366"/>
      <c r="AD491" s="366"/>
      <c r="AE491" s="366"/>
      <c r="AF491" s="366"/>
      <c r="AG491" s="366"/>
      <c r="AH491" s="366"/>
      <c r="AI491" s="366"/>
      <c r="AJ491" s="366"/>
      <c r="AK491" s="619"/>
      <c r="AL491" s="617"/>
    </row>
    <row r="492" spans="1:38" ht="15.75">
      <c r="A492" s="190"/>
      <c r="B492" s="324"/>
      <c r="C492" s="324"/>
      <c r="D492" s="366"/>
      <c r="E492" s="366"/>
      <c r="F492" s="639"/>
      <c r="G492" s="324"/>
      <c r="H492" s="324"/>
      <c r="I492" s="335"/>
      <c r="J492" s="366"/>
      <c r="K492" s="641"/>
      <c r="L492" s="641"/>
      <c r="M492" s="641"/>
      <c r="N492" s="641"/>
      <c r="O492" s="366"/>
      <c r="P492" s="366"/>
      <c r="Q492" s="366"/>
      <c r="R492" s="611"/>
      <c r="S492" s="614"/>
      <c r="T492" s="588"/>
      <c r="U492" s="188"/>
      <c r="V492" s="366"/>
      <c r="W492" s="366"/>
      <c r="X492" s="366"/>
      <c r="Y492" s="366"/>
      <c r="Z492" s="366"/>
      <c r="AA492" s="366"/>
      <c r="AB492" s="366"/>
      <c r="AC492" s="366"/>
      <c r="AD492" s="366"/>
      <c r="AE492" s="366"/>
      <c r="AF492" s="366"/>
      <c r="AG492" s="366"/>
      <c r="AH492" s="366"/>
      <c r="AI492" s="366"/>
      <c r="AJ492" s="366"/>
      <c r="AK492" s="619"/>
      <c r="AL492" s="617"/>
    </row>
    <row r="493" spans="1:38" ht="15.75">
      <c r="A493" s="190"/>
      <c r="B493" s="324"/>
      <c r="C493" s="324"/>
      <c r="D493" s="366"/>
      <c r="E493" s="366"/>
      <c r="F493" s="639"/>
      <c r="G493" s="324"/>
      <c r="H493" s="324"/>
      <c r="I493" s="335"/>
      <c r="J493" s="366"/>
      <c r="K493" s="641"/>
      <c r="L493" s="641"/>
      <c r="M493" s="641"/>
      <c r="N493" s="641"/>
      <c r="O493" s="366"/>
      <c r="P493" s="366"/>
      <c r="Q493" s="366"/>
      <c r="R493" s="611"/>
      <c r="S493" s="614"/>
      <c r="T493" s="588"/>
      <c r="U493" s="188"/>
      <c r="V493" s="366"/>
      <c r="W493" s="366"/>
      <c r="X493" s="366"/>
      <c r="Y493" s="366"/>
      <c r="Z493" s="366"/>
      <c r="AA493" s="366"/>
      <c r="AB493" s="366"/>
      <c r="AC493" s="366"/>
      <c r="AD493" s="366"/>
      <c r="AE493" s="366"/>
      <c r="AF493" s="366"/>
      <c r="AG493" s="366"/>
      <c r="AH493" s="366"/>
      <c r="AI493" s="366"/>
      <c r="AJ493" s="366"/>
      <c r="AK493" s="619"/>
      <c r="AL493" s="617"/>
    </row>
    <row r="494" spans="1:38" ht="15.75">
      <c r="A494" s="190"/>
      <c r="B494" s="324"/>
      <c r="C494" s="324"/>
      <c r="D494" s="366"/>
      <c r="E494" s="366"/>
      <c r="F494" s="639"/>
      <c r="G494" s="324"/>
      <c r="H494" s="324"/>
      <c r="I494" s="335"/>
      <c r="J494" s="366"/>
      <c r="K494" s="641"/>
      <c r="L494" s="641"/>
      <c r="M494" s="641"/>
      <c r="N494" s="641"/>
      <c r="O494" s="366"/>
      <c r="P494" s="366"/>
      <c r="Q494" s="366"/>
      <c r="R494" s="611"/>
      <c r="S494" s="614"/>
      <c r="T494" s="588"/>
      <c r="U494" s="188"/>
      <c r="V494" s="366"/>
      <c r="W494" s="366"/>
      <c r="X494" s="366"/>
      <c r="Y494" s="366"/>
      <c r="Z494" s="366"/>
      <c r="AA494" s="366"/>
      <c r="AB494" s="366"/>
      <c r="AC494" s="366"/>
      <c r="AD494" s="366"/>
      <c r="AE494" s="366"/>
      <c r="AF494" s="366"/>
      <c r="AG494" s="366"/>
      <c r="AH494" s="366"/>
      <c r="AI494" s="366"/>
      <c r="AJ494" s="366"/>
      <c r="AK494" s="619"/>
      <c r="AL494" s="617"/>
    </row>
    <row r="495" spans="1:38" ht="15.75">
      <c r="A495" s="190"/>
      <c r="B495" s="324"/>
      <c r="C495" s="324"/>
      <c r="D495" s="366"/>
      <c r="E495" s="366"/>
      <c r="F495" s="639"/>
      <c r="G495" s="324"/>
      <c r="H495" s="324"/>
      <c r="I495" s="335"/>
      <c r="J495" s="366"/>
      <c r="K495" s="641"/>
      <c r="L495" s="641"/>
      <c r="M495" s="641"/>
      <c r="N495" s="641"/>
      <c r="O495" s="366"/>
      <c r="P495" s="366"/>
      <c r="Q495" s="366"/>
      <c r="R495" s="611"/>
      <c r="S495" s="614"/>
      <c r="T495" s="588"/>
      <c r="U495" s="188"/>
      <c r="V495" s="366"/>
      <c r="W495" s="366"/>
      <c r="X495" s="366"/>
      <c r="Y495" s="366"/>
      <c r="Z495" s="366"/>
      <c r="AA495" s="366"/>
      <c r="AB495" s="366"/>
      <c r="AC495" s="366"/>
      <c r="AD495" s="366"/>
      <c r="AE495" s="366"/>
      <c r="AF495" s="366"/>
      <c r="AG495" s="366"/>
      <c r="AH495" s="366"/>
      <c r="AI495" s="366"/>
      <c r="AJ495" s="366"/>
      <c r="AK495" s="619"/>
      <c r="AL495" s="617"/>
    </row>
    <row r="496" spans="1:38" ht="15.75">
      <c r="A496" s="190"/>
      <c r="B496" s="324"/>
      <c r="C496" s="324"/>
      <c r="D496" s="366"/>
      <c r="E496" s="366"/>
      <c r="F496" s="639"/>
      <c r="G496" s="324"/>
      <c r="H496" s="324"/>
      <c r="I496" s="335"/>
      <c r="J496" s="366"/>
      <c r="K496" s="641"/>
      <c r="L496" s="641"/>
      <c r="M496" s="641"/>
      <c r="N496" s="641"/>
      <c r="O496" s="366"/>
      <c r="P496" s="366"/>
      <c r="Q496" s="366"/>
      <c r="R496" s="611"/>
      <c r="S496" s="614"/>
      <c r="T496" s="588"/>
      <c r="U496" s="188"/>
      <c r="V496" s="366"/>
      <c r="W496" s="366"/>
      <c r="X496" s="366"/>
      <c r="Y496" s="366"/>
      <c r="Z496" s="366"/>
      <c r="AA496" s="366"/>
      <c r="AB496" s="366"/>
      <c r="AC496" s="366"/>
      <c r="AD496" s="366"/>
      <c r="AE496" s="366"/>
      <c r="AF496" s="366"/>
      <c r="AG496" s="366"/>
      <c r="AH496" s="366"/>
      <c r="AI496" s="366"/>
      <c r="AJ496" s="366"/>
      <c r="AK496" s="619"/>
      <c r="AL496" s="617"/>
    </row>
    <row r="497" spans="1:38" ht="15.75">
      <c r="A497" s="190"/>
      <c r="B497" s="324"/>
      <c r="C497" s="324"/>
      <c r="D497" s="366"/>
      <c r="E497" s="366"/>
      <c r="F497" s="639"/>
      <c r="G497" s="324"/>
      <c r="H497" s="324"/>
      <c r="I497" s="335"/>
      <c r="J497" s="366"/>
      <c r="K497" s="641"/>
      <c r="L497" s="641"/>
      <c r="M497" s="641"/>
      <c r="N497" s="641"/>
      <c r="O497" s="366"/>
      <c r="P497" s="366"/>
      <c r="Q497" s="366"/>
      <c r="R497" s="611"/>
      <c r="S497" s="614"/>
      <c r="T497" s="588"/>
      <c r="U497" s="188"/>
      <c r="V497" s="366"/>
      <c r="W497" s="366"/>
      <c r="X497" s="366"/>
      <c r="Y497" s="366"/>
      <c r="Z497" s="366"/>
      <c r="AA497" s="366"/>
      <c r="AB497" s="366"/>
      <c r="AC497" s="366"/>
      <c r="AD497" s="366"/>
      <c r="AE497" s="366"/>
      <c r="AF497" s="366"/>
      <c r="AG497" s="366"/>
      <c r="AH497" s="366"/>
      <c r="AI497" s="366"/>
      <c r="AJ497" s="366"/>
      <c r="AK497" s="619"/>
      <c r="AL497" s="617"/>
    </row>
    <row r="498" spans="1:38" ht="15.75">
      <c r="A498" s="190"/>
      <c r="B498" s="324"/>
      <c r="C498" s="324"/>
      <c r="D498" s="366"/>
      <c r="E498" s="366"/>
      <c r="F498" s="639"/>
      <c r="G498" s="324"/>
      <c r="H498" s="324"/>
      <c r="I498" s="335"/>
      <c r="J498" s="366"/>
      <c r="K498" s="641"/>
      <c r="L498" s="641"/>
      <c r="M498" s="641"/>
      <c r="N498" s="641"/>
      <c r="O498" s="366"/>
      <c r="P498" s="366"/>
      <c r="Q498" s="366"/>
      <c r="R498" s="611"/>
      <c r="S498" s="614"/>
      <c r="T498" s="588"/>
      <c r="U498" s="188"/>
      <c r="V498" s="366"/>
      <c r="W498" s="366"/>
      <c r="X498" s="366"/>
      <c r="Y498" s="366"/>
      <c r="Z498" s="366"/>
      <c r="AA498" s="366"/>
      <c r="AB498" s="366"/>
      <c r="AC498" s="366"/>
      <c r="AD498" s="366"/>
      <c r="AE498" s="366"/>
      <c r="AF498" s="366"/>
      <c r="AG498" s="366"/>
      <c r="AH498" s="366"/>
      <c r="AI498" s="366"/>
      <c r="AJ498" s="366"/>
      <c r="AK498" s="619"/>
      <c r="AL498" s="617"/>
    </row>
    <row r="499" spans="1:38" ht="15.75">
      <c r="A499" s="190"/>
      <c r="B499" s="324"/>
      <c r="C499" s="324"/>
      <c r="D499" s="366"/>
      <c r="E499" s="366"/>
      <c r="F499" s="639"/>
      <c r="G499" s="324"/>
      <c r="H499" s="324"/>
      <c r="I499" s="335"/>
      <c r="J499" s="366"/>
      <c r="K499" s="641"/>
      <c r="L499" s="641"/>
      <c r="M499" s="641"/>
      <c r="N499" s="641"/>
      <c r="O499" s="366"/>
      <c r="P499" s="366"/>
      <c r="Q499" s="366"/>
      <c r="R499" s="611"/>
      <c r="S499" s="614"/>
      <c r="T499" s="588"/>
      <c r="U499" s="188"/>
      <c r="V499" s="366"/>
      <c r="W499" s="366"/>
      <c r="X499" s="366"/>
      <c r="Y499" s="366"/>
      <c r="Z499" s="366"/>
      <c r="AA499" s="366"/>
      <c r="AB499" s="366"/>
      <c r="AC499" s="366"/>
      <c r="AD499" s="366"/>
      <c r="AE499" s="366"/>
      <c r="AF499" s="366"/>
      <c r="AG499" s="366"/>
      <c r="AH499" s="366"/>
      <c r="AI499" s="366"/>
      <c r="AJ499" s="366"/>
      <c r="AK499" s="619"/>
      <c r="AL499" s="617"/>
    </row>
    <row r="500" spans="1:38" ht="15.75">
      <c r="A500" s="190"/>
      <c r="B500" s="324"/>
      <c r="C500" s="324"/>
      <c r="D500" s="366"/>
      <c r="E500" s="366"/>
      <c r="F500" s="639"/>
      <c r="G500" s="324"/>
      <c r="H500" s="324"/>
      <c r="I500" s="335"/>
      <c r="J500" s="366"/>
      <c r="K500" s="641"/>
      <c r="L500" s="641"/>
      <c r="M500" s="641"/>
      <c r="N500" s="641"/>
      <c r="O500" s="366"/>
      <c r="P500" s="366"/>
      <c r="Q500" s="366"/>
      <c r="R500" s="611"/>
      <c r="S500" s="614"/>
      <c r="T500" s="588"/>
      <c r="U500" s="188"/>
      <c r="V500" s="366"/>
      <c r="W500" s="366"/>
      <c r="X500" s="366"/>
      <c r="Y500" s="366"/>
      <c r="Z500" s="366"/>
      <c r="AA500" s="366"/>
      <c r="AB500" s="366"/>
      <c r="AC500" s="366"/>
      <c r="AD500" s="366"/>
      <c r="AE500" s="366"/>
      <c r="AF500" s="366"/>
      <c r="AG500" s="366"/>
      <c r="AH500" s="366"/>
      <c r="AI500" s="366"/>
      <c r="AJ500" s="366"/>
      <c r="AK500" s="619"/>
      <c r="AL500" s="617"/>
    </row>
    <row r="501" spans="1:38" ht="15.75">
      <c r="A501" s="190"/>
      <c r="B501" s="324"/>
      <c r="C501" s="324"/>
      <c r="D501" s="366"/>
      <c r="E501" s="366"/>
      <c r="F501" s="639"/>
      <c r="G501" s="324"/>
      <c r="H501" s="324"/>
      <c r="I501" s="335"/>
      <c r="J501" s="366"/>
      <c r="K501" s="641"/>
      <c r="L501" s="641"/>
      <c r="M501" s="641"/>
      <c r="N501" s="641"/>
      <c r="O501" s="366"/>
      <c r="P501" s="366"/>
      <c r="Q501" s="366"/>
      <c r="R501" s="611"/>
      <c r="S501" s="614"/>
      <c r="T501" s="588"/>
      <c r="U501" s="188"/>
      <c r="V501" s="366"/>
      <c r="W501" s="366"/>
      <c r="X501" s="366"/>
      <c r="Y501" s="366"/>
      <c r="Z501" s="366"/>
      <c r="AA501" s="366"/>
      <c r="AB501" s="366"/>
      <c r="AC501" s="366"/>
      <c r="AD501" s="366"/>
      <c r="AE501" s="366"/>
      <c r="AF501" s="366"/>
      <c r="AG501" s="366"/>
      <c r="AH501" s="366"/>
      <c r="AI501" s="366"/>
      <c r="AJ501" s="366"/>
      <c r="AK501" s="619"/>
      <c r="AL501" s="617"/>
    </row>
    <row r="502" spans="1:38" ht="15.75">
      <c r="A502" s="190"/>
      <c r="B502" s="324"/>
      <c r="C502" s="324"/>
      <c r="D502" s="366"/>
      <c r="E502" s="366"/>
      <c r="F502" s="639"/>
      <c r="G502" s="324"/>
      <c r="H502" s="324"/>
      <c r="I502" s="335"/>
      <c r="J502" s="366"/>
      <c r="K502" s="641"/>
      <c r="L502" s="641"/>
      <c r="M502" s="641"/>
      <c r="N502" s="641"/>
      <c r="O502" s="366"/>
      <c r="P502" s="366"/>
      <c r="Q502" s="366"/>
      <c r="R502" s="611"/>
      <c r="S502" s="614"/>
      <c r="T502" s="588"/>
      <c r="U502" s="188"/>
      <c r="V502" s="366"/>
      <c r="W502" s="366"/>
      <c r="X502" s="366"/>
      <c r="Y502" s="366"/>
      <c r="Z502" s="366"/>
      <c r="AA502" s="366"/>
      <c r="AB502" s="366"/>
      <c r="AC502" s="366"/>
      <c r="AD502" s="366"/>
      <c r="AE502" s="366"/>
      <c r="AF502" s="366"/>
      <c r="AG502" s="366"/>
      <c r="AH502" s="366"/>
      <c r="AI502" s="366"/>
      <c r="AJ502" s="366"/>
      <c r="AK502" s="619"/>
      <c r="AL502" s="617"/>
    </row>
    <row r="503" spans="1:38" ht="15.75">
      <c r="A503" s="190"/>
      <c r="B503" s="324"/>
      <c r="C503" s="324"/>
      <c r="D503" s="366"/>
      <c r="E503" s="366"/>
      <c r="F503" s="639"/>
      <c r="G503" s="324"/>
      <c r="H503" s="324"/>
      <c r="I503" s="335"/>
      <c r="J503" s="366"/>
      <c r="K503" s="641"/>
      <c r="L503" s="641"/>
      <c r="M503" s="641"/>
      <c r="N503" s="641"/>
      <c r="O503" s="366"/>
      <c r="P503" s="366"/>
      <c r="Q503" s="366"/>
      <c r="R503" s="611"/>
      <c r="S503" s="614"/>
      <c r="T503" s="588"/>
      <c r="U503" s="188"/>
      <c r="V503" s="366"/>
      <c r="W503" s="366"/>
      <c r="X503" s="366"/>
      <c r="Y503" s="366"/>
      <c r="Z503" s="366"/>
      <c r="AA503" s="366"/>
      <c r="AB503" s="366"/>
      <c r="AC503" s="366"/>
      <c r="AD503" s="366"/>
      <c r="AE503" s="366"/>
      <c r="AF503" s="366"/>
      <c r="AG503" s="366"/>
      <c r="AH503" s="366"/>
      <c r="AI503" s="366"/>
      <c r="AJ503" s="366"/>
      <c r="AK503" s="619"/>
      <c r="AL503" s="617"/>
    </row>
    <row r="504" spans="1:38" ht="15.75">
      <c r="A504" s="190"/>
      <c r="B504" s="324"/>
      <c r="C504" s="324"/>
      <c r="D504" s="366"/>
      <c r="E504" s="366"/>
      <c r="F504" s="639"/>
      <c r="G504" s="324"/>
      <c r="H504" s="324"/>
      <c r="I504" s="335"/>
      <c r="J504" s="366"/>
      <c r="K504" s="641"/>
      <c r="L504" s="641"/>
      <c r="M504" s="641"/>
      <c r="N504" s="641"/>
      <c r="O504" s="366"/>
      <c r="P504" s="366"/>
      <c r="Q504" s="366"/>
      <c r="R504" s="611"/>
      <c r="S504" s="614"/>
      <c r="T504" s="588"/>
      <c r="U504" s="188"/>
      <c r="V504" s="366"/>
      <c r="W504" s="366"/>
      <c r="X504" s="366"/>
      <c r="Y504" s="366"/>
      <c r="Z504" s="366"/>
      <c r="AA504" s="366"/>
      <c r="AB504" s="366"/>
      <c r="AC504" s="366"/>
      <c r="AD504" s="366"/>
      <c r="AE504" s="366"/>
      <c r="AF504" s="366"/>
      <c r="AG504" s="366"/>
      <c r="AH504" s="366"/>
      <c r="AI504" s="366"/>
      <c r="AJ504" s="366"/>
      <c r="AK504" s="619"/>
      <c r="AL504" s="617"/>
    </row>
    <row r="505" spans="1:38" ht="15.75">
      <c r="A505" s="190"/>
      <c r="B505" s="324"/>
      <c r="C505" s="324"/>
      <c r="D505" s="366"/>
      <c r="E505" s="366"/>
      <c r="F505" s="639"/>
      <c r="G505" s="324"/>
      <c r="H505" s="324"/>
      <c r="I505" s="335"/>
      <c r="J505" s="366"/>
      <c r="K505" s="641"/>
      <c r="L505" s="641"/>
      <c r="M505" s="641"/>
      <c r="N505" s="641"/>
      <c r="O505" s="366"/>
      <c r="P505" s="366"/>
      <c r="Q505" s="366"/>
      <c r="R505" s="611"/>
      <c r="S505" s="614"/>
      <c r="T505" s="588"/>
      <c r="U505" s="188"/>
      <c r="V505" s="366"/>
      <c r="W505" s="366"/>
      <c r="X505" s="366"/>
      <c r="Y505" s="366"/>
      <c r="Z505" s="366"/>
      <c r="AA505" s="366"/>
      <c r="AB505" s="366"/>
      <c r="AC505" s="366"/>
      <c r="AD505" s="366"/>
      <c r="AE505" s="366"/>
      <c r="AF505" s="366"/>
      <c r="AG505" s="366"/>
      <c r="AH505" s="366"/>
      <c r="AI505" s="366"/>
      <c r="AJ505" s="366"/>
      <c r="AK505" s="619"/>
      <c r="AL505" s="617"/>
    </row>
    <row r="506" spans="1:38" ht="15.75">
      <c r="A506" s="190"/>
      <c r="B506" s="324"/>
      <c r="C506" s="324"/>
      <c r="D506" s="366"/>
      <c r="E506" s="366"/>
      <c r="F506" s="639"/>
      <c r="G506" s="324"/>
      <c r="H506" s="324"/>
      <c r="I506" s="335"/>
      <c r="J506" s="366"/>
      <c r="K506" s="641"/>
      <c r="L506" s="641"/>
      <c r="M506" s="641"/>
      <c r="N506" s="641"/>
      <c r="O506" s="366"/>
      <c r="P506" s="366"/>
      <c r="Q506" s="366"/>
      <c r="R506" s="611"/>
      <c r="S506" s="614"/>
      <c r="T506" s="588"/>
      <c r="U506" s="188"/>
      <c r="V506" s="366"/>
      <c r="W506" s="366"/>
      <c r="X506" s="366"/>
      <c r="Y506" s="366"/>
      <c r="Z506" s="366"/>
      <c r="AA506" s="366"/>
      <c r="AB506" s="366"/>
      <c r="AC506" s="366"/>
      <c r="AD506" s="366"/>
      <c r="AE506" s="366"/>
      <c r="AF506" s="366"/>
      <c r="AG506" s="366"/>
      <c r="AH506" s="366"/>
      <c r="AI506" s="366"/>
      <c r="AJ506" s="366"/>
      <c r="AK506" s="619"/>
      <c r="AL506" s="617"/>
    </row>
    <row r="507" spans="1:38" ht="15.75">
      <c r="A507" s="190"/>
      <c r="B507" s="324"/>
      <c r="C507" s="324"/>
      <c r="D507" s="366"/>
      <c r="E507" s="366"/>
      <c r="F507" s="639"/>
      <c r="G507" s="324"/>
      <c r="H507" s="324"/>
      <c r="I507" s="335"/>
      <c r="J507" s="366"/>
      <c r="K507" s="641"/>
      <c r="L507" s="641"/>
      <c r="M507" s="641"/>
      <c r="N507" s="641"/>
      <c r="O507" s="366"/>
      <c r="P507" s="366"/>
      <c r="Q507" s="366"/>
      <c r="R507" s="611"/>
      <c r="S507" s="614"/>
      <c r="T507" s="588"/>
      <c r="U507" s="188"/>
      <c r="V507" s="366"/>
      <c r="W507" s="366"/>
      <c r="X507" s="366"/>
      <c r="Y507" s="366"/>
      <c r="Z507" s="366"/>
      <c r="AA507" s="366"/>
      <c r="AB507" s="366"/>
      <c r="AC507" s="366"/>
      <c r="AD507" s="366"/>
      <c r="AE507" s="366"/>
      <c r="AF507" s="366"/>
      <c r="AG507" s="366"/>
      <c r="AH507" s="366"/>
      <c r="AI507" s="366"/>
      <c r="AJ507" s="366"/>
      <c r="AK507" s="619"/>
      <c r="AL507" s="617"/>
    </row>
    <row r="508" spans="1:38" ht="15.75">
      <c r="A508" s="190"/>
      <c r="B508" s="324"/>
      <c r="C508" s="324"/>
      <c r="D508" s="366"/>
      <c r="E508" s="366"/>
      <c r="F508" s="639"/>
      <c r="G508" s="324"/>
      <c r="H508" s="324"/>
      <c r="I508" s="335"/>
      <c r="J508" s="366"/>
      <c r="K508" s="641"/>
      <c r="L508" s="641"/>
      <c r="M508" s="641"/>
      <c r="N508" s="641"/>
      <c r="O508" s="366"/>
      <c r="P508" s="366"/>
      <c r="Q508" s="366"/>
      <c r="R508" s="611"/>
      <c r="S508" s="614"/>
      <c r="T508" s="588"/>
      <c r="U508" s="188"/>
      <c r="V508" s="366"/>
      <c r="W508" s="366"/>
      <c r="X508" s="366"/>
      <c r="Y508" s="366"/>
      <c r="Z508" s="366"/>
      <c r="AA508" s="366"/>
      <c r="AB508" s="366"/>
      <c r="AC508" s="366"/>
      <c r="AD508" s="366"/>
      <c r="AE508" s="366"/>
      <c r="AF508" s="366"/>
      <c r="AG508" s="366"/>
      <c r="AH508" s="366"/>
      <c r="AI508" s="366"/>
      <c r="AJ508" s="366"/>
      <c r="AK508" s="619"/>
      <c r="AL508" s="617"/>
    </row>
    <row r="509" spans="1:38" ht="15.75">
      <c r="A509" s="190"/>
      <c r="B509" s="324"/>
      <c r="C509" s="324"/>
      <c r="D509" s="366"/>
      <c r="E509" s="366"/>
      <c r="F509" s="639"/>
      <c r="G509" s="324"/>
      <c r="H509" s="324"/>
      <c r="I509" s="335"/>
      <c r="J509" s="366"/>
      <c r="K509" s="641"/>
      <c r="L509" s="641"/>
      <c r="M509" s="641"/>
      <c r="N509" s="641"/>
      <c r="O509" s="366"/>
      <c r="P509" s="366"/>
      <c r="Q509" s="366"/>
      <c r="R509" s="611"/>
      <c r="S509" s="614"/>
      <c r="T509" s="588"/>
      <c r="U509" s="188"/>
      <c r="V509" s="366"/>
      <c r="W509" s="366"/>
      <c r="X509" s="366"/>
      <c r="Y509" s="366"/>
      <c r="Z509" s="366"/>
      <c r="AA509" s="366"/>
      <c r="AB509" s="366"/>
      <c r="AC509" s="366"/>
      <c r="AD509" s="366"/>
      <c r="AE509" s="366"/>
      <c r="AF509" s="366"/>
      <c r="AG509" s="366"/>
      <c r="AH509" s="366"/>
      <c r="AI509" s="366"/>
      <c r="AJ509" s="366"/>
      <c r="AK509" s="619"/>
      <c r="AL509" s="617"/>
    </row>
    <row r="510" spans="1:38" ht="15.75">
      <c r="A510" s="190"/>
      <c r="B510" s="324"/>
      <c r="C510" s="324"/>
      <c r="D510" s="366"/>
      <c r="E510" s="366"/>
      <c r="F510" s="639"/>
      <c r="G510" s="324"/>
      <c r="H510" s="324"/>
      <c r="I510" s="335"/>
      <c r="J510" s="366"/>
      <c r="K510" s="641"/>
      <c r="L510" s="641"/>
      <c r="M510" s="641"/>
      <c r="N510" s="641"/>
      <c r="O510" s="366"/>
      <c r="P510" s="366"/>
      <c r="Q510" s="366"/>
      <c r="R510" s="611"/>
      <c r="S510" s="614"/>
      <c r="T510" s="588"/>
      <c r="U510" s="188"/>
      <c r="V510" s="366"/>
      <c r="W510" s="366"/>
      <c r="X510" s="366"/>
      <c r="Y510" s="366"/>
      <c r="Z510" s="366"/>
      <c r="AA510" s="366"/>
      <c r="AB510" s="366"/>
      <c r="AC510" s="366"/>
      <c r="AD510" s="366"/>
      <c r="AE510" s="366"/>
      <c r="AF510" s="366"/>
      <c r="AG510" s="366"/>
      <c r="AH510" s="366"/>
      <c r="AI510" s="366"/>
      <c r="AJ510" s="366"/>
      <c r="AK510" s="619"/>
      <c r="AL510" s="617"/>
    </row>
    <row r="511" spans="1:38" ht="15.75">
      <c r="A511" s="190"/>
      <c r="B511" s="324"/>
      <c r="C511" s="324"/>
      <c r="D511" s="366"/>
      <c r="E511" s="366"/>
      <c r="F511" s="639"/>
      <c r="G511" s="324"/>
      <c r="H511" s="324"/>
      <c r="I511" s="335"/>
      <c r="J511" s="366"/>
      <c r="K511" s="641"/>
      <c r="L511" s="641"/>
      <c r="M511" s="641"/>
      <c r="N511" s="641"/>
      <c r="O511" s="366"/>
      <c r="P511" s="366"/>
      <c r="Q511" s="366"/>
      <c r="R511" s="611"/>
      <c r="S511" s="614"/>
      <c r="T511" s="588"/>
      <c r="U511" s="188"/>
      <c r="V511" s="366"/>
      <c r="W511" s="366"/>
      <c r="X511" s="366"/>
      <c r="Y511" s="366"/>
      <c r="Z511" s="366"/>
      <c r="AA511" s="366"/>
      <c r="AB511" s="366"/>
      <c r="AC511" s="366"/>
      <c r="AD511" s="366"/>
      <c r="AE511" s="366"/>
      <c r="AF511" s="366"/>
      <c r="AG511" s="366"/>
      <c r="AH511" s="366"/>
      <c r="AI511" s="366"/>
      <c r="AJ511" s="366"/>
      <c r="AK511" s="619"/>
      <c r="AL511" s="617"/>
    </row>
    <row r="512" spans="1:38" ht="15.75">
      <c r="A512" s="190"/>
      <c r="B512" s="324"/>
      <c r="C512" s="324"/>
      <c r="D512" s="366"/>
      <c r="E512" s="366"/>
      <c r="F512" s="639"/>
      <c r="G512" s="324"/>
      <c r="H512" s="324"/>
      <c r="I512" s="335"/>
      <c r="J512" s="366"/>
      <c r="K512" s="641"/>
      <c r="L512" s="641"/>
      <c r="M512" s="641"/>
      <c r="N512" s="641"/>
      <c r="O512" s="366"/>
      <c r="P512" s="366"/>
      <c r="Q512" s="366"/>
      <c r="R512" s="611"/>
      <c r="S512" s="614"/>
      <c r="T512" s="588"/>
      <c r="U512" s="188"/>
      <c r="V512" s="366"/>
      <c r="W512" s="366"/>
      <c r="X512" s="366"/>
      <c r="Y512" s="366"/>
      <c r="Z512" s="366"/>
      <c r="AA512" s="366"/>
      <c r="AB512" s="366"/>
      <c r="AC512" s="366"/>
      <c r="AD512" s="366"/>
      <c r="AE512" s="366"/>
      <c r="AF512" s="366"/>
      <c r="AG512" s="366"/>
      <c r="AH512" s="366"/>
      <c r="AI512" s="366"/>
      <c r="AJ512" s="366"/>
      <c r="AK512" s="619"/>
      <c r="AL512" s="617"/>
    </row>
    <row r="513" spans="1:38" ht="15.75">
      <c r="A513" s="190"/>
      <c r="B513" s="324"/>
      <c r="C513" s="324"/>
      <c r="D513" s="366"/>
      <c r="E513" s="366"/>
      <c r="F513" s="639"/>
      <c r="G513" s="324"/>
      <c r="H513" s="324"/>
      <c r="I513" s="335"/>
      <c r="J513" s="366"/>
      <c r="K513" s="641"/>
      <c r="L513" s="641"/>
      <c r="M513" s="641"/>
      <c r="N513" s="641"/>
      <c r="O513" s="366"/>
      <c r="P513" s="366"/>
      <c r="Q513" s="366"/>
      <c r="R513" s="611"/>
      <c r="S513" s="614"/>
      <c r="T513" s="588"/>
      <c r="U513" s="188"/>
      <c r="V513" s="366"/>
      <c r="W513" s="366"/>
      <c r="X513" s="366"/>
      <c r="Y513" s="366"/>
      <c r="Z513" s="366"/>
      <c r="AA513" s="366"/>
      <c r="AB513" s="366"/>
      <c r="AC513" s="366"/>
      <c r="AD513" s="366"/>
      <c r="AE513" s="366"/>
      <c r="AF513" s="366"/>
      <c r="AG513" s="366"/>
      <c r="AH513" s="366"/>
      <c r="AI513" s="366"/>
      <c r="AJ513" s="366"/>
      <c r="AK513" s="619"/>
      <c r="AL513" s="617"/>
    </row>
    <row r="514" spans="1:38" ht="15.75">
      <c r="A514" s="190"/>
      <c r="B514" s="324"/>
      <c r="C514" s="324"/>
      <c r="D514" s="366"/>
      <c r="E514" s="366"/>
      <c r="F514" s="639"/>
      <c r="G514" s="324"/>
      <c r="H514" s="324"/>
      <c r="I514" s="335"/>
      <c r="J514" s="366"/>
      <c r="K514" s="641"/>
      <c r="L514" s="641"/>
      <c r="M514" s="641"/>
      <c r="N514" s="641"/>
      <c r="O514" s="366"/>
      <c r="P514" s="366"/>
      <c r="Q514" s="366"/>
      <c r="R514" s="611"/>
      <c r="S514" s="614"/>
      <c r="T514" s="588"/>
      <c r="U514" s="188"/>
      <c r="V514" s="366"/>
      <c r="W514" s="366"/>
      <c r="X514" s="366"/>
      <c r="Y514" s="366"/>
      <c r="Z514" s="366"/>
      <c r="AA514" s="366"/>
      <c r="AB514" s="366"/>
      <c r="AC514" s="366"/>
      <c r="AD514" s="366"/>
      <c r="AE514" s="366"/>
      <c r="AF514" s="366"/>
      <c r="AG514" s="366"/>
      <c r="AH514" s="366"/>
      <c r="AI514" s="366"/>
      <c r="AJ514" s="366"/>
      <c r="AK514" s="619"/>
      <c r="AL514" s="617"/>
    </row>
    <row r="515" spans="1:38" ht="15.75">
      <c r="A515" s="190"/>
      <c r="B515" s="324"/>
      <c r="C515" s="324"/>
      <c r="D515" s="366"/>
      <c r="E515" s="366"/>
      <c r="F515" s="639"/>
      <c r="G515" s="324"/>
      <c r="H515" s="324"/>
      <c r="I515" s="335"/>
      <c r="J515" s="366"/>
      <c r="K515" s="641"/>
      <c r="L515" s="641"/>
      <c r="M515" s="641"/>
      <c r="N515" s="641"/>
      <c r="O515" s="366"/>
      <c r="P515" s="366"/>
      <c r="Q515" s="366"/>
      <c r="R515" s="611"/>
      <c r="S515" s="614"/>
      <c r="T515" s="588"/>
      <c r="U515" s="188"/>
      <c r="V515" s="366"/>
      <c r="W515" s="366"/>
      <c r="X515" s="366"/>
      <c r="Y515" s="366"/>
      <c r="Z515" s="366"/>
      <c r="AA515" s="366"/>
      <c r="AB515" s="366"/>
      <c r="AC515" s="366"/>
      <c r="AD515" s="366"/>
      <c r="AE515" s="366"/>
      <c r="AF515" s="366"/>
      <c r="AG515" s="366"/>
      <c r="AH515" s="366"/>
      <c r="AI515" s="366"/>
      <c r="AJ515" s="366"/>
      <c r="AK515" s="619"/>
      <c r="AL515" s="617"/>
    </row>
    <row r="516" spans="1:38" ht="15.75">
      <c r="A516" s="190"/>
      <c r="B516" s="324"/>
      <c r="C516" s="324"/>
      <c r="D516" s="366"/>
      <c r="E516" s="366"/>
      <c r="F516" s="639"/>
      <c r="G516" s="324"/>
      <c r="H516" s="324"/>
      <c r="I516" s="335"/>
      <c r="J516" s="366"/>
      <c r="K516" s="641"/>
      <c r="L516" s="641"/>
      <c r="M516" s="641"/>
      <c r="N516" s="641"/>
      <c r="O516" s="366"/>
      <c r="P516" s="366"/>
      <c r="Q516" s="366"/>
      <c r="R516" s="611"/>
      <c r="S516" s="614"/>
      <c r="T516" s="588"/>
      <c r="U516" s="188"/>
      <c r="V516" s="366"/>
      <c r="W516" s="366"/>
      <c r="X516" s="366"/>
      <c r="Y516" s="366"/>
      <c r="Z516" s="366"/>
      <c r="AA516" s="366"/>
      <c r="AB516" s="366"/>
      <c r="AC516" s="366"/>
      <c r="AD516" s="366"/>
      <c r="AE516" s="366"/>
      <c r="AF516" s="366"/>
      <c r="AG516" s="366"/>
      <c r="AH516" s="366"/>
      <c r="AI516" s="366"/>
      <c r="AJ516" s="366"/>
      <c r="AK516" s="619"/>
      <c r="AL516" s="617"/>
    </row>
    <row r="517" spans="1:38" ht="15.75">
      <c r="A517" s="190"/>
      <c r="B517" s="324"/>
      <c r="C517" s="324"/>
      <c r="D517" s="366"/>
      <c r="E517" s="366"/>
      <c r="F517" s="639"/>
      <c r="G517" s="324"/>
      <c r="H517" s="324"/>
      <c r="I517" s="335"/>
      <c r="J517" s="366"/>
      <c r="K517" s="641"/>
      <c r="L517" s="641"/>
      <c r="M517" s="641"/>
      <c r="N517" s="641"/>
      <c r="O517" s="366"/>
      <c r="P517" s="366"/>
      <c r="Q517" s="366"/>
      <c r="R517" s="611"/>
      <c r="S517" s="614"/>
      <c r="T517" s="588"/>
      <c r="U517" s="188"/>
      <c r="V517" s="366"/>
      <c r="W517" s="366"/>
      <c r="X517" s="366"/>
      <c r="Y517" s="366"/>
      <c r="Z517" s="366"/>
      <c r="AA517" s="366"/>
      <c r="AB517" s="366"/>
      <c r="AC517" s="366"/>
      <c r="AD517" s="366"/>
      <c r="AE517" s="366"/>
      <c r="AF517" s="366"/>
      <c r="AG517" s="366"/>
      <c r="AH517" s="366"/>
      <c r="AI517" s="366"/>
      <c r="AJ517" s="366"/>
      <c r="AK517" s="619"/>
      <c r="AL517" s="617"/>
    </row>
    <row r="518" spans="1:38" ht="15.75">
      <c r="A518" s="190"/>
      <c r="B518" s="324"/>
      <c r="C518" s="324"/>
      <c r="D518" s="366"/>
      <c r="E518" s="366"/>
      <c r="F518" s="639"/>
      <c r="G518" s="324"/>
      <c r="H518" s="324"/>
      <c r="I518" s="335"/>
      <c r="J518" s="366"/>
      <c r="K518" s="641"/>
      <c r="L518" s="641"/>
      <c r="M518" s="641"/>
      <c r="N518" s="641"/>
      <c r="O518" s="366"/>
      <c r="P518" s="366"/>
      <c r="Q518" s="366"/>
      <c r="R518" s="611"/>
      <c r="S518" s="614"/>
      <c r="T518" s="588"/>
      <c r="U518" s="188"/>
      <c r="V518" s="366"/>
      <c r="W518" s="366"/>
      <c r="X518" s="366"/>
      <c r="Y518" s="366"/>
      <c r="Z518" s="366"/>
      <c r="AA518" s="366"/>
      <c r="AB518" s="366"/>
      <c r="AC518" s="366"/>
      <c r="AD518" s="366"/>
      <c r="AE518" s="366"/>
      <c r="AF518" s="366"/>
      <c r="AG518" s="366"/>
      <c r="AH518" s="366"/>
      <c r="AI518" s="366"/>
      <c r="AJ518" s="366"/>
      <c r="AK518" s="619"/>
      <c r="AL518" s="617"/>
    </row>
    <row r="519" spans="1:38" ht="15.75">
      <c r="A519" s="190"/>
      <c r="B519" s="324"/>
      <c r="C519" s="324"/>
      <c r="D519" s="366"/>
      <c r="E519" s="366"/>
      <c r="F519" s="639"/>
      <c r="G519" s="324"/>
      <c r="H519" s="324"/>
      <c r="I519" s="335"/>
      <c r="J519" s="366"/>
      <c r="K519" s="641"/>
      <c r="L519" s="641"/>
      <c r="M519" s="641"/>
      <c r="N519" s="641"/>
      <c r="O519" s="366"/>
      <c r="P519" s="366"/>
      <c r="Q519" s="366"/>
      <c r="R519" s="611"/>
      <c r="S519" s="614"/>
      <c r="T519" s="588"/>
      <c r="U519" s="188"/>
      <c r="V519" s="366"/>
      <c r="W519" s="366"/>
      <c r="X519" s="366"/>
      <c r="Y519" s="366"/>
      <c r="Z519" s="366"/>
      <c r="AA519" s="366"/>
      <c r="AB519" s="366"/>
      <c r="AC519" s="366"/>
      <c r="AD519" s="366"/>
      <c r="AE519" s="366"/>
      <c r="AF519" s="366"/>
      <c r="AG519" s="366"/>
      <c r="AH519" s="366"/>
      <c r="AI519" s="366"/>
      <c r="AJ519" s="366"/>
      <c r="AK519" s="619"/>
      <c r="AL519" s="617"/>
    </row>
    <row r="520" spans="1:38" ht="15.75">
      <c r="A520" s="190"/>
      <c r="B520" s="324"/>
      <c r="C520" s="324"/>
      <c r="D520" s="366"/>
      <c r="E520" s="366"/>
      <c r="F520" s="639"/>
      <c r="G520" s="324"/>
      <c r="H520" s="324"/>
      <c r="I520" s="335"/>
      <c r="J520" s="366"/>
      <c r="K520" s="641"/>
      <c r="L520" s="641"/>
      <c r="M520" s="641"/>
      <c r="N520" s="641"/>
      <c r="O520" s="366"/>
      <c r="P520" s="366"/>
      <c r="Q520" s="366"/>
      <c r="R520" s="611"/>
      <c r="S520" s="614"/>
      <c r="T520" s="588"/>
      <c r="U520" s="188"/>
      <c r="V520" s="366"/>
      <c r="W520" s="366"/>
      <c r="X520" s="366"/>
      <c r="Y520" s="366"/>
      <c r="Z520" s="366"/>
      <c r="AA520" s="366"/>
      <c r="AB520" s="366"/>
      <c r="AC520" s="366"/>
      <c r="AD520" s="366"/>
      <c r="AE520" s="366"/>
      <c r="AF520" s="366"/>
      <c r="AG520" s="366"/>
      <c r="AH520" s="366"/>
      <c r="AI520" s="366"/>
      <c r="AJ520" s="366"/>
      <c r="AK520" s="619"/>
      <c r="AL520" s="617"/>
    </row>
    <row r="521" spans="1:38" ht="15.75">
      <c r="A521" s="190"/>
      <c r="B521" s="324"/>
      <c r="C521" s="324"/>
      <c r="D521" s="366"/>
      <c r="E521" s="366"/>
      <c r="F521" s="639"/>
      <c r="G521" s="324"/>
      <c r="H521" s="324"/>
      <c r="I521" s="335"/>
      <c r="J521" s="366"/>
      <c r="K521" s="641"/>
      <c r="L521" s="641"/>
      <c r="M521" s="641"/>
      <c r="N521" s="641"/>
      <c r="O521" s="366"/>
      <c r="P521" s="366"/>
      <c r="Q521" s="366"/>
      <c r="R521" s="611"/>
      <c r="S521" s="614"/>
      <c r="T521" s="588"/>
      <c r="U521" s="188"/>
      <c r="V521" s="366"/>
      <c r="W521" s="366"/>
      <c r="X521" s="366"/>
      <c r="Y521" s="366"/>
      <c r="Z521" s="366"/>
      <c r="AA521" s="366"/>
      <c r="AB521" s="366"/>
      <c r="AC521" s="366"/>
      <c r="AD521" s="366"/>
      <c r="AE521" s="366"/>
      <c r="AF521" s="366"/>
      <c r="AG521" s="366"/>
      <c r="AH521" s="366"/>
      <c r="AI521" s="366"/>
      <c r="AJ521" s="366"/>
      <c r="AK521" s="619"/>
      <c r="AL521" s="617"/>
    </row>
    <row r="522" spans="1:38" ht="15.75">
      <c r="A522" s="190"/>
      <c r="B522" s="324"/>
      <c r="C522" s="324"/>
      <c r="D522" s="366"/>
      <c r="E522" s="366"/>
      <c r="F522" s="639"/>
      <c r="G522" s="324"/>
      <c r="H522" s="324"/>
      <c r="I522" s="335"/>
      <c r="J522" s="366"/>
      <c r="K522" s="641"/>
      <c r="L522" s="641"/>
      <c r="M522" s="641"/>
      <c r="N522" s="641"/>
      <c r="O522" s="366"/>
      <c r="P522" s="366"/>
      <c r="Q522" s="366"/>
      <c r="R522" s="611"/>
      <c r="S522" s="614"/>
      <c r="T522" s="588"/>
      <c r="U522" s="188"/>
      <c r="V522" s="366"/>
      <c r="W522" s="366"/>
      <c r="X522" s="366"/>
      <c r="Y522" s="366"/>
      <c r="Z522" s="366"/>
      <c r="AA522" s="366"/>
      <c r="AB522" s="366"/>
      <c r="AC522" s="366"/>
      <c r="AD522" s="366"/>
      <c r="AE522" s="366"/>
      <c r="AF522" s="366"/>
      <c r="AG522" s="366"/>
      <c r="AH522" s="366"/>
      <c r="AI522" s="366"/>
      <c r="AJ522" s="366"/>
      <c r="AK522" s="619"/>
      <c r="AL522" s="617"/>
    </row>
    <row r="523" spans="1:38" ht="15.75">
      <c r="A523" s="190"/>
      <c r="B523" s="324"/>
      <c r="C523" s="324"/>
      <c r="D523" s="366"/>
      <c r="E523" s="366"/>
      <c r="F523" s="639"/>
      <c r="G523" s="324"/>
      <c r="H523" s="324"/>
      <c r="I523" s="335"/>
      <c r="J523" s="366"/>
      <c r="K523" s="641"/>
      <c r="L523" s="641"/>
      <c r="M523" s="641"/>
      <c r="N523" s="641"/>
      <c r="O523" s="366"/>
      <c r="P523" s="366"/>
      <c r="Q523" s="366"/>
      <c r="R523" s="611"/>
      <c r="S523" s="614"/>
      <c r="T523" s="588"/>
      <c r="U523" s="188"/>
      <c r="V523" s="366"/>
      <c r="W523" s="366"/>
      <c r="X523" s="366"/>
      <c r="Y523" s="366"/>
      <c r="Z523" s="366"/>
      <c r="AA523" s="366"/>
      <c r="AB523" s="366"/>
      <c r="AC523" s="366"/>
      <c r="AD523" s="366"/>
      <c r="AE523" s="366"/>
      <c r="AF523" s="366"/>
      <c r="AG523" s="366"/>
      <c r="AH523" s="366"/>
      <c r="AI523" s="366"/>
      <c r="AJ523" s="366"/>
      <c r="AK523" s="619"/>
      <c r="AL523" s="617"/>
    </row>
    <row r="524" spans="1:38" ht="15.75">
      <c r="A524" s="190"/>
      <c r="B524" s="324"/>
      <c r="C524" s="324"/>
      <c r="D524" s="366"/>
      <c r="E524" s="366"/>
      <c r="F524" s="639"/>
      <c r="G524" s="324"/>
      <c r="H524" s="324"/>
      <c r="I524" s="335"/>
      <c r="J524" s="366"/>
      <c r="K524" s="641"/>
      <c r="L524" s="641"/>
      <c r="M524" s="641"/>
      <c r="N524" s="641"/>
      <c r="O524" s="366"/>
      <c r="P524" s="366"/>
      <c r="Q524" s="366"/>
      <c r="R524" s="611"/>
      <c r="S524" s="614"/>
      <c r="T524" s="588"/>
      <c r="U524" s="188"/>
      <c r="V524" s="366"/>
      <c r="W524" s="366"/>
      <c r="X524" s="366"/>
      <c r="Y524" s="366"/>
      <c r="Z524" s="366"/>
      <c r="AA524" s="366"/>
      <c r="AB524" s="366"/>
      <c r="AC524" s="366"/>
      <c r="AD524" s="366"/>
      <c r="AE524" s="366"/>
      <c r="AF524" s="366"/>
      <c r="AG524" s="366"/>
      <c r="AH524" s="366"/>
      <c r="AI524" s="366"/>
      <c r="AJ524" s="366"/>
      <c r="AK524" s="619"/>
      <c r="AL524" s="617"/>
    </row>
    <row r="525" spans="1:38" ht="15.75">
      <c r="A525" s="190"/>
      <c r="B525" s="324"/>
      <c r="C525" s="324"/>
      <c r="D525" s="366"/>
      <c r="E525" s="366"/>
      <c r="F525" s="639"/>
      <c r="G525" s="324"/>
      <c r="H525" s="324"/>
      <c r="I525" s="335"/>
      <c r="J525" s="366"/>
      <c r="K525" s="641"/>
      <c r="L525" s="641"/>
      <c r="M525" s="641"/>
      <c r="N525" s="641"/>
      <c r="O525" s="366"/>
      <c r="P525" s="366"/>
      <c r="Q525" s="366"/>
      <c r="R525" s="611"/>
      <c r="S525" s="614"/>
      <c r="T525" s="588"/>
      <c r="U525" s="188"/>
      <c r="V525" s="366"/>
      <c r="W525" s="366"/>
      <c r="X525" s="366"/>
      <c r="Y525" s="366"/>
      <c r="Z525" s="366"/>
      <c r="AA525" s="366"/>
      <c r="AB525" s="366"/>
      <c r="AC525" s="366"/>
      <c r="AD525" s="366"/>
      <c r="AE525" s="366"/>
      <c r="AF525" s="366"/>
      <c r="AG525" s="366"/>
      <c r="AH525" s="366"/>
      <c r="AI525" s="366"/>
      <c r="AJ525" s="366"/>
      <c r="AK525" s="619"/>
      <c r="AL525" s="617"/>
    </row>
    <row r="526" spans="1:38" ht="15.75">
      <c r="A526" s="190"/>
      <c r="B526" s="324"/>
      <c r="C526" s="324"/>
      <c r="D526" s="366"/>
      <c r="E526" s="366"/>
      <c r="F526" s="639"/>
      <c r="G526" s="324"/>
      <c r="H526" s="324"/>
      <c r="I526" s="335"/>
      <c r="J526" s="366"/>
      <c r="K526" s="641"/>
      <c r="L526" s="641"/>
      <c r="M526" s="641"/>
      <c r="N526" s="641"/>
      <c r="O526" s="366"/>
      <c r="P526" s="366"/>
      <c r="Q526" s="366"/>
      <c r="R526" s="611"/>
      <c r="S526" s="614"/>
      <c r="T526" s="588"/>
      <c r="U526" s="188"/>
      <c r="V526" s="366"/>
      <c r="W526" s="366"/>
      <c r="X526" s="366"/>
      <c r="Y526" s="366"/>
      <c r="Z526" s="366"/>
      <c r="AA526" s="366"/>
      <c r="AB526" s="366"/>
      <c r="AC526" s="366"/>
      <c r="AD526" s="366"/>
      <c r="AE526" s="366"/>
      <c r="AF526" s="366"/>
      <c r="AG526" s="366"/>
      <c r="AH526" s="366"/>
      <c r="AI526" s="366"/>
      <c r="AJ526" s="366"/>
      <c r="AK526" s="619"/>
      <c r="AL526" s="617"/>
    </row>
    <row r="527" spans="1:38" ht="15.75">
      <c r="A527" s="190"/>
      <c r="B527" s="324"/>
      <c r="C527" s="324"/>
      <c r="D527" s="366"/>
      <c r="E527" s="366"/>
      <c r="F527" s="639"/>
      <c r="G527" s="324"/>
      <c r="H527" s="324"/>
      <c r="I527" s="335"/>
      <c r="J527" s="366"/>
      <c r="K527" s="641"/>
      <c r="L527" s="641"/>
      <c r="M527" s="641"/>
      <c r="N527" s="641"/>
      <c r="O527" s="366"/>
      <c r="P527" s="366"/>
      <c r="Q527" s="366"/>
      <c r="R527" s="611"/>
      <c r="S527" s="614"/>
      <c r="T527" s="588"/>
      <c r="U527" s="188"/>
      <c r="V527" s="366"/>
      <c r="W527" s="366"/>
      <c r="X527" s="366"/>
      <c r="Y527" s="366"/>
      <c r="Z527" s="366"/>
      <c r="AA527" s="366"/>
      <c r="AB527" s="366"/>
      <c r="AC527" s="366"/>
      <c r="AD527" s="366"/>
      <c r="AE527" s="366"/>
      <c r="AF527" s="366"/>
      <c r="AG527" s="366"/>
      <c r="AH527" s="366"/>
      <c r="AI527" s="366"/>
      <c r="AJ527" s="366"/>
      <c r="AK527" s="619"/>
      <c r="AL527" s="617"/>
    </row>
    <row r="528" spans="1:38" ht="15.75">
      <c r="A528" s="190"/>
      <c r="B528" s="324"/>
      <c r="C528" s="324"/>
      <c r="D528" s="366"/>
      <c r="E528" s="366"/>
      <c r="F528" s="639"/>
      <c r="G528" s="324"/>
      <c r="H528" s="324"/>
      <c r="I528" s="335"/>
      <c r="J528" s="366"/>
      <c r="K528" s="641"/>
      <c r="L528" s="641"/>
      <c r="M528" s="641"/>
      <c r="N528" s="641"/>
      <c r="O528" s="366"/>
      <c r="P528" s="366"/>
      <c r="Q528" s="366"/>
      <c r="R528" s="611"/>
      <c r="S528" s="614"/>
      <c r="T528" s="588"/>
      <c r="U528" s="188"/>
      <c r="V528" s="366"/>
      <c r="W528" s="366"/>
      <c r="X528" s="366"/>
      <c r="Y528" s="366"/>
      <c r="Z528" s="366"/>
      <c r="AA528" s="366"/>
      <c r="AB528" s="366"/>
      <c r="AC528" s="366"/>
      <c r="AD528" s="366"/>
      <c r="AE528" s="366"/>
      <c r="AF528" s="366"/>
      <c r="AG528" s="366"/>
      <c r="AH528" s="366"/>
      <c r="AI528" s="366"/>
      <c r="AJ528" s="366"/>
      <c r="AK528" s="619"/>
      <c r="AL528" s="617"/>
    </row>
    <row r="529" spans="1:38" ht="15.75">
      <c r="A529" s="190"/>
      <c r="B529" s="324"/>
      <c r="C529" s="324"/>
      <c r="D529" s="366"/>
      <c r="E529" s="366"/>
      <c r="F529" s="639"/>
      <c r="G529" s="324"/>
      <c r="H529" s="324"/>
      <c r="I529" s="335"/>
      <c r="J529" s="366"/>
      <c r="K529" s="641"/>
      <c r="L529" s="641"/>
      <c r="M529" s="641"/>
      <c r="N529" s="641"/>
      <c r="O529" s="366"/>
      <c r="P529" s="366"/>
      <c r="Q529" s="366"/>
      <c r="R529" s="611"/>
      <c r="S529" s="614"/>
      <c r="T529" s="588"/>
      <c r="U529" s="188"/>
      <c r="V529" s="366"/>
      <c r="W529" s="366"/>
      <c r="X529" s="366"/>
      <c r="Y529" s="366"/>
      <c r="Z529" s="366"/>
      <c r="AA529" s="366"/>
      <c r="AB529" s="366"/>
      <c r="AC529" s="366"/>
      <c r="AD529" s="366"/>
      <c r="AE529" s="366"/>
      <c r="AF529" s="366"/>
      <c r="AG529" s="366"/>
      <c r="AH529" s="366"/>
      <c r="AI529" s="366"/>
      <c r="AJ529" s="366"/>
      <c r="AK529" s="619"/>
      <c r="AL529" s="617"/>
    </row>
    <row r="530" spans="1:38" ht="15.75">
      <c r="A530" s="190"/>
      <c r="B530" s="324"/>
      <c r="C530" s="324"/>
      <c r="D530" s="366"/>
      <c r="E530" s="366"/>
      <c r="F530" s="639"/>
      <c r="G530" s="324"/>
      <c r="H530" s="324"/>
      <c r="I530" s="335"/>
      <c r="J530" s="366"/>
      <c r="K530" s="641"/>
      <c r="L530" s="641"/>
      <c r="M530" s="641"/>
      <c r="N530" s="641"/>
      <c r="O530" s="366"/>
      <c r="P530" s="366"/>
      <c r="Q530" s="366"/>
      <c r="R530" s="611"/>
      <c r="S530" s="614"/>
      <c r="T530" s="588"/>
      <c r="U530" s="188"/>
      <c r="V530" s="366"/>
      <c r="W530" s="366"/>
      <c r="X530" s="366"/>
      <c r="Y530" s="366"/>
      <c r="Z530" s="366"/>
      <c r="AA530" s="366"/>
      <c r="AB530" s="366"/>
      <c r="AC530" s="366"/>
      <c r="AD530" s="366"/>
      <c r="AE530" s="366"/>
      <c r="AF530" s="366"/>
      <c r="AG530" s="366"/>
      <c r="AH530" s="366"/>
      <c r="AI530" s="366"/>
      <c r="AJ530" s="366"/>
      <c r="AK530" s="619"/>
      <c r="AL530" s="617"/>
    </row>
    <row r="531" spans="1:38" ht="15.75">
      <c r="A531" s="190"/>
      <c r="B531" s="324"/>
      <c r="C531" s="324"/>
      <c r="D531" s="366"/>
      <c r="E531" s="366"/>
      <c r="F531" s="639"/>
      <c r="G531" s="324"/>
      <c r="H531" s="324"/>
      <c r="I531" s="335"/>
      <c r="J531" s="366"/>
      <c r="K531" s="641"/>
      <c r="L531" s="641"/>
      <c r="M531" s="641"/>
      <c r="N531" s="641"/>
      <c r="O531" s="366"/>
      <c r="P531" s="366"/>
      <c r="Q531" s="366"/>
      <c r="R531" s="611"/>
      <c r="S531" s="614"/>
      <c r="T531" s="588"/>
      <c r="U531" s="188"/>
      <c r="V531" s="366"/>
      <c r="W531" s="366"/>
      <c r="X531" s="366"/>
      <c r="Y531" s="366"/>
      <c r="Z531" s="366"/>
      <c r="AA531" s="366"/>
      <c r="AB531" s="366"/>
      <c r="AC531" s="366"/>
      <c r="AD531" s="366"/>
      <c r="AE531" s="366"/>
      <c r="AF531" s="366"/>
      <c r="AG531" s="366"/>
      <c r="AH531" s="366"/>
      <c r="AI531" s="366"/>
      <c r="AJ531" s="366"/>
      <c r="AK531" s="619"/>
      <c r="AL531" s="617"/>
    </row>
    <row r="532" spans="1:38" ht="15.75">
      <c r="A532" s="190"/>
      <c r="B532" s="324"/>
      <c r="C532" s="324"/>
      <c r="D532" s="366"/>
      <c r="E532" s="366"/>
      <c r="F532" s="639"/>
      <c r="G532" s="324"/>
      <c r="H532" s="324"/>
      <c r="I532" s="335"/>
      <c r="J532" s="366"/>
      <c r="K532" s="641"/>
      <c r="L532" s="641"/>
      <c r="M532" s="641"/>
      <c r="N532" s="641"/>
      <c r="O532" s="366"/>
      <c r="P532" s="366"/>
      <c r="Q532" s="366"/>
      <c r="R532" s="611"/>
      <c r="S532" s="614"/>
      <c r="T532" s="588"/>
      <c r="U532" s="188"/>
      <c r="V532" s="366"/>
      <c r="W532" s="366"/>
      <c r="X532" s="366"/>
      <c r="Y532" s="366"/>
      <c r="Z532" s="366"/>
      <c r="AA532" s="366"/>
      <c r="AB532" s="366"/>
      <c r="AC532" s="366"/>
      <c r="AD532" s="366"/>
      <c r="AE532" s="366"/>
      <c r="AF532" s="366"/>
      <c r="AG532" s="366"/>
      <c r="AH532" s="366"/>
      <c r="AI532" s="366"/>
      <c r="AJ532" s="366"/>
      <c r="AK532" s="619"/>
      <c r="AL532" s="617"/>
    </row>
    <row r="533" spans="1:38" ht="15.75">
      <c r="A533" s="190"/>
      <c r="B533" s="324"/>
      <c r="C533" s="324"/>
      <c r="D533" s="366"/>
      <c r="E533" s="366"/>
      <c r="F533" s="639"/>
      <c r="G533" s="324"/>
      <c r="H533" s="324"/>
      <c r="I533" s="335"/>
      <c r="J533" s="366"/>
      <c r="K533" s="641"/>
      <c r="L533" s="641"/>
      <c r="M533" s="641"/>
      <c r="N533" s="641"/>
      <c r="O533" s="366"/>
      <c r="P533" s="366"/>
      <c r="Q533" s="366"/>
      <c r="R533" s="611"/>
      <c r="S533" s="614"/>
      <c r="T533" s="588"/>
      <c r="U533" s="188"/>
      <c r="V533" s="366"/>
      <c r="W533" s="366"/>
      <c r="X533" s="366"/>
      <c r="Y533" s="366"/>
      <c r="Z533" s="366"/>
      <c r="AA533" s="366"/>
      <c r="AB533" s="366"/>
      <c r="AC533" s="366"/>
      <c r="AD533" s="366"/>
      <c r="AE533" s="366"/>
      <c r="AF533" s="366"/>
      <c r="AG533" s="366"/>
      <c r="AH533" s="366"/>
      <c r="AI533" s="366"/>
      <c r="AJ533" s="366"/>
      <c r="AK533" s="619"/>
      <c r="AL533" s="617"/>
    </row>
    <row r="534" spans="1:38" ht="15.75">
      <c r="A534" s="190"/>
      <c r="B534" s="324"/>
      <c r="C534" s="324"/>
      <c r="D534" s="366"/>
      <c r="E534" s="366"/>
      <c r="F534" s="639"/>
      <c r="G534" s="324"/>
      <c r="H534" s="324"/>
      <c r="I534" s="335"/>
      <c r="J534" s="366"/>
      <c r="K534" s="641"/>
      <c r="L534" s="641"/>
      <c r="M534" s="641"/>
      <c r="N534" s="641"/>
      <c r="O534" s="366"/>
      <c r="P534" s="366"/>
      <c r="Q534" s="366"/>
      <c r="R534" s="611"/>
      <c r="S534" s="614"/>
      <c r="T534" s="588"/>
      <c r="U534" s="188"/>
      <c r="V534" s="366"/>
      <c r="W534" s="366"/>
      <c r="X534" s="366"/>
      <c r="Y534" s="366"/>
      <c r="Z534" s="366"/>
      <c r="AA534" s="366"/>
      <c r="AB534" s="366"/>
      <c r="AC534" s="366"/>
      <c r="AD534" s="366"/>
      <c r="AE534" s="366"/>
      <c r="AF534" s="366"/>
      <c r="AG534" s="366"/>
      <c r="AH534" s="366"/>
      <c r="AI534" s="366"/>
      <c r="AJ534" s="366"/>
      <c r="AK534" s="619"/>
      <c r="AL534" s="617"/>
    </row>
    <row r="535" spans="1:38" ht="15.75">
      <c r="A535" s="190"/>
      <c r="B535" s="324"/>
      <c r="C535" s="324"/>
      <c r="D535" s="366"/>
      <c r="E535" s="366"/>
      <c r="F535" s="639"/>
      <c r="G535" s="324"/>
      <c r="H535" s="324"/>
      <c r="I535" s="335"/>
      <c r="J535" s="366"/>
      <c r="K535" s="641"/>
      <c r="L535" s="641"/>
      <c r="M535" s="641"/>
      <c r="N535" s="641"/>
      <c r="O535" s="366"/>
      <c r="P535" s="366"/>
      <c r="Q535" s="366"/>
      <c r="R535" s="611"/>
      <c r="S535" s="614"/>
      <c r="T535" s="588"/>
      <c r="U535" s="188"/>
      <c r="V535" s="366"/>
      <c r="W535" s="366"/>
      <c r="X535" s="366"/>
      <c r="Y535" s="366"/>
      <c r="Z535" s="366"/>
      <c r="AA535" s="366"/>
      <c r="AB535" s="366"/>
      <c r="AC535" s="366"/>
      <c r="AD535" s="366"/>
      <c r="AE535" s="366"/>
      <c r="AF535" s="366"/>
      <c r="AG535" s="366"/>
      <c r="AH535" s="366"/>
      <c r="AI535" s="366"/>
      <c r="AJ535" s="366"/>
      <c r="AK535" s="619"/>
      <c r="AL535" s="617"/>
    </row>
    <row r="536" spans="1:38" ht="15.75">
      <c r="A536" s="190"/>
      <c r="B536" s="324"/>
      <c r="C536" s="324"/>
      <c r="D536" s="366"/>
      <c r="E536" s="366"/>
      <c r="F536" s="639"/>
      <c r="G536" s="324"/>
      <c r="H536" s="324"/>
      <c r="I536" s="335"/>
      <c r="J536" s="366"/>
      <c r="K536" s="641"/>
      <c r="L536" s="641"/>
      <c r="M536" s="641"/>
      <c r="N536" s="641"/>
      <c r="O536" s="366"/>
      <c r="P536" s="366"/>
      <c r="Q536" s="366"/>
      <c r="R536" s="611"/>
      <c r="S536" s="614"/>
      <c r="T536" s="588"/>
      <c r="U536" s="188"/>
      <c r="V536" s="366"/>
      <c r="W536" s="366"/>
      <c r="X536" s="366"/>
      <c r="Y536" s="366"/>
      <c r="Z536" s="366"/>
      <c r="AA536" s="366"/>
      <c r="AB536" s="366"/>
      <c r="AC536" s="366"/>
      <c r="AD536" s="366"/>
      <c r="AE536" s="366"/>
      <c r="AF536" s="366"/>
      <c r="AG536" s="366"/>
      <c r="AH536" s="366"/>
      <c r="AI536" s="366"/>
      <c r="AJ536" s="366"/>
      <c r="AK536" s="619"/>
      <c r="AL536" s="617"/>
    </row>
    <row r="537" spans="1:38" ht="15.75">
      <c r="A537" s="190"/>
      <c r="B537" s="324"/>
      <c r="C537" s="324"/>
      <c r="D537" s="366"/>
      <c r="E537" s="366"/>
      <c r="F537" s="639"/>
      <c r="G537" s="324"/>
      <c r="H537" s="324"/>
      <c r="I537" s="335"/>
      <c r="J537" s="366"/>
      <c r="K537" s="641"/>
      <c r="L537" s="641"/>
      <c r="M537" s="641"/>
      <c r="N537" s="641"/>
      <c r="O537" s="366"/>
      <c r="P537" s="366"/>
      <c r="Q537" s="366"/>
      <c r="R537" s="611"/>
      <c r="S537" s="614"/>
      <c r="T537" s="588"/>
      <c r="U537" s="188"/>
      <c r="V537" s="366"/>
      <c r="W537" s="366"/>
      <c r="X537" s="366"/>
      <c r="Y537" s="366"/>
      <c r="Z537" s="366"/>
      <c r="AA537" s="366"/>
      <c r="AB537" s="366"/>
      <c r="AC537" s="366"/>
      <c r="AD537" s="366"/>
      <c r="AE537" s="366"/>
      <c r="AF537" s="366"/>
      <c r="AG537" s="366"/>
      <c r="AH537" s="366"/>
      <c r="AI537" s="366"/>
      <c r="AJ537" s="366"/>
      <c r="AK537" s="619"/>
      <c r="AL537" s="617"/>
    </row>
    <row r="538" spans="1:38" ht="15.75">
      <c r="A538" s="190"/>
      <c r="B538" s="324"/>
      <c r="C538" s="324"/>
      <c r="D538" s="366"/>
      <c r="E538" s="366"/>
      <c r="F538" s="639"/>
      <c r="G538" s="324"/>
      <c r="H538" s="324"/>
      <c r="I538" s="335"/>
      <c r="J538" s="366"/>
      <c r="K538" s="641"/>
      <c r="L538" s="641"/>
      <c r="M538" s="641"/>
      <c r="N538" s="641"/>
      <c r="O538" s="366"/>
      <c r="P538" s="366"/>
      <c r="Q538" s="366"/>
      <c r="R538" s="611"/>
      <c r="S538" s="614"/>
      <c r="T538" s="588"/>
      <c r="U538" s="188"/>
      <c r="V538" s="366"/>
      <c r="W538" s="366"/>
      <c r="X538" s="366"/>
      <c r="Y538" s="366"/>
      <c r="Z538" s="366"/>
      <c r="AA538" s="366"/>
      <c r="AB538" s="366"/>
      <c r="AC538" s="366"/>
      <c r="AD538" s="366"/>
      <c r="AE538" s="366"/>
      <c r="AF538" s="366"/>
      <c r="AG538" s="366"/>
      <c r="AH538" s="366"/>
      <c r="AI538" s="366"/>
      <c r="AJ538" s="366"/>
      <c r="AK538" s="619"/>
      <c r="AL538" s="617"/>
    </row>
    <row r="539" spans="1:38" ht="15.75">
      <c r="A539" s="190"/>
      <c r="B539" s="324"/>
      <c r="C539" s="324"/>
      <c r="D539" s="366"/>
      <c r="E539" s="366"/>
      <c r="F539" s="639"/>
      <c r="G539" s="324"/>
      <c r="H539" s="324"/>
      <c r="I539" s="335"/>
      <c r="J539" s="366"/>
      <c r="K539" s="641"/>
      <c r="L539" s="641"/>
      <c r="M539" s="641"/>
      <c r="N539" s="641"/>
      <c r="O539" s="366"/>
      <c r="P539" s="366"/>
      <c r="Q539" s="366"/>
      <c r="R539" s="611"/>
      <c r="S539" s="614"/>
      <c r="T539" s="588"/>
      <c r="U539" s="188"/>
      <c r="V539" s="366"/>
      <c r="W539" s="366"/>
      <c r="X539" s="366"/>
      <c r="Y539" s="366"/>
      <c r="Z539" s="366"/>
      <c r="AA539" s="366"/>
      <c r="AB539" s="366"/>
      <c r="AC539" s="366"/>
      <c r="AD539" s="366"/>
      <c r="AE539" s="366"/>
      <c r="AF539" s="366"/>
      <c r="AG539" s="366"/>
      <c r="AH539" s="366"/>
      <c r="AI539" s="366"/>
      <c r="AJ539" s="366"/>
      <c r="AK539" s="619"/>
      <c r="AL539" s="617"/>
    </row>
    <row r="540" spans="1:38" ht="15.75">
      <c r="A540" s="190"/>
      <c r="B540" s="324"/>
      <c r="C540" s="324"/>
      <c r="D540" s="366"/>
      <c r="E540" s="366"/>
      <c r="F540" s="639"/>
      <c r="G540" s="324"/>
      <c r="H540" s="324"/>
      <c r="I540" s="335"/>
      <c r="J540" s="366"/>
      <c r="K540" s="641"/>
      <c r="L540" s="641"/>
      <c r="M540" s="641"/>
      <c r="N540" s="641"/>
      <c r="O540" s="366"/>
      <c r="P540" s="366"/>
      <c r="Q540" s="366"/>
      <c r="R540" s="611"/>
      <c r="S540" s="614"/>
      <c r="T540" s="588"/>
      <c r="U540" s="188"/>
      <c r="V540" s="366"/>
      <c r="W540" s="366"/>
      <c r="X540" s="366"/>
      <c r="Y540" s="366"/>
      <c r="Z540" s="366"/>
      <c r="AA540" s="366"/>
      <c r="AB540" s="366"/>
      <c r="AC540" s="366"/>
      <c r="AD540" s="366"/>
      <c r="AE540" s="366"/>
      <c r="AF540" s="366"/>
      <c r="AG540" s="366"/>
      <c r="AH540" s="366"/>
      <c r="AI540" s="366"/>
      <c r="AJ540" s="366"/>
      <c r="AK540" s="619"/>
      <c r="AL540" s="617"/>
    </row>
    <row r="541" spans="1:38" ht="15.75">
      <c r="A541" s="190"/>
      <c r="B541" s="324"/>
      <c r="C541" s="324"/>
      <c r="D541" s="366"/>
      <c r="E541" s="366"/>
      <c r="F541" s="639"/>
      <c r="G541" s="324"/>
      <c r="H541" s="324"/>
      <c r="I541" s="335"/>
      <c r="J541" s="366"/>
      <c r="K541" s="641"/>
      <c r="L541" s="641"/>
      <c r="M541" s="641"/>
      <c r="N541" s="641"/>
      <c r="O541" s="366"/>
      <c r="P541" s="366"/>
      <c r="Q541" s="366"/>
      <c r="R541" s="611"/>
      <c r="S541" s="614"/>
      <c r="T541" s="588"/>
      <c r="U541" s="188"/>
      <c r="V541" s="366"/>
      <c r="W541" s="366"/>
      <c r="X541" s="366"/>
      <c r="Y541" s="366"/>
      <c r="Z541" s="366"/>
      <c r="AA541" s="366"/>
      <c r="AB541" s="366"/>
      <c r="AC541" s="366"/>
      <c r="AD541" s="366"/>
      <c r="AE541" s="366"/>
      <c r="AF541" s="366"/>
      <c r="AG541" s="366"/>
      <c r="AH541" s="366"/>
      <c r="AI541" s="366"/>
      <c r="AJ541" s="366"/>
      <c r="AK541" s="619"/>
      <c r="AL541" s="617"/>
    </row>
    <row r="542" spans="1:38" ht="15.75">
      <c r="A542" s="190"/>
      <c r="B542" s="324"/>
      <c r="C542" s="324"/>
      <c r="D542" s="366"/>
      <c r="E542" s="366"/>
      <c r="F542" s="639"/>
      <c r="G542" s="324"/>
      <c r="H542" s="324"/>
      <c r="I542" s="335"/>
      <c r="J542" s="366"/>
      <c r="K542" s="641"/>
      <c r="L542" s="641"/>
      <c r="M542" s="641"/>
      <c r="N542" s="641"/>
      <c r="O542" s="366"/>
      <c r="P542" s="366"/>
      <c r="Q542" s="366"/>
      <c r="R542" s="611"/>
      <c r="S542" s="614"/>
      <c r="T542" s="588"/>
      <c r="U542" s="188"/>
      <c r="V542" s="366"/>
      <c r="W542" s="366"/>
      <c r="X542" s="366"/>
      <c r="Y542" s="366"/>
      <c r="Z542" s="366"/>
      <c r="AA542" s="366"/>
      <c r="AB542" s="366"/>
      <c r="AC542" s="366"/>
      <c r="AD542" s="366"/>
      <c r="AE542" s="366"/>
      <c r="AF542" s="366"/>
      <c r="AG542" s="366"/>
      <c r="AH542" s="366"/>
      <c r="AI542" s="366"/>
      <c r="AJ542" s="366"/>
      <c r="AK542" s="619"/>
      <c r="AL542" s="617"/>
    </row>
    <row r="543" spans="1:38" ht="15.75">
      <c r="A543" s="190"/>
      <c r="B543" s="324"/>
      <c r="C543" s="324"/>
      <c r="D543" s="366"/>
      <c r="E543" s="366"/>
      <c r="F543" s="639"/>
      <c r="G543" s="324"/>
      <c r="H543" s="324"/>
      <c r="I543" s="335"/>
      <c r="J543" s="366"/>
      <c r="K543" s="641"/>
      <c r="L543" s="641"/>
      <c r="M543" s="641"/>
      <c r="N543" s="641"/>
      <c r="O543" s="366"/>
      <c r="P543" s="366"/>
      <c r="Q543" s="366"/>
      <c r="R543" s="611"/>
      <c r="S543" s="614"/>
      <c r="T543" s="588"/>
      <c r="U543" s="188"/>
      <c r="V543" s="366"/>
      <c r="W543" s="366"/>
      <c r="X543" s="366"/>
      <c r="Y543" s="366"/>
      <c r="Z543" s="366"/>
      <c r="AA543" s="366"/>
      <c r="AB543" s="366"/>
      <c r="AC543" s="366"/>
      <c r="AD543" s="366"/>
      <c r="AE543" s="366"/>
      <c r="AF543" s="366"/>
      <c r="AG543" s="366"/>
      <c r="AH543" s="366"/>
      <c r="AI543" s="366"/>
      <c r="AJ543" s="366"/>
      <c r="AK543" s="619"/>
      <c r="AL543" s="617"/>
    </row>
    <row r="544" spans="1:38" ht="15.75">
      <c r="A544" s="190"/>
      <c r="B544" s="324"/>
      <c r="C544" s="324"/>
      <c r="D544" s="366"/>
      <c r="E544" s="366"/>
      <c r="F544" s="639"/>
      <c r="G544" s="324"/>
      <c r="H544" s="324"/>
      <c r="I544" s="335"/>
      <c r="J544" s="366"/>
      <c r="K544" s="641"/>
      <c r="L544" s="641"/>
      <c r="M544" s="641"/>
      <c r="N544" s="641"/>
      <c r="O544" s="366"/>
      <c r="P544" s="366"/>
      <c r="Q544" s="366"/>
      <c r="R544" s="611"/>
      <c r="S544" s="614"/>
      <c r="T544" s="588"/>
      <c r="U544" s="188"/>
      <c r="V544" s="366"/>
      <c r="W544" s="366"/>
      <c r="X544" s="366"/>
      <c r="Y544" s="366"/>
      <c r="Z544" s="366"/>
      <c r="AA544" s="366"/>
      <c r="AB544" s="366"/>
      <c r="AC544" s="366"/>
      <c r="AD544" s="366"/>
      <c r="AE544" s="366"/>
      <c r="AF544" s="366"/>
      <c r="AG544" s="366"/>
      <c r="AH544" s="366"/>
      <c r="AI544" s="366"/>
      <c r="AJ544" s="366"/>
      <c r="AK544" s="619"/>
      <c r="AL544" s="617"/>
    </row>
    <row r="545" spans="1:38" ht="15.75">
      <c r="A545" s="190"/>
      <c r="B545" s="324"/>
      <c r="C545" s="324"/>
      <c r="D545" s="366"/>
      <c r="E545" s="366"/>
      <c r="F545" s="639"/>
      <c r="G545" s="324"/>
      <c r="H545" s="324"/>
      <c r="I545" s="335"/>
      <c r="J545" s="366"/>
      <c r="K545" s="641"/>
      <c r="L545" s="641"/>
      <c r="M545" s="641"/>
      <c r="N545" s="641"/>
      <c r="O545" s="366"/>
      <c r="P545" s="366"/>
      <c r="Q545" s="366"/>
      <c r="R545" s="611"/>
      <c r="S545" s="614"/>
      <c r="T545" s="588"/>
      <c r="U545" s="188"/>
      <c r="V545" s="366"/>
      <c r="W545" s="366"/>
      <c r="X545" s="366"/>
      <c r="Y545" s="366"/>
      <c r="Z545" s="366"/>
      <c r="AA545" s="366"/>
      <c r="AB545" s="366"/>
      <c r="AC545" s="366"/>
      <c r="AD545" s="366"/>
      <c r="AE545" s="366"/>
      <c r="AF545" s="366"/>
      <c r="AG545" s="366"/>
      <c r="AH545" s="366"/>
      <c r="AI545" s="366"/>
      <c r="AJ545" s="366"/>
      <c r="AK545" s="619"/>
      <c r="AL545" s="617"/>
    </row>
    <row r="546" spans="1:38" ht="15.75">
      <c r="A546" s="190"/>
      <c r="B546" s="324"/>
      <c r="C546" s="324"/>
      <c r="D546" s="366"/>
      <c r="E546" s="366"/>
      <c r="F546" s="639"/>
      <c r="G546" s="324"/>
      <c r="H546" s="324"/>
      <c r="I546" s="335"/>
      <c r="J546" s="366"/>
      <c r="K546" s="641"/>
      <c r="L546" s="641"/>
      <c r="M546" s="641"/>
      <c r="N546" s="641"/>
      <c r="O546" s="366"/>
      <c r="P546" s="366"/>
      <c r="Q546" s="366"/>
      <c r="R546" s="611"/>
      <c r="S546" s="614"/>
      <c r="T546" s="588"/>
      <c r="U546" s="188"/>
      <c r="V546" s="366"/>
      <c r="W546" s="366"/>
      <c r="X546" s="366"/>
      <c r="Y546" s="366"/>
      <c r="Z546" s="366"/>
      <c r="AA546" s="366"/>
      <c r="AB546" s="366"/>
      <c r="AC546" s="366"/>
      <c r="AD546" s="366"/>
      <c r="AE546" s="366"/>
      <c r="AF546" s="366"/>
      <c r="AG546" s="366"/>
      <c r="AH546" s="366"/>
      <c r="AI546" s="366"/>
      <c r="AJ546" s="366"/>
      <c r="AK546" s="619"/>
      <c r="AL546" s="617"/>
    </row>
    <row r="547" spans="1:38" ht="15.75">
      <c r="A547" s="190"/>
      <c r="B547" s="324"/>
      <c r="C547" s="324"/>
      <c r="D547" s="366"/>
      <c r="E547" s="366"/>
      <c r="F547" s="639"/>
      <c r="G547" s="324"/>
      <c r="H547" s="324"/>
      <c r="I547" s="335"/>
      <c r="J547" s="366"/>
      <c r="K547" s="641"/>
      <c r="L547" s="641"/>
      <c r="M547" s="641"/>
      <c r="N547" s="641"/>
      <c r="O547" s="366"/>
      <c r="P547" s="366"/>
      <c r="Q547" s="366"/>
      <c r="R547" s="611"/>
      <c r="S547" s="614"/>
      <c r="T547" s="588"/>
      <c r="U547" s="188"/>
      <c r="V547" s="366"/>
      <c r="W547" s="366"/>
      <c r="X547" s="366"/>
      <c r="Y547" s="366"/>
      <c r="Z547" s="366"/>
      <c r="AA547" s="366"/>
      <c r="AB547" s="366"/>
      <c r="AC547" s="366"/>
      <c r="AD547" s="366"/>
      <c r="AE547" s="366"/>
      <c r="AF547" s="366"/>
      <c r="AG547" s="366"/>
      <c r="AH547" s="366"/>
      <c r="AI547" s="366"/>
      <c r="AJ547" s="366"/>
      <c r="AK547" s="619"/>
      <c r="AL547" s="617"/>
    </row>
    <row r="548" spans="1:38" ht="15.75">
      <c r="A548" s="190"/>
      <c r="B548" s="324"/>
      <c r="C548" s="324"/>
      <c r="D548" s="366"/>
      <c r="E548" s="366"/>
      <c r="F548" s="639"/>
      <c r="G548" s="324"/>
      <c r="H548" s="324"/>
      <c r="I548" s="335"/>
      <c r="J548" s="366"/>
      <c r="K548" s="641"/>
      <c r="L548" s="641"/>
      <c r="M548" s="641"/>
      <c r="N548" s="641"/>
      <c r="O548" s="366"/>
      <c r="P548" s="366"/>
      <c r="Q548" s="366"/>
      <c r="R548" s="611"/>
      <c r="S548" s="614"/>
      <c r="T548" s="588"/>
      <c r="U548" s="188"/>
      <c r="V548" s="366"/>
      <c r="W548" s="366"/>
      <c r="X548" s="366"/>
      <c r="Y548" s="366"/>
      <c r="Z548" s="366"/>
      <c r="AA548" s="366"/>
      <c r="AB548" s="366"/>
      <c r="AC548" s="366"/>
      <c r="AD548" s="366"/>
      <c r="AE548" s="366"/>
      <c r="AF548" s="366"/>
      <c r="AG548" s="366"/>
      <c r="AH548" s="366"/>
      <c r="AI548" s="366"/>
      <c r="AJ548" s="366"/>
      <c r="AK548" s="619"/>
      <c r="AL548" s="617"/>
    </row>
    <row r="549" spans="1:38" ht="15.75">
      <c r="A549" s="190"/>
      <c r="B549" s="324"/>
      <c r="C549" s="324"/>
      <c r="D549" s="366"/>
      <c r="E549" s="366"/>
      <c r="F549" s="639"/>
      <c r="G549" s="324"/>
      <c r="H549" s="324"/>
      <c r="I549" s="335"/>
      <c r="J549" s="366"/>
      <c r="K549" s="641"/>
      <c r="L549" s="641"/>
      <c r="M549" s="641"/>
      <c r="N549" s="641"/>
      <c r="O549" s="366"/>
      <c r="P549" s="366"/>
      <c r="Q549" s="366"/>
      <c r="R549" s="611"/>
      <c r="S549" s="614"/>
      <c r="T549" s="588"/>
      <c r="U549" s="188"/>
      <c r="V549" s="366"/>
      <c r="W549" s="366"/>
      <c r="X549" s="366"/>
      <c r="Y549" s="366"/>
      <c r="Z549" s="366"/>
      <c r="AA549" s="366"/>
      <c r="AB549" s="366"/>
      <c r="AC549" s="366"/>
      <c r="AD549" s="366"/>
      <c r="AE549" s="366"/>
      <c r="AF549" s="366"/>
      <c r="AG549" s="366"/>
      <c r="AH549" s="366"/>
      <c r="AI549" s="366"/>
      <c r="AJ549" s="366"/>
      <c r="AK549" s="619"/>
      <c r="AL549" s="617"/>
    </row>
    <row r="550" spans="1:38" ht="15.75">
      <c r="A550" s="190"/>
      <c r="B550" s="324"/>
      <c r="C550" s="324"/>
      <c r="D550" s="366"/>
      <c r="E550" s="366"/>
      <c r="F550" s="639"/>
      <c r="G550" s="324"/>
      <c r="H550" s="324"/>
      <c r="I550" s="335"/>
      <c r="J550" s="366"/>
      <c r="K550" s="641"/>
      <c r="L550" s="641"/>
      <c r="M550" s="641"/>
      <c r="N550" s="641"/>
      <c r="O550" s="366"/>
      <c r="P550" s="366"/>
      <c r="Q550" s="366"/>
      <c r="R550" s="611"/>
      <c r="S550" s="614"/>
      <c r="T550" s="588"/>
      <c r="U550" s="188"/>
      <c r="V550" s="366"/>
      <c r="W550" s="366"/>
      <c r="X550" s="366"/>
      <c r="Y550" s="366"/>
      <c r="Z550" s="366"/>
      <c r="AA550" s="366"/>
      <c r="AB550" s="366"/>
      <c r="AC550" s="366"/>
      <c r="AD550" s="366"/>
      <c r="AE550" s="366"/>
      <c r="AF550" s="366"/>
      <c r="AG550" s="366"/>
      <c r="AH550" s="366"/>
      <c r="AI550" s="366"/>
      <c r="AJ550" s="366"/>
      <c r="AK550" s="619"/>
      <c r="AL550" s="617"/>
    </row>
    <row r="551" spans="1:38" ht="15.75">
      <c r="A551" s="190"/>
      <c r="B551" s="324"/>
      <c r="C551" s="324"/>
      <c r="D551" s="366"/>
      <c r="E551" s="366"/>
      <c r="F551" s="639"/>
      <c r="G551" s="324"/>
      <c r="H551" s="324"/>
      <c r="I551" s="335"/>
      <c r="J551" s="366"/>
      <c r="K551" s="641"/>
      <c r="L551" s="641"/>
      <c r="M551" s="641"/>
      <c r="N551" s="641"/>
      <c r="O551" s="366"/>
      <c r="P551" s="366"/>
      <c r="Q551" s="366"/>
      <c r="R551" s="611"/>
      <c r="S551" s="614"/>
      <c r="T551" s="588"/>
      <c r="U551" s="188"/>
      <c r="V551" s="366"/>
      <c r="W551" s="366"/>
      <c r="X551" s="366"/>
      <c r="Y551" s="366"/>
      <c r="Z551" s="366"/>
      <c r="AA551" s="366"/>
      <c r="AB551" s="366"/>
      <c r="AC551" s="366"/>
      <c r="AD551" s="366"/>
      <c r="AE551" s="366"/>
      <c r="AF551" s="366"/>
      <c r="AG551" s="366"/>
      <c r="AH551" s="366"/>
      <c r="AI551" s="366"/>
      <c r="AJ551" s="366"/>
      <c r="AK551" s="619"/>
      <c r="AL551" s="617"/>
    </row>
    <row r="552" spans="1:38" ht="15.75">
      <c r="A552" s="190"/>
      <c r="B552" s="324"/>
      <c r="C552" s="324"/>
      <c r="D552" s="366"/>
      <c r="E552" s="366"/>
      <c r="F552" s="639"/>
      <c r="G552" s="324"/>
      <c r="H552" s="324"/>
      <c r="I552" s="335"/>
      <c r="J552" s="366"/>
      <c r="K552" s="641"/>
      <c r="L552" s="641"/>
      <c r="M552" s="641"/>
      <c r="N552" s="641"/>
      <c r="O552" s="366"/>
      <c r="P552" s="366"/>
      <c r="Q552" s="366"/>
      <c r="R552" s="611"/>
      <c r="S552" s="614"/>
      <c r="T552" s="588"/>
      <c r="U552" s="188"/>
      <c r="V552" s="366"/>
      <c r="W552" s="366"/>
      <c r="X552" s="366"/>
      <c r="Y552" s="366"/>
      <c r="Z552" s="366"/>
      <c r="AA552" s="366"/>
      <c r="AB552" s="366"/>
      <c r="AC552" s="366"/>
      <c r="AD552" s="366"/>
      <c r="AE552" s="366"/>
      <c r="AF552" s="366"/>
      <c r="AG552" s="366"/>
      <c r="AH552" s="366"/>
      <c r="AI552" s="366"/>
      <c r="AJ552" s="366"/>
      <c r="AK552" s="619"/>
      <c r="AL552" s="617"/>
    </row>
    <row r="553" spans="1:38" ht="15.75">
      <c r="A553" s="190"/>
      <c r="B553" s="324"/>
      <c r="C553" s="324"/>
      <c r="D553" s="366"/>
      <c r="E553" s="366"/>
      <c r="F553" s="639"/>
      <c r="G553" s="324"/>
      <c r="H553" s="324"/>
      <c r="I553" s="335"/>
      <c r="J553" s="366"/>
      <c r="K553" s="641"/>
      <c r="L553" s="641"/>
      <c r="M553" s="641"/>
      <c r="N553" s="641"/>
      <c r="O553" s="366"/>
      <c r="P553" s="366"/>
      <c r="Q553" s="366"/>
      <c r="R553" s="611"/>
      <c r="S553" s="614"/>
      <c r="T553" s="588"/>
      <c r="U553" s="188"/>
      <c r="V553" s="366"/>
      <c r="W553" s="366"/>
      <c r="X553" s="366"/>
      <c r="Y553" s="366"/>
      <c r="Z553" s="366"/>
      <c r="AA553" s="366"/>
      <c r="AB553" s="366"/>
      <c r="AC553" s="366"/>
      <c r="AD553" s="366"/>
      <c r="AE553" s="366"/>
      <c r="AF553" s="366"/>
      <c r="AG553" s="366"/>
      <c r="AH553" s="366"/>
      <c r="AI553" s="366"/>
      <c r="AJ553" s="366"/>
      <c r="AK553" s="619"/>
      <c r="AL553" s="617"/>
    </row>
    <row r="554" spans="1:38" ht="15.75">
      <c r="A554" s="190"/>
      <c r="B554" s="324"/>
      <c r="C554" s="324"/>
      <c r="D554" s="366"/>
      <c r="E554" s="366"/>
      <c r="F554" s="639"/>
      <c r="G554" s="324"/>
      <c r="H554" s="324"/>
      <c r="I554" s="335"/>
      <c r="J554" s="366"/>
      <c r="K554" s="641"/>
      <c r="L554" s="641"/>
      <c r="M554" s="641"/>
      <c r="N554" s="641"/>
      <c r="O554" s="366"/>
      <c r="P554" s="366"/>
      <c r="Q554" s="366"/>
      <c r="R554" s="611"/>
      <c r="S554" s="614"/>
      <c r="T554" s="588"/>
      <c r="U554" s="188"/>
      <c r="V554" s="366"/>
      <c r="W554" s="366"/>
      <c r="X554" s="366"/>
      <c r="Y554" s="366"/>
      <c r="Z554" s="366"/>
      <c r="AA554" s="366"/>
      <c r="AB554" s="366"/>
      <c r="AC554" s="366"/>
      <c r="AD554" s="366"/>
      <c r="AE554" s="366"/>
      <c r="AF554" s="366"/>
      <c r="AG554" s="366"/>
      <c r="AH554" s="366"/>
      <c r="AI554" s="366"/>
      <c r="AJ554" s="366"/>
      <c r="AK554" s="619"/>
      <c r="AL554" s="617"/>
    </row>
    <row r="555" spans="1:38" ht="15.75">
      <c r="A555" s="190"/>
      <c r="B555" s="324"/>
      <c r="C555" s="324"/>
      <c r="D555" s="366"/>
      <c r="E555" s="366"/>
      <c r="F555" s="639"/>
      <c r="G555" s="324"/>
      <c r="H555" s="324"/>
      <c r="I555" s="335"/>
      <c r="J555" s="366"/>
      <c r="K555" s="641"/>
      <c r="L555" s="641"/>
      <c r="M555" s="641"/>
      <c r="N555" s="641"/>
      <c r="O555" s="366"/>
      <c r="P555" s="366"/>
      <c r="Q555" s="366"/>
      <c r="R555" s="611"/>
      <c r="S555" s="614"/>
      <c r="T555" s="588"/>
      <c r="U555" s="188"/>
      <c r="V555" s="366"/>
      <c r="W555" s="366"/>
      <c r="X555" s="366"/>
      <c r="Y555" s="366"/>
      <c r="Z555" s="366"/>
      <c r="AA555" s="366"/>
      <c r="AB555" s="366"/>
      <c r="AC555" s="366"/>
      <c r="AD555" s="366"/>
      <c r="AE555" s="366"/>
      <c r="AF555" s="366"/>
      <c r="AG555" s="366"/>
      <c r="AH555" s="366"/>
      <c r="AI555" s="366"/>
      <c r="AJ555" s="366"/>
      <c r="AK555" s="619"/>
      <c r="AL555" s="617"/>
    </row>
    <row r="556" spans="1:38" ht="15.75">
      <c r="A556" s="190"/>
      <c r="B556" s="324"/>
      <c r="C556" s="324"/>
      <c r="D556" s="366"/>
      <c r="E556" s="366"/>
      <c r="F556" s="639"/>
      <c r="G556" s="324"/>
      <c r="H556" s="324"/>
      <c r="I556" s="335"/>
      <c r="J556" s="366"/>
      <c r="K556" s="641"/>
      <c r="L556" s="641"/>
      <c r="M556" s="641"/>
      <c r="N556" s="641"/>
      <c r="O556" s="366"/>
      <c r="P556" s="366"/>
      <c r="Q556" s="366"/>
      <c r="R556" s="611"/>
      <c r="S556" s="614"/>
      <c r="T556" s="588"/>
      <c r="U556" s="188"/>
      <c r="V556" s="366"/>
      <c r="W556" s="366"/>
      <c r="X556" s="366"/>
      <c r="Y556" s="366"/>
      <c r="Z556" s="366"/>
      <c r="AA556" s="366"/>
      <c r="AB556" s="366"/>
      <c r="AC556" s="366"/>
      <c r="AD556" s="366"/>
      <c r="AE556" s="366"/>
      <c r="AF556" s="366"/>
      <c r="AG556" s="366"/>
      <c r="AH556" s="366"/>
      <c r="AI556" s="366"/>
      <c r="AJ556" s="366"/>
      <c r="AK556" s="619"/>
      <c r="AL556" s="617"/>
    </row>
    <row r="557" spans="1:38" ht="15.75">
      <c r="A557" s="190"/>
      <c r="B557" s="324"/>
      <c r="C557" s="324"/>
      <c r="D557" s="366"/>
      <c r="E557" s="366"/>
      <c r="F557" s="639"/>
      <c r="G557" s="324"/>
      <c r="H557" s="324"/>
      <c r="I557" s="335"/>
      <c r="J557" s="366"/>
      <c r="K557" s="641"/>
      <c r="L557" s="641"/>
      <c r="M557" s="641"/>
      <c r="N557" s="641"/>
      <c r="O557" s="366"/>
      <c r="P557" s="366"/>
      <c r="Q557" s="366"/>
      <c r="R557" s="611"/>
      <c r="S557" s="614"/>
      <c r="T557" s="588"/>
      <c r="U557" s="188"/>
      <c r="V557" s="366"/>
      <c r="W557" s="366"/>
      <c r="X557" s="366"/>
      <c r="Y557" s="366"/>
      <c r="Z557" s="366"/>
      <c r="AA557" s="366"/>
      <c r="AB557" s="366"/>
      <c r="AC557" s="366"/>
      <c r="AD557" s="366"/>
      <c r="AE557" s="366"/>
      <c r="AF557" s="366"/>
      <c r="AG557" s="366"/>
      <c r="AH557" s="366"/>
      <c r="AI557" s="366"/>
      <c r="AJ557" s="366"/>
      <c r="AK557" s="619"/>
      <c r="AL557" s="617"/>
    </row>
    <row r="558" spans="1:38" ht="15.75">
      <c r="A558" s="190"/>
      <c r="B558" s="324"/>
      <c r="C558" s="324"/>
      <c r="D558" s="366"/>
      <c r="E558" s="366"/>
      <c r="F558" s="639"/>
      <c r="G558" s="324"/>
      <c r="H558" s="324"/>
      <c r="I558" s="335"/>
      <c r="J558" s="366"/>
      <c r="K558" s="641"/>
      <c r="L558" s="641"/>
      <c r="M558" s="641"/>
      <c r="N558" s="641"/>
      <c r="O558" s="366"/>
      <c r="P558" s="366"/>
      <c r="Q558" s="366"/>
      <c r="R558" s="611"/>
      <c r="S558" s="614"/>
      <c r="T558" s="588"/>
      <c r="U558" s="188"/>
      <c r="V558" s="366"/>
      <c r="W558" s="366"/>
      <c r="X558" s="366"/>
      <c r="Y558" s="366"/>
      <c r="Z558" s="366"/>
      <c r="AA558" s="366"/>
      <c r="AB558" s="366"/>
      <c r="AC558" s="366"/>
      <c r="AD558" s="366"/>
      <c r="AE558" s="366"/>
      <c r="AF558" s="366"/>
      <c r="AG558" s="366"/>
      <c r="AH558" s="366"/>
      <c r="AI558" s="366"/>
      <c r="AJ558" s="366"/>
      <c r="AK558" s="619"/>
      <c r="AL558" s="617"/>
    </row>
    <row r="559" spans="1:38" ht="15.75">
      <c r="A559" s="190"/>
      <c r="B559" s="324"/>
      <c r="C559" s="324"/>
      <c r="D559" s="366"/>
      <c r="E559" s="366"/>
      <c r="F559" s="639"/>
      <c r="G559" s="324"/>
      <c r="H559" s="324"/>
      <c r="I559" s="335"/>
      <c r="J559" s="366"/>
      <c r="K559" s="641"/>
      <c r="L559" s="641"/>
      <c r="M559" s="641"/>
      <c r="N559" s="641"/>
      <c r="O559" s="366"/>
      <c r="P559" s="366"/>
      <c r="Q559" s="366"/>
      <c r="R559" s="611"/>
      <c r="S559" s="614"/>
      <c r="T559" s="588"/>
      <c r="U559" s="188"/>
      <c r="V559" s="366"/>
      <c r="W559" s="366"/>
      <c r="X559" s="366"/>
      <c r="Y559" s="366"/>
      <c r="Z559" s="366"/>
      <c r="AA559" s="366"/>
      <c r="AB559" s="366"/>
      <c r="AC559" s="366"/>
      <c r="AD559" s="366"/>
      <c r="AE559" s="366"/>
      <c r="AF559" s="366"/>
      <c r="AG559" s="366"/>
      <c r="AH559" s="366"/>
      <c r="AI559" s="366"/>
      <c r="AJ559" s="366"/>
      <c r="AK559" s="619"/>
      <c r="AL559" s="617"/>
    </row>
    <row r="560" spans="1:38" ht="15.75">
      <c r="A560" s="190"/>
      <c r="B560" s="324"/>
      <c r="C560" s="324"/>
      <c r="D560" s="366"/>
      <c r="E560" s="366"/>
      <c r="F560" s="639"/>
      <c r="G560" s="324"/>
      <c r="H560" s="324"/>
      <c r="I560" s="335"/>
      <c r="J560" s="366"/>
      <c r="K560" s="641"/>
      <c r="L560" s="641"/>
      <c r="M560" s="641"/>
      <c r="N560" s="641"/>
      <c r="O560" s="366"/>
      <c r="P560" s="366"/>
      <c r="Q560" s="366"/>
      <c r="R560" s="611"/>
      <c r="S560" s="614"/>
      <c r="T560" s="588"/>
      <c r="U560" s="188"/>
      <c r="V560" s="366"/>
      <c r="W560" s="366"/>
      <c r="X560" s="366"/>
      <c r="Y560" s="366"/>
      <c r="Z560" s="366"/>
      <c r="AA560" s="366"/>
      <c r="AB560" s="366"/>
      <c r="AC560" s="366"/>
      <c r="AD560" s="366"/>
      <c r="AE560" s="366"/>
      <c r="AF560" s="366"/>
      <c r="AG560" s="366"/>
      <c r="AH560" s="366"/>
      <c r="AI560" s="366"/>
      <c r="AJ560" s="366"/>
      <c r="AK560" s="619"/>
      <c r="AL560" s="617"/>
    </row>
    <row r="561" spans="1:38" ht="15.75">
      <c r="A561" s="190"/>
      <c r="B561" s="324"/>
      <c r="C561" s="324"/>
      <c r="D561" s="366"/>
      <c r="E561" s="366"/>
      <c r="F561" s="639"/>
      <c r="G561" s="324"/>
      <c r="H561" s="324"/>
      <c r="I561" s="335"/>
      <c r="J561" s="366"/>
      <c r="K561" s="641"/>
      <c r="L561" s="641"/>
      <c r="M561" s="641"/>
      <c r="N561" s="641"/>
      <c r="O561" s="366"/>
      <c r="P561" s="366"/>
      <c r="Q561" s="366"/>
      <c r="R561" s="611"/>
      <c r="S561" s="614"/>
      <c r="T561" s="588"/>
      <c r="U561" s="188"/>
      <c r="V561" s="366"/>
      <c r="W561" s="366"/>
      <c r="X561" s="366"/>
      <c r="Y561" s="366"/>
      <c r="Z561" s="366"/>
      <c r="AA561" s="366"/>
      <c r="AB561" s="366"/>
      <c r="AC561" s="366"/>
      <c r="AD561" s="366"/>
      <c r="AE561" s="366"/>
      <c r="AF561" s="366"/>
      <c r="AG561" s="366"/>
      <c r="AH561" s="366"/>
      <c r="AI561" s="366"/>
      <c r="AJ561" s="366"/>
      <c r="AK561" s="619"/>
      <c r="AL561" s="617"/>
    </row>
    <row r="562" spans="1:38" ht="15.75">
      <c r="A562" s="190"/>
      <c r="B562" s="324"/>
      <c r="C562" s="324"/>
      <c r="D562" s="366"/>
      <c r="E562" s="366"/>
      <c r="F562" s="639"/>
      <c r="G562" s="324"/>
      <c r="H562" s="324"/>
      <c r="I562" s="335"/>
      <c r="J562" s="366"/>
      <c r="K562" s="641"/>
      <c r="L562" s="641"/>
      <c r="M562" s="641"/>
      <c r="N562" s="641"/>
      <c r="O562" s="366"/>
      <c r="P562" s="366"/>
      <c r="Q562" s="366"/>
      <c r="R562" s="611"/>
      <c r="S562" s="614"/>
      <c r="T562" s="588"/>
      <c r="U562" s="188"/>
      <c r="V562" s="366"/>
      <c r="W562" s="366"/>
      <c r="X562" s="366"/>
      <c r="Y562" s="366"/>
      <c r="Z562" s="366"/>
      <c r="AA562" s="366"/>
      <c r="AB562" s="366"/>
      <c r="AC562" s="366"/>
      <c r="AD562" s="366"/>
      <c r="AE562" s="366"/>
      <c r="AF562" s="366"/>
      <c r="AG562" s="366"/>
      <c r="AH562" s="366"/>
      <c r="AI562" s="366"/>
      <c r="AJ562" s="366"/>
      <c r="AK562" s="619"/>
      <c r="AL562" s="617"/>
    </row>
    <row r="563" spans="1:38" ht="15.75">
      <c r="A563" s="190"/>
      <c r="B563" s="324"/>
      <c r="C563" s="324"/>
      <c r="D563" s="366"/>
      <c r="E563" s="366"/>
      <c r="F563" s="639"/>
      <c r="G563" s="324"/>
      <c r="H563" s="324"/>
      <c r="I563" s="335"/>
      <c r="J563" s="366"/>
      <c r="K563" s="641"/>
      <c r="L563" s="641"/>
      <c r="M563" s="641"/>
      <c r="N563" s="641"/>
      <c r="O563" s="366"/>
      <c r="P563" s="366"/>
      <c r="Q563" s="366"/>
      <c r="R563" s="611"/>
      <c r="S563" s="614"/>
      <c r="T563" s="588"/>
      <c r="U563" s="188"/>
      <c r="V563" s="366"/>
      <c r="W563" s="366"/>
      <c r="X563" s="366"/>
      <c r="Y563" s="366"/>
      <c r="Z563" s="366"/>
      <c r="AA563" s="366"/>
      <c r="AB563" s="366"/>
      <c r="AC563" s="366"/>
      <c r="AD563" s="366"/>
      <c r="AE563" s="366"/>
      <c r="AF563" s="366"/>
      <c r="AG563" s="366"/>
      <c r="AH563" s="366"/>
      <c r="AI563" s="366"/>
      <c r="AJ563" s="366"/>
      <c r="AK563" s="619"/>
      <c r="AL563" s="617"/>
    </row>
    <row r="564" spans="1:38" ht="15.75">
      <c r="A564" s="190"/>
      <c r="B564" s="324"/>
      <c r="C564" s="324"/>
      <c r="D564" s="366"/>
      <c r="E564" s="366"/>
      <c r="F564" s="639"/>
      <c r="G564" s="324"/>
      <c r="H564" s="324"/>
      <c r="I564" s="335"/>
      <c r="J564" s="366"/>
      <c r="K564" s="641"/>
      <c r="L564" s="641"/>
      <c r="M564" s="641"/>
      <c r="N564" s="641"/>
      <c r="O564" s="366"/>
      <c r="P564" s="366"/>
      <c r="Q564" s="366"/>
      <c r="R564" s="611"/>
      <c r="S564" s="614"/>
      <c r="T564" s="588"/>
      <c r="U564" s="188"/>
      <c r="V564" s="366"/>
      <c r="W564" s="366"/>
      <c r="X564" s="366"/>
      <c r="Y564" s="366"/>
      <c r="Z564" s="366"/>
      <c r="AA564" s="366"/>
      <c r="AB564" s="366"/>
      <c r="AC564" s="366"/>
      <c r="AD564" s="366"/>
      <c r="AE564" s="366"/>
      <c r="AF564" s="366"/>
      <c r="AG564" s="366"/>
      <c r="AH564" s="366"/>
      <c r="AI564" s="366"/>
      <c r="AJ564" s="366"/>
      <c r="AK564" s="619"/>
      <c r="AL564" s="617"/>
    </row>
    <row r="565" spans="1:38" ht="15.75">
      <c r="A565" s="190"/>
      <c r="B565" s="324"/>
      <c r="C565" s="324"/>
      <c r="D565" s="366"/>
      <c r="E565" s="366"/>
      <c r="F565" s="639"/>
      <c r="G565" s="324"/>
      <c r="H565" s="324"/>
      <c r="I565" s="335"/>
      <c r="J565" s="366"/>
      <c r="K565" s="641"/>
      <c r="L565" s="641"/>
      <c r="M565" s="641"/>
      <c r="N565" s="641"/>
      <c r="O565" s="366"/>
      <c r="P565" s="366"/>
      <c r="Q565" s="366"/>
      <c r="R565" s="611"/>
      <c r="S565" s="614"/>
      <c r="T565" s="588"/>
      <c r="U565" s="188"/>
      <c r="V565" s="366"/>
      <c r="W565" s="366"/>
      <c r="X565" s="366"/>
      <c r="Y565" s="366"/>
      <c r="Z565" s="366"/>
      <c r="AA565" s="366"/>
      <c r="AB565" s="366"/>
      <c r="AC565" s="366"/>
      <c r="AD565" s="366"/>
      <c r="AE565" s="366"/>
      <c r="AF565" s="366"/>
      <c r="AG565" s="366"/>
      <c r="AH565" s="366"/>
      <c r="AI565" s="366"/>
      <c r="AJ565" s="366"/>
      <c r="AK565" s="619"/>
      <c r="AL565" s="617"/>
    </row>
    <row r="566" spans="1:38" ht="15.75">
      <c r="A566" s="190"/>
      <c r="B566" s="324"/>
      <c r="C566" s="324"/>
      <c r="D566" s="366"/>
      <c r="E566" s="366"/>
      <c r="F566" s="639"/>
      <c r="G566" s="324"/>
      <c r="H566" s="324"/>
      <c r="I566" s="335"/>
      <c r="J566" s="366"/>
      <c r="K566" s="641"/>
      <c r="L566" s="641"/>
      <c r="M566" s="641"/>
      <c r="N566" s="641"/>
      <c r="O566" s="366"/>
      <c r="P566" s="366"/>
      <c r="Q566" s="366"/>
      <c r="R566" s="611"/>
      <c r="S566" s="614"/>
      <c r="T566" s="588"/>
      <c r="U566" s="188"/>
      <c r="V566" s="366"/>
      <c r="W566" s="366"/>
      <c r="X566" s="366"/>
      <c r="Y566" s="366"/>
      <c r="Z566" s="366"/>
      <c r="AA566" s="366"/>
      <c r="AB566" s="366"/>
      <c r="AC566" s="366"/>
      <c r="AD566" s="366"/>
      <c r="AE566" s="366"/>
      <c r="AF566" s="366"/>
      <c r="AG566" s="366"/>
      <c r="AH566" s="366"/>
      <c r="AI566" s="366"/>
      <c r="AJ566" s="366"/>
      <c r="AK566" s="619"/>
      <c r="AL566" s="617"/>
    </row>
    <row r="567" spans="1:38" ht="15.75">
      <c r="A567" s="190"/>
      <c r="B567" s="324"/>
      <c r="C567" s="324"/>
      <c r="D567" s="366"/>
      <c r="E567" s="366"/>
      <c r="F567" s="639"/>
      <c r="G567" s="324"/>
      <c r="H567" s="324"/>
      <c r="I567" s="335"/>
      <c r="J567" s="366"/>
      <c r="K567" s="641"/>
      <c r="L567" s="641"/>
      <c r="M567" s="641"/>
      <c r="N567" s="641"/>
      <c r="O567" s="366"/>
      <c r="P567" s="366"/>
      <c r="Q567" s="366"/>
      <c r="R567" s="611"/>
      <c r="S567" s="614"/>
      <c r="T567" s="588"/>
      <c r="U567" s="188"/>
      <c r="V567" s="366"/>
      <c r="W567" s="366"/>
      <c r="X567" s="366"/>
      <c r="Y567" s="366"/>
      <c r="Z567" s="366"/>
      <c r="AA567" s="366"/>
      <c r="AB567" s="366"/>
      <c r="AC567" s="366"/>
      <c r="AD567" s="366"/>
      <c r="AE567" s="366"/>
      <c r="AF567" s="366"/>
      <c r="AG567" s="366"/>
      <c r="AH567" s="366"/>
      <c r="AI567" s="366"/>
      <c r="AJ567" s="366"/>
      <c r="AK567" s="619"/>
      <c r="AL567" s="617"/>
    </row>
    <row r="568" spans="1:38" ht="15.75">
      <c r="A568" s="190"/>
      <c r="B568" s="324"/>
      <c r="C568" s="324"/>
      <c r="D568" s="366"/>
      <c r="E568" s="366"/>
      <c r="F568" s="639"/>
      <c r="G568" s="324"/>
      <c r="H568" s="324"/>
      <c r="I568" s="335"/>
      <c r="J568" s="366"/>
      <c r="K568" s="641"/>
      <c r="L568" s="641"/>
      <c r="M568" s="641"/>
      <c r="N568" s="641"/>
      <c r="O568" s="366"/>
      <c r="P568" s="366"/>
      <c r="Q568" s="366"/>
      <c r="R568" s="611"/>
      <c r="S568" s="614"/>
      <c r="T568" s="588"/>
      <c r="U568" s="188"/>
      <c r="V568" s="366"/>
      <c r="W568" s="366"/>
      <c r="X568" s="366"/>
      <c r="Y568" s="366"/>
      <c r="Z568" s="366"/>
      <c r="AA568" s="366"/>
      <c r="AB568" s="366"/>
      <c r="AC568" s="366"/>
      <c r="AD568" s="366"/>
      <c r="AE568" s="366"/>
      <c r="AF568" s="366"/>
      <c r="AG568" s="366"/>
      <c r="AH568" s="366"/>
      <c r="AI568" s="366"/>
      <c r="AJ568" s="366"/>
      <c r="AK568" s="619"/>
      <c r="AL568" s="617"/>
    </row>
    <row r="569" spans="1:38" ht="15.75">
      <c r="A569" s="190"/>
      <c r="B569" s="324"/>
      <c r="C569" s="324"/>
      <c r="D569" s="366"/>
      <c r="E569" s="366"/>
      <c r="F569" s="639"/>
      <c r="G569" s="324"/>
      <c r="H569" s="324"/>
      <c r="I569" s="335"/>
      <c r="J569" s="366"/>
      <c r="K569" s="641"/>
      <c r="L569" s="641"/>
      <c r="M569" s="641"/>
      <c r="N569" s="641"/>
      <c r="O569" s="366"/>
      <c r="P569" s="366"/>
      <c r="Q569" s="366"/>
      <c r="R569" s="611"/>
      <c r="S569" s="614"/>
      <c r="T569" s="588"/>
      <c r="U569" s="188"/>
      <c r="V569" s="366"/>
      <c r="W569" s="366"/>
      <c r="X569" s="366"/>
      <c r="Y569" s="366"/>
      <c r="Z569" s="366"/>
      <c r="AA569" s="366"/>
      <c r="AB569" s="366"/>
      <c r="AC569" s="366"/>
      <c r="AD569" s="366"/>
      <c r="AE569" s="366"/>
      <c r="AF569" s="366"/>
      <c r="AG569" s="366"/>
      <c r="AH569" s="366"/>
      <c r="AI569" s="366"/>
      <c r="AJ569" s="366"/>
      <c r="AK569" s="619"/>
      <c r="AL569" s="617"/>
    </row>
    <row r="570" spans="1:38" ht="15.75">
      <c r="A570" s="190"/>
      <c r="B570" s="324"/>
      <c r="C570" s="324"/>
      <c r="D570" s="366"/>
      <c r="E570" s="366"/>
      <c r="F570" s="639"/>
      <c r="G570" s="324"/>
      <c r="H570" s="324"/>
      <c r="I570" s="335"/>
      <c r="J570" s="366"/>
      <c r="K570" s="641"/>
      <c r="L570" s="641"/>
      <c r="M570" s="641"/>
      <c r="N570" s="641"/>
      <c r="O570" s="366"/>
      <c r="P570" s="366"/>
      <c r="Q570" s="366"/>
      <c r="R570" s="611"/>
      <c r="S570" s="614"/>
      <c r="T570" s="588"/>
      <c r="U570" s="188"/>
      <c r="V570" s="366"/>
      <c r="W570" s="366"/>
      <c r="X570" s="366"/>
      <c r="Y570" s="366"/>
      <c r="Z570" s="366"/>
      <c r="AA570" s="366"/>
      <c r="AB570" s="366"/>
      <c r="AC570" s="366"/>
      <c r="AD570" s="366"/>
      <c r="AE570" s="366"/>
      <c r="AF570" s="366"/>
      <c r="AG570" s="366"/>
      <c r="AH570" s="366"/>
      <c r="AI570" s="366"/>
      <c r="AJ570" s="366"/>
      <c r="AK570" s="619"/>
      <c r="AL570" s="617"/>
    </row>
    <row r="571" spans="1:38" ht="15.75">
      <c r="A571" s="190"/>
      <c r="B571" s="324"/>
      <c r="C571" s="324"/>
      <c r="D571" s="366"/>
      <c r="E571" s="366"/>
      <c r="F571" s="639"/>
      <c r="G571" s="324"/>
      <c r="H571" s="324"/>
      <c r="I571" s="366"/>
      <c r="J571" s="366"/>
      <c r="K571" s="641"/>
      <c r="L571" s="641"/>
      <c r="M571" s="641"/>
      <c r="N571" s="641"/>
      <c r="O571" s="366"/>
      <c r="P571" s="366"/>
      <c r="Q571" s="366"/>
      <c r="R571" s="611"/>
      <c r="S571" s="614"/>
      <c r="T571" s="588"/>
      <c r="U571" s="188"/>
      <c r="V571" s="366"/>
      <c r="W571" s="366"/>
      <c r="X571" s="366"/>
      <c r="Y571" s="366"/>
      <c r="Z571" s="366"/>
      <c r="AA571" s="366"/>
      <c r="AB571" s="366"/>
      <c r="AC571" s="366"/>
      <c r="AD571" s="366"/>
      <c r="AE571" s="366"/>
      <c r="AF571" s="366"/>
      <c r="AG571" s="366"/>
      <c r="AH571" s="366"/>
      <c r="AI571" s="366"/>
      <c r="AJ571" s="366"/>
      <c r="AK571" s="619"/>
      <c r="AL571" s="617"/>
    </row>
    <row r="572" spans="1:38" ht="15.75">
      <c r="A572" s="190"/>
      <c r="B572" s="324"/>
      <c r="C572" s="324"/>
      <c r="D572" s="366"/>
      <c r="E572" s="366"/>
      <c r="F572" s="639"/>
      <c r="G572" s="324"/>
      <c r="H572" s="324"/>
      <c r="I572" s="366"/>
      <c r="J572" s="366"/>
      <c r="K572" s="641"/>
      <c r="L572" s="641"/>
      <c r="M572" s="641"/>
      <c r="N572" s="641"/>
      <c r="O572" s="366"/>
      <c r="P572" s="366"/>
      <c r="Q572" s="366"/>
      <c r="R572" s="611"/>
      <c r="S572" s="614"/>
      <c r="T572" s="588"/>
      <c r="U572" s="188"/>
      <c r="V572" s="366"/>
      <c r="W572" s="366"/>
      <c r="X572" s="366"/>
      <c r="Y572" s="366"/>
      <c r="Z572" s="366"/>
      <c r="AA572" s="366"/>
      <c r="AB572" s="366"/>
      <c r="AC572" s="366"/>
      <c r="AD572" s="366"/>
      <c r="AE572" s="366"/>
      <c r="AF572" s="366"/>
      <c r="AG572" s="366"/>
      <c r="AH572" s="366"/>
      <c r="AI572" s="366"/>
      <c r="AJ572" s="366"/>
      <c r="AK572" s="619"/>
      <c r="AL572" s="617"/>
    </row>
    <row r="573" spans="1:38" ht="15.75">
      <c r="A573" s="190"/>
      <c r="B573" s="324"/>
      <c r="C573" s="324"/>
      <c r="D573" s="366"/>
      <c r="E573" s="366"/>
      <c r="F573" s="639"/>
      <c r="G573" s="324"/>
      <c r="H573" s="324"/>
      <c r="I573" s="366"/>
      <c r="J573" s="366"/>
      <c r="K573" s="641"/>
      <c r="L573" s="641"/>
      <c r="M573" s="641"/>
      <c r="N573" s="641"/>
      <c r="O573" s="366"/>
      <c r="P573" s="366"/>
      <c r="Q573" s="366"/>
      <c r="R573" s="611"/>
      <c r="S573" s="614"/>
      <c r="T573" s="588"/>
      <c r="U573" s="188"/>
      <c r="V573" s="366"/>
      <c r="W573" s="366"/>
      <c r="X573" s="366"/>
      <c r="Y573" s="366"/>
      <c r="Z573" s="366"/>
      <c r="AA573" s="366"/>
      <c r="AB573" s="366"/>
      <c r="AC573" s="366"/>
      <c r="AD573" s="366"/>
      <c r="AE573" s="366"/>
      <c r="AF573" s="366"/>
      <c r="AG573" s="366"/>
      <c r="AH573" s="366"/>
      <c r="AI573" s="366"/>
      <c r="AJ573" s="366"/>
      <c r="AK573" s="619"/>
      <c r="AL573" s="617"/>
    </row>
    <row r="574" spans="1:38" ht="15.75">
      <c r="A574" s="190"/>
      <c r="B574" s="324"/>
      <c r="C574" s="324"/>
      <c r="D574" s="366"/>
      <c r="E574" s="366"/>
      <c r="F574" s="639"/>
      <c r="G574" s="324"/>
      <c r="H574" s="324"/>
      <c r="I574" s="366"/>
      <c r="J574" s="366"/>
      <c r="K574" s="641"/>
      <c r="L574" s="641"/>
      <c r="M574" s="641"/>
      <c r="N574" s="641"/>
      <c r="O574" s="366"/>
      <c r="P574" s="366"/>
      <c r="Q574" s="366"/>
      <c r="R574" s="611"/>
      <c r="S574" s="614"/>
      <c r="T574" s="588"/>
      <c r="U574" s="188"/>
      <c r="V574" s="366"/>
      <c r="W574" s="366"/>
      <c r="X574" s="366"/>
      <c r="Y574" s="366"/>
      <c r="Z574" s="366"/>
      <c r="AA574" s="366"/>
      <c r="AB574" s="366"/>
      <c r="AC574" s="366"/>
      <c r="AD574" s="366"/>
      <c r="AE574" s="366"/>
      <c r="AF574" s="366"/>
      <c r="AG574" s="366"/>
      <c r="AH574" s="366"/>
      <c r="AI574" s="366"/>
      <c r="AJ574" s="366"/>
      <c r="AK574" s="619"/>
      <c r="AL574" s="617"/>
    </row>
    <row r="575" spans="1:38" ht="15.75">
      <c r="A575" s="190"/>
      <c r="B575" s="324"/>
      <c r="C575" s="324"/>
      <c r="D575" s="366"/>
      <c r="E575" s="366"/>
      <c r="F575" s="639"/>
      <c r="G575" s="324"/>
      <c r="H575" s="324"/>
      <c r="I575" s="366"/>
      <c r="J575" s="366"/>
      <c r="K575" s="641"/>
      <c r="L575" s="641"/>
      <c r="M575" s="641"/>
      <c r="N575" s="641"/>
      <c r="O575" s="366"/>
      <c r="P575" s="366"/>
      <c r="Q575" s="366"/>
      <c r="R575" s="611"/>
      <c r="S575" s="614"/>
      <c r="T575" s="588"/>
      <c r="U575" s="188"/>
      <c r="V575" s="366"/>
      <c r="W575" s="366"/>
      <c r="X575" s="366"/>
      <c r="Y575" s="366"/>
      <c r="Z575" s="366"/>
      <c r="AA575" s="366"/>
      <c r="AB575" s="366"/>
      <c r="AC575" s="366"/>
      <c r="AD575" s="366"/>
      <c r="AE575" s="366"/>
      <c r="AF575" s="366"/>
      <c r="AG575" s="366"/>
      <c r="AH575" s="366"/>
      <c r="AI575" s="366"/>
      <c r="AJ575" s="366"/>
      <c r="AK575" s="619"/>
      <c r="AL575" s="617"/>
    </row>
    <row r="576" spans="1:38" ht="15.75">
      <c r="A576" s="190"/>
      <c r="B576" s="324"/>
      <c r="C576" s="324"/>
      <c r="D576" s="366"/>
      <c r="E576" s="366"/>
      <c r="F576" s="639"/>
      <c r="G576" s="324"/>
      <c r="H576" s="324"/>
      <c r="I576" s="366"/>
      <c r="J576" s="366"/>
      <c r="K576" s="641"/>
      <c r="L576" s="641"/>
      <c r="M576" s="641"/>
      <c r="N576" s="641"/>
      <c r="O576" s="366"/>
      <c r="P576" s="366"/>
      <c r="Q576" s="366"/>
      <c r="R576" s="611"/>
      <c r="S576" s="614"/>
      <c r="T576" s="588"/>
      <c r="U576" s="188"/>
      <c r="V576" s="366"/>
      <c r="W576" s="366"/>
      <c r="X576" s="366"/>
      <c r="Y576" s="366"/>
      <c r="Z576" s="366"/>
      <c r="AA576" s="366"/>
      <c r="AB576" s="366"/>
      <c r="AC576" s="366"/>
      <c r="AD576" s="366"/>
      <c r="AE576" s="366"/>
      <c r="AF576" s="366"/>
      <c r="AG576" s="366"/>
      <c r="AH576" s="366"/>
      <c r="AI576" s="366"/>
      <c r="AJ576" s="366"/>
      <c r="AK576" s="619"/>
      <c r="AL576" s="617"/>
    </row>
    <row r="577" spans="1:38" ht="15.75">
      <c r="A577" s="190"/>
      <c r="B577" s="324"/>
      <c r="C577" s="324"/>
      <c r="D577" s="366"/>
      <c r="E577" s="366"/>
      <c r="F577" s="639"/>
      <c r="G577" s="324"/>
      <c r="H577" s="324"/>
      <c r="I577" s="366"/>
      <c r="J577" s="366"/>
      <c r="K577" s="641"/>
      <c r="L577" s="641"/>
      <c r="M577" s="641"/>
      <c r="N577" s="641"/>
      <c r="O577" s="366"/>
      <c r="P577" s="366"/>
      <c r="Q577" s="366"/>
      <c r="R577" s="611"/>
      <c r="S577" s="614"/>
      <c r="T577" s="588"/>
      <c r="U577" s="188"/>
      <c r="V577" s="366"/>
      <c r="W577" s="366"/>
      <c r="X577" s="366"/>
      <c r="Y577" s="366"/>
      <c r="Z577" s="366"/>
      <c r="AA577" s="366"/>
      <c r="AB577" s="366"/>
      <c r="AC577" s="366"/>
      <c r="AD577" s="366"/>
      <c r="AE577" s="366"/>
      <c r="AF577" s="366"/>
      <c r="AG577" s="366"/>
      <c r="AH577" s="366"/>
      <c r="AI577" s="366"/>
      <c r="AJ577" s="366"/>
      <c r="AK577" s="619"/>
      <c r="AL577" s="617"/>
    </row>
    <row r="578" spans="1:38" ht="15.75">
      <c r="A578" s="190"/>
      <c r="B578" s="324"/>
      <c r="C578" s="324"/>
      <c r="D578" s="366"/>
      <c r="E578" s="366"/>
      <c r="F578" s="639"/>
      <c r="G578" s="324"/>
      <c r="H578" s="324"/>
      <c r="I578" s="366"/>
      <c r="J578" s="366"/>
      <c r="K578" s="641"/>
      <c r="L578" s="641"/>
      <c r="M578" s="641"/>
      <c r="N578" s="641"/>
      <c r="O578" s="366"/>
      <c r="P578" s="366"/>
      <c r="Q578" s="366"/>
      <c r="R578" s="611"/>
      <c r="S578" s="614"/>
      <c r="T578" s="588"/>
      <c r="U578" s="188"/>
      <c r="V578" s="366"/>
      <c r="W578" s="366"/>
      <c r="X578" s="366"/>
      <c r="Y578" s="366"/>
      <c r="Z578" s="366"/>
      <c r="AA578" s="366"/>
      <c r="AB578" s="366"/>
      <c r="AC578" s="366"/>
      <c r="AD578" s="366"/>
      <c r="AE578" s="366"/>
      <c r="AF578" s="366"/>
      <c r="AG578" s="366"/>
      <c r="AH578" s="366"/>
      <c r="AI578" s="366"/>
      <c r="AJ578" s="366"/>
      <c r="AK578" s="619"/>
      <c r="AL578" s="617"/>
    </row>
    <row r="579" spans="1:38" ht="15.75">
      <c r="A579" s="190"/>
      <c r="B579" s="324"/>
      <c r="C579" s="324"/>
      <c r="D579" s="366"/>
      <c r="E579" s="366"/>
      <c r="F579" s="639"/>
      <c r="G579" s="324"/>
      <c r="H579" s="324"/>
      <c r="I579" s="366"/>
      <c r="J579" s="366"/>
      <c r="K579" s="641"/>
      <c r="L579" s="641"/>
      <c r="M579" s="641"/>
      <c r="N579" s="641"/>
      <c r="O579" s="366"/>
      <c r="P579" s="366"/>
      <c r="Q579" s="366"/>
      <c r="R579" s="611"/>
      <c r="S579" s="614"/>
      <c r="T579" s="588"/>
      <c r="U579" s="188"/>
      <c r="V579" s="366"/>
      <c r="W579" s="366"/>
      <c r="X579" s="366"/>
      <c r="Y579" s="366"/>
      <c r="Z579" s="366"/>
      <c r="AA579" s="366"/>
      <c r="AB579" s="366"/>
      <c r="AC579" s="366"/>
      <c r="AD579" s="366"/>
      <c r="AE579" s="366"/>
      <c r="AF579" s="366"/>
      <c r="AG579" s="366"/>
      <c r="AH579" s="366"/>
      <c r="AI579" s="366"/>
      <c r="AJ579" s="366"/>
      <c r="AK579" s="619"/>
      <c r="AL579" s="617"/>
    </row>
    <row r="580" spans="1:38" ht="15.75">
      <c r="A580" s="190"/>
      <c r="B580" s="324"/>
      <c r="C580" s="324"/>
      <c r="D580" s="366"/>
      <c r="E580" s="366"/>
      <c r="F580" s="639"/>
      <c r="G580" s="324"/>
      <c r="H580" s="324"/>
      <c r="I580" s="366"/>
      <c r="J580" s="366"/>
      <c r="K580" s="641"/>
      <c r="L580" s="641"/>
      <c r="M580" s="641"/>
      <c r="N580" s="641"/>
      <c r="O580" s="366"/>
      <c r="P580" s="366"/>
      <c r="Q580" s="366"/>
      <c r="R580" s="611"/>
      <c r="S580" s="614"/>
      <c r="T580" s="588"/>
      <c r="U580" s="188"/>
      <c r="V580" s="366"/>
      <c r="W580" s="366"/>
      <c r="X580" s="366"/>
      <c r="Y580" s="366"/>
      <c r="Z580" s="366"/>
      <c r="AA580" s="366"/>
      <c r="AB580" s="366"/>
      <c r="AC580" s="366"/>
      <c r="AD580" s="366"/>
      <c r="AE580" s="366"/>
      <c r="AF580" s="366"/>
      <c r="AG580" s="366"/>
      <c r="AH580" s="366"/>
      <c r="AI580" s="366"/>
      <c r="AJ580" s="366"/>
      <c r="AK580" s="619"/>
      <c r="AL580" s="617"/>
    </row>
    <row r="581" spans="1:38" ht="15.75">
      <c r="A581" s="190"/>
      <c r="B581" s="324"/>
      <c r="C581" s="324"/>
      <c r="D581" s="366"/>
      <c r="E581" s="366"/>
      <c r="F581" s="639"/>
      <c r="G581" s="324"/>
      <c r="H581" s="324"/>
      <c r="I581" s="366"/>
      <c r="J581" s="366"/>
      <c r="K581" s="641"/>
      <c r="L581" s="641"/>
      <c r="M581" s="641"/>
      <c r="N581" s="641"/>
      <c r="O581" s="366"/>
      <c r="P581" s="366"/>
      <c r="Q581" s="366"/>
      <c r="R581" s="611"/>
      <c r="S581" s="614"/>
      <c r="T581" s="588"/>
      <c r="U581" s="188"/>
      <c r="V581" s="366"/>
      <c r="W581" s="366"/>
      <c r="X581" s="366"/>
      <c r="Y581" s="366"/>
      <c r="Z581" s="366"/>
      <c r="AA581" s="366"/>
      <c r="AB581" s="366"/>
      <c r="AC581" s="366"/>
      <c r="AD581" s="366"/>
      <c r="AE581" s="366"/>
      <c r="AF581" s="366"/>
      <c r="AG581" s="366"/>
      <c r="AH581" s="366"/>
      <c r="AI581" s="366"/>
      <c r="AJ581" s="366"/>
      <c r="AK581" s="619"/>
      <c r="AL581" s="617"/>
    </row>
    <row r="582" spans="1:38" ht="15.75">
      <c r="A582" s="190"/>
      <c r="B582" s="324"/>
      <c r="C582" s="324"/>
      <c r="D582" s="366"/>
      <c r="E582" s="366"/>
      <c r="F582" s="639"/>
      <c r="G582" s="324"/>
      <c r="H582" s="324"/>
      <c r="I582" s="366"/>
      <c r="J582" s="366"/>
      <c r="K582" s="641"/>
      <c r="L582" s="641"/>
      <c r="M582" s="641"/>
      <c r="N582" s="641"/>
      <c r="O582" s="366"/>
      <c r="P582" s="366"/>
      <c r="Q582" s="366"/>
      <c r="R582" s="611"/>
      <c r="S582" s="614"/>
      <c r="T582" s="588"/>
      <c r="U582" s="188"/>
      <c r="V582" s="366"/>
      <c r="W582" s="366"/>
      <c r="X582" s="366"/>
      <c r="Y582" s="366"/>
      <c r="Z582" s="366"/>
      <c r="AA582" s="366"/>
      <c r="AB582" s="366"/>
      <c r="AC582" s="366"/>
      <c r="AD582" s="366"/>
      <c r="AE582" s="366"/>
      <c r="AF582" s="366"/>
      <c r="AG582" s="366"/>
      <c r="AH582" s="366"/>
      <c r="AI582" s="366"/>
      <c r="AJ582" s="366"/>
      <c r="AK582" s="619"/>
      <c r="AL582" s="617"/>
    </row>
    <row r="583" spans="1:38" ht="15.75">
      <c r="A583" s="190"/>
      <c r="B583" s="324"/>
      <c r="C583" s="324"/>
      <c r="D583" s="366"/>
      <c r="E583" s="366"/>
      <c r="F583" s="639"/>
      <c r="G583" s="324"/>
      <c r="H583" s="324"/>
      <c r="I583" s="366"/>
      <c r="J583" s="366"/>
      <c r="K583" s="641"/>
      <c r="L583" s="641"/>
      <c r="M583" s="641"/>
      <c r="N583" s="641"/>
      <c r="O583" s="366"/>
      <c r="P583" s="366"/>
      <c r="Q583" s="366"/>
      <c r="R583" s="611"/>
      <c r="S583" s="614"/>
      <c r="T583" s="588"/>
      <c r="U583" s="188"/>
      <c r="V583" s="366"/>
      <c r="W583" s="366"/>
      <c r="X583" s="366"/>
      <c r="Y583" s="366"/>
      <c r="Z583" s="366"/>
      <c r="AA583" s="366"/>
      <c r="AB583" s="366"/>
      <c r="AC583" s="366"/>
      <c r="AD583" s="366"/>
      <c r="AE583" s="366"/>
      <c r="AF583" s="366"/>
      <c r="AG583" s="366"/>
      <c r="AH583" s="366"/>
      <c r="AI583" s="366"/>
      <c r="AJ583" s="366"/>
      <c r="AK583" s="619"/>
      <c r="AL583" s="617"/>
    </row>
    <row r="584" spans="1:38" ht="15.75">
      <c r="A584" s="190"/>
      <c r="B584" s="324"/>
      <c r="C584" s="324"/>
      <c r="D584" s="366"/>
      <c r="E584" s="366"/>
      <c r="F584" s="639"/>
      <c r="G584" s="324"/>
      <c r="H584" s="324"/>
      <c r="I584" s="366"/>
      <c r="J584" s="366"/>
      <c r="K584" s="641"/>
      <c r="L584" s="641"/>
      <c r="M584" s="641"/>
      <c r="N584" s="641"/>
      <c r="O584" s="366"/>
      <c r="P584" s="366"/>
      <c r="Q584" s="366"/>
      <c r="R584" s="611"/>
      <c r="S584" s="614"/>
      <c r="T584" s="588"/>
      <c r="U584" s="188"/>
      <c r="V584" s="366"/>
      <c r="W584" s="366"/>
      <c r="X584" s="366"/>
      <c r="Y584" s="366"/>
      <c r="Z584" s="366"/>
      <c r="AA584" s="366"/>
      <c r="AB584" s="366"/>
      <c r="AC584" s="366"/>
      <c r="AD584" s="366"/>
      <c r="AE584" s="366"/>
      <c r="AF584" s="366"/>
      <c r="AG584" s="366"/>
      <c r="AH584" s="366"/>
      <c r="AI584" s="366"/>
      <c r="AJ584" s="366"/>
      <c r="AK584" s="619"/>
      <c r="AL584" s="617"/>
    </row>
    <row r="585" spans="1:38" ht="15.75">
      <c r="A585" s="190"/>
      <c r="B585" s="324"/>
      <c r="C585" s="324"/>
      <c r="D585" s="366"/>
      <c r="E585" s="366"/>
      <c r="F585" s="639"/>
      <c r="G585" s="324"/>
      <c r="H585" s="324"/>
      <c r="I585" s="366"/>
      <c r="J585" s="366"/>
      <c r="K585" s="641"/>
      <c r="L585" s="641"/>
      <c r="M585" s="641"/>
      <c r="N585" s="641"/>
      <c r="O585" s="366"/>
      <c r="P585" s="366"/>
      <c r="Q585" s="366"/>
      <c r="R585" s="611"/>
      <c r="S585" s="614"/>
      <c r="T585" s="588"/>
      <c r="U585" s="188"/>
      <c r="V585" s="366"/>
      <c r="W585" s="366"/>
      <c r="X585" s="366"/>
      <c r="Y585" s="366"/>
      <c r="Z585" s="366"/>
      <c r="AA585" s="366"/>
      <c r="AB585" s="366"/>
      <c r="AC585" s="366"/>
      <c r="AD585" s="366"/>
      <c r="AE585" s="366"/>
      <c r="AF585" s="366"/>
      <c r="AG585" s="366"/>
      <c r="AH585" s="366"/>
      <c r="AI585" s="366"/>
      <c r="AJ585" s="366"/>
      <c r="AK585" s="619"/>
      <c r="AL585" s="617"/>
    </row>
    <row r="586" spans="1:38" ht="15.75">
      <c r="A586" s="190"/>
      <c r="B586" s="324"/>
      <c r="C586" s="324"/>
      <c r="D586" s="366"/>
      <c r="E586" s="366"/>
      <c r="F586" s="639"/>
      <c r="G586" s="324"/>
      <c r="H586" s="324"/>
      <c r="I586" s="366"/>
      <c r="J586" s="366"/>
      <c r="K586" s="641"/>
      <c r="L586" s="641"/>
      <c r="M586" s="641"/>
      <c r="N586" s="641"/>
      <c r="O586" s="366"/>
      <c r="P586" s="366"/>
      <c r="Q586" s="366"/>
      <c r="R586" s="611"/>
      <c r="S586" s="614"/>
      <c r="T586" s="588"/>
      <c r="U586" s="188"/>
      <c r="V586" s="366"/>
      <c r="W586" s="366"/>
      <c r="X586" s="366"/>
      <c r="Y586" s="366"/>
      <c r="Z586" s="366"/>
      <c r="AA586" s="366"/>
      <c r="AB586" s="366"/>
      <c r="AC586" s="366"/>
      <c r="AD586" s="366"/>
      <c r="AE586" s="366"/>
      <c r="AF586" s="366"/>
      <c r="AG586" s="366"/>
      <c r="AH586" s="366"/>
      <c r="AI586" s="366"/>
      <c r="AJ586" s="366"/>
      <c r="AK586" s="619"/>
      <c r="AL586" s="617"/>
    </row>
    <row r="587" spans="1:38" ht="15.75">
      <c r="A587" s="190"/>
      <c r="B587" s="324"/>
      <c r="C587" s="324"/>
      <c r="D587" s="190"/>
      <c r="E587" s="190"/>
      <c r="F587" s="640"/>
      <c r="G587" s="324"/>
      <c r="H587" s="324"/>
      <c r="I587" s="190"/>
      <c r="J587" s="190"/>
      <c r="K587" s="641"/>
      <c r="L587" s="641"/>
      <c r="M587" s="641"/>
      <c r="N587" s="641"/>
      <c r="O587" s="190"/>
      <c r="P587" s="190"/>
      <c r="Q587" s="190"/>
      <c r="R587" s="612"/>
      <c r="S587" s="615"/>
      <c r="T587" s="588"/>
      <c r="U587" s="188"/>
      <c r="V587" s="366"/>
      <c r="W587" s="366"/>
      <c r="X587" s="366"/>
      <c r="Y587" s="366"/>
      <c r="Z587" s="366"/>
      <c r="AA587" s="366"/>
      <c r="AB587" s="366"/>
      <c r="AC587" s="366"/>
      <c r="AD587" s="366"/>
      <c r="AE587" s="366"/>
      <c r="AF587" s="366"/>
      <c r="AG587" s="366"/>
      <c r="AH587" s="366"/>
      <c r="AI587" s="366"/>
      <c r="AJ587" s="366"/>
      <c r="AK587" s="619"/>
      <c r="AL587" s="617"/>
    </row>
    <row r="588" spans="1:38" ht="15.75">
      <c r="A588" s="190"/>
      <c r="B588" s="324"/>
      <c r="C588" s="324"/>
      <c r="D588" s="190"/>
      <c r="E588" s="190"/>
      <c r="F588" s="640"/>
      <c r="G588" s="324"/>
      <c r="H588" s="324"/>
      <c r="I588" s="190"/>
      <c r="J588" s="190"/>
      <c r="K588" s="641"/>
      <c r="L588" s="641"/>
      <c r="M588" s="641"/>
      <c r="N588" s="641"/>
      <c r="O588" s="190"/>
      <c r="P588" s="190"/>
      <c r="Q588" s="190"/>
      <c r="R588" s="612"/>
      <c r="S588" s="615"/>
      <c r="T588" s="588"/>
      <c r="U588" s="188"/>
      <c r="V588" s="366"/>
      <c r="W588" s="366"/>
      <c r="X588" s="366"/>
      <c r="Y588" s="366"/>
      <c r="Z588" s="366"/>
      <c r="AA588" s="366"/>
      <c r="AB588" s="366"/>
      <c r="AC588" s="366"/>
      <c r="AD588" s="366"/>
      <c r="AE588" s="366"/>
      <c r="AF588" s="366"/>
      <c r="AG588" s="366"/>
      <c r="AH588" s="366"/>
      <c r="AI588" s="366"/>
      <c r="AJ588" s="366"/>
      <c r="AK588" s="619"/>
      <c r="AL588" s="617"/>
    </row>
    <row r="589" spans="1:38" ht="15.75">
      <c r="A589" s="190"/>
      <c r="B589" s="324"/>
      <c r="C589" s="324"/>
      <c r="D589" s="190"/>
      <c r="E589" s="190"/>
      <c r="F589" s="640"/>
      <c r="G589" s="324"/>
      <c r="H589" s="324"/>
      <c r="I589" s="190"/>
      <c r="J589" s="190"/>
      <c r="K589" s="641"/>
      <c r="L589" s="641"/>
      <c r="M589" s="641"/>
      <c r="N589" s="641"/>
      <c r="O589" s="190"/>
      <c r="P589" s="190"/>
      <c r="Q589" s="190"/>
      <c r="R589" s="612"/>
      <c r="S589" s="615"/>
      <c r="T589" s="588"/>
      <c r="U589" s="188"/>
      <c r="V589" s="366"/>
      <c r="W589" s="366"/>
      <c r="X589" s="366"/>
      <c r="Y589" s="366"/>
      <c r="Z589" s="366"/>
      <c r="AA589" s="366"/>
      <c r="AB589" s="366"/>
      <c r="AC589" s="366"/>
      <c r="AD589" s="366"/>
      <c r="AE589" s="366"/>
      <c r="AF589" s="366"/>
      <c r="AG589" s="366"/>
      <c r="AH589" s="366"/>
      <c r="AI589" s="366"/>
      <c r="AJ589" s="366"/>
      <c r="AK589" s="619"/>
      <c r="AL589" s="617"/>
    </row>
    <row r="590" spans="1:38" ht="15.75">
      <c r="A590" s="190"/>
      <c r="B590" s="324"/>
      <c r="C590" s="324"/>
      <c r="D590" s="190"/>
      <c r="E590" s="190"/>
      <c r="F590" s="640"/>
      <c r="G590" s="324"/>
      <c r="H590" s="324"/>
      <c r="I590" s="190"/>
      <c r="J590" s="190"/>
      <c r="K590" s="641"/>
      <c r="L590" s="641"/>
      <c r="M590" s="641"/>
      <c r="N590" s="641"/>
      <c r="O590" s="190"/>
      <c r="P590" s="190"/>
      <c r="Q590" s="190"/>
      <c r="R590" s="612"/>
      <c r="S590" s="615"/>
      <c r="T590" s="588"/>
      <c r="U590" s="188"/>
      <c r="V590" s="366"/>
      <c r="W590" s="366"/>
      <c r="X590" s="366"/>
      <c r="Y590" s="366"/>
      <c r="Z590" s="366"/>
      <c r="AA590" s="366"/>
      <c r="AB590" s="366"/>
      <c r="AC590" s="366"/>
      <c r="AD590" s="366"/>
      <c r="AE590" s="366"/>
      <c r="AF590" s="366"/>
      <c r="AG590" s="366"/>
      <c r="AH590" s="366"/>
      <c r="AI590" s="366"/>
      <c r="AJ590" s="366"/>
      <c r="AK590" s="619"/>
      <c r="AL590" s="617"/>
    </row>
    <row r="591" spans="1:38" ht="15.75">
      <c r="A591" s="190"/>
      <c r="B591" s="324"/>
      <c r="C591" s="324"/>
      <c r="D591" s="190"/>
      <c r="E591" s="190"/>
      <c r="F591" s="640"/>
      <c r="G591" s="324"/>
      <c r="H591" s="324"/>
      <c r="I591" s="190"/>
      <c r="J591" s="190"/>
      <c r="K591" s="641"/>
      <c r="L591" s="641"/>
      <c r="M591" s="641"/>
      <c r="N591" s="641"/>
      <c r="O591" s="190"/>
      <c r="P591" s="190"/>
      <c r="Q591" s="190"/>
      <c r="R591" s="612"/>
      <c r="S591" s="615"/>
      <c r="T591" s="588"/>
      <c r="U591" s="188"/>
      <c r="V591" s="366"/>
      <c r="W591" s="366"/>
      <c r="X591" s="366"/>
      <c r="Y591" s="366"/>
      <c r="Z591" s="366"/>
      <c r="AA591" s="366"/>
      <c r="AB591" s="366"/>
      <c r="AC591" s="366"/>
      <c r="AD591" s="366"/>
      <c r="AE591" s="366"/>
      <c r="AF591" s="366"/>
      <c r="AG591" s="366"/>
      <c r="AH591" s="366"/>
      <c r="AI591" s="366"/>
      <c r="AJ591" s="366"/>
      <c r="AK591" s="619"/>
      <c r="AL591" s="617"/>
    </row>
    <row r="592" spans="1:38" ht="15.75">
      <c r="A592" s="190"/>
      <c r="B592" s="324"/>
      <c r="C592" s="324"/>
      <c r="D592" s="190"/>
      <c r="E592" s="190"/>
      <c r="F592" s="640"/>
      <c r="G592" s="324"/>
      <c r="H592" s="324"/>
      <c r="I592" s="190"/>
      <c r="J592" s="190"/>
      <c r="K592" s="641"/>
      <c r="L592" s="641"/>
      <c r="M592" s="641"/>
      <c r="N592" s="641"/>
      <c r="O592" s="190"/>
      <c r="P592" s="190"/>
      <c r="Q592" s="190"/>
      <c r="R592" s="612"/>
      <c r="S592" s="615"/>
      <c r="T592" s="588"/>
      <c r="U592" s="188"/>
      <c r="V592" s="366"/>
      <c r="W592" s="366"/>
      <c r="X592" s="366"/>
      <c r="Y592" s="366"/>
      <c r="Z592" s="366"/>
      <c r="AA592" s="366"/>
      <c r="AB592" s="366"/>
      <c r="AC592" s="366"/>
      <c r="AD592" s="366"/>
      <c r="AE592" s="366"/>
      <c r="AF592" s="366"/>
      <c r="AG592" s="366"/>
      <c r="AH592" s="366"/>
      <c r="AI592" s="366"/>
      <c r="AJ592" s="366"/>
      <c r="AK592" s="619"/>
      <c r="AL592" s="617"/>
    </row>
    <row r="593" spans="1:38" ht="15.75">
      <c r="A593" s="190"/>
      <c r="B593" s="324"/>
      <c r="C593" s="324"/>
      <c r="D593" s="190"/>
      <c r="E593" s="190"/>
      <c r="F593" s="640"/>
      <c r="G593" s="324"/>
      <c r="H593" s="324"/>
      <c r="I593" s="190"/>
      <c r="J593" s="190"/>
      <c r="K593" s="641"/>
      <c r="L593" s="641"/>
      <c r="M593" s="641"/>
      <c r="N593" s="641"/>
      <c r="O593" s="190"/>
      <c r="P593" s="190"/>
      <c r="Q593" s="190"/>
      <c r="R593" s="612"/>
      <c r="S593" s="615"/>
      <c r="T593" s="588"/>
      <c r="U593" s="188"/>
      <c r="V593" s="366"/>
      <c r="W593" s="366"/>
      <c r="X593" s="366"/>
      <c r="Y593" s="366"/>
      <c r="Z593" s="366"/>
      <c r="AA593" s="366"/>
      <c r="AB593" s="366"/>
      <c r="AC593" s="366"/>
      <c r="AD593" s="366"/>
      <c r="AE593" s="366"/>
      <c r="AF593" s="366"/>
      <c r="AG593" s="366"/>
      <c r="AH593" s="366"/>
      <c r="AI593" s="366"/>
      <c r="AJ593" s="366"/>
      <c r="AK593" s="619"/>
      <c r="AL593" s="617"/>
    </row>
    <row r="594" spans="1:38" ht="15.75">
      <c r="A594" s="190"/>
      <c r="B594" s="324"/>
      <c r="C594" s="324"/>
      <c r="D594" s="190"/>
      <c r="E594" s="190"/>
      <c r="F594" s="640"/>
      <c r="G594" s="324"/>
      <c r="H594" s="324"/>
      <c r="I594" s="190"/>
      <c r="J594" s="190"/>
      <c r="K594" s="641"/>
      <c r="L594" s="641"/>
      <c r="M594" s="641"/>
      <c r="N594" s="641"/>
      <c r="O594" s="190"/>
      <c r="P594" s="190"/>
      <c r="Q594" s="190"/>
      <c r="R594" s="612"/>
      <c r="S594" s="615"/>
      <c r="T594" s="588"/>
      <c r="U594" s="188"/>
      <c r="V594" s="366"/>
      <c r="W594" s="366"/>
      <c r="X594" s="366"/>
      <c r="Y594" s="366"/>
      <c r="Z594" s="366"/>
      <c r="AA594" s="366"/>
      <c r="AB594" s="366"/>
      <c r="AC594" s="366"/>
      <c r="AD594" s="366"/>
      <c r="AE594" s="366"/>
      <c r="AF594" s="366"/>
      <c r="AG594" s="366"/>
      <c r="AH594" s="366"/>
      <c r="AI594" s="366"/>
      <c r="AJ594" s="366"/>
      <c r="AK594" s="619"/>
      <c r="AL594" s="617"/>
    </row>
    <row r="595" spans="1:38" ht="15.75">
      <c r="A595" s="190"/>
      <c r="B595" s="324"/>
      <c r="C595" s="324"/>
      <c r="D595" s="190"/>
      <c r="E595" s="190"/>
      <c r="F595" s="640"/>
      <c r="G595" s="324"/>
      <c r="H595" s="324"/>
      <c r="I595" s="190"/>
      <c r="J595" s="190"/>
      <c r="K595" s="641"/>
      <c r="L595" s="641"/>
      <c r="M595" s="641"/>
      <c r="N595" s="641"/>
      <c r="O595" s="190"/>
      <c r="P595" s="190"/>
      <c r="Q595" s="190"/>
      <c r="R595" s="612"/>
      <c r="S595" s="615"/>
      <c r="T595" s="588"/>
      <c r="U595" s="188"/>
      <c r="V595" s="366"/>
      <c r="W595" s="366"/>
      <c r="X595" s="366"/>
      <c r="Y595" s="366"/>
      <c r="Z595" s="366"/>
      <c r="AA595" s="366"/>
      <c r="AB595" s="366"/>
      <c r="AC595" s="366"/>
      <c r="AD595" s="366"/>
      <c r="AE595" s="366"/>
      <c r="AF595" s="366"/>
      <c r="AG595" s="366"/>
      <c r="AH595" s="366"/>
      <c r="AI595" s="366"/>
      <c r="AJ595" s="366"/>
      <c r="AK595" s="619"/>
      <c r="AL595" s="617"/>
    </row>
    <row r="596" spans="1:38" ht="15.75">
      <c r="A596" s="190"/>
      <c r="B596" s="324"/>
      <c r="C596" s="324"/>
      <c r="D596" s="190"/>
      <c r="E596" s="190"/>
      <c r="F596" s="640"/>
      <c r="G596" s="324"/>
      <c r="H596" s="324"/>
      <c r="I596" s="190"/>
      <c r="J596" s="190"/>
      <c r="K596" s="641"/>
      <c r="L596" s="641"/>
      <c r="M596" s="641"/>
      <c r="N596" s="641"/>
      <c r="O596" s="190"/>
      <c r="P596" s="190"/>
      <c r="Q596" s="190"/>
      <c r="R596" s="612"/>
      <c r="S596" s="615"/>
      <c r="T596" s="588"/>
      <c r="U596" s="188"/>
      <c r="V596" s="366"/>
      <c r="W596" s="366"/>
      <c r="X596" s="366"/>
      <c r="Y596" s="366"/>
      <c r="Z596" s="366"/>
      <c r="AA596" s="366"/>
      <c r="AB596" s="366"/>
      <c r="AC596" s="366"/>
      <c r="AD596" s="366"/>
      <c r="AE596" s="366"/>
      <c r="AF596" s="366"/>
      <c r="AG596" s="366"/>
      <c r="AH596" s="366"/>
      <c r="AI596" s="366"/>
      <c r="AJ596" s="366"/>
      <c r="AK596" s="619"/>
      <c r="AL596" s="617"/>
    </row>
    <row r="597" spans="1:38" ht="15.75">
      <c r="A597" s="190"/>
      <c r="B597" s="324"/>
      <c r="C597" s="324"/>
      <c r="D597" s="190"/>
      <c r="E597" s="190"/>
      <c r="F597" s="640"/>
      <c r="G597" s="324"/>
      <c r="H597" s="324"/>
      <c r="I597" s="190"/>
      <c r="J597" s="190"/>
      <c r="K597" s="641"/>
      <c r="L597" s="641"/>
      <c r="M597" s="641"/>
      <c r="N597" s="641"/>
      <c r="O597" s="190"/>
      <c r="P597" s="190"/>
      <c r="Q597" s="190"/>
      <c r="R597" s="612"/>
      <c r="S597" s="615"/>
      <c r="T597" s="588"/>
      <c r="U597" s="188"/>
      <c r="V597" s="366"/>
      <c r="W597" s="366"/>
      <c r="X597" s="366"/>
      <c r="Y597" s="366"/>
      <c r="Z597" s="366"/>
      <c r="AA597" s="366"/>
      <c r="AB597" s="366"/>
      <c r="AC597" s="366"/>
      <c r="AD597" s="366"/>
      <c r="AE597" s="366"/>
      <c r="AF597" s="366"/>
      <c r="AG597" s="366"/>
      <c r="AH597" s="366"/>
      <c r="AI597" s="366"/>
      <c r="AJ597" s="366"/>
      <c r="AK597" s="619"/>
      <c r="AL597" s="617"/>
    </row>
    <row r="598" spans="1:38" ht="15.75">
      <c r="A598" s="190"/>
      <c r="B598" s="324"/>
      <c r="C598" s="324"/>
      <c r="D598" s="190"/>
      <c r="E598" s="190"/>
      <c r="F598" s="640"/>
      <c r="G598" s="324"/>
      <c r="H598" s="324"/>
      <c r="I598" s="190"/>
      <c r="J598" s="190"/>
      <c r="K598" s="641"/>
      <c r="L598" s="641"/>
      <c r="M598" s="641"/>
      <c r="N598" s="641"/>
      <c r="O598" s="190"/>
      <c r="P598" s="190"/>
      <c r="Q598" s="190"/>
      <c r="R598" s="612"/>
      <c r="S598" s="615"/>
      <c r="T598" s="588"/>
      <c r="U598" s="188"/>
      <c r="V598" s="366"/>
      <c r="W598" s="366"/>
      <c r="X598" s="366"/>
      <c r="Y598" s="366"/>
      <c r="Z598" s="366"/>
      <c r="AA598" s="366"/>
      <c r="AB598" s="366"/>
      <c r="AC598" s="366"/>
      <c r="AD598" s="366"/>
      <c r="AE598" s="366"/>
      <c r="AF598" s="366"/>
      <c r="AG598" s="366"/>
      <c r="AH598" s="366"/>
      <c r="AI598" s="366"/>
      <c r="AJ598" s="366"/>
      <c r="AK598" s="619"/>
      <c r="AL598" s="617"/>
    </row>
    <row r="599" spans="1:38" ht="15.75">
      <c r="A599" s="190"/>
      <c r="B599" s="324"/>
      <c r="C599" s="324"/>
      <c r="D599" s="190"/>
      <c r="E599" s="190"/>
      <c r="F599" s="640"/>
      <c r="G599" s="324"/>
      <c r="H599" s="324"/>
      <c r="I599" s="190"/>
      <c r="J599" s="190"/>
      <c r="K599" s="641"/>
      <c r="L599" s="641"/>
      <c r="M599" s="641"/>
      <c r="N599" s="641"/>
      <c r="O599" s="190"/>
      <c r="P599" s="190"/>
      <c r="Q599" s="190"/>
      <c r="R599" s="612"/>
      <c r="S599" s="615"/>
      <c r="T599" s="588"/>
      <c r="U599" s="188"/>
      <c r="V599" s="366"/>
      <c r="W599" s="366"/>
      <c r="X599" s="366"/>
      <c r="Y599" s="366"/>
      <c r="Z599" s="366"/>
      <c r="AA599" s="366"/>
      <c r="AB599" s="366"/>
      <c r="AC599" s="366"/>
      <c r="AD599" s="366"/>
      <c r="AE599" s="366"/>
      <c r="AF599" s="366"/>
      <c r="AG599" s="366"/>
      <c r="AH599" s="366"/>
      <c r="AI599" s="366"/>
      <c r="AJ599" s="366"/>
      <c r="AK599" s="619"/>
      <c r="AL599" s="617"/>
    </row>
    <row r="600" spans="1:38" ht="15.75">
      <c r="A600" s="190"/>
      <c r="B600" s="324"/>
      <c r="C600" s="324"/>
      <c r="D600" s="190"/>
      <c r="E600" s="190"/>
      <c r="F600" s="640"/>
      <c r="G600" s="324"/>
      <c r="H600" s="324"/>
      <c r="I600" s="190"/>
      <c r="J600" s="190"/>
      <c r="K600" s="641"/>
      <c r="L600" s="641"/>
      <c r="M600" s="641"/>
      <c r="N600" s="641"/>
      <c r="O600" s="190"/>
      <c r="P600" s="190"/>
      <c r="Q600" s="190"/>
      <c r="R600" s="612"/>
      <c r="S600" s="615"/>
      <c r="T600" s="588"/>
      <c r="U600" s="188"/>
      <c r="V600" s="366"/>
      <c r="W600" s="366"/>
      <c r="X600" s="366"/>
      <c r="Y600" s="366"/>
      <c r="Z600" s="366"/>
      <c r="AA600" s="366"/>
      <c r="AB600" s="366"/>
      <c r="AC600" s="366"/>
      <c r="AD600" s="366"/>
      <c r="AE600" s="366"/>
      <c r="AF600" s="366"/>
      <c r="AG600" s="366"/>
      <c r="AH600" s="366"/>
      <c r="AI600" s="366"/>
      <c r="AJ600" s="366"/>
      <c r="AK600" s="619"/>
      <c r="AL600" s="617"/>
    </row>
    <row r="601" spans="1:38" ht="15.75">
      <c r="A601" s="190"/>
      <c r="B601" s="324"/>
      <c r="C601" s="324"/>
      <c r="D601" s="190"/>
      <c r="E601" s="190"/>
      <c r="F601" s="640"/>
      <c r="G601" s="324"/>
      <c r="H601" s="324"/>
      <c r="I601" s="190"/>
      <c r="J601" s="190"/>
      <c r="K601" s="641"/>
      <c r="L601" s="641"/>
      <c r="M601" s="641"/>
      <c r="N601" s="641"/>
      <c r="O601" s="190"/>
      <c r="P601" s="190"/>
      <c r="Q601" s="190"/>
      <c r="R601" s="612"/>
      <c r="S601" s="615"/>
      <c r="T601" s="588"/>
      <c r="U601" s="188"/>
      <c r="V601" s="366"/>
      <c r="W601" s="366"/>
      <c r="X601" s="366"/>
      <c r="Y601" s="366"/>
      <c r="Z601" s="366"/>
      <c r="AA601" s="366"/>
      <c r="AB601" s="366"/>
      <c r="AC601" s="366"/>
      <c r="AD601" s="366"/>
      <c r="AE601" s="366"/>
      <c r="AF601" s="366"/>
      <c r="AG601" s="366"/>
      <c r="AH601" s="366"/>
      <c r="AI601" s="366"/>
      <c r="AJ601" s="366"/>
      <c r="AK601" s="619"/>
      <c r="AL601" s="617"/>
    </row>
    <row r="602" spans="1:38" ht="15.75">
      <c r="A602" s="190"/>
      <c r="B602" s="324"/>
      <c r="C602" s="324"/>
      <c r="D602" s="190"/>
      <c r="E602" s="190"/>
      <c r="F602" s="640"/>
      <c r="G602" s="324"/>
      <c r="H602" s="324"/>
      <c r="I602" s="190"/>
      <c r="J602" s="190"/>
      <c r="K602" s="641"/>
      <c r="L602" s="641"/>
      <c r="M602" s="641"/>
      <c r="N602" s="641"/>
      <c r="O602" s="190"/>
      <c r="P602" s="190"/>
      <c r="Q602" s="190"/>
      <c r="R602" s="612"/>
      <c r="S602" s="615"/>
      <c r="T602" s="588"/>
      <c r="U602" s="188"/>
      <c r="V602" s="366"/>
      <c r="W602" s="366"/>
      <c r="X602" s="366"/>
      <c r="Y602" s="366"/>
      <c r="Z602" s="366"/>
      <c r="AA602" s="366"/>
      <c r="AB602" s="366"/>
      <c r="AC602" s="366"/>
      <c r="AD602" s="366"/>
      <c r="AE602" s="366"/>
      <c r="AF602" s="366"/>
      <c r="AG602" s="366"/>
      <c r="AH602" s="366"/>
      <c r="AI602" s="366"/>
      <c r="AJ602" s="366"/>
      <c r="AK602" s="619"/>
      <c r="AL602" s="617"/>
    </row>
    <row r="603" spans="1:38" ht="15.75">
      <c r="A603" s="190"/>
      <c r="B603" s="324"/>
      <c r="C603" s="324"/>
      <c r="D603" s="190"/>
      <c r="E603" s="190"/>
      <c r="F603" s="640"/>
      <c r="G603" s="324"/>
      <c r="H603" s="324"/>
      <c r="I603" s="190"/>
      <c r="J603" s="190"/>
      <c r="K603" s="641"/>
      <c r="L603" s="641"/>
      <c r="M603" s="641"/>
      <c r="N603" s="641"/>
      <c r="O603" s="190"/>
      <c r="P603" s="190"/>
      <c r="Q603" s="190"/>
      <c r="R603" s="612"/>
      <c r="S603" s="615"/>
      <c r="T603" s="588"/>
      <c r="U603" s="188"/>
      <c r="V603" s="366"/>
      <c r="W603" s="366"/>
      <c r="X603" s="366"/>
      <c r="Y603" s="366"/>
      <c r="Z603" s="366"/>
      <c r="AA603" s="366"/>
      <c r="AB603" s="366"/>
      <c r="AC603" s="366"/>
      <c r="AD603" s="366"/>
      <c r="AE603" s="366"/>
      <c r="AF603" s="366"/>
      <c r="AG603" s="366"/>
      <c r="AH603" s="366"/>
      <c r="AI603" s="366"/>
      <c r="AJ603" s="366"/>
      <c r="AK603" s="619"/>
      <c r="AL603" s="617"/>
    </row>
    <row r="604" spans="1:38" ht="15.75">
      <c r="A604" s="190"/>
      <c r="B604" s="324"/>
      <c r="C604" s="324"/>
      <c r="D604" s="190"/>
      <c r="E604" s="190"/>
      <c r="F604" s="640"/>
      <c r="G604" s="324"/>
      <c r="H604" s="324"/>
      <c r="I604" s="190"/>
      <c r="J604" s="190"/>
      <c r="K604" s="641"/>
      <c r="L604" s="641"/>
      <c r="M604" s="641"/>
      <c r="N604" s="641"/>
      <c r="O604" s="190"/>
      <c r="P604" s="190"/>
      <c r="Q604" s="190"/>
      <c r="R604" s="612"/>
      <c r="S604" s="615"/>
      <c r="T604" s="588"/>
      <c r="U604" s="188"/>
      <c r="V604" s="366"/>
      <c r="W604" s="366"/>
      <c r="X604" s="366"/>
      <c r="Y604" s="366"/>
      <c r="Z604" s="366"/>
      <c r="AA604" s="366"/>
      <c r="AB604" s="366"/>
      <c r="AC604" s="366"/>
      <c r="AD604" s="366"/>
      <c r="AE604" s="366"/>
      <c r="AF604" s="366"/>
      <c r="AG604" s="366"/>
      <c r="AH604" s="366"/>
      <c r="AI604" s="366"/>
      <c r="AJ604" s="366"/>
      <c r="AK604" s="619"/>
      <c r="AL604" s="617"/>
    </row>
    <row r="605" spans="1:38" ht="15.75">
      <c r="A605" s="190"/>
      <c r="B605" s="324"/>
      <c r="C605" s="324"/>
      <c r="D605" s="190"/>
      <c r="E605" s="190"/>
      <c r="F605" s="640"/>
      <c r="G605" s="324"/>
      <c r="H605" s="324"/>
      <c r="I605" s="190"/>
      <c r="J605" s="190"/>
      <c r="K605" s="641"/>
      <c r="L605" s="641"/>
      <c r="M605" s="641"/>
      <c r="N605" s="641"/>
      <c r="O605" s="190"/>
      <c r="P605" s="190"/>
      <c r="Q605" s="190"/>
      <c r="R605" s="612"/>
      <c r="S605" s="615"/>
      <c r="T605" s="588"/>
      <c r="U605" s="188"/>
      <c r="V605" s="366"/>
      <c r="W605" s="366"/>
      <c r="X605" s="366"/>
      <c r="Y605" s="366"/>
      <c r="Z605" s="366"/>
      <c r="AA605" s="366"/>
      <c r="AB605" s="366"/>
      <c r="AC605" s="366"/>
      <c r="AD605" s="366"/>
      <c r="AE605" s="366"/>
      <c r="AF605" s="366"/>
      <c r="AG605" s="366"/>
      <c r="AH605" s="366"/>
      <c r="AI605" s="366"/>
      <c r="AJ605" s="366"/>
      <c r="AK605" s="619"/>
      <c r="AL605" s="617"/>
    </row>
    <row r="606" spans="1:38" ht="15.75">
      <c r="A606" s="190"/>
      <c r="B606" s="324"/>
      <c r="C606" s="324"/>
      <c r="D606" s="190"/>
      <c r="E606" s="190"/>
      <c r="F606" s="640"/>
      <c r="G606" s="324"/>
      <c r="H606" s="324"/>
      <c r="I606" s="190"/>
      <c r="J606" s="190"/>
      <c r="K606" s="641"/>
      <c r="L606" s="641"/>
      <c r="M606" s="641"/>
      <c r="N606" s="641"/>
      <c r="O606" s="190"/>
      <c r="P606" s="190"/>
      <c r="Q606" s="190"/>
      <c r="R606" s="612"/>
      <c r="S606" s="615"/>
      <c r="T606" s="588"/>
      <c r="U606" s="188"/>
      <c r="V606" s="366"/>
      <c r="W606" s="366"/>
      <c r="X606" s="366"/>
      <c r="Y606" s="366"/>
      <c r="Z606" s="366"/>
      <c r="AA606" s="366"/>
      <c r="AB606" s="366"/>
      <c r="AC606" s="366"/>
      <c r="AD606" s="366"/>
      <c r="AE606" s="366"/>
      <c r="AF606" s="366"/>
      <c r="AG606" s="366"/>
      <c r="AH606" s="366"/>
      <c r="AI606" s="366"/>
      <c r="AJ606" s="366"/>
      <c r="AK606" s="619"/>
      <c r="AL606" s="617"/>
    </row>
    <row r="607" spans="1:38" ht="15.75">
      <c r="A607" s="190"/>
      <c r="B607" s="324"/>
      <c r="C607" s="324"/>
      <c r="D607" s="190"/>
      <c r="E607" s="190"/>
      <c r="F607" s="640"/>
      <c r="G607" s="324"/>
      <c r="H607" s="324"/>
      <c r="I607" s="190"/>
      <c r="J607" s="190"/>
      <c r="K607" s="641"/>
      <c r="L607" s="641"/>
      <c r="M607" s="641"/>
      <c r="N607" s="641"/>
      <c r="O607" s="190"/>
      <c r="P607" s="190"/>
      <c r="Q607" s="190"/>
      <c r="R607" s="612"/>
      <c r="S607" s="615"/>
      <c r="T607" s="588"/>
      <c r="U607" s="188"/>
      <c r="V607" s="366"/>
      <c r="W607" s="366"/>
      <c r="X607" s="366"/>
      <c r="Y607" s="366"/>
      <c r="Z607" s="366"/>
      <c r="AA607" s="366"/>
      <c r="AB607" s="366"/>
      <c r="AC607" s="366"/>
      <c r="AD607" s="366"/>
      <c r="AE607" s="366"/>
      <c r="AF607" s="366"/>
      <c r="AG607" s="366"/>
      <c r="AH607" s="366"/>
      <c r="AI607" s="366"/>
      <c r="AJ607" s="366"/>
      <c r="AK607" s="619"/>
      <c r="AL607" s="617"/>
    </row>
    <row r="608" spans="1:38" ht="15.75">
      <c r="A608" s="190"/>
      <c r="B608" s="324"/>
      <c r="C608" s="324"/>
      <c r="D608" s="190"/>
      <c r="E608" s="190"/>
      <c r="F608" s="640"/>
      <c r="G608" s="324"/>
      <c r="H608" s="324"/>
      <c r="I608" s="190"/>
      <c r="J608" s="190"/>
      <c r="K608" s="641"/>
      <c r="L608" s="641"/>
      <c r="M608" s="641"/>
      <c r="N608" s="641"/>
      <c r="O608" s="190"/>
      <c r="P608" s="190"/>
      <c r="Q608" s="190"/>
      <c r="R608" s="612"/>
      <c r="S608" s="615"/>
      <c r="T608" s="588"/>
      <c r="U608" s="188"/>
      <c r="V608" s="366"/>
      <c r="W608" s="366"/>
      <c r="X608" s="366"/>
      <c r="Y608" s="366"/>
      <c r="Z608" s="366"/>
      <c r="AA608" s="366"/>
      <c r="AB608" s="366"/>
      <c r="AC608" s="366"/>
      <c r="AD608" s="366"/>
      <c r="AE608" s="366"/>
      <c r="AF608" s="366"/>
      <c r="AG608" s="366"/>
      <c r="AH608" s="366"/>
      <c r="AI608" s="366"/>
      <c r="AJ608" s="366"/>
      <c r="AK608" s="619"/>
      <c r="AL608" s="617"/>
    </row>
    <row r="609" spans="1:38" ht="15.75">
      <c r="A609" s="190"/>
      <c r="B609" s="324"/>
      <c r="C609" s="324"/>
      <c r="D609" s="190"/>
      <c r="E609" s="190"/>
      <c r="F609" s="640"/>
      <c r="G609" s="324"/>
      <c r="H609" s="324"/>
      <c r="I609" s="190"/>
      <c r="J609" s="190"/>
      <c r="K609" s="641"/>
      <c r="L609" s="641"/>
      <c r="M609" s="641"/>
      <c r="N609" s="641"/>
      <c r="O609" s="190"/>
      <c r="P609" s="190"/>
      <c r="Q609" s="190"/>
      <c r="R609" s="612"/>
      <c r="S609" s="615"/>
      <c r="T609" s="588"/>
      <c r="U609" s="188"/>
      <c r="V609" s="366"/>
      <c r="W609" s="366"/>
      <c r="X609" s="366"/>
      <c r="Y609" s="366"/>
      <c r="Z609" s="366"/>
      <c r="AA609" s="366"/>
      <c r="AB609" s="366"/>
      <c r="AC609" s="366"/>
      <c r="AD609" s="366"/>
      <c r="AE609" s="366"/>
      <c r="AF609" s="366"/>
      <c r="AG609" s="366"/>
      <c r="AH609" s="366"/>
      <c r="AI609" s="366"/>
      <c r="AJ609" s="366"/>
      <c r="AK609" s="619"/>
      <c r="AL609" s="617"/>
    </row>
    <row r="610" spans="1:38" ht="15.75">
      <c r="A610" s="190"/>
      <c r="B610" s="324"/>
      <c r="C610" s="324"/>
      <c r="D610" s="190"/>
      <c r="E610" s="190"/>
      <c r="F610" s="640"/>
      <c r="G610" s="324"/>
      <c r="H610" s="324"/>
      <c r="I610" s="190"/>
      <c r="J610" s="190"/>
      <c r="K610" s="641"/>
      <c r="L610" s="641"/>
      <c r="M610" s="641"/>
      <c r="N610" s="641"/>
      <c r="O610" s="190"/>
      <c r="P610" s="190"/>
      <c r="Q610" s="190"/>
      <c r="R610" s="612"/>
      <c r="S610" s="615"/>
      <c r="T610" s="588"/>
      <c r="U610" s="188"/>
      <c r="V610" s="366"/>
      <c r="W610" s="366"/>
      <c r="X610" s="366"/>
      <c r="Y610" s="366"/>
      <c r="Z610" s="366"/>
      <c r="AA610" s="366"/>
      <c r="AB610" s="366"/>
      <c r="AC610" s="366"/>
      <c r="AD610" s="366"/>
      <c r="AE610" s="366"/>
      <c r="AF610" s="366"/>
      <c r="AG610" s="366"/>
      <c r="AH610" s="366"/>
      <c r="AI610" s="366"/>
      <c r="AJ610" s="366"/>
      <c r="AK610" s="619"/>
      <c r="AL610" s="617"/>
    </row>
    <row r="611" spans="1:38" ht="15.75">
      <c r="A611" s="190"/>
      <c r="B611" s="324"/>
      <c r="C611" s="324"/>
      <c r="D611" s="190"/>
      <c r="E611" s="190"/>
      <c r="F611" s="640"/>
      <c r="G611" s="324"/>
      <c r="H611" s="324"/>
      <c r="I611" s="190"/>
      <c r="J611" s="190"/>
      <c r="K611" s="641"/>
      <c r="L611" s="641"/>
      <c r="M611" s="641"/>
      <c r="N611" s="641"/>
      <c r="O611" s="190"/>
      <c r="P611" s="190"/>
      <c r="Q611" s="190"/>
      <c r="R611" s="612"/>
      <c r="S611" s="615"/>
      <c r="T611" s="588"/>
      <c r="U611" s="188"/>
      <c r="V611" s="366"/>
      <c r="W611" s="366"/>
      <c r="X611" s="366"/>
      <c r="Y611" s="366"/>
      <c r="Z611" s="366"/>
      <c r="AA611" s="366"/>
      <c r="AB611" s="366"/>
      <c r="AC611" s="366"/>
      <c r="AD611" s="366"/>
      <c r="AE611" s="366"/>
      <c r="AF611" s="366"/>
      <c r="AG611" s="366"/>
      <c r="AH611" s="366"/>
      <c r="AI611" s="366"/>
      <c r="AJ611" s="366"/>
      <c r="AK611" s="619"/>
      <c r="AL611" s="617"/>
    </row>
    <row r="612" spans="1:38" ht="15.75">
      <c r="A612" s="190"/>
      <c r="B612" s="324"/>
      <c r="C612" s="324"/>
      <c r="D612" s="190"/>
      <c r="E612" s="190"/>
      <c r="F612" s="640"/>
      <c r="G612" s="324"/>
      <c r="H612" s="324"/>
      <c r="I612" s="190"/>
      <c r="J612" s="190"/>
      <c r="K612" s="641"/>
      <c r="L612" s="641"/>
      <c r="M612" s="641"/>
      <c r="N612" s="641"/>
      <c r="O612" s="190"/>
      <c r="P612" s="190"/>
      <c r="Q612" s="190"/>
      <c r="R612" s="612"/>
      <c r="S612" s="615"/>
      <c r="T612" s="588"/>
      <c r="U612" s="188"/>
      <c r="V612" s="366"/>
      <c r="W612" s="366"/>
      <c r="X612" s="366"/>
      <c r="Y612" s="366"/>
      <c r="Z612" s="366"/>
      <c r="AA612" s="366"/>
      <c r="AB612" s="366"/>
      <c r="AC612" s="366"/>
      <c r="AD612" s="366"/>
      <c r="AE612" s="366"/>
      <c r="AF612" s="366"/>
      <c r="AG612" s="366"/>
      <c r="AH612" s="366"/>
      <c r="AI612" s="366"/>
      <c r="AJ612" s="366"/>
      <c r="AK612" s="619"/>
      <c r="AL612" s="617"/>
    </row>
    <row r="613" spans="1:38" ht="15.75">
      <c r="A613" s="190"/>
      <c r="B613" s="324"/>
      <c r="C613" s="324"/>
      <c r="D613" s="190"/>
      <c r="E613" s="190"/>
      <c r="F613" s="640"/>
      <c r="G613" s="324"/>
      <c r="H613" s="324"/>
      <c r="I613" s="190"/>
      <c r="J613" s="190"/>
      <c r="K613" s="641"/>
      <c r="L613" s="641"/>
      <c r="M613" s="641"/>
      <c r="N613" s="641"/>
      <c r="O613" s="190"/>
      <c r="P613" s="190"/>
      <c r="Q613" s="190"/>
      <c r="R613" s="612"/>
      <c r="S613" s="615"/>
      <c r="T613" s="588"/>
      <c r="U613" s="188"/>
      <c r="V613" s="366"/>
      <c r="W613" s="366"/>
      <c r="X613" s="366"/>
      <c r="Y613" s="366"/>
      <c r="Z613" s="366"/>
      <c r="AA613" s="366"/>
      <c r="AB613" s="366"/>
      <c r="AC613" s="366"/>
      <c r="AD613" s="366"/>
      <c r="AE613" s="366"/>
      <c r="AF613" s="366"/>
      <c r="AG613" s="366"/>
      <c r="AH613" s="366"/>
      <c r="AI613" s="366"/>
      <c r="AJ613" s="366"/>
      <c r="AK613" s="619"/>
      <c r="AL613" s="617"/>
    </row>
    <row r="614" spans="1:38" ht="15.75">
      <c r="A614" s="190"/>
      <c r="B614" s="324"/>
      <c r="C614" s="324"/>
      <c r="D614" s="190"/>
      <c r="E614" s="190"/>
      <c r="F614" s="640"/>
      <c r="G614" s="324"/>
      <c r="H614" s="324"/>
      <c r="I614" s="190"/>
      <c r="J614" s="190"/>
      <c r="K614" s="641"/>
      <c r="L614" s="641"/>
      <c r="M614" s="641"/>
      <c r="N614" s="641"/>
      <c r="O614" s="190"/>
      <c r="P614" s="190"/>
      <c r="Q614" s="190"/>
      <c r="R614" s="612"/>
      <c r="S614" s="615"/>
      <c r="T614" s="588"/>
      <c r="U614" s="188"/>
      <c r="V614" s="366"/>
      <c r="W614" s="366"/>
      <c r="X614" s="366"/>
      <c r="Y614" s="366"/>
      <c r="Z614" s="366"/>
      <c r="AA614" s="366"/>
      <c r="AB614" s="366"/>
      <c r="AC614" s="366"/>
      <c r="AD614" s="366"/>
      <c r="AE614" s="366"/>
      <c r="AF614" s="366"/>
      <c r="AG614" s="366"/>
      <c r="AH614" s="366"/>
      <c r="AI614" s="366"/>
      <c r="AJ614" s="366"/>
      <c r="AK614" s="619"/>
      <c r="AL614" s="617"/>
    </row>
    <row r="615" spans="1:38" ht="15.75">
      <c r="A615" s="190"/>
      <c r="B615" s="324"/>
      <c r="C615" s="324"/>
      <c r="D615" s="190"/>
      <c r="E615" s="190"/>
      <c r="F615" s="640"/>
      <c r="G615" s="324"/>
      <c r="H615" s="324"/>
      <c r="I615" s="190"/>
      <c r="J615" s="190"/>
      <c r="K615" s="641"/>
      <c r="L615" s="641"/>
      <c r="M615" s="641"/>
      <c r="N615" s="641"/>
      <c r="O615" s="190"/>
      <c r="P615" s="190"/>
      <c r="Q615" s="190"/>
      <c r="R615" s="612"/>
      <c r="S615" s="615"/>
      <c r="T615" s="588"/>
      <c r="U615" s="188"/>
      <c r="V615" s="366"/>
      <c r="W615" s="366"/>
      <c r="X615" s="366"/>
      <c r="Y615" s="366"/>
      <c r="Z615" s="366"/>
      <c r="AA615" s="366"/>
      <c r="AB615" s="366"/>
      <c r="AC615" s="366"/>
      <c r="AD615" s="366"/>
      <c r="AE615" s="366"/>
      <c r="AF615" s="366"/>
      <c r="AG615" s="366"/>
      <c r="AH615" s="366"/>
      <c r="AI615" s="366"/>
      <c r="AJ615" s="366"/>
      <c r="AK615" s="619"/>
      <c r="AL615" s="617"/>
    </row>
    <row r="616" spans="1:38" ht="15.75">
      <c r="A616" s="190"/>
      <c r="B616" s="324"/>
      <c r="C616" s="324"/>
      <c r="D616" s="190"/>
      <c r="E616" s="190"/>
      <c r="F616" s="640"/>
      <c r="G616" s="324"/>
      <c r="H616" s="324"/>
      <c r="I616" s="190"/>
      <c r="J616" s="190"/>
      <c r="K616" s="641"/>
      <c r="L616" s="641"/>
      <c r="M616" s="641"/>
      <c r="N616" s="641"/>
      <c r="O616" s="190"/>
      <c r="P616" s="190"/>
      <c r="Q616" s="190"/>
      <c r="R616" s="612"/>
      <c r="S616" s="615"/>
      <c r="T616" s="588"/>
      <c r="U616" s="188"/>
      <c r="V616" s="366"/>
      <c r="W616" s="366"/>
      <c r="X616" s="366"/>
      <c r="Y616" s="366"/>
      <c r="Z616" s="366"/>
      <c r="AA616" s="366"/>
      <c r="AB616" s="366"/>
      <c r="AC616" s="366"/>
      <c r="AD616" s="366"/>
      <c r="AE616" s="366"/>
      <c r="AF616" s="366"/>
      <c r="AG616" s="366"/>
      <c r="AH616" s="366"/>
      <c r="AI616" s="366"/>
      <c r="AJ616" s="366"/>
      <c r="AK616" s="619"/>
      <c r="AL616" s="617"/>
    </row>
    <row r="617" spans="1:38" ht="15.75">
      <c r="A617" s="190"/>
      <c r="B617" s="324"/>
      <c r="C617" s="324"/>
      <c r="D617" s="190"/>
      <c r="E617" s="190"/>
      <c r="F617" s="640"/>
      <c r="G617" s="324"/>
      <c r="H617" s="324"/>
      <c r="I617" s="190"/>
      <c r="J617" s="190"/>
      <c r="K617" s="641"/>
      <c r="L617" s="641"/>
      <c r="M617" s="641"/>
      <c r="N617" s="641"/>
      <c r="O617" s="190"/>
      <c r="P617" s="190"/>
      <c r="Q617" s="190"/>
      <c r="R617" s="612"/>
      <c r="S617" s="615"/>
      <c r="T617" s="588"/>
      <c r="U617" s="188"/>
      <c r="V617" s="366"/>
      <c r="W617" s="366"/>
      <c r="X617" s="366"/>
      <c r="Y617" s="366"/>
      <c r="Z617" s="366"/>
      <c r="AA617" s="366"/>
      <c r="AB617" s="366"/>
      <c r="AC617" s="366"/>
      <c r="AD617" s="366"/>
      <c r="AE617" s="366"/>
      <c r="AF617" s="366"/>
      <c r="AG617" s="366"/>
      <c r="AH617" s="366"/>
      <c r="AI617" s="366"/>
      <c r="AJ617" s="366"/>
      <c r="AK617" s="619"/>
      <c r="AL617" s="617"/>
    </row>
    <row r="618" spans="1:38" ht="15.75">
      <c r="A618" s="190"/>
      <c r="B618" s="324"/>
      <c r="C618" s="324"/>
      <c r="D618" s="190"/>
      <c r="E618" s="190"/>
      <c r="F618" s="640"/>
      <c r="G618" s="324"/>
      <c r="H618" s="324"/>
      <c r="I618" s="190"/>
      <c r="J618" s="190"/>
      <c r="K618" s="641"/>
      <c r="L618" s="641"/>
      <c r="M618" s="641"/>
      <c r="N618" s="641"/>
      <c r="O618" s="190"/>
      <c r="P618" s="190"/>
      <c r="Q618" s="190"/>
      <c r="R618" s="612"/>
      <c r="S618" s="615"/>
      <c r="T618" s="588"/>
      <c r="U618" s="188"/>
      <c r="V618" s="366"/>
      <c r="W618" s="366"/>
      <c r="X618" s="366"/>
      <c r="Y618" s="366"/>
      <c r="Z618" s="366"/>
      <c r="AA618" s="366"/>
      <c r="AB618" s="366"/>
      <c r="AC618" s="366"/>
      <c r="AD618" s="366"/>
      <c r="AE618" s="366"/>
      <c r="AF618" s="366"/>
      <c r="AG618" s="366"/>
      <c r="AH618" s="366"/>
      <c r="AI618" s="366"/>
      <c r="AJ618" s="366"/>
      <c r="AK618" s="619"/>
      <c r="AL618" s="617"/>
    </row>
    <row r="619" spans="1:38" ht="15.75">
      <c r="A619" s="190"/>
      <c r="B619" s="324"/>
      <c r="C619" s="324"/>
      <c r="D619" s="190"/>
      <c r="E619" s="190"/>
      <c r="F619" s="640"/>
      <c r="G619" s="324"/>
      <c r="H619" s="324"/>
      <c r="I619" s="190"/>
      <c r="J619" s="190"/>
      <c r="K619" s="641"/>
      <c r="L619" s="641"/>
      <c r="M619" s="641"/>
      <c r="N619" s="641"/>
      <c r="O619" s="190"/>
      <c r="P619" s="190"/>
      <c r="Q619" s="190"/>
      <c r="R619" s="612"/>
      <c r="S619" s="615"/>
      <c r="T619" s="588"/>
      <c r="U619" s="188"/>
      <c r="V619" s="366"/>
      <c r="W619" s="366"/>
      <c r="X619" s="366"/>
      <c r="Y619" s="366"/>
      <c r="Z619" s="366"/>
      <c r="AA619" s="366"/>
      <c r="AB619" s="366"/>
      <c r="AC619" s="366"/>
      <c r="AD619" s="366"/>
      <c r="AE619" s="366"/>
      <c r="AF619" s="366"/>
      <c r="AG619" s="366"/>
      <c r="AH619" s="366"/>
      <c r="AI619" s="366"/>
      <c r="AJ619" s="366"/>
      <c r="AK619" s="619"/>
      <c r="AL619" s="617"/>
    </row>
    <row r="620" spans="1:38" ht="15.75">
      <c r="A620" s="190"/>
      <c r="B620" s="324"/>
      <c r="C620" s="324"/>
      <c r="D620" s="190"/>
      <c r="E620" s="190"/>
      <c r="F620" s="640"/>
      <c r="G620" s="324"/>
      <c r="H620" s="324"/>
      <c r="I620" s="190"/>
      <c r="J620" s="190"/>
      <c r="K620" s="641"/>
      <c r="L620" s="641"/>
      <c r="M620" s="641"/>
      <c r="N620" s="641"/>
      <c r="O620" s="190"/>
      <c r="P620" s="190"/>
      <c r="Q620" s="190"/>
      <c r="R620" s="612"/>
      <c r="S620" s="615"/>
      <c r="T620" s="588"/>
      <c r="U620" s="188"/>
      <c r="V620" s="366"/>
      <c r="W620" s="366"/>
      <c r="X620" s="366"/>
      <c r="Y620" s="366"/>
      <c r="Z620" s="366"/>
      <c r="AA620" s="366"/>
      <c r="AB620" s="366"/>
      <c r="AC620" s="366"/>
      <c r="AD620" s="366"/>
      <c r="AE620" s="366"/>
      <c r="AF620" s="366"/>
      <c r="AG620" s="366"/>
      <c r="AH620" s="366"/>
      <c r="AI620" s="366"/>
      <c r="AJ620" s="366"/>
      <c r="AK620" s="619"/>
      <c r="AL620" s="617"/>
    </row>
    <row r="621" spans="1:38" ht="15.75">
      <c r="A621" s="190"/>
      <c r="B621" s="324"/>
      <c r="C621" s="324"/>
      <c r="D621" s="190"/>
      <c r="E621" s="190"/>
      <c r="F621" s="640"/>
      <c r="G621" s="324"/>
      <c r="H621" s="324"/>
      <c r="I621" s="190"/>
      <c r="J621" s="190"/>
      <c r="K621" s="641"/>
      <c r="L621" s="641"/>
      <c r="M621" s="641"/>
      <c r="N621" s="641"/>
      <c r="O621" s="190"/>
      <c r="P621" s="190"/>
      <c r="Q621" s="190"/>
      <c r="R621" s="612"/>
      <c r="S621" s="615"/>
      <c r="T621" s="588"/>
      <c r="U621" s="188"/>
      <c r="V621" s="366"/>
      <c r="W621" s="366"/>
      <c r="X621" s="366"/>
      <c r="Y621" s="366"/>
      <c r="Z621" s="366"/>
      <c r="AA621" s="366"/>
      <c r="AB621" s="366"/>
      <c r="AC621" s="366"/>
      <c r="AD621" s="366"/>
      <c r="AE621" s="366"/>
      <c r="AF621" s="366"/>
      <c r="AG621" s="366"/>
      <c r="AH621" s="366"/>
      <c r="AI621" s="366"/>
      <c r="AJ621" s="366"/>
      <c r="AK621" s="619"/>
      <c r="AL621" s="617"/>
    </row>
    <row r="622" spans="1:38" ht="15.75">
      <c r="A622" s="190"/>
      <c r="B622" s="324"/>
      <c r="C622" s="324"/>
      <c r="D622" s="190"/>
      <c r="E622" s="190"/>
      <c r="F622" s="640"/>
      <c r="G622" s="324"/>
      <c r="H622" s="324"/>
      <c r="I622" s="190"/>
      <c r="J622" s="190"/>
      <c r="K622" s="641"/>
      <c r="L622" s="641"/>
      <c r="M622" s="641"/>
      <c r="N622" s="641"/>
      <c r="O622" s="190"/>
      <c r="P622" s="190"/>
      <c r="Q622" s="190"/>
      <c r="R622" s="612"/>
      <c r="S622" s="615"/>
      <c r="T622" s="588"/>
      <c r="U622" s="188"/>
      <c r="V622" s="366"/>
      <c r="W622" s="366"/>
      <c r="X622" s="366"/>
      <c r="Y622" s="366"/>
      <c r="Z622" s="366"/>
      <c r="AA622" s="366"/>
      <c r="AB622" s="366"/>
      <c r="AC622" s="366"/>
      <c r="AD622" s="366"/>
      <c r="AE622" s="366"/>
      <c r="AF622" s="366"/>
      <c r="AG622" s="366"/>
      <c r="AH622" s="366"/>
      <c r="AI622" s="366"/>
      <c r="AJ622" s="366"/>
      <c r="AK622" s="619"/>
      <c r="AL622" s="617"/>
    </row>
    <row r="623" spans="1:38" ht="15.75">
      <c r="A623" s="190"/>
      <c r="B623" s="324"/>
      <c r="C623" s="324"/>
      <c r="D623" s="190"/>
      <c r="E623" s="190"/>
      <c r="F623" s="640"/>
      <c r="G623" s="324"/>
      <c r="H623" s="324"/>
      <c r="I623" s="190"/>
      <c r="J623" s="190"/>
      <c r="K623" s="641"/>
      <c r="L623" s="641"/>
      <c r="M623" s="641"/>
      <c r="N623" s="641"/>
      <c r="O623" s="190"/>
      <c r="P623" s="190"/>
      <c r="Q623" s="190"/>
      <c r="R623" s="612"/>
      <c r="S623" s="615"/>
      <c r="T623" s="588"/>
      <c r="U623" s="188"/>
      <c r="V623" s="366"/>
      <c r="W623" s="366"/>
      <c r="X623" s="366"/>
      <c r="Y623" s="366"/>
      <c r="Z623" s="366"/>
      <c r="AA623" s="366"/>
      <c r="AB623" s="366"/>
      <c r="AC623" s="366"/>
      <c r="AD623" s="366"/>
      <c r="AE623" s="366"/>
      <c r="AF623" s="366"/>
      <c r="AG623" s="366"/>
      <c r="AH623" s="366"/>
      <c r="AI623" s="366"/>
      <c r="AJ623" s="366"/>
      <c r="AK623" s="619"/>
      <c r="AL623" s="617"/>
    </row>
    <row r="624" spans="1:38" ht="15.75">
      <c r="A624" s="190"/>
      <c r="B624" s="324"/>
      <c r="C624" s="324"/>
      <c r="D624" s="190"/>
      <c r="E624" s="190"/>
      <c r="F624" s="640"/>
      <c r="G624" s="324"/>
      <c r="H624" s="324"/>
      <c r="I624" s="190"/>
      <c r="J624" s="190"/>
      <c r="K624" s="641"/>
      <c r="L624" s="641"/>
      <c r="M624" s="641"/>
      <c r="N624" s="641"/>
      <c r="O624" s="190"/>
      <c r="P624" s="190"/>
      <c r="Q624" s="190"/>
      <c r="R624" s="612"/>
      <c r="S624" s="615"/>
      <c r="T624" s="588"/>
      <c r="U624" s="188"/>
      <c r="V624" s="366"/>
      <c r="W624" s="366"/>
      <c r="X624" s="366"/>
      <c r="Y624" s="366"/>
      <c r="Z624" s="366"/>
      <c r="AA624" s="366"/>
      <c r="AB624" s="366"/>
      <c r="AC624" s="366"/>
      <c r="AD624" s="366"/>
      <c r="AE624" s="366"/>
      <c r="AF624" s="366"/>
      <c r="AG624" s="366"/>
      <c r="AH624" s="366"/>
      <c r="AI624" s="366"/>
      <c r="AJ624" s="366"/>
      <c r="AK624" s="619"/>
      <c r="AL624" s="617"/>
    </row>
    <row r="625" spans="1:38" ht="15.75">
      <c r="A625" s="190"/>
      <c r="B625" s="324"/>
      <c r="C625" s="324"/>
      <c r="D625" s="190"/>
      <c r="E625" s="190"/>
      <c r="F625" s="640"/>
      <c r="G625" s="324"/>
      <c r="H625" s="324"/>
      <c r="I625" s="190"/>
      <c r="J625" s="190"/>
      <c r="K625" s="641"/>
      <c r="L625" s="641"/>
      <c r="M625" s="641"/>
      <c r="N625" s="641"/>
      <c r="O625" s="190"/>
      <c r="P625" s="190"/>
      <c r="Q625" s="190"/>
      <c r="R625" s="612"/>
      <c r="S625" s="615"/>
      <c r="T625" s="588"/>
      <c r="U625" s="188"/>
      <c r="V625" s="366"/>
      <c r="W625" s="366"/>
      <c r="X625" s="366"/>
      <c r="Y625" s="366"/>
      <c r="Z625" s="366"/>
      <c r="AA625" s="366"/>
      <c r="AB625" s="366"/>
      <c r="AC625" s="366"/>
      <c r="AD625" s="366"/>
      <c r="AE625" s="366"/>
      <c r="AF625" s="366"/>
      <c r="AG625" s="366"/>
      <c r="AH625" s="366"/>
      <c r="AI625" s="366"/>
      <c r="AJ625" s="366"/>
      <c r="AK625" s="619"/>
      <c r="AL625" s="617"/>
    </row>
    <row r="626" spans="1:38" ht="15.75">
      <c r="A626" s="190"/>
      <c r="B626" s="324"/>
      <c r="C626" s="324"/>
      <c r="D626" s="190"/>
      <c r="E626" s="190"/>
      <c r="F626" s="640"/>
      <c r="G626" s="324"/>
      <c r="H626" s="324"/>
      <c r="I626" s="190"/>
      <c r="J626" s="190"/>
      <c r="K626" s="641"/>
      <c r="L626" s="641"/>
      <c r="M626" s="641"/>
      <c r="N626" s="641"/>
      <c r="O626" s="190"/>
      <c r="P626" s="190"/>
      <c r="Q626" s="190"/>
      <c r="R626" s="612"/>
      <c r="S626" s="615"/>
      <c r="T626" s="588"/>
      <c r="U626" s="188"/>
      <c r="V626" s="190"/>
      <c r="W626" s="190"/>
      <c r="X626" s="190"/>
      <c r="Y626" s="190"/>
      <c r="Z626" s="190"/>
      <c r="AA626" s="190"/>
      <c r="AB626" s="190"/>
      <c r="AC626" s="190"/>
      <c r="AD626" s="190"/>
      <c r="AE626" s="190"/>
      <c r="AF626" s="190"/>
      <c r="AG626" s="190"/>
      <c r="AH626" s="190"/>
      <c r="AI626" s="190"/>
      <c r="AJ626" s="190"/>
      <c r="AK626" s="619"/>
      <c r="AL626" s="617"/>
    </row>
    <row r="627" spans="1:38" ht="15.75">
      <c r="A627" s="190"/>
      <c r="B627" s="324"/>
      <c r="C627" s="324"/>
      <c r="D627" s="190"/>
      <c r="E627" s="190"/>
      <c r="F627" s="640"/>
      <c r="G627" s="324"/>
      <c r="H627" s="324"/>
      <c r="I627" s="190"/>
      <c r="J627" s="190"/>
      <c r="K627" s="641"/>
      <c r="L627" s="641"/>
      <c r="M627" s="641"/>
      <c r="N627" s="641"/>
      <c r="O627" s="190"/>
      <c r="P627" s="190"/>
      <c r="Q627" s="190"/>
      <c r="R627" s="612"/>
      <c r="S627" s="615"/>
      <c r="T627" s="588"/>
      <c r="U627" s="188"/>
      <c r="V627" s="190"/>
      <c r="W627" s="190"/>
      <c r="X627" s="190"/>
      <c r="Y627" s="190"/>
      <c r="Z627" s="190"/>
      <c r="AA627" s="190"/>
      <c r="AB627" s="190"/>
      <c r="AC627" s="190"/>
      <c r="AD627" s="190"/>
      <c r="AE627" s="190"/>
      <c r="AF627" s="190"/>
      <c r="AG627" s="190"/>
      <c r="AH627" s="190"/>
      <c r="AI627" s="190"/>
      <c r="AJ627" s="190"/>
      <c r="AK627" s="619"/>
      <c r="AL627" s="617"/>
    </row>
    <row r="628" spans="1:38" ht="15.75">
      <c r="A628" s="190"/>
      <c r="B628" s="324"/>
      <c r="C628" s="324"/>
      <c r="D628" s="190"/>
      <c r="E628" s="190"/>
      <c r="F628" s="640"/>
      <c r="G628" s="324"/>
      <c r="H628" s="324"/>
      <c r="I628" s="190"/>
      <c r="J628" s="190"/>
      <c r="K628" s="641"/>
      <c r="L628" s="641"/>
      <c r="M628" s="641"/>
      <c r="N628" s="641"/>
      <c r="O628" s="190"/>
      <c r="P628" s="190"/>
      <c r="Q628" s="190"/>
      <c r="R628" s="612"/>
      <c r="S628" s="615"/>
      <c r="T628" s="588"/>
      <c r="U628" s="188"/>
      <c r="V628" s="190"/>
      <c r="W628" s="190"/>
      <c r="X628" s="190"/>
      <c r="Y628" s="190"/>
      <c r="Z628" s="190"/>
      <c r="AA628" s="190"/>
      <c r="AB628" s="190"/>
      <c r="AC628" s="190"/>
      <c r="AD628" s="190"/>
      <c r="AE628" s="190"/>
      <c r="AF628" s="190"/>
      <c r="AG628" s="190"/>
      <c r="AH628" s="190"/>
      <c r="AI628" s="190"/>
      <c r="AJ628" s="190"/>
      <c r="AK628" s="619"/>
      <c r="AL628" s="617"/>
    </row>
    <row r="629" spans="1:38" ht="15.75">
      <c r="A629" s="190"/>
      <c r="B629" s="324"/>
      <c r="C629" s="324"/>
      <c r="D629" s="190"/>
      <c r="E629" s="190"/>
      <c r="F629" s="640"/>
      <c r="G629" s="324"/>
      <c r="H629" s="324"/>
      <c r="I629" s="190"/>
      <c r="J629" s="190"/>
      <c r="K629" s="641"/>
      <c r="L629" s="641"/>
      <c r="M629" s="641"/>
      <c r="N629" s="641"/>
      <c r="O629" s="190"/>
      <c r="P629" s="190"/>
      <c r="Q629" s="190"/>
      <c r="R629" s="612"/>
      <c r="S629" s="615"/>
      <c r="T629" s="588"/>
      <c r="U629" s="188"/>
      <c r="V629" s="190"/>
      <c r="W629" s="190"/>
      <c r="X629" s="190"/>
      <c r="Y629" s="190"/>
      <c r="Z629" s="190"/>
      <c r="AA629" s="190"/>
      <c r="AB629" s="190"/>
      <c r="AC629" s="190"/>
      <c r="AD629" s="190"/>
      <c r="AE629" s="190"/>
      <c r="AF629" s="190"/>
      <c r="AG629" s="190"/>
      <c r="AH629" s="190"/>
      <c r="AI629" s="190"/>
      <c r="AJ629" s="190"/>
      <c r="AK629" s="619"/>
      <c r="AL629" s="617"/>
    </row>
    <row r="630" spans="1:38" ht="15.75">
      <c r="A630" s="190"/>
      <c r="B630" s="324"/>
      <c r="C630" s="324"/>
      <c r="D630" s="190"/>
      <c r="E630" s="190"/>
      <c r="F630" s="640"/>
      <c r="G630" s="324"/>
      <c r="H630" s="324"/>
      <c r="I630" s="190"/>
      <c r="J630" s="190"/>
      <c r="K630" s="641"/>
      <c r="L630" s="641"/>
      <c r="M630" s="641"/>
      <c r="N630" s="641"/>
      <c r="O630" s="190"/>
      <c r="P630" s="190"/>
      <c r="Q630" s="190"/>
      <c r="R630" s="612"/>
      <c r="S630" s="615"/>
      <c r="T630" s="588"/>
      <c r="U630" s="188"/>
      <c r="V630" s="190"/>
      <c r="W630" s="190"/>
      <c r="X630" s="190"/>
      <c r="Y630" s="190"/>
      <c r="Z630" s="190"/>
      <c r="AA630" s="190"/>
      <c r="AB630" s="190"/>
      <c r="AC630" s="190"/>
      <c r="AD630" s="190"/>
      <c r="AE630" s="190"/>
      <c r="AF630" s="190"/>
      <c r="AG630" s="190"/>
      <c r="AH630" s="190"/>
      <c r="AI630" s="190"/>
      <c r="AJ630" s="190"/>
      <c r="AK630" s="619"/>
      <c r="AL630" s="617"/>
    </row>
    <row r="631" spans="1:38" ht="15.75">
      <c r="A631" s="190"/>
      <c r="B631" s="324"/>
      <c r="C631" s="324"/>
      <c r="D631" s="190"/>
      <c r="E631" s="190"/>
      <c r="F631" s="640"/>
      <c r="G631" s="324"/>
      <c r="H631" s="324"/>
      <c r="I631" s="190"/>
      <c r="J631" s="190"/>
      <c r="K631" s="641"/>
      <c r="L631" s="641"/>
      <c r="M631" s="641"/>
      <c r="N631" s="641"/>
      <c r="O631" s="190"/>
      <c r="P631" s="190"/>
      <c r="Q631" s="190"/>
      <c r="R631" s="612"/>
      <c r="S631" s="615"/>
      <c r="T631" s="588"/>
      <c r="U631" s="188"/>
      <c r="V631" s="190"/>
      <c r="W631" s="190"/>
      <c r="X631" s="190"/>
      <c r="Y631" s="190"/>
      <c r="Z631" s="190"/>
      <c r="AA631" s="190"/>
      <c r="AB631" s="190"/>
      <c r="AC631" s="190"/>
      <c r="AD631" s="190"/>
      <c r="AE631" s="190"/>
      <c r="AF631" s="190"/>
      <c r="AG631" s="190"/>
      <c r="AH631" s="190"/>
      <c r="AI631" s="190"/>
      <c r="AJ631" s="190"/>
      <c r="AK631" s="619"/>
      <c r="AL631" s="617"/>
    </row>
    <row r="632" spans="1:38" ht="15.75">
      <c r="A632" s="190"/>
      <c r="B632" s="324"/>
      <c r="C632" s="324"/>
      <c r="D632" s="190"/>
      <c r="E632" s="190"/>
      <c r="F632" s="640"/>
      <c r="G632" s="324"/>
      <c r="H632" s="324"/>
      <c r="I632" s="190"/>
      <c r="J632" s="190"/>
      <c r="K632" s="641"/>
      <c r="L632" s="641"/>
      <c r="M632" s="641"/>
      <c r="N632" s="641"/>
      <c r="O632" s="190"/>
      <c r="P632" s="190"/>
      <c r="Q632" s="190"/>
      <c r="R632" s="612"/>
      <c r="S632" s="615"/>
      <c r="T632" s="588"/>
      <c r="U632" s="188"/>
      <c r="V632" s="190"/>
      <c r="W632" s="190"/>
      <c r="X632" s="190"/>
      <c r="Y632" s="190"/>
      <c r="Z632" s="190"/>
      <c r="AA632" s="190"/>
      <c r="AB632" s="190"/>
      <c r="AC632" s="190"/>
      <c r="AD632" s="190"/>
      <c r="AE632" s="190"/>
      <c r="AF632" s="190"/>
      <c r="AG632" s="190"/>
      <c r="AH632" s="190"/>
      <c r="AI632" s="190"/>
      <c r="AJ632" s="190"/>
      <c r="AK632" s="619"/>
      <c r="AL632" s="617"/>
    </row>
    <row r="633" spans="1:38" ht="15.75">
      <c r="A633" s="190"/>
      <c r="B633" s="324"/>
      <c r="C633" s="324"/>
      <c r="D633" s="190"/>
      <c r="E633" s="190"/>
      <c r="F633" s="640"/>
      <c r="G633" s="324"/>
      <c r="H633" s="324"/>
      <c r="I633" s="190"/>
      <c r="J633" s="190"/>
      <c r="K633" s="641"/>
      <c r="L633" s="641"/>
      <c r="M633" s="641"/>
      <c r="N633" s="641"/>
      <c r="O633" s="190"/>
      <c r="P633" s="190"/>
      <c r="Q633" s="190"/>
      <c r="R633" s="612"/>
      <c r="S633" s="615"/>
      <c r="T633" s="588"/>
      <c r="U633" s="188"/>
      <c r="V633" s="190"/>
      <c r="W633" s="190"/>
      <c r="X633" s="190"/>
      <c r="Y633" s="190"/>
      <c r="Z633" s="190"/>
      <c r="AA633" s="190"/>
      <c r="AB633" s="190"/>
      <c r="AC633" s="190"/>
      <c r="AD633" s="190"/>
      <c r="AE633" s="190"/>
      <c r="AF633" s="190"/>
      <c r="AG633" s="190"/>
      <c r="AH633" s="190"/>
      <c r="AI633" s="190"/>
      <c r="AJ633" s="190"/>
      <c r="AK633" s="619"/>
      <c r="AL633" s="617"/>
    </row>
    <row r="634" spans="1:38" ht="15.75">
      <c r="A634" s="190"/>
      <c r="B634" s="324"/>
      <c r="C634" s="324"/>
      <c r="D634" s="190"/>
      <c r="E634" s="190"/>
      <c r="F634" s="640"/>
      <c r="G634" s="324"/>
      <c r="H634" s="324"/>
      <c r="I634" s="190"/>
      <c r="J634" s="190"/>
      <c r="K634" s="641"/>
      <c r="L634" s="641"/>
      <c r="M634" s="641"/>
      <c r="N634" s="641"/>
      <c r="O634" s="190"/>
      <c r="P634" s="190"/>
      <c r="Q634" s="190"/>
      <c r="R634" s="612"/>
      <c r="S634" s="615"/>
      <c r="T634" s="588"/>
      <c r="U634" s="188"/>
      <c r="V634" s="190"/>
      <c r="W634" s="190"/>
      <c r="X634" s="190"/>
      <c r="Y634" s="190"/>
      <c r="Z634" s="190"/>
      <c r="AA634" s="190"/>
      <c r="AB634" s="190"/>
      <c r="AC634" s="190"/>
      <c r="AD634" s="190"/>
      <c r="AE634" s="190"/>
      <c r="AF634" s="190"/>
      <c r="AG634" s="190"/>
      <c r="AH634" s="190"/>
      <c r="AI634" s="190"/>
      <c r="AJ634" s="190"/>
      <c r="AK634" s="619"/>
      <c r="AL634" s="617"/>
    </row>
    <row r="635" spans="1:38" ht="15.75">
      <c r="A635" s="190"/>
      <c r="B635" s="324"/>
      <c r="C635" s="324"/>
      <c r="D635" s="190"/>
      <c r="E635" s="190"/>
      <c r="F635" s="640"/>
      <c r="G635" s="324"/>
      <c r="H635" s="324"/>
      <c r="I635" s="190"/>
      <c r="J635" s="190"/>
      <c r="K635" s="641"/>
      <c r="L635" s="641"/>
      <c r="M635" s="641"/>
      <c r="N635" s="641"/>
      <c r="O635" s="190"/>
      <c r="P635" s="190"/>
      <c r="Q635" s="190"/>
      <c r="R635" s="612"/>
      <c r="S635" s="615"/>
      <c r="T635" s="588"/>
      <c r="U635" s="188"/>
      <c r="V635" s="190"/>
      <c r="W635" s="190"/>
      <c r="X635" s="190"/>
      <c r="Y635" s="190"/>
      <c r="Z635" s="190"/>
      <c r="AA635" s="190"/>
      <c r="AB635" s="190"/>
      <c r="AC635" s="190"/>
      <c r="AD635" s="190"/>
      <c r="AE635" s="190"/>
      <c r="AF635" s="190"/>
      <c r="AG635" s="190"/>
      <c r="AH635" s="190"/>
      <c r="AI635" s="190"/>
      <c r="AJ635" s="190"/>
      <c r="AK635" s="619"/>
      <c r="AL635" s="617"/>
    </row>
    <row r="636" spans="1:38" ht="15.75">
      <c r="A636" s="190"/>
      <c r="B636" s="324"/>
      <c r="C636" s="324"/>
      <c r="D636" s="190"/>
      <c r="E636" s="190"/>
      <c r="F636" s="640"/>
      <c r="G636" s="324"/>
      <c r="H636" s="324"/>
      <c r="I636" s="190"/>
      <c r="J636" s="190"/>
      <c r="K636" s="641"/>
      <c r="L636" s="641"/>
      <c r="M636" s="641"/>
      <c r="N636" s="641"/>
      <c r="O636" s="190"/>
      <c r="P636" s="190"/>
      <c r="Q636" s="190"/>
      <c r="R636" s="612"/>
      <c r="S636" s="615"/>
      <c r="T636" s="588"/>
      <c r="U636" s="188"/>
      <c r="V636" s="190"/>
      <c r="W636" s="190"/>
      <c r="X636" s="190"/>
      <c r="Y636" s="190"/>
      <c r="Z636" s="190"/>
      <c r="AA636" s="190"/>
      <c r="AB636" s="190"/>
      <c r="AC636" s="190"/>
      <c r="AD636" s="190"/>
      <c r="AE636" s="190"/>
      <c r="AF636" s="190"/>
      <c r="AG636" s="190"/>
      <c r="AH636" s="190"/>
      <c r="AI636" s="190"/>
      <c r="AJ636" s="190"/>
      <c r="AK636" s="619"/>
      <c r="AL636" s="617"/>
    </row>
    <row r="637" spans="1:38" ht="15.75">
      <c r="A637" s="190"/>
      <c r="B637" s="324"/>
      <c r="C637" s="324"/>
      <c r="D637" s="190"/>
      <c r="E637" s="190"/>
      <c r="F637" s="640"/>
      <c r="G637" s="324"/>
      <c r="H637" s="324"/>
      <c r="I637" s="190"/>
      <c r="J637" s="190"/>
      <c r="K637" s="641"/>
      <c r="L637" s="641"/>
      <c r="M637" s="641"/>
      <c r="N637" s="641"/>
      <c r="O637" s="190"/>
      <c r="P637" s="190"/>
      <c r="Q637" s="190"/>
      <c r="R637" s="612"/>
      <c r="S637" s="615"/>
      <c r="T637" s="588"/>
      <c r="U637" s="188"/>
      <c r="V637" s="190"/>
      <c r="W637" s="190"/>
      <c r="X637" s="190"/>
      <c r="Y637" s="190"/>
      <c r="Z637" s="190"/>
      <c r="AA637" s="190"/>
      <c r="AB637" s="190"/>
      <c r="AC637" s="190"/>
      <c r="AD637" s="190"/>
      <c r="AE637" s="190"/>
      <c r="AF637" s="190"/>
      <c r="AG637" s="190"/>
      <c r="AH637" s="190"/>
      <c r="AI637" s="190"/>
      <c r="AJ637" s="190"/>
      <c r="AK637" s="619"/>
      <c r="AL637" s="617"/>
    </row>
    <row r="638" spans="1:38" ht="15.75">
      <c r="A638" s="190"/>
      <c r="B638" s="324"/>
      <c r="C638" s="324"/>
      <c r="D638" s="190"/>
      <c r="E638" s="190"/>
      <c r="F638" s="640"/>
      <c r="G638" s="324"/>
      <c r="H638" s="324"/>
      <c r="I638" s="190"/>
      <c r="J638" s="190"/>
      <c r="K638" s="641"/>
      <c r="L638" s="641"/>
      <c r="M638" s="641"/>
      <c r="N638" s="641"/>
      <c r="O638" s="190"/>
      <c r="P638" s="190"/>
      <c r="Q638" s="190"/>
      <c r="R638" s="612"/>
      <c r="S638" s="615"/>
      <c r="T638" s="588"/>
      <c r="U638" s="188"/>
      <c r="V638" s="190"/>
      <c r="W638" s="190"/>
      <c r="X638" s="190"/>
      <c r="Y638" s="190"/>
      <c r="Z638" s="190"/>
      <c r="AA638" s="190"/>
      <c r="AB638" s="190"/>
      <c r="AC638" s="190"/>
      <c r="AD638" s="190"/>
      <c r="AE638" s="190"/>
      <c r="AF638" s="190"/>
      <c r="AG638" s="190"/>
      <c r="AH638" s="190"/>
      <c r="AI638" s="190"/>
      <c r="AJ638" s="190"/>
      <c r="AK638" s="619"/>
      <c r="AL638" s="617"/>
    </row>
    <row r="639" spans="1:38" ht="15.75">
      <c r="A639" s="190"/>
      <c r="B639" s="324"/>
      <c r="C639" s="324"/>
      <c r="D639" s="190"/>
      <c r="E639" s="190"/>
      <c r="F639" s="640"/>
      <c r="G639" s="324"/>
      <c r="H639" s="324"/>
      <c r="I639" s="190"/>
      <c r="J639" s="190"/>
      <c r="K639" s="641"/>
      <c r="L639" s="641"/>
      <c r="M639" s="641"/>
      <c r="N639" s="641"/>
      <c r="O639" s="190"/>
      <c r="P639" s="190"/>
      <c r="Q639" s="190"/>
      <c r="R639" s="612"/>
      <c r="S639" s="615"/>
      <c r="T639" s="588"/>
      <c r="U639" s="188"/>
      <c r="V639" s="190"/>
      <c r="W639" s="190"/>
      <c r="X639" s="190"/>
      <c r="Y639" s="190"/>
      <c r="Z639" s="190"/>
      <c r="AA639" s="190"/>
      <c r="AB639" s="190"/>
      <c r="AC639" s="190"/>
      <c r="AD639" s="190"/>
      <c r="AE639" s="190"/>
      <c r="AF639" s="190"/>
      <c r="AG639" s="190"/>
      <c r="AH639" s="190"/>
      <c r="AI639" s="190"/>
      <c r="AJ639" s="190"/>
      <c r="AK639" s="619"/>
      <c r="AL639" s="617"/>
    </row>
    <row r="640" spans="1:38" ht="15.75">
      <c r="A640" s="190"/>
      <c r="B640" s="324"/>
      <c r="C640" s="324"/>
      <c r="D640" s="190"/>
      <c r="E640" s="190"/>
      <c r="F640" s="640"/>
      <c r="G640" s="324"/>
      <c r="H640" s="324"/>
      <c r="I640" s="190"/>
      <c r="J640" s="190"/>
      <c r="K640" s="641"/>
      <c r="L640" s="641"/>
      <c r="M640" s="641"/>
      <c r="N640" s="641"/>
      <c r="O640" s="190"/>
      <c r="P640" s="190"/>
      <c r="Q640" s="190"/>
      <c r="R640" s="612"/>
      <c r="S640" s="615"/>
      <c r="T640" s="588"/>
      <c r="U640" s="188"/>
      <c r="V640" s="190"/>
      <c r="W640" s="190"/>
      <c r="X640" s="190"/>
      <c r="Y640" s="190"/>
      <c r="Z640" s="190"/>
      <c r="AA640" s="190"/>
      <c r="AB640" s="190"/>
      <c r="AC640" s="190"/>
      <c r="AD640" s="190"/>
      <c r="AE640" s="190"/>
      <c r="AF640" s="190"/>
      <c r="AG640" s="190"/>
      <c r="AH640" s="190"/>
      <c r="AI640" s="190"/>
      <c r="AJ640" s="190"/>
      <c r="AK640" s="619"/>
      <c r="AL640" s="617"/>
    </row>
    <row r="641" spans="1:38" ht="15.75">
      <c r="A641" s="190"/>
      <c r="B641" s="324"/>
      <c r="C641" s="324"/>
      <c r="D641" s="190"/>
      <c r="E641" s="190"/>
      <c r="F641" s="640"/>
      <c r="G641" s="324"/>
      <c r="H641" s="324"/>
      <c r="I641" s="190"/>
      <c r="J641" s="190"/>
      <c r="K641" s="641"/>
      <c r="L641" s="641"/>
      <c r="M641" s="641"/>
      <c r="N641" s="641"/>
      <c r="O641" s="190"/>
      <c r="P641" s="190"/>
      <c r="Q641" s="190"/>
      <c r="R641" s="612"/>
      <c r="S641" s="615"/>
      <c r="T641" s="588"/>
      <c r="U641" s="188"/>
      <c r="V641" s="190"/>
      <c r="W641" s="190"/>
      <c r="X641" s="190"/>
      <c r="Y641" s="190"/>
      <c r="Z641" s="190"/>
      <c r="AA641" s="190"/>
      <c r="AB641" s="190"/>
      <c r="AC641" s="190"/>
      <c r="AD641" s="190"/>
      <c r="AE641" s="190"/>
      <c r="AF641" s="190"/>
      <c r="AG641" s="190"/>
      <c r="AH641" s="190"/>
      <c r="AI641" s="190"/>
      <c r="AJ641" s="190"/>
      <c r="AK641" s="619"/>
      <c r="AL641" s="617"/>
    </row>
    <row r="642" spans="1:38" ht="15.75">
      <c r="A642" s="190"/>
      <c r="B642" s="324"/>
      <c r="C642" s="324"/>
      <c r="D642" s="190"/>
      <c r="E642" s="190"/>
      <c r="F642" s="640"/>
      <c r="G642" s="324"/>
      <c r="H642" s="324"/>
      <c r="I642" s="190"/>
      <c r="J642" s="190"/>
      <c r="K642" s="641"/>
      <c r="L642" s="641"/>
      <c r="M642" s="641"/>
      <c r="N642" s="641"/>
      <c r="O642" s="190"/>
      <c r="P642" s="190"/>
      <c r="Q642" s="190"/>
      <c r="R642" s="612"/>
      <c r="S642" s="615"/>
      <c r="T642" s="588"/>
      <c r="U642" s="188"/>
      <c r="V642" s="190"/>
      <c r="W642" s="190"/>
      <c r="X642" s="190"/>
      <c r="Y642" s="190"/>
      <c r="Z642" s="190"/>
      <c r="AA642" s="190"/>
      <c r="AB642" s="190"/>
      <c r="AC642" s="190"/>
      <c r="AD642" s="190"/>
      <c r="AE642" s="190"/>
      <c r="AF642" s="190"/>
      <c r="AG642" s="190"/>
      <c r="AH642" s="190"/>
      <c r="AI642" s="190"/>
      <c r="AJ642" s="190"/>
      <c r="AK642" s="619"/>
      <c r="AL642" s="617"/>
    </row>
    <row r="643" spans="1:38" ht="15.75">
      <c r="A643" s="190"/>
      <c r="B643" s="324"/>
      <c r="C643" s="324"/>
      <c r="D643" s="190"/>
      <c r="E643" s="190"/>
      <c r="F643" s="640"/>
      <c r="G643" s="324"/>
      <c r="H643" s="324"/>
      <c r="I643" s="190"/>
      <c r="J643" s="190"/>
      <c r="K643" s="641"/>
      <c r="L643" s="641"/>
      <c r="M643" s="641"/>
      <c r="N643" s="641"/>
      <c r="O643" s="190"/>
      <c r="P643" s="190"/>
      <c r="Q643" s="190"/>
      <c r="R643" s="612"/>
      <c r="S643" s="615"/>
      <c r="T643" s="588"/>
      <c r="U643" s="188"/>
      <c r="V643" s="190"/>
      <c r="W643" s="190"/>
      <c r="X643" s="190"/>
      <c r="Y643" s="190"/>
      <c r="Z643" s="190"/>
      <c r="AA643" s="190"/>
      <c r="AB643" s="190"/>
      <c r="AC643" s="190"/>
      <c r="AD643" s="190"/>
      <c r="AE643" s="190"/>
      <c r="AF643" s="190"/>
      <c r="AG643" s="190"/>
      <c r="AH643" s="190"/>
      <c r="AI643" s="190"/>
      <c r="AJ643" s="190"/>
      <c r="AK643" s="619"/>
      <c r="AL643" s="617"/>
    </row>
    <row r="644" spans="1:38" ht="15.75">
      <c r="A644" s="190"/>
      <c r="B644" s="324"/>
      <c r="C644" s="324"/>
      <c r="D644" s="190"/>
      <c r="E644" s="190"/>
      <c r="F644" s="640"/>
      <c r="G644" s="324"/>
      <c r="H644" s="324"/>
      <c r="I644" s="190"/>
      <c r="J644" s="190"/>
      <c r="K644" s="641"/>
      <c r="L644" s="641"/>
      <c r="M644" s="641"/>
      <c r="N644" s="641"/>
      <c r="O644" s="190"/>
      <c r="P644" s="190"/>
      <c r="Q644" s="190"/>
      <c r="R644" s="612"/>
      <c r="S644" s="615"/>
      <c r="T644" s="588"/>
      <c r="U644" s="188"/>
      <c r="V644" s="190"/>
      <c r="W644" s="190"/>
      <c r="X644" s="190"/>
      <c r="Y644" s="190"/>
      <c r="Z644" s="190"/>
      <c r="AA644" s="190"/>
      <c r="AB644" s="190"/>
      <c r="AC644" s="190"/>
      <c r="AD644" s="190"/>
      <c r="AE644" s="190"/>
      <c r="AF644" s="190"/>
      <c r="AG644" s="190"/>
      <c r="AH644" s="190"/>
      <c r="AI644" s="190"/>
      <c r="AJ644" s="190"/>
      <c r="AK644" s="619"/>
      <c r="AL644" s="617"/>
    </row>
    <row r="645" spans="1:38" ht="15.75">
      <c r="A645" s="190"/>
      <c r="B645" s="324"/>
      <c r="C645" s="324"/>
      <c r="D645" s="190"/>
      <c r="E645" s="190"/>
      <c r="F645" s="640"/>
      <c r="G645" s="324"/>
      <c r="H645" s="324"/>
      <c r="I645" s="190"/>
      <c r="J645" s="190"/>
      <c r="K645" s="641"/>
      <c r="L645" s="641"/>
      <c r="M645" s="641"/>
      <c r="N645" s="641"/>
      <c r="O645" s="190"/>
      <c r="P645" s="190"/>
      <c r="Q645" s="190"/>
      <c r="R645" s="612"/>
      <c r="S645" s="615"/>
      <c r="T645" s="588"/>
      <c r="U645" s="188"/>
      <c r="V645" s="190"/>
      <c r="W645" s="190"/>
      <c r="X645" s="190"/>
      <c r="Y645" s="190"/>
      <c r="Z645" s="190"/>
      <c r="AA645" s="190"/>
      <c r="AB645" s="190"/>
      <c r="AC645" s="190"/>
      <c r="AD645" s="190"/>
      <c r="AE645" s="190"/>
      <c r="AF645" s="190"/>
      <c r="AG645" s="190"/>
      <c r="AH645" s="190"/>
      <c r="AI645" s="190"/>
      <c r="AJ645" s="190"/>
      <c r="AK645" s="619"/>
      <c r="AL645" s="617"/>
    </row>
    <row r="646" spans="1:38" ht="15.75">
      <c r="A646" s="190"/>
      <c r="B646" s="324"/>
      <c r="C646" s="324"/>
      <c r="D646" s="190"/>
      <c r="E646" s="190"/>
      <c r="F646" s="640"/>
      <c r="G646" s="324"/>
      <c r="H646" s="324"/>
      <c r="I646" s="190"/>
      <c r="J646" s="190"/>
      <c r="K646" s="641"/>
      <c r="L646" s="641"/>
      <c r="M646" s="641"/>
      <c r="N646" s="641"/>
      <c r="O646" s="190"/>
      <c r="P646" s="190"/>
      <c r="Q646" s="190"/>
      <c r="R646" s="612"/>
      <c r="S646" s="615"/>
      <c r="T646" s="588"/>
      <c r="U646" s="188"/>
      <c r="V646" s="190"/>
      <c r="W646" s="190"/>
      <c r="X646" s="190"/>
      <c r="Y646" s="190"/>
      <c r="Z646" s="190"/>
      <c r="AA646" s="190"/>
      <c r="AB646" s="190"/>
      <c r="AC646" s="190"/>
      <c r="AD646" s="190"/>
      <c r="AE646" s="190"/>
      <c r="AF646" s="190"/>
      <c r="AG646" s="190"/>
      <c r="AH646" s="190"/>
      <c r="AI646" s="190"/>
      <c r="AJ646" s="190"/>
      <c r="AK646" s="619"/>
      <c r="AL646" s="617"/>
    </row>
    <row r="647" spans="1:38" ht="15.75">
      <c r="A647" s="190"/>
      <c r="B647" s="324"/>
      <c r="C647" s="324"/>
      <c r="D647" s="190"/>
      <c r="E647" s="190"/>
      <c r="F647" s="640"/>
      <c r="G647" s="324"/>
      <c r="H647" s="324"/>
      <c r="I647" s="190"/>
      <c r="J647" s="190"/>
      <c r="K647" s="641"/>
      <c r="L647" s="641"/>
      <c r="M647" s="641"/>
      <c r="N647" s="641"/>
      <c r="O647" s="190"/>
      <c r="P647" s="190"/>
      <c r="Q647" s="190"/>
      <c r="R647" s="612"/>
      <c r="S647" s="615"/>
      <c r="T647" s="588"/>
      <c r="U647" s="188"/>
      <c r="V647" s="190"/>
      <c r="W647" s="190"/>
      <c r="X647" s="190"/>
      <c r="Y647" s="190"/>
      <c r="Z647" s="190"/>
      <c r="AA647" s="190"/>
      <c r="AB647" s="190"/>
      <c r="AC647" s="190"/>
      <c r="AD647" s="190"/>
      <c r="AE647" s="190"/>
      <c r="AF647" s="190"/>
      <c r="AG647" s="190"/>
      <c r="AH647" s="190"/>
      <c r="AI647" s="190"/>
      <c r="AJ647" s="190"/>
      <c r="AK647" s="619"/>
      <c r="AL647" s="617"/>
    </row>
    <row r="648" spans="1:38" ht="15.75">
      <c r="A648" s="190"/>
      <c r="B648" s="324"/>
      <c r="C648" s="324"/>
      <c r="D648" s="190"/>
      <c r="E648" s="190"/>
      <c r="F648" s="640"/>
      <c r="G648" s="324"/>
      <c r="H648" s="324"/>
      <c r="I648" s="190"/>
      <c r="J648" s="190"/>
      <c r="K648" s="641"/>
      <c r="L648" s="641"/>
      <c r="M648" s="641"/>
      <c r="N648" s="641"/>
      <c r="O648" s="190"/>
      <c r="P648" s="190"/>
      <c r="Q648" s="190"/>
      <c r="R648" s="612"/>
      <c r="S648" s="615"/>
      <c r="T648" s="588"/>
      <c r="U648" s="188"/>
      <c r="V648" s="190"/>
      <c r="W648" s="190"/>
      <c r="X648" s="190"/>
      <c r="Y648" s="190"/>
      <c r="Z648" s="190"/>
      <c r="AA648" s="190"/>
      <c r="AB648" s="190"/>
      <c r="AC648" s="190"/>
      <c r="AD648" s="190"/>
      <c r="AE648" s="190"/>
      <c r="AF648" s="190"/>
      <c r="AG648" s="190"/>
      <c r="AH648" s="190"/>
      <c r="AI648" s="190"/>
      <c r="AJ648" s="190"/>
      <c r="AK648" s="619"/>
      <c r="AL648" s="617"/>
    </row>
    <row r="649" spans="1:38" ht="15.75">
      <c r="A649" s="190"/>
      <c r="B649" s="324"/>
      <c r="C649" s="324"/>
      <c r="D649" s="190"/>
      <c r="E649" s="190"/>
      <c r="F649" s="640"/>
      <c r="G649" s="324"/>
      <c r="H649" s="324"/>
      <c r="I649" s="190"/>
      <c r="J649" s="190"/>
      <c r="K649" s="641"/>
      <c r="L649" s="641"/>
      <c r="M649" s="641"/>
      <c r="N649" s="641"/>
      <c r="O649" s="190"/>
      <c r="P649" s="190"/>
      <c r="Q649" s="190"/>
      <c r="R649" s="612"/>
      <c r="S649" s="615"/>
      <c r="T649" s="588"/>
      <c r="U649" s="188"/>
      <c r="V649" s="190"/>
      <c r="W649" s="190"/>
      <c r="X649" s="190"/>
      <c r="Y649" s="190"/>
      <c r="Z649" s="190"/>
      <c r="AA649" s="190"/>
      <c r="AB649" s="190"/>
      <c r="AC649" s="190"/>
      <c r="AD649" s="190"/>
      <c r="AE649" s="190"/>
      <c r="AF649" s="190"/>
      <c r="AG649" s="190"/>
      <c r="AH649" s="190"/>
      <c r="AI649" s="190"/>
      <c r="AJ649" s="190"/>
      <c r="AK649" s="619"/>
      <c r="AL649" s="617"/>
    </row>
    <row r="650" spans="1:38" ht="15.75">
      <c r="A650" s="190"/>
      <c r="B650" s="324"/>
      <c r="C650" s="324"/>
      <c r="D650" s="190"/>
      <c r="E650" s="190"/>
      <c r="F650" s="640"/>
      <c r="G650" s="324"/>
      <c r="H650" s="324"/>
      <c r="I650" s="190"/>
      <c r="J650" s="190"/>
      <c r="K650" s="641"/>
      <c r="L650" s="641"/>
      <c r="M650" s="641"/>
      <c r="N650" s="641"/>
      <c r="O650" s="190"/>
      <c r="P650" s="190"/>
      <c r="Q650" s="190"/>
      <c r="R650" s="612"/>
      <c r="S650" s="615"/>
      <c r="T650" s="588"/>
      <c r="U650" s="188"/>
      <c r="V650" s="190"/>
      <c r="W650" s="190"/>
      <c r="X650" s="190"/>
      <c r="Y650" s="190"/>
      <c r="Z650" s="190"/>
      <c r="AA650" s="190"/>
      <c r="AB650" s="190"/>
      <c r="AC650" s="190"/>
      <c r="AD650" s="190"/>
      <c r="AE650" s="190"/>
      <c r="AF650" s="190"/>
      <c r="AG650" s="190"/>
      <c r="AH650" s="190"/>
      <c r="AI650" s="190"/>
      <c r="AJ650" s="190"/>
      <c r="AK650" s="619"/>
      <c r="AL650" s="617"/>
    </row>
    <row r="651" spans="1:38" ht="15.75">
      <c r="A651" s="190"/>
      <c r="B651" s="324"/>
      <c r="C651" s="324"/>
      <c r="D651" s="190"/>
      <c r="E651" s="190"/>
      <c r="F651" s="640"/>
      <c r="G651" s="324"/>
      <c r="H651" s="324"/>
      <c r="I651" s="190"/>
      <c r="J651" s="190"/>
      <c r="K651" s="641"/>
      <c r="L651" s="641"/>
      <c r="M651" s="641"/>
      <c r="N651" s="641"/>
      <c r="O651" s="190"/>
      <c r="P651" s="190"/>
      <c r="Q651" s="190"/>
      <c r="R651" s="612"/>
      <c r="S651" s="615"/>
      <c r="T651" s="588"/>
      <c r="U651" s="188"/>
      <c r="V651" s="190"/>
      <c r="W651" s="190"/>
      <c r="X651" s="190"/>
      <c r="Y651" s="190"/>
      <c r="Z651" s="190"/>
      <c r="AA651" s="190"/>
      <c r="AB651" s="190"/>
      <c r="AC651" s="190"/>
      <c r="AD651" s="190"/>
      <c r="AE651" s="190"/>
      <c r="AF651" s="190"/>
      <c r="AG651" s="190"/>
      <c r="AH651" s="190"/>
      <c r="AI651" s="190"/>
      <c r="AJ651" s="190"/>
      <c r="AK651" s="619"/>
      <c r="AL651" s="617"/>
    </row>
    <row r="652" spans="1:38" ht="15.75">
      <c r="A652" s="190"/>
      <c r="B652" s="324"/>
      <c r="C652" s="324"/>
      <c r="D652" s="190"/>
      <c r="E652" s="190"/>
      <c r="F652" s="640"/>
      <c r="G652" s="324"/>
      <c r="H652" s="324"/>
      <c r="I652" s="190"/>
      <c r="J652" s="190"/>
      <c r="K652" s="641"/>
      <c r="L652" s="641"/>
      <c r="M652" s="641"/>
      <c r="N652" s="641"/>
      <c r="O652" s="190"/>
      <c r="P652" s="190"/>
      <c r="Q652" s="190"/>
      <c r="R652" s="612"/>
      <c r="S652" s="615"/>
      <c r="T652" s="588"/>
      <c r="U652" s="188"/>
      <c r="V652" s="190"/>
      <c r="W652" s="190"/>
      <c r="X652" s="190"/>
      <c r="Y652" s="190"/>
      <c r="Z652" s="190"/>
      <c r="AA652" s="190"/>
      <c r="AB652" s="190"/>
      <c r="AC652" s="190"/>
      <c r="AD652" s="190"/>
      <c r="AE652" s="190"/>
      <c r="AF652" s="190"/>
      <c r="AG652" s="190"/>
      <c r="AH652" s="190"/>
      <c r="AI652" s="190"/>
      <c r="AJ652" s="190"/>
      <c r="AK652" s="619"/>
      <c r="AL652" s="617"/>
    </row>
    <row r="653" spans="1:38" ht="15.75">
      <c r="A653" s="190"/>
      <c r="B653" s="324"/>
      <c r="C653" s="324"/>
      <c r="D653" s="190"/>
      <c r="E653" s="190"/>
      <c r="F653" s="640"/>
      <c r="G653" s="324"/>
      <c r="H653" s="324"/>
      <c r="I653" s="190"/>
      <c r="J653" s="190"/>
      <c r="K653" s="641"/>
      <c r="L653" s="641"/>
      <c r="M653" s="641"/>
      <c r="N653" s="641"/>
      <c r="O653" s="190"/>
      <c r="P653" s="190"/>
      <c r="Q653" s="190"/>
      <c r="R653" s="612"/>
      <c r="S653" s="615"/>
      <c r="T653" s="588"/>
      <c r="U653" s="188"/>
      <c r="V653" s="190"/>
      <c r="W653" s="190"/>
      <c r="X653" s="190"/>
      <c r="Y653" s="190"/>
      <c r="Z653" s="190"/>
      <c r="AA653" s="190"/>
      <c r="AB653" s="190"/>
      <c r="AC653" s="190"/>
      <c r="AD653" s="190"/>
      <c r="AE653" s="190"/>
      <c r="AF653" s="190"/>
      <c r="AG653" s="190"/>
      <c r="AH653" s="190"/>
      <c r="AI653" s="190"/>
      <c r="AJ653" s="190"/>
      <c r="AK653" s="619"/>
      <c r="AL653" s="617"/>
    </row>
    <row r="654" spans="1:38" ht="15.75">
      <c r="A654" s="190"/>
      <c r="B654" s="324"/>
      <c r="C654" s="324"/>
      <c r="D654" s="190"/>
      <c r="E654" s="190"/>
      <c r="F654" s="640"/>
      <c r="G654" s="324"/>
      <c r="H654" s="324"/>
      <c r="I654" s="190"/>
      <c r="J654" s="190"/>
      <c r="K654" s="641"/>
      <c r="L654" s="641"/>
      <c r="M654" s="641"/>
      <c r="N654" s="641"/>
      <c r="O654" s="190"/>
      <c r="P654" s="190"/>
      <c r="Q654" s="190"/>
      <c r="R654" s="612"/>
      <c r="S654" s="615"/>
      <c r="T654" s="588"/>
      <c r="U654" s="188"/>
      <c r="V654" s="190"/>
      <c r="W654" s="190"/>
      <c r="X654" s="190"/>
      <c r="Y654" s="190"/>
      <c r="Z654" s="190"/>
      <c r="AA654" s="190"/>
      <c r="AB654" s="190"/>
      <c r="AC654" s="190"/>
      <c r="AD654" s="190"/>
      <c r="AE654" s="190"/>
      <c r="AF654" s="190"/>
      <c r="AG654" s="190"/>
      <c r="AH654" s="190"/>
      <c r="AI654" s="190"/>
      <c r="AJ654" s="190"/>
      <c r="AK654" s="619"/>
      <c r="AL654" s="617"/>
    </row>
    <row r="655" spans="1:38" ht="15.75">
      <c r="A655" s="190"/>
      <c r="B655" s="324"/>
      <c r="C655" s="324"/>
      <c r="D655" s="190"/>
      <c r="E655" s="190"/>
      <c r="F655" s="640"/>
      <c r="G655" s="324"/>
      <c r="H655" s="324"/>
      <c r="I655" s="190"/>
      <c r="J655" s="190"/>
      <c r="K655" s="641"/>
      <c r="L655" s="641"/>
      <c r="M655" s="641"/>
      <c r="N655" s="641"/>
      <c r="O655" s="190"/>
      <c r="P655" s="190"/>
      <c r="Q655" s="190"/>
      <c r="R655" s="612"/>
      <c r="S655" s="615"/>
      <c r="T655" s="588"/>
      <c r="U655" s="188"/>
      <c r="V655" s="190"/>
      <c r="W655" s="190"/>
      <c r="X655" s="190"/>
      <c r="Y655" s="190"/>
      <c r="Z655" s="190"/>
      <c r="AA655" s="190"/>
      <c r="AB655" s="190"/>
      <c r="AC655" s="190"/>
      <c r="AD655" s="190"/>
      <c r="AE655" s="190"/>
      <c r="AF655" s="190"/>
      <c r="AG655" s="190"/>
      <c r="AH655" s="190"/>
      <c r="AI655" s="190"/>
      <c r="AJ655" s="190"/>
      <c r="AK655" s="619"/>
      <c r="AL655" s="617"/>
    </row>
    <row r="656" spans="1:38" ht="15.75">
      <c r="A656" s="190"/>
      <c r="B656" s="324"/>
      <c r="C656" s="324"/>
      <c r="D656" s="190"/>
      <c r="E656" s="190"/>
      <c r="F656" s="640"/>
      <c r="G656" s="324"/>
      <c r="H656" s="324"/>
      <c r="I656" s="190"/>
      <c r="J656" s="190"/>
      <c r="K656" s="641"/>
      <c r="L656" s="641"/>
      <c r="M656" s="641"/>
      <c r="N656" s="641"/>
      <c r="O656" s="190"/>
      <c r="P656" s="190"/>
      <c r="Q656" s="190"/>
      <c r="R656" s="612"/>
      <c r="S656" s="615"/>
      <c r="T656" s="588"/>
      <c r="U656" s="188"/>
      <c r="V656" s="190"/>
      <c r="W656" s="190"/>
      <c r="X656" s="190"/>
      <c r="Y656" s="190"/>
      <c r="Z656" s="190"/>
      <c r="AA656" s="190"/>
      <c r="AB656" s="190"/>
      <c r="AC656" s="190"/>
      <c r="AD656" s="190"/>
      <c r="AE656" s="190"/>
      <c r="AF656" s="190"/>
      <c r="AG656" s="190"/>
      <c r="AH656" s="190"/>
      <c r="AI656" s="190"/>
      <c r="AJ656" s="190"/>
      <c r="AK656" s="619"/>
      <c r="AL656" s="617"/>
    </row>
    <row r="657" spans="1:38" ht="15.75">
      <c r="A657" s="190"/>
      <c r="B657" s="324"/>
      <c r="C657" s="324"/>
      <c r="D657" s="190"/>
      <c r="E657" s="190"/>
      <c r="F657" s="640"/>
      <c r="G657" s="324"/>
      <c r="H657" s="324"/>
      <c r="I657" s="190"/>
      <c r="J657" s="190"/>
      <c r="K657" s="641"/>
      <c r="L657" s="641"/>
      <c r="M657" s="641"/>
      <c r="N657" s="641"/>
      <c r="O657" s="190"/>
      <c r="P657" s="190"/>
      <c r="Q657" s="190"/>
      <c r="R657" s="612"/>
      <c r="S657" s="615"/>
      <c r="T657" s="588"/>
      <c r="U657" s="188"/>
      <c r="V657" s="190"/>
      <c r="W657" s="190"/>
      <c r="X657" s="190"/>
      <c r="Y657" s="190"/>
      <c r="Z657" s="190"/>
      <c r="AA657" s="190"/>
      <c r="AB657" s="190"/>
      <c r="AC657" s="190"/>
      <c r="AD657" s="190"/>
      <c r="AE657" s="190"/>
      <c r="AF657" s="190"/>
      <c r="AG657" s="190"/>
      <c r="AH657" s="190"/>
      <c r="AI657" s="190"/>
      <c r="AJ657" s="190"/>
      <c r="AK657" s="619"/>
      <c r="AL657" s="617"/>
    </row>
    <row r="658" spans="1:38" ht="15.75">
      <c r="A658" s="190"/>
      <c r="B658" s="324"/>
      <c r="C658" s="324"/>
      <c r="D658" s="190"/>
      <c r="E658" s="190"/>
      <c r="F658" s="640"/>
      <c r="G658" s="324"/>
      <c r="H658" s="324"/>
      <c r="I658" s="190"/>
      <c r="J658" s="190"/>
      <c r="K658" s="641"/>
      <c r="L658" s="641"/>
      <c r="M658" s="641"/>
      <c r="N658" s="641"/>
      <c r="O658" s="190"/>
      <c r="P658" s="190"/>
      <c r="Q658" s="190"/>
      <c r="R658" s="612"/>
      <c r="S658" s="615"/>
      <c r="T658" s="588"/>
      <c r="U658" s="188"/>
      <c r="V658" s="190"/>
      <c r="W658" s="190"/>
      <c r="X658" s="190"/>
      <c r="Y658" s="190"/>
      <c r="Z658" s="190"/>
      <c r="AA658" s="190"/>
      <c r="AB658" s="190"/>
      <c r="AC658" s="190"/>
      <c r="AD658" s="190"/>
      <c r="AE658" s="190"/>
      <c r="AF658" s="190"/>
      <c r="AG658" s="190"/>
      <c r="AH658" s="190"/>
      <c r="AI658" s="190"/>
      <c r="AJ658" s="190"/>
      <c r="AK658" s="619"/>
      <c r="AL658" s="617"/>
    </row>
    <row r="659" spans="1:38" ht="15.75">
      <c r="A659" s="190"/>
      <c r="B659" s="324"/>
      <c r="C659" s="324"/>
      <c r="D659" s="190"/>
      <c r="E659" s="190"/>
      <c r="F659" s="640"/>
      <c r="G659" s="324"/>
      <c r="H659" s="324"/>
      <c r="I659" s="190"/>
      <c r="J659" s="190"/>
      <c r="K659" s="641"/>
      <c r="L659" s="641"/>
      <c r="M659" s="641"/>
      <c r="N659" s="641"/>
      <c r="O659" s="190"/>
      <c r="P659" s="190"/>
      <c r="Q659" s="190"/>
      <c r="R659" s="612"/>
      <c r="S659" s="615"/>
      <c r="T659" s="588"/>
      <c r="U659" s="188"/>
      <c r="V659" s="190"/>
      <c r="W659" s="190"/>
      <c r="X659" s="190"/>
      <c r="Y659" s="190"/>
      <c r="Z659" s="190"/>
      <c r="AA659" s="190"/>
      <c r="AB659" s="190"/>
      <c r="AC659" s="190"/>
      <c r="AD659" s="190"/>
      <c r="AE659" s="190"/>
      <c r="AF659" s="190"/>
      <c r="AG659" s="190"/>
      <c r="AH659" s="190"/>
      <c r="AI659" s="190"/>
      <c r="AJ659" s="190"/>
      <c r="AK659" s="619"/>
      <c r="AL659" s="617"/>
    </row>
    <row r="660" spans="1:38" ht="15.75">
      <c r="A660" s="190"/>
      <c r="B660" s="324"/>
      <c r="C660" s="324"/>
      <c r="D660" s="190"/>
      <c r="E660" s="190"/>
      <c r="F660" s="640"/>
      <c r="G660" s="324"/>
      <c r="H660" s="324"/>
      <c r="I660" s="190"/>
      <c r="J660" s="190"/>
      <c r="K660" s="641"/>
      <c r="L660" s="641"/>
      <c r="M660" s="641"/>
      <c r="N660" s="641"/>
      <c r="O660" s="190"/>
      <c r="P660" s="190"/>
      <c r="Q660" s="190"/>
      <c r="R660" s="612"/>
      <c r="S660" s="615"/>
      <c r="T660" s="588"/>
      <c r="U660" s="188"/>
      <c r="V660" s="190"/>
      <c r="W660" s="190"/>
      <c r="X660" s="190"/>
      <c r="Y660" s="190"/>
      <c r="Z660" s="190"/>
      <c r="AA660" s="190"/>
      <c r="AB660" s="190"/>
      <c r="AC660" s="190"/>
      <c r="AD660" s="190"/>
      <c r="AE660" s="190"/>
      <c r="AF660" s="190"/>
      <c r="AG660" s="190"/>
      <c r="AH660" s="190"/>
      <c r="AI660" s="190"/>
      <c r="AJ660" s="190"/>
      <c r="AK660" s="619"/>
      <c r="AL660" s="617"/>
    </row>
    <row r="661" spans="1:38" ht="15.75">
      <c r="A661" s="190"/>
      <c r="B661" s="324"/>
      <c r="C661" s="324"/>
      <c r="D661" s="190"/>
      <c r="E661" s="190"/>
      <c r="F661" s="640"/>
      <c r="G661" s="324"/>
      <c r="H661" s="324"/>
      <c r="I661" s="190"/>
      <c r="J661" s="190"/>
      <c r="K661" s="641"/>
      <c r="L661" s="641"/>
      <c r="M661" s="641"/>
      <c r="N661" s="641"/>
      <c r="O661" s="190"/>
      <c r="P661" s="190"/>
      <c r="Q661" s="190"/>
      <c r="R661" s="612"/>
      <c r="S661" s="615"/>
      <c r="T661" s="588"/>
      <c r="U661" s="188"/>
      <c r="V661" s="190"/>
      <c r="W661" s="190"/>
      <c r="X661" s="190"/>
      <c r="Y661" s="190"/>
      <c r="Z661" s="190"/>
      <c r="AA661" s="190"/>
      <c r="AB661" s="190"/>
      <c r="AC661" s="190"/>
      <c r="AD661" s="190"/>
      <c r="AE661" s="190"/>
      <c r="AF661" s="190"/>
      <c r="AG661" s="190"/>
      <c r="AH661" s="190"/>
      <c r="AI661" s="190"/>
      <c r="AJ661" s="190"/>
      <c r="AK661" s="619"/>
      <c r="AL661" s="617"/>
    </row>
    <row r="662" spans="1:38" ht="15.75">
      <c r="A662" s="190"/>
      <c r="B662" s="324"/>
      <c r="C662" s="324"/>
      <c r="D662" s="190"/>
      <c r="E662" s="190"/>
      <c r="F662" s="640"/>
      <c r="G662" s="324"/>
      <c r="H662" s="324"/>
      <c r="I662" s="190"/>
      <c r="J662" s="190"/>
      <c r="K662" s="641"/>
      <c r="L662" s="641"/>
      <c r="M662" s="641"/>
      <c r="N662" s="641"/>
      <c r="O662" s="190"/>
      <c r="P662" s="190"/>
      <c r="Q662" s="190"/>
      <c r="R662" s="612"/>
      <c r="S662" s="615"/>
      <c r="T662" s="588"/>
      <c r="U662" s="188"/>
      <c r="V662" s="190"/>
      <c r="W662" s="190"/>
      <c r="X662" s="190"/>
      <c r="Y662" s="190"/>
      <c r="Z662" s="190"/>
      <c r="AA662" s="190"/>
      <c r="AB662" s="190"/>
      <c r="AC662" s="190"/>
      <c r="AD662" s="190"/>
      <c r="AE662" s="190"/>
      <c r="AF662" s="190"/>
      <c r="AG662" s="190"/>
      <c r="AH662" s="190"/>
      <c r="AI662" s="190"/>
      <c r="AJ662" s="190"/>
      <c r="AK662" s="619"/>
      <c r="AL662" s="617"/>
    </row>
    <row r="663" spans="1:38" ht="15.75">
      <c r="A663" s="190"/>
      <c r="B663" s="324"/>
      <c r="C663" s="324"/>
      <c r="D663" s="190"/>
      <c r="E663" s="190"/>
      <c r="F663" s="640"/>
      <c r="G663" s="324"/>
      <c r="H663" s="324"/>
      <c r="I663" s="190"/>
      <c r="J663" s="190"/>
      <c r="K663" s="641"/>
      <c r="L663" s="641"/>
      <c r="M663" s="641"/>
      <c r="N663" s="641"/>
      <c r="O663" s="190"/>
      <c r="P663" s="190"/>
      <c r="Q663" s="190"/>
      <c r="R663" s="612"/>
      <c r="S663" s="615"/>
      <c r="T663" s="588"/>
      <c r="U663" s="188"/>
      <c r="V663" s="190"/>
      <c r="W663" s="190"/>
      <c r="X663" s="190"/>
      <c r="Y663" s="190"/>
      <c r="Z663" s="190"/>
      <c r="AA663" s="190"/>
      <c r="AB663" s="190"/>
      <c r="AC663" s="190"/>
      <c r="AD663" s="190"/>
      <c r="AE663" s="190"/>
      <c r="AF663" s="190"/>
      <c r="AG663" s="190"/>
      <c r="AH663" s="190"/>
      <c r="AI663" s="190"/>
      <c r="AJ663" s="190"/>
      <c r="AK663" s="619"/>
      <c r="AL663" s="617"/>
    </row>
    <row r="664" spans="1:38" ht="15.75">
      <c r="A664" s="190"/>
      <c r="B664" s="324"/>
      <c r="C664" s="324"/>
      <c r="D664" s="190"/>
      <c r="E664" s="190"/>
      <c r="F664" s="640"/>
      <c r="G664" s="324"/>
      <c r="H664" s="324"/>
      <c r="I664" s="190"/>
      <c r="J664" s="190"/>
      <c r="K664" s="641"/>
      <c r="L664" s="641"/>
      <c r="M664" s="641"/>
      <c r="N664" s="641"/>
      <c r="O664" s="190"/>
      <c r="P664" s="190"/>
      <c r="Q664" s="190"/>
      <c r="R664" s="612"/>
      <c r="S664" s="615"/>
      <c r="T664" s="588"/>
      <c r="U664" s="188"/>
      <c r="V664" s="190"/>
      <c r="W664" s="190"/>
      <c r="X664" s="190"/>
      <c r="Y664" s="190"/>
      <c r="Z664" s="190"/>
      <c r="AA664" s="190"/>
      <c r="AB664" s="190"/>
      <c r="AC664" s="190"/>
      <c r="AD664" s="190"/>
      <c r="AE664" s="190"/>
      <c r="AF664" s="190"/>
      <c r="AG664" s="190"/>
      <c r="AH664" s="190"/>
      <c r="AI664" s="190"/>
      <c r="AJ664" s="190"/>
      <c r="AK664" s="619"/>
      <c r="AL664" s="617"/>
    </row>
    <row r="665" spans="1:38" ht="15.75">
      <c r="A665" s="190"/>
      <c r="B665" s="324"/>
      <c r="C665" s="324"/>
      <c r="D665" s="190"/>
      <c r="E665" s="190"/>
      <c r="F665" s="640"/>
      <c r="G665" s="324"/>
      <c r="H665" s="324"/>
      <c r="I665" s="190"/>
      <c r="J665" s="190"/>
      <c r="K665" s="641"/>
      <c r="L665" s="641"/>
      <c r="M665" s="641"/>
      <c r="N665" s="641"/>
      <c r="O665" s="190"/>
      <c r="P665" s="190"/>
      <c r="Q665" s="190"/>
      <c r="R665" s="612"/>
      <c r="S665" s="615"/>
      <c r="T665" s="588"/>
      <c r="U665" s="188"/>
      <c r="V665" s="190"/>
      <c r="W665" s="190"/>
      <c r="X665" s="190"/>
      <c r="Y665" s="190"/>
      <c r="Z665" s="190"/>
      <c r="AA665" s="190"/>
      <c r="AB665" s="190"/>
      <c r="AC665" s="190"/>
      <c r="AD665" s="190"/>
      <c r="AE665" s="190"/>
      <c r="AF665" s="190"/>
      <c r="AG665" s="190"/>
      <c r="AH665" s="190"/>
      <c r="AI665" s="190"/>
      <c r="AJ665" s="190"/>
      <c r="AK665" s="619"/>
      <c r="AL665" s="617"/>
    </row>
    <row r="666" spans="1:38" ht="15.75">
      <c r="A666" s="190"/>
      <c r="B666" s="324"/>
      <c r="C666" s="324"/>
      <c r="D666" s="190"/>
      <c r="E666" s="190"/>
      <c r="F666" s="640"/>
      <c r="G666" s="324"/>
      <c r="H666" s="324"/>
      <c r="I666" s="190"/>
      <c r="J666" s="190"/>
      <c r="K666" s="641"/>
      <c r="L666" s="641"/>
      <c r="M666" s="641"/>
      <c r="N666" s="641"/>
      <c r="O666" s="190"/>
      <c r="P666" s="190"/>
      <c r="Q666" s="190"/>
      <c r="R666" s="612"/>
      <c r="S666" s="615"/>
      <c r="T666" s="588"/>
      <c r="U666" s="188"/>
      <c r="V666" s="190"/>
      <c r="W666" s="190"/>
      <c r="X666" s="190"/>
      <c r="Y666" s="190"/>
      <c r="Z666" s="190"/>
      <c r="AA666" s="190"/>
      <c r="AB666" s="190"/>
      <c r="AC666" s="190"/>
      <c r="AD666" s="190"/>
      <c r="AE666" s="190"/>
      <c r="AF666" s="190"/>
      <c r="AG666" s="190"/>
      <c r="AH666" s="190"/>
      <c r="AI666" s="190"/>
      <c r="AJ666" s="190"/>
      <c r="AK666" s="619"/>
      <c r="AL666" s="617"/>
    </row>
    <row r="667" spans="1:38" ht="15.75">
      <c r="A667" s="190"/>
      <c r="B667" s="324"/>
      <c r="C667" s="324"/>
      <c r="D667" s="190"/>
      <c r="E667" s="190"/>
      <c r="F667" s="640"/>
      <c r="G667" s="324"/>
      <c r="H667" s="324"/>
      <c r="I667" s="190"/>
      <c r="J667" s="190"/>
      <c r="K667" s="641"/>
      <c r="L667" s="641"/>
      <c r="M667" s="641"/>
      <c r="N667" s="641"/>
      <c r="O667" s="190"/>
      <c r="P667" s="190"/>
      <c r="Q667" s="190"/>
      <c r="R667" s="612"/>
      <c r="S667" s="615"/>
      <c r="T667" s="588"/>
      <c r="U667" s="188"/>
      <c r="V667" s="190"/>
      <c r="W667" s="190"/>
      <c r="X667" s="190"/>
      <c r="Y667" s="190"/>
      <c r="Z667" s="190"/>
      <c r="AA667" s="190"/>
      <c r="AB667" s="190"/>
      <c r="AC667" s="190"/>
      <c r="AD667" s="190"/>
      <c r="AE667" s="190"/>
      <c r="AF667" s="190"/>
      <c r="AG667" s="190"/>
      <c r="AH667" s="190"/>
      <c r="AI667" s="190"/>
      <c r="AJ667" s="190"/>
      <c r="AK667" s="619"/>
      <c r="AL667" s="617"/>
    </row>
    <row r="668" spans="1:38" ht="15.75">
      <c r="A668" s="190"/>
      <c r="B668" s="324"/>
      <c r="C668" s="324"/>
      <c r="D668" s="190"/>
      <c r="E668" s="190"/>
      <c r="F668" s="640"/>
      <c r="G668" s="324"/>
      <c r="H668" s="324"/>
      <c r="I668" s="190"/>
      <c r="J668" s="190"/>
      <c r="K668" s="641"/>
      <c r="L668" s="641"/>
      <c r="M668" s="641"/>
      <c r="N668" s="641"/>
      <c r="O668" s="190"/>
      <c r="P668" s="190"/>
      <c r="Q668" s="190"/>
      <c r="R668" s="612"/>
      <c r="S668" s="615"/>
      <c r="T668" s="588"/>
      <c r="U668" s="188"/>
      <c r="V668" s="190"/>
      <c r="W668" s="190"/>
      <c r="X668" s="190"/>
      <c r="Y668" s="190"/>
      <c r="Z668" s="190"/>
      <c r="AA668" s="190"/>
      <c r="AB668" s="190"/>
      <c r="AC668" s="190"/>
      <c r="AD668" s="190"/>
      <c r="AE668" s="190"/>
      <c r="AF668" s="190"/>
      <c r="AG668" s="190"/>
      <c r="AH668" s="190"/>
      <c r="AI668" s="190"/>
      <c r="AJ668" s="190"/>
      <c r="AK668" s="619"/>
      <c r="AL668" s="617"/>
    </row>
    <row r="669" spans="1:38" ht="15.75">
      <c r="A669" s="190"/>
      <c r="B669" s="324"/>
      <c r="C669" s="324"/>
      <c r="D669" s="190"/>
      <c r="E669" s="190"/>
      <c r="F669" s="640"/>
      <c r="G669" s="324"/>
      <c r="H669" s="324"/>
      <c r="I669" s="190"/>
      <c r="J669" s="190"/>
      <c r="K669" s="641"/>
      <c r="L669" s="641"/>
      <c r="M669" s="641"/>
      <c r="N669" s="641"/>
      <c r="O669" s="190"/>
      <c r="P669" s="190"/>
      <c r="Q669" s="190"/>
      <c r="R669" s="612"/>
      <c r="S669" s="615"/>
      <c r="T669" s="588"/>
      <c r="U669" s="188"/>
      <c r="V669" s="190"/>
      <c r="W669" s="190"/>
      <c r="X669" s="190"/>
      <c r="Y669" s="190"/>
      <c r="Z669" s="190"/>
      <c r="AA669" s="190"/>
      <c r="AB669" s="190"/>
      <c r="AC669" s="190"/>
      <c r="AD669" s="190"/>
      <c r="AE669" s="190"/>
      <c r="AF669" s="190"/>
      <c r="AG669" s="190"/>
      <c r="AH669" s="190"/>
      <c r="AI669" s="190"/>
      <c r="AJ669" s="190"/>
      <c r="AK669" s="619"/>
      <c r="AL669" s="617"/>
    </row>
    <row r="670" spans="1:38" ht="15.75">
      <c r="A670" s="190"/>
      <c r="B670" s="324"/>
      <c r="C670" s="324"/>
      <c r="D670" s="190"/>
      <c r="E670" s="190"/>
      <c r="F670" s="640"/>
      <c r="G670" s="324"/>
      <c r="H670" s="324"/>
      <c r="I670" s="190"/>
      <c r="J670" s="190"/>
      <c r="K670" s="641"/>
      <c r="L670" s="641"/>
      <c r="M670" s="641"/>
      <c r="N670" s="641"/>
      <c r="O670" s="190"/>
      <c r="P670" s="190"/>
      <c r="Q670" s="190"/>
      <c r="R670" s="612"/>
      <c r="S670" s="615"/>
      <c r="T670" s="588"/>
      <c r="U670" s="188"/>
      <c r="V670" s="190"/>
      <c r="W670" s="190"/>
      <c r="X670" s="190"/>
      <c r="Y670" s="190"/>
      <c r="Z670" s="190"/>
      <c r="AA670" s="190"/>
      <c r="AB670" s="190"/>
      <c r="AC670" s="190"/>
      <c r="AD670" s="190"/>
      <c r="AE670" s="190"/>
      <c r="AF670" s="190"/>
      <c r="AG670" s="190"/>
      <c r="AH670" s="190"/>
      <c r="AI670" s="190"/>
      <c r="AJ670" s="190"/>
      <c r="AK670" s="619"/>
      <c r="AL670" s="617"/>
    </row>
    <row r="671" spans="1:38" ht="15.75">
      <c r="A671" s="190"/>
      <c r="B671" s="324"/>
      <c r="C671" s="324"/>
      <c r="D671" s="190"/>
      <c r="E671" s="190"/>
      <c r="F671" s="640"/>
      <c r="G671" s="324"/>
      <c r="H671" s="324"/>
      <c r="I671" s="190"/>
      <c r="J671" s="190"/>
      <c r="K671" s="641"/>
      <c r="L671" s="641"/>
      <c r="M671" s="641"/>
      <c r="N671" s="641"/>
      <c r="O671" s="190"/>
      <c r="P671" s="190"/>
      <c r="Q671" s="190"/>
      <c r="R671" s="612"/>
      <c r="S671" s="615"/>
      <c r="T671" s="588"/>
      <c r="U671" s="188"/>
      <c r="V671" s="190"/>
      <c r="W671" s="190"/>
      <c r="X671" s="190"/>
      <c r="Y671" s="190"/>
      <c r="Z671" s="190"/>
      <c r="AA671" s="190"/>
      <c r="AB671" s="190"/>
      <c r="AC671" s="190"/>
      <c r="AD671" s="190"/>
      <c r="AE671" s="190"/>
      <c r="AF671" s="190"/>
      <c r="AG671" s="190"/>
      <c r="AH671" s="190"/>
      <c r="AI671" s="190"/>
      <c r="AJ671" s="190"/>
      <c r="AK671" s="619"/>
      <c r="AL671" s="617"/>
    </row>
    <row r="672" spans="1:38" ht="15.75">
      <c r="A672" s="190"/>
      <c r="B672" s="324"/>
      <c r="C672" s="324"/>
      <c r="D672" s="190"/>
      <c r="E672" s="190"/>
      <c r="F672" s="640"/>
      <c r="G672" s="324"/>
      <c r="H672" s="324"/>
      <c r="I672" s="190"/>
      <c r="J672" s="190"/>
      <c r="K672" s="641"/>
      <c r="L672" s="641"/>
      <c r="M672" s="641"/>
      <c r="N672" s="641"/>
      <c r="O672" s="190"/>
      <c r="P672" s="190"/>
      <c r="Q672" s="190"/>
      <c r="R672" s="612"/>
      <c r="S672" s="615"/>
      <c r="T672" s="588"/>
      <c r="U672" s="188"/>
      <c r="V672" s="190"/>
      <c r="W672" s="190"/>
      <c r="X672" s="190"/>
      <c r="Y672" s="190"/>
      <c r="Z672" s="190"/>
      <c r="AA672" s="190"/>
      <c r="AB672" s="190"/>
      <c r="AC672" s="190"/>
      <c r="AD672" s="190"/>
      <c r="AE672" s="190"/>
      <c r="AF672" s="190"/>
      <c r="AG672" s="190"/>
      <c r="AH672" s="190"/>
      <c r="AI672" s="190"/>
      <c r="AJ672" s="190"/>
      <c r="AK672" s="619"/>
      <c r="AL672" s="617"/>
    </row>
    <row r="673" spans="1:38" ht="15.75">
      <c r="A673" s="190"/>
      <c r="B673" s="324"/>
      <c r="C673" s="324"/>
      <c r="D673" s="190"/>
      <c r="E673" s="190"/>
      <c r="F673" s="640"/>
      <c r="G673" s="324"/>
      <c r="H673" s="324"/>
      <c r="I673" s="190"/>
      <c r="J673" s="190"/>
      <c r="K673" s="641"/>
      <c r="L673" s="641"/>
      <c r="M673" s="641"/>
      <c r="N673" s="641"/>
      <c r="O673" s="190"/>
      <c r="P673" s="190"/>
      <c r="Q673" s="190"/>
      <c r="R673" s="612"/>
      <c r="S673" s="615"/>
      <c r="T673" s="588"/>
      <c r="U673" s="188"/>
      <c r="V673" s="190"/>
      <c r="W673" s="190"/>
      <c r="X673" s="190"/>
      <c r="Y673" s="190"/>
      <c r="Z673" s="190"/>
      <c r="AA673" s="190"/>
      <c r="AB673" s="190"/>
      <c r="AC673" s="190"/>
      <c r="AD673" s="190"/>
      <c r="AE673" s="190"/>
      <c r="AF673" s="190"/>
      <c r="AG673" s="190"/>
      <c r="AH673" s="190"/>
      <c r="AI673" s="190"/>
      <c r="AJ673" s="190"/>
      <c r="AK673" s="619"/>
      <c r="AL673" s="617"/>
    </row>
    <row r="674" spans="1:38" ht="15.75">
      <c r="A674" s="190"/>
      <c r="B674" s="324"/>
      <c r="C674" s="324"/>
      <c r="D674" s="190"/>
      <c r="E674" s="190"/>
      <c r="F674" s="640"/>
      <c r="G674" s="324"/>
      <c r="H674" s="324"/>
      <c r="I674" s="190"/>
      <c r="J674" s="190"/>
      <c r="K674" s="641"/>
      <c r="L674" s="641"/>
      <c r="M674" s="641"/>
      <c r="N674" s="641"/>
      <c r="O674" s="190"/>
      <c r="P674" s="190"/>
      <c r="Q674" s="190"/>
      <c r="R674" s="612"/>
      <c r="S674" s="615"/>
      <c r="T674" s="588"/>
      <c r="U674" s="188"/>
      <c r="V674" s="190"/>
      <c r="W674" s="190"/>
      <c r="X674" s="190"/>
      <c r="Y674" s="190"/>
      <c r="Z674" s="190"/>
      <c r="AA674" s="190"/>
      <c r="AB674" s="190"/>
      <c r="AC674" s="190"/>
      <c r="AD674" s="190"/>
      <c r="AE674" s="190"/>
      <c r="AF674" s="190"/>
      <c r="AG674" s="190"/>
      <c r="AH674" s="190"/>
      <c r="AI674" s="190"/>
      <c r="AJ674" s="190"/>
      <c r="AK674" s="619"/>
      <c r="AL674" s="617"/>
    </row>
    <row r="675" spans="1:38" ht="15.75">
      <c r="A675" s="190"/>
      <c r="B675" s="324"/>
      <c r="C675" s="324"/>
      <c r="D675" s="190"/>
      <c r="E675" s="190"/>
      <c r="F675" s="640"/>
      <c r="G675" s="324"/>
      <c r="H675" s="324"/>
      <c r="I675" s="190"/>
      <c r="J675" s="190"/>
      <c r="K675" s="641"/>
      <c r="L675" s="641"/>
      <c r="M675" s="641"/>
      <c r="N675" s="641"/>
      <c r="O675" s="190"/>
      <c r="P675" s="190"/>
      <c r="Q675" s="190"/>
      <c r="R675" s="612"/>
      <c r="S675" s="615"/>
      <c r="T675" s="588"/>
      <c r="U675" s="188"/>
      <c r="V675" s="190"/>
      <c r="W675" s="190"/>
      <c r="X675" s="190"/>
      <c r="Y675" s="190"/>
      <c r="Z675" s="190"/>
      <c r="AA675" s="190"/>
      <c r="AB675" s="190"/>
      <c r="AC675" s="190"/>
      <c r="AD675" s="190"/>
      <c r="AE675" s="190"/>
      <c r="AF675" s="190"/>
      <c r="AG675" s="190"/>
      <c r="AH675" s="190"/>
      <c r="AI675" s="190"/>
      <c r="AJ675" s="190"/>
      <c r="AK675" s="619"/>
      <c r="AL675" s="617"/>
    </row>
    <row r="676" spans="1:38" ht="15.75">
      <c r="A676" s="190"/>
      <c r="B676" s="324"/>
      <c r="C676" s="324"/>
      <c r="D676" s="190"/>
      <c r="E676" s="190"/>
      <c r="F676" s="640"/>
      <c r="G676" s="324"/>
      <c r="H676" s="324"/>
      <c r="I676" s="190"/>
      <c r="J676" s="190"/>
      <c r="K676" s="641"/>
      <c r="L676" s="641"/>
      <c r="M676" s="641"/>
      <c r="N676" s="641"/>
      <c r="O676" s="190"/>
      <c r="P676" s="190"/>
      <c r="Q676" s="190"/>
      <c r="R676" s="612"/>
      <c r="S676" s="615"/>
      <c r="T676" s="588"/>
      <c r="U676" s="188"/>
      <c r="V676" s="190"/>
      <c r="W676" s="190"/>
      <c r="X676" s="190"/>
      <c r="Y676" s="190"/>
      <c r="Z676" s="190"/>
      <c r="AA676" s="190"/>
      <c r="AB676" s="190"/>
      <c r="AC676" s="190"/>
      <c r="AD676" s="190"/>
      <c r="AE676" s="190"/>
      <c r="AF676" s="190"/>
      <c r="AG676" s="190"/>
      <c r="AH676" s="190"/>
      <c r="AI676" s="190"/>
      <c r="AJ676" s="190"/>
      <c r="AK676" s="619"/>
      <c r="AL676" s="617"/>
    </row>
    <row r="677" spans="1:38" ht="15.75">
      <c r="A677" s="190"/>
      <c r="B677" s="324"/>
      <c r="C677" s="324"/>
      <c r="D677" s="190"/>
      <c r="E677" s="190"/>
      <c r="F677" s="640"/>
      <c r="G677" s="324"/>
      <c r="H677" s="324"/>
      <c r="I677" s="190"/>
      <c r="J677" s="190"/>
      <c r="K677" s="641"/>
      <c r="L677" s="641"/>
      <c r="M677" s="641"/>
      <c r="N677" s="641"/>
      <c r="O677" s="190"/>
      <c r="P677" s="190"/>
      <c r="Q677" s="190"/>
      <c r="R677" s="612"/>
      <c r="S677" s="615"/>
      <c r="T677" s="588"/>
      <c r="U677" s="188"/>
      <c r="V677" s="190"/>
      <c r="W677" s="190"/>
      <c r="X677" s="190"/>
      <c r="Y677" s="190"/>
      <c r="Z677" s="190"/>
      <c r="AA677" s="190"/>
      <c r="AB677" s="190"/>
      <c r="AC677" s="190"/>
      <c r="AD677" s="190"/>
      <c r="AE677" s="190"/>
      <c r="AF677" s="190"/>
      <c r="AG677" s="190"/>
      <c r="AH677" s="190"/>
      <c r="AI677" s="190"/>
      <c r="AJ677" s="190"/>
      <c r="AK677" s="619"/>
      <c r="AL677" s="617"/>
    </row>
    <row r="678" spans="1:38" ht="15.75">
      <c r="A678" s="190"/>
      <c r="B678" s="324"/>
      <c r="C678" s="324"/>
      <c r="D678" s="190"/>
      <c r="E678" s="190"/>
      <c r="F678" s="640"/>
      <c r="G678" s="324"/>
      <c r="H678" s="324"/>
      <c r="I678" s="190"/>
      <c r="J678" s="190"/>
      <c r="K678" s="641"/>
      <c r="L678" s="641"/>
      <c r="M678" s="641"/>
      <c r="N678" s="641"/>
      <c r="O678" s="190"/>
      <c r="P678" s="190"/>
      <c r="Q678" s="190"/>
      <c r="R678" s="612"/>
      <c r="S678" s="615"/>
      <c r="T678" s="588"/>
      <c r="U678" s="188"/>
      <c r="V678" s="190"/>
      <c r="W678" s="190"/>
      <c r="X678" s="190"/>
      <c r="Y678" s="190"/>
      <c r="Z678" s="190"/>
      <c r="AA678" s="190"/>
      <c r="AB678" s="190"/>
      <c r="AC678" s="190"/>
      <c r="AD678" s="190"/>
      <c r="AE678" s="190"/>
      <c r="AF678" s="190"/>
      <c r="AG678" s="190"/>
      <c r="AH678" s="190"/>
      <c r="AI678" s="190"/>
      <c r="AJ678" s="190"/>
      <c r="AK678" s="619"/>
      <c r="AL678" s="617"/>
    </row>
    <row r="679" spans="1:38" ht="15.75">
      <c r="A679" s="190"/>
      <c r="B679" s="324"/>
      <c r="C679" s="324"/>
      <c r="D679" s="190"/>
      <c r="E679" s="190"/>
      <c r="F679" s="640"/>
      <c r="G679" s="324"/>
      <c r="H679" s="324"/>
      <c r="I679" s="190"/>
      <c r="J679" s="190"/>
      <c r="K679" s="641"/>
      <c r="L679" s="641"/>
      <c r="M679" s="641"/>
      <c r="N679" s="641"/>
      <c r="O679" s="190"/>
      <c r="P679" s="190"/>
      <c r="Q679" s="190"/>
      <c r="R679" s="612"/>
      <c r="S679" s="615"/>
      <c r="T679" s="588"/>
      <c r="U679" s="188"/>
      <c r="V679" s="190"/>
      <c r="W679" s="190"/>
      <c r="X679" s="190"/>
      <c r="Y679" s="190"/>
      <c r="Z679" s="190"/>
      <c r="AA679" s="190"/>
      <c r="AB679" s="190"/>
      <c r="AC679" s="190"/>
      <c r="AD679" s="190"/>
      <c r="AE679" s="190"/>
      <c r="AF679" s="190"/>
      <c r="AG679" s="190"/>
      <c r="AH679" s="190"/>
      <c r="AI679" s="190"/>
      <c r="AJ679" s="190"/>
      <c r="AK679" s="619"/>
      <c r="AL679" s="617"/>
    </row>
    <row r="680" spans="1:38" ht="15.75">
      <c r="A680" s="190"/>
      <c r="B680" s="324"/>
      <c r="C680" s="324"/>
      <c r="D680" s="190"/>
      <c r="E680" s="190"/>
      <c r="F680" s="640"/>
      <c r="G680" s="324"/>
      <c r="H680" s="324"/>
      <c r="I680" s="190"/>
      <c r="J680" s="190"/>
      <c r="K680" s="641"/>
      <c r="L680" s="641"/>
      <c r="M680" s="641"/>
      <c r="N680" s="641"/>
      <c r="O680" s="190"/>
      <c r="P680" s="190"/>
      <c r="Q680" s="190"/>
      <c r="R680" s="612"/>
      <c r="S680" s="615"/>
      <c r="T680" s="588"/>
      <c r="U680" s="188"/>
      <c r="V680" s="190"/>
      <c r="W680" s="190"/>
      <c r="X680" s="190"/>
      <c r="Y680" s="190"/>
      <c r="Z680" s="190"/>
      <c r="AA680" s="190"/>
      <c r="AB680" s="190"/>
      <c r="AC680" s="190"/>
      <c r="AD680" s="190"/>
      <c r="AE680" s="190"/>
      <c r="AF680" s="190"/>
      <c r="AG680" s="190"/>
      <c r="AH680" s="190"/>
      <c r="AI680" s="190"/>
      <c r="AJ680" s="190"/>
      <c r="AK680" s="619"/>
      <c r="AL680" s="617"/>
    </row>
    <row r="681" spans="1:38" ht="15.75">
      <c r="A681" s="190"/>
      <c r="B681" s="324"/>
      <c r="C681" s="324"/>
      <c r="D681" s="190"/>
      <c r="E681" s="190"/>
      <c r="F681" s="640"/>
      <c r="G681" s="324"/>
      <c r="H681" s="324"/>
      <c r="I681" s="190"/>
      <c r="J681" s="190"/>
      <c r="K681" s="641"/>
      <c r="L681" s="641"/>
      <c r="M681" s="641"/>
      <c r="N681" s="641"/>
      <c r="O681" s="190"/>
      <c r="P681" s="190"/>
      <c r="Q681" s="190"/>
      <c r="R681" s="612"/>
      <c r="S681" s="615"/>
      <c r="T681" s="588"/>
      <c r="U681" s="188"/>
      <c r="V681" s="190"/>
      <c r="W681" s="190"/>
      <c r="X681" s="190"/>
      <c r="Y681" s="190"/>
      <c r="Z681" s="190"/>
      <c r="AA681" s="190"/>
      <c r="AB681" s="190"/>
      <c r="AC681" s="190"/>
      <c r="AD681" s="190"/>
      <c r="AE681" s="190"/>
      <c r="AF681" s="190"/>
      <c r="AG681" s="190"/>
      <c r="AH681" s="190"/>
      <c r="AI681" s="190"/>
      <c r="AJ681" s="190"/>
      <c r="AK681" s="619"/>
      <c r="AL681" s="617"/>
    </row>
    <row r="682" spans="1:38" ht="15.75">
      <c r="A682" s="190"/>
      <c r="B682" s="324"/>
      <c r="C682" s="324"/>
      <c r="D682" s="190"/>
      <c r="E682" s="190"/>
      <c r="F682" s="640"/>
      <c r="G682" s="324"/>
      <c r="H682" s="324"/>
      <c r="I682" s="190"/>
      <c r="J682" s="190"/>
      <c r="K682" s="641"/>
      <c r="L682" s="641"/>
      <c r="M682" s="641"/>
      <c r="N682" s="641"/>
      <c r="O682" s="190"/>
      <c r="P682" s="190"/>
      <c r="Q682" s="190"/>
      <c r="R682" s="612"/>
      <c r="S682" s="615"/>
      <c r="T682" s="588"/>
      <c r="U682" s="188"/>
      <c r="V682" s="190"/>
      <c r="W682" s="190"/>
      <c r="X682" s="190"/>
      <c r="Y682" s="190"/>
      <c r="Z682" s="190"/>
      <c r="AA682" s="190"/>
      <c r="AB682" s="190"/>
      <c r="AC682" s="190"/>
      <c r="AD682" s="190"/>
      <c r="AE682" s="190"/>
      <c r="AF682" s="190"/>
      <c r="AG682" s="190"/>
      <c r="AH682" s="190"/>
      <c r="AI682" s="190"/>
      <c r="AJ682" s="190"/>
      <c r="AK682" s="619"/>
      <c r="AL682" s="617"/>
    </row>
    <row r="683" spans="1:38" ht="15.75">
      <c r="A683" s="190"/>
      <c r="B683" s="324"/>
      <c r="C683" s="324"/>
      <c r="D683" s="190"/>
      <c r="E683" s="190"/>
      <c r="F683" s="640"/>
      <c r="G683" s="324"/>
      <c r="H683" s="596"/>
      <c r="I683" s="190"/>
      <c r="J683" s="190"/>
      <c r="K683" s="641"/>
      <c r="L683" s="641"/>
      <c r="M683" s="641"/>
      <c r="N683" s="641"/>
      <c r="O683" s="190"/>
      <c r="P683" s="190"/>
      <c r="Q683" s="190"/>
      <c r="R683" s="612"/>
      <c r="S683" s="615"/>
      <c r="T683" s="588"/>
      <c r="U683" s="188"/>
      <c r="V683" s="190"/>
      <c r="W683" s="190"/>
      <c r="X683" s="190"/>
      <c r="Y683" s="190"/>
      <c r="Z683" s="190"/>
      <c r="AA683" s="190"/>
      <c r="AB683" s="190"/>
      <c r="AC683" s="190"/>
      <c r="AD683" s="190"/>
      <c r="AE683" s="190"/>
      <c r="AF683" s="190"/>
      <c r="AG683" s="190"/>
      <c r="AH683" s="190"/>
      <c r="AI683" s="190"/>
      <c r="AJ683" s="190"/>
      <c r="AK683" s="619"/>
      <c r="AL683" s="617"/>
    </row>
    <row r="684" spans="1:38" ht="15.75">
      <c r="A684" s="190"/>
      <c r="B684" s="324"/>
      <c r="C684" s="324"/>
      <c r="D684" s="190"/>
      <c r="E684" s="190"/>
      <c r="F684" s="640"/>
      <c r="G684" s="324"/>
      <c r="H684" s="596"/>
      <c r="I684" s="190"/>
      <c r="J684" s="190"/>
      <c r="K684" s="641"/>
      <c r="L684" s="641"/>
      <c r="M684" s="641"/>
      <c r="N684" s="641"/>
      <c r="O684" s="190"/>
      <c r="P684" s="190"/>
      <c r="Q684" s="190"/>
      <c r="R684" s="612"/>
      <c r="S684" s="615"/>
      <c r="T684" s="588"/>
      <c r="U684" s="188"/>
      <c r="V684" s="190"/>
      <c r="W684" s="190"/>
      <c r="X684" s="190"/>
      <c r="Y684" s="190"/>
      <c r="Z684" s="190"/>
      <c r="AA684" s="190"/>
      <c r="AB684" s="190"/>
      <c r="AC684" s="190"/>
      <c r="AD684" s="190"/>
      <c r="AE684" s="190"/>
      <c r="AF684" s="190"/>
      <c r="AG684" s="190"/>
      <c r="AH684" s="190"/>
      <c r="AI684" s="190"/>
      <c r="AJ684" s="190"/>
      <c r="AK684" s="619"/>
      <c r="AL684" s="617"/>
    </row>
    <row r="685" spans="1:38" ht="15.75">
      <c r="A685" s="190"/>
      <c r="B685" s="324"/>
      <c r="C685" s="324"/>
      <c r="D685" s="190"/>
      <c r="E685" s="190"/>
      <c r="F685" s="640"/>
      <c r="G685" s="324"/>
      <c r="H685" s="596"/>
      <c r="I685" s="190"/>
      <c r="J685" s="190"/>
      <c r="K685" s="641"/>
      <c r="L685" s="641"/>
      <c r="M685" s="641"/>
      <c r="N685" s="641"/>
      <c r="O685" s="190"/>
      <c r="P685" s="190"/>
      <c r="Q685" s="190"/>
      <c r="R685" s="612"/>
      <c r="S685" s="615"/>
      <c r="T685" s="588"/>
      <c r="U685" s="188"/>
      <c r="V685" s="190"/>
      <c r="W685" s="190"/>
      <c r="X685" s="190"/>
      <c r="Y685" s="190"/>
      <c r="Z685" s="190"/>
      <c r="AA685" s="190"/>
      <c r="AB685" s="190"/>
      <c r="AC685" s="190"/>
      <c r="AD685" s="190"/>
      <c r="AE685" s="190"/>
      <c r="AF685" s="190"/>
      <c r="AG685" s="190"/>
      <c r="AH685" s="190"/>
      <c r="AI685" s="190"/>
      <c r="AJ685" s="190"/>
      <c r="AK685" s="619"/>
      <c r="AL685" s="617"/>
    </row>
    <row r="686" spans="1:38" ht="15.75">
      <c r="A686" s="190"/>
      <c r="B686" s="324"/>
      <c r="C686" s="324"/>
      <c r="D686" s="190"/>
      <c r="E686" s="190"/>
      <c r="F686" s="640"/>
      <c r="G686" s="324"/>
      <c r="H686" s="596"/>
      <c r="I686" s="190"/>
      <c r="J686" s="190"/>
      <c r="K686" s="641"/>
      <c r="L686" s="641"/>
      <c r="M686" s="641"/>
      <c r="N686" s="641"/>
      <c r="O686" s="190"/>
      <c r="P686" s="190"/>
      <c r="Q686" s="190"/>
      <c r="R686" s="612"/>
      <c r="S686" s="615"/>
      <c r="T686" s="588"/>
      <c r="U686" s="188"/>
      <c r="V686" s="190"/>
      <c r="W686" s="190"/>
      <c r="X686" s="190"/>
      <c r="Y686" s="190"/>
      <c r="Z686" s="190"/>
      <c r="AA686" s="190"/>
      <c r="AB686" s="190"/>
      <c r="AC686" s="190"/>
      <c r="AD686" s="190"/>
      <c r="AE686" s="190"/>
      <c r="AF686" s="190"/>
      <c r="AG686" s="190"/>
      <c r="AH686" s="190"/>
      <c r="AI686" s="190"/>
      <c r="AJ686" s="190"/>
      <c r="AK686" s="619"/>
      <c r="AL686" s="617"/>
    </row>
    <row r="687" spans="1:38" ht="15.75">
      <c r="A687" s="190"/>
      <c r="B687" s="324"/>
      <c r="C687" s="324"/>
      <c r="D687" s="190"/>
      <c r="E687" s="190"/>
      <c r="F687" s="640"/>
      <c r="G687" s="324"/>
      <c r="H687" s="596"/>
      <c r="I687" s="190"/>
      <c r="J687" s="190"/>
      <c r="K687" s="641"/>
      <c r="L687" s="641"/>
      <c r="M687" s="641"/>
      <c r="N687" s="641"/>
      <c r="O687" s="190"/>
      <c r="P687" s="190"/>
      <c r="Q687" s="190"/>
      <c r="R687" s="612"/>
      <c r="S687" s="615"/>
      <c r="T687" s="588"/>
      <c r="U687" s="188"/>
      <c r="V687" s="190"/>
      <c r="W687" s="190"/>
      <c r="X687" s="190"/>
      <c r="Y687" s="190"/>
      <c r="Z687" s="190"/>
      <c r="AA687" s="190"/>
      <c r="AB687" s="190"/>
      <c r="AC687" s="190"/>
      <c r="AD687" s="190"/>
      <c r="AE687" s="190"/>
      <c r="AF687" s="190"/>
      <c r="AG687" s="190"/>
      <c r="AH687" s="190"/>
      <c r="AI687" s="190"/>
      <c r="AJ687" s="190"/>
      <c r="AK687" s="619"/>
      <c r="AL687" s="617"/>
    </row>
    <row r="688" spans="1:38" ht="15.75">
      <c r="A688" s="190"/>
      <c r="B688" s="324"/>
      <c r="C688" s="324"/>
      <c r="D688" s="190"/>
      <c r="E688" s="190"/>
      <c r="F688" s="640"/>
      <c r="G688" s="324"/>
      <c r="H688" s="596"/>
      <c r="I688" s="190"/>
      <c r="J688" s="190"/>
      <c r="K688" s="641"/>
      <c r="L688" s="641"/>
      <c r="M688" s="641"/>
      <c r="N688" s="641"/>
      <c r="O688" s="190"/>
      <c r="P688" s="190"/>
      <c r="Q688" s="190"/>
      <c r="R688" s="612"/>
      <c r="S688" s="615"/>
      <c r="T688" s="588"/>
      <c r="U688" s="188"/>
      <c r="V688" s="190"/>
      <c r="W688" s="190"/>
      <c r="X688" s="190"/>
      <c r="Y688" s="190"/>
      <c r="Z688" s="190"/>
      <c r="AA688" s="190"/>
      <c r="AB688" s="190"/>
      <c r="AC688" s="190"/>
      <c r="AD688" s="190"/>
      <c r="AE688" s="190"/>
      <c r="AF688" s="190"/>
      <c r="AG688" s="190"/>
      <c r="AH688" s="190"/>
      <c r="AI688" s="190"/>
      <c r="AJ688" s="190"/>
      <c r="AK688" s="619"/>
      <c r="AL688" s="617"/>
    </row>
    <row r="689" spans="1:38" ht="15.75">
      <c r="A689" s="190"/>
      <c r="B689" s="324"/>
      <c r="C689" s="324"/>
      <c r="D689" s="190"/>
      <c r="E689" s="190"/>
      <c r="F689" s="640"/>
      <c r="G689" s="324"/>
      <c r="H689" s="596"/>
      <c r="I689" s="190"/>
      <c r="J689" s="190"/>
      <c r="K689" s="641"/>
      <c r="L689" s="641"/>
      <c r="M689" s="641"/>
      <c r="N689" s="641"/>
      <c r="O689" s="190"/>
      <c r="P689" s="190"/>
      <c r="Q689" s="190"/>
      <c r="R689" s="612"/>
      <c r="S689" s="615"/>
      <c r="T689" s="588"/>
      <c r="U689" s="188"/>
      <c r="V689" s="190"/>
      <c r="W689" s="190"/>
      <c r="X689" s="190"/>
      <c r="Y689" s="190"/>
      <c r="Z689" s="190"/>
      <c r="AA689" s="190"/>
      <c r="AB689" s="190"/>
      <c r="AC689" s="190"/>
      <c r="AD689" s="190"/>
      <c r="AE689" s="190"/>
      <c r="AF689" s="190"/>
      <c r="AG689" s="190"/>
      <c r="AH689" s="190"/>
      <c r="AI689" s="190"/>
      <c r="AJ689" s="190"/>
      <c r="AK689" s="619"/>
      <c r="AL689" s="617"/>
    </row>
    <row r="690" spans="1:38" ht="15.75">
      <c r="A690" s="190"/>
      <c r="B690" s="324"/>
      <c r="C690" s="324"/>
      <c r="D690" s="190"/>
      <c r="E690" s="190"/>
      <c r="F690" s="640"/>
      <c r="G690" s="324"/>
      <c r="H690" s="596"/>
      <c r="I690" s="190"/>
      <c r="J690" s="190"/>
      <c r="K690" s="641"/>
      <c r="L690" s="641"/>
      <c r="M690" s="641"/>
      <c r="N690" s="641"/>
      <c r="O690" s="190"/>
      <c r="P690" s="190"/>
      <c r="Q690" s="190"/>
      <c r="R690" s="612"/>
      <c r="S690" s="615"/>
      <c r="T690" s="588"/>
      <c r="U690" s="188"/>
      <c r="V690" s="190"/>
      <c r="W690" s="190"/>
      <c r="X690" s="190"/>
      <c r="Y690" s="190"/>
      <c r="Z690" s="190"/>
      <c r="AA690" s="190"/>
      <c r="AB690" s="190"/>
      <c r="AC690" s="190"/>
      <c r="AD690" s="190"/>
      <c r="AE690" s="190"/>
      <c r="AF690" s="190"/>
      <c r="AG690" s="190"/>
      <c r="AH690" s="190"/>
      <c r="AI690" s="190"/>
      <c r="AJ690" s="190"/>
      <c r="AK690" s="619"/>
      <c r="AL690" s="617"/>
    </row>
    <row r="691" spans="1:38" ht="15.75">
      <c r="A691" s="190"/>
      <c r="B691" s="324"/>
      <c r="C691" s="324"/>
      <c r="D691" s="190"/>
      <c r="E691" s="190"/>
      <c r="F691" s="640"/>
      <c r="G691" s="324"/>
      <c r="H691" s="596"/>
      <c r="I691" s="190"/>
      <c r="J691" s="190"/>
      <c r="K691" s="641"/>
      <c r="L691" s="641"/>
      <c r="M691" s="641"/>
      <c r="N691" s="641"/>
      <c r="O691" s="190"/>
      <c r="P691" s="190"/>
      <c r="Q691" s="190"/>
      <c r="R691" s="612"/>
      <c r="S691" s="615"/>
      <c r="T691" s="588"/>
      <c r="U691" s="188"/>
      <c r="V691" s="190"/>
      <c r="W691" s="190"/>
      <c r="X691" s="190"/>
      <c r="Y691" s="190"/>
      <c r="Z691" s="190"/>
      <c r="AA691" s="190"/>
      <c r="AB691" s="190"/>
      <c r="AC691" s="190"/>
      <c r="AD691" s="190"/>
      <c r="AE691" s="190"/>
      <c r="AF691" s="190"/>
      <c r="AG691" s="190"/>
      <c r="AH691" s="190"/>
      <c r="AI691" s="190"/>
      <c r="AJ691" s="190"/>
      <c r="AK691" s="619"/>
      <c r="AL691" s="617"/>
    </row>
    <row r="692" spans="1:38" ht="15.75">
      <c r="A692" s="190"/>
      <c r="B692" s="324"/>
      <c r="C692" s="324"/>
      <c r="D692" s="190"/>
      <c r="E692" s="190"/>
      <c r="F692" s="640"/>
      <c r="G692" s="324"/>
      <c r="H692" s="596"/>
      <c r="I692" s="190"/>
      <c r="J692" s="190"/>
      <c r="K692" s="641"/>
      <c r="L692" s="641"/>
      <c r="M692" s="641"/>
      <c r="N692" s="641"/>
      <c r="O692" s="190"/>
      <c r="P692" s="190"/>
      <c r="Q692" s="190"/>
      <c r="R692" s="612"/>
      <c r="S692" s="615"/>
      <c r="T692" s="588"/>
      <c r="U692" s="188"/>
      <c r="V692" s="190"/>
      <c r="W692" s="190"/>
      <c r="X692" s="190"/>
      <c r="Y692" s="190"/>
      <c r="Z692" s="190"/>
      <c r="AA692" s="190"/>
      <c r="AB692" s="190"/>
      <c r="AC692" s="190"/>
      <c r="AD692" s="190"/>
      <c r="AE692" s="190"/>
      <c r="AF692" s="190"/>
      <c r="AG692" s="190"/>
      <c r="AH692" s="190"/>
      <c r="AI692" s="190"/>
      <c r="AJ692" s="190"/>
      <c r="AK692" s="619"/>
      <c r="AL692" s="617"/>
    </row>
    <row r="693" spans="1:38" ht="15.75">
      <c r="A693" s="190"/>
      <c r="B693" s="324"/>
      <c r="C693" s="324"/>
      <c r="D693" s="190"/>
      <c r="E693" s="190"/>
      <c r="F693" s="640"/>
      <c r="G693" s="324"/>
      <c r="H693" s="596"/>
      <c r="I693" s="190"/>
      <c r="J693" s="190"/>
      <c r="K693" s="641"/>
      <c r="L693" s="641"/>
      <c r="M693" s="641"/>
      <c r="N693" s="641"/>
      <c r="O693" s="190"/>
      <c r="P693" s="190"/>
      <c r="Q693" s="190"/>
      <c r="R693" s="612"/>
      <c r="S693" s="615"/>
      <c r="T693" s="588"/>
      <c r="U693" s="188"/>
      <c r="V693" s="190"/>
      <c r="W693" s="190"/>
      <c r="X693" s="190"/>
      <c r="Y693" s="190"/>
      <c r="Z693" s="190"/>
      <c r="AA693" s="190"/>
      <c r="AB693" s="190"/>
      <c r="AC693" s="190"/>
      <c r="AD693" s="190"/>
      <c r="AE693" s="190"/>
      <c r="AF693" s="190"/>
      <c r="AG693" s="190"/>
      <c r="AH693" s="190"/>
      <c r="AI693" s="190"/>
      <c r="AJ693" s="190"/>
      <c r="AK693" s="619"/>
      <c r="AL693" s="617"/>
    </row>
    <row r="694" spans="1:38" ht="15.75">
      <c r="A694" s="190"/>
      <c r="B694" s="324"/>
      <c r="C694" s="324"/>
      <c r="D694" s="190"/>
      <c r="E694" s="190"/>
      <c r="F694" s="640"/>
      <c r="G694" s="324"/>
      <c r="H694" s="596"/>
      <c r="I694" s="190"/>
      <c r="J694" s="190"/>
      <c r="K694" s="641"/>
      <c r="L694" s="641"/>
      <c r="M694" s="641"/>
      <c r="N694" s="641"/>
      <c r="O694" s="190"/>
      <c r="P694" s="190"/>
      <c r="Q694" s="190"/>
      <c r="R694" s="612"/>
      <c r="S694" s="615"/>
      <c r="T694" s="588"/>
      <c r="U694" s="188"/>
      <c r="V694" s="190"/>
      <c r="W694" s="190"/>
      <c r="X694" s="190"/>
      <c r="Y694" s="190"/>
      <c r="Z694" s="190"/>
      <c r="AA694" s="190"/>
      <c r="AB694" s="190"/>
      <c r="AC694" s="190"/>
      <c r="AD694" s="190"/>
      <c r="AE694" s="190"/>
      <c r="AF694" s="190"/>
      <c r="AG694" s="190"/>
      <c r="AH694" s="190"/>
      <c r="AI694" s="190"/>
      <c r="AJ694" s="190"/>
      <c r="AK694" s="619"/>
      <c r="AL694" s="617"/>
    </row>
    <row r="695" spans="1:38" ht="15.75">
      <c r="A695" s="190"/>
      <c r="B695" s="324"/>
      <c r="C695" s="324"/>
      <c r="D695" s="190"/>
      <c r="E695" s="190"/>
      <c r="F695" s="640"/>
      <c r="G695" s="324"/>
      <c r="H695" s="596"/>
      <c r="I695" s="190"/>
      <c r="J695" s="190"/>
      <c r="K695" s="641"/>
      <c r="L695" s="641"/>
      <c r="M695" s="641"/>
      <c r="N695" s="641"/>
      <c r="O695" s="190"/>
      <c r="P695" s="190"/>
      <c r="Q695" s="190"/>
      <c r="R695" s="612"/>
      <c r="S695" s="615"/>
      <c r="T695" s="588"/>
      <c r="U695" s="188"/>
      <c r="V695" s="190"/>
      <c r="W695" s="190"/>
      <c r="X695" s="190"/>
      <c r="Y695" s="190"/>
      <c r="Z695" s="190"/>
      <c r="AA695" s="190"/>
      <c r="AB695" s="190"/>
      <c r="AC695" s="190"/>
      <c r="AD695" s="190"/>
      <c r="AE695" s="190"/>
      <c r="AF695" s="190"/>
      <c r="AG695" s="190"/>
      <c r="AH695" s="190"/>
      <c r="AI695" s="190"/>
      <c r="AJ695" s="190"/>
      <c r="AK695" s="619"/>
      <c r="AL695" s="617"/>
    </row>
    <row r="696" spans="1:38" ht="15.75">
      <c r="A696" s="190"/>
      <c r="B696" s="324"/>
      <c r="C696" s="324"/>
      <c r="D696" s="190"/>
      <c r="E696" s="190"/>
      <c r="F696" s="640"/>
      <c r="G696" s="324"/>
      <c r="H696" s="596"/>
      <c r="I696" s="190"/>
      <c r="J696" s="190"/>
      <c r="K696" s="641"/>
      <c r="L696" s="641"/>
      <c r="M696" s="641"/>
      <c r="N696" s="641"/>
      <c r="O696" s="190"/>
      <c r="P696" s="190"/>
      <c r="Q696" s="190"/>
      <c r="R696" s="612"/>
      <c r="S696" s="615"/>
      <c r="T696" s="588"/>
      <c r="U696" s="188"/>
      <c r="V696" s="190"/>
      <c r="W696" s="190"/>
      <c r="X696" s="190"/>
      <c r="Y696" s="190"/>
      <c r="Z696" s="190"/>
      <c r="AA696" s="190"/>
      <c r="AB696" s="190"/>
      <c r="AC696" s="190"/>
      <c r="AD696" s="190"/>
      <c r="AE696" s="190"/>
      <c r="AF696" s="190"/>
      <c r="AG696" s="190"/>
      <c r="AH696" s="190"/>
      <c r="AI696" s="190"/>
      <c r="AJ696" s="190"/>
      <c r="AK696" s="619"/>
      <c r="AL696" s="617"/>
    </row>
    <row r="697" spans="1:38" ht="15.75">
      <c r="A697" s="190"/>
      <c r="B697" s="190"/>
      <c r="C697" s="190"/>
      <c r="D697" s="190"/>
      <c r="E697" s="190"/>
      <c r="F697" s="640"/>
      <c r="G697" s="324"/>
      <c r="H697" s="596"/>
      <c r="I697" s="190"/>
      <c r="J697" s="190"/>
      <c r="K697" s="641"/>
      <c r="L697" s="641"/>
      <c r="M697" s="641"/>
      <c r="N697" s="641"/>
      <c r="O697" s="190"/>
      <c r="P697" s="190"/>
      <c r="Q697" s="190"/>
      <c r="R697" s="612"/>
      <c r="S697" s="615"/>
      <c r="T697" s="588"/>
      <c r="U697" s="188"/>
      <c r="V697" s="190"/>
      <c r="W697" s="190"/>
      <c r="X697" s="190"/>
      <c r="Y697" s="190"/>
      <c r="Z697" s="190"/>
      <c r="AA697" s="190"/>
      <c r="AB697" s="190"/>
      <c r="AC697" s="190"/>
      <c r="AD697" s="190"/>
      <c r="AE697" s="190"/>
      <c r="AF697" s="190"/>
      <c r="AG697" s="190"/>
      <c r="AH697" s="190"/>
      <c r="AI697" s="190"/>
      <c r="AJ697" s="190"/>
      <c r="AK697" s="619"/>
      <c r="AL697" s="617"/>
    </row>
    <row r="698" spans="1:38" ht="15.75">
      <c r="A698" s="190"/>
      <c r="B698" s="190"/>
      <c r="C698" s="190"/>
      <c r="D698" s="190"/>
      <c r="E698" s="190"/>
      <c r="F698" s="640"/>
      <c r="G698" s="324"/>
      <c r="H698" s="596"/>
      <c r="I698" s="190"/>
      <c r="J698" s="190"/>
      <c r="K698" s="641"/>
      <c r="L698" s="641"/>
      <c r="M698" s="641"/>
      <c r="N698" s="641"/>
      <c r="O698" s="190"/>
      <c r="P698" s="190"/>
      <c r="Q698" s="190"/>
      <c r="R698" s="612"/>
      <c r="S698" s="615"/>
      <c r="T698" s="588"/>
      <c r="U698" s="188"/>
      <c r="V698" s="190"/>
      <c r="W698" s="190"/>
      <c r="X698" s="190"/>
      <c r="Y698" s="190"/>
      <c r="Z698" s="190"/>
      <c r="AA698" s="190"/>
      <c r="AB698" s="190"/>
      <c r="AC698" s="190"/>
      <c r="AD698" s="190"/>
      <c r="AE698" s="190"/>
      <c r="AF698" s="190"/>
      <c r="AG698" s="190"/>
      <c r="AH698" s="190"/>
      <c r="AI698" s="190"/>
      <c r="AJ698" s="190"/>
      <c r="AK698" s="619"/>
      <c r="AL698" s="617"/>
    </row>
    <row r="699" spans="1:38" ht="15.75">
      <c r="A699" s="190"/>
      <c r="B699" s="190"/>
      <c r="C699" s="190"/>
      <c r="D699" s="190"/>
      <c r="E699" s="190"/>
      <c r="F699" s="640"/>
      <c r="G699" s="324"/>
      <c r="H699" s="190"/>
      <c r="I699" s="190"/>
      <c r="J699" s="190"/>
      <c r="K699" s="641"/>
      <c r="L699" s="641"/>
      <c r="M699" s="641"/>
      <c r="N699" s="641"/>
      <c r="O699" s="190"/>
      <c r="P699" s="190"/>
      <c r="Q699" s="190"/>
      <c r="R699" s="612"/>
      <c r="S699" s="615"/>
      <c r="T699" s="588"/>
      <c r="U699" s="188"/>
      <c r="V699" s="190"/>
      <c r="W699" s="190"/>
      <c r="X699" s="190"/>
      <c r="Y699" s="190"/>
      <c r="Z699" s="190"/>
      <c r="AA699" s="190"/>
      <c r="AB699" s="190"/>
      <c r="AC699" s="190"/>
      <c r="AD699" s="190"/>
      <c r="AE699" s="190"/>
      <c r="AF699" s="190"/>
      <c r="AG699" s="190"/>
      <c r="AH699" s="190"/>
      <c r="AI699" s="190"/>
      <c r="AJ699" s="190"/>
      <c r="AK699" s="619"/>
      <c r="AL699" s="617"/>
    </row>
    <row r="700" spans="1:38" ht="15.75">
      <c r="A700" s="190"/>
      <c r="B700" s="190"/>
      <c r="C700" s="190"/>
      <c r="D700" s="190"/>
      <c r="E700" s="190"/>
      <c r="F700" s="640"/>
      <c r="G700" s="324"/>
      <c r="H700" s="190"/>
      <c r="I700" s="190"/>
      <c r="J700" s="190"/>
      <c r="K700" s="641"/>
      <c r="L700" s="641"/>
      <c r="M700" s="641"/>
      <c r="N700" s="641"/>
      <c r="O700" s="190"/>
      <c r="P700" s="190"/>
      <c r="Q700" s="190"/>
      <c r="R700" s="612"/>
      <c r="S700" s="615"/>
      <c r="T700" s="588"/>
      <c r="U700" s="188"/>
      <c r="V700" s="190"/>
      <c r="W700" s="190"/>
      <c r="X700" s="190"/>
      <c r="Y700" s="190"/>
      <c r="Z700" s="190"/>
      <c r="AA700" s="190"/>
      <c r="AB700" s="190"/>
      <c r="AC700" s="190"/>
      <c r="AD700" s="190"/>
      <c r="AE700" s="190"/>
      <c r="AF700" s="190"/>
      <c r="AG700" s="190"/>
      <c r="AH700" s="190"/>
      <c r="AI700" s="190"/>
      <c r="AJ700" s="190"/>
      <c r="AK700" s="619"/>
      <c r="AL700" s="617"/>
    </row>
    <row r="701" spans="1:38" ht="15.75">
      <c r="A701" s="190"/>
      <c r="B701" s="190"/>
      <c r="C701" s="190"/>
      <c r="D701" s="190"/>
      <c r="E701" s="190"/>
      <c r="F701" s="640"/>
      <c r="G701" s="324"/>
      <c r="H701" s="190"/>
      <c r="I701" s="190"/>
      <c r="J701" s="190"/>
      <c r="K701" s="641"/>
      <c r="L701" s="641"/>
      <c r="M701" s="641"/>
      <c r="N701" s="641"/>
      <c r="O701" s="190"/>
      <c r="P701" s="190"/>
      <c r="Q701" s="190"/>
      <c r="R701" s="612"/>
      <c r="S701" s="615"/>
      <c r="T701" s="588"/>
      <c r="U701" s="188"/>
      <c r="V701" s="190"/>
      <c r="W701" s="190"/>
      <c r="X701" s="190"/>
      <c r="Y701" s="190"/>
      <c r="Z701" s="190"/>
      <c r="AA701" s="190"/>
      <c r="AB701" s="190"/>
      <c r="AC701" s="190"/>
      <c r="AD701" s="190"/>
      <c r="AE701" s="190"/>
      <c r="AF701" s="190"/>
      <c r="AG701" s="190"/>
      <c r="AH701" s="190"/>
      <c r="AI701" s="190"/>
      <c r="AJ701" s="190"/>
      <c r="AK701" s="619"/>
      <c r="AL701" s="617"/>
    </row>
    <row r="702" spans="1:38" ht="15.75">
      <c r="A702" s="190"/>
      <c r="B702" s="190"/>
      <c r="C702" s="190"/>
      <c r="D702" s="190"/>
      <c r="E702" s="190"/>
      <c r="F702" s="640"/>
      <c r="G702" s="324"/>
      <c r="H702" s="190"/>
      <c r="I702" s="190"/>
      <c r="J702" s="190"/>
      <c r="K702" s="641"/>
      <c r="L702" s="641"/>
      <c r="M702" s="641"/>
      <c r="N702" s="641"/>
      <c r="O702" s="190"/>
      <c r="P702" s="190"/>
      <c r="Q702" s="190"/>
      <c r="R702" s="612"/>
      <c r="S702" s="615"/>
      <c r="T702" s="588"/>
      <c r="U702" s="188"/>
      <c r="V702" s="190"/>
      <c r="W702" s="190"/>
      <c r="X702" s="190"/>
      <c r="Y702" s="190"/>
      <c r="Z702" s="190"/>
      <c r="AA702" s="190"/>
      <c r="AB702" s="190"/>
      <c r="AC702" s="190"/>
      <c r="AD702" s="190"/>
      <c r="AE702" s="190"/>
      <c r="AF702" s="190"/>
      <c r="AG702" s="190"/>
      <c r="AH702" s="190"/>
      <c r="AI702" s="190"/>
      <c r="AJ702" s="190"/>
      <c r="AK702" s="619"/>
      <c r="AL702" s="617"/>
    </row>
    <row r="703" spans="1:38" ht="15.75">
      <c r="A703" s="190"/>
      <c r="B703" s="190"/>
      <c r="C703" s="190"/>
      <c r="D703" s="190"/>
      <c r="E703" s="190"/>
      <c r="F703" s="640"/>
      <c r="G703" s="324"/>
      <c r="H703" s="190"/>
      <c r="I703" s="190"/>
      <c r="J703" s="190"/>
      <c r="K703" s="641"/>
      <c r="L703" s="641"/>
      <c r="M703" s="641"/>
      <c r="N703" s="641"/>
      <c r="O703" s="190"/>
      <c r="P703" s="190"/>
      <c r="Q703" s="190"/>
      <c r="R703" s="612"/>
      <c r="S703" s="615"/>
      <c r="T703" s="588"/>
      <c r="U703" s="188"/>
      <c r="V703" s="190"/>
      <c r="W703" s="190"/>
      <c r="X703" s="190"/>
      <c r="Y703" s="190"/>
      <c r="Z703" s="190"/>
      <c r="AA703" s="190"/>
      <c r="AB703" s="190"/>
      <c r="AC703" s="190"/>
      <c r="AD703" s="190"/>
      <c r="AE703" s="190"/>
      <c r="AF703" s="190"/>
      <c r="AG703" s="190"/>
      <c r="AH703" s="190"/>
      <c r="AI703" s="190"/>
      <c r="AJ703" s="190"/>
      <c r="AK703" s="619"/>
      <c r="AL703" s="617"/>
    </row>
    <row r="704" spans="1:38" ht="15.75">
      <c r="A704" s="190"/>
      <c r="B704" s="190"/>
      <c r="C704" s="190"/>
      <c r="D704" s="190"/>
      <c r="E704" s="190"/>
      <c r="F704" s="640"/>
      <c r="G704" s="324"/>
      <c r="H704" s="190"/>
      <c r="I704" s="190"/>
      <c r="J704" s="190"/>
      <c r="K704" s="641"/>
      <c r="L704" s="641"/>
      <c r="M704" s="641"/>
      <c r="N704" s="641"/>
      <c r="O704" s="190"/>
      <c r="P704" s="190"/>
      <c r="Q704" s="190"/>
      <c r="R704" s="612"/>
      <c r="S704" s="615"/>
      <c r="T704" s="588"/>
      <c r="U704" s="188"/>
      <c r="V704" s="190"/>
      <c r="W704" s="190"/>
      <c r="X704" s="190"/>
      <c r="Y704" s="190"/>
      <c r="Z704" s="190"/>
      <c r="AA704" s="190"/>
      <c r="AB704" s="190"/>
      <c r="AC704" s="190"/>
      <c r="AD704" s="190"/>
      <c r="AE704" s="190"/>
      <c r="AF704" s="190"/>
      <c r="AG704" s="190"/>
      <c r="AH704" s="190"/>
      <c r="AI704" s="190"/>
      <c r="AJ704" s="190"/>
      <c r="AK704" s="619"/>
      <c r="AL704" s="617"/>
    </row>
    <row r="705" spans="1:38" ht="15.75">
      <c r="A705" s="190"/>
      <c r="B705" s="190"/>
      <c r="C705" s="190"/>
      <c r="D705" s="190"/>
      <c r="E705" s="190"/>
      <c r="F705" s="640"/>
      <c r="G705" s="324"/>
      <c r="H705" s="190"/>
      <c r="I705" s="190"/>
      <c r="J705" s="190"/>
      <c r="K705" s="641"/>
      <c r="L705" s="641"/>
      <c r="M705" s="641"/>
      <c r="N705" s="641"/>
      <c r="O705" s="190"/>
      <c r="P705" s="190"/>
      <c r="Q705" s="190"/>
      <c r="R705" s="612"/>
      <c r="S705" s="615"/>
      <c r="T705" s="588"/>
      <c r="U705" s="188"/>
      <c r="V705" s="190"/>
      <c r="W705" s="190"/>
      <c r="X705" s="190"/>
      <c r="Y705" s="190"/>
      <c r="Z705" s="190"/>
      <c r="AA705" s="190"/>
      <c r="AB705" s="190"/>
      <c r="AC705" s="190"/>
      <c r="AD705" s="190"/>
      <c r="AE705" s="190"/>
      <c r="AF705" s="190"/>
      <c r="AG705" s="190"/>
      <c r="AH705" s="190"/>
      <c r="AI705" s="190"/>
      <c r="AJ705" s="190"/>
      <c r="AK705" s="619"/>
      <c r="AL705" s="617"/>
    </row>
    <row r="706" spans="1:38" ht="15.75">
      <c r="A706" s="190"/>
      <c r="B706" s="190"/>
      <c r="C706" s="190"/>
      <c r="D706" s="190"/>
      <c r="E706" s="190"/>
      <c r="F706" s="640"/>
      <c r="G706" s="324"/>
      <c r="H706" s="190"/>
      <c r="I706" s="190"/>
      <c r="J706" s="190"/>
      <c r="K706" s="641"/>
      <c r="L706" s="641"/>
      <c r="M706" s="641"/>
      <c r="N706" s="641"/>
      <c r="O706" s="190"/>
      <c r="P706" s="190"/>
      <c r="Q706" s="190"/>
      <c r="R706" s="612"/>
      <c r="S706" s="615"/>
      <c r="T706" s="588"/>
      <c r="U706" s="188"/>
      <c r="V706" s="190"/>
      <c r="W706" s="190"/>
      <c r="X706" s="190"/>
      <c r="Y706" s="190"/>
      <c r="Z706" s="190"/>
      <c r="AA706" s="190"/>
      <c r="AB706" s="190"/>
      <c r="AC706" s="190"/>
      <c r="AD706" s="190"/>
      <c r="AE706" s="190"/>
      <c r="AF706" s="190"/>
      <c r="AG706" s="190"/>
      <c r="AH706" s="190"/>
      <c r="AI706" s="190"/>
      <c r="AJ706" s="190"/>
      <c r="AK706" s="619"/>
      <c r="AL706" s="617"/>
    </row>
    <row r="707" spans="1:38" ht="15.75">
      <c r="A707" s="190"/>
      <c r="B707" s="190"/>
      <c r="C707" s="190"/>
      <c r="D707" s="190"/>
      <c r="E707" s="190"/>
      <c r="F707" s="640"/>
      <c r="G707" s="324"/>
      <c r="H707" s="190"/>
      <c r="I707" s="190"/>
      <c r="J707" s="190"/>
      <c r="K707" s="641"/>
      <c r="L707" s="641"/>
      <c r="M707" s="641"/>
      <c r="N707" s="641"/>
      <c r="O707" s="190"/>
      <c r="P707" s="190"/>
      <c r="Q707" s="190"/>
      <c r="R707" s="612"/>
      <c r="S707" s="615"/>
      <c r="T707" s="588"/>
      <c r="U707" s="188"/>
      <c r="V707" s="190"/>
      <c r="W707" s="190"/>
      <c r="X707" s="190"/>
      <c r="Y707" s="190"/>
      <c r="Z707" s="190"/>
      <c r="AA707" s="190"/>
      <c r="AB707" s="190"/>
      <c r="AC707" s="190"/>
      <c r="AD707" s="190"/>
      <c r="AE707" s="190"/>
      <c r="AF707" s="190"/>
      <c r="AG707" s="190"/>
      <c r="AH707" s="190"/>
      <c r="AI707" s="190"/>
      <c r="AJ707" s="190"/>
      <c r="AK707" s="619"/>
      <c r="AL707" s="617"/>
    </row>
    <row r="708" spans="1:38" ht="15.75">
      <c r="A708" s="190"/>
      <c r="B708" s="190"/>
      <c r="C708" s="190"/>
      <c r="D708" s="190"/>
      <c r="E708" s="190"/>
      <c r="F708" s="640"/>
      <c r="G708" s="324"/>
      <c r="H708" s="190"/>
      <c r="I708" s="190"/>
      <c r="J708" s="190"/>
      <c r="K708" s="641"/>
      <c r="L708" s="641"/>
      <c r="M708" s="641"/>
      <c r="N708" s="641"/>
      <c r="O708" s="190"/>
      <c r="P708" s="190"/>
      <c r="Q708" s="190"/>
      <c r="R708" s="612"/>
      <c r="S708" s="615"/>
      <c r="T708" s="588"/>
      <c r="U708" s="188"/>
      <c r="V708" s="190"/>
      <c r="W708" s="190"/>
      <c r="X708" s="190"/>
      <c r="Y708" s="190"/>
      <c r="Z708" s="190"/>
      <c r="AA708" s="190"/>
      <c r="AB708" s="190"/>
      <c r="AC708" s="190"/>
      <c r="AD708" s="190"/>
      <c r="AE708" s="190"/>
      <c r="AF708" s="190"/>
      <c r="AG708" s="190"/>
      <c r="AH708" s="190"/>
      <c r="AI708" s="190"/>
      <c r="AJ708" s="190"/>
      <c r="AK708" s="619"/>
      <c r="AL708" s="617"/>
    </row>
    <row r="709" spans="1:38" ht="15.75">
      <c r="A709" s="190"/>
      <c r="B709" s="190"/>
      <c r="C709" s="190"/>
      <c r="D709" s="190"/>
      <c r="E709" s="190"/>
      <c r="F709" s="640"/>
      <c r="G709" s="324"/>
      <c r="H709" s="190"/>
      <c r="I709" s="190"/>
      <c r="J709" s="190"/>
      <c r="K709" s="641"/>
      <c r="L709" s="641"/>
      <c r="M709" s="641"/>
      <c r="N709" s="641"/>
      <c r="O709" s="190"/>
      <c r="P709" s="190"/>
      <c r="Q709" s="190"/>
      <c r="R709" s="612"/>
      <c r="S709" s="615"/>
      <c r="T709" s="588"/>
      <c r="U709" s="188"/>
      <c r="V709" s="190"/>
      <c r="W709" s="190"/>
      <c r="X709" s="190"/>
      <c r="Y709" s="190"/>
      <c r="Z709" s="190"/>
      <c r="AA709" s="190"/>
      <c r="AB709" s="190"/>
      <c r="AC709" s="190"/>
      <c r="AD709" s="190"/>
      <c r="AE709" s="190"/>
      <c r="AF709" s="190"/>
      <c r="AG709" s="190"/>
      <c r="AH709" s="190"/>
      <c r="AI709" s="190"/>
      <c r="AJ709" s="190"/>
      <c r="AK709" s="619"/>
      <c r="AL709" s="617"/>
    </row>
    <row r="710" spans="1:38" ht="15.75">
      <c r="A710" s="190"/>
      <c r="B710" s="190"/>
      <c r="C710" s="190"/>
      <c r="D710" s="190"/>
      <c r="E710" s="190"/>
      <c r="F710" s="640"/>
      <c r="G710" s="324"/>
      <c r="H710" s="190"/>
      <c r="I710" s="190"/>
      <c r="J710" s="190"/>
      <c r="K710" s="641"/>
      <c r="L710" s="641"/>
      <c r="M710" s="641"/>
      <c r="N710" s="641"/>
      <c r="O710" s="190"/>
      <c r="P710" s="190"/>
      <c r="Q710" s="190"/>
      <c r="R710" s="612"/>
      <c r="S710" s="615"/>
      <c r="T710" s="588"/>
      <c r="U710" s="188"/>
      <c r="V710" s="190"/>
      <c r="W710" s="190"/>
      <c r="X710" s="190"/>
      <c r="Y710" s="190"/>
      <c r="Z710" s="190"/>
      <c r="AA710" s="190"/>
      <c r="AB710" s="190"/>
      <c r="AC710" s="190"/>
      <c r="AD710" s="190"/>
      <c r="AE710" s="190"/>
      <c r="AF710" s="190"/>
      <c r="AG710" s="190"/>
      <c r="AH710" s="190"/>
      <c r="AI710" s="190"/>
      <c r="AJ710" s="190"/>
      <c r="AK710" s="619"/>
      <c r="AL710" s="617"/>
    </row>
    <row r="711" spans="1:38" ht="15.75">
      <c r="A711" s="190"/>
      <c r="B711" s="190"/>
      <c r="C711" s="190"/>
      <c r="D711" s="190"/>
      <c r="E711" s="190"/>
      <c r="F711" s="640"/>
      <c r="G711" s="324"/>
      <c r="H711" s="190"/>
      <c r="I711" s="190"/>
      <c r="J711" s="190"/>
      <c r="K711" s="641"/>
      <c r="L711" s="641"/>
      <c r="M711" s="641"/>
      <c r="N711" s="641"/>
      <c r="O711" s="190"/>
      <c r="P711" s="190"/>
      <c r="Q711" s="190"/>
      <c r="R711" s="612"/>
      <c r="S711" s="615"/>
      <c r="T711" s="588"/>
      <c r="U711" s="188"/>
      <c r="V711" s="190"/>
      <c r="W711" s="190"/>
      <c r="X711" s="190"/>
      <c r="Y711" s="190"/>
      <c r="Z711" s="190"/>
      <c r="AA711" s="190"/>
      <c r="AB711" s="190"/>
      <c r="AC711" s="190"/>
      <c r="AD711" s="190"/>
      <c r="AE711" s="190"/>
      <c r="AF711" s="190"/>
      <c r="AG711" s="190"/>
      <c r="AH711" s="190"/>
      <c r="AI711" s="190"/>
      <c r="AJ711" s="190"/>
      <c r="AK711" s="619"/>
      <c r="AL711" s="617"/>
    </row>
    <row r="712" spans="1:38" ht="15.75">
      <c r="A712" s="190"/>
      <c r="B712" s="190"/>
      <c r="C712" s="190"/>
      <c r="D712" s="190"/>
      <c r="E712" s="190"/>
      <c r="F712" s="640"/>
      <c r="G712" s="324"/>
      <c r="H712" s="190"/>
      <c r="I712" s="190"/>
      <c r="J712" s="190"/>
      <c r="K712" s="641"/>
      <c r="L712" s="641"/>
      <c r="M712" s="641"/>
      <c r="N712" s="641"/>
      <c r="O712" s="190"/>
      <c r="P712" s="190"/>
      <c r="Q712" s="190"/>
      <c r="R712" s="612"/>
      <c r="S712" s="615"/>
      <c r="T712" s="588"/>
      <c r="U712" s="188"/>
      <c r="V712" s="190"/>
      <c r="W712" s="190"/>
      <c r="X712" s="190"/>
      <c r="Y712" s="190"/>
      <c r="Z712" s="190"/>
      <c r="AA712" s="190"/>
      <c r="AB712" s="190"/>
      <c r="AC712" s="190"/>
      <c r="AD712" s="190"/>
      <c r="AE712" s="190"/>
      <c r="AF712" s="190"/>
      <c r="AG712" s="190"/>
      <c r="AH712" s="190"/>
      <c r="AI712" s="190"/>
      <c r="AJ712" s="190"/>
      <c r="AK712" s="619"/>
      <c r="AL712" s="617"/>
    </row>
    <row r="713" spans="1:38" ht="15.75">
      <c r="A713" s="190"/>
      <c r="B713" s="190"/>
      <c r="C713" s="190"/>
      <c r="D713" s="190"/>
      <c r="E713" s="190"/>
      <c r="F713" s="640"/>
      <c r="G713" s="324"/>
      <c r="H713" s="190"/>
      <c r="I713" s="190"/>
      <c r="J713" s="190"/>
      <c r="K713" s="641"/>
      <c r="L713" s="641"/>
      <c r="M713" s="641"/>
      <c r="N713" s="641"/>
      <c r="O713" s="190"/>
      <c r="P713" s="190"/>
      <c r="Q713" s="190"/>
      <c r="R713" s="612"/>
      <c r="S713" s="615"/>
      <c r="T713" s="588"/>
      <c r="U713" s="188"/>
      <c r="V713" s="190"/>
      <c r="W713" s="190"/>
      <c r="X713" s="190"/>
      <c r="Y713" s="190"/>
      <c r="Z713" s="190"/>
      <c r="AA713" s="190"/>
      <c r="AB713" s="190"/>
      <c r="AC713" s="190"/>
      <c r="AD713" s="190"/>
      <c r="AE713" s="190"/>
      <c r="AF713" s="190"/>
      <c r="AG713" s="190"/>
      <c r="AH713" s="190"/>
      <c r="AI713" s="190"/>
      <c r="AJ713" s="190"/>
      <c r="AK713" s="619"/>
      <c r="AL713" s="617"/>
    </row>
    <row r="714" spans="1:38" ht="15.75">
      <c r="A714" s="190"/>
      <c r="B714" s="190"/>
      <c r="C714" s="190"/>
      <c r="D714" s="190"/>
      <c r="E714" s="190"/>
      <c r="F714" s="640"/>
      <c r="G714" s="324"/>
      <c r="H714" s="190"/>
      <c r="I714" s="190"/>
      <c r="J714" s="190"/>
      <c r="K714" s="641"/>
      <c r="L714" s="641"/>
      <c r="M714" s="641"/>
      <c r="N714" s="641"/>
      <c r="O714" s="190"/>
      <c r="P714" s="190"/>
      <c r="Q714" s="190"/>
      <c r="R714" s="612"/>
      <c r="S714" s="615"/>
      <c r="T714" s="588"/>
      <c r="U714" s="188"/>
      <c r="V714" s="190"/>
      <c r="W714" s="190"/>
      <c r="X714" s="190"/>
      <c r="Y714" s="190"/>
      <c r="Z714" s="190"/>
      <c r="AA714" s="190"/>
      <c r="AB714" s="190"/>
      <c r="AC714" s="190"/>
      <c r="AD714" s="190"/>
      <c r="AE714" s="190"/>
      <c r="AF714" s="190"/>
      <c r="AG714" s="190"/>
      <c r="AH714" s="190"/>
      <c r="AI714" s="190"/>
      <c r="AJ714" s="190"/>
      <c r="AK714" s="619"/>
      <c r="AL714" s="617"/>
    </row>
    <row r="715" spans="1:38" ht="15.75">
      <c r="A715" s="190"/>
      <c r="B715" s="190"/>
      <c r="C715" s="190"/>
      <c r="D715" s="190"/>
      <c r="E715" s="190"/>
      <c r="F715" s="640"/>
      <c r="G715" s="324"/>
      <c r="H715" s="190"/>
      <c r="I715" s="190"/>
      <c r="J715" s="190"/>
      <c r="K715" s="641"/>
      <c r="L715" s="641"/>
      <c r="M715" s="641"/>
      <c r="N715" s="641"/>
      <c r="O715" s="190"/>
      <c r="P715" s="190"/>
      <c r="Q715" s="190"/>
      <c r="R715" s="612"/>
      <c r="S715" s="615"/>
      <c r="T715" s="588"/>
      <c r="U715" s="188"/>
      <c r="V715" s="190"/>
      <c r="W715" s="190"/>
      <c r="X715" s="190"/>
      <c r="Y715" s="190"/>
      <c r="Z715" s="190"/>
      <c r="AA715" s="190"/>
      <c r="AB715" s="190"/>
      <c r="AC715" s="190"/>
      <c r="AD715" s="190"/>
      <c r="AE715" s="190"/>
      <c r="AF715" s="190"/>
      <c r="AG715" s="190"/>
      <c r="AH715" s="190"/>
      <c r="AI715" s="190"/>
      <c r="AJ715" s="190"/>
      <c r="AK715" s="619"/>
      <c r="AL715" s="617"/>
    </row>
    <row r="716" spans="1:38" ht="15.75">
      <c r="A716" s="190"/>
      <c r="B716" s="190"/>
      <c r="C716" s="190"/>
      <c r="D716" s="190"/>
      <c r="E716" s="190"/>
      <c r="F716" s="640"/>
      <c r="G716" s="324"/>
      <c r="H716" s="190"/>
      <c r="I716" s="190"/>
      <c r="J716" s="190"/>
      <c r="K716" s="641"/>
      <c r="L716" s="641"/>
      <c r="M716" s="641"/>
      <c r="N716" s="641"/>
      <c r="O716" s="190"/>
      <c r="P716" s="190"/>
      <c r="Q716" s="190"/>
      <c r="R716" s="612"/>
      <c r="S716" s="615"/>
      <c r="T716" s="588"/>
      <c r="U716" s="188"/>
      <c r="V716" s="190"/>
      <c r="W716" s="190"/>
      <c r="X716" s="190"/>
      <c r="Y716" s="190"/>
      <c r="Z716" s="190"/>
      <c r="AA716" s="190"/>
      <c r="AB716" s="190"/>
      <c r="AC716" s="190"/>
      <c r="AD716" s="190"/>
      <c r="AE716" s="190"/>
      <c r="AF716" s="190"/>
      <c r="AG716" s="190"/>
      <c r="AH716" s="190"/>
      <c r="AI716" s="190"/>
      <c r="AJ716" s="190"/>
      <c r="AK716" s="619"/>
      <c r="AL716" s="617"/>
    </row>
    <row r="717" spans="1:38" ht="15.75">
      <c r="A717" s="190"/>
      <c r="B717" s="190"/>
      <c r="C717" s="190"/>
      <c r="D717" s="190"/>
      <c r="E717" s="190"/>
      <c r="F717" s="640"/>
      <c r="G717" s="324"/>
      <c r="H717" s="190"/>
      <c r="I717" s="190"/>
      <c r="J717" s="190"/>
      <c r="K717" s="641"/>
      <c r="L717" s="641"/>
      <c r="M717" s="641"/>
      <c r="N717" s="641"/>
      <c r="O717" s="190"/>
      <c r="P717" s="190"/>
      <c r="Q717" s="190"/>
      <c r="R717" s="612"/>
      <c r="S717" s="615"/>
      <c r="T717" s="588"/>
      <c r="U717" s="188"/>
      <c r="V717" s="190"/>
      <c r="W717" s="190"/>
      <c r="X717" s="190"/>
      <c r="Y717" s="190"/>
      <c r="Z717" s="190"/>
      <c r="AA717" s="190"/>
      <c r="AB717" s="190"/>
      <c r="AC717" s="190"/>
      <c r="AD717" s="190"/>
      <c r="AE717" s="190"/>
      <c r="AF717" s="190"/>
      <c r="AG717" s="190"/>
      <c r="AH717" s="190"/>
      <c r="AI717" s="190"/>
      <c r="AJ717" s="190"/>
      <c r="AK717" s="619"/>
      <c r="AL717" s="617"/>
    </row>
    <row r="718" spans="1:38" ht="15.75">
      <c r="A718" s="190"/>
      <c r="B718" s="190"/>
      <c r="C718" s="190"/>
      <c r="D718" s="190"/>
      <c r="E718" s="190"/>
      <c r="F718" s="640"/>
      <c r="G718" s="324"/>
      <c r="H718" s="190"/>
      <c r="I718" s="190"/>
      <c r="J718" s="190"/>
      <c r="K718" s="641"/>
      <c r="L718" s="641"/>
      <c r="M718" s="641"/>
      <c r="N718" s="641"/>
      <c r="O718" s="190"/>
      <c r="P718" s="190"/>
      <c r="Q718" s="190"/>
      <c r="R718" s="612"/>
      <c r="S718" s="615"/>
      <c r="T718" s="588"/>
      <c r="U718" s="188"/>
      <c r="V718" s="190"/>
      <c r="W718" s="190"/>
      <c r="X718" s="190"/>
      <c r="Y718" s="190"/>
      <c r="Z718" s="190"/>
      <c r="AA718" s="190"/>
      <c r="AB718" s="190"/>
      <c r="AC718" s="190"/>
      <c r="AD718" s="190"/>
      <c r="AE718" s="190"/>
      <c r="AF718" s="190"/>
      <c r="AG718" s="190"/>
      <c r="AH718" s="190"/>
      <c r="AI718" s="190"/>
      <c r="AJ718" s="190"/>
      <c r="AK718" s="619"/>
      <c r="AL718" s="617"/>
    </row>
    <row r="719" spans="1:38" ht="15.75">
      <c r="A719" s="190"/>
      <c r="B719" s="190"/>
      <c r="C719" s="190"/>
      <c r="D719" s="190"/>
      <c r="E719" s="190"/>
      <c r="F719" s="640"/>
      <c r="G719" s="324"/>
      <c r="H719" s="190"/>
      <c r="I719" s="190"/>
      <c r="J719" s="190"/>
      <c r="K719" s="641"/>
      <c r="L719" s="641"/>
      <c r="M719" s="641"/>
      <c r="N719" s="641"/>
      <c r="O719" s="190"/>
      <c r="P719" s="190"/>
      <c r="Q719" s="190"/>
      <c r="R719" s="612"/>
      <c r="S719" s="615"/>
      <c r="T719" s="588"/>
      <c r="U719" s="188"/>
      <c r="V719" s="190"/>
      <c r="W719" s="190"/>
      <c r="X719" s="190"/>
      <c r="Y719" s="190"/>
      <c r="Z719" s="190"/>
      <c r="AA719" s="190"/>
      <c r="AB719" s="190"/>
      <c r="AC719" s="190"/>
      <c r="AD719" s="190"/>
      <c r="AE719" s="190"/>
      <c r="AF719" s="190"/>
      <c r="AG719" s="190"/>
      <c r="AH719" s="190"/>
      <c r="AI719" s="190"/>
      <c r="AJ719" s="190"/>
      <c r="AK719" s="619"/>
      <c r="AL719" s="617"/>
    </row>
    <row r="720" spans="1:38" ht="15.75">
      <c r="A720" s="190"/>
      <c r="B720" s="190"/>
      <c r="C720" s="190"/>
      <c r="D720" s="190"/>
      <c r="E720" s="190"/>
      <c r="F720" s="640"/>
      <c r="G720" s="324"/>
      <c r="H720" s="190"/>
      <c r="I720" s="190"/>
      <c r="J720" s="190"/>
      <c r="K720" s="641"/>
      <c r="L720" s="641"/>
      <c r="M720" s="641"/>
      <c r="N720" s="641"/>
      <c r="O720" s="190"/>
      <c r="P720" s="190"/>
      <c r="Q720" s="190"/>
      <c r="R720" s="190"/>
      <c r="S720" s="615"/>
      <c r="T720" s="588"/>
      <c r="U720" s="188"/>
      <c r="V720" s="190"/>
      <c r="W720" s="190"/>
      <c r="X720" s="190"/>
      <c r="Y720" s="190"/>
      <c r="Z720" s="190"/>
      <c r="AA720" s="190"/>
      <c r="AB720" s="190"/>
      <c r="AC720" s="190"/>
      <c r="AD720" s="190"/>
      <c r="AE720" s="190"/>
      <c r="AF720" s="190"/>
      <c r="AG720" s="190"/>
      <c r="AH720" s="190"/>
      <c r="AI720" s="190"/>
      <c r="AJ720" s="190"/>
      <c r="AK720" s="619"/>
      <c r="AL720" s="617"/>
    </row>
    <row r="721" spans="1:38" ht="15.75">
      <c r="A721" s="190"/>
      <c r="B721" s="190"/>
      <c r="C721" s="190"/>
      <c r="D721" s="190"/>
      <c r="E721" s="190"/>
      <c r="F721" s="640"/>
      <c r="G721" s="324"/>
      <c r="H721" s="190"/>
      <c r="I721" s="190"/>
      <c r="J721" s="190"/>
      <c r="K721" s="641"/>
      <c r="L721" s="641"/>
      <c r="M721" s="641"/>
      <c r="N721" s="641"/>
      <c r="O721" s="190"/>
      <c r="P721" s="190"/>
      <c r="Q721" s="190"/>
      <c r="R721" s="190"/>
      <c r="S721" s="615"/>
      <c r="T721" s="588"/>
      <c r="U721" s="188"/>
      <c r="V721" s="190"/>
      <c r="W721" s="190"/>
      <c r="X721" s="190"/>
      <c r="Y721" s="190"/>
      <c r="Z721" s="190"/>
      <c r="AA721" s="190"/>
      <c r="AB721" s="190"/>
      <c r="AC721" s="190"/>
      <c r="AD721" s="190"/>
      <c r="AE721" s="190"/>
      <c r="AF721" s="190"/>
      <c r="AG721" s="190"/>
      <c r="AH721" s="190"/>
      <c r="AI721" s="190"/>
      <c r="AJ721" s="190"/>
      <c r="AK721" s="619"/>
      <c r="AL721" s="617"/>
    </row>
    <row r="722" spans="1:38" ht="15.75">
      <c r="A722" s="190"/>
      <c r="B722" s="190"/>
      <c r="C722" s="190"/>
      <c r="D722" s="190"/>
      <c r="E722" s="190"/>
      <c r="F722" s="640"/>
      <c r="G722" s="324"/>
      <c r="H722" s="190"/>
      <c r="I722" s="190"/>
      <c r="J722" s="190"/>
      <c r="K722" s="641"/>
      <c r="L722" s="641"/>
      <c r="M722" s="641"/>
      <c r="N722" s="641"/>
      <c r="O722" s="190"/>
      <c r="P722" s="190"/>
      <c r="Q722" s="190"/>
      <c r="R722" s="190"/>
      <c r="S722" s="615"/>
      <c r="T722" s="588"/>
      <c r="U722" s="188"/>
      <c r="V722" s="190"/>
      <c r="W722" s="190"/>
      <c r="X722" s="190"/>
      <c r="Y722" s="190"/>
      <c r="Z722" s="190"/>
      <c r="AA722" s="190"/>
      <c r="AB722" s="190"/>
      <c r="AC722" s="190"/>
      <c r="AD722" s="190"/>
      <c r="AE722" s="190"/>
      <c r="AF722" s="190"/>
      <c r="AG722" s="190"/>
      <c r="AH722" s="190"/>
      <c r="AI722" s="190"/>
      <c r="AJ722" s="190"/>
      <c r="AK722" s="619"/>
      <c r="AL722" s="617"/>
    </row>
    <row r="723" spans="1:38" ht="15.75">
      <c r="A723" s="190"/>
      <c r="B723" s="190"/>
      <c r="C723" s="190"/>
      <c r="D723" s="190"/>
      <c r="E723" s="190"/>
      <c r="F723" s="640"/>
      <c r="G723" s="324"/>
      <c r="H723" s="190"/>
      <c r="I723" s="190"/>
      <c r="J723" s="190"/>
      <c r="K723" s="641"/>
      <c r="L723" s="641"/>
      <c r="M723" s="641"/>
      <c r="N723" s="641"/>
      <c r="O723" s="190"/>
      <c r="P723" s="190"/>
      <c r="Q723" s="190"/>
      <c r="R723" s="190"/>
      <c r="S723" s="615"/>
      <c r="T723" s="588"/>
      <c r="U723" s="188"/>
      <c r="V723" s="190"/>
      <c r="W723" s="190"/>
      <c r="X723" s="190"/>
      <c r="Y723" s="190"/>
      <c r="Z723" s="190"/>
      <c r="AA723" s="190"/>
      <c r="AB723" s="190"/>
      <c r="AC723" s="190"/>
      <c r="AD723" s="190"/>
      <c r="AE723" s="190"/>
      <c r="AF723" s="190"/>
      <c r="AG723" s="190"/>
      <c r="AH723" s="190"/>
      <c r="AI723" s="190"/>
      <c r="AJ723" s="190"/>
      <c r="AK723" s="619"/>
      <c r="AL723" s="617"/>
    </row>
    <row r="724" spans="1:38" ht="15.75">
      <c r="A724" s="190"/>
      <c r="B724" s="190"/>
      <c r="C724" s="190"/>
      <c r="D724" s="190"/>
      <c r="E724" s="190"/>
      <c r="F724" s="640"/>
      <c r="G724" s="324"/>
      <c r="H724" s="190"/>
      <c r="I724" s="190"/>
      <c r="J724" s="190"/>
      <c r="K724" s="641"/>
      <c r="L724" s="641"/>
      <c r="M724" s="641"/>
      <c r="N724" s="641"/>
      <c r="O724" s="190"/>
      <c r="P724" s="190"/>
      <c r="Q724" s="190"/>
      <c r="R724" s="190"/>
      <c r="S724" s="615"/>
      <c r="T724" s="588"/>
      <c r="U724" s="188"/>
      <c r="V724" s="190"/>
      <c r="W724" s="190"/>
      <c r="X724" s="190"/>
      <c r="Y724" s="190"/>
      <c r="Z724" s="190"/>
      <c r="AA724" s="190"/>
      <c r="AB724" s="190"/>
      <c r="AC724" s="190"/>
      <c r="AD724" s="190"/>
      <c r="AE724" s="190"/>
      <c r="AF724" s="190"/>
      <c r="AG724" s="190"/>
      <c r="AH724" s="190"/>
      <c r="AI724" s="190"/>
      <c r="AJ724" s="190"/>
      <c r="AK724" s="619"/>
      <c r="AL724" s="617"/>
    </row>
    <row r="725" spans="1:38" ht="15.75">
      <c r="A725" s="190"/>
      <c r="B725" s="190"/>
      <c r="C725" s="190"/>
      <c r="D725" s="190"/>
      <c r="E725" s="190"/>
      <c r="F725" s="640"/>
      <c r="G725" s="324"/>
      <c r="H725" s="190"/>
      <c r="I725" s="190"/>
      <c r="J725" s="190"/>
      <c r="K725" s="641"/>
      <c r="L725" s="641"/>
      <c r="M725" s="641"/>
      <c r="N725" s="641"/>
      <c r="O725" s="190"/>
      <c r="P725" s="190"/>
      <c r="Q725" s="190"/>
      <c r="R725" s="190"/>
      <c r="S725" s="615"/>
      <c r="T725" s="588"/>
      <c r="U725" s="188"/>
      <c r="V725" s="190"/>
      <c r="W725" s="190"/>
      <c r="X725" s="190"/>
      <c r="Y725" s="190"/>
      <c r="Z725" s="190"/>
      <c r="AA725" s="190"/>
      <c r="AB725" s="190"/>
      <c r="AC725" s="190"/>
      <c r="AD725" s="190"/>
      <c r="AE725" s="190"/>
      <c r="AF725" s="190"/>
      <c r="AG725" s="190"/>
      <c r="AH725" s="190"/>
      <c r="AI725" s="190"/>
      <c r="AJ725" s="190"/>
      <c r="AK725" s="619"/>
      <c r="AL725" s="617"/>
    </row>
    <row r="726" spans="1:38" ht="15.75">
      <c r="A726" s="190"/>
      <c r="B726" s="190"/>
      <c r="C726" s="190"/>
      <c r="D726" s="190"/>
      <c r="E726" s="190"/>
      <c r="F726" s="640"/>
      <c r="G726" s="324"/>
      <c r="H726" s="190"/>
      <c r="I726" s="190"/>
      <c r="J726" s="190"/>
      <c r="K726" s="641"/>
      <c r="L726" s="641"/>
      <c r="M726" s="641"/>
      <c r="N726" s="641"/>
      <c r="O726" s="190"/>
      <c r="P726" s="190"/>
      <c r="Q726" s="190"/>
      <c r="R726" s="190"/>
      <c r="S726" s="615"/>
      <c r="T726" s="588"/>
      <c r="U726" s="188"/>
      <c r="V726" s="190"/>
      <c r="W726" s="190"/>
      <c r="X726" s="190"/>
      <c r="Y726" s="190"/>
      <c r="Z726" s="190"/>
      <c r="AA726" s="190"/>
      <c r="AB726" s="190"/>
      <c r="AC726" s="190"/>
      <c r="AD726" s="190"/>
      <c r="AE726" s="190"/>
      <c r="AF726" s="190"/>
      <c r="AG726" s="190"/>
      <c r="AH726" s="190"/>
      <c r="AI726" s="190"/>
      <c r="AJ726" s="190"/>
      <c r="AK726" s="619"/>
      <c r="AL726" s="617"/>
    </row>
    <row r="727" spans="1:38" ht="15.75">
      <c r="A727" s="190"/>
      <c r="B727" s="190"/>
      <c r="C727" s="190"/>
      <c r="D727" s="190"/>
      <c r="E727" s="190"/>
      <c r="F727" s="640"/>
      <c r="G727" s="324"/>
      <c r="H727" s="190"/>
      <c r="I727" s="190"/>
      <c r="J727" s="190"/>
      <c r="K727" s="641"/>
      <c r="L727" s="641"/>
      <c r="M727" s="641"/>
      <c r="N727" s="641"/>
      <c r="O727" s="190"/>
      <c r="P727" s="190"/>
      <c r="Q727" s="190"/>
      <c r="R727" s="190"/>
      <c r="S727" s="615"/>
      <c r="T727" s="588"/>
      <c r="U727" s="188"/>
      <c r="V727" s="190"/>
      <c r="W727" s="190"/>
      <c r="X727" s="190"/>
      <c r="Y727" s="190"/>
      <c r="Z727" s="190"/>
      <c r="AA727" s="190"/>
      <c r="AB727" s="190"/>
      <c r="AC727" s="190"/>
      <c r="AD727" s="190"/>
      <c r="AE727" s="190"/>
      <c r="AF727" s="190"/>
      <c r="AG727" s="190"/>
      <c r="AH727" s="190"/>
      <c r="AI727" s="190"/>
      <c r="AJ727" s="190"/>
      <c r="AK727" s="619"/>
      <c r="AL727" s="617"/>
    </row>
    <row r="728" spans="1:38" ht="15.75">
      <c r="A728" s="190"/>
      <c r="B728" s="190"/>
      <c r="C728" s="190"/>
      <c r="D728" s="190"/>
      <c r="E728" s="190"/>
      <c r="F728" s="640"/>
      <c r="G728" s="324"/>
      <c r="H728" s="190"/>
      <c r="I728" s="190"/>
      <c r="J728" s="190"/>
      <c r="K728" s="641"/>
      <c r="L728" s="641"/>
      <c r="M728" s="641"/>
      <c r="N728" s="641"/>
      <c r="O728" s="190"/>
      <c r="P728" s="190"/>
      <c r="Q728" s="190"/>
      <c r="R728" s="190"/>
      <c r="S728" s="615"/>
      <c r="T728" s="588"/>
      <c r="U728" s="188"/>
      <c r="V728" s="190"/>
      <c r="W728" s="190"/>
      <c r="X728" s="190"/>
      <c r="Y728" s="190"/>
      <c r="Z728" s="190"/>
      <c r="AA728" s="190"/>
      <c r="AB728" s="190"/>
      <c r="AC728" s="190"/>
      <c r="AD728" s="190"/>
      <c r="AE728" s="190"/>
      <c r="AF728" s="190"/>
      <c r="AG728" s="190"/>
      <c r="AH728" s="190"/>
      <c r="AI728" s="190"/>
      <c r="AJ728" s="190"/>
      <c r="AK728" s="619"/>
      <c r="AL728" s="617"/>
    </row>
    <row r="729" spans="1:38" ht="15.75">
      <c r="A729" s="190"/>
      <c r="B729" s="190"/>
      <c r="C729" s="190"/>
      <c r="D729" s="190"/>
      <c r="E729" s="190"/>
      <c r="F729" s="640"/>
      <c r="G729" s="324"/>
      <c r="H729" s="190"/>
      <c r="I729" s="190"/>
      <c r="J729" s="190"/>
      <c r="K729" s="641"/>
      <c r="L729" s="641"/>
      <c r="M729" s="641"/>
      <c r="N729" s="641"/>
      <c r="O729" s="190"/>
      <c r="P729" s="190"/>
      <c r="Q729" s="190"/>
      <c r="R729" s="190"/>
      <c r="S729" s="615"/>
      <c r="T729" s="588"/>
      <c r="U729" s="188"/>
      <c r="V729" s="190"/>
      <c r="W729" s="190"/>
      <c r="X729" s="190"/>
      <c r="Y729" s="190"/>
      <c r="Z729" s="190"/>
      <c r="AA729" s="190"/>
      <c r="AB729" s="190"/>
      <c r="AC729" s="190"/>
      <c r="AD729" s="190"/>
      <c r="AE729" s="190"/>
      <c r="AF729" s="190"/>
      <c r="AG729" s="190"/>
      <c r="AH729" s="190"/>
      <c r="AI729" s="190"/>
      <c r="AJ729" s="190"/>
      <c r="AK729" s="619"/>
      <c r="AL729" s="617"/>
    </row>
    <row r="730" spans="1:38" ht="15.75">
      <c r="A730" s="190"/>
      <c r="B730" s="190"/>
      <c r="C730" s="190"/>
      <c r="D730" s="190"/>
      <c r="E730" s="190"/>
      <c r="F730" s="640"/>
      <c r="G730" s="324"/>
      <c r="H730" s="190"/>
      <c r="I730" s="190"/>
      <c r="J730" s="190"/>
      <c r="K730" s="641"/>
      <c r="L730" s="641"/>
      <c r="M730" s="641"/>
      <c r="N730" s="641"/>
      <c r="O730" s="190"/>
      <c r="P730" s="190"/>
      <c r="Q730" s="190"/>
      <c r="R730" s="190"/>
      <c r="S730" s="615"/>
      <c r="T730" s="588"/>
      <c r="U730" s="188"/>
      <c r="V730" s="190"/>
      <c r="W730" s="190"/>
      <c r="X730" s="190"/>
      <c r="Y730" s="190"/>
      <c r="Z730" s="190"/>
      <c r="AA730" s="190"/>
      <c r="AB730" s="190"/>
      <c r="AC730" s="190"/>
      <c r="AD730" s="190"/>
      <c r="AE730" s="190"/>
      <c r="AF730" s="190"/>
      <c r="AG730" s="190"/>
      <c r="AH730" s="190"/>
      <c r="AI730" s="190"/>
      <c r="AJ730" s="190"/>
      <c r="AK730" s="619"/>
      <c r="AL730" s="617"/>
    </row>
    <row r="731" spans="1:38" ht="15.75">
      <c r="A731" s="190"/>
      <c r="B731" s="190"/>
      <c r="C731" s="190"/>
      <c r="D731" s="190"/>
      <c r="E731" s="190"/>
      <c r="F731" s="640"/>
      <c r="G731" s="324"/>
      <c r="H731" s="190"/>
      <c r="I731" s="190"/>
      <c r="J731" s="190"/>
      <c r="K731" s="641"/>
      <c r="L731" s="641"/>
      <c r="M731" s="641"/>
      <c r="N731" s="641"/>
      <c r="O731" s="190"/>
      <c r="P731" s="190"/>
      <c r="Q731" s="190"/>
      <c r="R731" s="190"/>
      <c r="S731" s="615"/>
      <c r="T731" s="588"/>
      <c r="U731" s="188"/>
      <c r="V731" s="190"/>
      <c r="W731" s="190"/>
      <c r="X731" s="190"/>
      <c r="Y731" s="190"/>
      <c r="Z731" s="190"/>
      <c r="AA731" s="190"/>
      <c r="AB731" s="190"/>
      <c r="AC731" s="190"/>
      <c r="AD731" s="190"/>
      <c r="AE731" s="190"/>
      <c r="AF731" s="190"/>
      <c r="AG731" s="190"/>
      <c r="AH731" s="190"/>
      <c r="AI731" s="190"/>
      <c r="AJ731" s="190"/>
      <c r="AK731" s="619"/>
      <c r="AL731" s="617"/>
    </row>
    <row r="732" spans="1:38" ht="15.75">
      <c r="A732" s="190"/>
      <c r="B732" s="190"/>
      <c r="C732" s="190"/>
      <c r="D732" s="190"/>
      <c r="E732" s="190"/>
      <c r="F732" s="640"/>
      <c r="G732" s="324"/>
      <c r="H732" s="190"/>
      <c r="I732" s="190"/>
      <c r="J732" s="190"/>
      <c r="K732" s="641"/>
      <c r="L732" s="641"/>
      <c r="M732" s="641"/>
      <c r="N732" s="641"/>
      <c r="O732" s="190"/>
      <c r="P732" s="190"/>
      <c r="Q732" s="190"/>
      <c r="R732" s="190"/>
      <c r="S732" s="615"/>
      <c r="T732" s="588"/>
      <c r="U732" s="188"/>
      <c r="V732" s="190"/>
      <c r="W732" s="190"/>
      <c r="X732" s="190"/>
      <c r="Y732" s="190"/>
      <c r="Z732" s="190"/>
      <c r="AA732" s="190"/>
      <c r="AB732" s="190"/>
      <c r="AC732" s="190"/>
      <c r="AD732" s="190"/>
      <c r="AE732" s="190"/>
      <c r="AF732" s="190"/>
      <c r="AG732" s="190"/>
      <c r="AH732" s="190"/>
      <c r="AI732" s="190"/>
      <c r="AJ732" s="190"/>
      <c r="AK732" s="619"/>
      <c r="AL732" s="617"/>
    </row>
    <row r="733" spans="1:38" ht="15.75">
      <c r="A733" s="190"/>
      <c r="B733" s="190"/>
      <c r="C733" s="190"/>
      <c r="D733" s="190"/>
      <c r="E733" s="190"/>
      <c r="F733" s="640"/>
      <c r="G733" s="324"/>
      <c r="H733" s="190"/>
      <c r="I733" s="190"/>
      <c r="J733" s="190"/>
      <c r="K733" s="641"/>
      <c r="L733" s="641"/>
      <c r="M733" s="641"/>
      <c r="N733" s="641"/>
      <c r="O733" s="190"/>
      <c r="P733" s="190"/>
      <c r="Q733" s="190"/>
      <c r="R733" s="190"/>
      <c r="S733" s="615"/>
      <c r="T733" s="588"/>
      <c r="U733" s="188"/>
      <c r="V733" s="190"/>
      <c r="W733" s="190"/>
      <c r="X733" s="190"/>
      <c r="Y733" s="190"/>
      <c r="Z733" s="190"/>
      <c r="AA733" s="190"/>
      <c r="AB733" s="190"/>
      <c r="AC733" s="190"/>
      <c r="AD733" s="190"/>
      <c r="AE733" s="190"/>
      <c r="AF733" s="190"/>
      <c r="AG733" s="190"/>
      <c r="AH733" s="190"/>
      <c r="AI733" s="190"/>
      <c r="AJ733" s="190"/>
      <c r="AK733" s="619"/>
      <c r="AL733" s="617"/>
    </row>
    <row r="734" spans="1:38" ht="15.75">
      <c r="A734" s="190"/>
      <c r="B734" s="190"/>
      <c r="C734" s="190"/>
      <c r="D734" s="190"/>
      <c r="E734" s="190"/>
      <c r="F734" s="640"/>
      <c r="G734" s="324"/>
      <c r="H734" s="190"/>
      <c r="I734" s="190"/>
      <c r="J734" s="190"/>
      <c r="K734" s="641"/>
      <c r="L734" s="641"/>
      <c r="M734" s="641"/>
      <c r="N734" s="641"/>
      <c r="O734" s="190"/>
      <c r="P734" s="190"/>
      <c r="Q734" s="190"/>
      <c r="R734" s="190"/>
      <c r="S734" s="615"/>
      <c r="T734" s="588"/>
      <c r="U734" s="188"/>
      <c r="V734" s="190"/>
      <c r="W734" s="190"/>
      <c r="X734" s="190"/>
      <c r="Y734" s="190"/>
      <c r="Z734" s="190"/>
      <c r="AA734" s="190"/>
      <c r="AB734" s="190"/>
      <c r="AC734" s="190"/>
      <c r="AD734" s="190"/>
      <c r="AE734" s="190"/>
      <c r="AF734" s="190"/>
      <c r="AG734" s="190"/>
      <c r="AH734" s="190"/>
      <c r="AI734" s="190"/>
      <c r="AJ734" s="190"/>
      <c r="AK734" s="619"/>
      <c r="AL734" s="617"/>
    </row>
    <row r="735" spans="1:38" ht="15.75">
      <c r="A735" s="190"/>
      <c r="B735" s="190"/>
      <c r="C735" s="190"/>
      <c r="D735" s="190"/>
      <c r="E735" s="190"/>
      <c r="F735" s="640"/>
      <c r="G735" s="324"/>
      <c r="H735" s="190"/>
      <c r="I735" s="190"/>
      <c r="J735" s="190"/>
      <c r="K735" s="641"/>
      <c r="L735" s="641"/>
      <c r="M735" s="641"/>
      <c r="N735" s="641"/>
      <c r="O735" s="190"/>
      <c r="P735" s="190"/>
      <c r="Q735" s="190"/>
      <c r="R735" s="190"/>
      <c r="S735" s="615"/>
      <c r="T735" s="588"/>
      <c r="U735" s="188"/>
      <c r="V735" s="190"/>
      <c r="W735" s="190"/>
      <c r="X735" s="190"/>
      <c r="Y735" s="190"/>
      <c r="Z735" s="190"/>
      <c r="AA735" s="190"/>
      <c r="AB735" s="190"/>
      <c r="AC735" s="190"/>
      <c r="AD735" s="190"/>
      <c r="AE735" s="190"/>
      <c r="AF735" s="190"/>
      <c r="AG735" s="190"/>
      <c r="AH735" s="190"/>
      <c r="AI735" s="190"/>
      <c r="AJ735" s="190"/>
      <c r="AK735" s="619"/>
      <c r="AL735" s="617"/>
    </row>
    <row r="736" spans="1:38" ht="15.75">
      <c r="A736" s="190"/>
      <c r="B736" s="190"/>
      <c r="C736" s="190"/>
      <c r="D736" s="190"/>
      <c r="E736" s="190"/>
      <c r="F736" s="640"/>
      <c r="G736" s="324"/>
      <c r="H736" s="190"/>
      <c r="I736" s="190"/>
      <c r="J736" s="190"/>
      <c r="K736" s="641"/>
      <c r="L736" s="641"/>
      <c r="M736" s="641"/>
      <c r="N736" s="641"/>
      <c r="O736" s="190"/>
      <c r="P736" s="190"/>
      <c r="Q736" s="190"/>
      <c r="R736" s="190"/>
      <c r="S736" s="615"/>
      <c r="T736" s="588"/>
      <c r="U736" s="188"/>
      <c r="V736" s="190"/>
      <c r="W736" s="190"/>
      <c r="X736" s="190"/>
      <c r="Y736" s="190"/>
      <c r="Z736" s="190"/>
      <c r="AA736" s="190"/>
      <c r="AB736" s="190"/>
      <c r="AC736" s="190"/>
      <c r="AD736" s="190"/>
      <c r="AE736" s="190"/>
      <c r="AF736" s="190"/>
      <c r="AG736" s="190"/>
      <c r="AH736" s="190"/>
      <c r="AI736" s="190"/>
      <c r="AJ736" s="190"/>
      <c r="AK736" s="619"/>
      <c r="AL736" s="617"/>
    </row>
    <row r="737" spans="1:38" ht="15.75">
      <c r="A737" s="190"/>
      <c r="B737" s="190"/>
      <c r="C737" s="190"/>
      <c r="D737" s="190"/>
      <c r="E737" s="190"/>
      <c r="F737" s="640"/>
      <c r="G737" s="324"/>
      <c r="H737" s="190"/>
      <c r="I737" s="190"/>
      <c r="J737" s="190"/>
      <c r="K737" s="641"/>
      <c r="L737" s="641"/>
      <c r="M737" s="641"/>
      <c r="N737" s="641"/>
      <c r="O737" s="190"/>
      <c r="P737" s="190"/>
      <c r="Q737" s="190"/>
      <c r="R737" s="190"/>
      <c r="S737" s="615"/>
      <c r="T737" s="588"/>
      <c r="U737" s="188"/>
      <c r="V737" s="190"/>
      <c r="W737" s="190"/>
      <c r="X737" s="190"/>
      <c r="Y737" s="190"/>
      <c r="Z737" s="190"/>
      <c r="AA737" s="190"/>
      <c r="AB737" s="190"/>
      <c r="AC737" s="190"/>
      <c r="AD737" s="190"/>
      <c r="AE737" s="190"/>
      <c r="AF737" s="190"/>
      <c r="AG737" s="190"/>
      <c r="AH737" s="190"/>
      <c r="AI737" s="190"/>
      <c r="AJ737" s="190"/>
      <c r="AK737" s="619"/>
      <c r="AL737" s="617"/>
    </row>
    <row r="738" spans="1:38" ht="15.75">
      <c r="A738" s="190"/>
      <c r="B738" s="190"/>
      <c r="C738" s="190"/>
      <c r="D738" s="190"/>
      <c r="E738" s="190"/>
      <c r="F738" s="640"/>
      <c r="G738" s="324"/>
      <c r="H738" s="190"/>
      <c r="I738" s="190"/>
      <c r="J738" s="190"/>
      <c r="K738" s="641"/>
      <c r="L738" s="641"/>
      <c r="M738" s="641"/>
      <c r="N738" s="641"/>
      <c r="O738" s="190"/>
      <c r="P738" s="190"/>
      <c r="Q738" s="190"/>
      <c r="R738" s="190"/>
      <c r="S738" s="615"/>
      <c r="T738" s="588"/>
      <c r="U738" s="188"/>
      <c r="V738" s="190"/>
      <c r="W738" s="190"/>
      <c r="X738" s="190"/>
      <c r="Y738" s="190"/>
      <c r="Z738" s="190"/>
      <c r="AA738" s="190"/>
      <c r="AB738" s="190"/>
      <c r="AC738" s="190"/>
      <c r="AD738" s="190"/>
      <c r="AE738" s="190"/>
      <c r="AF738" s="190"/>
      <c r="AG738" s="190"/>
      <c r="AH738" s="190"/>
      <c r="AI738" s="190"/>
      <c r="AJ738" s="190"/>
      <c r="AK738" s="619"/>
      <c r="AL738" s="617"/>
    </row>
    <row r="739" spans="1:38" ht="15.75">
      <c r="A739" s="190"/>
      <c r="B739" s="190"/>
      <c r="C739" s="190"/>
      <c r="D739" s="190"/>
      <c r="E739" s="190"/>
      <c r="F739" s="640"/>
      <c r="G739" s="324"/>
      <c r="H739" s="190"/>
      <c r="I739" s="190"/>
      <c r="J739" s="190"/>
      <c r="K739" s="641"/>
      <c r="L739" s="641"/>
      <c r="M739" s="641"/>
      <c r="N739" s="641"/>
      <c r="O739" s="190"/>
      <c r="P739" s="190"/>
      <c r="Q739" s="190"/>
      <c r="R739" s="190"/>
      <c r="S739" s="615"/>
      <c r="T739" s="588"/>
      <c r="U739" s="188"/>
      <c r="V739" s="190"/>
      <c r="W739" s="190"/>
      <c r="X739" s="190"/>
      <c r="Y739" s="190"/>
      <c r="Z739" s="190"/>
      <c r="AA739" s="190"/>
      <c r="AB739" s="190"/>
      <c r="AC739" s="190"/>
      <c r="AD739" s="190"/>
      <c r="AE739" s="190"/>
      <c r="AF739" s="190"/>
      <c r="AG739" s="190"/>
      <c r="AH739" s="190"/>
      <c r="AI739" s="190"/>
      <c r="AJ739" s="190"/>
      <c r="AK739" s="619"/>
      <c r="AL739" s="617"/>
    </row>
    <row r="740" spans="1:38" ht="15.75">
      <c r="A740" s="190"/>
      <c r="B740" s="190"/>
      <c r="C740" s="190"/>
      <c r="D740" s="190"/>
      <c r="E740" s="190"/>
      <c r="F740" s="640"/>
      <c r="G740" s="324"/>
      <c r="H740" s="190"/>
      <c r="I740" s="190"/>
      <c r="J740" s="190"/>
      <c r="K740" s="641"/>
      <c r="L740" s="641"/>
      <c r="M740" s="641"/>
      <c r="N740" s="641"/>
      <c r="O740" s="190"/>
      <c r="P740" s="190"/>
      <c r="Q740" s="190"/>
      <c r="R740" s="190"/>
      <c r="S740" s="615"/>
      <c r="T740" s="588"/>
      <c r="U740" s="188"/>
      <c r="V740" s="190"/>
      <c r="W740" s="190"/>
      <c r="X740" s="190"/>
      <c r="Y740" s="190"/>
      <c r="Z740" s="190"/>
      <c r="AA740" s="190"/>
      <c r="AB740" s="190"/>
      <c r="AC740" s="190"/>
      <c r="AD740" s="190"/>
      <c r="AE740" s="190"/>
      <c r="AF740" s="190"/>
      <c r="AG740" s="190"/>
      <c r="AH740" s="190"/>
      <c r="AI740" s="190"/>
      <c r="AJ740" s="190"/>
      <c r="AK740" s="619"/>
      <c r="AL740" s="617"/>
    </row>
    <row r="741" spans="1:38" ht="15.75">
      <c r="A741" s="190"/>
      <c r="B741" s="190"/>
      <c r="C741" s="190"/>
      <c r="D741" s="190"/>
      <c r="E741" s="190"/>
      <c r="F741" s="640"/>
      <c r="G741" s="324"/>
      <c r="H741" s="190"/>
      <c r="I741" s="190"/>
      <c r="J741" s="190"/>
      <c r="K741" s="641"/>
      <c r="L741" s="641"/>
      <c r="M741" s="641"/>
      <c r="N741" s="641"/>
      <c r="O741" s="190"/>
      <c r="P741" s="190"/>
      <c r="Q741" s="190"/>
      <c r="R741" s="190"/>
      <c r="S741" s="615"/>
      <c r="T741" s="588"/>
      <c r="U741" s="188"/>
      <c r="V741" s="190"/>
      <c r="W741" s="190"/>
      <c r="X741" s="190"/>
      <c r="Y741" s="190"/>
      <c r="Z741" s="190"/>
      <c r="AA741" s="190"/>
      <c r="AB741" s="190"/>
      <c r="AC741" s="190"/>
      <c r="AD741" s="190"/>
      <c r="AE741" s="190"/>
      <c r="AF741" s="190"/>
      <c r="AG741" s="190"/>
      <c r="AH741" s="190"/>
      <c r="AI741" s="190"/>
      <c r="AJ741" s="190"/>
      <c r="AK741" s="619"/>
      <c r="AL741" s="617"/>
    </row>
    <row r="742" spans="1:38" ht="15.75">
      <c r="A742" s="190"/>
      <c r="B742" s="190"/>
      <c r="C742" s="190"/>
      <c r="D742" s="190"/>
      <c r="E742" s="190"/>
      <c r="F742" s="640"/>
      <c r="G742" s="324"/>
      <c r="H742" s="190"/>
      <c r="I742" s="190"/>
      <c r="J742" s="190"/>
      <c r="K742" s="641"/>
      <c r="L742" s="641"/>
      <c r="M742" s="641"/>
      <c r="N742" s="641"/>
      <c r="O742" s="190"/>
      <c r="P742" s="190"/>
      <c r="Q742" s="190"/>
      <c r="R742" s="190"/>
      <c r="S742" s="615"/>
      <c r="T742" s="588"/>
      <c r="U742" s="188"/>
      <c r="V742" s="190"/>
      <c r="W742" s="190"/>
      <c r="X742" s="190"/>
      <c r="Y742" s="190"/>
      <c r="Z742" s="190"/>
      <c r="AA742" s="190"/>
      <c r="AB742" s="190"/>
      <c r="AC742" s="190"/>
      <c r="AD742" s="190"/>
      <c r="AE742" s="190"/>
      <c r="AF742" s="190"/>
      <c r="AG742" s="190"/>
      <c r="AH742" s="190"/>
      <c r="AI742" s="190"/>
      <c r="AJ742" s="190"/>
      <c r="AK742" s="619"/>
      <c r="AL742" s="617"/>
    </row>
    <row r="743" spans="1:38" ht="15.75">
      <c r="A743" s="190"/>
      <c r="B743" s="190"/>
      <c r="C743" s="190"/>
      <c r="D743" s="190"/>
      <c r="E743" s="190"/>
      <c r="F743" s="640"/>
      <c r="G743" s="324"/>
      <c r="H743" s="190"/>
      <c r="I743" s="190"/>
      <c r="J743" s="190"/>
      <c r="K743" s="641"/>
      <c r="L743" s="641"/>
      <c r="M743" s="641"/>
      <c r="N743" s="641"/>
      <c r="O743" s="190"/>
      <c r="P743" s="190"/>
      <c r="Q743" s="190"/>
      <c r="R743" s="190"/>
      <c r="S743" s="615"/>
      <c r="T743" s="588"/>
      <c r="U743" s="188"/>
      <c r="V743" s="190"/>
      <c r="W743" s="190"/>
      <c r="X743" s="190"/>
      <c r="Y743" s="190"/>
      <c r="Z743" s="190"/>
      <c r="AA743" s="190"/>
      <c r="AB743" s="190"/>
      <c r="AC743" s="190"/>
      <c r="AD743" s="190"/>
      <c r="AE743" s="190"/>
      <c r="AF743" s="190"/>
      <c r="AG743" s="190"/>
      <c r="AH743" s="190"/>
      <c r="AI743" s="190"/>
      <c r="AJ743" s="190"/>
      <c r="AK743" s="619"/>
      <c r="AL743" s="617"/>
    </row>
    <row r="744" spans="1:38" ht="15.75">
      <c r="A744" s="190"/>
      <c r="B744" s="190"/>
      <c r="C744" s="190"/>
      <c r="D744" s="190"/>
      <c r="E744" s="190"/>
      <c r="F744" s="640"/>
      <c r="G744" s="324"/>
      <c r="H744" s="190"/>
      <c r="I744" s="190"/>
      <c r="J744" s="190"/>
      <c r="K744" s="641"/>
      <c r="L744" s="641"/>
      <c r="M744" s="641"/>
      <c r="N744" s="641"/>
      <c r="O744" s="190"/>
      <c r="P744" s="190"/>
      <c r="Q744" s="190"/>
      <c r="R744" s="190"/>
      <c r="S744" s="615"/>
      <c r="T744" s="588"/>
      <c r="U744" s="188"/>
      <c r="V744" s="190"/>
      <c r="W744" s="190"/>
      <c r="X744" s="190"/>
      <c r="Y744" s="190"/>
      <c r="Z744" s="190"/>
      <c r="AA744" s="190"/>
      <c r="AB744" s="190"/>
      <c r="AC744" s="190"/>
      <c r="AD744" s="190"/>
      <c r="AE744" s="190"/>
      <c r="AF744" s="190"/>
      <c r="AG744" s="190"/>
      <c r="AH744" s="190"/>
      <c r="AI744" s="190"/>
      <c r="AJ744" s="190"/>
      <c r="AK744" s="619"/>
      <c r="AL744" s="617"/>
    </row>
    <row r="745" spans="1:38" ht="15.75">
      <c r="A745" s="190"/>
      <c r="B745" s="190"/>
      <c r="C745" s="190"/>
      <c r="D745" s="190"/>
      <c r="E745" s="190"/>
      <c r="F745" s="640"/>
      <c r="G745" s="324"/>
      <c r="H745" s="190"/>
      <c r="I745" s="190"/>
      <c r="J745" s="190"/>
      <c r="K745" s="641"/>
      <c r="L745" s="641"/>
      <c r="M745" s="641"/>
      <c r="N745" s="641"/>
      <c r="O745" s="190"/>
      <c r="P745" s="190"/>
      <c r="Q745" s="190"/>
      <c r="R745" s="190"/>
      <c r="S745" s="615"/>
      <c r="T745" s="588"/>
      <c r="U745" s="188"/>
      <c r="V745" s="190"/>
      <c r="W745" s="190"/>
      <c r="X745" s="190"/>
      <c r="Y745" s="190"/>
      <c r="Z745" s="190"/>
      <c r="AA745" s="190"/>
      <c r="AB745" s="190"/>
      <c r="AC745" s="190"/>
      <c r="AD745" s="190"/>
      <c r="AE745" s="190"/>
      <c r="AF745" s="190"/>
      <c r="AG745" s="190"/>
      <c r="AH745" s="190"/>
      <c r="AI745" s="190"/>
      <c r="AJ745" s="190"/>
      <c r="AK745" s="619"/>
      <c r="AL745" s="617"/>
    </row>
    <row r="746" spans="1:38" ht="15.75">
      <c r="A746" s="190"/>
      <c r="B746" s="190"/>
      <c r="C746" s="190"/>
      <c r="D746" s="190"/>
      <c r="E746" s="190"/>
      <c r="F746" s="640"/>
      <c r="G746" s="324"/>
      <c r="H746" s="190"/>
      <c r="I746" s="190"/>
      <c r="J746" s="190"/>
      <c r="K746" s="641"/>
      <c r="L746" s="641"/>
      <c r="M746" s="641"/>
      <c r="N746" s="641"/>
      <c r="O746" s="190"/>
      <c r="P746" s="190"/>
      <c r="Q746" s="190"/>
      <c r="R746" s="190"/>
      <c r="S746" s="615"/>
      <c r="T746" s="588"/>
      <c r="U746" s="188"/>
      <c r="V746" s="190"/>
      <c r="W746" s="190"/>
      <c r="X746" s="190"/>
      <c r="Y746" s="190"/>
      <c r="Z746" s="190"/>
      <c r="AA746" s="190"/>
      <c r="AB746" s="190"/>
      <c r="AC746" s="190"/>
      <c r="AD746" s="190"/>
      <c r="AE746" s="190"/>
      <c r="AF746" s="190"/>
      <c r="AG746" s="190"/>
      <c r="AH746" s="190"/>
      <c r="AI746" s="190"/>
      <c r="AJ746" s="190"/>
      <c r="AK746" s="619"/>
      <c r="AL746" s="617"/>
    </row>
    <row r="747" spans="1:38" ht="15.75">
      <c r="A747" s="190"/>
      <c r="B747" s="190"/>
      <c r="C747" s="190"/>
      <c r="D747" s="190"/>
      <c r="E747" s="190"/>
      <c r="F747" s="640"/>
      <c r="G747" s="324"/>
      <c r="H747" s="190"/>
      <c r="I747" s="190"/>
      <c r="J747" s="190"/>
      <c r="K747" s="641"/>
      <c r="L747" s="641"/>
      <c r="M747" s="641"/>
      <c r="N747" s="641"/>
      <c r="O747" s="190"/>
      <c r="P747" s="190"/>
      <c r="Q747" s="190"/>
      <c r="R747" s="190"/>
      <c r="S747" s="615"/>
      <c r="T747" s="588"/>
      <c r="U747" s="188"/>
      <c r="V747" s="190"/>
      <c r="W747" s="190"/>
      <c r="X747" s="190"/>
      <c r="Y747" s="190"/>
      <c r="Z747" s="190"/>
      <c r="AA747" s="190"/>
      <c r="AB747" s="190"/>
      <c r="AC747" s="190"/>
      <c r="AD747" s="190"/>
      <c r="AE747" s="190"/>
      <c r="AF747" s="190"/>
      <c r="AG747" s="190"/>
      <c r="AH747" s="190"/>
      <c r="AI747" s="190"/>
      <c r="AJ747" s="190"/>
      <c r="AK747" s="619"/>
      <c r="AL747" s="617"/>
    </row>
    <row r="748" spans="1:38" ht="15.75">
      <c r="A748" s="190"/>
      <c r="B748" s="190"/>
      <c r="C748" s="190"/>
      <c r="D748" s="190"/>
      <c r="E748" s="190"/>
      <c r="F748" s="640"/>
      <c r="G748" s="324"/>
      <c r="H748" s="190"/>
      <c r="I748" s="190"/>
      <c r="J748" s="190"/>
      <c r="K748" s="641"/>
      <c r="L748" s="641"/>
      <c r="M748" s="641"/>
      <c r="N748" s="641"/>
      <c r="O748" s="190"/>
      <c r="P748" s="190"/>
      <c r="Q748" s="190"/>
      <c r="R748" s="190"/>
      <c r="S748" s="615"/>
      <c r="T748" s="588"/>
      <c r="U748" s="188"/>
      <c r="V748" s="190"/>
      <c r="W748" s="190"/>
      <c r="X748" s="190"/>
      <c r="Y748" s="190"/>
      <c r="Z748" s="190"/>
      <c r="AA748" s="190"/>
      <c r="AB748" s="190"/>
      <c r="AC748" s="190"/>
      <c r="AD748" s="190"/>
      <c r="AE748" s="190"/>
      <c r="AF748" s="190"/>
      <c r="AG748" s="190"/>
      <c r="AH748" s="190"/>
      <c r="AI748" s="190"/>
      <c r="AJ748" s="190"/>
      <c r="AK748" s="619"/>
      <c r="AL748" s="617"/>
    </row>
    <row r="749" spans="1:38" ht="15.75">
      <c r="A749" s="190"/>
      <c r="B749" s="190"/>
      <c r="C749" s="190"/>
      <c r="D749" s="190"/>
      <c r="E749" s="190"/>
      <c r="F749" s="640"/>
      <c r="G749" s="324"/>
      <c r="H749" s="190"/>
      <c r="I749" s="190"/>
      <c r="J749" s="190"/>
      <c r="K749" s="641"/>
      <c r="L749" s="641"/>
      <c r="M749" s="641"/>
      <c r="N749" s="641"/>
      <c r="O749" s="190"/>
      <c r="P749" s="190"/>
      <c r="Q749" s="190"/>
      <c r="R749" s="190"/>
      <c r="S749" s="615"/>
      <c r="T749" s="588"/>
      <c r="U749" s="188"/>
      <c r="V749" s="190"/>
      <c r="W749" s="190"/>
      <c r="X749" s="190"/>
      <c r="Y749" s="190"/>
      <c r="Z749" s="190"/>
      <c r="AA749" s="190"/>
      <c r="AB749" s="190"/>
      <c r="AC749" s="190"/>
      <c r="AD749" s="190"/>
      <c r="AE749" s="190"/>
      <c r="AF749" s="190"/>
      <c r="AG749" s="190"/>
      <c r="AH749" s="190"/>
      <c r="AI749" s="190"/>
      <c r="AJ749" s="190"/>
      <c r="AK749" s="619"/>
      <c r="AL749" s="617"/>
    </row>
    <row r="750" spans="1:38" ht="15.75">
      <c r="A750" s="190"/>
      <c r="B750" s="190"/>
      <c r="C750" s="190"/>
      <c r="D750" s="190"/>
      <c r="E750" s="190"/>
      <c r="F750" s="640"/>
      <c r="G750" s="324"/>
      <c r="H750" s="190"/>
      <c r="I750" s="190"/>
      <c r="J750" s="190"/>
      <c r="K750" s="641"/>
      <c r="L750" s="641"/>
      <c r="M750" s="641"/>
      <c r="N750" s="641"/>
      <c r="O750" s="190"/>
      <c r="P750" s="190"/>
      <c r="Q750" s="190"/>
      <c r="R750" s="190"/>
      <c r="S750" s="615"/>
      <c r="T750" s="588"/>
      <c r="U750" s="188"/>
      <c r="V750" s="190"/>
      <c r="W750" s="190"/>
      <c r="X750" s="190"/>
      <c r="Y750" s="190"/>
      <c r="Z750" s="190"/>
      <c r="AA750" s="190"/>
      <c r="AB750" s="190"/>
      <c r="AC750" s="190"/>
      <c r="AD750" s="190"/>
      <c r="AE750" s="190"/>
      <c r="AF750" s="190"/>
      <c r="AG750" s="190"/>
      <c r="AH750" s="190"/>
      <c r="AI750" s="190"/>
      <c r="AJ750" s="190"/>
      <c r="AK750" s="619"/>
      <c r="AL750" s="617"/>
    </row>
    <row r="751" spans="1:38" ht="15.75">
      <c r="A751" s="190"/>
      <c r="B751" s="190"/>
      <c r="C751" s="190"/>
      <c r="D751" s="190"/>
      <c r="E751" s="190"/>
      <c r="F751" s="640"/>
      <c r="G751" s="324"/>
      <c r="H751" s="190"/>
      <c r="I751" s="190"/>
      <c r="J751" s="190"/>
      <c r="K751" s="641"/>
      <c r="L751" s="641"/>
      <c r="M751" s="641"/>
      <c r="N751" s="641"/>
      <c r="O751" s="190"/>
      <c r="P751" s="190"/>
      <c r="Q751" s="190"/>
      <c r="R751" s="190"/>
      <c r="S751" s="615"/>
      <c r="T751" s="588"/>
      <c r="U751" s="188"/>
      <c r="V751" s="190"/>
      <c r="W751" s="190"/>
      <c r="X751" s="190"/>
      <c r="Y751" s="190"/>
      <c r="Z751" s="190"/>
      <c r="AA751" s="190"/>
      <c r="AB751" s="190"/>
      <c r="AC751" s="190"/>
      <c r="AD751" s="190"/>
      <c r="AE751" s="190"/>
      <c r="AF751" s="190"/>
      <c r="AG751" s="190"/>
      <c r="AH751" s="190"/>
      <c r="AI751" s="190"/>
      <c r="AJ751" s="190"/>
      <c r="AK751" s="619"/>
      <c r="AL751" s="617"/>
    </row>
    <row r="752" spans="1:38" ht="15.75">
      <c r="A752" s="190"/>
      <c r="B752" s="190"/>
      <c r="C752" s="190"/>
      <c r="D752" s="190"/>
      <c r="E752" s="190"/>
      <c r="F752" s="640"/>
      <c r="G752" s="324"/>
      <c r="H752" s="190"/>
      <c r="I752" s="190"/>
      <c r="J752" s="190"/>
      <c r="K752" s="641"/>
      <c r="L752" s="641"/>
      <c r="M752" s="641"/>
      <c r="N752" s="641"/>
      <c r="O752" s="190"/>
      <c r="P752" s="190"/>
      <c r="Q752" s="190"/>
      <c r="R752" s="190"/>
      <c r="S752" s="615"/>
      <c r="T752" s="588"/>
      <c r="U752" s="188"/>
      <c r="V752" s="190"/>
      <c r="W752" s="190"/>
      <c r="X752" s="190"/>
      <c r="Y752" s="190"/>
      <c r="Z752" s="190"/>
      <c r="AA752" s="190"/>
      <c r="AB752" s="190"/>
      <c r="AC752" s="190"/>
      <c r="AD752" s="190"/>
      <c r="AE752" s="190"/>
      <c r="AF752" s="190"/>
      <c r="AG752" s="190"/>
      <c r="AH752" s="190"/>
      <c r="AI752" s="190"/>
      <c r="AJ752" s="190"/>
      <c r="AK752" s="619"/>
      <c r="AL752" s="617"/>
    </row>
    <row r="753" spans="1:38" ht="15.75">
      <c r="A753" s="190"/>
      <c r="B753" s="190"/>
      <c r="C753" s="190"/>
      <c r="D753" s="190"/>
      <c r="E753" s="190"/>
      <c r="F753" s="640"/>
      <c r="G753" s="324"/>
      <c r="H753" s="190"/>
      <c r="I753" s="190"/>
      <c r="J753" s="190"/>
      <c r="K753" s="641"/>
      <c r="L753" s="641"/>
      <c r="M753" s="641"/>
      <c r="N753" s="641"/>
      <c r="O753" s="190"/>
      <c r="P753" s="190"/>
      <c r="Q753" s="190"/>
      <c r="R753" s="190"/>
      <c r="S753" s="615"/>
      <c r="T753" s="588"/>
      <c r="U753" s="188"/>
      <c r="V753" s="190"/>
      <c r="W753" s="190"/>
      <c r="X753" s="190"/>
      <c r="Y753" s="190"/>
      <c r="Z753" s="190"/>
      <c r="AA753" s="190"/>
      <c r="AB753" s="190"/>
      <c r="AC753" s="190"/>
      <c r="AD753" s="190"/>
      <c r="AE753" s="190"/>
      <c r="AF753" s="190"/>
      <c r="AG753" s="190"/>
      <c r="AH753" s="190"/>
      <c r="AI753" s="190"/>
      <c r="AJ753" s="190"/>
      <c r="AK753" s="619"/>
      <c r="AL753" s="617"/>
    </row>
    <row r="754" spans="1:38" ht="15.75">
      <c r="A754" s="190"/>
      <c r="B754" s="190"/>
      <c r="C754" s="190"/>
      <c r="D754" s="190"/>
      <c r="E754" s="190"/>
      <c r="F754" s="640"/>
      <c r="G754" s="324"/>
      <c r="H754" s="190"/>
      <c r="I754" s="190"/>
      <c r="J754" s="190"/>
      <c r="K754" s="641"/>
      <c r="L754" s="641"/>
      <c r="M754" s="641"/>
      <c r="N754" s="641"/>
      <c r="O754" s="190"/>
      <c r="P754" s="190"/>
      <c r="Q754" s="190"/>
      <c r="R754" s="190"/>
      <c r="S754" s="615"/>
      <c r="T754" s="588"/>
      <c r="U754" s="188"/>
      <c r="V754" s="190"/>
      <c r="W754" s="190"/>
      <c r="X754" s="190"/>
      <c r="Y754" s="190"/>
      <c r="Z754" s="190"/>
      <c r="AA754" s="190"/>
      <c r="AB754" s="190"/>
      <c r="AC754" s="190"/>
      <c r="AD754" s="190"/>
      <c r="AE754" s="190"/>
      <c r="AF754" s="190"/>
      <c r="AG754" s="190"/>
      <c r="AH754" s="190"/>
      <c r="AI754" s="190"/>
      <c r="AJ754" s="190"/>
      <c r="AK754" s="619"/>
      <c r="AL754" s="617"/>
    </row>
    <row r="755" spans="1:38" ht="15.75">
      <c r="A755" s="190"/>
      <c r="B755" s="190"/>
      <c r="C755" s="190"/>
      <c r="D755" s="190"/>
      <c r="E755" s="190"/>
      <c r="F755" s="640"/>
      <c r="G755" s="324"/>
      <c r="H755" s="190"/>
      <c r="I755" s="190"/>
      <c r="J755" s="190"/>
      <c r="K755" s="641"/>
      <c r="L755" s="641"/>
      <c r="M755" s="641"/>
      <c r="N755" s="641"/>
      <c r="O755" s="190"/>
      <c r="P755" s="190"/>
      <c r="Q755" s="190"/>
      <c r="R755" s="190"/>
      <c r="S755" s="615"/>
      <c r="T755" s="588"/>
      <c r="U755" s="188"/>
      <c r="V755" s="190"/>
      <c r="W755" s="190"/>
      <c r="X755" s="190"/>
      <c r="Y755" s="190"/>
      <c r="Z755" s="190"/>
      <c r="AA755" s="190"/>
      <c r="AB755" s="190"/>
      <c r="AC755" s="190"/>
      <c r="AD755" s="190"/>
      <c r="AE755" s="190"/>
      <c r="AF755" s="190"/>
      <c r="AG755" s="190"/>
      <c r="AH755" s="190"/>
      <c r="AI755" s="190"/>
      <c r="AJ755" s="190"/>
      <c r="AK755" s="619"/>
      <c r="AL755" s="617"/>
    </row>
    <row r="756" spans="1:38" ht="15.75">
      <c r="A756" s="190"/>
      <c r="B756" s="190"/>
      <c r="C756" s="190"/>
      <c r="D756" s="190"/>
      <c r="E756" s="190"/>
      <c r="F756" s="640"/>
      <c r="G756" s="324"/>
      <c r="H756" s="190"/>
      <c r="I756" s="190"/>
      <c r="J756" s="190"/>
      <c r="K756" s="641"/>
      <c r="L756" s="641"/>
      <c r="M756" s="641"/>
      <c r="N756" s="641"/>
      <c r="O756" s="190"/>
      <c r="P756" s="190"/>
      <c r="Q756" s="190"/>
      <c r="R756" s="190"/>
      <c r="S756" s="615"/>
      <c r="T756" s="588"/>
      <c r="U756" s="188"/>
      <c r="V756" s="190"/>
      <c r="W756" s="190"/>
      <c r="X756" s="190"/>
      <c r="Y756" s="190"/>
      <c r="Z756" s="190"/>
      <c r="AA756" s="190"/>
      <c r="AB756" s="190"/>
      <c r="AC756" s="190"/>
      <c r="AD756" s="190"/>
      <c r="AE756" s="190"/>
      <c r="AF756" s="190"/>
      <c r="AG756" s="190"/>
      <c r="AH756" s="190"/>
      <c r="AI756" s="190"/>
      <c r="AJ756" s="190"/>
      <c r="AK756" s="619"/>
      <c r="AL756" s="617"/>
    </row>
    <row r="757" spans="1:38" ht="15.75">
      <c r="A757" s="190"/>
      <c r="B757" s="190"/>
      <c r="C757" s="190"/>
      <c r="D757" s="190"/>
      <c r="E757" s="190"/>
      <c r="F757" s="640"/>
      <c r="G757" s="324"/>
      <c r="H757" s="190"/>
      <c r="I757" s="190"/>
      <c r="J757" s="190"/>
      <c r="K757" s="641"/>
      <c r="L757" s="641"/>
      <c r="M757" s="641"/>
      <c r="N757" s="641"/>
      <c r="O757" s="190"/>
      <c r="P757" s="190"/>
      <c r="Q757" s="190"/>
      <c r="R757" s="190"/>
      <c r="S757" s="615"/>
      <c r="T757" s="588"/>
      <c r="U757" s="188"/>
      <c r="V757" s="190"/>
      <c r="W757" s="190"/>
      <c r="X757" s="190"/>
      <c r="Y757" s="190"/>
      <c r="Z757" s="190"/>
      <c r="AA757" s="190"/>
      <c r="AB757" s="190"/>
      <c r="AC757" s="190"/>
      <c r="AD757" s="190"/>
      <c r="AE757" s="190"/>
      <c r="AF757" s="190"/>
      <c r="AG757" s="190"/>
      <c r="AH757" s="190"/>
      <c r="AI757" s="190"/>
      <c r="AJ757" s="190"/>
      <c r="AK757" s="619"/>
      <c r="AL757" s="617"/>
    </row>
    <row r="758" spans="1:38" ht="15.75">
      <c r="A758" s="190"/>
      <c r="B758" s="190"/>
      <c r="C758" s="190"/>
      <c r="D758" s="190"/>
      <c r="E758" s="190"/>
      <c r="F758" s="640"/>
      <c r="G758" s="324"/>
      <c r="H758" s="190"/>
      <c r="I758" s="190"/>
      <c r="J758" s="190"/>
      <c r="K758" s="641"/>
      <c r="L758" s="641"/>
      <c r="M758" s="641"/>
      <c r="N758" s="641"/>
      <c r="O758" s="190"/>
      <c r="P758" s="190"/>
      <c r="Q758" s="190"/>
      <c r="R758" s="190"/>
      <c r="S758" s="615"/>
      <c r="T758" s="588"/>
      <c r="U758" s="188"/>
      <c r="V758" s="190"/>
      <c r="W758" s="190"/>
      <c r="X758" s="190"/>
      <c r="Y758" s="190"/>
      <c r="Z758" s="190"/>
      <c r="AA758" s="190"/>
      <c r="AB758" s="190"/>
      <c r="AC758" s="190"/>
      <c r="AD758" s="190"/>
      <c r="AE758" s="190"/>
      <c r="AF758" s="190"/>
      <c r="AG758" s="190"/>
      <c r="AH758" s="190"/>
      <c r="AI758" s="190"/>
      <c r="AJ758" s="190"/>
      <c r="AK758" s="619"/>
      <c r="AL758" s="617"/>
    </row>
    <row r="759" spans="1:38" ht="15.75">
      <c r="A759" s="190"/>
      <c r="B759" s="190"/>
      <c r="C759" s="190"/>
      <c r="D759" s="190"/>
      <c r="E759" s="190"/>
      <c r="F759" s="190"/>
      <c r="G759" s="324"/>
      <c r="H759" s="190"/>
      <c r="I759" s="190"/>
      <c r="J759" s="190"/>
      <c r="K759" s="641"/>
      <c r="L759" s="641"/>
      <c r="M759" s="641"/>
      <c r="N759" s="641"/>
      <c r="O759" s="190"/>
      <c r="P759" s="190"/>
      <c r="Q759" s="190"/>
      <c r="R759" s="190"/>
      <c r="S759" s="615"/>
      <c r="T759" s="588"/>
      <c r="U759" s="188"/>
      <c r="V759" s="190"/>
      <c r="W759" s="190"/>
      <c r="X759" s="190"/>
      <c r="Y759" s="190"/>
      <c r="Z759" s="190"/>
      <c r="AA759" s="190"/>
      <c r="AB759" s="190"/>
      <c r="AC759" s="190"/>
      <c r="AD759" s="190"/>
      <c r="AE759" s="190"/>
      <c r="AF759" s="190"/>
      <c r="AG759" s="190"/>
      <c r="AH759" s="190"/>
      <c r="AI759" s="190"/>
      <c r="AJ759" s="190"/>
      <c r="AK759" s="619"/>
      <c r="AL759" s="617"/>
    </row>
    <row r="760" spans="1:38" ht="15.75">
      <c r="A760" s="190"/>
      <c r="B760" s="190"/>
      <c r="C760" s="190"/>
      <c r="D760" s="190"/>
      <c r="E760" s="190"/>
      <c r="F760" s="190"/>
      <c r="G760" s="324"/>
      <c r="H760" s="190"/>
      <c r="I760" s="190"/>
      <c r="J760" s="190"/>
      <c r="K760" s="641"/>
      <c r="L760" s="641"/>
      <c r="M760" s="641"/>
      <c r="N760" s="641"/>
      <c r="O760" s="190"/>
      <c r="P760" s="190"/>
      <c r="Q760" s="190"/>
      <c r="R760" s="190"/>
      <c r="S760" s="615"/>
      <c r="T760" s="588"/>
      <c r="U760" s="188"/>
      <c r="V760" s="190"/>
      <c r="W760" s="190"/>
      <c r="X760" s="190"/>
      <c r="Y760" s="190"/>
      <c r="Z760" s="190"/>
      <c r="AA760" s="190"/>
      <c r="AB760" s="190"/>
      <c r="AC760" s="190"/>
      <c r="AD760" s="190"/>
      <c r="AE760" s="190"/>
      <c r="AF760" s="190"/>
      <c r="AG760" s="190"/>
      <c r="AH760" s="190"/>
      <c r="AI760" s="190"/>
      <c r="AJ760" s="190"/>
      <c r="AK760" s="619"/>
      <c r="AL760" s="617"/>
    </row>
    <row r="761" spans="1:38" ht="15.75">
      <c r="A761" s="190"/>
      <c r="B761" s="190"/>
      <c r="C761" s="190"/>
      <c r="D761" s="190"/>
      <c r="E761" s="190"/>
      <c r="F761" s="190"/>
      <c r="G761" s="324"/>
      <c r="H761" s="190"/>
      <c r="I761" s="190"/>
      <c r="J761" s="190"/>
      <c r="K761" s="641"/>
      <c r="L761" s="641"/>
      <c r="M761" s="641"/>
      <c r="N761" s="641"/>
      <c r="O761" s="190"/>
      <c r="P761" s="190"/>
      <c r="Q761" s="190"/>
      <c r="R761" s="190"/>
      <c r="S761" s="615"/>
      <c r="T761" s="588"/>
      <c r="U761" s="188"/>
      <c r="V761" s="190"/>
      <c r="W761" s="190"/>
      <c r="X761" s="190"/>
      <c r="Y761" s="190"/>
      <c r="Z761" s="190"/>
      <c r="AA761" s="190"/>
      <c r="AB761" s="190"/>
      <c r="AC761" s="190"/>
      <c r="AD761" s="190"/>
      <c r="AE761" s="190"/>
      <c r="AF761" s="190"/>
      <c r="AG761" s="190"/>
      <c r="AH761" s="190"/>
      <c r="AI761" s="190"/>
      <c r="AJ761" s="190"/>
      <c r="AK761" s="619"/>
      <c r="AL761" s="617"/>
    </row>
    <row r="762" spans="1:38" ht="15.75">
      <c r="A762" s="190"/>
      <c r="B762" s="190"/>
      <c r="C762" s="190"/>
      <c r="D762" s="190"/>
      <c r="E762" s="190"/>
      <c r="F762" s="190"/>
      <c r="G762" s="324"/>
      <c r="H762" s="190"/>
      <c r="I762" s="190"/>
      <c r="J762" s="190"/>
      <c r="K762" s="641"/>
      <c r="L762" s="641"/>
      <c r="M762" s="641"/>
      <c r="N762" s="641"/>
      <c r="O762" s="190"/>
      <c r="P762" s="190"/>
      <c r="Q762" s="190"/>
      <c r="R762" s="190"/>
      <c r="S762" s="615"/>
      <c r="T762" s="588"/>
      <c r="U762" s="188"/>
      <c r="V762" s="190"/>
      <c r="W762" s="190"/>
      <c r="X762" s="190"/>
      <c r="Y762" s="190"/>
      <c r="Z762" s="190"/>
      <c r="AA762" s="190"/>
      <c r="AB762" s="190"/>
      <c r="AC762" s="190"/>
      <c r="AD762" s="190"/>
      <c r="AE762" s="190"/>
      <c r="AF762" s="190"/>
      <c r="AG762" s="190"/>
      <c r="AH762" s="190"/>
      <c r="AI762" s="190"/>
      <c r="AJ762" s="190"/>
      <c r="AK762" s="619"/>
      <c r="AL762" s="617"/>
    </row>
    <row r="763" spans="1:38" ht="15.75">
      <c r="A763" s="190"/>
      <c r="B763" s="190"/>
      <c r="C763" s="190"/>
      <c r="D763" s="190"/>
      <c r="E763" s="190"/>
      <c r="F763" s="190"/>
      <c r="G763" s="324"/>
      <c r="H763" s="190"/>
      <c r="I763" s="190"/>
      <c r="J763" s="190"/>
      <c r="K763" s="641"/>
      <c r="L763" s="641"/>
      <c r="M763" s="641"/>
      <c r="N763" s="641"/>
      <c r="O763" s="190"/>
      <c r="P763" s="190"/>
      <c r="Q763" s="190"/>
      <c r="R763" s="190"/>
      <c r="S763" s="615"/>
      <c r="T763" s="588"/>
      <c r="U763" s="188"/>
      <c r="V763" s="190"/>
      <c r="W763" s="190"/>
      <c r="X763" s="190"/>
      <c r="Y763" s="190"/>
      <c r="Z763" s="190"/>
      <c r="AA763" s="190"/>
      <c r="AB763" s="190"/>
      <c r="AC763" s="190"/>
      <c r="AD763" s="190"/>
      <c r="AE763" s="190"/>
      <c r="AF763" s="190"/>
      <c r="AG763" s="190"/>
      <c r="AH763" s="190"/>
      <c r="AI763" s="190"/>
      <c r="AJ763" s="190"/>
      <c r="AK763" s="619"/>
      <c r="AL763" s="617"/>
    </row>
    <row r="764" spans="1:38" ht="15.75">
      <c r="A764" s="190"/>
      <c r="B764" s="190"/>
      <c r="C764" s="190"/>
      <c r="D764" s="190"/>
      <c r="E764" s="190"/>
      <c r="F764" s="190"/>
      <c r="G764" s="324"/>
      <c r="H764" s="190"/>
      <c r="I764" s="190"/>
      <c r="J764" s="190"/>
      <c r="K764" s="641"/>
      <c r="L764" s="641"/>
      <c r="M764" s="641"/>
      <c r="N764" s="641"/>
      <c r="O764" s="190"/>
      <c r="P764" s="190"/>
      <c r="Q764" s="190"/>
      <c r="R764" s="190"/>
      <c r="S764" s="615"/>
      <c r="T764" s="588"/>
      <c r="U764" s="188"/>
      <c r="V764" s="190"/>
      <c r="W764" s="190"/>
      <c r="X764" s="190"/>
      <c r="Y764" s="190"/>
      <c r="Z764" s="190"/>
      <c r="AA764" s="190"/>
      <c r="AB764" s="190"/>
      <c r="AC764" s="190"/>
      <c r="AD764" s="190"/>
      <c r="AE764" s="190"/>
      <c r="AF764" s="190"/>
      <c r="AG764" s="190"/>
      <c r="AH764" s="190"/>
      <c r="AI764" s="190"/>
      <c r="AJ764" s="190"/>
      <c r="AK764" s="619"/>
      <c r="AL764" s="617"/>
    </row>
    <row r="765" spans="1:38" ht="15.75">
      <c r="A765" s="190"/>
      <c r="B765" s="190"/>
      <c r="C765" s="190"/>
      <c r="D765" s="190"/>
      <c r="E765" s="190"/>
      <c r="F765" s="190"/>
      <c r="G765" s="324"/>
      <c r="H765" s="190"/>
      <c r="I765" s="190"/>
      <c r="J765" s="190"/>
      <c r="K765" s="641"/>
      <c r="L765" s="641"/>
      <c r="M765" s="641"/>
      <c r="N765" s="641"/>
      <c r="O765" s="190"/>
      <c r="P765" s="190"/>
      <c r="Q765" s="190"/>
      <c r="R765" s="190"/>
      <c r="S765" s="615"/>
      <c r="T765" s="588"/>
      <c r="U765" s="188"/>
      <c r="V765" s="190"/>
      <c r="W765" s="190"/>
      <c r="X765" s="190"/>
      <c r="Y765" s="190"/>
      <c r="Z765" s="190"/>
      <c r="AA765" s="190"/>
      <c r="AB765" s="190"/>
      <c r="AC765" s="190"/>
      <c r="AD765" s="190"/>
      <c r="AE765" s="190"/>
      <c r="AF765" s="190"/>
      <c r="AG765" s="190"/>
      <c r="AH765" s="190"/>
      <c r="AI765" s="190"/>
      <c r="AJ765" s="190"/>
      <c r="AK765" s="619"/>
      <c r="AL765" s="617"/>
    </row>
    <row r="766" spans="1:38" ht="15.75">
      <c r="A766" s="190"/>
      <c r="B766" s="190"/>
      <c r="C766" s="190"/>
      <c r="D766" s="190"/>
      <c r="E766" s="190"/>
      <c r="F766" s="190"/>
      <c r="G766" s="324"/>
      <c r="H766" s="190"/>
      <c r="I766" s="190"/>
      <c r="J766" s="190"/>
      <c r="K766" s="641"/>
      <c r="L766" s="641"/>
      <c r="M766" s="641"/>
      <c r="N766" s="641"/>
      <c r="O766" s="190"/>
      <c r="P766" s="190"/>
      <c r="Q766" s="190"/>
      <c r="R766" s="190"/>
      <c r="S766" s="615"/>
      <c r="T766" s="588"/>
      <c r="U766" s="188"/>
      <c r="V766" s="190"/>
      <c r="W766" s="190"/>
      <c r="X766" s="190"/>
      <c r="Y766" s="190"/>
      <c r="Z766" s="190"/>
      <c r="AA766" s="190"/>
      <c r="AB766" s="190"/>
      <c r="AC766" s="190"/>
      <c r="AD766" s="190"/>
      <c r="AE766" s="190"/>
      <c r="AF766" s="190"/>
      <c r="AG766" s="190"/>
      <c r="AH766" s="190"/>
      <c r="AI766" s="190"/>
      <c r="AJ766" s="190"/>
      <c r="AK766" s="619"/>
      <c r="AL766" s="617"/>
    </row>
    <row r="767" spans="1:38" ht="15.75">
      <c r="A767" s="190"/>
      <c r="B767" s="190"/>
      <c r="C767" s="190"/>
      <c r="D767" s="190"/>
      <c r="E767" s="190"/>
      <c r="F767" s="190"/>
      <c r="G767" s="324"/>
      <c r="H767" s="190"/>
      <c r="I767" s="190"/>
      <c r="J767" s="190"/>
      <c r="K767" s="641"/>
      <c r="L767" s="641"/>
      <c r="M767" s="641"/>
      <c r="N767" s="641"/>
      <c r="O767" s="190"/>
      <c r="P767" s="190"/>
      <c r="Q767" s="190"/>
      <c r="R767" s="190"/>
      <c r="S767" s="615"/>
      <c r="T767" s="588"/>
      <c r="U767" s="188"/>
      <c r="V767" s="190"/>
      <c r="W767" s="190"/>
      <c r="X767" s="190"/>
      <c r="Y767" s="190"/>
      <c r="Z767" s="190"/>
      <c r="AA767" s="190"/>
      <c r="AB767" s="190"/>
      <c r="AC767" s="190"/>
      <c r="AD767" s="190"/>
      <c r="AE767" s="190"/>
      <c r="AF767" s="190"/>
      <c r="AG767" s="190"/>
      <c r="AH767" s="190"/>
      <c r="AI767" s="190"/>
      <c r="AJ767" s="190"/>
      <c r="AK767" s="619"/>
      <c r="AL767" s="617"/>
    </row>
    <row r="768" spans="1:38" ht="15.75">
      <c r="A768" s="190"/>
      <c r="B768" s="190"/>
      <c r="C768" s="190"/>
      <c r="D768" s="190"/>
      <c r="E768" s="190"/>
      <c r="F768" s="190"/>
      <c r="G768" s="324"/>
      <c r="H768" s="190"/>
      <c r="I768" s="190"/>
      <c r="J768" s="190"/>
      <c r="K768" s="641"/>
      <c r="L768" s="641"/>
      <c r="M768" s="641"/>
      <c r="N768" s="641"/>
      <c r="O768" s="190"/>
      <c r="P768" s="190"/>
      <c r="Q768" s="190"/>
      <c r="R768" s="190"/>
      <c r="S768" s="615"/>
      <c r="T768" s="588"/>
      <c r="U768" s="188"/>
      <c r="V768" s="190"/>
      <c r="W768" s="190"/>
      <c r="X768" s="190"/>
      <c r="Y768" s="190"/>
      <c r="Z768" s="190"/>
      <c r="AA768" s="190"/>
      <c r="AB768" s="190"/>
      <c r="AC768" s="190"/>
      <c r="AD768" s="190"/>
      <c r="AE768" s="190"/>
      <c r="AF768" s="190"/>
      <c r="AG768" s="190"/>
      <c r="AH768" s="190"/>
      <c r="AI768" s="190"/>
      <c r="AJ768" s="190"/>
      <c r="AK768" s="619"/>
      <c r="AL768" s="617"/>
    </row>
    <row r="769" spans="1:38" ht="15.75">
      <c r="A769" s="190"/>
      <c r="B769" s="190"/>
      <c r="C769" s="190"/>
      <c r="D769" s="190"/>
      <c r="E769" s="190"/>
      <c r="F769" s="190"/>
      <c r="G769" s="324"/>
      <c r="H769" s="190"/>
      <c r="I769" s="190"/>
      <c r="J769" s="190"/>
      <c r="K769" s="641"/>
      <c r="L769" s="641"/>
      <c r="M769" s="641"/>
      <c r="N769" s="641"/>
      <c r="O769" s="190"/>
      <c r="P769" s="190"/>
      <c r="Q769" s="190"/>
      <c r="R769" s="190"/>
      <c r="S769" s="615"/>
      <c r="T769" s="588"/>
      <c r="U769" s="188"/>
      <c r="V769" s="190"/>
      <c r="W769" s="190"/>
      <c r="X769" s="190"/>
      <c r="Y769" s="190"/>
      <c r="Z769" s="190"/>
      <c r="AA769" s="190"/>
      <c r="AB769" s="190"/>
      <c r="AC769" s="190"/>
      <c r="AD769" s="190"/>
      <c r="AE769" s="190"/>
      <c r="AF769" s="190"/>
      <c r="AG769" s="190"/>
      <c r="AH769" s="190"/>
      <c r="AI769" s="190"/>
      <c r="AJ769" s="190"/>
      <c r="AK769" s="619"/>
      <c r="AL769" s="617"/>
    </row>
    <row r="770" spans="1:38" ht="15.75">
      <c r="A770" s="190"/>
      <c r="B770" s="190"/>
      <c r="C770" s="190"/>
      <c r="D770" s="190"/>
      <c r="E770" s="190"/>
      <c r="F770" s="190"/>
      <c r="G770" s="324"/>
      <c r="H770" s="190"/>
      <c r="I770" s="190"/>
      <c r="J770" s="190"/>
      <c r="K770" s="641"/>
      <c r="L770" s="641"/>
      <c r="M770" s="641"/>
      <c r="N770" s="641"/>
      <c r="O770" s="190"/>
      <c r="P770" s="190"/>
      <c r="Q770" s="190"/>
      <c r="R770" s="190"/>
      <c r="S770" s="615"/>
      <c r="T770" s="588"/>
      <c r="U770" s="188"/>
      <c r="V770" s="190"/>
      <c r="W770" s="190"/>
      <c r="X770" s="190"/>
      <c r="Y770" s="190"/>
      <c r="Z770" s="190"/>
      <c r="AA770" s="190"/>
      <c r="AB770" s="190"/>
      <c r="AC770" s="190"/>
      <c r="AD770" s="190"/>
      <c r="AE770" s="190"/>
      <c r="AF770" s="190"/>
      <c r="AG770" s="190"/>
      <c r="AH770" s="190"/>
      <c r="AI770" s="190"/>
      <c r="AJ770" s="190"/>
      <c r="AK770" s="619"/>
      <c r="AL770" s="617"/>
    </row>
    <row r="771" spans="1:38" ht="15.75">
      <c r="A771" s="190"/>
      <c r="B771" s="190"/>
      <c r="C771" s="190"/>
      <c r="D771" s="190"/>
      <c r="E771" s="190"/>
      <c r="F771" s="190"/>
      <c r="G771" s="324"/>
      <c r="H771" s="190"/>
      <c r="I771" s="190"/>
      <c r="J771" s="190"/>
      <c r="K771" s="641"/>
      <c r="L771" s="641"/>
      <c r="M771" s="641"/>
      <c r="N771" s="641"/>
      <c r="O771" s="190"/>
      <c r="P771" s="190"/>
      <c r="Q771" s="190"/>
      <c r="R771" s="190"/>
      <c r="S771" s="615"/>
      <c r="T771" s="588"/>
      <c r="U771" s="188"/>
      <c r="V771" s="190"/>
      <c r="W771" s="190"/>
      <c r="X771" s="190"/>
      <c r="Y771" s="190"/>
      <c r="Z771" s="190"/>
      <c r="AA771" s="190"/>
      <c r="AB771" s="190"/>
      <c r="AC771" s="190"/>
      <c r="AD771" s="190"/>
      <c r="AE771" s="190"/>
      <c r="AF771" s="190"/>
      <c r="AG771" s="190"/>
      <c r="AH771" s="190"/>
      <c r="AI771" s="190"/>
      <c r="AJ771" s="190"/>
      <c r="AK771" s="619"/>
      <c r="AL771" s="617"/>
    </row>
    <row r="772" spans="1:38" ht="15.75">
      <c r="A772" s="190"/>
      <c r="B772" s="190"/>
      <c r="C772" s="190"/>
      <c r="D772" s="190"/>
      <c r="E772" s="190"/>
      <c r="F772" s="190"/>
      <c r="G772" s="324"/>
      <c r="H772" s="190"/>
      <c r="I772" s="190"/>
      <c r="J772" s="190"/>
      <c r="K772" s="641"/>
      <c r="L772" s="641"/>
      <c r="M772" s="641"/>
      <c r="N772" s="641"/>
      <c r="O772" s="190"/>
      <c r="P772" s="190"/>
      <c r="Q772" s="190"/>
      <c r="R772" s="190"/>
      <c r="S772" s="615"/>
      <c r="T772" s="588"/>
      <c r="U772" s="188"/>
      <c r="V772" s="190"/>
      <c r="W772" s="190"/>
      <c r="X772" s="190"/>
      <c r="Y772" s="190"/>
      <c r="Z772" s="190"/>
      <c r="AA772" s="190"/>
      <c r="AB772" s="190"/>
      <c r="AC772" s="190"/>
      <c r="AD772" s="190"/>
      <c r="AE772" s="190"/>
      <c r="AF772" s="190"/>
      <c r="AG772" s="190"/>
      <c r="AH772" s="190"/>
      <c r="AI772" s="190"/>
      <c r="AJ772" s="190"/>
      <c r="AK772" s="619"/>
      <c r="AL772" s="617"/>
    </row>
    <row r="773" spans="1:38" ht="15.75">
      <c r="A773" s="190"/>
      <c r="B773" s="190"/>
      <c r="C773" s="190"/>
      <c r="D773" s="190"/>
      <c r="E773" s="190"/>
      <c r="F773" s="190"/>
      <c r="G773" s="324"/>
      <c r="H773" s="190"/>
      <c r="I773" s="190"/>
      <c r="J773" s="190"/>
      <c r="K773" s="641"/>
      <c r="L773" s="641"/>
      <c r="M773" s="641"/>
      <c r="N773" s="641"/>
      <c r="O773" s="190"/>
      <c r="P773" s="190"/>
      <c r="Q773" s="190"/>
      <c r="R773" s="190"/>
      <c r="S773" s="615"/>
      <c r="T773" s="588"/>
      <c r="U773" s="188"/>
      <c r="V773" s="190"/>
      <c r="W773" s="190"/>
      <c r="X773" s="190"/>
      <c r="Y773" s="190"/>
      <c r="Z773" s="190"/>
      <c r="AA773" s="190"/>
      <c r="AB773" s="190"/>
      <c r="AC773" s="190"/>
      <c r="AD773" s="190"/>
      <c r="AE773" s="190"/>
      <c r="AF773" s="190"/>
      <c r="AG773" s="190"/>
      <c r="AH773" s="190"/>
      <c r="AI773" s="190"/>
      <c r="AJ773" s="190"/>
      <c r="AK773" s="619"/>
      <c r="AL773" s="617"/>
    </row>
    <row r="774" spans="1:38" ht="15.75">
      <c r="A774" s="190"/>
      <c r="B774" s="190"/>
      <c r="C774" s="190"/>
      <c r="D774" s="190"/>
      <c r="E774" s="190"/>
      <c r="F774" s="190"/>
      <c r="G774" s="324"/>
      <c r="H774" s="190"/>
      <c r="I774" s="190"/>
      <c r="J774" s="190"/>
      <c r="K774" s="641"/>
      <c r="L774" s="641"/>
      <c r="M774" s="641"/>
      <c r="N774" s="641"/>
      <c r="O774" s="190"/>
      <c r="P774" s="190"/>
      <c r="Q774" s="190"/>
      <c r="R774" s="190"/>
      <c r="S774" s="615"/>
      <c r="T774" s="588"/>
      <c r="U774" s="188"/>
      <c r="V774" s="190"/>
      <c r="W774" s="190"/>
      <c r="X774" s="190"/>
      <c r="Y774" s="190"/>
      <c r="Z774" s="190"/>
      <c r="AA774" s="190"/>
      <c r="AB774" s="190"/>
      <c r="AC774" s="190"/>
      <c r="AD774" s="190"/>
      <c r="AE774" s="190"/>
      <c r="AF774" s="190"/>
      <c r="AG774" s="190"/>
      <c r="AH774" s="190"/>
      <c r="AI774" s="190"/>
      <c r="AJ774" s="190"/>
      <c r="AK774" s="619"/>
      <c r="AL774" s="617"/>
    </row>
    <row r="775" spans="1:38" ht="15.75">
      <c r="A775" s="190"/>
      <c r="B775" s="190"/>
      <c r="C775" s="190"/>
      <c r="D775" s="190"/>
      <c r="E775" s="190"/>
      <c r="F775" s="190"/>
      <c r="G775" s="324"/>
      <c r="H775" s="190"/>
      <c r="I775" s="190"/>
      <c r="J775" s="190"/>
      <c r="K775" s="641"/>
      <c r="L775" s="641"/>
      <c r="M775" s="641"/>
      <c r="N775" s="641"/>
      <c r="O775" s="190"/>
      <c r="P775" s="190"/>
      <c r="Q775" s="190"/>
      <c r="R775" s="190"/>
      <c r="S775" s="615"/>
      <c r="T775" s="588"/>
      <c r="U775" s="188"/>
      <c r="V775" s="190"/>
      <c r="W775" s="190"/>
      <c r="X775" s="190"/>
      <c r="Y775" s="190"/>
      <c r="Z775" s="190"/>
      <c r="AA775" s="190"/>
      <c r="AB775" s="190"/>
      <c r="AC775" s="190"/>
      <c r="AD775" s="190"/>
      <c r="AE775" s="190"/>
      <c r="AF775" s="190"/>
      <c r="AG775" s="190"/>
      <c r="AH775" s="190"/>
      <c r="AI775" s="190"/>
      <c r="AJ775" s="190"/>
      <c r="AK775" s="619"/>
      <c r="AL775" s="617"/>
    </row>
    <row r="776" spans="1:38" ht="15.75">
      <c r="A776" s="190"/>
      <c r="B776" s="190"/>
      <c r="C776" s="190"/>
      <c r="D776" s="190"/>
      <c r="E776" s="190"/>
      <c r="F776" s="190"/>
      <c r="G776" s="324"/>
      <c r="H776" s="190"/>
      <c r="I776" s="190"/>
      <c r="J776" s="190"/>
      <c r="K776" s="641"/>
      <c r="L776" s="641"/>
      <c r="M776" s="641"/>
      <c r="N776" s="641"/>
      <c r="O776" s="190"/>
      <c r="P776" s="190"/>
      <c r="Q776" s="190"/>
      <c r="R776" s="190"/>
      <c r="S776" s="615"/>
      <c r="T776" s="588"/>
      <c r="U776" s="188"/>
      <c r="V776" s="190"/>
      <c r="W776" s="190"/>
      <c r="X776" s="190"/>
      <c r="Y776" s="190"/>
      <c r="Z776" s="190"/>
      <c r="AA776" s="190"/>
      <c r="AB776" s="190"/>
      <c r="AC776" s="190"/>
      <c r="AD776" s="190"/>
      <c r="AE776" s="190"/>
      <c r="AF776" s="190"/>
      <c r="AG776" s="190"/>
      <c r="AH776" s="190"/>
      <c r="AI776" s="190"/>
      <c r="AJ776" s="190"/>
      <c r="AK776" s="619"/>
      <c r="AL776" s="617"/>
    </row>
    <row r="777" spans="1:38" ht="15.75">
      <c r="A777" s="190"/>
      <c r="B777" s="190"/>
      <c r="C777" s="190"/>
      <c r="D777" s="190"/>
      <c r="E777" s="190"/>
      <c r="F777" s="190"/>
      <c r="G777" s="324"/>
      <c r="H777" s="190"/>
      <c r="I777" s="190"/>
      <c r="J777" s="190"/>
      <c r="K777" s="641"/>
      <c r="L777" s="641"/>
      <c r="M777" s="641"/>
      <c r="N777" s="641"/>
      <c r="O777" s="190"/>
      <c r="P777" s="190"/>
      <c r="Q777" s="190"/>
      <c r="R777" s="190"/>
      <c r="S777" s="615"/>
      <c r="T777" s="588"/>
      <c r="U777" s="188"/>
      <c r="V777" s="190"/>
      <c r="W777" s="190"/>
      <c r="X777" s="190"/>
      <c r="Y777" s="190"/>
      <c r="Z777" s="190"/>
      <c r="AA777" s="190"/>
      <c r="AB777" s="190"/>
      <c r="AC777" s="190"/>
      <c r="AD777" s="190"/>
      <c r="AE777" s="190"/>
      <c r="AF777" s="190"/>
      <c r="AG777" s="190"/>
      <c r="AH777" s="190"/>
      <c r="AI777" s="190"/>
      <c r="AJ777" s="190"/>
      <c r="AK777" s="619"/>
      <c r="AL777" s="617"/>
    </row>
    <row r="778" spans="1:38" ht="15.75">
      <c r="A778" s="190"/>
      <c r="B778" s="190"/>
      <c r="C778" s="190"/>
      <c r="D778" s="190"/>
      <c r="E778" s="190"/>
      <c r="F778" s="190"/>
      <c r="G778" s="324"/>
      <c r="H778" s="190"/>
      <c r="I778" s="190"/>
      <c r="J778" s="190"/>
      <c r="K778" s="641"/>
      <c r="L778" s="641"/>
      <c r="M778" s="641"/>
      <c r="N778" s="641"/>
      <c r="O778" s="190"/>
      <c r="P778" s="190"/>
      <c r="Q778" s="190"/>
      <c r="R778" s="190"/>
      <c r="S778" s="615"/>
      <c r="T778" s="588"/>
      <c r="U778" s="188"/>
      <c r="V778" s="190"/>
      <c r="W778" s="190"/>
      <c r="X778" s="190"/>
      <c r="Y778" s="190"/>
      <c r="Z778" s="190"/>
      <c r="AA778" s="190"/>
      <c r="AB778" s="190"/>
      <c r="AC778" s="190"/>
      <c r="AD778" s="190"/>
      <c r="AE778" s="190"/>
      <c r="AF778" s="190"/>
      <c r="AG778" s="190"/>
      <c r="AH778" s="190"/>
      <c r="AI778" s="190"/>
      <c r="AJ778" s="190"/>
      <c r="AK778" s="619"/>
      <c r="AL778" s="617"/>
    </row>
    <row r="779" spans="1:38" ht="15.75">
      <c r="A779" s="190"/>
      <c r="B779" s="190"/>
      <c r="C779" s="190"/>
      <c r="D779" s="190"/>
      <c r="E779" s="190"/>
      <c r="F779" s="190"/>
      <c r="G779" s="324"/>
      <c r="H779" s="190"/>
      <c r="I779" s="190"/>
      <c r="J779" s="190"/>
      <c r="K779" s="641"/>
      <c r="L779" s="641"/>
      <c r="M779" s="641"/>
      <c r="N779" s="641"/>
      <c r="O779" s="190"/>
      <c r="P779" s="190"/>
      <c r="Q779" s="190"/>
      <c r="R779" s="190"/>
      <c r="S779" s="615"/>
      <c r="T779" s="588"/>
      <c r="U779" s="188"/>
      <c r="V779" s="190"/>
      <c r="W779" s="190"/>
      <c r="X779" s="190"/>
      <c r="Y779" s="190"/>
      <c r="Z779" s="190"/>
      <c r="AA779" s="190"/>
      <c r="AB779" s="190"/>
      <c r="AC779" s="190"/>
      <c r="AD779" s="190"/>
      <c r="AE779" s="190"/>
      <c r="AF779" s="190"/>
      <c r="AG779" s="190"/>
      <c r="AH779" s="190"/>
      <c r="AI779" s="190"/>
      <c r="AJ779" s="190"/>
      <c r="AK779" s="619"/>
      <c r="AL779" s="617"/>
    </row>
    <row r="780" spans="1:38" ht="15.75">
      <c r="A780" s="190"/>
      <c r="B780" s="190"/>
      <c r="C780" s="190"/>
      <c r="D780" s="190"/>
      <c r="E780" s="190"/>
      <c r="F780" s="190"/>
      <c r="G780" s="324"/>
      <c r="H780" s="190"/>
      <c r="I780" s="190"/>
      <c r="J780" s="190"/>
      <c r="K780" s="641"/>
      <c r="L780" s="641"/>
      <c r="M780" s="641"/>
      <c r="N780" s="641"/>
      <c r="O780" s="190"/>
      <c r="P780" s="190"/>
      <c r="Q780" s="190"/>
      <c r="R780" s="190"/>
      <c r="S780" s="615"/>
      <c r="T780" s="588"/>
      <c r="U780" s="188"/>
      <c r="V780" s="190"/>
      <c r="W780" s="190"/>
      <c r="X780" s="190"/>
      <c r="Y780" s="190"/>
      <c r="Z780" s="190"/>
      <c r="AA780" s="190"/>
      <c r="AB780" s="190"/>
      <c r="AC780" s="190"/>
      <c r="AD780" s="190"/>
      <c r="AE780" s="190"/>
      <c r="AF780" s="190"/>
      <c r="AG780" s="190"/>
      <c r="AH780" s="190"/>
      <c r="AI780" s="190"/>
      <c r="AJ780" s="190"/>
      <c r="AK780" s="619"/>
      <c r="AL780" s="617"/>
    </row>
    <row r="781" spans="1:38" ht="15.75">
      <c r="A781" s="190"/>
      <c r="B781" s="190"/>
      <c r="C781" s="190"/>
      <c r="D781" s="190"/>
      <c r="E781" s="190"/>
      <c r="F781" s="190"/>
      <c r="G781" s="324"/>
      <c r="H781" s="190"/>
      <c r="I781" s="190"/>
      <c r="J781" s="190"/>
      <c r="K781" s="641"/>
      <c r="L781" s="641"/>
      <c r="M781" s="641"/>
      <c r="N781" s="641"/>
      <c r="O781" s="190"/>
      <c r="P781" s="190"/>
      <c r="Q781" s="190"/>
      <c r="R781" s="190"/>
      <c r="S781" s="615"/>
      <c r="T781" s="588"/>
      <c r="U781" s="188"/>
      <c r="V781" s="190"/>
      <c r="W781" s="190"/>
      <c r="X781" s="190"/>
      <c r="Y781" s="190"/>
      <c r="Z781" s="190"/>
      <c r="AA781" s="190"/>
      <c r="AB781" s="190"/>
      <c r="AC781" s="190"/>
      <c r="AD781" s="190"/>
      <c r="AE781" s="190"/>
      <c r="AF781" s="190"/>
      <c r="AG781" s="190"/>
      <c r="AH781" s="190"/>
      <c r="AI781" s="190"/>
      <c r="AJ781" s="190"/>
      <c r="AK781" s="619"/>
      <c r="AL781" s="617"/>
    </row>
    <row r="782" spans="1:38" ht="15.75">
      <c r="A782" s="190"/>
      <c r="B782" s="190"/>
      <c r="C782" s="190"/>
      <c r="D782" s="190"/>
      <c r="E782" s="190"/>
      <c r="F782" s="190"/>
      <c r="G782" s="324"/>
      <c r="H782" s="190"/>
      <c r="I782" s="190"/>
      <c r="J782" s="190"/>
      <c r="K782" s="641"/>
      <c r="L782" s="641"/>
      <c r="M782" s="641"/>
      <c r="N782" s="641"/>
      <c r="O782" s="190"/>
      <c r="P782" s="190"/>
      <c r="Q782" s="190"/>
      <c r="R782" s="190"/>
      <c r="S782" s="615"/>
      <c r="T782" s="588"/>
      <c r="U782" s="188"/>
      <c r="V782" s="190"/>
      <c r="W782" s="190"/>
      <c r="X782" s="190"/>
      <c r="Y782" s="190"/>
      <c r="Z782" s="190"/>
      <c r="AA782" s="190"/>
      <c r="AB782" s="190"/>
      <c r="AC782" s="190"/>
      <c r="AD782" s="190"/>
      <c r="AE782" s="190"/>
      <c r="AF782" s="190"/>
      <c r="AG782" s="190"/>
      <c r="AH782" s="190"/>
      <c r="AI782" s="190"/>
      <c r="AJ782" s="190"/>
      <c r="AK782" s="619"/>
      <c r="AL782" s="617"/>
    </row>
    <row r="783" spans="1:38" ht="15.75">
      <c r="A783" s="190"/>
      <c r="B783" s="190"/>
      <c r="C783" s="190"/>
      <c r="D783" s="190"/>
      <c r="E783" s="190"/>
      <c r="F783" s="190"/>
      <c r="G783" s="324"/>
      <c r="H783" s="190"/>
      <c r="I783" s="190"/>
      <c r="J783" s="190"/>
      <c r="K783" s="641"/>
      <c r="L783" s="641"/>
      <c r="M783" s="641"/>
      <c r="N783" s="641"/>
      <c r="O783" s="190"/>
      <c r="P783" s="190"/>
      <c r="Q783" s="190"/>
      <c r="R783" s="190"/>
      <c r="S783" s="615"/>
      <c r="T783" s="588"/>
      <c r="U783" s="188"/>
      <c r="V783" s="190"/>
      <c r="W783" s="190"/>
      <c r="X783" s="190"/>
      <c r="Y783" s="190"/>
      <c r="Z783" s="190"/>
      <c r="AA783" s="190"/>
      <c r="AB783" s="190"/>
      <c r="AC783" s="190"/>
      <c r="AD783" s="190"/>
      <c r="AE783" s="190"/>
      <c r="AF783" s="190"/>
      <c r="AG783" s="190"/>
      <c r="AH783" s="190"/>
      <c r="AI783" s="190"/>
      <c r="AJ783" s="190"/>
      <c r="AK783" s="619"/>
      <c r="AL783" s="617"/>
    </row>
    <row r="784" spans="1:38" ht="15.75">
      <c r="A784" s="190"/>
      <c r="B784" s="190"/>
      <c r="C784" s="190"/>
      <c r="D784" s="190"/>
      <c r="E784" s="190"/>
      <c r="F784" s="190"/>
      <c r="G784" s="324"/>
      <c r="H784" s="190"/>
      <c r="I784" s="190"/>
      <c r="J784" s="190"/>
      <c r="K784" s="641"/>
      <c r="L784" s="641"/>
      <c r="M784" s="641"/>
      <c r="N784" s="641"/>
      <c r="O784" s="190"/>
      <c r="P784" s="190"/>
      <c r="Q784" s="190"/>
      <c r="R784" s="190"/>
      <c r="S784" s="615"/>
      <c r="T784" s="588"/>
      <c r="U784" s="188"/>
      <c r="V784" s="190"/>
      <c r="W784" s="190"/>
      <c r="X784" s="190"/>
      <c r="Y784" s="190"/>
      <c r="Z784" s="190"/>
      <c r="AA784" s="190"/>
      <c r="AB784" s="190"/>
      <c r="AC784" s="190"/>
      <c r="AD784" s="190"/>
      <c r="AE784" s="190"/>
      <c r="AF784" s="190"/>
      <c r="AG784" s="190"/>
      <c r="AH784" s="190"/>
      <c r="AI784" s="190"/>
      <c r="AJ784" s="190"/>
      <c r="AK784" s="619"/>
      <c r="AL784" s="617"/>
    </row>
    <row r="785" spans="1:38" ht="15.75">
      <c r="A785" s="190"/>
      <c r="B785" s="190"/>
      <c r="C785" s="190"/>
      <c r="D785" s="190"/>
      <c r="E785" s="190"/>
      <c r="F785" s="190"/>
      <c r="G785" s="324"/>
      <c r="H785" s="190"/>
      <c r="I785" s="190"/>
      <c r="J785" s="190"/>
      <c r="K785" s="641"/>
      <c r="L785" s="641"/>
      <c r="M785" s="641"/>
      <c r="N785" s="641"/>
      <c r="O785" s="190"/>
      <c r="P785" s="190"/>
      <c r="Q785" s="190"/>
      <c r="R785" s="190"/>
      <c r="S785" s="615"/>
      <c r="T785" s="588"/>
      <c r="U785" s="188"/>
      <c r="V785" s="190"/>
      <c r="W785" s="190"/>
      <c r="X785" s="190"/>
      <c r="Y785" s="190"/>
      <c r="Z785" s="190"/>
      <c r="AA785" s="190"/>
      <c r="AB785" s="190"/>
      <c r="AC785" s="190"/>
      <c r="AD785" s="190"/>
      <c r="AE785" s="190"/>
      <c r="AF785" s="190"/>
      <c r="AG785" s="190"/>
      <c r="AH785" s="190"/>
      <c r="AI785" s="190"/>
      <c r="AJ785" s="190"/>
      <c r="AK785" s="619"/>
      <c r="AL785" s="617"/>
    </row>
    <row r="786" spans="1:38" ht="15.75">
      <c r="A786" s="190"/>
      <c r="B786" s="190"/>
      <c r="C786" s="190"/>
      <c r="D786" s="190"/>
      <c r="E786" s="190"/>
      <c r="F786" s="190"/>
      <c r="G786" s="324"/>
      <c r="H786" s="190"/>
      <c r="I786" s="190"/>
      <c r="J786" s="190"/>
      <c r="K786" s="641"/>
      <c r="L786" s="641"/>
      <c r="M786" s="641"/>
      <c r="N786" s="641"/>
      <c r="O786" s="190"/>
      <c r="P786" s="190"/>
      <c r="Q786" s="190"/>
      <c r="R786" s="190"/>
      <c r="S786" s="615"/>
      <c r="T786" s="588"/>
      <c r="U786" s="188"/>
      <c r="V786" s="190"/>
      <c r="W786" s="190"/>
      <c r="X786" s="190"/>
      <c r="Y786" s="190"/>
      <c r="Z786" s="190"/>
      <c r="AA786" s="190"/>
      <c r="AB786" s="190"/>
      <c r="AC786" s="190"/>
      <c r="AD786" s="190"/>
      <c r="AE786" s="190"/>
      <c r="AF786" s="190"/>
      <c r="AG786" s="190"/>
      <c r="AH786" s="190"/>
      <c r="AI786" s="190"/>
      <c r="AJ786" s="190"/>
      <c r="AK786" s="619"/>
      <c r="AL786" s="617"/>
    </row>
    <row r="787" spans="1:38" ht="15.75">
      <c r="A787" s="190"/>
      <c r="B787" s="190"/>
      <c r="C787" s="190"/>
      <c r="D787" s="190"/>
      <c r="E787" s="190"/>
      <c r="F787" s="190"/>
      <c r="G787" s="324"/>
      <c r="H787" s="190"/>
      <c r="I787" s="190"/>
      <c r="J787" s="190"/>
      <c r="K787" s="641"/>
      <c r="L787" s="641"/>
      <c r="M787" s="641"/>
      <c r="N787" s="641"/>
      <c r="O787" s="190"/>
      <c r="P787" s="190"/>
      <c r="Q787" s="190"/>
      <c r="R787" s="190"/>
      <c r="S787" s="615"/>
      <c r="T787" s="588"/>
      <c r="U787" s="188"/>
      <c r="V787" s="190"/>
      <c r="W787" s="190"/>
      <c r="X787" s="190"/>
      <c r="Y787" s="190"/>
      <c r="Z787" s="190"/>
      <c r="AA787" s="190"/>
      <c r="AB787" s="190"/>
      <c r="AC787" s="190"/>
      <c r="AD787" s="190"/>
      <c r="AE787" s="190"/>
      <c r="AF787" s="190"/>
      <c r="AG787" s="190"/>
      <c r="AH787" s="190"/>
      <c r="AI787" s="190"/>
      <c r="AJ787" s="190"/>
      <c r="AK787" s="619"/>
      <c r="AL787" s="617"/>
    </row>
    <row r="788" spans="1:38" ht="15.75">
      <c r="A788" s="190"/>
      <c r="B788" s="190"/>
      <c r="C788" s="190"/>
      <c r="D788" s="190"/>
      <c r="E788" s="190"/>
      <c r="F788" s="190"/>
      <c r="G788" s="324"/>
      <c r="H788" s="190"/>
      <c r="I788" s="190"/>
      <c r="J788" s="190"/>
      <c r="K788" s="641"/>
      <c r="L788" s="641"/>
      <c r="M788" s="641"/>
      <c r="N788" s="641"/>
      <c r="O788" s="190"/>
      <c r="P788" s="190"/>
      <c r="Q788" s="190"/>
      <c r="R788" s="190"/>
      <c r="S788" s="615"/>
      <c r="T788" s="588"/>
      <c r="U788" s="188"/>
      <c r="V788" s="190"/>
      <c r="W788" s="190"/>
      <c r="X788" s="190"/>
      <c r="Y788" s="190"/>
      <c r="Z788" s="190"/>
      <c r="AA788" s="190"/>
      <c r="AB788" s="190"/>
      <c r="AC788" s="190"/>
      <c r="AD788" s="190"/>
      <c r="AE788" s="190"/>
      <c r="AF788" s="190"/>
      <c r="AG788" s="190"/>
      <c r="AH788" s="190"/>
      <c r="AI788" s="190"/>
      <c r="AJ788" s="190"/>
      <c r="AK788" s="619"/>
      <c r="AL788" s="617"/>
    </row>
    <row r="789" spans="1:38" ht="15.75">
      <c r="A789" s="190"/>
      <c r="B789" s="190"/>
      <c r="C789" s="190"/>
      <c r="D789" s="190"/>
      <c r="E789" s="190"/>
      <c r="F789" s="190"/>
      <c r="G789" s="324"/>
      <c r="H789" s="190"/>
      <c r="I789" s="190"/>
      <c r="J789" s="190"/>
      <c r="K789" s="641"/>
      <c r="L789" s="641"/>
      <c r="M789" s="641"/>
      <c r="N789" s="641"/>
      <c r="O789" s="190"/>
      <c r="P789" s="190"/>
      <c r="Q789" s="190"/>
      <c r="R789" s="190"/>
      <c r="S789" s="615"/>
      <c r="T789" s="588"/>
      <c r="U789" s="188"/>
      <c r="V789" s="190"/>
      <c r="W789" s="190"/>
      <c r="X789" s="190"/>
      <c r="Y789" s="190"/>
      <c r="Z789" s="190"/>
      <c r="AA789" s="190"/>
      <c r="AB789" s="190"/>
      <c r="AC789" s="190"/>
      <c r="AD789" s="190"/>
      <c r="AE789" s="190"/>
      <c r="AF789" s="190"/>
      <c r="AG789" s="190"/>
      <c r="AH789" s="190"/>
      <c r="AI789" s="190"/>
      <c r="AJ789" s="190"/>
      <c r="AK789" s="619"/>
      <c r="AL789" s="617"/>
    </row>
    <row r="790" spans="1:38" ht="15.75">
      <c r="A790" s="190"/>
      <c r="B790" s="190"/>
      <c r="C790" s="190"/>
      <c r="D790" s="190"/>
      <c r="E790" s="190"/>
      <c r="F790" s="190"/>
      <c r="G790" s="324"/>
      <c r="H790" s="190"/>
      <c r="I790" s="190"/>
      <c r="J790" s="190"/>
      <c r="K790" s="641"/>
      <c r="L790" s="641"/>
      <c r="M790" s="641"/>
      <c r="N790" s="641"/>
      <c r="O790" s="190"/>
      <c r="P790" s="190"/>
      <c r="Q790" s="190"/>
      <c r="R790" s="190"/>
      <c r="S790" s="615"/>
      <c r="T790" s="588"/>
      <c r="U790" s="188"/>
      <c r="V790" s="190"/>
      <c r="W790" s="190"/>
      <c r="X790" s="190"/>
      <c r="Y790" s="190"/>
      <c r="Z790" s="190"/>
      <c r="AA790" s="190"/>
      <c r="AB790" s="190"/>
      <c r="AC790" s="190"/>
      <c r="AD790" s="190"/>
      <c r="AE790" s="190"/>
      <c r="AF790" s="190"/>
      <c r="AG790" s="190"/>
      <c r="AH790" s="190"/>
      <c r="AI790" s="190"/>
      <c r="AJ790" s="190"/>
      <c r="AK790" s="619"/>
      <c r="AL790" s="617"/>
    </row>
    <row r="791" spans="1:38" ht="15.75">
      <c r="A791" s="190"/>
      <c r="B791" s="190"/>
      <c r="C791" s="190"/>
      <c r="D791" s="190"/>
      <c r="E791" s="190"/>
      <c r="F791" s="190"/>
      <c r="G791" s="324"/>
      <c r="H791" s="190"/>
      <c r="I791" s="190"/>
      <c r="J791" s="190"/>
      <c r="K791" s="641"/>
      <c r="L791" s="641"/>
      <c r="M791" s="641"/>
      <c r="N791" s="641"/>
      <c r="O791" s="190"/>
      <c r="P791" s="190"/>
      <c r="Q791" s="190"/>
      <c r="R791" s="190"/>
      <c r="S791" s="615"/>
      <c r="T791" s="588"/>
      <c r="U791" s="188"/>
      <c r="V791" s="190"/>
      <c r="W791" s="190"/>
      <c r="X791" s="190"/>
      <c r="Y791" s="190"/>
      <c r="Z791" s="190"/>
      <c r="AA791" s="190"/>
      <c r="AB791" s="190"/>
      <c r="AC791" s="190"/>
      <c r="AD791" s="190"/>
      <c r="AE791" s="190"/>
      <c r="AF791" s="190"/>
      <c r="AG791" s="190"/>
      <c r="AH791" s="190"/>
      <c r="AI791" s="190"/>
      <c r="AJ791" s="190"/>
      <c r="AK791" s="619"/>
      <c r="AL791" s="617"/>
    </row>
    <row r="792" spans="1:38" ht="15.75">
      <c r="A792" s="190"/>
      <c r="B792" s="190"/>
      <c r="C792" s="190"/>
      <c r="D792" s="190"/>
      <c r="E792" s="190"/>
      <c r="F792" s="190"/>
      <c r="G792" s="324"/>
      <c r="H792" s="190"/>
      <c r="I792" s="190"/>
      <c r="J792" s="190"/>
      <c r="K792" s="641"/>
      <c r="L792" s="641"/>
      <c r="M792" s="641"/>
      <c r="N792" s="641"/>
      <c r="O792" s="190"/>
      <c r="P792" s="190"/>
      <c r="Q792" s="190"/>
      <c r="R792" s="190"/>
      <c r="S792" s="615"/>
      <c r="T792" s="588"/>
      <c r="U792" s="188"/>
      <c r="V792" s="190"/>
      <c r="W792" s="190"/>
      <c r="X792" s="190"/>
      <c r="Y792" s="190"/>
      <c r="Z792" s="190"/>
      <c r="AA792" s="190"/>
      <c r="AB792" s="190"/>
      <c r="AC792" s="190"/>
      <c r="AD792" s="190"/>
      <c r="AE792" s="190"/>
      <c r="AF792" s="190"/>
      <c r="AG792" s="190"/>
      <c r="AH792" s="190"/>
      <c r="AI792" s="190"/>
      <c r="AJ792" s="190"/>
      <c r="AK792" s="619"/>
      <c r="AL792" s="617"/>
    </row>
    <row r="793" spans="1:38" ht="15.75">
      <c r="A793" s="190"/>
      <c r="B793" s="190"/>
      <c r="C793" s="190"/>
      <c r="D793" s="190"/>
      <c r="E793" s="190"/>
      <c r="F793" s="190"/>
      <c r="G793" s="324"/>
      <c r="H793" s="190"/>
      <c r="I793" s="190"/>
      <c r="J793" s="190"/>
      <c r="K793" s="641"/>
      <c r="L793" s="641"/>
      <c r="M793" s="641"/>
      <c r="N793" s="641"/>
      <c r="O793" s="190"/>
      <c r="P793" s="190"/>
      <c r="Q793" s="190"/>
      <c r="R793" s="190"/>
      <c r="S793" s="615"/>
      <c r="T793" s="588"/>
      <c r="U793" s="188"/>
      <c r="V793" s="190"/>
      <c r="W793" s="190"/>
      <c r="X793" s="190"/>
      <c r="Y793" s="190"/>
      <c r="Z793" s="190"/>
      <c r="AA793" s="190"/>
      <c r="AB793" s="190"/>
      <c r="AC793" s="190"/>
      <c r="AD793" s="190"/>
      <c r="AE793" s="190"/>
      <c r="AF793" s="190"/>
      <c r="AG793" s="190"/>
      <c r="AH793" s="190"/>
      <c r="AI793" s="190"/>
      <c r="AJ793" s="190"/>
      <c r="AK793" s="619"/>
      <c r="AL793" s="617"/>
    </row>
    <row r="794" spans="1:38" ht="15.75">
      <c r="A794" s="190"/>
      <c r="B794" s="190"/>
      <c r="C794" s="190"/>
      <c r="D794" s="190"/>
      <c r="E794" s="190"/>
      <c r="F794" s="190"/>
      <c r="G794" s="324"/>
      <c r="H794" s="190"/>
      <c r="I794" s="190"/>
      <c r="J794" s="190"/>
      <c r="K794" s="641"/>
      <c r="L794" s="641"/>
      <c r="M794" s="641"/>
      <c r="N794" s="641"/>
      <c r="O794" s="190"/>
      <c r="P794" s="190"/>
      <c r="Q794" s="190"/>
      <c r="R794" s="190"/>
      <c r="S794" s="615"/>
      <c r="T794" s="588"/>
      <c r="U794" s="188"/>
      <c r="V794" s="190"/>
      <c r="W794" s="190"/>
      <c r="X794" s="190"/>
      <c r="Y794" s="190"/>
      <c r="Z794" s="190"/>
      <c r="AA794" s="190"/>
      <c r="AB794" s="190"/>
      <c r="AC794" s="190"/>
      <c r="AD794" s="190"/>
      <c r="AE794" s="190"/>
      <c r="AF794" s="190"/>
      <c r="AG794" s="190"/>
      <c r="AH794" s="190"/>
      <c r="AI794" s="190"/>
      <c r="AJ794" s="190"/>
      <c r="AK794" s="619"/>
      <c r="AL794" s="617"/>
    </row>
    <row r="795" spans="1:38" ht="15.75">
      <c r="A795" s="190"/>
      <c r="B795" s="190"/>
      <c r="C795" s="190"/>
      <c r="D795" s="190"/>
      <c r="E795" s="190"/>
      <c r="F795" s="190"/>
      <c r="G795" s="324"/>
      <c r="H795" s="190"/>
      <c r="I795" s="190"/>
      <c r="J795" s="190"/>
      <c r="K795" s="641"/>
      <c r="L795" s="641"/>
      <c r="M795" s="641"/>
      <c r="N795" s="641"/>
      <c r="O795" s="190"/>
      <c r="P795" s="190"/>
      <c r="Q795" s="190"/>
      <c r="R795" s="190"/>
      <c r="S795" s="615"/>
      <c r="T795" s="588"/>
      <c r="U795" s="188"/>
      <c r="V795" s="190"/>
      <c r="W795" s="190"/>
      <c r="X795" s="190"/>
      <c r="Y795" s="190"/>
      <c r="Z795" s="190"/>
      <c r="AA795" s="190"/>
      <c r="AB795" s="190"/>
      <c r="AC795" s="190"/>
      <c r="AD795" s="190"/>
      <c r="AE795" s="190"/>
      <c r="AF795" s="190"/>
      <c r="AG795" s="190"/>
      <c r="AH795" s="190"/>
      <c r="AI795" s="190"/>
      <c r="AJ795" s="190"/>
      <c r="AK795" s="619"/>
      <c r="AL795" s="617"/>
    </row>
    <row r="796" spans="1:38" ht="15.75">
      <c r="A796" s="190"/>
      <c r="B796" s="190"/>
      <c r="C796" s="190"/>
      <c r="D796" s="190"/>
      <c r="E796" s="190"/>
      <c r="F796" s="190"/>
      <c r="G796" s="324"/>
      <c r="H796" s="190"/>
      <c r="I796" s="190"/>
      <c r="J796" s="190"/>
      <c r="K796" s="641"/>
      <c r="L796" s="641"/>
      <c r="M796" s="641"/>
      <c r="N796" s="641"/>
      <c r="O796" s="190"/>
      <c r="P796" s="190"/>
      <c r="Q796" s="190"/>
      <c r="R796" s="190"/>
      <c r="S796" s="615"/>
      <c r="T796" s="588"/>
      <c r="U796" s="188"/>
      <c r="V796" s="190"/>
      <c r="W796" s="190"/>
      <c r="X796" s="190"/>
      <c r="Y796" s="190"/>
      <c r="Z796" s="190"/>
      <c r="AA796" s="190"/>
      <c r="AB796" s="190"/>
      <c r="AC796" s="190"/>
      <c r="AD796" s="190"/>
      <c r="AE796" s="190"/>
      <c r="AF796" s="190"/>
      <c r="AG796" s="190"/>
      <c r="AH796" s="190"/>
      <c r="AI796" s="190"/>
      <c r="AJ796" s="190"/>
      <c r="AK796" s="619"/>
      <c r="AL796" s="617"/>
    </row>
    <row r="797" spans="1:38" ht="15.75">
      <c r="A797" s="190"/>
      <c r="B797" s="190"/>
      <c r="C797" s="190"/>
      <c r="D797" s="190"/>
      <c r="E797" s="190"/>
      <c r="F797" s="190"/>
      <c r="G797" s="324"/>
      <c r="H797" s="190"/>
      <c r="I797" s="190"/>
      <c r="J797" s="190"/>
      <c r="K797" s="641"/>
      <c r="L797" s="641"/>
      <c r="M797" s="641"/>
      <c r="N797" s="641"/>
      <c r="O797" s="190"/>
      <c r="P797" s="190"/>
      <c r="Q797" s="190"/>
      <c r="R797" s="190"/>
      <c r="S797" s="615"/>
      <c r="T797" s="588"/>
      <c r="U797" s="188"/>
      <c r="V797" s="190"/>
      <c r="W797" s="190"/>
      <c r="X797" s="190"/>
      <c r="Y797" s="190"/>
      <c r="Z797" s="190"/>
      <c r="AA797" s="190"/>
      <c r="AB797" s="190"/>
      <c r="AC797" s="190"/>
      <c r="AD797" s="190"/>
      <c r="AE797" s="190"/>
      <c r="AF797" s="190"/>
      <c r="AG797" s="190"/>
      <c r="AH797" s="190"/>
      <c r="AI797" s="190"/>
      <c r="AJ797" s="190"/>
      <c r="AK797" s="619"/>
      <c r="AL797" s="617"/>
    </row>
    <row r="798" spans="1:38" ht="15.75">
      <c r="A798" s="190"/>
      <c r="B798" s="190"/>
      <c r="C798" s="190"/>
      <c r="D798" s="190"/>
      <c r="E798" s="190"/>
      <c r="F798" s="190"/>
      <c r="G798" s="324"/>
      <c r="H798" s="190"/>
      <c r="I798" s="190"/>
      <c r="J798" s="190"/>
      <c r="K798" s="641"/>
      <c r="L798" s="641"/>
      <c r="M798" s="641"/>
      <c r="N798" s="641"/>
      <c r="O798" s="190"/>
      <c r="P798" s="190"/>
      <c r="Q798" s="190"/>
      <c r="R798" s="190"/>
      <c r="S798" s="615"/>
      <c r="T798" s="588"/>
      <c r="U798" s="188"/>
      <c r="V798" s="190"/>
      <c r="W798" s="190"/>
      <c r="X798" s="190"/>
      <c r="Y798" s="190"/>
      <c r="Z798" s="190"/>
      <c r="AA798" s="190"/>
      <c r="AB798" s="190"/>
      <c r="AC798" s="190"/>
      <c r="AD798" s="190"/>
      <c r="AE798" s="190"/>
      <c r="AF798" s="190"/>
      <c r="AG798" s="190"/>
      <c r="AH798" s="190"/>
      <c r="AI798" s="190"/>
      <c r="AJ798" s="190"/>
      <c r="AK798" s="619"/>
      <c r="AL798" s="617"/>
    </row>
    <row r="799" spans="1:38" ht="15.75">
      <c r="A799" s="190"/>
      <c r="B799" s="190"/>
      <c r="C799" s="190"/>
      <c r="D799" s="190"/>
      <c r="E799" s="190"/>
      <c r="F799" s="190"/>
      <c r="G799" s="324"/>
      <c r="H799" s="190"/>
      <c r="I799" s="190"/>
      <c r="J799" s="190"/>
      <c r="K799" s="641"/>
      <c r="L799" s="641"/>
      <c r="M799" s="641"/>
      <c r="N799" s="641"/>
      <c r="O799" s="190"/>
      <c r="P799" s="190"/>
      <c r="Q799" s="190"/>
      <c r="R799" s="190"/>
      <c r="S799" s="615"/>
      <c r="T799" s="588"/>
      <c r="U799" s="188"/>
      <c r="V799" s="190"/>
      <c r="W799" s="190"/>
      <c r="X799" s="190"/>
      <c r="Y799" s="190"/>
      <c r="Z799" s="190"/>
      <c r="AA799" s="190"/>
      <c r="AB799" s="190"/>
      <c r="AC799" s="190"/>
      <c r="AD799" s="190"/>
      <c r="AE799" s="190"/>
      <c r="AF799" s="190"/>
      <c r="AG799" s="190"/>
      <c r="AH799" s="190"/>
      <c r="AI799" s="190"/>
      <c r="AJ799" s="190"/>
      <c r="AK799" s="619"/>
      <c r="AL799" s="617"/>
    </row>
    <row r="800" spans="1:38" ht="15.75">
      <c r="A800" s="190"/>
      <c r="B800" s="190"/>
      <c r="C800" s="190"/>
      <c r="D800" s="190"/>
      <c r="E800" s="190"/>
      <c r="F800" s="190"/>
      <c r="G800" s="324"/>
      <c r="H800" s="190"/>
      <c r="I800" s="190"/>
      <c r="J800" s="190"/>
      <c r="K800" s="641"/>
      <c r="L800" s="641"/>
      <c r="M800" s="641"/>
      <c r="N800" s="641"/>
      <c r="O800" s="190"/>
      <c r="P800" s="190"/>
      <c r="Q800" s="190"/>
      <c r="R800" s="190"/>
      <c r="S800" s="615"/>
      <c r="T800" s="588"/>
      <c r="U800" s="188"/>
      <c r="V800" s="190"/>
      <c r="W800" s="190"/>
      <c r="X800" s="190"/>
      <c r="Y800" s="190"/>
      <c r="Z800" s="190"/>
      <c r="AA800" s="190"/>
      <c r="AB800" s="190"/>
      <c r="AC800" s="190"/>
      <c r="AD800" s="190"/>
      <c r="AE800" s="190"/>
      <c r="AF800" s="190"/>
      <c r="AG800" s="190"/>
      <c r="AH800" s="190"/>
      <c r="AI800" s="190"/>
      <c r="AJ800" s="190"/>
      <c r="AK800" s="619"/>
      <c r="AL800" s="617"/>
    </row>
    <row r="801" spans="1:38" ht="15.75">
      <c r="A801" s="190"/>
      <c r="B801" s="190"/>
      <c r="C801" s="190"/>
      <c r="D801" s="190"/>
      <c r="E801" s="190"/>
      <c r="F801" s="190"/>
      <c r="G801" s="324"/>
      <c r="H801" s="190"/>
      <c r="I801" s="190"/>
      <c r="J801" s="190"/>
      <c r="K801" s="641"/>
      <c r="L801" s="641"/>
      <c r="M801" s="641"/>
      <c r="N801" s="641"/>
      <c r="O801" s="190"/>
      <c r="P801" s="190"/>
      <c r="Q801" s="190"/>
      <c r="R801" s="190"/>
      <c r="S801" s="615"/>
      <c r="T801" s="588"/>
      <c r="U801" s="188"/>
      <c r="V801" s="190"/>
      <c r="W801" s="190"/>
      <c r="X801" s="190"/>
      <c r="Y801" s="190"/>
      <c r="Z801" s="190"/>
      <c r="AA801" s="190"/>
      <c r="AB801" s="190"/>
      <c r="AC801" s="190"/>
      <c r="AD801" s="190"/>
      <c r="AE801" s="190"/>
      <c r="AF801" s="190"/>
      <c r="AG801" s="190"/>
      <c r="AH801" s="190"/>
      <c r="AI801" s="190"/>
      <c r="AJ801" s="190"/>
      <c r="AK801" s="619"/>
      <c r="AL801" s="617"/>
    </row>
    <row r="802" spans="1:38" ht="15.75">
      <c r="A802" s="190"/>
      <c r="B802" s="190"/>
      <c r="C802" s="190"/>
      <c r="D802" s="190"/>
      <c r="E802" s="190"/>
      <c r="F802" s="190"/>
      <c r="G802" s="324"/>
      <c r="H802" s="190"/>
      <c r="I802" s="190"/>
      <c r="J802" s="190"/>
      <c r="K802" s="641"/>
      <c r="L802" s="641"/>
      <c r="M802" s="641"/>
      <c r="N802" s="641"/>
      <c r="O802" s="190"/>
      <c r="P802" s="190"/>
      <c r="Q802" s="190"/>
      <c r="R802" s="190"/>
      <c r="S802" s="615"/>
      <c r="T802" s="588"/>
      <c r="U802" s="188"/>
      <c r="V802" s="190"/>
      <c r="W802" s="190"/>
      <c r="X802" s="190"/>
      <c r="Y802" s="190"/>
      <c r="Z802" s="190"/>
      <c r="AA802" s="190"/>
      <c r="AB802" s="190"/>
      <c r="AC802" s="190"/>
      <c r="AD802" s="190"/>
      <c r="AE802" s="190"/>
      <c r="AF802" s="190"/>
      <c r="AG802" s="190"/>
      <c r="AH802" s="190"/>
      <c r="AI802" s="190"/>
      <c r="AJ802" s="190"/>
      <c r="AK802" s="619"/>
      <c r="AL802" s="617"/>
    </row>
    <row r="803" spans="1:38" ht="15.75">
      <c r="A803" s="190"/>
      <c r="B803" s="190"/>
      <c r="C803" s="190"/>
      <c r="D803" s="190"/>
      <c r="E803" s="190"/>
      <c r="F803" s="190"/>
      <c r="G803" s="324"/>
      <c r="H803" s="190"/>
      <c r="I803" s="190"/>
      <c r="J803" s="190"/>
      <c r="K803" s="641"/>
      <c r="L803" s="641"/>
      <c r="M803" s="641"/>
      <c r="N803" s="641"/>
      <c r="O803" s="190"/>
      <c r="P803" s="190"/>
      <c r="Q803" s="190"/>
      <c r="R803" s="190"/>
      <c r="S803" s="615"/>
      <c r="T803" s="588"/>
      <c r="U803" s="188"/>
      <c r="V803" s="190"/>
      <c r="W803" s="190"/>
      <c r="X803" s="190"/>
      <c r="Y803" s="190"/>
      <c r="Z803" s="190"/>
      <c r="AA803" s="190"/>
      <c r="AB803" s="190"/>
      <c r="AC803" s="190"/>
      <c r="AD803" s="190"/>
      <c r="AE803" s="190"/>
      <c r="AF803" s="190"/>
      <c r="AG803" s="190"/>
      <c r="AH803" s="190"/>
      <c r="AI803" s="190"/>
      <c r="AJ803" s="190"/>
      <c r="AK803" s="619"/>
      <c r="AL803" s="617"/>
    </row>
    <row r="804" spans="1:38" ht="15.75">
      <c r="A804" s="190"/>
      <c r="B804" s="190"/>
      <c r="C804" s="190"/>
      <c r="D804" s="190"/>
      <c r="E804" s="190"/>
      <c r="F804" s="190"/>
      <c r="G804" s="324"/>
      <c r="H804" s="190"/>
      <c r="I804" s="190"/>
      <c r="J804" s="190"/>
      <c r="K804" s="641"/>
      <c r="L804" s="641"/>
      <c r="M804" s="641"/>
      <c r="N804" s="641"/>
      <c r="O804" s="190"/>
      <c r="P804" s="190"/>
      <c r="Q804" s="190"/>
      <c r="R804" s="190"/>
      <c r="S804" s="615"/>
      <c r="T804" s="588"/>
      <c r="U804" s="188"/>
      <c r="V804" s="190"/>
      <c r="W804" s="190"/>
      <c r="X804" s="190"/>
      <c r="Y804" s="190"/>
      <c r="Z804" s="190"/>
      <c r="AA804" s="190"/>
      <c r="AB804" s="190"/>
      <c r="AC804" s="190"/>
      <c r="AD804" s="190"/>
      <c r="AE804" s="190"/>
      <c r="AF804" s="190"/>
      <c r="AG804" s="190"/>
      <c r="AH804" s="190"/>
      <c r="AI804" s="190"/>
      <c r="AJ804" s="190"/>
      <c r="AK804" s="619"/>
      <c r="AL804" s="617"/>
    </row>
    <row r="805" spans="1:38" ht="15.75">
      <c r="A805" s="190"/>
      <c r="B805" s="190"/>
      <c r="C805" s="190"/>
      <c r="D805" s="190"/>
      <c r="E805" s="190"/>
      <c r="F805" s="190"/>
      <c r="G805" s="324"/>
      <c r="H805" s="190"/>
      <c r="I805" s="190"/>
      <c r="J805" s="190"/>
      <c r="K805" s="641"/>
      <c r="L805" s="641"/>
      <c r="M805" s="641"/>
      <c r="N805" s="641"/>
      <c r="O805" s="190"/>
      <c r="P805" s="190"/>
      <c r="Q805" s="190"/>
      <c r="R805" s="190"/>
      <c r="S805" s="615"/>
      <c r="T805" s="588"/>
      <c r="U805" s="188"/>
      <c r="V805" s="190"/>
      <c r="W805" s="190"/>
      <c r="X805" s="190"/>
      <c r="Y805" s="190"/>
      <c r="Z805" s="190"/>
      <c r="AA805" s="190"/>
      <c r="AB805" s="190"/>
      <c r="AC805" s="190"/>
      <c r="AD805" s="190"/>
      <c r="AE805" s="190"/>
      <c r="AF805" s="190"/>
      <c r="AG805" s="190"/>
      <c r="AH805" s="190"/>
      <c r="AI805" s="190"/>
      <c r="AJ805" s="190"/>
      <c r="AK805" s="619"/>
      <c r="AL805" s="617"/>
    </row>
    <row r="806" spans="1:38" ht="15.75">
      <c r="A806" s="190"/>
      <c r="B806" s="190"/>
      <c r="C806" s="190"/>
      <c r="D806" s="190"/>
      <c r="E806" s="190"/>
      <c r="F806" s="190"/>
      <c r="G806" s="324"/>
      <c r="H806" s="190"/>
      <c r="I806" s="190"/>
      <c r="J806" s="190"/>
      <c r="K806" s="641"/>
      <c r="L806" s="641"/>
      <c r="M806" s="641"/>
      <c r="N806" s="641"/>
      <c r="O806" s="190"/>
      <c r="P806" s="190"/>
      <c r="Q806" s="190"/>
      <c r="R806" s="190"/>
      <c r="S806" s="615"/>
      <c r="T806" s="588"/>
      <c r="U806" s="188"/>
      <c r="V806" s="190"/>
      <c r="W806" s="190"/>
      <c r="X806" s="190"/>
      <c r="Y806" s="190"/>
      <c r="Z806" s="190"/>
      <c r="AA806" s="190"/>
      <c r="AB806" s="190"/>
      <c r="AC806" s="190"/>
      <c r="AD806" s="190"/>
      <c r="AE806" s="190"/>
      <c r="AF806" s="190"/>
      <c r="AG806" s="190"/>
      <c r="AH806" s="190"/>
      <c r="AI806" s="190"/>
      <c r="AJ806" s="190"/>
      <c r="AK806" s="619"/>
      <c r="AL806" s="617"/>
    </row>
    <row r="807" spans="1:38" ht="15.75">
      <c r="A807" s="190"/>
      <c r="B807" s="190"/>
      <c r="C807" s="190"/>
      <c r="D807" s="190"/>
      <c r="E807" s="190"/>
      <c r="F807" s="190"/>
      <c r="G807" s="324"/>
      <c r="H807" s="190"/>
      <c r="I807" s="190"/>
      <c r="J807" s="190"/>
      <c r="K807" s="641"/>
      <c r="L807" s="641"/>
      <c r="M807" s="641"/>
      <c r="N807" s="641"/>
      <c r="O807" s="190"/>
      <c r="P807" s="190"/>
      <c r="Q807" s="190"/>
      <c r="R807" s="190"/>
      <c r="S807" s="615"/>
      <c r="T807" s="588"/>
      <c r="U807" s="188"/>
      <c r="V807" s="190"/>
      <c r="W807" s="190"/>
      <c r="X807" s="190"/>
      <c r="Y807" s="190"/>
      <c r="Z807" s="190"/>
      <c r="AA807" s="190"/>
      <c r="AB807" s="190"/>
      <c r="AC807" s="190"/>
      <c r="AD807" s="190"/>
      <c r="AE807" s="190"/>
      <c r="AF807" s="190"/>
      <c r="AG807" s="190"/>
      <c r="AH807" s="190"/>
      <c r="AI807" s="190"/>
      <c r="AJ807" s="190"/>
      <c r="AK807" s="619"/>
      <c r="AL807" s="617"/>
    </row>
    <row r="808" spans="1:38" ht="15.75">
      <c r="A808" s="190"/>
      <c r="B808" s="190"/>
      <c r="C808" s="190"/>
      <c r="D808" s="190"/>
      <c r="E808" s="190"/>
      <c r="F808" s="190"/>
      <c r="G808" s="324"/>
      <c r="H808" s="190"/>
      <c r="I808" s="190"/>
      <c r="J808" s="190"/>
      <c r="K808" s="641"/>
      <c r="L808" s="641"/>
      <c r="M808" s="641"/>
      <c r="N808" s="641"/>
      <c r="O808" s="190"/>
      <c r="P808" s="190"/>
      <c r="Q808" s="190"/>
      <c r="R808" s="190"/>
      <c r="S808" s="615"/>
      <c r="T808" s="588"/>
      <c r="U808" s="188"/>
      <c r="V808" s="190"/>
      <c r="W808" s="190"/>
      <c r="X808" s="190"/>
      <c r="Y808" s="190"/>
      <c r="Z808" s="190"/>
      <c r="AA808" s="190"/>
      <c r="AB808" s="190"/>
      <c r="AC808" s="190"/>
      <c r="AD808" s="190"/>
      <c r="AE808" s="190"/>
      <c r="AF808" s="190"/>
      <c r="AG808" s="190"/>
      <c r="AH808" s="190"/>
      <c r="AI808" s="190"/>
      <c r="AJ808" s="190"/>
      <c r="AK808" s="619"/>
      <c r="AL808" s="617"/>
    </row>
    <row r="809" spans="1:38" ht="15.75">
      <c r="A809" s="190"/>
      <c r="B809" s="190"/>
      <c r="C809" s="190"/>
      <c r="D809" s="190"/>
      <c r="E809" s="190"/>
      <c r="F809" s="190"/>
      <c r="G809" s="324"/>
      <c r="H809" s="190"/>
      <c r="I809" s="190"/>
      <c r="J809" s="190"/>
      <c r="K809" s="641"/>
      <c r="L809" s="641"/>
      <c r="M809" s="641"/>
      <c r="N809" s="641"/>
      <c r="O809" s="190"/>
      <c r="P809" s="190"/>
      <c r="Q809" s="190"/>
      <c r="R809" s="190"/>
      <c r="S809" s="615"/>
      <c r="T809" s="588"/>
      <c r="U809" s="188"/>
      <c r="V809" s="190"/>
      <c r="W809" s="190"/>
      <c r="X809" s="190"/>
      <c r="Y809" s="190"/>
      <c r="Z809" s="190"/>
      <c r="AA809" s="190"/>
      <c r="AB809" s="190"/>
      <c r="AC809" s="190"/>
      <c r="AD809" s="190"/>
      <c r="AE809" s="190"/>
      <c r="AF809" s="190"/>
      <c r="AG809" s="190"/>
      <c r="AH809" s="190"/>
      <c r="AI809" s="190"/>
      <c r="AJ809" s="190"/>
      <c r="AK809" s="619"/>
      <c r="AL809" s="617"/>
    </row>
    <row r="810" spans="1:38" ht="15.75">
      <c r="A810" s="190"/>
      <c r="B810" s="190"/>
      <c r="C810" s="190"/>
      <c r="D810" s="190"/>
      <c r="E810" s="190"/>
      <c r="F810" s="190"/>
      <c r="G810" s="324"/>
      <c r="H810" s="190"/>
      <c r="I810" s="190"/>
      <c r="J810" s="190"/>
      <c r="K810" s="641"/>
      <c r="L810" s="641"/>
      <c r="M810" s="641"/>
      <c r="N810" s="641"/>
      <c r="O810" s="190"/>
      <c r="P810" s="190"/>
      <c r="Q810" s="190"/>
      <c r="R810" s="190"/>
      <c r="S810" s="615"/>
      <c r="T810" s="588"/>
      <c r="U810" s="188"/>
      <c r="V810" s="190"/>
      <c r="W810" s="190"/>
      <c r="X810" s="190"/>
      <c r="Y810" s="190"/>
      <c r="Z810" s="190"/>
      <c r="AA810" s="190"/>
      <c r="AB810" s="190"/>
      <c r="AC810" s="190"/>
      <c r="AD810" s="190"/>
      <c r="AE810" s="190"/>
      <c r="AF810" s="190"/>
      <c r="AG810" s="190"/>
      <c r="AH810" s="190"/>
      <c r="AI810" s="190"/>
      <c r="AJ810" s="190"/>
      <c r="AK810" s="619"/>
      <c r="AL810" s="617"/>
    </row>
    <row r="811" spans="1:38" ht="15.75">
      <c r="A811" s="190"/>
      <c r="B811" s="190"/>
      <c r="C811" s="190"/>
      <c r="D811" s="190"/>
      <c r="E811" s="190"/>
      <c r="F811" s="190"/>
      <c r="G811" s="324"/>
      <c r="H811" s="190"/>
      <c r="I811" s="190"/>
      <c r="J811" s="190"/>
      <c r="K811" s="641"/>
      <c r="L811" s="641"/>
      <c r="M811" s="641"/>
      <c r="N811" s="641"/>
      <c r="O811" s="190"/>
      <c r="P811" s="190"/>
      <c r="Q811" s="190"/>
      <c r="R811" s="190"/>
      <c r="S811" s="615"/>
      <c r="T811" s="588"/>
      <c r="U811" s="188"/>
      <c r="V811" s="190"/>
      <c r="W811" s="190"/>
      <c r="X811" s="190"/>
      <c r="Y811" s="190"/>
      <c r="Z811" s="190"/>
      <c r="AA811" s="190"/>
      <c r="AB811" s="190"/>
      <c r="AC811" s="190"/>
      <c r="AD811" s="190"/>
      <c r="AE811" s="190"/>
      <c r="AF811" s="190"/>
      <c r="AG811" s="190"/>
      <c r="AH811" s="190"/>
      <c r="AI811" s="190"/>
      <c r="AJ811" s="190"/>
      <c r="AK811" s="619"/>
      <c r="AL811" s="617"/>
    </row>
    <row r="812" spans="1:38" ht="15.75">
      <c r="A812" s="190"/>
      <c r="B812" s="190"/>
      <c r="C812" s="190"/>
      <c r="D812" s="190"/>
      <c r="E812" s="190"/>
      <c r="F812" s="190"/>
      <c r="G812" s="324"/>
      <c r="H812" s="190"/>
      <c r="I812" s="190"/>
      <c r="J812" s="190"/>
      <c r="K812" s="641"/>
      <c r="L812" s="641"/>
      <c r="M812" s="641"/>
      <c r="N812" s="641"/>
      <c r="O812" s="190"/>
      <c r="P812" s="190"/>
      <c r="Q812" s="190"/>
      <c r="R812" s="190"/>
      <c r="S812" s="615"/>
      <c r="T812" s="588"/>
      <c r="U812" s="188"/>
      <c r="V812" s="190"/>
      <c r="W812" s="190"/>
      <c r="X812" s="190"/>
      <c r="Y812" s="190"/>
      <c r="Z812" s="190"/>
      <c r="AA812" s="190"/>
      <c r="AB812" s="190"/>
      <c r="AC812" s="190"/>
      <c r="AD812" s="190"/>
      <c r="AE812" s="190"/>
      <c r="AF812" s="190"/>
      <c r="AG812" s="190"/>
      <c r="AH812" s="190"/>
      <c r="AI812" s="190"/>
      <c r="AJ812" s="190"/>
      <c r="AK812" s="619"/>
      <c r="AL812" s="617"/>
    </row>
    <row r="813" spans="1:38" ht="15.75">
      <c r="A813" s="190"/>
      <c r="B813" s="190"/>
      <c r="C813" s="190"/>
      <c r="D813" s="190"/>
      <c r="E813" s="190"/>
      <c r="F813" s="190"/>
      <c r="G813" s="324"/>
      <c r="H813" s="190"/>
      <c r="I813" s="190"/>
      <c r="J813" s="190"/>
      <c r="K813" s="641"/>
      <c r="L813" s="641"/>
      <c r="M813" s="641"/>
      <c r="N813" s="641"/>
      <c r="O813" s="190"/>
      <c r="P813" s="190"/>
      <c r="Q813" s="190"/>
      <c r="R813" s="190"/>
      <c r="S813" s="615"/>
      <c r="T813" s="588"/>
      <c r="U813" s="188"/>
      <c r="V813" s="190"/>
      <c r="W813" s="190"/>
      <c r="X813" s="190"/>
      <c r="Y813" s="190"/>
      <c r="Z813" s="190"/>
      <c r="AA813" s="190"/>
      <c r="AB813" s="190"/>
      <c r="AC813" s="190"/>
      <c r="AD813" s="190"/>
      <c r="AE813" s="190"/>
      <c r="AF813" s="190"/>
      <c r="AG813" s="190"/>
      <c r="AH813" s="190"/>
      <c r="AI813" s="190"/>
      <c r="AJ813" s="190"/>
      <c r="AK813" s="619"/>
      <c r="AL813" s="617"/>
    </row>
    <row r="814" spans="1:38" ht="15.75">
      <c r="A814" s="190"/>
      <c r="B814" s="190"/>
      <c r="C814" s="190"/>
      <c r="D814" s="190"/>
      <c r="E814" s="190"/>
      <c r="F814" s="190"/>
      <c r="G814" s="324"/>
      <c r="H814" s="190"/>
      <c r="I814" s="190"/>
      <c r="J814" s="190"/>
      <c r="K814" s="641"/>
      <c r="L814" s="641"/>
      <c r="M814" s="641"/>
      <c r="N814" s="641"/>
      <c r="O814" s="190"/>
      <c r="P814" s="190"/>
      <c r="Q814" s="190"/>
      <c r="R814" s="190"/>
      <c r="S814" s="615"/>
      <c r="T814" s="588"/>
      <c r="U814" s="188"/>
      <c r="V814" s="190"/>
      <c r="W814" s="190"/>
      <c r="X814" s="190"/>
      <c r="Y814" s="190"/>
      <c r="Z814" s="190"/>
      <c r="AA814" s="190"/>
      <c r="AB814" s="190"/>
      <c r="AC814" s="190"/>
      <c r="AD814" s="190"/>
      <c r="AE814" s="190"/>
      <c r="AF814" s="190"/>
      <c r="AG814" s="190"/>
      <c r="AH814" s="190"/>
      <c r="AI814" s="190"/>
      <c r="AJ814" s="190"/>
      <c r="AK814" s="619"/>
      <c r="AL814" s="617"/>
    </row>
    <row r="815" spans="1:38" ht="15.75">
      <c r="A815" s="190"/>
      <c r="B815" s="190"/>
      <c r="C815" s="190"/>
      <c r="D815" s="190"/>
      <c r="E815" s="190"/>
      <c r="F815" s="190"/>
      <c r="G815" s="324"/>
      <c r="H815" s="190"/>
      <c r="I815" s="190"/>
      <c r="J815" s="190"/>
      <c r="K815" s="641"/>
      <c r="L815" s="641"/>
      <c r="M815" s="641"/>
      <c r="N815" s="641"/>
      <c r="O815" s="190"/>
      <c r="P815" s="190"/>
      <c r="Q815" s="190"/>
      <c r="R815" s="190"/>
      <c r="S815" s="615"/>
      <c r="T815" s="588"/>
      <c r="U815" s="188"/>
      <c r="V815" s="190"/>
      <c r="W815" s="190"/>
      <c r="X815" s="190"/>
      <c r="Y815" s="190"/>
      <c r="Z815" s="190"/>
      <c r="AA815" s="190"/>
      <c r="AB815" s="190"/>
      <c r="AC815" s="190"/>
      <c r="AD815" s="190"/>
      <c r="AE815" s="190"/>
      <c r="AF815" s="190"/>
      <c r="AG815" s="190"/>
      <c r="AH815" s="190"/>
      <c r="AI815" s="190"/>
      <c r="AJ815" s="190"/>
      <c r="AK815" s="619"/>
      <c r="AL815" s="617"/>
    </row>
    <row r="816" spans="1:38" ht="15.75">
      <c r="A816" s="190"/>
      <c r="B816" s="190"/>
      <c r="C816" s="190"/>
      <c r="D816" s="190"/>
      <c r="E816" s="190"/>
      <c r="F816" s="190"/>
      <c r="G816" s="324"/>
      <c r="H816" s="190"/>
      <c r="I816" s="190"/>
      <c r="J816" s="190"/>
      <c r="K816" s="641"/>
      <c r="L816" s="641"/>
      <c r="M816" s="641"/>
      <c r="N816" s="641"/>
      <c r="O816" s="190"/>
      <c r="P816" s="190"/>
      <c r="Q816" s="190"/>
      <c r="R816" s="190"/>
      <c r="S816" s="615"/>
      <c r="T816" s="588"/>
      <c r="U816" s="188"/>
      <c r="V816" s="190"/>
      <c r="W816" s="190"/>
      <c r="X816" s="190"/>
      <c r="Y816" s="190"/>
      <c r="Z816" s="190"/>
      <c r="AA816" s="190"/>
      <c r="AB816" s="190"/>
      <c r="AC816" s="190"/>
      <c r="AD816" s="190"/>
      <c r="AE816" s="190"/>
      <c r="AF816" s="190"/>
      <c r="AG816" s="190"/>
      <c r="AH816" s="190"/>
      <c r="AI816" s="190"/>
      <c r="AJ816" s="190"/>
      <c r="AK816" s="619"/>
      <c r="AL816" s="617"/>
    </row>
    <row r="817" spans="1:38" ht="15.75">
      <c r="A817" s="190"/>
      <c r="B817" s="190"/>
      <c r="C817" s="190"/>
      <c r="D817" s="190"/>
      <c r="E817" s="190"/>
      <c r="F817" s="190"/>
      <c r="G817" s="324"/>
      <c r="H817" s="190"/>
      <c r="I817" s="190"/>
      <c r="J817" s="190"/>
      <c r="K817" s="641"/>
      <c r="L817" s="641"/>
      <c r="M817" s="641"/>
      <c r="N817" s="641"/>
      <c r="O817" s="190"/>
      <c r="P817" s="190"/>
      <c r="Q817" s="190"/>
      <c r="R817" s="190"/>
      <c r="S817" s="615"/>
      <c r="T817" s="588"/>
      <c r="U817" s="188"/>
      <c r="V817" s="190"/>
      <c r="W817" s="190"/>
      <c r="X817" s="190"/>
      <c r="Y817" s="190"/>
      <c r="Z817" s="190"/>
      <c r="AA817" s="190"/>
      <c r="AB817" s="190"/>
      <c r="AC817" s="190"/>
      <c r="AD817" s="190"/>
      <c r="AE817" s="190"/>
      <c r="AF817" s="190"/>
      <c r="AG817" s="190"/>
      <c r="AH817" s="190"/>
      <c r="AI817" s="190"/>
      <c r="AJ817" s="190"/>
      <c r="AK817" s="619"/>
      <c r="AL817" s="617"/>
    </row>
    <row r="818" spans="1:38" ht="15.75">
      <c r="A818" s="190"/>
      <c r="B818" s="190"/>
      <c r="C818" s="190"/>
      <c r="D818" s="190"/>
      <c r="E818" s="190"/>
      <c r="F818" s="190"/>
      <c r="G818" s="324"/>
      <c r="H818" s="190"/>
      <c r="I818" s="190"/>
      <c r="J818" s="190"/>
      <c r="K818" s="641"/>
      <c r="L818" s="641"/>
      <c r="M818" s="641"/>
      <c r="N818" s="641"/>
      <c r="O818" s="190"/>
      <c r="P818" s="190"/>
      <c r="Q818" s="190"/>
      <c r="R818" s="190"/>
      <c r="S818" s="615"/>
      <c r="T818" s="588"/>
      <c r="U818" s="188"/>
      <c r="V818" s="190"/>
      <c r="W818" s="190"/>
      <c r="X818" s="190"/>
      <c r="Y818" s="190"/>
      <c r="Z818" s="190"/>
      <c r="AA818" s="190"/>
      <c r="AB818" s="190"/>
      <c r="AC818" s="190"/>
      <c r="AD818" s="190"/>
      <c r="AE818" s="190"/>
      <c r="AF818" s="190"/>
      <c r="AG818" s="190"/>
      <c r="AH818" s="190"/>
      <c r="AI818" s="190"/>
      <c r="AJ818" s="190"/>
      <c r="AK818" s="619"/>
      <c r="AL818" s="617"/>
    </row>
    <row r="819" spans="1:38" ht="15.75">
      <c r="A819" s="190"/>
      <c r="B819" s="190"/>
      <c r="C819" s="190"/>
      <c r="D819" s="190"/>
      <c r="E819" s="190"/>
      <c r="F819" s="190"/>
      <c r="G819" s="324"/>
      <c r="H819" s="190"/>
      <c r="I819" s="190"/>
      <c r="J819" s="190"/>
      <c r="K819" s="641"/>
      <c r="L819" s="641"/>
      <c r="M819" s="641"/>
      <c r="N819" s="641"/>
      <c r="O819" s="190"/>
      <c r="P819" s="190"/>
      <c r="Q819" s="190"/>
      <c r="R819" s="190"/>
      <c r="S819" s="615"/>
      <c r="T819" s="588"/>
      <c r="U819" s="188"/>
      <c r="V819" s="190"/>
      <c r="W819" s="190"/>
      <c r="X819" s="190"/>
      <c r="Y819" s="190"/>
      <c r="Z819" s="190"/>
      <c r="AA819" s="190"/>
      <c r="AB819" s="190"/>
      <c r="AC819" s="190"/>
      <c r="AD819" s="190"/>
      <c r="AE819" s="190"/>
      <c r="AF819" s="190"/>
      <c r="AG819" s="190"/>
      <c r="AH819" s="190"/>
      <c r="AI819" s="190"/>
      <c r="AJ819" s="190"/>
      <c r="AK819" s="619"/>
      <c r="AL819" s="617"/>
    </row>
    <row r="820" spans="1:38" ht="15.75">
      <c r="A820" s="190"/>
      <c r="B820" s="190"/>
      <c r="C820" s="190"/>
      <c r="D820" s="190"/>
      <c r="E820" s="190"/>
      <c r="F820" s="190"/>
      <c r="G820" s="324"/>
      <c r="H820" s="190"/>
      <c r="I820" s="190"/>
      <c r="J820" s="190"/>
      <c r="K820" s="641"/>
      <c r="L820" s="641"/>
      <c r="M820" s="641"/>
      <c r="N820" s="641"/>
      <c r="O820" s="190"/>
      <c r="P820" s="190"/>
      <c r="Q820" s="190"/>
      <c r="R820" s="190"/>
      <c r="S820" s="615"/>
      <c r="T820" s="588"/>
      <c r="U820" s="188"/>
      <c r="V820" s="190"/>
      <c r="W820" s="190"/>
      <c r="X820" s="190"/>
      <c r="Y820" s="190"/>
      <c r="Z820" s="190"/>
      <c r="AA820" s="190"/>
      <c r="AB820" s="190"/>
      <c r="AC820" s="190"/>
      <c r="AD820" s="190"/>
      <c r="AE820" s="190"/>
      <c r="AF820" s="190"/>
      <c r="AG820" s="190"/>
      <c r="AH820" s="190"/>
      <c r="AI820" s="190"/>
      <c r="AJ820" s="190"/>
      <c r="AK820" s="619"/>
      <c r="AL820" s="617"/>
    </row>
    <row r="821" spans="1:38" ht="15.75">
      <c r="A821" s="190"/>
      <c r="B821" s="190"/>
      <c r="C821" s="190"/>
      <c r="D821" s="190"/>
      <c r="E821" s="190"/>
      <c r="F821" s="190"/>
      <c r="G821" s="324"/>
      <c r="H821" s="190"/>
      <c r="I821" s="190"/>
      <c r="J821" s="190"/>
      <c r="K821" s="641"/>
      <c r="L821" s="641"/>
      <c r="M821" s="641"/>
      <c r="N821" s="641"/>
      <c r="O821" s="190"/>
      <c r="P821" s="190"/>
      <c r="Q821" s="190"/>
      <c r="R821" s="190"/>
      <c r="S821" s="615"/>
      <c r="T821" s="588"/>
      <c r="U821" s="188"/>
      <c r="V821" s="190"/>
      <c r="W821" s="190"/>
      <c r="X821" s="190"/>
      <c r="Y821" s="190"/>
      <c r="Z821" s="190"/>
      <c r="AA821" s="190"/>
      <c r="AB821" s="190"/>
      <c r="AC821" s="190"/>
      <c r="AD821" s="190"/>
      <c r="AE821" s="190"/>
      <c r="AF821" s="190"/>
      <c r="AG821" s="190"/>
      <c r="AH821" s="190"/>
      <c r="AI821" s="190"/>
      <c r="AJ821" s="190"/>
      <c r="AK821" s="619"/>
      <c r="AL821" s="617"/>
    </row>
    <row r="822" spans="1:38" ht="15.75">
      <c r="A822" s="190"/>
      <c r="B822" s="190"/>
      <c r="C822" s="190"/>
      <c r="D822" s="190"/>
      <c r="E822" s="190"/>
      <c r="F822" s="190"/>
      <c r="G822" s="324"/>
      <c r="H822" s="190"/>
      <c r="I822" s="190"/>
      <c r="J822" s="190"/>
      <c r="K822" s="641"/>
      <c r="L822" s="641"/>
      <c r="M822" s="641"/>
      <c r="N822" s="641"/>
      <c r="O822" s="190"/>
      <c r="P822" s="190"/>
      <c r="Q822" s="190"/>
      <c r="R822" s="190"/>
      <c r="S822" s="615"/>
      <c r="T822" s="588"/>
      <c r="U822" s="188"/>
      <c r="V822" s="190"/>
      <c r="W822" s="190"/>
      <c r="X822" s="190"/>
      <c r="Y822" s="190"/>
      <c r="Z822" s="190"/>
      <c r="AA822" s="190"/>
      <c r="AB822" s="190"/>
      <c r="AC822" s="190"/>
      <c r="AD822" s="190"/>
      <c r="AE822" s="190"/>
      <c r="AF822" s="190"/>
      <c r="AG822" s="190"/>
      <c r="AH822" s="190"/>
      <c r="AI822" s="190"/>
      <c r="AJ822" s="190"/>
      <c r="AK822" s="619"/>
      <c r="AL822" s="617"/>
    </row>
    <row r="823" spans="1:38" ht="15.75">
      <c r="A823" s="190"/>
      <c r="B823" s="190"/>
      <c r="C823" s="190"/>
      <c r="D823" s="190"/>
      <c r="E823" s="190"/>
      <c r="F823" s="190"/>
      <c r="G823" s="324"/>
      <c r="H823" s="190"/>
      <c r="I823" s="190"/>
      <c r="J823" s="190"/>
      <c r="K823" s="641"/>
      <c r="L823" s="641"/>
      <c r="M823" s="641"/>
      <c r="N823" s="641"/>
      <c r="O823" s="190"/>
      <c r="P823" s="190"/>
      <c r="Q823" s="190"/>
      <c r="R823" s="190"/>
      <c r="S823" s="615"/>
      <c r="T823" s="588"/>
      <c r="U823" s="188"/>
      <c r="V823" s="190"/>
      <c r="W823" s="190"/>
      <c r="X823" s="190"/>
      <c r="Y823" s="190"/>
      <c r="Z823" s="190"/>
      <c r="AA823" s="190"/>
      <c r="AB823" s="190"/>
      <c r="AC823" s="190"/>
      <c r="AD823" s="190"/>
      <c r="AE823" s="190"/>
      <c r="AF823" s="190"/>
      <c r="AG823" s="190"/>
      <c r="AH823" s="190"/>
      <c r="AI823" s="190"/>
      <c r="AJ823" s="190"/>
      <c r="AK823" s="619"/>
      <c r="AL823" s="617"/>
    </row>
    <row r="824" spans="1:38" ht="15.75">
      <c r="A824" s="190"/>
      <c r="B824" s="190"/>
      <c r="C824" s="190"/>
      <c r="D824" s="190"/>
      <c r="E824" s="190"/>
      <c r="F824" s="190"/>
      <c r="G824" s="324"/>
      <c r="H824" s="190"/>
      <c r="I824" s="190"/>
      <c r="J824" s="190"/>
      <c r="K824" s="641"/>
      <c r="L824" s="641"/>
      <c r="M824" s="641"/>
      <c r="N824" s="641"/>
      <c r="O824" s="190"/>
      <c r="P824" s="190"/>
      <c r="Q824" s="190"/>
      <c r="R824" s="190"/>
      <c r="S824" s="615"/>
      <c r="T824" s="588"/>
      <c r="U824" s="188"/>
      <c r="V824" s="190"/>
      <c r="W824" s="190"/>
      <c r="X824" s="190"/>
      <c r="Y824" s="190"/>
      <c r="Z824" s="190"/>
      <c r="AA824" s="190"/>
      <c r="AB824" s="190"/>
      <c r="AC824" s="190"/>
      <c r="AD824" s="190"/>
      <c r="AE824" s="190"/>
      <c r="AF824" s="190"/>
      <c r="AG824" s="190"/>
      <c r="AH824" s="190"/>
      <c r="AI824" s="190"/>
      <c r="AJ824" s="190"/>
      <c r="AK824" s="619"/>
      <c r="AL824" s="617"/>
    </row>
    <row r="825" spans="1:38" ht="15.75">
      <c r="A825" s="190"/>
      <c r="B825" s="190"/>
      <c r="C825" s="190"/>
      <c r="D825" s="190"/>
      <c r="E825" s="190"/>
      <c r="F825" s="190"/>
      <c r="G825" s="324"/>
      <c r="H825" s="190"/>
      <c r="I825" s="190"/>
      <c r="J825" s="190"/>
      <c r="K825" s="641"/>
      <c r="L825" s="641"/>
      <c r="M825" s="641"/>
      <c r="N825" s="641"/>
      <c r="O825" s="190"/>
      <c r="P825" s="190"/>
      <c r="Q825" s="190"/>
      <c r="R825" s="190"/>
      <c r="S825" s="615"/>
      <c r="T825" s="588"/>
      <c r="U825" s="188"/>
      <c r="V825" s="190"/>
      <c r="W825" s="190"/>
      <c r="X825" s="190"/>
      <c r="Y825" s="190"/>
      <c r="Z825" s="190"/>
      <c r="AA825" s="190"/>
      <c r="AB825" s="190"/>
      <c r="AC825" s="190"/>
      <c r="AD825" s="190"/>
      <c r="AE825" s="190"/>
      <c r="AF825" s="190"/>
      <c r="AG825" s="190"/>
      <c r="AH825" s="190"/>
      <c r="AI825" s="190"/>
      <c r="AJ825" s="190"/>
      <c r="AK825" s="619"/>
      <c r="AL825" s="617"/>
    </row>
    <row r="826" spans="1:38" ht="15.75">
      <c r="A826" s="190"/>
      <c r="B826" s="190"/>
      <c r="C826" s="190"/>
      <c r="D826" s="190"/>
      <c r="E826" s="190"/>
      <c r="F826" s="190"/>
      <c r="G826" s="324"/>
      <c r="H826" s="190"/>
      <c r="I826" s="190"/>
      <c r="J826" s="190"/>
      <c r="K826" s="641"/>
      <c r="L826" s="641"/>
      <c r="M826" s="641"/>
      <c r="N826" s="641"/>
      <c r="O826" s="190"/>
      <c r="P826" s="190"/>
      <c r="Q826" s="190"/>
      <c r="R826" s="190"/>
      <c r="S826" s="615"/>
      <c r="T826" s="588"/>
      <c r="U826" s="188"/>
      <c r="V826" s="190"/>
      <c r="W826" s="190"/>
      <c r="X826" s="190"/>
      <c r="Y826" s="190"/>
      <c r="Z826" s="190"/>
      <c r="AA826" s="190"/>
      <c r="AB826" s="190"/>
      <c r="AC826" s="190"/>
      <c r="AD826" s="190"/>
      <c r="AE826" s="190"/>
      <c r="AF826" s="190"/>
      <c r="AG826" s="190"/>
      <c r="AH826" s="190"/>
      <c r="AI826" s="190"/>
      <c r="AJ826" s="190"/>
      <c r="AK826" s="619"/>
      <c r="AL826" s="617"/>
    </row>
    <row r="827" spans="1:38" ht="15.75">
      <c r="A827" s="190"/>
      <c r="B827" s="190"/>
      <c r="C827" s="190"/>
      <c r="D827" s="190"/>
      <c r="E827" s="190"/>
      <c r="F827" s="190"/>
      <c r="G827" s="324"/>
      <c r="H827" s="190"/>
      <c r="I827" s="190"/>
      <c r="J827" s="190"/>
      <c r="K827" s="641"/>
      <c r="L827" s="641"/>
      <c r="M827" s="641"/>
      <c r="N827" s="641"/>
      <c r="O827" s="190"/>
      <c r="P827" s="190"/>
      <c r="Q827" s="190"/>
      <c r="R827" s="190"/>
      <c r="S827" s="615"/>
      <c r="T827" s="588"/>
      <c r="U827" s="188"/>
      <c r="V827" s="190"/>
      <c r="W827" s="190"/>
      <c r="X827" s="190"/>
      <c r="Y827" s="190"/>
      <c r="Z827" s="190"/>
      <c r="AA827" s="190"/>
      <c r="AB827" s="190"/>
      <c r="AC827" s="190"/>
      <c r="AD827" s="190"/>
      <c r="AE827" s="190"/>
      <c r="AF827" s="190"/>
      <c r="AG827" s="190"/>
      <c r="AH827" s="190"/>
      <c r="AI827" s="190"/>
      <c r="AJ827" s="190"/>
      <c r="AK827" s="619"/>
      <c r="AL827" s="617"/>
    </row>
    <row r="828" spans="1:38" ht="15.75">
      <c r="A828" s="190"/>
      <c r="B828" s="190"/>
      <c r="C828" s="190"/>
      <c r="D828" s="190"/>
      <c r="E828" s="190"/>
      <c r="F828" s="190"/>
      <c r="G828" s="324"/>
      <c r="H828" s="190"/>
      <c r="I828" s="190"/>
      <c r="J828" s="190"/>
      <c r="K828" s="641"/>
      <c r="L828" s="641"/>
      <c r="M828" s="641"/>
      <c r="N828" s="641"/>
      <c r="O828" s="190"/>
      <c r="P828" s="190"/>
      <c r="Q828" s="190"/>
      <c r="R828" s="190"/>
      <c r="S828" s="615"/>
      <c r="T828" s="588"/>
      <c r="U828" s="188"/>
      <c r="V828" s="190"/>
      <c r="W828" s="190"/>
      <c r="X828" s="190"/>
      <c r="Y828" s="190"/>
      <c r="Z828" s="190"/>
      <c r="AA828" s="190"/>
      <c r="AB828" s="190"/>
      <c r="AC828" s="190"/>
      <c r="AD828" s="190"/>
      <c r="AE828" s="190"/>
      <c r="AF828" s="190"/>
      <c r="AG828" s="190"/>
      <c r="AH828" s="190"/>
      <c r="AI828" s="190"/>
      <c r="AJ828" s="190"/>
      <c r="AK828" s="619"/>
      <c r="AL828" s="617"/>
    </row>
    <row r="829" spans="1:38" ht="15.75">
      <c r="A829" s="190"/>
      <c r="B829" s="190"/>
      <c r="C829" s="190"/>
      <c r="D829" s="190"/>
      <c r="E829" s="190"/>
      <c r="F829" s="190"/>
      <c r="G829" s="324"/>
      <c r="H829" s="190"/>
      <c r="I829" s="190"/>
      <c r="J829" s="190"/>
      <c r="K829" s="641"/>
      <c r="L829" s="641"/>
      <c r="M829" s="641"/>
      <c r="N829" s="641"/>
      <c r="O829" s="190"/>
      <c r="P829" s="190"/>
      <c r="Q829" s="190"/>
      <c r="R829" s="190"/>
      <c r="S829" s="615"/>
      <c r="T829" s="588"/>
      <c r="U829" s="188"/>
      <c r="V829" s="190"/>
      <c r="W829" s="190"/>
      <c r="X829" s="190"/>
      <c r="Y829" s="190"/>
      <c r="Z829" s="190"/>
      <c r="AA829" s="190"/>
      <c r="AB829" s="190"/>
      <c r="AC829" s="190"/>
      <c r="AD829" s="190"/>
      <c r="AE829" s="190"/>
      <c r="AF829" s="190"/>
      <c r="AG829" s="190"/>
      <c r="AH829" s="190"/>
      <c r="AI829" s="190"/>
      <c r="AJ829" s="190"/>
      <c r="AK829" s="619"/>
      <c r="AL829" s="617"/>
    </row>
    <row r="830" spans="1:38" ht="15.75">
      <c r="A830" s="190"/>
      <c r="B830" s="190"/>
      <c r="C830" s="190"/>
      <c r="D830" s="190"/>
      <c r="E830" s="190"/>
      <c r="F830" s="190"/>
      <c r="G830" s="324"/>
      <c r="H830" s="190"/>
      <c r="I830" s="190"/>
      <c r="J830" s="190"/>
      <c r="K830" s="641"/>
      <c r="L830" s="641"/>
      <c r="M830" s="641"/>
      <c r="N830" s="641"/>
      <c r="O830" s="190"/>
      <c r="P830" s="190"/>
      <c r="Q830" s="190"/>
      <c r="R830" s="190"/>
      <c r="S830" s="615"/>
      <c r="T830" s="588"/>
      <c r="U830" s="188"/>
      <c r="V830" s="190"/>
      <c r="W830" s="190"/>
      <c r="X830" s="190"/>
      <c r="Y830" s="190"/>
      <c r="Z830" s="190"/>
      <c r="AA830" s="190"/>
      <c r="AB830" s="190"/>
      <c r="AC830" s="190"/>
      <c r="AD830" s="190"/>
      <c r="AE830" s="190"/>
      <c r="AF830" s="190"/>
      <c r="AG830" s="190"/>
      <c r="AH830" s="190"/>
      <c r="AI830" s="190"/>
      <c r="AJ830" s="190"/>
      <c r="AK830" s="619"/>
      <c r="AL830" s="617"/>
    </row>
    <row r="831" spans="1:38" ht="15.75">
      <c r="A831" s="190"/>
      <c r="B831" s="190"/>
      <c r="C831" s="190"/>
      <c r="D831" s="190"/>
      <c r="E831" s="190"/>
      <c r="F831" s="190"/>
      <c r="G831" s="324"/>
      <c r="H831" s="190"/>
      <c r="I831" s="190"/>
      <c r="J831" s="190"/>
      <c r="K831" s="641"/>
      <c r="L831" s="641"/>
      <c r="M831" s="641"/>
      <c r="N831" s="641"/>
      <c r="O831" s="190"/>
      <c r="P831" s="190"/>
      <c r="Q831" s="190"/>
      <c r="R831" s="190"/>
      <c r="S831" s="615"/>
      <c r="T831" s="588"/>
      <c r="U831" s="188"/>
      <c r="V831" s="190"/>
      <c r="W831" s="190"/>
      <c r="X831" s="190"/>
      <c r="Y831" s="190"/>
      <c r="Z831" s="190"/>
      <c r="AA831" s="190"/>
      <c r="AB831" s="190"/>
      <c r="AC831" s="190"/>
      <c r="AD831" s="190"/>
      <c r="AE831" s="190"/>
      <c r="AF831" s="190"/>
      <c r="AG831" s="190"/>
      <c r="AH831" s="190"/>
      <c r="AI831" s="190"/>
      <c r="AJ831" s="190"/>
      <c r="AK831" s="619"/>
      <c r="AL831" s="617"/>
    </row>
    <row r="832" spans="1:38" ht="15.75">
      <c r="A832" s="190"/>
      <c r="B832" s="190"/>
      <c r="C832" s="190"/>
      <c r="D832" s="190"/>
      <c r="E832" s="190"/>
      <c r="F832" s="190"/>
      <c r="G832" s="324"/>
      <c r="H832" s="190"/>
      <c r="I832" s="190"/>
      <c r="J832" s="190"/>
      <c r="K832" s="641"/>
      <c r="L832" s="641"/>
      <c r="M832" s="641"/>
      <c r="N832" s="641"/>
      <c r="O832" s="190"/>
      <c r="P832" s="190"/>
      <c r="Q832" s="190"/>
      <c r="R832" s="190"/>
      <c r="S832" s="615"/>
      <c r="T832" s="588"/>
      <c r="U832" s="188"/>
      <c r="V832" s="190"/>
      <c r="W832" s="190"/>
      <c r="X832" s="190"/>
      <c r="Y832" s="190"/>
      <c r="Z832" s="190"/>
      <c r="AA832" s="190"/>
      <c r="AB832" s="190"/>
      <c r="AC832" s="190"/>
      <c r="AD832" s="190"/>
      <c r="AE832" s="190"/>
      <c r="AF832" s="190"/>
      <c r="AG832" s="190"/>
      <c r="AH832" s="190"/>
      <c r="AI832" s="190"/>
      <c r="AJ832" s="190"/>
      <c r="AK832" s="619"/>
      <c r="AL832" s="617"/>
    </row>
    <row r="833" spans="1:38" ht="15.75">
      <c r="A833" s="190"/>
      <c r="B833" s="190"/>
      <c r="C833" s="190"/>
      <c r="D833" s="190"/>
      <c r="E833" s="190"/>
      <c r="F833" s="190"/>
      <c r="G833" s="324"/>
      <c r="H833" s="190"/>
      <c r="I833" s="190"/>
      <c r="J833" s="190"/>
      <c r="K833" s="641"/>
      <c r="L833" s="641"/>
      <c r="M833" s="641"/>
      <c r="N833" s="641"/>
      <c r="O833" s="190"/>
      <c r="P833" s="190"/>
      <c r="Q833" s="190"/>
      <c r="R833" s="190"/>
      <c r="S833" s="615"/>
      <c r="T833" s="588"/>
      <c r="U833" s="188"/>
      <c r="V833" s="190"/>
      <c r="W833" s="190"/>
      <c r="X833" s="190"/>
      <c r="Y833" s="190"/>
      <c r="Z833" s="190"/>
      <c r="AA833" s="190"/>
      <c r="AB833" s="190"/>
      <c r="AC833" s="190"/>
      <c r="AD833" s="190"/>
      <c r="AE833" s="190"/>
      <c r="AF833" s="190"/>
      <c r="AG833" s="190"/>
      <c r="AH833" s="190"/>
      <c r="AI833" s="190"/>
      <c r="AJ833" s="190"/>
      <c r="AK833" s="619"/>
      <c r="AL833" s="617"/>
    </row>
    <row r="834" spans="1:38" ht="15.75">
      <c r="A834" s="190"/>
      <c r="B834" s="190"/>
      <c r="C834" s="190"/>
      <c r="D834" s="190"/>
      <c r="E834" s="190"/>
      <c r="F834" s="190"/>
      <c r="G834" s="324"/>
      <c r="H834" s="190"/>
      <c r="I834" s="190"/>
      <c r="J834" s="190"/>
      <c r="K834" s="641"/>
      <c r="L834" s="641"/>
      <c r="M834" s="641"/>
      <c r="N834" s="641"/>
      <c r="O834" s="190"/>
      <c r="P834" s="190"/>
      <c r="Q834" s="190"/>
      <c r="R834" s="190"/>
      <c r="S834" s="615"/>
      <c r="T834" s="588"/>
      <c r="U834" s="188"/>
      <c r="V834" s="190"/>
      <c r="W834" s="190"/>
      <c r="X834" s="190"/>
      <c r="Y834" s="190"/>
      <c r="Z834" s="190"/>
      <c r="AA834" s="190"/>
      <c r="AB834" s="190"/>
      <c r="AC834" s="190"/>
      <c r="AD834" s="190"/>
      <c r="AE834" s="190"/>
      <c r="AF834" s="190"/>
      <c r="AG834" s="190"/>
      <c r="AH834" s="190"/>
      <c r="AI834" s="190"/>
      <c r="AJ834" s="190"/>
      <c r="AK834" s="619"/>
      <c r="AL834" s="617"/>
    </row>
    <row r="835" spans="1:38" ht="15.75">
      <c r="A835" s="190"/>
      <c r="B835" s="190"/>
      <c r="C835" s="190"/>
      <c r="D835" s="190"/>
      <c r="E835" s="190"/>
      <c r="F835" s="190"/>
      <c r="G835" s="324"/>
      <c r="H835" s="190"/>
      <c r="I835" s="190"/>
      <c r="J835" s="190"/>
      <c r="K835" s="641"/>
      <c r="L835" s="641"/>
      <c r="M835" s="641"/>
      <c r="N835" s="641"/>
      <c r="O835" s="190"/>
      <c r="P835" s="190"/>
      <c r="Q835" s="190"/>
      <c r="R835" s="190"/>
      <c r="S835" s="615"/>
      <c r="T835" s="588"/>
      <c r="U835" s="188"/>
      <c r="V835" s="190"/>
      <c r="W835" s="190"/>
      <c r="X835" s="190"/>
      <c r="Y835" s="190"/>
      <c r="Z835" s="190"/>
      <c r="AA835" s="190"/>
      <c r="AB835" s="190"/>
      <c r="AC835" s="190"/>
      <c r="AD835" s="190"/>
      <c r="AE835" s="190"/>
      <c r="AF835" s="190"/>
      <c r="AG835" s="190"/>
      <c r="AH835" s="190"/>
      <c r="AI835" s="190"/>
      <c r="AJ835" s="190"/>
      <c r="AK835" s="619"/>
      <c r="AL835" s="617"/>
    </row>
    <row r="836" spans="1:38" ht="15.75">
      <c r="A836" s="190"/>
      <c r="B836" s="190"/>
      <c r="C836" s="190"/>
      <c r="D836" s="190"/>
      <c r="E836" s="190"/>
      <c r="F836" s="190"/>
      <c r="G836" s="324"/>
      <c r="H836" s="190"/>
      <c r="I836" s="190"/>
      <c r="J836" s="190"/>
      <c r="K836" s="641"/>
      <c r="L836" s="641"/>
      <c r="M836" s="641"/>
      <c r="N836" s="641"/>
      <c r="O836" s="190"/>
      <c r="P836" s="190"/>
      <c r="Q836" s="190"/>
      <c r="R836" s="190"/>
      <c r="S836" s="615"/>
      <c r="T836" s="588"/>
      <c r="U836" s="188"/>
      <c r="V836" s="190"/>
      <c r="W836" s="190"/>
      <c r="X836" s="190"/>
      <c r="Y836" s="190"/>
      <c r="Z836" s="190"/>
      <c r="AA836" s="190"/>
      <c r="AB836" s="190"/>
      <c r="AC836" s="190"/>
      <c r="AD836" s="190"/>
      <c r="AE836" s="190"/>
      <c r="AF836" s="190"/>
      <c r="AG836" s="190"/>
      <c r="AH836" s="190"/>
      <c r="AI836" s="190"/>
      <c r="AJ836" s="190"/>
      <c r="AK836" s="619"/>
      <c r="AL836" s="617"/>
    </row>
    <row r="837" spans="1:38" ht="15.75">
      <c r="A837" s="190"/>
      <c r="B837" s="190"/>
      <c r="C837" s="190"/>
      <c r="D837" s="190"/>
      <c r="E837" s="190"/>
      <c r="F837" s="190"/>
      <c r="G837" s="324"/>
      <c r="H837" s="190"/>
      <c r="I837" s="190"/>
      <c r="J837" s="190"/>
      <c r="K837" s="641"/>
      <c r="L837" s="641"/>
      <c r="M837" s="641"/>
      <c r="N837" s="641"/>
      <c r="O837" s="190"/>
      <c r="P837" s="190"/>
      <c r="Q837" s="190"/>
      <c r="R837" s="190"/>
      <c r="S837" s="615"/>
      <c r="T837" s="588"/>
      <c r="U837" s="188"/>
      <c r="V837" s="190"/>
      <c r="W837" s="190"/>
      <c r="X837" s="190"/>
      <c r="Y837" s="190"/>
      <c r="Z837" s="190"/>
      <c r="AA837" s="190"/>
      <c r="AB837" s="190"/>
      <c r="AC837" s="190"/>
      <c r="AD837" s="190"/>
      <c r="AE837" s="190"/>
      <c r="AF837" s="190"/>
      <c r="AG837" s="190"/>
      <c r="AH837" s="190"/>
      <c r="AI837" s="190"/>
      <c r="AJ837" s="190"/>
      <c r="AK837" s="619"/>
      <c r="AL837" s="617"/>
    </row>
    <row r="838" spans="1:38" ht="15.75">
      <c r="A838" s="190"/>
      <c r="B838" s="190"/>
      <c r="C838" s="190"/>
      <c r="D838" s="190"/>
      <c r="E838" s="190"/>
      <c r="F838" s="190"/>
      <c r="G838" s="324"/>
      <c r="H838" s="190"/>
      <c r="I838" s="190"/>
      <c r="J838" s="190"/>
      <c r="K838" s="641"/>
      <c r="L838" s="641"/>
      <c r="M838" s="641"/>
      <c r="N838" s="641"/>
      <c r="O838" s="190"/>
      <c r="P838" s="190"/>
      <c r="Q838" s="190"/>
      <c r="R838" s="190"/>
      <c r="S838" s="615"/>
      <c r="T838" s="588"/>
      <c r="U838" s="188"/>
      <c r="V838" s="190"/>
      <c r="W838" s="190"/>
      <c r="X838" s="190"/>
      <c r="Y838" s="190"/>
      <c r="Z838" s="190"/>
      <c r="AA838" s="190"/>
      <c r="AB838" s="190"/>
      <c r="AC838" s="190"/>
      <c r="AD838" s="190"/>
      <c r="AE838" s="190"/>
      <c r="AF838" s="190"/>
      <c r="AG838" s="190"/>
      <c r="AH838" s="190"/>
      <c r="AI838" s="190"/>
      <c r="AJ838" s="190"/>
      <c r="AK838" s="619"/>
      <c r="AL838" s="617"/>
    </row>
    <row r="839" spans="1:38" ht="15.75">
      <c r="A839" s="190"/>
      <c r="B839" s="190"/>
      <c r="C839" s="190"/>
      <c r="D839" s="190"/>
      <c r="E839" s="190"/>
      <c r="F839" s="190"/>
      <c r="G839" s="324"/>
      <c r="H839" s="190"/>
      <c r="I839" s="190"/>
      <c r="J839" s="190"/>
      <c r="K839" s="641"/>
      <c r="L839" s="641"/>
      <c r="M839" s="641"/>
      <c r="N839" s="641"/>
      <c r="O839" s="190"/>
      <c r="P839" s="190"/>
      <c r="Q839" s="190"/>
      <c r="R839" s="190"/>
      <c r="S839" s="615"/>
      <c r="T839" s="588"/>
      <c r="U839" s="188"/>
      <c r="V839" s="190"/>
      <c r="W839" s="190"/>
      <c r="X839" s="190"/>
      <c r="Y839" s="190"/>
      <c r="Z839" s="190"/>
      <c r="AA839" s="190"/>
      <c r="AB839" s="190"/>
      <c r="AC839" s="190"/>
      <c r="AD839" s="190"/>
      <c r="AE839" s="190"/>
      <c r="AF839" s="190"/>
      <c r="AG839" s="190"/>
      <c r="AH839" s="190"/>
      <c r="AI839" s="190"/>
      <c r="AJ839" s="190"/>
      <c r="AK839" s="619"/>
      <c r="AL839" s="617"/>
    </row>
    <row r="840" spans="1:38" ht="15.75">
      <c r="A840" s="190"/>
      <c r="B840" s="190"/>
      <c r="C840" s="190"/>
      <c r="D840" s="190"/>
      <c r="E840" s="190"/>
      <c r="F840" s="190"/>
      <c r="G840" s="324"/>
      <c r="H840" s="190"/>
      <c r="I840" s="190"/>
      <c r="J840" s="190"/>
      <c r="K840" s="641"/>
      <c r="L840" s="641"/>
      <c r="M840" s="641"/>
      <c r="N840" s="641"/>
      <c r="O840" s="190"/>
      <c r="P840" s="190"/>
      <c r="Q840" s="190"/>
      <c r="R840" s="190"/>
      <c r="S840" s="615"/>
      <c r="T840" s="588"/>
      <c r="U840" s="188"/>
      <c r="V840" s="190"/>
      <c r="W840" s="190"/>
      <c r="X840" s="190"/>
      <c r="Y840" s="190"/>
      <c r="Z840" s="190"/>
      <c r="AA840" s="190"/>
      <c r="AB840" s="190"/>
      <c r="AC840" s="190"/>
      <c r="AD840" s="190"/>
      <c r="AE840" s="190"/>
      <c r="AF840" s="190"/>
      <c r="AG840" s="190"/>
      <c r="AH840" s="190"/>
      <c r="AI840" s="190"/>
      <c r="AJ840" s="190"/>
      <c r="AK840" s="619"/>
      <c r="AL840" s="617"/>
    </row>
    <row r="841" spans="1:38" ht="15.75">
      <c r="A841" s="190"/>
      <c r="B841" s="190"/>
      <c r="C841" s="190"/>
      <c r="D841" s="190"/>
      <c r="E841" s="190"/>
      <c r="F841" s="190"/>
      <c r="G841" s="324"/>
      <c r="H841" s="190"/>
      <c r="I841" s="190"/>
      <c r="J841" s="190"/>
      <c r="K841" s="641"/>
      <c r="L841" s="641"/>
      <c r="M841" s="641"/>
      <c r="N841" s="641"/>
      <c r="O841" s="190"/>
      <c r="P841" s="190"/>
      <c r="Q841" s="190"/>
      <c r="R841" s="190"/>
      <c r="S841" s="615"/>
      <c r="T841" s="588"/>
      <c r="U841" s="188"/>
      <c r="V841" s="190"/>
      <c r="W841" s="190"/>
      <c r="X841" s="190"/>
      <c r="Y841" s="190"/>
      <c r="Z841" s="190"/>
      <c r="AA841" s="190"/>
      <c r="AB841" s="190"/>
      <c r="AC841" s="190"/>
      <c r="AD841" s="190"/>
      <c r="AE841" s="190"/>
      <c r="AF841" s="190"/>
      <c r="AG841" s="190"/>
      <c r="AH841" s="190"/>
      <c r="AI841" s="190"/>
      <c r="AJ841" s="190"/>
      <c r="AK841" s="619"/>
      <c r="AL841" s="617"/>
    </row>
    <row r="842" spans="1:38" ht="15.75">
      <c r="A842" s="190"/>
      <c r="B842" s="190"/>
      <c r="C842" s="190"/>
      <c r="D842" s="190"/>
      <c r="E842" s="190"/>
      <c r="F842" s="190"/>
      <c r="G842" s="324"/>
      <c r="H842" s="190"/>
      <c r="I842" s="190"/>
      <c r="J842" s="190"/>
      <c r="K842" s="641"/>
      <c r="L842" s="641"/>
      <c r="M842" s="641"/>
      <c r="N842" s="641"/>
      <c r="O842" s="190"/>
      <c r="P842" s="190"/>
      <c r="Q842" s="190"/>
      <c r="R842" s="190"/>
      <c r="S842" s="615"/>
      <c r="T842" s="588"/>
      <c r="U842" s="188"/>
      <c r="V842" s="190"/>
      <c r="W842" s="190"/>
      <c r="X842" s="190"/>
      <c r="Y842" s="190"/>
      <c r="Z842" s="190"/>
      <c r="AA842" s="190"/>
      <c r="AB842" s="190"/>
      <c r="AC842" s="190"/>
      <c r="AD842" s="190"/>
      <c r="AE842" s="190"/>
      <c r="AF842" s="190"/>
      <c r="AG842" s="190"/>
      <c r="AH842" s="190"/>
      <c r="AI842" s="190"/>
      <c r="AJ842" s="190"/>
      <c r="AK842" s="619"/>
      <c r="AL842" s="617"/>
    </row>
    <row r="843" spans="1:38" ht="15.75">
      <c r="A843" s="190"/>
      <c r="B843" s="190"/>
      <c r="C843" s="190"/>
      <c r="D843" s="190"/>
      <c r="E843" s="190"/>
      <c r="F843" s="190"/>
      <c r="G843" s="324"/>
      <c r="H843" s="190"/>
      <c r="I843" s="190"/>
      <c r="J843" s="190"/>
      <c r="K843" s="641"/>
      <c r="L843" s="641"/>
      <c r="M843" s="641"/>
      <c r="N843" s="641"/>
      <c r="O843" s="190"/>
      <c r="P843" s="190"/>
      <c r="Q843" s="190"/>
      <c r="R843" s="190"/>
      <c r="S843" s="615"/>
      <c r="T843" s="588"/>
      <c r="U843" s="188"/>
      <c r="V843" s="190"/>
      <c r="W843" s="190"/>
      <c r="X843" s="190"/>
      <c r="Y843" s="190"/>
      <c r="Z843" s="190"/>
      <c r="AA843" s="190"/>
      <c r="AB843" s="190"/>
      <c r="AC843" s="190"/>
      <c r="AD843" s="190"/>
      <c r="AE843" s="190"/>
      <c r="AF843" s="190"/>
      <c r="AG843" s="190"/>
      <c r="AH843" s="190"/>
      <c r="AI843" s="190"/>
      <c r="AJ843" s="190"/>
      <c r="AK843" s="619"/>
      <c r="AL843" s="617"/>
    </row>
    <row r="844" spans="1:38" ht="15.75">
      <c r="A844" s="190"/>
      <c r="B844" s="190"/>
      <c r="C844" s="190"/>
      <c r="D844" s="190"/>
      <c r="E844" s="190"/>
      <c r="F844" s="190"/>
      <c r="G844" s="324"/>
      <c r="H844" s="190"/>
      <c r="I844" s="190"/>
      <c r="J844" s="190"/>
      <c r="K844" s="641"/>
      <c r="L844" s="641"/>
      <c r="M844" s="641"/>
      <c r="N844" s="641"/>
      <c r="O844" s="190"/>
      <c r="P844" s="190"/>
      <c r="Q844" s="190"/>
      <c r="R844" s="190"/>
      <c r="S844" s="615"/>
      <c r="T844" s="588"/>
      <c r="U844" s="188"/>
      <c r="V844" s="190"/>
      <c r="W844" s="190"/>
      <c r="X844" s="190"/>
      <c r="Y844" s="190"/>
      <c r="Z844" s="190"/>
      <c r="AA844" s="190"/>
      <c r="AB844" s="190"/>
      <c r="AC844" s="190"/>
      <c r="AD844" s="190"/>
      <c r="AE844" s="190"/>
      <c r="AF844" s="190"/>
      <c r="AG844" s="190"/>
      <c r="AH844" s="190"/>
      <c r="AI844" s="190"/>
      <c r="AJ844" s="190"/>
      <c r="AK844" s="619"/>
      <c r="AL844" s="617"/>
    </row>
    <row r="845" spans="1:38" ht="15.75">
      <c r="A845" s="190"/>
      <c r="B845" s="190"/>
      <c r="C845" s="190"/>
      <c r="D845" s="190"/>
      <c r="E845" s="190"/>
      <c r="F845" s="190"/>
      <c r="G845" s="324"/>
      <c r="H845" s="190"/>
      <c r="I845" s="190"/>
      <c r="J845" s="190"/>
      <c r="K845" s="641"/>
      <c r="L845" s="641"/>
      <c r="M845" s="641"/>
      <c r="N845" s="641"/>
      <c r="O845" s="190"/>
      <c r="P845" s="190"/>
      <c r="Q845" s="190"/>
      <c r="R845" s="190"/>
      <c r="S845" s="615"/>
      <c r="T845" s="588"/>
      <c r="U845" s="188"/>
      <c r="V845" s="190"/>
      <c r="W845" s="190"/>
      <c r="X845" s="190"/>
      <c r="Y845" s="190"/>
      <c r="Z845" s="190"/>
      <c r="AA845" s="190"/>
      <c r="AB845" s="190"/>
      <c r="AC845" s="190"/>
      <c r="AD845" s="190"/>
      <c r="AE845" s="190"/>
      <c r="AF845" s="190"/>
      <c r="AG845" s="190"/>
      <c r="AH845" s="190"/>
      <c r="AI845" s="190"/>
      <c r="AJ845" s="190"/>
      <c r="AK845" s="619"/>
      <c r="AL845" s="617"/>
    </row>
    <row r="846" spans="1:38" ht="15.75">
      <c r="A846" s="190"/>
      <c r="B846" s="190"/>
      <c r="C846" s="190"/>
      <c r="D846" s="190"/>
      <c r="E846" s="190"/>
      <c r="F846" s="190"/>
      <c r="G846" s="324"/>
      <c r="H846" s="190"/>
      <c r="I846" s="190"/>
      <c r="J846" s="190"/>
      <c r="K846" s="641"/>
      <c r="L846" s="641"/>
      <c r="M846" s="641"/>
      <c r="N846" s="641"/>
      <c r="O846" s="190"/>
      <c r="P846" s="190"/>
      <c r="Q846" s="190"/>
      <c r="R846" s="190"/>
      <c r="S846" s="615"/>
      <c r="T846" s="588"/>
      <c r="U846" s="188"/>
      <c r="V846" s="190"/>
      <c r="W846" s="190"/>
      <c r="X846" s="190"/>
      <c r="Y846" s="190"/>
      <c r="Z846" s="190"/>
      <c r="AA846" s="190"/>
      <c r="AB846" s="190"/>
      <c r="AC846" s="190"/>
      <c r="AD846" s="190"/>
      <c r="AE846" s="190"/>
      <c r="AF846" s="190"/>
      <c r="AG846" s="190"/>
      <c r="AH846" s="190"/>
      <c r="AI846" s="190"/>
      <c r="AJ846" s="190"/>
      <c r="AK846" s="619"/>
      <c r="AL846" s="617"/>
    </row>
    <row r="847" spans="1:38" ht="15.75">
      <c r="A847" s="190"/>
      <c r="B847" s="190"/>
      <c r="C847" s="190"/>
      <c r="D847" s="190"/>
      <c r="E847" s="190"/>
      <c r="F847" s="190"/>
      <c r="G847" s="324"/>
      <c r="H847" s="190"/>
      <c r="I847" s="190"/>
      <c r="J847" s="190"/>
      <c r="K847" s="641"/>
      <c r="L847" s="641"/>
      <c r="M847" s="641"/>
      <c r="N847" s="641"/>
      <c r="O847" s="190"/>
      <c r="P847" s="190"/>
      <c r="Q847" s="190"/>
      <c r="R847" s="190"/>
      <c r="S847" s="615"/>
      <c r="T847" s="588"/>
      <c r="U847" s="188"/>
      <c r="V847" s="190"/>
      <c r="W847" s="190"/>
      <c r="X847" s="190"/>
      <c r="Y847" s="190"/>
      <c r="Z847" s="190"/>
      <c r="AA847" s="190"/>
      <c r="AB847" s="190"/>
      <c r="AC847" s="190"/>
      <c r="AD847" s="190"/>
      <c r="AE847" s="190"/>
      <c r="AF847" s="190"/>
      <c r="AG847" s="190"/>
      <c r="AH847" s="190"/>
      <c r="AI847" s="190"/>
      <c r="AJ847" s="190"/>
      <c r="AK847" s="619"/>
      <c r="AL847" s="617"/>
    </row>
    <row r="848" spans="1:38" ht="15.75">
      <c r="A848" s="190"/>
      <c r="B848" s="190"/>
      <c r="C848" s="190"/>
      <c r="D848" s="190"/>
      <c r="E848" s="190"/>
      <c r="F848" s="190"/>
      <c r="G848" s="324"/>
      <c r="H848" s="190"/>
      <c r="I848" s="190"/>
      <c r="J848" s="190"/>
      <c r="K848" s="641"/>
      <c r="L848" s="641"/>
      <c r="M848" s="641"/>
      <c r="N848" s="641"/>
      <c r="O848" s="190"/>
      <c r="P848" s="190"/>
      <c r="Q848" s="190"/>
      <c r="R848" s="190"/>
      <c r="S848" s="615"/>
      <c r="T848" s="588"/>
      <c r="U848" s="188"/>
      <c r="V848" s="190"/>
      <c r="W848" s="190"/>
      <c r="X848" s="190"/>
      <c r="Y848" s="190"/>
      <c r="Z848" s="190"/>
      <c r="AA848" s="190"/>
      <c r="AB848" s="190"/>
      <c r="AC848" s="190"/>
      <c r="AD848" s="190"/>
      <c r="AE848" s="190"/>
      <c r="AF848" s="190"/>
      <c r="AG848" s="190"/>
      <c r="AH848" s="190"/>
      <c r="AI848" s="190"/>
      <c r="AJ848" s="190"/>
      <c r="AK848" s="619"/>
      <c r="AL848" s="617"/>
    </row>
    <row r="849" spans="1:38" ht="15.75">
      <c r="A849" s="190"/>
      <c r="B849" s="190"/>
      <c r="C849" s="190"/>
      <c r="D849" s="190"/>
      <c r="E849" s="190"/>
      <c r="F849" s="190"/>
      <c r="G849" s="324"/>
      <c r="H849" s="190"/>
      <c r="I849" s="190"/>
      <c r="J849" s="190"/>
      <c r="K849" s="641"/>
      <c r="L849" s="641"/>
      <c r="M849" s="641"/>
      <c r="N849" s="641"/>
      <c r="O849" s="190"/>
      <c r="P849" s="190"/>
      <c r="Q849" s="190"/>
      <c r="R849" s="190"/>
      <c r="S849" s="615"/>
      <c r="T849" s="588"/>
      <c r="U849" s="188"/>
      <c r="V849" s="190"/>
      <c r="W849" s="190"/>
      <c r="X849" s="190"/>
      <c r="Y849" s="190"/>
      <c r="Z849" s="190"/>
      <c r="AA849" s="190"/>
      <c r="AB849" s="190"/>
      <c r="AC849" s="190"/>
      <c r="AD849" s="190"/>
      <c r="AE849" s="190"/>
      <c r="AF849" s="190"/>
      <c r="AG849" s="190"/>
      <c r="AH849" s="190"/>
      <c r="AI849" s="190"/>
      <c r="AJ849" s="190"/>
      <c r="AK849" s="619"/>
      <c r="AL849" s="617"/>
    </row>
    <row r="850" spans="1:38" ht="15.75">
      <c r="A850" s="190"/>
      <c r="B850" s="190"/>
      <c r="C850" s="190"/>
      <c r="D850" s="190"/>
      <c r="E850" s="190"/>
      <c r="F850" s="190"/>
      <c r="G850" s="324"/>
      <c r="H850" s="190"/>
      <c r="I850" s="190"/>
      <c r="J850" s="190"/>
      <c r="K850" s="641"/>
      <c r="L850" s="641"/>
      <c r="M850" s="641"/>
      <c r="N850" s="641"/>
      <c r="O850" s="190"/>
      <c r="P850" s="190"/>
      <c r="Q850" s="190"/>
      <c r="R850" s="190"/>
      <c r="S850" s="615"/>
      <c r="T850" s="588"/>
      <c r="U850" s="188"/>
      <c r="V850" s="190"/>
      <c r="W850" s="190"/>
      <c r="X850" s="190"/>
      <c r="Y850" s="190"/>
      <c r="Z850" s="190"/>
      <c r="AA850" s="190"/>
      <c r="AB850" s="190"/>
      <c r="AC850" s="190"/>
      <c r="AD850" s="190"/>
      <c r="AE850" s="190"/>
      <c r="AF850" s="190"/>
      <c r="AG850" s="190"/>
      <c r="AH850" s="190"/>
      <c r="AI850" s="190"/>
      <c r="AJ850" s="190"/>
      <c r="AK850" s="619"/>
      <c r="AL850" s="617"/>
    </row>
    <row r="851" spans="1:38" ht="15.75">
      <c r="A851" s="190"/>
      <c r="B851" s="190"/>
      <c r="C851" s="190"/>
      <c r="D851" s="190"/>
      <c r="E851" s="190"/>
      <c r="F851" s="190"/>
      <c r="G851" s="324"/>
      <c r="H851" s="190"/>
      <c r="I851" s="190"/>
      <c r="J851" s="190"/>
      <c r="K851" s="641"/>
      <c r="L851" s="641"/>
      <c r="M851" s="641"/>
      <c r="N851" s="641"/>
      <c r="O851" s="190"/>
      <c r="P851" s="190"/>
      <c r="Q851" s="190"/>
      <c r="R851" s="190"/>
      <c r="S851" s="615"/>
      <c r="T851" s="588"/>
      <c r="U851" s="188"/>
      <c r="V851" s="190"/>
      <c r="W851" s="190"/>
      <c r="X851" s="190"/>
      <c r="Y851" s="190"/>
      <c r="Z851" s="190"/>
      <c r="AA851" s="190"/>
      <c r="AB851" s="190"/>
      <c r="AC851" s="190"/>
      <c r="AD851" s="190"/>
      <c r="AE851" s="190"/>
      <c r="AF851" s="190"/>
      <c r="AG851" s="190"/>
      <c r="AH851" s="190"/>
      <c r="AI851" s="190"/>
      <c r="AJ851" s="190"/>
      <c r="AK851" s="619"/>
      <c r="AL851" s="617"/>
    </row>
    <row r="852" spans="1:38" ht="15.75">
      <c r="A852" s="190"/>
      <c r="B852" s="190"/>
      <c r="C852" s="190"/>
      <c r="D852" s="190"/>
      <c r="E852" s="190"/>
      <c r="F852" s="190"/>
      <c r="G852" s="324"/>
      <c r="H852" s="190"/>
      <c r="I852" s="190"/>
      <c r="J852" s="190"/>
      <c r="K852" s="641"/>
      <c r="L852" s="641"/>
      <c r="M852" s="641"/>
      <c r="N852" s="641"/>
      <c r="O852" s="190"/>
      <c r="P852" s="190"/>
      <c r="Q852" s="190"/>
      <c r="R852" s="190"/>
      <c r="S852" s="615"/>
      <c r="T852" s="588"/>
      <c r="U852" s="188"/>
      <c r="V852" s="190"/>
      <c r="W852" s="190"/>
      <c r="X852" s="190"/>
      <c r="Y852" s="190"/>
      <c r="Z852" s="190"/>
      <c r="AA852" s="190"/>
      <c r="AB852" s="190"/>
      <c r="AC852" s="190"/>
      <c r="AD852" s="190"/>
      <c r="AE852" s="190"/>
      <c r="AF852" s="190"/>
      <c r="AG852" s="190"/>
      <c r="AH852" s="190"/>
      <c r="AI852" s="190"/>
      <c r="AJ852" s="190"/>
      <c r="AK852" s="619"/>
      <c r="AL852" s="617"/>
    </row>
    <row r="853" spans="1:38" ht="15.75">
      <c r="A853" s="190"/>
      <c r="B853" s="190"/>
      <c r="C853" s="190"/>
      <c r="D853" s="190"/>
      <c r="E853" s="190"/>
      <c r="F853" s="190"/>
      <c r="G853" s="324"/>
      <c r="H853" s="190"/>
      <c r="I853" s="190"/>
      <c r="J853" s="190"/>
      <c r="K853" s="641"/>
      <c r="L853" s="641"/>
      <c r="M853" s="641"/>
      <c r="N853" s="641"/>
      <c r="O853" s="190"/>
      <c r="P853" s="190"/>
      <c r="Q853" s="190"/>
      <c r="R853" s="190"/>
      <c r="S853" s="615"/>
      <c r="T853" s="588"/>
      <c r="U853" s="188"/>
      <c r="V853" s="190"/>
      <c r="W853" s="190"/>
      <c r="X853" s="190"/>
      <c r="Y853" s="190"/>
      <c r="Z853" s="190"/>
      <c r="AA853" s="190"/>
      <c r="AB853" s="190"/>
      <c r="AC853" s="190"/>
      <c r="AD853" s="190"/>
      <c r="AE853" s="190"/>
      <c r="AF853" s="190"/>
      <c r="AG853" s="190"/>
      <c r="AH853" s="190"/>
      <c r="AI853" s="190"/>
      <c r="AJ853" s="190"/>
      <c r="AK853" s="619"/>
      <c r="AL853" s="617"/>
    </row>
    <row r="854" spans="1:38" ht="15.75">
      <c r="A854" s="190"/>
      <c r="B854" s="190"/>
      <c r="C854" s="190"/>
      <c r="D854" s="190"/>
      <c r="E854" s="190"/>
      <c r="F854" s="190"/>
      <c r="G854" s="324"/>
      <c r="H854" s="190"/>
      <c r="I854" s="190"/>
      <c r="J854" s="190"/>
      <c r="K854" s="641"/>
      <c r="L854" s="641"/>
      <c r="M854" s="641"/>
      <c r="N854" s="641"/>
      <c r="O854" s="190"/>
      <c r="P854" s="190"/>
      <c r="Q854" s="190"/>
      <c r="R854" s="190"/>
      <c r="S854" s="615"/>
      <c r="T854" s="588"/>
      <c r="U854" s="188"/>
      <c r="V854" s="190"/>
      <c r="W854" s="190"/>
      <c r="X854" s="190"/>
      <c r="Y854" s="190"/>
      <c r="Z854" s="190"/>
      <c r="AA854" s="190"/>
      <c r="AB854" s="190"/>
      <c r="AC854" s="190"/>
      <c r="AD854" s="190"/>
      <c r="AE854" s="190"/>
      <c r="AF854" s="190"/>
      <c r="AG854" s="190"/>
      <c r="AH854" s="190"/>
      <c r="AI854" s="190"/>
      <c r="AJ854" s="190"/>
      <c r="AK854" s="619"/>
      <c r="AL854" s="617"/>
    </row>
    <row r="855" spans="1:38" ht="15.75">
      <c r="A855" s="190"/>
      <c r="B855" s="190"/>
      <c r="C855" s="190"/>
      <c r="D855" s="190"/>
      <c r="E855" s="190"/>
      <c r="F855" s="190"/>
      <c r="G855" s="324"/>
      <c r="H855" s="190"/>
      <c r="I855" s="190"/>
      <c r="J855" s="190"/>
      <c r="K855" s="641"/>
      <c r="L855" s="641"/>
      <c r="M855" s="641"/>
      <c r="N855" s="641"/>
      <c r="O855" s="190"/>
      <c r="P855" s="190"/>
      <c r="Q855" s="190"/>
      <c r="R855" s="190"/>
      <c r="S855" s="615"/>
      <c r="T855" s="588"/>
      <c r="U855" s="188"/>
      <c r="V855" s="190"/>
      <c r="W855" s="190"/>
      <c r="X855" s="190"/>
      <c r="Y855" s="190"/>
      <c r="Z855" s="190"/>
      <c r="AA855" s="190"/>
      <c r="AB855" s="190"/>
      <c r="AC855" s="190"/>
      <c r="AD855" s="190"/>
      <c r="AE855" s="190"/>
      <c r="AF855" s="190"/>
      <c r="AG855" s="190"/>
      <c r="AH855" s="190"/>
      <c r="AI855" s="190"/>
      <c r="AJ855" s="190"/>
      <c r="AK855" s="619"/>
      <c r="AL855" s="617"/>
    </row>
    <row r="856" spans="1:38" ht="15.75">
      <c r="A856" s="190"/>
      <c r="B856" s="190"/>
      <c r="C856" s="190"/>
      <c r="D856" s="190"/>
      <c r="E856" s="190"/>
      <c r="F856" s="190"/>
      <c r="G856" s="324"/>
      <c r="H856" s="190"/>
      <c r="I856" s="190"/>
      <c r="J856" s="190"/>
      <c r="K856" s="641"/>
      <c r="L856" s="641"/>
      <c r="M856" s="641"/>
      <c r="N856" s="641"/>
      <c r="O856" s="190"/>
      <c r="P856" s="190"/>
      <c r="Q856" s="190"/>
      <c r="R856" s="190"/>
      <c r="S856" s="615"/>
      <c r="T856" s="588"/>
      <c r="U856" s="188"/>
      <c r="V856" s="190"/>
      <c r="W856" s="190"/>
      <c r="X856" s="190"/>
      <c r="Y856" s="190"/>
      <c r="Z856" s="190"/>
      <c r="AA856" s="190"/>
      <c r="AB856" s="190"/>
      <c r="AC856" s="190"/>
      <c r="AD856" s="190"/>
      <c r="AE856" s="190"/>
      <c r="AF856" s="190"/>
      <c r="AG856" s="190"/>
      <c r="AH856" s="190"/>
      <c r="AI856" s="190"/>
      <c r="AJ856" s="190"/>
      <c r="AK856" s="619"/>
      <c r="AL856" s="617"/>
    </row>
    <row r="857" spans="1:38" ht="15.75">
      <c r="A857" s="190"/>
      <c r="B857" s="190"/>
      <c r="C857" s="190"/>
      <c r="D857" s="190"/>
      <c r="E857" s="190"/>
      <c r="F857" s="190"/>
      <c r="G857" s="324"/>
      <c r="H857" s="190"/>
      <c r="I857" s="190"/>
      <c r="J857" s="190"/>
      <c r="K857" s="641"/>
      <c r="L857" s="641"/>
      <c r="M857" s="641"/>
      <c r="N857" s="641"/>
      <c r="O857" s="190"/>
      <c r="P857" s="190"/>
      <c r="Q857" s="190"/>
      <c r="R857" s="190"/>
      <c r="S857" s="615"/>
      <c r="T857" s="588"/>
      <c r="U857" s="188"/>
      <c r="V857" s="190"/>
      <c r="W857" s="190"/>
      <c r="X857" s="190"/>
      <c r="Y857" s="190"/>
      <c r="Z857" s="190"/>
      <c r="AA857" s="190"/>
      <c r="AB857" s="190"/>
      <c r="AC857" s="190"/>
      <c r="AD857" s="190"/>
      <c r="AE857" s="190"/>
      <c r="AF857" s="190"/>
      <c r="AG857" s="190"/>
      <c r="AH857" s="190"/>
      <c r="AI857" s="190"/>
      <c r="AJ857" s="190"/>
      <c r="AK857" s="619"/>
      <c r="AL857" s="617"/>
    </row>
    <row r="858" spans="1:38" ht="15.75">
      <c r="A858" s="190"/>
      <c r="B858" s="190"/>
      <c r="C858" s="190"/>
      <c r="D858" s="190"/>
      <c r="E858" s="190"/>
      <c r="F858" s="190"/>
      <c r="G858" s="324"/>
      <c r="H858" s="190"/>
      <c r="I858" s="190"/>
      <c r="J858" s="190"/>
      <c r="K858" s="641"/>
      <c r="L858" s="641"/>
      <c r="M858" s="641"/>
      <c r="N858" s="641"/>
      <c r="O858" s="190"/>
      <c r="P858" s="190"/>
      <c r="Q858" s="190"/>
      <c r="R858" s="190"/>
      <c r="S858" s="615"/>
      <c r="T858" s="588"/>
      <c r="U858" s="188"/>
      <c r="V858" s="190"/>
      <c r="W858" s="190"/>
      <c r="X858" s="190"/>
      <c r="Y858" s="190"/>
      <c r="Z858" s="190"/>
      <c r="AA858" s="190"/>
      <c r="AB858" s="190"/>
      <c r="AC858" s="190"/>
      <c r="AD858" s="190"/>
      <c r="AE858" s="190"/>
      <c r="AF858" s="190"/>
      <c r="AG858" s="190"/>
      <c r="AH858" s="190"/>
      <c r="AI858" s="190"/>
      <c r="AJ858" s="190"/>
      <c r="AK858" s="619"/>
      <c r="AL858" s="617"/>
    </row>
    <row r="859" spans="1:38" ht="15.75">
      <c r="A859" s="190"/>
      <c r="B859" s="190"/>
      <c r="C859" s="190"/>
      <c r="D859" s="190"/>
      <c r="E859" s="190"/>
      <c r="F859" s="190"/>
      <c r="G859" s="324"/>
      <c r="H859" s="190"/>
      <c r="I859" s="190"/>
      <c r="J859" s="190"/>
      <c r="K859" s="641"/>
      <c r="L859" s="641"/>
      <c r="M859" s="641"/>
      <c r="N859" s="641"/>
      <c r="O859" s="190"/>
      <c r="P859" s="190"/>
      <c r="Q859" s="190"/>
      <c r="R859" s="190"/>
      <c r="S859" s="615"/>
      <c r="T859" s="588"/>
      <c r="U859" s="188"/>
      <c r="V859" s="190"/>
      <c r="W859" s="190"/>
      <c r="X859" s="190"/>
      <c r="Y859" s="190"/>
      <c r="Z859" s="190"/>
      <c r="AA859" s="190"/>
      <c r="AB859" s="190"/>
      <c r="AC859" s="190"/>
      <c r="AD859" s="190"/>
      <c r="AE859" s="190"/>
      <c r="AF859" s="190"/>
      <c r="AG859" s="190"/>
      <c r="AH859" s="190"/>
      <c r="AI859" s="190"/>
      <c r="AJ859" s="190"/>
      <c r="AK859" s="619"/>
      <c r="AL859" s="617"/>
    </row>
    <row r="860" spans="1:38" ht="15.75">
      <c r="A860" s="190"/>
      <c r="B860" s="190"/>
      <c r="C860" s="190"/>
      <c r="D860" s="190"/>
      <c r="E860" s="190"/>
      <c r="F860" s="190"/>
      <c r="G860" s="324"/>
      <c r="H860" s="190"/>
      <c r="I860" s="190"/>
      <c r="J860" s="190"/>
      <c r="K860" s="641"/>
      <c r="L860" s="641"/>
      <c r="M860" s="641"/>
      <c r="N860" s="641"/>
      <c r="O860" s="190"/>
      <c r="P860" s="190"/>
      <c r="Q860" s="190"/>
      <c r="R860" s="190"/>
      <c r="S860" s="615"/>
      <c r="T860" s="588"/>
      <c r="U860" s="188"/>
      <c r="V860" s="190"/>
      <c r="W860" s="190"/>
      <c r="X860" s="190"/>
      <c r="Y860" s="190"/>
      <c r="Z860" s="190"/>
      <c r="AA860" s="190"/>
      <c r="AB860" s="190"/>
      <c r="AC860" s="190"/>
      <c r="AD860" s="190"/>
      <c r="AE860" s="190"/>
      <c r="AF860" s="190"/>
      <c r="AG860" s="190"/>
      <c r="AH860" s="190"/>
      <c r="AI860" s="190"/>
      <c r="AJ860" s="190"/>
      <c r="AK860" s="619"/>
      <c r="AL860" s="617"/>
    </row>
    <row r="861" spans="1:38" ht="15.75">
      <c r="A861" s="190"/>
      <c r="B861" s="190"/>
      <c r="C861" s="190"/>
      <c r="D861" s="190"/>
      <c r="E861" s="190"/>
      <c r="F861" s="190"/>
      <c r="G861" s="324"/>
      <c r="H861" s="190"/>
      <c r="I861" s="190"/>
      <c r="J861" s="190"/>
      <c r="K861" s="641"/>
      <c r="L861" s="641"/>
      <c r="M861" s="641"/>
      <c r="N861" s="641"/>
      <c r="O861" s="190"/>
      <c r="P861" s="190"/>
      <c r="Q861" s="190"/>
      <c r="R861" s="190"/>
      <c r="S861" s="615"/>
      <c r="T861" s="588"/>
      <c r="U861" s="188"/>
      <c r="V861" s="190"/>
      <c r="W861" s="190"/>
      <c r="X861" s="190"/>
      <c r="Y861" s="190"/>
      <c r="Z861" s="190"/>
      <c r="AA861" s="190"/>
      <c r="AB861" s="190"/>
      <c r="AC861" s="190"/>
      <c r="AD861" s="190"/>
      <c r="AE861" s="190"/>
      <c r="AF861" s="190"/>
      <c r="AG861" s="190"/>
      <c r="AH861" s="190"/>
      <c r="AI861" s="190"/>
      <c r="AJ861" s="190"/>
      <c r="AK861" s="619"/>
      <c r="AL861" s="617"/>
    </row>
    <row r="862" spans="1:38" ht="15.75">
      <c r="A862" s="190"/>
      <c r="B862" s="190"/>
      <c r="C862" s="190"/>
      <c r="D862" s="190"/>
      <c r="E862" s="190"/>
      <c r="F862" s="190"/>
      <c r="G862" s="324"/>
      <c r="H862" s="190"/>
      <c r="I862" s="190"/>
      <c r="J862" s="190"/>
      <c r="K862" s="641"/>
      <c r="L862" s="641"/>
      <c r="M862" s="641"/>
      <c r="N862" s="641"/>
      <c r="O862" s="190"/>
      <c r="P862" s="190"/>
      <c r="Q862" s="190"/>
      <c r="R862" s="190"/>
      <c r="S862" s="615"/>
      <c r="T862" s="588"/>
      <c r="U862" s="188"/>
      <c r="V862" s="190"/>
      <c r="W862" s="190"/>
      <c r="X862" s="190"/>
      <c r="Y862" s="190"/>
      <c r="Z862" s="190"/>
      <c r="AA862" s="190"/>
      <c r="AB862" s="190"/>
      <c r="AC862" s="190"/>
      <c r="AD862" s="190"/>
      <c r="AE862" s="190"/>
      <c r="AF862" s="190"/>
      <c r="AG862" s="190"/>
      <c r="AH862" s="190"/>
      <c r="AI862" s="190"/>
      <c r="AJ862" s="190"/>
      <c r="AK862" s="619"/>
      <c r="AL862" s="617"/>
    </row>
    <row r="863" spans="1:38" ht="15.75">
      <c r="A863" s="190"/>
      <c r="B863" s="190"/>
      <c r="C863" s="190"/>
      <c r="D863" s="190"/>
      <c r="E863" s="190"/>
      <c r="F863" s="190"/>
      <c r="G863" s="324"/>
      <c r="H863" s="190"/>
      <c r="I863" s="190"/>
      <c r="J863" s="190"/>
      <c r="K863" s="641"/>
      <c r="L863" s="641"/>
      <c r="M863" s="641"/>
      <c r="N863" s="641"/>
      <c r="O863" s="190"/>
      <c r="P863" s="190"/>
      <c r="Q863" s="190"/>
      <c r="R863" s="190"/>
      <c r="S863" s="190"/>
      <c r="T863" s="588"/>
      <c r="U863" s="188"/>
      <c r="V863" s="190"/>
      <c r="W863" s="190"/>
      <c r="X863" s="190"/>
      <c r="Y863" s="190"/>
      <c r="Z863" s="190"/>
      <c r="AA863" s="190"/>
      <c r="AB863" s="190"/>
      <c r="AC863" s="190"/>
      <c r="AD863" s="190"/>
      <c r="AE863" s="190"/>
      <c r="AF863" s="190"/>
      <c r="AG863" s="190"/>
      <c r="AH863" s="190"/>
      <c r="AI863" s="190"/>
      <c r="AJ863" s="190"/>
      <c r="AK863" s="619"/>
      <c r="AL863" s="617"/>
    </row>
    <row r="864" spans="1:38" ht="15.75">
      <c r="A864" s="190"/>
      <c r="B864" s="190"/>
      <c r="C864" s="190"/>
      <c r="D864" s="190"/>
      <c r="E864" s="190"/>
      <c r="F864" s="190"/>
      <c r="G864" s="324"/>
      <c r="H864" s="190"/>
      <c r="I864" s="190"/>
      <c r="J864" s="190"/>
      <c r="K864" s="641"/>
      <c r="L864" s="641"/>
      <c r="M864" s="641"/>
      <c r="N864" s="641"/>
      <c r="O864" s="190"/>
      <c r="P864" s="190"/>
      <c r="Q864" s="190"/>
      <c r="R864" s="190"/>
      <c r="S864" s="190"/>
      <c r="T864" s="588"/>
      <c r="U864" s="188"/>
      <c r="V864" s="190"/>
      <c r="W864" s="190"/>
      <c r="X864" s="190"/>
      <c r="Y864" s="190"/>
      <c r="Z864" s="190"/>
      <c r="AA864" s="190"/>
      <c r="AB864" s="190"/>
      <c r="AC864" s="190"/>
      <c r="AD864" s="190"/>
      <c r="AE864" s="190"/>
      <c r="AF864" s="190"/>
      <c r="AG864" s="190"/>
      <c r="AH864" s="190"/>
      <c r="AI864" s="190"/>
      <c r="AJ864" s="190"/>
      <c r="AK864" s="619"/>
      <c r="AL864" s="617"/>
    </row>
    <row r="865" spans="1:38" ht="15.75">
      <c r="A865" s="190"/>
      <c r="B865" s="190"/>
      <c r="C865" s="190"/>
      <c r="D865" s="190"/>
      <c r="E865" s="190"/>
      <c r="F865" s="190"/>
      <c r="G865" s="324"/>
      <c r="H865" s="190"/>
      <c r="I865" s="190"/>
      <c r="J865" s="190"/>
      <c r="K865" s="641"/>
      <c r="L865" s="641"/>
      <c r="M865" s="641"/>
      <c r="N865" s="641"/>
      <c r="O865" s="190"/>
      <c r="P865" s="190"/>
      <c r="Q865" s="190"/>
      <c r="R865" s="190"/>
      <c r="S865" s="190"/>
      <c r="T865" s="588"/>
      <c r="U865" s="188"/>
      <c r="V865" s="190"/>
      <c r="W865" s="190"/>
      <c r="X865" s="190"/>
      <c r="Y865" s="190"/>
      <c r="Z865" s="190"/>
      <c r="AA865" s="190"/>
      <c r="AB865" s="190"/>
      <c r="AC865" s="190"/>
      <c r="AD865" s="190"/>
      <c r="AE865" s="190"/>
      <c r="AF865" s="190"/>
      <c r="AG865" s="190"/>
      <c r="AH865" s="190"/>
      <c r="AI865" s="190"/>
      <c r="AJ865" s="190"/>
      <c r="AK865" s="619"/>
      <c r="AL865" s="617"/>
    </row>
    <row r="866" spans="1:38" ht="15.75">
      <c r="A866" s="190"/>
      <c r="B866" s="190"/>
      <c r="C866" s="190"/>
      <c r="D866" s="190"/>
      <c r="E866" s="190"/>
      <c r="F866" s="190"/>
      <c r="G866" s="324"/>
      <c r="H866" s="190"/>
      <c r="I866" s="190"/>
      <c r="J866" s="190"/>
      <c r="K866" s="641"/>
      <c r="L866" s="641"/>
      <c r="M866" s="641"/>
      <c r="N866" s="641"/>
      <c r="O866" s="190"/>
      <c r="P866" s="190"/>
      <c r="Q866" s="190"/>
      <c r="R866" s="190"/>
      <c r="S866" s="190"/>
      <c r="T866" s="588"/>
      <c r="U866" s="188"/>
      <c r="V866" s="190"/>
      <c r="W866" s="190"/>
      <c r="X866" s="190"/>
      <c r="Y866" s="190"/>
      <c r="Z866" s="190"/>
      <c r="AA866" s="190"/>
      <c r="AB866" s="190"/>
      <c r="AC866" s="190"/>
      <c r="AD866" s="190"/>
      <c r="AE866" s="190"/>
      <c r="AF866" s="190"/>
      <c r="AG866" s="190"/>
      <c r="AH866" s="190"/>
      <c r="AI866" s="190"/>
      <c r="AJ866" s="190"/>
      <c r="AK866" s="619"/>
      <c r="AL866" s="617"/>
    </row>
    <row r="867" spans="1:38" ht="15.75">
      <c r="A867" s="190"/>
      <c r="B867" s="190"/>
      <c r="C867" s="190"/>
      <c r="D867" s="190"/>
      <c r="E867" s="190"/>
      <c r="F867" s="190"/>
      <c r="G867" s="324"/>
      <c r="H867" s="190"/>
      <c r="I867" s="190"/>
      <c r="J867" s="190"/>
      <c r="K867" s="641"/>
      <c r="L867" s="641"/>
      <c r="M867" s="641"/>
      <c r="N867" s="641"/>
      <c r="O867" s="190"/>
      <c r="P867" s="190"/>
      <c r="Q867" s="190"/>
      <c r="R867" s="190"/>
      <c r="S867" s="190"/>
      <c r="T867" s="588"/>
      <c r="U867" s="188"/>
      <c r="V867" s="190"/>
      <c r="W867" s="190"/>
      <c r="X867" s="190"/>
      <c r="Y867" s="190"/>
      <c r="Z867" s="190"/>
      <c r="AA867" s="190"/>
      <c r="AB867" s="190"/>
      <c r="AC867" s="190"/>
      <c r="AD867" s="190"/>
      <c r="AE867" s="190"/>
      <c r="AF867" s="190"/>
      <c r="AG867" s="190"/>
      <c r="AH867" s="190"/>
      <c r="AI867" s="190"/>
      <c r="AJ867" s="190"/>
      <c r="AK867" s="619"/>
      <c r="AL867" s="617"/>
    </row>
    <row r="868" spans="1:38" ht="15.75">
      <c r="A868" s="190"/>
      <c r="B868" s="190"/>
      <c r="C868" s="190"/>
      <c r="D868" s="190"/>
      <c r="E868" s="190"/>
      <c r="F868" s="190"/>
      <c r="G868" s="324"/>
      <c r="H868" s="190"/>
      <c r="I868" s="190"/>
      <c r="J868" s="190"/>
      <c r="K868" s="641"/>
      <c r="L868" s="641"/>
      <c r="M868" s="641"/>
      <c r="N868" s="641"/>
      <c r="O868" s="190"/>
      <c r="P868" s="190"/>
      <c r="Q868" s="190"/>
      <c r="R868" s="190"/>
      <c r="S868" s="190"/>
      <c r="T868" s="588"/>
      <c r="U868" s="188"/>
      <c r="V868" s="190"/>
      <c r="W868" s="190"/>
      <c r="X868" s="190"/>
      <c r="Y868" s="190"/>
      <c r="Z868" s="190"/>
      <c r="AA868" s="190"/>
      <c r="AB868" s="190"/>
      <c r="AC868" s="190"/>
      <c r="AD868" s="190"/>
      <c r="AE868" s="190"/>
      <c r="AF868" s="190"/>
      <c r="AG868" s="190"/>
      <c r="AH868" s="190"/>
      <c r="AI868" s="190"/>
      <c r="AJ868" s="190"/>
      <c r="AK868" s="619"/>
      <c r="AL868" s="617"/>
    </row>
    <row r="869" spans="1:38" ht="15.75">
      <c r="A869" s="190"/>
      <c r="B869" s="190"/>
      <c r="C869" s="190"/>
      <c r="D869" s="190"/>
      <c r="E869" s="190"/>
      <c r="F869" s="190"/>
      <c r="G869" s="324"/>
      <c r="H869" s="190"/>
      <c r="I869" s="190"/>
      <c r="J869" s="190"/>
      <c r="K869" s="641"/>
      <c r="L869" s="641"/>
      <c r="M869" s="641"/>
      <c r="N869" s="641"/>
      <c r="O869" s="190"/>
      <c r="P869" s="190"/>
      <c r="Q869" s="190"/>
      <c r="R869" s="190"/>
      <c r="S869" s="190"/>
      <c r="T869" s="588"/>
      <c r="U869" s="188"/>
      <c r="V869" s="190"/>
      <c r="W869" s="190"/>
      <c r="X869" s="190"/>
      <c r="Y869" s="190"/>
      <c r="Z869" s="190"/>
      <c r="AA869" s="190"/>
      <c r="AB869" s="190"/>
      <c r="AC869" s="190"/>
      <c r="AD869" s="190"/>
      <c r="AE869" s="190"/>
      <c r="AF869" s="190"/>
      <c r="AG869" s="190"/>
      <c r="AH869" s="190"/>
      <c r="AI869" s="190"/>
      <c r="AJ869" s="190"/>
      <c r="AK869" s="619"/>
      <c r="AL869" s="617"/>
    </row>
    <row r="870" spans="1:38" ht="15.75">
      <c r="A870" s="190"/>
      <c r="B870" s="190"/>
      <c r="C870" s="190"/>
      <c r="D870" s="190"/>
      <c r="E870" s="190"/>
      <c r="F870" s="190"/>
      <c r="G870" s="324"/>
      <c r="H870" s="190"/>
      <c r="I870" s="190"/>
      <c r="J870" s="190"/>
      <c r="K870" s="641"/>
      <c r="L870" s="641"/>
      <c r="M870" s="641"/>
      <c r="N870" s="641"/>
      <c r="O870" s="190"/>
      <c r="P870" s="190"/>
      <c r="Q870" s="190"/>
      <c r="R870" s="190"/>
      <c r="S870" s="190"/>
      <c r="T870" s="588"/>
      <c r="U870" s="188"/>
      <c r="V870" s="190"/>
      <c r="W870" s="190"/>
      <c r="X870" s="190"/>
      <c r="Y870" s="190"/>
      <c r="Z870" s="190"/>
      <c r="AA870" s="190"/>
      <c r="AB870" s="190"/>
      <c r="AC870" s="190"/>
      <c r="AD870" s="190"/>
      <c r="AE870" s="190"/>
      <c r="AF870" s="190"/>
      <c r="AG870" s="190"/>
      <c r="AH870" s="190"/>
      <c r="AI870" s="190"/>
      <c r="AJ870" s="190"/>
      <c r="AK870" s="619"/>
      <c r="AL870" s="617"/>
    </row>
    <row r="871" spans="1:38" ht="15.75">
      <c r="A871" s="190"/>
      <c r="B871" s="190"/>
      <c r="C871" s="190"/>
      <c r="D871" s="190"/>
      <c r="E871" s="190"/>
      <c r="F871" s="190"/>
      <c r="G871" s="324"/>
      <c r="H871" s="190"/>
      <c r="I871" s="190"/>
      <c r="J871" s="190"/>
      <c r="K871" s="641"/>
      <c r="L871" s="641"/>
      <c r="M871" s="641"/>
      <c r="N871" s="641"/>
      <c r="O871" s="190"/>
      <c r="P871" s="190"/>
      <c r="Q871" s="190"/>
      <c r="R871" s="190"/>
      <c r="S871" s="190"/>
      <c r="T871" s="588"/>
      <c r="U871" s="188"/>
      <c r="V871" s="190"/>
      <c r="W871" s="190"/>
      <c r="X871" s="190"/>
      <c r="Y871" s="190"/>
      <c r="Z871" s="190"/>
      <c r="AA871" s="190"/>
      <c r="AB871" s="190"/>
      <c r="AC871" s="190"/>
      <c r="AD871" s="190"/>
      <c r="AE871" s="190"/>
      <c r="AF871" s="190"/>
      <c r="AG871" s="190"/>
      <c r="AH871" s="190"/>
      <c r="AI871" s="190"/>
      <c r="AJ871" s="190"/>
      <c r="AK871" s="619"/>
      <c r="AL871" s="617"/>
    </row>
    <row r="872" spans="1:38">
      <c r="A872" s="190"/>
      <c r="B872" s="190"/>
      <c r="C872" s="190"/>
      <c r="D872" s="190"/>
      <c r="E872" s="190"/>
      <c r="F872" s="190"/>
      <c r="G872" s="190"/>
      <c r="H872" s="190"/>
      <c r="I872" s="190"/>
      <c r="J872" s="190"/>
      <c r="K872" s="641"/>
      <c r="L872" s="641"/>
      <c r="M872" s="641"/>
      <c r="N872" s="641"/>
      <c r="O872" s="190"/>
      <c r="P872" s="190"/>
      <c r="Q872" s="190"/>
      <c r="R872" s="190"/>
      <c r="S872" s="190"/>
      <c r="T872" s="588"/>
      <c r="U872" s="188"/>
      <c r="V872" s="190"/>
      <c r="W872" s="190"/>
      <c r="X872" s="190"/>
      <c r="Y872" s="190"/>
      <c r="Z872" s="190"/>
      <c r="AA872" s="190"/>
      <c r="AB872" s="190"/>
      <c r="AC872" s="190"/>
      <c r="AD872" s="190"/>
      <c r="AE872" s="190"/>
      <c r="AF872" s="190"/>
      <c r="AG872" s="190"/>
      <c r="AH872" s="190"/>
      <c r="AI872" s="190"/>
      <c r="AJ872" s="190"/>
      <c r="AK872" s="619"/>
      <c r="AL872" s="617"/>
    </row>
    <row r="873" spans="1:38">
      <c r="A873" s="190"/>
      <c r="B873" s="190"/>
      <c r="C873" s="190"/>
      <c r="D873" s="190"/>
      <c r="E873" s="190"/>
      <c r="F873" s="190"/>
      <c r="G873" s="190"/>
      <c r="H873" s="190"/>
      <c r="I873" s="190"/>
      <c r="J873" s="190"/>
      <c r="K873" s="641"/>
      <c r="L873" s="641"/>
      <c r="M873" s="641"/>
      <c r="N873" s="641"/>
      <c r="O873" s="190"/>
      <c r="P873" s="190"/>
      <c r="Q873" s="190"/>
      <c r="R873" s="190"/>
      <c r="S873" s="190"/>
      <c r="T873" s="588"/>
      <c r="U873" s="188"/>
      <c r="V873" s="190"/>
      <c r="W873" s="190"/>
      <c r="X873" s="190"/>
      <c r="Y873" s="190"/>
      <c r="Z873" s="190"/>
      <c r="AA873" s="190"/>
      <c r="AB873" s="190"/>
      <c r="AC873" s="190"/>
      <c r="AD873" s="190"/>
      <c r="AE873" s="190"/>
      <c r="AF873" s="190"/>
      <c r="AG873" s="190"/>
      <c r="AH873" s="190"/>
      <c r="AI873" s="190"/>
      <c r="AJ873" s="190"/>
      <c r="AK873" s="619"/>
      <c r="AL873" s="617"/>
    </row>
    <row r="874" spans="1:38">
      <c r="A874" s="190"/>
      <c r="B874" s="190"/>
      <c r="C874" s="190"/>
      <c r="D874" s="190"/>
      <c r="E874" s="190"/>
      <c r="F874" s="190"/>
      <c r="G874" s="190"/>
      <c r="H874" s="190"/>
      <c r="I874" s="190"/>
      <c r="J874" s="190"/>
      <c r="K874" s="641"/>
      <c r="L874" s="641"/>
      <c r="M874" s="641"/>
      <c r="N874" s="641"/>
      <c r="O874" s="190"/>
      <c r="P874" s="190"/>
      <c r="Q874" s="190"/>
      <c r="R874" s="190"/>
      <c r="S874" s="190"/>
      <c r="T874" s="588"/>
      <c r="U874" s="188"/>
      <c r="V874" s="190"/>
      <c r="W874" s="190"/>
      <c r="X874" s="190"/>
      <c r="Y874" s="190"/>
      <c r="Z874" s="190"/>
      <c r="AA874" s="190"/>
      <c r="AB874" s="190"/>
      <c r="AC874" s="190"/>
      <c r="AD874" s="190"/>
      <c r="AE874" s="190"/>
      <c r="AF874" s="190"/>
      <c r="AG874" s="190"/>
      <c r="AH874" s="190"/>
      <c r="AI874" s="190"/>
      <c r="AJ874" s="190"/>
      <c r="AK874" s="619"/>
      <c r="AL874" s="617"/>
    </row>
    <row r="875" spans="1:38">
      <c r="A875" s="190"/>
      <c r="B875" s="190"/>
      <c r="C875" s="190"/>
      <c r="D875" s="190"/>
      <c r="E875" s="190"/>
      <c r="F875" s="190"/>
      <c r="G875" s="190"/>
      <c r="H875" s="190"/>
      <c r="I875" s="190"/>
      <c r="J875" s="190"/>
      <c r="K875" s="641"/>
      <c r="L875" s="641"/>
      <c r="M875" s="641"/>
      <c r="N875" s="641"/>
      <c r="O875" s="190"/>
      <c r="P875" s="190"/>
      <c r="Q875" s="190"/>
      <c r="R875" s="190"/>
      <c r="S875" s="190"/>
      <c r="T875" s="588"/>
      <c r="U875" s="188"/>
      <c r="V875" s="190"/>
      <c r="W875" s="190"/>
      <c r="X875" s="190"/>
      <c r="Y875" s="190"/>
      <c r="Z875" s="190"/>
      <c r="AA875" s="190"/>
      <c r="AB875" s="190"/>
      <c r="AC875" s="190"/>
      <c r="AD875" s="190"/>
      <c r="AE875" s="190"/>
      <c r="AF875" s="190"/>
      <c r="AG875" s="190"/>
      <c r="AH875" s="190"/>
      <c r="AI875" s="190"/>
      <c r="AJ875" s="190"/>
      <c r="AK875" s="619"/>
      <c r="AL875" s="617"/>
    </row>
    <row r="876" spans="1:38">
      <c r="A876" s="190"/>
      <c r="B876" s="190"/>
      <c r="C876" s="190"/>
      <c r="D876" s="190"/>
      <c r="E876" s="190"/>
      <c r="F876" s="190"/>
      <c r="G876" s="190"/>
      <c r="H876" s="190"/>
      <c r="I876" s="190"/>
      <c r="J876" s="190"/>
      <c r="K876" s="641"/>
      <c r="L876" s="641"/>
      <c r="M876" s="641"/>
      <c r="N876" s="641"/>
      <c r="O876" s="190"/>
      <c r="P876" s="190"/>
      <c r="Q876" s="190"/>
      <c r="R876" s="190"/>
      <c r="S876" s="190"/>
      <c r="T876" s="588"/>
      <c r="U876" s="188"/>
      <c r="V876" s="190"/>
      <c r="W876" s="190"/>
      <c r="X876" s="190"/>
      <c r="Y876" s="190"/>
      <c r="Z876" s="190"/>
      <c r="AA876" s="190"/>
      <c r="AB876" s="190"/>
      <c r="AC876" s="190"/>
      <c r="AD876" s="190"/>
      <c r="AE876" s="190"/>
      <c r="AF876" s="190"/>
      <c r="AG876" s="190"/>
      <c r="AH876" s="190"/>
      <c r="AI876" s="190"/>
      <c r="AJ876" s="190"/>
      <c r="AK876" s="619"/>
      <c r="AL876" s="617"/>
    </row>
    <row r="877" spans="1:38">
      <c r="A877" s="190"/>
      <c r="B877" s="190"/>
      <c r="C877" s="190"/>
      <c r="D877" s="190"/>
      <c r="E877" s="190"/>
      <c r="F877" s="190"/>
      <c r="G877" s="190"/>
      <c r="H877" s="190"/>
      <c r="I877" s="190"/>
      <c r="J877" s="190"/>
      <c r="K877" s="642"/>
      <c r="L877" s="642"/>
      <c r="M877" s="642"/>
      <c r="N877" s="642"/>
      <c r="O877" s="190"/>
      <c r="P877" s="190"/>
      <c r="Q877" s="190"/>
      <c r="R877" s="190"/>
      <c r="S877" s="190"/>
      <c r="T877" s="588"/>
      <c r="U877" s="188"/>
      <c r="V877" s="190"/>
      <c r="W877" s="190"/>
      <c r="X877" s="190"/>
      <c r="Y877" s="190"/>
      <c r="Z877" s="190"/>
      <c r="AA877" s="190"/>
      <c r="AB877" s="190"/>
      <c r="AC877" s="190"/>
      <c r="AD877" s="190"/>
      <c r="AE877" s="190"/>
      <c r="AF877" s="190"/>
      <c r="AG877" s="190"/>
      <c r="AH877" s="190"/>
      <c r="AI877" s="190"/>
      <c r="AJ877" s="190"/>
      <c r="AK877" s="619"/>
      <c r="AL877" s="617"/>
    </row>
    <row r="878" spans="1:38">
      <c r="A878" s="190"/>
      <c r="B878" s="190"/>
      <c r="C878" s="190"/>
      <c r="D878" s="190"/>
      <c r="E878" s="190"/>
      <c r="F878" s="190"/>
      <c r="G878" s="190"/>
      <c r="H878" s="190"/>
      <c r="I878" s="190"/>
      <c r="J878" s="190"/>
      <c r="K878" s="642"/>
      <c r="L878" s="642"/>
      <c r="M878" s="642"/>
      <c r="N878" s="642"/>
      <c r="O878" s="190"/>
      <c r="P878" s="190"/>
      <c r="Q878" s="190"/>
      <c r="R878" s="190"/>
      <c r="S878" s="190"/>
      <c r="T878" s="588"/>
      <c r="U878" s="188"/>
      <c r="V878" s="190"/>
      <c r="W878" s="190"/>
      <c r="X878" s="190"/>
      <c r="Y878" s="190"/>
      <c r="Z878" s="190"/>
      <c r="AA878" s="190"/>
      <c r="AB878" s="190"/>
      <c r="AC878" s="190"/>
      <c r="AD878" s="190"/>
      <c r="AE878" s="190"/>
      <c r="AF878" s="190"/>
      <c r="AG878" s="190"/>
      <c r="AH878" s="190"/>
      <c r="AI878" s="190"/>
      <c r="AJ878" s="190"/>
      <c r="AK878" s="619"/>
      <c r="AL878" s="617"/>
    </row>
    <row r="879" spans="1:38">
      <c r="A879" s="190"/>
      <c r="B879" s="190"/>
      <c r="C879" s="190"/>
      <c r="D879" s="190"/>
      <c r="E879" s="190"/>
      <c r="F879" s="190"/>
      <c r="G879" s="190"/>
      <c r="H879" s="190"/>
      <c r="I879" s="190"/>
      <c r="J879" s="190"/>
      <c r="K879" s="642"/>
      <c r="L879" s="642"/>
      <c r="M879" s="642"/>
      <c r="N879" s="642"/>
      <c r="O879" s="190"/>
      <c r="P879" s="190"/>
      <c r="Q879" s="190"/>
      <c r="R879" s="190"/>
      <c r="S879" s="190"/>
      <c r="T879" s="588"/>
      <c r="U879" s="188"/>
      <c r="V879" s="190"/>
      <c r="W879" s="190"/>
      <c r="X879" s="190"/>
      <c r="Y879" s="190"/>
      <c r="Z879" s="190"/>
      <c r="AA879" s="190"/>
      <c r="AB879" s="190"/>
      <c r="AC879" s="190"/>
      <c r="AD879" s="190"/>
      <c r="AE879" s="190"/>
      <c r="AF879" s="190"/>
      <c r="AG879" s="190"/>
      <c r="AH879" s="190"/>
      <c r="AI879" s="190"/>
      <c r="AJ879" s="190"/>
      <c r="AK879" s="619"/>
      <c r="AL879" s="617"/>
    </row>
    <row r="880" spans="1:38">
      <c r="A880" s="190"/>
      <c r="B880" s="190"/>
      <c r="C880" s="190"/>
      <c r="D880" s="190"/>
      <c r="E880" s="190"/>
      <c r="F880" s="190"/>
      <c r="G880" s="190"/>
      <c r="H880" s="190"/>
      <c r="I880" s="190"/>
      <c r="J880" s="190"/>
      <c r="K880" s="642"/>
      <c r="L880" s="642"/>
      <c r="M880" s="642"/>
      <c r="N880" s="642"/>
      <c r="O880" s="190"/>
      <c r="P880" s="190"/>
      <c r="Q880" s="190"/>
      <c r="R880" s="190"/>
      <c r="S880" s="190"/>
      <c r="T880" s="588"/>
      <c r="U880" s="188"/>
      <c r="V880" s="190"/>
      <c r="W880" s="190"/>
      <c r="X880" s="190"/>
      <c r="Y880" s="190"/>
      <c r="Z880" s="190"/>
      <c r="AA880" s="190"/>
      <c r="AB880" s="190"/>
      <c r="AC880" s="190"/>
      <c r="AD880" s="190"/>
      <c r="AE880" s="190"/>
      <c r="AF880" s="190"/>
      <c r="AG880" s="190"/>
      <c r="AH880" s="190"/>
      <c r="AI880" s="190"/>
      <c r="AJ880" s="190"/>
      <c r="AK880" s="619"/>
      <c r="AL880" s="617"/>
    </row>
    <row r="881" spans="1:38">
      <c r="A881" s="190"/>
      <c r="B881" s="190"/>
      <c r="C881" s="190"/>
      <c r="D881" s="190"/>
      <c r="E881" s="190"/>
      <c r="F881" s="190"/>
      <c r="G881" s="190"/>
      <c r="H881" s="190"/>
      <c r="I881" s="190"/>
      <c r="J881" s="190"/>
      <c r="K881" s="642"/>
      <c r="L881" s="642"/>
      <c r="M881" s="642"/>
      <c r="N881" s="642"/>
      <c r="O881" s="190"/>
      <c r="P881" s="190"/>
      <c r="Q881" s="190"/>
      <c r="R881" s="190"/>
      <c r="S881" s="190"/>
      <c r="T881" s="588"/>
      <c r="U881" s="188"/>
      <c r="V881" s="190"/>
      <c r="W881" s="190"/>
      <c r="X881" s="190"/>
      <c r="Y881" s="190"/>
      <c r="Z881" s="190"/>
      <c r="AA881" s="190"/>
      <c r="AB881" s="190"/>
      <c r="AC881" s="190"/>
      <c r="AD881" s="190"/>
      <c r="AE881" s="190"/>
      <c r="AF881" s="190"/>
      <c r="AG881" s="190"/>
      <c r="AH881" s="190"/>
      <c r="AI881" s="190"/>
      <c r="AJ881" s="190"/>
      <c r="AK881" s="619"/>
      <c r="AL881" s="617"/>
    </row>
    <row r="882" spans="1:38">
      <c r="A882" s="190"/>
      <c r="B882" s="190"/>
      <c r="C882" s="190"/>
      <c r="D882" s="190"/>
      <c r="E882" s="190"/>
      <c r="F882" s="190"/>
      <c r="G882" s="190"/>
      <c r="H882" s="190"/>
      <c r="I882" s="190"/>
      <c r="J882" s="190"/>
      <c r="K882" s="642"/>
      <c r="L882" s="642"/>
      <c r="M882" s="642"/>
      <c r="N882" s="642"/>
      <c r="O882" s="190"/>
      <c r="P882" s="190"/>
      <c r="Q882" s="190"/>
      <c r="R882" s="190"/>
      <c r="S882" s="190"/>
      <c r="T882" s="588"/>
      <c r="U882" s="188"/>
      <c r="V882" s="190"/>
      <c r="W882" s="190"/>
      <c r="X882" s="190"/>
      <c r="Y882" s="190"/>
      <c r="Z882" s="190"/>
      <c r="AA882" s="190"/>
      <c r="AB882" s="190"/>
      <c r="AC882" s="190"/>
      <c r="AD882" s="190"/>
      <c r="AE882" s="190"/>
      <c r="AF882" s="190"/>
      <c r="AG882" s="190"/>
      <c r="AH882" s="190"/>
      <c r="AI882" s="190"/>
      <c r="AJ882" s="190"/>
      <c r="AK882" s="619"/>
      <c r="AL882" s="617"/>
    </row>
    <row r="883" spans="1:38">
      <c r="A883" s="190"/>
      <c r="B883" s="190"/>
      <c r="C883" s="190"/>
      <c r="D883" s="190"/>
      <c r="E883" s="190"/>
      <c r="F883" s="190"/>
      <c r="G883" s="190"/>
      <c r="H883" s="190"/>
      <c r="I883" s="190"/>
      <c r="J883" s="190"/>
      <c r="K883" s="642"/>
      <c r="L883" s="642"/>
      <c r="M883" s="642"/>
      <c r="N883" s="642"/>
      <c r="O883" s="190"/>
      <c r="P883" s="190"/>
      <c r="Q883" s="190"/>
      <c r="R883" s="190"/>
      <c r="S883" s="190"/>
      <c r="T883" s="588"/>
      <c r="U883" s="188"/>
      <c r="V883" s="190"/>
      <c r="W883" s="190"/>
      <c r="X883" s="190"/>
      <c r="Y883" s="190"/>
      <c r="Z883" s="190"/>
      <c r="AA883" s="190"/>
      <c r="AB883" s="190"/>
      <c r="AC883" s="190"/>
      <c r="AD883" s="190"/>
      <c r="AE883" s="190"/>
      <c r="AF883" s="190"/>
      <c r="AG883" s="190"/>
      <c r="AH883" s="190"/>
      <c r="AI883" s="190"/>
      <c r="AJ883" s="190"/>
      <c r="AK883" s="619"/>
      <c r="AL883" s="617"/>
    </row>
    <row r="884" spans="1:38">
      <c r="A884" s="190"/>
      <c r="B884" s="190"/>
      <c r="C884" s="190"/>
      <c r="D884" s="190"/>
      <c r="E884" s="190"/>
      <c r="F884" s="190"/>
      <c r="G884" s="190"/>
      <c r="H884" s="190"/>
      <c r="I884" s="190"/>
      <c r="J884" s="190"/>
      <c r="K884" s="642"/>
      <c r="L884" s="642"/>
      <c r="M884" s="642"/>
      <c r="N884" s="642"/>
      <c r="O884" s="190"/>
      <c r="P884" s="190"/>
      <c r="Q884" s="190"/>
      <c r="R884" s="190"/>
      <c r="S884" s="190"/>
      <c r="T884" s="588"/>
      <c r="U884" s="188"/>
      <c r="V884" s="190"/>
      <c r="W884" s="190"/>
      <c r="X884" s="190"/>
      <c r="Y884" s="190"/>
      <c r="Z884" s="190"/>
      <c r="AA884" s="190"/>
      <c r="AB884" s="190"/>
      <c r="AC884" s="190"/>
      <c r="AD884" s="190"/>
      <c r="AE884" s="190"/>
      <c r="AF884" s="190"/>
      <c r="AG884" s="190"/>
      <c r="AH884" s="190"/>
      <c r="AI884" s="190"/>
      <c r="AJ884" s="190"/>
      <c r="AK884" s="619"/>
      <c r="AL884" s="617"/>
    </row>
    <row r="885" spans="1:38">
      <c r="A885" s="190"/>
      <c r="B885" s="190"/>
      <c r="C885" s="190"/>
      <c r="D885" s="190"/>
      <c r="E885" s="190"/>
      <c r="F885" s="190"/>
      <c r="G885" s="190"/>
      <c r="H885" s="190"/>
      <c r="I885" s="190"/>
      <c r="J885" s="190"/>
      <c r="K885" s="642"/>
      <c r="L885" s="642"/>
      <c r="M885" s="642"/>
      <c r="N885" s="642"/>
      <c r="O885" s="190"/>
      <c r="P885" s="190"/>
      <c r="Q885" s="190"/>
      <c r="R885" s="190"/>
      <c r="S885" s="190"/>
      <c r="T885" s="588"/>
      <c r="U885" s="188"/>
      <c r="V885" s="190"/>
      <c r="W885" s="190"/>
      <c r="X885" s="190"/>
      <c r="Y885" s="190"/>
      <c r="Z885" s="190"/>
      <c r="AA885" s="190"/>
      <c r="AB885" s="190"/>
      <c r="AC885" s="190"/>
      <c r="AD885" s="190"/>
      <c r="AE885" s="190"/>
      <c r="AF885" s="190"/>
      <c r="AG885" s="190"/>
      <c r="AH885" s="190"/>
      <c r="AI885" s="190"/>
      <c r="AJ885" s="190"/>
      <c r="AK885" s="619"/>
      <c r="AL885" s="617"/>
    </row>
    <row r="886" spans="1:38">
      <c r="A886" s="190"/>
      <c r="B886" s="190"/>
      <c r="C886" s="190"/>
      <c r="D886" s="190"/>
      <c r="E886" s="190"/>
      <c r="F886" s="190"/>
      <c r="G886" s="190"/>
      <c r="H886" s="190"/>
      <c r="I886" s="190"/>
      <c r="J886" s="190"/>
      <c r="K886" s="642"/>
      <c r="L886" s="642"/>
      <c r="M886" s="642"/>
      <c r="N886" s="642"/>
      <c r="O886" s="190"/>
      <c r="P886" s="190"/>
      <c r="Q886" s="190"/>
      <c r="R886" s="190"/>
      <c r="S886" s="190"/>
      <c r="T886" s="588"/>
      <c r="U886" s="188"/>
      <c r="V886" s="190"/>
      <c r="W886" s="190"/>
      <c r="X886" s="190"/>
      <c r="Y886" s="190"/>
      <c r="Z886" s="190"/>
      <c r="AA886" s="190"/>
      <c r="AB886" s="190"/>
      <c r="AC886" s="190"/>
      <c r="AD886" s="190"/>
      <c r="AE886" s="190"/>
      <c r="AF886" s="190"/>
      <c r="AG886" s="190"/>
      <c r="AH886" s="190"/>
      <c r="AI886" s="190"/>
      <c r="AJ886" s="190"/>
      <c r="AK886" s="619"/>
      <c r="AL886" s="617"/>
    </row>
    <row r="887" spans="1:38">
      <c r="A887" s="190"/>
      <c r="B887" s="190"/>
      <c r="C887" s="190"/>
      <c r="D887" s="190"/>
      <c r="E887" s="190"/>
      <c r="F887" s="190"/>
      <c r="G887" s="190"/>
      <c r="H887" s="190"/>
      <c r="I887" s="190"/>
      <c r="J887" s="190"/>
      <c r="K887" s="642"/>
      <c r="L887" s="642"/>
      <c r="M887" s="642"/>
      <c r="N887" s="642"/>
      <c r="O887" s="190"/>
      <c r="P887" s="190"/>
      <c r="Q887" s="190"/>
      <c r="R887" s="190"/>
      <c r="S887" s="190"/>
      <c r="T887" s="588"/>
      <c r="U887" s="188"/>
      <c r="V887" s="190"/>
      <c r="W887" s="190"/>
      <c r="X887" s="190"/>
      <c r="Y887" s="190"/>
      <c r="Z887" s="190"/>
      <c r="AA887" s="190"/>
      <c r="AB887" s="190"/>
      <c r="AC887" s="190"/>
      <c r="AD887" s="190"/>
      <c r="AE887" s="190"/>
      <c r="AF887" s="190"/>
      <c r="AG887" s="190"/>
      <c r="AH887" s="190"/>
      <c r="AI887" s="190"/>
      <c r="AJ887" s="190"/>
      <c r="AK887" s="619"/>
      <c r="AL887" s="617"/>
    </row>
    <row r="888" spans="1:38">
      <c r="A888" s="190"/>
      <c r="B888" s="190"/>
      <c r="C888" s="190"/>
      <c r="D888" s="190"/>
      <c r="E888" s="190"/>
      <c r="F888" s="190"/>
      <c r="G888" s="190"/>
      <c r="H888" s="190"/>
      <c r="I888" s="190"/>
      <c r="J888" s="190"/>
      <c r="K888" s="642"/>
      <c r="L888" s="642"/>
      <c r="M888" s="642"/>
      <c r="N888" s="642"/>
      <c r="O888" s="190"/>
      <c r="P888" s="190"/>
      <c r="Q888" s="190"/>
      <c r="R888" s="190"/>
      <c r="S888" s="190"/>
      <c r="T888" s="588"/>
      <c r="U888" s="188"/>
      <c r="V888" s="190"/>
      <c r="W888" s="190"/>
      <c r="X888" s="190"/>
      <c r="Y888" s="190"/>
      <c r="Z888" s="190"/>
      <c r="AA888" s="190"/>
      <c r="AB888" s="190"/>
      <c r="AC888" s="190"/>
      <c r="AD888" s="190"/>
      <c r="AE888" s="190"/>
      <c r="AF888" s="190"/>
      <c r="AG888" s="190"/>
      <c r="AH888" s="190"/>
      <c r="AI888" s="190"/>
      <c r="AJ888" s="190"/>
      <c r="AK888" s="619"/>
      <c r="AL888" s="617"/>
    </row>
    <row r="889" spans="1:38">
      <c r="A889" s="190"/>
      <c r="B889" s="190"/>
      <c r="C889" s="190"/>
      <c r="D889" s="190"/>
      <c r="E889" s="190"/>
      <c r="F889" s="190"/>
      <c r="G889" s="190"/>
      <c r="H889" s="190"/>
      <c r="I889" s="190"/>
      <c r="J889" s="190"/>
      <c r="K889" s="642"/>
      <c r="L889" s="642"/>
      <c r="M889" s="642"/>
      <c r="N889" s="642"/>
      <c r="O889" s="190"/>
      <c r="P889" s="190"/>
      <c r="Q889" s="190"/>
      <c r="R889" s="190"/>
      <c r="S889" s="190"/>
      <c r="T889" s="588"/>
      <c r="U889" s="188"/>
      <c r="V889" s="190"/>
      <c r="W889" s="190"/>
      <c r="X889" s="190"/>
      <c r="Y889" s="190"/>
      <c r="Z889" s="190"/>
      <c r="AA889" s="190"/>
      <c r="AB889" s="190"/>
      <c r="AC889" s="190"/>
      <c r="AD889" s="190"/>
      <c r="AE889" s="190"/>
      <c r="AF889" s="190"/>
      <c r="AG889" s="190"/>
      <c r="AH889" s="190"/>
      <c r="AI889" s="190"/>
      <c r="AJ889" s="190"/>
      <c r="AK889" s="619"/>
      <c r="AL889" s="617"/>
    </row>
    <row r="890" spans="1:38">
      <c r="A890" s="190"/>
      <c r="B890" s="190"/>
      <c r="C890" s="190"/>
      <c r="D890" s="190"/>
      <c r="E890" s="190"/>
      <c r="F890" s="190"/>
      <c r="G890" s="190"/>
      <c r="H890" s="190"/>
      <c r="I890" s="190"/>
      <c r="J890" s="190"/>
      <c r="K890" s="642"/>
      <c r="L890" s="642"/>
      <c r="M890" s="642"/>
      <c r="N890" s="642"/>
      <c r="O890" s="190"/>
      <c r="P890" s="190"/>
      <c r="Q890" s="190"/>
      <c r="R890" s="190"/>
      <c r="S890" s="190"/>
      <c r="T890" s="588"/>
      <c r="U890" s="188"/>
      <c r="V890" s="190"/>
      <c r="W890" s="190"/>
      <c r="X890" s="190"/>
      <c r="Y890" s="190"/>
      <c r="Z890" s="190"/>
      <c r="AA890" s="190"/>
      <c r="AB890" s="190"/>
      <c r="AC890" s="190"/>
      <c r="AD890" s="190"/>
      <c r="AE890" s="190"/>
      <c r="AF890" s="190"/>
      <c r="AG890" s="190"/>
      <c r="AH890" s="190"/>
      <c r="AI890" s="190"/>
      <c r="AJ890" s="190"/>
      <c r="AK890" s="619"/>
      <c r="AL890" s="617"/>
    </row>
    <row r="891" spans="1:38">
      <c r="A891" s="190"/>
      <c r="B891" s="190"/>
      <c r="C891" s="190"/>
      <c r="D891" s="190"/>
      <c r="E891" s="190"/>
      <c r="F891" s="190"/>
      <c r="G891" s="190"/>
      <c r="H891" s="190"/>
      <c r="I891" s="190"/>
      <c r="J891" s="190"/>
      <c r="K891" s="642"/>
      <c r="L891" s="642"/>
      <c r="M891" s="642"/>
      <c r="N891" s="642"/>
      <c r="O891" s="190"/>
      <c r="P891" s="190"/>
      <c r="Q891" s="190"/>
      <c r="R891" s="190"/>
      <c r="S891" s="190"/>
      <c r="T891" s="588"/>
      <c r="U891" s="188"/>
      <c r="V891" s="190"/>
      <c r="W891" s="190"/>
      <c r="X891" s="190"/>
      <c r="Y891" s="190"/>
      <c r="Z891" s="190"/>
      <c r="AA891" s="190"/>
      <c r="AB891" s="190"/>
      <c r="AC891" s="190"/>
      <c r="AD891" s="190"/>
      <c r="AE891" s="190"/>
      <c r="AF891" s="190"/>
      <c r="AG891" s="190"/>
      <c r="AH891" s="190"/>
      <c r="AI891" s="190"/>
      <c r="AJ891" s="190"/>
      <c r="AK891" s="619"/>
      <c r="AL891" s="617"/>
    </row>
    <row r="892" spans="1:38">
      <c r="A892" s="190"/>
      <c r="B892" s="190"/>
      <c r="C892" s="190"/>
      <c r="D892" s="190"/>
      <c r="E892" s="190"/>
      <c r="F892" s="190"/>
      <c r="G892" s="190"/>
      <c r="H892" s="190"/>
      <c r="I892" s="190"/>
      <c r="J892" s="190"/>
      <c r="K892" s="642"/>
      <c r="L892" s="642"/>
      <c r="M892" s="642"/>
      <c r="N892" s="642"/>
      <c r="O892" s="190"/>
      <c r="P892" s="190"/>
      <c r="Q892" s="190"/>
      <c r="R892" s="190"/>
      <c r="S892" s="190"/>
      <c r="T892" s="588"/>
      <c r="U892" s="188"/>
      <c r="V892" s="190"/>
      <c r="W892" s="190"/>
      <c r="X892" s="190"/>
      <c r="Y892" s="190"/>
      <c r="Z892" s="190"/>
      <c r="AA892" s="190"/>
      <c r="AB892" s="190"/>
      <c r="AC892" s="190"/>
      <c r="AD892" s="190"/>
      <c r="AE892" s="190"/>
      <c r="AF892" s="190"/>
      <c r="AG892" s="190"/>
      <c r="AH892" s="190"/>
      <c r="AI892" s="190"/>
      <c r="AJ892" s="190"/>
      <c r="AK892" s="619"/>
      <c r="AL892" s="617"/>
    </row>
    <row r="893" spans="1:38">
      <c r="A893" s="190"/>
      <c r="B893" s="190"/>
      <c r="C893" s="190"/>
      <c r="D893" s="190"/>
      <c r="E893" s="190"/>
      <c r="F893" s="190"/>
      <c r="G893" s="190"/>
      <c r="H893" s="190"/>
      <c r="I893" s="190"/>
      <c r="J893" s="190"/>
      <c r="K893" s="642"/>
      <c r="L893" s="642"/>
      <c r="M893" s="642"/>
      <c r="N893" s="642"/>
      <c r="O893" s="190"/>
      <c r="P893" s="190"/>
      <c r="Q893" s="190"/>
      <c r="R893" s="190"/>
      <c r="S893" s="190"/>
      <c r="T893" s="588"/>
      <c r="U893" s="188"/>
      <c r="V893" s="190"/>
      <c r="W893" s="190"/>
      <c r="X893" s="190"/>
      <c r="Y893" s="190"/>
      <c r="Z893" s="190"/>
      <c r="AA893" s="190"/>
      <c r="AB893" s="190"/>
      <c r="AC893" s="190"/>
      <c r="AD893" s="190"/>
      <c r="AE893" s="190"/>
      <c r="AF893" s="190"/>
      <c r="AG893" s="190"/>
      <c r="AH893" s="190"/>
      <c r="AI893" s="190"/>
      <c r="AJ893" s="190"/>
      <c r="AK893" s="619"/>
      <c r="AL893" s="617"/>
    </row>
    <row r="894" spans="1:38">
      <c r="A894" s="190"/>
      <c r="B894" s="190"/>
      <c r="C894" s="190"/>
      <c r="D894" s="190"/>
      <c r="E894" s="190"/>
      <c r="F894" s="190"/>
      <c r="G894" s="190"/>
      <c r="H894" s="190"/>
      <c r="I894" s="190"/>
      <c r="J894" s="190"/>
      <c r="K894" s="642"/>
      <c r="L894" s="642"/>
      <c r="M894" s="642"/>
      <c r="N894" s="642"/>
      <c r="O894" s="190"/>
      <c r="P894" s="190"/>
      <c r="Q894" s="190"/>
      <c r="R894" s="190"/>
      <c r="S894" s="190"/>
      <c r="T894" s="588"/>
      <c r="U894" s="188"/>
      <c r="V894" s="190"/>
      <c r="W894" s="190"/>
      <c r="X894" s="190"/>
      <c r="Y894" s="190"/>
      <c r="Z894" s="190"/>
      <c r="AA894" s="190"/>
      <c r="AB894" s="190"/>
      <c r="AC894" s="190"/>
      <c r="AD894" s="190"/>
      <c r="AE894" s="190"/>
      <c r="AF894" s="190"/>
      <c r="AG894" s="190"/>
      <c r="AH894" s="190"/>
      <c r="AI894" s="190"/>
      <c r="AJ894" s="190"/>
      <c r="AK894" s="619"/>
      <c r="AL894" s="617"/>
    </row>
    <row r="895" spans="1:38">
      <c r="A895" s="190"/>
      <c r="B895" s="190"/>
      <c r="C895" s="190"/>
      <c r="D895" s="190"/>
      <c r="E895" s="190"/>
      <c r="F895" s="190"/>
      <c r="G895" s="190"/>
      <c r="H895" s="190"/>
      <c r="I895" s="190"/>
      <c r="J895" s="190"/>
      <c r="K895" s="642"/>
      <c r="L895" s="642"/>
      <c r="M895" s="642"/>
      <c r="N895" s="642"/>
      <c r="O895" s="190"/>
      <c r="P895" s="190"/>
      <c r="Q895" s="190"/>
      <c r="R895" s="190"/>
      <c r="S895" s="190"/>
      <c r="T895" s="588"/>
      <c r="U895" s="188"/>
      <c r="V895" s="190"/>
      <c r="W895" s="190"/>
      <c r="X895" s="190"/>
      <c r="Y895" s="190"/>
      <c r="Z895" s="190"/>
      <c r="AA895" s="190"/>
      <c r="AB895" s="190"/>
      <c r="AC895" s="190"/>
      <c r="AD895" s="190"/>
      <c r="AE895" s="190"/>
      <c r="AF895" s="190"/>
      <c r="AG895" s="190"/>
      <c r="AH895" s="190"/>
      <c r="AI895" s="190"/>
      <c r="AJ895" s="190"/>
      <c r="AK895" s="619"/>
      <c r="AL895" s="617"/>
    </row>
    <row r="896" spans="1:38">
      <c r="A896" s="190"/>
      <c r="B896" s="190"/>
      <c r="C896" s="190"/>
      <c r="D896" s="190"/>
      <c r="E896" s="190"/>
      <c r="F896" s="190"/>
      <c r="G896" s="190"/>
      <c r="H896" s="190"/>
      <c r="I896" s="190"/>
      <c r="J896" s="190"/>
      <c r="K896" s="642"/>
      <c r="L896" s="642"/>
      <c r="M896" s="642"/>
      <c r="N896" s="642"/>
      <c r="O896" s="190"/>
      <c r="P896" s="190"/>
      <c r="Q896" s="190"/>
      <c r="R896" s="190"/>
      <c r="S896" s="190"/>
      <c r="T896" s="588"/>
      <c r="U896" s="188"/>
      <c r="V896" s="190"/>
      <c r="W896" s="190"/>
      <c r="X896" s="190"/>
      <c r="Y896" s="190"/>
      <c r="Z896" s="190"/>
      <c r="AA896" s="190"/>
      <c r="AB896" s="190"/>
      <c r="AC896" s="190"/>
      <c r="AD896" s="190"/>
      <c r="AE896" s="190"/>
      <c r="AF896" s="190"/>
      <c r="AG896" s="190"/>
      <c r="AH896" s="190"/>
      <c r="AI896" s="190"/>
      <c r="AJ896" s="190"/>
      <c r="AK896" s="619"/>
      <c r="AL896" s="617"/>
    </row>
    <row r="897" spans="1:38">
      <c r="A897" s="190"/>
      <c r="B897" s="190"/>
      <c r="C897" s="190"/>
      <c r="D897" s="190"/>
      <c r="E897" s="190"/>
      <c r="F897" s="190"/>
      <c r="G897" s="190"/>
      <c r="H897" s="190"/>
      <c r="I897" s="190"/>
      <c r="J897" s="190"/>
      <c r="K897" s="642"/>
      <c r="L897" s="642"/>
      <c r="M897" s="642"/>
      <c r="N897" s="642"/>
      <c r="O897" s="190"/>
      <c r="P897" s="190"/>
      <c r="Q897" s="190"/>
      <c r="R897" s="190"/>
      <c r="S897" s="190"/>
      <c r="T897" s="588"/>
      <c r="U897" s="188"/>
      <c r="V897" s="190"/>
      <c r="W897" s="190"/>
      <c r="X897" s="190"/>
      <c r="Y897" s="190"/>
      <c r="Z897" s="190"/>
      <c r="AA897" s="190"/>
      <c r="AB897" s="190"/>
      <c r="AC897" s="190"/>
      <c r="AD897" s="190"/>
      <c r="AE897" s="190"/>
      <c r="AF897" s="190"/>
      <c r="AG897" s="190"/>
      <c r="AH897" s="190"/>
      <c r="AI897" s="190"/>
      <c r="AJ897" s="190"/>
      <c r="AK897" s="619"/>
      <c r="AL897" s="617"/>
    </row>
    <row r="898" spans="1:38">
      <c r="A898" s="190"/>
      <c r="B898" s="190"/>
      <c r="C898" s="190"/>
      <c r="D898" s="190"/>
      <c r="E898" s="190"/>
      <c r="F898" s="190"/>
      <c r="G898" s="190"/>
      <c r="H898" s="190"/>
      <c r="I898" s="190"/>
      <c r="J898" s="190"/>
      <c r="K898" s="642"/>
      <c r="L898" s="642"/>
      <c r="M898" s="642"/>
      <c r="N898" s="642"/>
      <c r="O898" s="190"/>
      <c r="P898" s="190"/>
      <c r="Q898" s="190"/>
      <c r="R898" s="190"/>
      <c r="S898" s="190"/>
      <c r="T898" s="588"/>
      <c r="U898" s="188"/>
      <c r="V898" s="190"/>
      <c r="W898" s="190"/>
      <c r="X898" s="190"/>
      <c r="Y898" s="190"/>
      <c r="Z898" s="190"/>
      <c r="AA898" s="190"/>
      <c r="AB898" s="190"/>
      <c r="AC898" s="190"/>
      <c r="AD898" s="190"/>
      <c r="AE898" s="190"/>
      <c r="AF898" s="190"/>
      <c r="AG898" s="190"/>
      <c r="AH898" s="190"/>
      <c r="AI898" s="190"/>
      <c r="AJ898" s="190"/>
      <c r="AK898" s="619"/>
      <c r="AL898" s="617"/>
    </row>
    <row r="899" spans="1:38">
      <c r="A899" s="190"/>
      <c r="B899" s="190"/>
      <c r="C899" s="190"/>
      <c r="D899" s="190"/>
      <c r="E899" s="190"/>
      <c r="F899" s="190"/>
      <c r="G899" s="190"/>
      <c r="H899" s="190"/>
      <c r="I899" s="190"/>
      <c r="J899" s="190"/>
      <c r="K899" s="642"/>
      <c r="L899" s="642"/>
      <c r="M899" s="642"/>
      <c r="N899" s="642"/>
      <c r="O899" s="190"/>
      <c r="P899" s="190"/>
      <c r="Q899" s="190"/>
      <c r="R899" s="190"/>
      <c r="S899" s="190"/>
      <c r="T899" s="588"/>
      <c r="U899" s="188"/>
      <c r="V899" s="190"/>
      <c r="W899" s="190"/>
      <c r="X899" s="190"/>
      <c r="Y899" s="190"/>
      <c r="Z899" s="190"/>
      <c r="AA899" s="190"/>
      <c r="AB899" s="190"/>
      <c r="AC899" s="190"/>
      <c r="AD899" s="190"/>
      <c r="AE899" s="190"/>
      <c r="AF899" s="190"/>
      <c r="AG899" s="190"/>
      <c r="AH899" s="190"/>
      <c r="AI899" s="190"/>
      <c r="AJ899" s="190"/>
      <c r="AK899" s="619"/>
      <c r="AL899" s="617"/>
    </row>
    <row r="900" spans="1:38">
      <c r="A900" s="190"/>
      <c r="B900" s="190"/>
      <c r="C900" s="190"/>
      <c r="D900" s="190"/>
      <c r="E900" s="190"/>
      <c r="F900" s="190"/>
      <c r="G900" s="190"/>
      <c r="H900" s="190"/>
      <c r="I900" s="190"/>
      <c r="J900" s="190"/>
      <c r="K900" s="642"/>
      <c r="L900" s="642"/>
      <c r="M900" s="642"/>
      <c r="N900" s="642"/>
      <c r="O900" s="190"/>
      <c r="P900" s="190"/>
      <c r="Q900" s="190"/>
      <c r="R900" s="190"/>
      <c r="S900" s="190"/>
      <c r="T900" s="588"/>
      <c r="U900" s="188"/>
      <c r="V900" s="190"/>
      <c r="W900" s="190"/>
      <c r="X900" s="190"/>
      <c r="Y900" s="190"/>
      <c r="Z900" s="190"/>
      <c r="AA900" s="190"/>
      <c r="AB900" s="190"/>
      <c r="AC900" s="190"/>
      <c r="AD900" s="190"/>
      <c r="AE900" s="190"/>
      <c r="AF900" s="190"/>
      <c r="AG900" s="190"/>
      <c r="AH900" s="190"/>
      <c r="AI900" s="190"/>
      <c r="AJ900" s="190"/>
      <c r="AK900" s="619"/>
      <c r="AL900" s="617"/>
    </row>
    <row r="901" spans="1:38">
      <c r="A901" s="190"/>
      <c r="B901" s="190"/>
      <c r="C901" s="190"/>
      <c r="D901" s="190"/>
      <c r="E901" s="190"/>
      <c r="F901" s="190"/>
      <c r="G901" s="190"/>
      <c r="H901" s="190"/>
      <c r="I901" s="190"/>
      <c r="J901" s="190"/>
      <c r="K901" s="642"/>
      <c r="L901" s="642"/>
      <c r="M901" s="642"/>
      <c r="N901" s="642"/>
      <c r="O901" s="190"/>
      <c r="P901" s="190"/>
      <c r="Q901" s="190"/>
      <c r="R901" s="190"/>
      <c r="S901" s="190"/>
      <c r="T901" s="588"/>
      <c r="U901" s="188"/>
      <c r="V901" s="190"/>
      <c r="W901" s="190"/>
      <c r="X901" s="190"/>
      <c r="Y901" s="190"/>
      <c r="Z901" s="190"/>
      <c r="AA901" s="190"/>
      <c r="AB901" s="190"/>
      <c r="AC901" s="190"/>
      <c r="AD901" s="190"/>
      <c r="AE901" s="190"/>
      <c r="AF901" s="190"/>
      <c r="AG901" s="190"/>
      <c r="AH901" s="190"/>
      <c r="AI901" s="190"/>
      <c r="AJ901" s="190"/>
      <c r="AK901" s="619"/>
      <c r="AL901" s="617"/>
    </row>
    <row r="902" spans="1:38">
      <c r="A902" s="190"/>
      <c r="B902" s="190"/>
      <c r="C902" s="190"/>
      <c r="D902" s="190"/>
      <c r="E902" s="190"/>
      <c r="F902" s="190"/>
      <c r="G902" s="190"/>
      <c r="H902" s="190"/>
      <c r="I902" s="190"/>
      <c r="J902" s="190"/>
      <c r="K902" s="642"/>
      <c r="L902" s="642"/>
      <c r="M902" s="642"/>
      <c r="N902" s="642"/>
      <c r="O902" s="190"/>
      <c r="P902" s="190"/>
      <c r="Q902" s="190"/>
      <c r="R902" s="190"/>
      <c r="S902" s="190"/>
      <c r="T902" s="588"/>
      <c r="U902" s="188"/>
      <c r="V902" s="190"/>
      <c r="W902" s="190"/>
      <c r="X902" s="190"/>
      <c r="Y902" s="190"/>
      <c r="Z902" s="190"/>
      <c r="AA902" s="190"/>
      <c r="AB902" s="190"/>
      <c r="AC902" s="190"/>
      <c r="AD902" s="190"/>
      <c r="AE902" s="190"/>
      <c r="AF902" s="190"/>
      <c r="AG902" s="190"/>
      <c r="AH902" s="190"/>
      <c r="AI902" s="190"/>
      <c r="AJ902" s="190"/>
      <c r="AK902" s="619"/>
      <c r="AL902" s="617"/>
    </row>
    <row r="903" spans="1:38">
      <c r="A903" s="190"/>
      <c r="B903" s="190"/>
      <c r="C903" s="190"/>
      <c r="D903" s="190"/>
      <c r="E903" s="190"/>
      <c r="F903" s="190"/>
      <c r="G903" s="190"/>
      <c r="H903" s="190"/>
      <c r="I903" s="190"/>
      <c r="J903" s="190"/>
      <c r="K903" s="642"/>
      <c r="L903" s="642"/>
      <c r="M903" s="642"/>
      <c r="N903" s="642"/>
      <c r="O903" s="190"/>
      <c r="P903" s="190"/>
      <c r="Q903" s="190"/>
      <c r="R903" s="190"/>
      <c r="S903" s="190"/>
      <c r="T903" s="588"/>
      <c r="U903" s="188"/>
      <c r="V903" s="190"/>
      <c r="W903" s="190"/>
      <c r="X903" s="190"/>
      <c r="Y903" s="190"/>
      <c r="Z903" s="190"/>
      <c r="AA903" s="190"/>
      <c r="AB903" s="190"/>
      <c r="AC903" s="190"/>
      <c r="AD903" s="190"/>
      <c r="AE903" s="190"/>
      <c r="AF903" s="190"/>
      <c r="AG903" s="190"/>
      <c r="AH903" s="190"/>
      <c r="AI903" s="190"/>
      <c r="AJ903" s="190"/>
      <c r="AK903" s="619"/>
      <c r="AL903" s="617"/>
    </row>
    <row r="904" spans="1:38">
      <c r="A904" s="190"/>
      <c r="B904" s="190"/>
      <c r="C904" s="190"/>
      <c r="D904" s="190"/>
      <c r="E904" s="190"/>
      <c r="F904" s="190"/>
      <c r="G904" s="190"/>
      <c r="H904" s="190"/>
      <c r="I904" s="190"/>
      <c r="J904" s="190"/>
      <c r="K904" s="642"/>
      <c r="L904" s="642"/>
      <c r="M904" s="642"/>
      <c r="N904" s="642"/>
      <c r="O904" s="190"/>
      <c r="P904" s="190"/>
      <c r="Q904" s="190"/>
      <c r="R904" s="190"/>
      <c r="S904" s="190"/>
      <c r="T904" s="588"/>
      <c r="U904" s="188"/>
      <c r="V904" s="190"/>
      <c r="W904" s="190"/>
      <c r="X904" s="190"/>
      <c r="Y904" s="190"/>
      <c r="Z904" s="190"/>
      <c r="AA904" s="190"/>
      <c r="AB904" s="190"/>
      <c r="AC904" s="190"/>
      <c r="AD904" s="190"/>
      <c r="AE904" s="190"/>
      <c r="AF904" s="190"/>
      <c r="AG904" s="190"/>
      <c r="AH904" s="190"/>
      <c r="AI904" s="190"/>
      <c r="AJ904" s="190"/>
      <c r="AK904" s="619"/>
      <c r="AL904" s="617"/>
    </row>
    <row r="905" spans="1:38">
      <c r="A905" s="190"/>
      <c r="B905" s="190"/>
      <c r="C905" s="190"/>
      <c r="D905" s="190"/>
      <c r="E905" s="190"/>
      <c r="F905" s="190"/>
      <c r="G905" s="190"/>
      <c r="H905" s="190"/>
      <c r="I905" s="190"/>
      <c r="J905" s="190"/>
      <c r="K905" s="642"/>
      <c r="L905" s="642"/>
      <c r="M905" s="642"/>
      <c r="N905" s="642"/>
      <c r="O905" s="190"/>
      <c r="P905" s="190"/>
      <c r="Q905" s="190"/>
      <c r="R905" s="190"/>
      <c r="S905" s="190"/>
      <c r="T905" s="588"/>
      <c r="U905" s="188"/>
      <c r="V905" s="190"/>
      <c r="W905" s="190"/>
      <c r="X905" s="190"/>
      <c r="Y905" s="190"/>
      <c r="Z905" s="190"/>
      <c r="AA905" s="190"/>
      <c r="AB905" s="190"/>
      <c r="AC905" s="190"/>
      <c r="AD905" s="190"/>
      <c r="AE905" s="190"/>
      <c r="AF905" s="190"/>
      <c r="AG905" s="190"/>
      <c r="AH905" s="190"/>
      <c r="AI905" s="190"/>
      <c r="AJ905" s="190"/>
      <c r="AK905" s="619"/>
      <c r="AL905" s="617"/>
    </row>
    <row r="906" spans="1:38">
      <c r="A906" s="190"/>
      <c r="B906" s="190"/>
      <c r="C906" s="190"/>
      <c r="D906" s="190"/>
      <c r="E906" s="190"/>
      <c r="F906" s="190"/>
      <c r="G906" s="190"/>
      <c r="H906" s="190"/>
      <c r="I906" s="190"/>
      <c r="J906" s="190"/>
      <c r="K906" s="642"/>
      <c r="L906" s="642"/>
      <c r="M906" s="642"/>
      <c r="N906" s="642"/>
      <c r="O906" s="190"/>
      <c r="P906" s="190"/>
      <c r="Q906" s="190"/>
      <c r="R906" s="190"/>
      <c r="S906" s="190"/>
      <c r="T906" s="588"/>
      <c r="U906" s="188"/>
      <c r="V906" s="190"/>
      <c r="W906" s="190"/>
      <c r="X906" s="190"/>
      <c r="Y906" s="190"/>
      <c r="Z906" s="190"/>
      <c r="AA906" s="190"/>
      <c r="AB906" s="190"/>
      <c r="AC906" s="190"/>
      <c r="AD906" s="190"/>
      <c r="AE906" s="190"/>
      <c r="AF906" s="190"/>
      <c r="AG906" s="190"/>
      <c r="AH906" s="190"/>
      <c r="AI906" s="190"/>
      <c r="AJ906" s="190"/>
      <c r="AK906" s="619"/>
      <c r="AL906" s="617"/>
    </row>
    <row r="907" spans="1:38">
      <c r="A907" s="190"/>
      <c r="B907" s="190"/>
      <c r="C907" s="190"/>
      <c r="D907" s="190"/>
      <c r="E907" s="190"/>
      <c r="F907" s="190"/>
      <c r="G907" s="190"/>
      <c r="H907" s="190"/>
      <c r="I907" s="190"/>
      <c r="J907" s="190"/>
      <c r="K907" s="642"/>
      <c r="L907" s="642"/>
      <c r="M907" s="642"/>
      <c r="N907" s="642"/>
      <c r="O907" s="190"/>
      <c r="P907" s="190"/>
      <c r="Q907" s="190"/>
      <c r="R907" s="190"/>
      <c r="S907" s="190"/>
      <c r="T907" s="588"/>
      <c r="U907" s="188"/>
      <c r="V907" s="190"/>
      <c r="W907" s="190"/>
      <c r="X907" s="190"/>
      <c r="Y907" s="190"/>
      <c r="Z907" s="190"/>
      <c r="AA907" s="190"/>
      <c r="AB907" s="190"/>
      <c r="AC907" s="190"/>
      <c r="AD907" s="190"/>
      <c r="AE907" s="190"/>
      <c r="AF907" s="190"/>
      <c r="AG907" s="190"/>
      <c r="AH907" s="190"/>
      <c r="AI907" s="190"/>
      <c r="AJ907" s="190"/>
      <c r="AK907" s="619"/>
      <c r="AL907" s="617"/>
    </row>
    <row r="908" spans="1:38">
      <c r="A908" s="190"/>
      <c r="B908" s="190"/>
      <c r="C908" s="190"/>
      <c r="D908" s="190"/>
      <c r="E908" s="190"/>
      <c r="F908" s="190"/>
      <c r="G908" s="190"/>
      <c r="H908" s="190"/>
      <c r="I908" s="190"/>
      <c r="J908" s="190"/>
      <c r="K908" s="642"/>
      <c r="L908" s="642"/>
      <c r="M908" s="642"/>
      <c r="N908" s="642"/>
      <c r="O908" s="190"/>
      <c r="P908" s="190"/>
      <c r="Q908" s="190"/>
      <c r="R908" s="190"/>
      <c r="S908" s="190"/>
      <c r="T908" s="588"/>
      <c r="U908" s="188"/>
      <c r="V908" s="190"/>
      <c r="W908" s="190"/>
      <c r="X908" s="190"/>
      <c r="Y908" s="190"/>
      <c r="Z908" s="190"/>
      <c r="AA908" s="190"/>
      <c r="AB908" s="190"/>
      <c r="AC908" s="190"/>
      <c r="AD908" s="190"/>
      <c r="AE908" s="190"/>
      <c r="AF908" s="190"/>
      <c r="AG908" s="190"/>
      <c r="AH908" s="190"/>
      <c r="AI908" s="190"/>
      <c r="AJ908" s="190"/>
      <c r="AK908" s="619"/>
      <c r="AL908" s="617"/>
    </row>
    <row r="909" spans="1:38">
      <c r="A909" s="190"/>
      <c r="B909" s="190"/>
      <c r="C909" s="190"/>
      <c r="D909" s="190"/>
      <c r="E909" s="190"/>
      <c r="F909" s="190"/>
      <c r="G909" s="190"/>
      <c r="H909" s="190"/>
      <c r="I909" s="190"/>
      <c r="J909" s="190"/>
      <c r="K909" s="642"/>
      <c r="L909" s="642"/>
      <c r="M909" s="642"/>
      <c r="N909" s="642"/>
      <c r="O909" s="190"/>
      <c r="P909" s="190"/>
      <c r="Q909" s="190"/>
      <c r="R909" s="190"/>
      <c r="S909" s="190"/>
      <c r="T909" s="588"/>
      <c r="U909" s="188"/>
      <c r="V909" s="190"/>
      <c r="W909" s="190"/>
      <c r="X909" s="190"/>
      <c r="Y909" s="190"/>
      <c r="Z909" s="190"/>
      <c r="AA909" s="190"/>
      <c r="AB909" s="190"/>
      <c r="AC909" s="190"/>
      <c r="AD909" s="190"/>
      <c r="AE909" s="190"/>
      <c r="AF909" s="190"/>
      <c r="AG909" s="190"/>
      <c r="AH909" s="190"/>
      <c r="AI909" s="190"/>
      <c r="AJ909" s="190"/>
      <c r="AK909" s="619"/>
      <c r="AL909" s="617"/>
    </row>
    <row r="910" spans="1:38">
      <c r="A910" s="190"/>
      <c r="B910" s="190"/>
      <c r="C910" s="190"/>
      <c r="D910" s="190"/>
      <c r="E910" s="190"/>
      <c r="F910" s="190"/>
      <c r="G910" s="190"/>
      <c r="H910" s="190"/>
      <c r="I910" s="190"/>
      <c r="J910" s="190"/>
      <c r="K910" s="642"/>
      <c r="L910" s="642"/>
      <c r="M910" s="642"/>
      <c r="N910" s="642"/>
      <c r="O910" s="190"/>
      <c r="P910" s="190"/>
      <c r="Q910" s="190"/>
      <c r="R910" s="190"/>
      <c r="S910" s="190"/>
      <c r="T910" s="588"/>
      <c r="U910" s="188"/>
      <c r="V910" s="190"/>
      <c r="W910" s="190"/>
      <c r="X910" s="190"/>
      <c r="Y910" s="190"/>
      <c r="Z910" s="190"/>
      <c r="AA910" s="190"/>
      <c r="AB910" s="190"/>
      <c r="AC910" s="190"/>
      <c r="AD910" s="190"/>
      <c r="AE910" s="190"/>
      <c r="AF910" s="190"/>
      <c r="AG910" s="190"/>
      <c r="AH910" s="190"/>
      <c r="AI910" s="190"/>
      <c r="AJ910" s="190"/>
      <c r="AK910" s="619"/>
      <c r="AL910" s="617"/>
    </row>
    <row r="911" spans="1:38">
      <c r="A911" s="190"/>
      <c r="B911" s="190"/>
      <c r="C911" s="190"/>
      <c r="D911" s="190"/>
      <c r="E911" s="190"/>
      <c r="F911" s="190"/>
      <c r="G911" s="190"/>
      <c r="H911" s="190"/>
      <c r="I911" s="190"/>
      <c r="J911" s="190"/>
      <c r="K911" s="642"/>
      <c r="L911" s="642"/>
      <c r="M911" s="642"/>
      <c r="N911" s="642"/>
      <c r="O911" s="190"/>
      <c r="P911" s="190"/>
      <c r="Q911" s="190"/>
      <c r="R911" s="190"/>
      <c r="S911" s="190"/>
      <c r="T911" s="588"/>
      <c r="U911" s="188"/>
      <c r="V911" s="190"/>
      <c r="W911" s="190"/>
      <c r="X911" s="190"/>
      <c r="Y911" s="190"/>
      <c r="Z911" s="190"/>
      <c r="AA911" s="190"/>
      <c r="AB911" s="190"/>
      <c r="AC911" s="190"/>
      <c r="AD911" s="190"/>
      <c r="AE911" s="190"/>
      <c r="AF911" s="190"/>
      <c r="AG911" s="190"/>
      <c r="AH911" s="190"/>
      <c r="AI911" s="190"/>
      <c r="AJ911" s="190"/>
      <c r="AK911" s="619"/>
      <c r="AL911" s="617"/>
    </row>
    <row r="912" spans="1:38">
      <c r="A912" s="190"/>
      <c r="B912" s="190"/>
      <c r="C912" s="190"/>
      <c r="D912" s="190"/>
      <c r="E912" s="190"/>
      <c r="F912" s="190"/>
      <c r="G912" s="190"/>
      <c r="H912" s="190"/>
      <c r="I912" s="190"/>
      <c r="J912" s="190"/>
      <c r="K912" s="642"/>
      <c r="L912" s="642"/>
      <c r="M912" s="642"/>
      <c r="N912" s="642"/>
      <c r="O912" s="190"/>
      <c r="P912" s="190"/>
      <c r="Q912" s="190"/>
      <c r="R912" s="190"/>
      <c r="S912" s="190"/>
      <c r="T912" s="588"/>
      <c r="U912" s="188"/>
      <c r="V912" s="190"/>
      <c r="W912" s="190"/>
      <c r="X912" s="190"/>
      <c r="Y912" s="190"/>
      <c r="Z912" s="190"/>
      <c r="AA912" s="190"/>
      <c r="AB912" s="190"/>
      <c r="AC912" s="190"/>
      <c r="AD912" s="190"/>
      <c r="AE912" s="190"/>
      <c r="AF912" s="190"/>
      <c r="AG912" s="190"/>
      <c r="AH912" s="190"/>
      <c r="AI912" s="190"/>
      <c r="AJ912" s="190"/>
      <c r="AK912" s="619"/>
      <c r="AL912" s="617"/>
    </row>
    <row r="913" spans="1:38">
      <c r="A913" s="190"/>
      <c r="B913" s="190"/>
      <c r="C913" s="190"/>
      <c r="D913" s="190"/>
      <c r="E913" s="190"/>
      <c r="F913" s="190"/>
      <c r="G913" s="190"/>
      <c r="H913" s="190"/>
      <c r="I913" s="190"/>
      <c r="J913" s="190"/>
      <c r="K913" s="642"/>
      <c r="L913" s="642"/>
      <c r="M913" s="642"/>
      <c r="N913" s="642"/>
      <c r="O913" s="190"/>
      <c r="P913" s="190"/>
      <c r="Q913" s="190"/>
      <c r="R913" s="190"/>
      <c r="S913" s="190"/>
      <c r="T913" s="588"/>
      <c r="U913" s="188"/>
      <c r="V913" s="190"/>
      <c r="W913" s="190"/>
      <c r="X913" s="190"/>
      <c r="Y913" s="190"/>
      <c r="Z913" s="190"/>
      <c r="AA913" s="190"/>
      <c r="AB913" s="190"/>
      <c r="AC913" s="190"/>
      <c r="AD913" s="190"/>
      <c r="AE913" s="190"/>
      <c r="AF913" s="190"/>
      <c r="AG913" s="190"/>
      <c r="AH913" s="190"/>
      <c r="AI913" s="190"/>
      <c r="AJ913" s="190"/>
      <c r="AK913" s="619"/>
      <c r="AL913" s="617"/>
    </row>
    <row r="914" spans="1:38">
      <c r="A914" s="190"/>
      <c r="B914" s="190"/>
      <c r="C914" s="190"/>
      <c r="D914" s="190"/>
      <c r="E914" s="190"/>
      <c r="F914" s="190"/>
      <c r="G914" s="190"/>
      <c r="H914" s="190"/>
      <c r="I914" s="190"/>
      <c r="J914" s="190"/>
      <c r="K914" s="642"/>
      <c r="L914" s="642"/>
      <c r="M914" s="642"/>
      <c r="N914" s="642"/>
      <c r="O914" s="190"/>
      <c r="P914" s="190"/>
      <c r="Q914" s="190"/>
      <c r="R914" s="190"/>
      <c r="S914" s="190"/>
      <c r="T914" s="588"/>
      <c r="U914" s="188"/>
      <c r="V914" s="190"/>
      <c r="W914" s="190"/>
      <c r="X914" s="190"/>
      <c r="Y914" s="190"/>
      <c r="Z914" s="190"/>
      <c r="AA914" s="190"/>
      <c r="AB914" s="190"/>
      <c r="AC914" s="190"/>
      <c r="AD914" s="190"/>
      <c r="AE914" s="190"/>
      <c r="AF914" s="190"/>
      <c r="AG914" s="190"/>
      <c r="AH914" s="190"/>
      <c r="AI914" s="190"/>
      <c r="AJ914" s="190"/>
      <c r="AK914" s="619"/>
      <c r="AL914" s="617"/>
    </row>
    <row r="915" spans="1:38">
      <c r="A915" s="190"/>
      <c r="B915" s="190"/>
      <c r="C915" s="190"/>
      <c r="D915" s="190"/>
      <c r="E915" s="190"/>
      <c r="F915" s="190"/>
      <c r="G915" s="190"/>
      <c r="H915" s="190"/>
      <c r="I915" s="190"/>
      <c r="J915" s="190"/>
      <c r="K915" s="642"/>
      <c r="L915" s="642"/>
      <c r="M915" s="642"/>
      <c r="N915" s="642"/>
      <c r="O915" s="190"/>
      <c r="P915" s="190"/>
      <c r="Q915" s="190"/>
      <c r="R915" s="190"/>
      <c r="S915" s="190"/>
      <c r="T915" s="588"/>
      <c r="U915" s="188"/>
      <c r="V915" s="190"/>
      <c r="W915" s="190"/>
      <c r="X915" s="190"/>
      <c r="Y915" s="190"/>
      <c r="Z915" s="190"/>
      <c r="AA915" s="190"/>
      <c r="AB915" s="190"/>
      <c r="AC915" s="190"/>
      <c r="AD915" s="190"/>
      <c r="AE915" s="190"/>
      <c r="AF915" s="190"/>
      <c r="AG915" s="190"/>
      <c r="AH915" s="190"/>
      <c r="AI915" s="190"/>
      <c r="AJ915" s="190"/>
      <c r="AK915" s="619"/>
      <c r="AL915" s="617"/>
    </row>
    <row r="916" spans="1:38">
      <c r="A916" s="190"/>
      <c r="B916" s="190"/>
      <c r="C916" s="190"/>
      <c r="D916" s="190"/>
      <c r="E916" s="190"/>
      <c r="F916" s="190"/>
      <c r="G916" s="190"/>
      <c r="H916" s="190"/>
      <c r="I916" s="190"/>
      <c r="J916" s="190"/>
      <c r="K916" s="642"/>
      <c r="L916" s="642"/>
      <c r="M916" s="642"/>
      <c r="N916" s="642"/>
      <c r="O916" s="190"/>
      <c r="P916" s="190"/>
      <c r="Q916" s="190"/>
      <c r="R916" s="190"/>
      <c r="S916" s="190"/>
      <c r="T916" s="588"/>
      <c r="U916" s="188"/>
      <c r="V916" s="190"/>
      <c r="W916" s="190"/>
      <c r="X916" s="190"/>
      <c r="Y916" s="190"/>
      <c r="Z916" s="190"/>
      <c r="AA916" s="190"/>
      <c r="AB916" s="190"/>
      <c r="AC916" s="190"/>
      <c r="AD916" s="190"/>
      <c r="AE916" s="190"/>
      <c r="AF916" s="190"/>
      <c r="AG916" s="190"/>
      <c r="AH916" s="190"/>
      <c r="AI916" s="190"/>
      <c r="AJ916" s="190"/>
      <c r="AK916" s="619"/>
      <c r="AL916" s="617"/>
    </row>
    <row r="917" spans="1:38">
      <c r="A917" s="190"/>
      <c r="B917" s="190"/>
      <c r="C917" s="190"/>
      <c r="D917" s="190"/>
      <c r="E917" s="190"/>
      <c r="F917" s="190"/>
      <c r="G917" s="190"/>
      <c r="H917" s="190"/>
      <c r="I917" s="190"/>
      <c r="J917" s="190"/>
      <c r="K917" s="642"/>
      <c r="L917" s="642"/>
      <c r="M917" s="642"/>
      <c r="N917" s="642"/>
      <c r="O917" s="190"/>
      <c r="P917" s="190"/>
      <c r="Q917" s="190"/>
      <c r="R917" s="190"/>
      <c r="S917" s="190"/>
      <c r="T917" s="588"/>
      <c r="U917" s="188"/>
      <c r="V917" s="190"/>
      <c r="W917" s="190"/>
      <c r="X917" s="190"/>
      <c r="Y917" s="190"/>
      <c r="Z917" s="190"/>
      <c r="AA917" s="190"/>
      <c r="AB917" s="190"/>
      <c r="AC917" s="190"/>
      <c r="AD917" s="190"/>
      <c r="AE917" s="190"/>
      <c r="AF917" s="190"/>
      <c r="AG917" s="190"/>
      <c r="AH917" s="190"/>
      <c r="AI917" s="190"/>
      <c r="AJ917" s="190"/>
      <c r="AK917" s="619"/>
      <c r="AL917" s="617"/>
    </row>
    <row r="918" spans="1:38">
      <c r="A918" s="190"/>
      <c r="B918" s="190"/>
      <c r="C918" s="190"/>
      <c r="D918" s="190"/>
      <c r="E918" s="190"/>
      <c r="F918" s="190"/>
      <c r="G918" s="190"/>
      <c r="H918" s="190"/>
      <c r="I918" s="190"/>
      <c r="J918" s="190"/>
      <c r="K918" s="642"/>
      <c r="L918" s="642"/>
      <c r="M918" s="642"/>
      <c r="N918" s="642"/>
      <c r="O918" s="190"/>
      <c r="P918" s="190"/>
      <c r="Q918" s="190"/>
      <c r="R918" s="190"/>
      <c r="S918" s="190"/>
      <c r="T918" s="588"/>
      <c r="U918" s="188"/>
      <c r="V918" s="190"/>
      <c r="W918" s="190"/>
      <c r="X918" s="190"/>
      <c r="Y918" s="190"/>
      <c r="Z918" s="190"/>
      <c r="AA918" s="190"/>
      <c r="AB918" s="190"/>
      <c r="AC918" s="190"/>
      <c r="AD918" s="190"/>
      <c r="AE918" s="190"/>
      <c r="AF918" s="190"/>
      <c r="AG918" s="190"/>
      <c r="AH918" s="190"/>
      <c r="AI918" s="190"/>
      <c r="AJ918" s="190"/>
      <c r="AK918" s="619"/>
      <c r="AL918" s="617"/>
    </row>
    <row r="919" spans="1:38">
      <c r="A919" s="190"/>
      <c r="B919" s="190"/>
      <c r="C919" s="190"/>
      <c r="D919" s="190"/>
      <c r="E919" s="190"/>
      <c r="F919" s="190"/>
      <c r="G919" s="190"/>
      <c r="H919" s="190"/>
      <c r="I919" s="190"/>
      <c r="J919" s="190"/>
      <c r="K919" s="642"/>
      <c r="L919" s="642"/>
      <c r="M919" s="642"/>
      <c r="N919" s="642"/>
      <c r="O919" s="190"/>
      <c r="P919" s="190"/>
      <c r="Q919" s="190"/>
      <c r="R919" s="190"/>
      <c r="S919" s="190"/>
      <c r="T919" s="588"/>
      <c r="U919" s="188"/>
      <c r="V919" s="190"/>
      <c r="W919" s="190"/>
      <c r="X919" s="190"/>
      <c r="Y919" s="190"/>
      <c r="Z919" s="190"/>
      <c r="AA919" s="190"/>
      <c r="AB919" s="190"/>
      <c r="AC919" s="190"/>
      <c r="AD919" s="190"/>
      <c r="AE919" s="190"/>
      <c r="AF919" s="190"/>
      <c r="AG919" s="190"/>
      <c r="AH919" s="190"/>
      <c r="AI919" s="190"/>
      <c r="AJ919" s="190"/>
      <c r="AK919" s="619"/>
      <c r="AL919" s="617"/>
    </row>
    <row r="920" spans="1:38">
      <c r="A920" s="190"/>
      <c r="B920" s="190"/>
      <c r="C920" s="190"/>
      <c r="D920" s="190"/>
      <c r="E920" s="190"/>
      <c r="F920" s="190"/>
      <c r="G920" s="190"/>
      <c r="H920" s="190"/>
      <c r="I920" s="190"/>
      <c r="J920" s="190"/>
      <c r="K920" s="642"/>
      <c r="L920" s="642"/>
      <c r="M920" s="642"/>
      <c r="N920" s="642"/>
      <c r="O920" s="190"/>
      <c r="P920" s="190"/>
      <c r="Q920" s="190"/>
      <c r="R920" s="190"/>
      <c r="S920" s="190"/>
      <c r="T920" s="588"/>
      <c r="U920" s="188"/>
      <c r="V920" s="190"/>
      <c r="W920" s="190"/>
      <c r="X920" s="190"/>
      <c r="Y920" s="190"/>
      <c r="Z920" s="190"/>
      <c r="AA920" s="190"/>
      <c r="AB920" s="190"/>
      <c r="AC920" s="190"/>
      <c r="AD920" s="190"/>
      <c r="AE920" s="190"/>
      <c r="AF920" s="190"/>
      <c r="AG920" s="190"/>
      <c r="AH920" s="190"/>
      <c r="AI920" s="190"/>
      <c r="AJ920" s="190"/>
      <c r="AK920" s="619"/>
      <c r="AL920" s="617"/>
    </row>
    <row r="921" spans="1:38">
      <c r="A921" s="190"/>
      <c r="B921" s="190"/>
      <c r="C921" s="190"/>
      <c r="D921" s="190"/>
      <c r="E921" s="190"/>
      <c r="F921" s="190"/>
      <c r="G921" s="190"/>
      <c r="H921" s="190"/>
      <c r="I921" s="190"/>
      <c r="J921" s="190"/>
      <c r="K921" s="642"/>
      <c r="L921" s="642"/>
      <c r="M921" s="642"/>
      <c r="N921" s="642"/>
      <c r="O921" s="190"/>
      <c r="P921" s="190"/>
      <c r="Q921" s="190"/>
      <c r="R921" s="190"/>
      <c r="S921" s="190"/>
      <c r="T921" s="588"/>
      <c r="U921" s="188"/>
      <c r="V921" s="190"/>
      <c r="W921" s="190"/>
      <c r="X921" s="190"/>
      <c r="Y921" s="190"/>
      <c r="Z921" s="190"/>
      <c r="AA921" s="190"/>
      <c r="AB921" s="190"/>
      <c r="AC921" s="190"/>
      <c r="AD921" s="190"/>
      <c r="AE921" s="190"/>
      <c r="AF921" s="190"/>
      <c r="AG921" s="190"/>
      <c r="AH921" s="190"/>
      <c r="AI921" s="190"/>
      <c r="AJ921" s="190"/>
      <c r="AK921" s="619"/>
      <c r="AL921" s="617"/>
    </row>
    <row r="922" spans="1:38">
      <c r="A922" s="190"/>
      <c r="B922" s="190"/>
      <c r="C922" s="190"/>
      <c r="D922" s="190"/>
      <c r="E922" s="190"/>
      <c r="F922" s="190"/>
      <c r="G922" s="190"/>
      <c r="H922" s="190"/>
      <c r="I922" s="190"/>
      <c r="J922" s="190"/>
      <c r="K922" s="642"/>
      <c r="L922" s="642"/>
      <c r="M922" s="642"/>
      <c r="N922" s="642"/>
      <c r="O922" s="190"/>
      <c r="P922" s="190"/>
      <c r="Q922" s="190"/>
      <c r="R922" s="190"/>
      <c r="S922" s="190"/>
      <c r="T922" s="588"/>
      <c r="U922" s="188"/>
      <c r="V922" s="190"/>
      <c r="W922" s="190"/>
      <c r="X922" s="190"/>
      <c r="Y922" s="190"/>
      <c r="Z922" s="190"/>
      <c r="AA922" s="190"/>
      <c r="AB922" s="190"/>
      <c r="AC922" s="190"/>
      <c r="AD922" s="190"/>
      <c r="AE922" s="190"/>
      <c r="AF922" s="190"/>
      <c r="AG922" s="190"/>
      <c r="AH922" s="190"/>
      <c r="AI922" s="190"/>
      <c r="AJ922" s="190"/>
      <c r="AK922" s="619"/>
      <c r="AL922" s="617"/>
    </row>
    <row r="923" spans="1:38">
      <c r="A923" s="190"/>
      <c r="B923" s="190"/>
      <c r="C923" s="190"/>
      <c r="D923" s="190"/>
      <c r="E923" s="190"/>
      <c r="F923" s="190"/>
      <c r="G923" s="190"/>
      <c r="H923" s="190"/>
      <c r="I923" s="190"/>
      <c r="J923" s="190"/>
      <c r="K923" s="642"/>
      <c r="L923" s="642"/>
      <c r="M923" s="642"/>
      <c r="N923" s="642"/>
      <c r="O923" s="190"/>
      <c r="P923" s="190"/>
      <c r="Q923" s="190"/>
      <c r="R923" s="190"/>
      <c r="S923" s="190"/>
      <c r="T923" s="588"/>
      <c r="U923" s="188"/>
      <c r="V923" s="190"/>
      <c r="W923" s="190"/>
      <c r="X923" s="190"/>
      <c r="Y923" s="190"/>
      <c r="Z923" s="190"/>
      <c r="AA923" s="190"/>
      <c r="AB923" s="190"/>
      <c r="AC923" s="190"/>
      <c r="AD923" s="190"/>
      <c r="AE923" s="190"/>
      <c r="AF923" s="190"/>
      <c r="AG923" s="190"/>
      <c r="AH923" s="190"/>
      <c r="AI923" s="190"/>
      <c r="AJ923" s="190"/>
      <c r="AK923" s="619"/>
      <c r="AL923" s="617"/>
    </row>
    <row r="924" spans="1:38">
      <c r="A924" s="190"/>
      <c r="B924" s="190"/>
      <c r="C924" s="190"/>
      <c r="D924" s="190"/>
      <c r="E924" s="190"/>
      <c r="F924" s="190"/>
      <c r="G924" s="190"/>
      <c r="H924" s="190"/>
      <c r="I924" s="190"/>
      <c r="J924" s="190"/>
      <c r="K924" s="642"/>
      <c r="L924" s="642"/>
      <c r="M924" s="642"/>
      <c r="N924" s="642"/>
      <c r="O924" s="190"/>
      <c r="P924" s="190"/>
      <c r="Q924" s="190"/>
      <c r="R924" s="190"/>
      <c r="S924" s="190"/>
      <c r="T924" s="588"/>
      <c r="U924" s="188"/>
      <c r="V924" s="190"/>
      <c r="W924" s="190"/>
      <c r="X924" s="190"/>
      <c r="Y924" s="190"/>
      <c r="Z924" s="190"/>
      <c r="AA924" s="190"/>
      <c r="AB924" s="190"/>
      <c r="AC924" s="190"/>
      <c r="AD924" s="190"/>
      <c r="AE924" s="190"/>
      <c r="AF924" s="190"/>
      <c r="AG924" s="190"/>
      <c r="AH924" s="190"/>
      <c r="AI924" s="190"/>
      <c r="AJ924" s="190"/>
      <c r="AK924" s="619"/>
      <c r="AL924" s="617"/>
    </row>
    <row r="925" spans="1:38">
      <c r="A925" s="188"/>
      <c r="B925" s="188"/>
      <c r="C925" s="188"/>
      <c r="D925" s="190"/>
      <c r="E925" s="190"/>
      <c r="F925" s="190"/>
      <c r="G925" s="190"/>
      <c r="H925" s="190"/>
      <c r="I925" s="190"/>
      <c r="J925" s="190"/>
      <c r="K925" s="642"/>
      <c r="L925" s="642"/>
      <c r="M925" s="642"/>
      <c r="N925" s="642"/>
      <c r="O925" s="190"/>
      <c r="P925" s="190"/>
      <c r="Q925" s="190"/>
      <c r="R925" s="190"/>
      <c r="S925" s="190"/>
      <c r="T925" s="588"/>
      <c r="U925" s="188"/>
      <c r="V925" s="190"/>
      <c r="W925" s="190"/>
      <c r="X925" s="190"/>
      <c r="Y925" s="190"/>
      <c r="Z925" s="190"/>
      <c r="AA925" s="190"/>
      <c r="AB925" s="190"/>
      <c r="AC925" s="190"/>
      <c r="AD925" s="190"/>
      <c r="AE925" s="190"/>
      <c r="AF925" s="190"/>
      <c r="AG925" s="190"/>
      <c r="AH925" s="190"/>
      <c r="AI925" s="190"/>
      <c r="AJ925" s="190"/>
      <c r="AK925" s="619"/>
      <c r="AL925" s="617"/>
    </row>
    <row r="926" spans="1:38">
      <c r="A926" s="188"/>
      <c r="B926" s="188"/>
      <c r="C926" s="188"/>
      <c r="D926" s="190"/>
      <c r="E926" s="190"/>
      <c r="F926" s="190"/>
      <c r="G926" s="190"/>
      <c r="H926" s="190"/>
      <c r="I926" s="190"/>
      <c r="J926" s="190"/>
      <c r="K926" s="642"/>
      <c r="L926" s="642"/>
      <c r="M926" s="642"/>
      <c r="N926" s="642"/>
      <c r="O926" s="190"/>
      <c r="P926" s="190"/>
      <c r="Q926" s="190"/>
      <c r="R926" s="190"/>
      <c r="S926" s="190"/>
      <c r="T926" s="588"/>
      <c r="U926" s="188"/>
      <c r="V926" s="190"/>
      <c r="W926" s="190"/>
      <c r="X926" s="190"/>
      <c r="Y926" s="190"/>
      <c r="Z926" s="190"/>
      <c r="AA926" s="190"/>
      <c r="AB926" s="190"/>
      <c r="AC926" s="190"/>
      <c r="AD926" s="190"/>
      <c r="AE926" s="190"/>
      <c r="AF926" s="190"/>
      <c r="AG926" s="190"/>
      <c r="AH926" s="190"/>
      <c r="AI926" s="190"/>
      <c r="AJ926" s="190"/>
      <c r="AK926" s="619"/>
      <c r="AL926" s="617"/>
    </row>
    <row r="927" spans="1:38">
      <c r="A927" s="188"/>
      <c r="B927" s="188"/>
      <c r="C927" s="188"/>
      <c r="D927" s="190"/>
      <c r="E927" s="190"/>
      <c r="F927" s="190"/>
      <c r="G927" s="190"/>
      <c r="H927" s="190"/>
      <c r="I927" s="190"/>
      <c r="J927" s="190"/>
      <c r="K927" s="642"/>
      <c r="L927" s="642"/>
      <c r="M927" s="642"/>
      <c r="N927" s="642"/>
      <c r="O927" s="190"/>
      <c r="P927" s="190"/>
      <c r="Q927" s="190"/>
      <c r="R927" s="190"/>
      <c r="S927" s="190"/>
      <c r="T927" s="588"/>
      <c r="U927" s="188"/>
      <c r="V927" s="190"/>
      <c r="W927" s="190"/>
      <c r="X927" s="190"/>
      <c r="Y927" s="190"/>
      <c r="Z927" s="190"/>
      <c r="AA927" s="190"/>
      <c r="AB927" s="190"/>
      <c r="AC927" s="190"/>
      <c r="AD927" s="190"/>
      <c r="AE927" s="190"/>
      <c r="AF927" s="190"/>
      <c r="AG927" s="190"/>
      <c r="AH927" s="190"/>
      <c r="AI927" s="190"/>
      <c r="AJ927" s="190"/>
      <c r="AK927" s="619"/>
      <c r="AL927" s="617"/>
    </row>
    <row r="928" spans="1:38">
      <c r="A928" s="188"/>
      <c r="B928" s="188"/>
      <c r="C928" s="188"/>
      <c r="D928" s="190"/>
      <c r="E928" s="190"/>
      <c r="F928" s="190"/>
      <c r="G928" s="190"/>
      <c r="H928" s="190"/>
      <c r="I928" s="190"/>
      <c r="J928" s="190"/>
      <c r="K928" s="642"/>
      <c r="L928" s="642"/>
      <c r="M928" s="642"/>
      <c r="N928" s="642"/>
      <c r="O928" s="190"/>
      <c r="P928" s="190"/>
      <c r="Q928" s="190"/>
      <c r="R928" s="190"/>
      <c r="S928" s="190"/>
      <c r="T928" s="588"/>
      <c r="U928" s="188"/>
      <c r="V928" s="190"/>
      <c r="W928" s="190"/>
      <c r="X928" s="190"/>
      <c r="Y928" s="190"/>
      <c r="Z928" s="190"/>
      <c r="AA928" s="190"/>
      <c r="AB928" s="190"/>
      <c r="AC928" s="190"/>
      <c r="AD928" s="190"/>
      <c r="AE928" s="190"/>
      <c r="AF928" s="190"/>
      <c r="AG928" s="190"/>
      <c r="AH928" s="190"/>
      <c r="AI928" s="190"/>
      <c r="AJ928" s="190"/>
      <c r="AK928" s="619"/>
      <c r="AL928" s="617"/>
    </row>
    <row r="929" spans="1:38">
      <c r="A929" s="188"/>
      <c r="B929" s="188"/>
      <c r="C929" s="188"/>
      <c r="D929" s="190"/>
      <c r="E929" s="190"/>
      <c r="F929" s="190"/>
      <c r="G929" s="190"/>
      <c r="H929" s="190"/>
      <c r="I929" s="190"/>
      <c r="J929" s="190"/>
      <c r="K929" s="642"/>
      <c r="L929" s="642"/>
      <c r="M929" s="642"/>
      <c r="N929" s="642"/>
      <c r="O929" s="190"/>
      <c r="P929" s="190"/>
      <c r="Q929" s="190"/>
      <c r="R929" s="190"/>
      <c r="S929" s="190"/>
      <c r="T929" s="588"/>
      <c r="U929" s="188"/>
      <c r="V929" s="190"/>
      <c r="W929" s="190"/>
      <c r="X929" s="190"/>
      <c r="Y929" s="190"/>
      <c r="Z929" s="190"/>
      <c r="AA929" s="190"/>
      <c r="AB929" s="190"/>
      <c r="AC929" s="190"/>
      <c r="AD929" s="190"/>
      <c r="AE929" s="190"/>
      <c r="AF929" s="190"/>
      <c r="AG929" s="190"/>
      <c r="AH929" s="190"/>
      <c r="AI929" s="190"/>
      <c r="AJ929" s="190"/>
      <c r="AK929" s="619"/>
      <c r="AL929" s="617"/>
    </row>
    <row r="930" spans="1:38">
      <c r="A930" s="188"/>
      <c r="B930" s="188"/>
      <c r="C930" s="188"/>
      <c r="D930" s="190"/>
      <c r="E930" s="190"/>
      <c r="F930" s="190"/>
      <c r="G930" s="190"/>
      <c r="H930" s="190"/>
      <c r="I930" s="190"/>
      <c r="J930" s="190"/>
      <c r="K930" s="642"/>
      <c r="L930" s="642"/>
      <c r="M930" s="642"/>
      <c r="N930" s="642"/>
      <c r="O930" s="190"/>
      <c r="P930" s="190"/>
      <c r="Q930" s="190"/>
      <c r="R930" s="190"/>
      <c r="S930" s="190"/>
      <c r="T930" s="588"/>
      <c r="U930" s="188"/>
      <c r="V930" s="190"/>
      <c r="W930" s="190"/>
      <c r="X930" s="190"/>
      <c r="Y930" s="190"/>
      <c r="Z930" s="190"/>
      <c r="AA930" s="190"/>
      <c r="AB930" s="190"/>
      <c r="AC930" s="190"/>
      <c r="AD930" s="190"/>
      <c r="AE930" s="190"/>
      <c r="AF930" s="190"/>
      <c r="AG930" s="190"/>
      <c r="AH930" s="190"/>
      <c r="AI930" s="190"/>
      <c r="AJ930" s="190"/>
      <c r="AK930" s="619"/>
      <c r="AL930" s="617"/>
    </row>
    <row r="931" spans="1:38">
      <c r="A931" s="188"/>
      <c r="B931" s="188"/>
      <c r="C931" s="188"/>
      <c r="D931" s="190"/>
      <c r="E931" s="190"/>
      <c r="F931" s="190"/>
      <c r="G931" s="190"/>
      <c r="H931" s="190"/>
      <c r="I931" s="190"/>
      <c r="J931" s="190"/>
      <c r="K931" s="642"/>
      <c r="L931" s="642"/>
      <c r="M931" s="642"/>
      <c r="N931" s="642"/>
      <c r="O931" s="190"/>
      <c r="P931" s="190"/>
      <c r="Q931" s="190"/>
      <c r="R931" s="190"/>
      <c r="S931" s="190"/>
      <c r="T931" s="588"/>
      <c r="U931" s="188"/>
      <c r="V931" s="190"/>
      <c r="W931" s="190"/>
      <c r="X931" s="190"/>
      <c r="Y931" s="190"/>
      <c r="Z931" s="190"/>
      <c r="AA931" s="190"/>
      <c r="AB931" s="190"/>
      <c r="AC931" s="190"/>
      <c r="AD931" s="190"/>
      <c r="AE931" s="190"/>
      <c r="AF931" s="190"/>
      <c r="AG931" s="190"/>
      <c r="AH931" s="190"/>
      <c r="AI931" s="190"/>
      <c r="AJ931" s="190"/>
      <c r="AK931" s="619"/>
      <c r="AL931" s="617"/>
    </row>
    <row r="932" spans="1:38">
      <c r="A932" s="188"/>
      <c r="B932" s="188"/>
      <c r="C932" s="188"/>
      <c r="D932" s="190"/>
      <c r="E932" s="190"/>
      <c r="F932" s="190"/>
      <c r="G932" s="190"/>
      <c r="H932" s="190"/>
      <c r="I932" s="190"/>
      <c r="J932" s="190"/>
      <c r="K932" s="642"/>
      <c r="L932" s="642"/>
      <c r="M932" s="642"/>
      <c r="N932" s="642"/>
      <c r="O932" s="190"/>
      <c r="P932" s="190"/>
      <c r="Q932" s="190"/>
      <c r="R932" s="190"/>
      <c r="S932" s="190"/>
      <c r="T932" s="588"/>
      <c r="U932" s="188"/>
      <c r="V932" s="190"/>
      <c r="W932" s="190"/>
      <c r="X932" s="190"/>
      <c r="Y932" s="190"/>
      <c r="Z932" s="190"/>
      <c r="AA932" s="190"/>
      <c r="AB932" s="190"/>
      <c r="AC932" s="190"/>
      <c r="AD932" s="190"/>
      <c r="AE932" s="190"/>
      <c r="AF932" s="190"/>
      <c r="AG932" s="190"/>
      <c r="AH932" s="190"/>
      <c r="AI932" s="190"/>
      <c r="AJ932" s="190"/>
      <c r="AK932" s="619"/>
      <c r="AL932" s="617"/>
    </row>
    <row r="933" spans="1:38">
      <c r="A933" s="188"/>
      <c r="B933" s="188"/>
      <c r="C933" s="188"/>
      <c r="D933" s="190"/>
      <c r="E933" s="190"/>
      <c r="F933" s="190"/>
      <c r="G933" s="190"/>
      <c r="H933" s="190"/>
      <c r="I933" s="190"/>
      <c r="J933" s="190"/>
      <c r="K933" s="642"/>
      <c r="L933" s="642"/>
      <c r="M933" s="642"/>
      <c r="N933" s="642"/>
      <c r="O933" s="190"/>
      <c r="P933" s="190"/>
      <c r="Q933" s="190"/>
      <c r="R933" s="190"/>
      <c r="S933" s="190"/>
      <c r="T933" s="588"/>
      <c r="U933" s="188"/>
      <c r="V933" s="190"/>
      <c r="W933" s="190"/>
      <c r="X933" s="190"/>
      <c r="Y933" s="190"/>
      <c r="Z933" s="190"/>
      <c r="AA933" s="190"/>
      <c r="AB933" s="190"/>
      <c r="AC933" s="190"/>
      <c r="AD933" s="190"/>
      <c r="AE933" s="190"/>
      <c r="AF933" s="190"/>
      <c r="AG933" s="190"/>
      <c r="AH933" s="190"/>
      <c r="AI933" s="190"/>
      <c r="AJ933" s="190"/>
      <c r="AK933" s="619"/>
      <c r="AL933" s="617"/>
    </row>
    <row r="934" spans="1:38">
      <c r="A934" s="188"/>
      <c r="B934" s="188"/>
      <c r="C934" s="188"/>
      <c r="D934" s="190"/>
      <c r="E934" s="190"/>
      <c r="F934" s="190"/>
      <c r="G934" s="190"/>
      <c r="H934" s="190"/>
      <c r="I934" s="190"/>
      <c r="J934" s="190"/>
      <c r="K934" s="642"/>
      <c r="L934" s="642"/>
      <c r="M934" s="642"/>
      <c r="N934" s="642"/>
      <c r="O934" s="190"/>
      <c r="P934" s="190"/>
      <c r="Q934" s="190"/>
      <c r="R934" s="190"/>
      <c r="S934" s="190"/>
      <c r="T934" s="588"/>
      <c r="U934" s="188"/>
      <c r="V934" s="190"/>
      <c r="W934" s="190"/>
      <c r="X934" s="190"/>
      <c r="Y934" s="190"/>
      <c r="Z934" s="190"/>
      <c r="AA934" s="190"/>
      <c r="AB934" s="190"/>
      <c r="AC934" s="190"/>
      <c r="AD934" s="190"/>
      <c r="AE934" s="190"/>
      <c r="AF934" s="190"/>
      <c r="AG934" s="190"/>
      <c r="AH934" s="190"/>
      <c r="AI934" s="190"/>
      <c r="AJ934" s="190"/>
      <c r="AK934" s="619"/>
      <c r="AL934" s="617"/>
    </row>
    <row r="935" spans="1:38">
      <c r="A935" s="188"/>
      <c r="B935" s="188"/>
      <c r="C935" s="188"/>
      <c r="D935" s="190"/>
      <c r="E935" s="190"/>
      <c r="F935" s="190"/>
      <c r="G935" s="190"/>
      <c r="H935" s="190"/>
      <c r="I935" s="190"/>
      <c r="J935" s="190"/>
      <c r="K935" s="642"/>
      <c r="L935" s="642"/>
      <c r="M935" s="642"/>
      <c r="N935" s="642"/>
      <c r="O935" s="190"/>
      <c r="P935" s="190"/>
      <c r="Q935" s="190"/>
      <c r="R935" s="190"/>
      <c r="S935" s="190"/>
      <c r="T935" s="588"/>
      <c r="U935" s="188"/>
      <c r="V935" s="190"/>
      <c r="W935" s="190"/>
      <c r="X935" s="190"/>
      <c r="Y935" s="190"/>
      <c r="Z935" s="190"/>
      <c r="AA935" s="190"/>
      <c r="AB935" s="190"/>
      <c r="AC935" s="190"/>
      <c r="AD935" s="190"/>
      <c r="AE935" s="190"/>
      <c r="AF935" s="190"/>
      <c r="AG935" s="190"/>
      <c r="AH935" s="190"/>
      <c r="AI935" s="190"/>
      <c r="AJ935" s="190"/>
      <c r="AK935" s="619"/>
      <c r="AL935" s="617"/>
    </row>
    <row r="936" spans="1:38">
      <c r="A936" s="188"/>
      <c r="B936" s="188"/>
      <c r="C936" s="188"/>
      <c r="D936" s="190"/>
      <c r="E936" s="190"/>
      <c r="F936" s="190"/>
      <c r="G936" s="190"/>
      <c r="H936" s="190"/>
      <c r="I936" s="190"/>
      <c r="J936" s="190"/>
      <c r="K936" s="642"/>
      <c r="L936" s="642"/>
      <c r="M936" s="642"/>
      <c r="N936" s="642"/>
      <c r="O936" s="190"/>
      <c r="P936" s="190"/>
      <c r="Q936" s="190"/>
      <c r="R936" s="190"/>
      <c r="S936" s="190"/>
      <c r="T936" s="588"/>
      <c r="U936" s="188"/>
      <c r="V936" s="190"/>
      <c r="W936" s="190"/>
      <c r="X936" s="190"/>
      <c r="Y936" s="190"/>
      <c r="Z936" s="190"/>
      <c r="AA936" s="190"/>
      <c r="AB936" s="190"/>
      <c r="AC936" s="190"/>
      <c r="AD936" s="190"/>
      <c r="AE936" s="190"/>
      <c r="AF936" s="190"/>
      <c r="AG936" s="190"/>
      <c r="AH936" s="190"/>
      <c r="AI936" s="190"/>
      <c r="AJ936" s="190"/>
      <c r="AK936" s="619"/>
      <c r="AL936" s="617"/>
    </row>
    <row r="937" spans="1:38">
      <c r="A937" s="188"/>
      <c r="B937" s="188"/>
      <c r="C937" s="188"/>
      <c r="D937" s="190"/>
      <c r="E937" s="190"/>
      <c r="F937" s="190"/>
      <c r="G937" s="190"/>
      <c r="H937" s="190"/>
      <c r="I937" s="190"/>
      <c r="J937" s="190"/>
      <c r="K937" s="642"/>
      <c r="L937" s="642"/>
      <c r="M937" s="642"/>
      <c r="N937" s="642"/>
      <c r="O937" s="190"/>
      <c r="P937" s="190"/>
      <c r="Q937" s="190"/>
      <c r="R937" s="190"/>
      <c r="S937" s="190"/>
      <c r="T937" s="588"/>
      <c r="U937" s="188"/>
      <c r="V937" s="190"/>
      <c r="W937" s="190"/>
      <c r="X937" s="190"/>
      <c r="Y937" s="190"/>
      <c r="Z937" s="190"/>
      <c r="AA937" s="190"/>
      <c r="AB937" s="190"/>
      <c r="AC937" s="190"/>
      <c r="AD937" s="190"/>
      <c r="AE937" s="190"/>
      <c r="AF937" s="190"/>
      <c r="AG937" s="190"/>
      <c r="AH937" s="190"/>
      <c r="AI937" s="190"/>
      <c r="AJ937" s="190"/>
      <c r="AK937" s="619"/>
      <c r="AL937" s="617"/>
    </row>
    <row r="938" spans="1:38">
      <c r="A938" s="188"/>
      <c r="B938" s="188"/>
      <c r="C938" s="188"/>
      <c r="D938" s="190"/>
      <c r="E938" s="190"/>
      <c r="F938" s="190"/>
      <c r="G938" s="190"/>
      <c r="H938" s="190"/>
      <c r="I938" s="190"/>
      <c r="J938" s="190"/>
      <c r="K938" s="642"/>
      <c r="L938" s="642"/>
      <c r="M938" s="642"/>
      <c r="N938" s="642"/>
      <c r="O938" s="190"/>
      <c r="P938" s="190"/>
      <c r="Q938" s="190"/>
      <c r="R938" s="190"/>
      <c r="S938" s="190"/>
      <c r="T938" s="588"/>
      <c r="U938" s="188"/>
      <c r="V938" s="190"/>
      <c r="W938" s="190"/>
      <c r="X938" s="190"/>
      <c r="Y938" s="190"/>
      <c r="Z938" s="190"/>
      <c r="AA938" s="190"/>
      <c r="AB938" s="190"/>
      <c r="AC938" s="190"/>
      <c r="AD938" s="190"/>
      <c r="AE938" s="190"/>
      <c r="AF938" s="190"/>
      <c r="AG938" s="190"/>
      <c r="AH938" s="190"/>
      <c r="AI938" s="190"/>
      <c r="AJ938" s="190"/>
      <c r="AK938" s="619"/>
      <c r="AL938" s="617"/>
    </row>
    <row r="939" spans="1:38">
      <c r="A939" s="188"/>
      <c r="B939" s="188"/>
      <c r="C939" s="188"/>
      <c r="D939" s="190"/>
      <c r="E939" s="190"/>
      <c r="F939" s="190"/>
      <c r="G939" s="190"/>
      <c r="H939" s="190"/>
      <c r="I939" s="190"/>
      <c r="J939" s="190"/>
      <c r="K939" s="642"/>
      <c r="L939" s="642"/>
      <c r="M939" s="642"/>
      <c r="N939" s="642"/>
      <c r="O939" s="190"/>
      <c r="P939" s="190"/>
      <c r="Q939" s="190"/>
      <c r="R939" s="190"/>
      <c r="S939" s="190"/>
      <c r="T939" s="588"/>
      <c r="U939" s="188"/>
      <c r="V939" s="190"/>
      <c r="W939" s="190"/>
      <c r="X939" s="190"/>
      <c r="Y939" s="190"/>
      <c r="Z939" s="190"/>
      <c r="AA939" s="190"/>
      <c r="AB939" s="190"/>
      <c r="AC939" s="190"/>
      <c r="AD939" s="190"/>
      <c r="AE939" s="190"/>
      <c r="AF939" s="190"/>
      <c r="AG939" s="190"/>
      <c r="AH939" s="190"/>
      <c r="AI939" s="190"/>
      <c r="AJ939" s="190"/>
      <c r="AK939" s="619"/>
      <c r="AL939" s="617"/>
    </row>
    <row r="940" spans="1:38">
      <c r="A940" s="188"/>
      <c r="B940" s="188"/>
      <c r="C940" s="188"/>
      <c r="D940" s="190"/>
      <c r="E940" s="190"/>
      <c r="F940" s="190"/>
      <c r="G940" s="190"/>
      <c r="H940" s="190"/>
      <c r="I940" s="190"/>
      <c r="J940" s="190"/>
      <c r="K940" s="642"/>
      <c r="L940" s="642"/>
      <c r="M940" s="642"/>
      <c r="N940" s="642"/>
      <c r="O940" s="190"/>
      <c r="P940" s="190"/>
      <c r="Q940" s="190"/>
      <c r="R940" s="190"/>
      <c r="S940" s="190"/>
      <c r="T940" s="588"/>
      <c r="U940" s="188"/>
      <c r="V940" s="190"/>
      <c r="W940" s="190"/>
      <c r="X940" s="190"/>
      <c r="Y940" s="190"/>
      <c r="Z940" s="190"/>
      <c r="AA940" s="190"/>
      <c r="AB940" s="190"/>
      <c r="AC940" s="190"/>
      <c r="AD940" s="190"/>
      <c r="AE940" s="190"/>
      <c r="AF940" s="190"/>
      <c r="AG940" s="190"/>
      <c r="AH940" s="190"/>
      <c r="AI940" s="190"/>
      <c r="AJ940" s="190"/>
      <c r="AK940" s="619"/>
      <c r="AL940" s="617"/>
    </row>
    <row r="941" spans="1:38">
      <c r="A941" s="188"/>
      <c r="B941" s="188"/>
      <c r="C941" s="188"/>
      <c r="D941" s="190"/>
      <c r="E941" s="190"/>
      <c r="F941" s="190"/>
      <c r="G941" s="190"/>
      <c r="H941" s="190"/>
      <c r="I941" s="190"/>
      <c r="J941" s="190"/>
      <c r="K941" s="642"/>
      <c r="L941" s="642"/>
      <c r="M941" s="642"/>
      <c r="N941" s="642"/>
      <c r="O941" s="190"/>
      <c r="P941" s="190"/>
      <c r="Q941" s="190"/>
      <c r="R941" s="190"/>
      <c r="S941" s="190"/>
      <c r="T941" s="588"/>
      <c r="U941" s="188"/>
      <c r="V941" s="190"/>
      <c r="W941" s="190"/>
      <c r="X941" s="190"/>
      <c r="Y941" s="190"/>
      <c r="Z941" s="190"/>
      <c r="AA941" s="190"/>
      <c r="AB941" s="190"/>
      <c r="AC941" s="190"/>
      <c r="AD941" s="190"/>
      <c r="AE941" s="190"/>
      <c r="AF941" s="190"/>
      <c r="AG941" s="190"/>
      <c r="AH941" s="190"/>
      <c r="AI941" s="190"/>
      <c r="AJ941" s="190"/>
      <c r="AK941" s="619"/>
      <c r="AL941" s="617"/>
    </row>
    <row r="942" spans="1:38">
      <c r="A942" s="188"/>
      <c r="B942" s="188"/>
      <c r="C942" s="188"/>
      <c r="D942" s="190"/>
      <c r="E942" s="190"/>
      <c r="F942" s="190"/>
      <c r="G942" s="190"/>
      <c r="H942" s="190"/>
      <c r="I942" s="190"/>
      <c r="J942" s="190"/>
      <c r="K942" s="642"/>
      <c r="L942" s="642"/>
      <c r="M942" s="642"/>
      <c r="N942" s="642"/>
      <c r="O942" s="190"/>
      <c r="P942" s="190"/>
      <c r="Q942" s="190"/>
      <c r="R942" s="190"/>
      <c r="S942" s="190"/>
      <c r="T942" s="588"/>
      <c r="U942" s="188"/>
      <c r="V942" s="190"/>
      <c r="W942" s="190"/>
      <c r="X942" s="190"/>
      <c r="Y942" s="190"/>
      <c r="Z942" s="190"/>
      <c r="AA942" s="190"/>
      <c r="AB942" s="190"/>
      <c r="AC942" s="190"/>
      <c r="AD942" s="190"/>
      <c r="AE942" s="190"/>
      <c r="AF942" s="190"/>
      <c r="AG942" s="190"/>
      <c r="AH942" s="190"/>
      <c r="AI942" s="190"/>
      <c r="AJ942" s="190"/>
      <c r="AK942" s="619"/>
      <c r="AL942" s="617"/>
    </row>
    <row r="943" spans="1:38">
      <c r="A943" s="188"/>
      <c r="B943" s="188"/>
      <c r="C943" s="188"/>
      <c r="D943" s="190"/>
      <c r="E943" s="190"/>
      <c r="F943" s="190"/>
      <c r="G943" s="190"/>
      <c r="H943" s="190"/>
      <c r="I943" s="190"/>
      <c r="J943" s="190"/>
      <c r="K943" s="642"/>
      <c r="L943" s="642"/>
      <c r="M943" s="642"/>
      <c r="N943" s="642"/>
      <c r="O943" s="190"/>
      <c r="P943" s="190"/>
      <c r="Q943" s="190"/>
      <c r="R943" s="190"/>
      <c r="S943" s="190"/>
      <c r="T943" s="588"/>
      <c r="U943" s="188"/>
      <c r="V943" s="190"/>
      <c r="W943" s="190"/>
      <c r="X943" s="190"/>
      <c r="Y943" s="190"/>
      <c r="Z943" s="190"/>
      <c r="AA943" s="190"/>
      <c r="AB943" s="190"/>
      <c r="AC943" s="190"/>
      <c r="AD943" s="190"/>
      <c r="AE943" s="190"/>
      <c r="AF943" s="190"/>
      <c r="AG943" s="190"/>
      <c r="AH943" s="190"/>
      <c r="AI943" s="190"/>
      <c r="AJ943" s="190"/>
      <c r="AK943" s="619"/>
      <c r="AL943" s="617"/>
    </row>
    <row r="944" spans="1:38">
      <c r="A944" s="188"/>
      <c r="B944" s="188"/>
      <c r="C944" s="188"/>
      <c r="D944" s="190"/>
      <c r="E944" s="190"/>
      <c r="F944" s="190"/>
      <c r="G944" s="190"/>
      <c r="H944" s="190"/>
      <c r="I944" s="190"/>
      <c r="J944" s="190"/>
      <c r="K944" s="642"/>
      <c r="L944" s="642"/>
      <c r="M944" s="642"/>
      <c r="N944" s="642"/>
      <c r="O944" s="190"/>
      <c r="P944" s="190"/>
      <c r="Q944" s="190"/>
      <c r="R944" s="190"/>
      <c r="S944" s="190"/>
      <c r="T944" s="588"/>
      <c r="U944" s="188"/>
      <c r="V944" s="190"/>
      <c r="W944" s="190"/>
      <c r="X944" s="190"/>
      <c r="Y944" s="190"/>
      <c r="Z944" s="190"/>
      <c r="AA944" s="190"/>
      <c r="AB944" s="190"/>
      <c r="AC944" s="190"/>
      <c r="AD944" s="190"/>
      <c r="AE944" s="190"/>
      <c r="AF944" s="190"/>
      <c r="AG944" s="190"/>
      <c r="AH944" s="190"/>
      <c r="AI944" s="190"/>
      <c r="AJ944" s="190"/>
      <c r="AK944" s="619"/>
      <c r="AL944" s="617"/>
    </row>
    <row r="945" spans="1:38">
      <c r="A945" s="188"/>
      <c r="B945" s="188"/>
      <c r="C945" s="188"/>
      <c r="D945" s="190"/>
      <c r="E945" s="190"/>
      <c r="F945" s="190"/>
      <c r="G945" s="190"/>
      <c r="H945" s="190"/>
      <c r="I945" s="190"/>
      <c r="J945" s="190"/>
      <c r="K945" s="642"/>
      <c r="L945" s="642"/>
      <c r="M945" s="642"/>
      <c r="N945" s="642"/>
      <c r="O945" s="190"/>
      <c r="P945" s="190"/>
      <c r="Q945" s="190"/>
      <c r="R945" s="190"/>
      <c r="S945" s="190"/>
      <c r="T945" s="588"/>
      <c r="U945" s="188"/>
      <c r="V945" s="190"/>
      <c r="W945" s="190"/>
      <c r="X945" s="190"/>
      <c r="Y945" s="190"/>
      <c r="Z945" s="190"/>
      <c r="AA945" s="190"/>
      <c r="AB945" s="190"/>
      <c r="AC945" s="190"/>
      <c r="AD945" s="190"/>
      <c r="AE945" s="190"/>
      <c r="AF945" s="190"/>
      <c r="AG945" s="190"/>
      <c r="AH945" s="190"/>
      <c r="AI945" s="190"/>
      <c r="AJ945" s="190"/>
      <c r="AK945" s="619"/>
      <c r="AL945" s="617"/>
    </row>
    <row r="946" spans="1:38">
      <c r="A946" s="188"/>
      <c r="B946" s="188"/>
      <c r="C946" s="188"/>
      <c r="D946" s="190"/>
      <c r="E946" s="190"/>
      <c r="F946" s="190"/>
      <c r="G946" s="190"/>
      <c r="H946" s="190"/>
      <c r="I946" s="190"/>
      <c r="J946" s="190"/>
      <c r="K946" s="642"/>
      <c r="L946" s="642"/>
      <c r="M946" s="642"/>
      <c r="N946" s="642"/>
      <c r="O946" s="190"/>
      <c r="P946" s="190"/>
      <c r="Q946" s="190"/>
      <c r="R946" s="190"/>
      <c r="S946" s="190"/>
      <c r="T946" s="588"/>
      <c r="U946" s="188"/>
      <c r="V946" s="190"/>
      <c r="W946" s="190"/>
      <c r="X946" s="190"/>
      <c r="Y946" s="190"/>
      <c r="Z946" s="190"/>
      <c r="AA946" s="190"/>
      <c r="AB946" s="190"/>
      <c r="AC946" s="190"/>
      <c r="AD946" s="190"/>
      <c r="AE946" s="190"/>
      <c r="AF946" s="190"/>
      <c r="AG946" s="190"/>
      <c r="AH946" s="190"/>
      <c r="AI946" s="190"/>
      <c r="AJ946" s="190"/>
      <c r="AK946" s="619"/>
      <c r="AL946" s="617"/>
    </row>
    <row r="947" spans="1:38">
      <c r="A947" s="188"/>
      <c r="B947" s="188"/>
      <c r="C947" s="188"/>
      <c r="D947" s="190"/>
      <c r="E947" s="190"/>
      <c r="F947" s="190"/>
      <c r="G947" s="190"/>
      <c r="H947" s="190"/>
      <c r="I947" s="190"/>
      <c r="J947" s="190"/>
      <c r="K947" s="642"/>
      <c r="L947" s="642"/>
      <c r="M947" s="642"/>
      <c r="N947" s="642"/>
      <c r="O947" s="190"/>
      <c r="P947" s="190"/>
      <c r="Q947" s="190"/>
      <c r="R947" s="190"/>
      <c r="S947" s="190"/>
      <c r="T947" s="588"/>
      <c r="U947" s="188"/>
      <c r="V947" s="190"/>
      <c r="W947" s="190"/>
      <c r="X947" s="190"/>
      <c r="Y947" s="190"/>
      <c r="Z947" s="190"/>
      <c r="AA947" s="190"/>
      <c r="AB947" s="190"/>
      <c r="AC947" s="190"/>
      <c r="AD947" s="190"/>
      <c r="AE947" s="190"/>
      <c r="AF947" s="190"/>
      <c r="AG947" s="190"/>
      <c r="AH947" s="190"/>
      <c r="AI947" s="190"/>
      <c r="AJ947" s="190"/>
      <c r="AK947" s="619"/>
      <c r="AL947" s="617"/>
    </row>
    <row r="948" spans="1:38">
      <c r="A948" s="188"/>
      <c r="B948" s="188"/>
      <c r="C948" s="188"/>
      <c r="D948" s="190"/>
      <c r="E948" s="190"/>
      <c r="F948" s="190"/>
      <c r="G948" s="190"/>
      <c r="H948" s="190"/>
      <c r="I948" s="190"/>
      <c r="J948" s="190"/>
      <c r="K948" s="642"/>
      <c r="L948" s="642"/>
      <c r="M948" s="642"/>
      <c r="N948" s="642"/>
      <c r="O948" s="190"/>
      <c r="P948" s="190"/>
      <c r="Q948" s="190"/>
      <c r="R948" s="190"/>
      <c r="S948" s="190"/>
      <c r="T948" s="588"/>
      <c r="U948" s="188"/>
      <c r="V948" s="190"/>
      <c r="W948" s="190"/>
      <c r="X948" s="190"/>
      <c r="Y948" s="190"/>
      <c r="Z948" s="190"/>
      <c r="AA948" s="190"/>
      <c r="AB948" s="190"/>
      <c r="AC948" s="190"/>
      <c r="AD948" s="190"/>
      <c r="AE948" s="190"/>
      <c r="AF948" s="190"/>
      <c r="AG948" s="190"/>
      <c r="AH948" s="190"/>
      <c r="AI948" s="190"/>
      <c r="AJ948" s="190"/>
      <c r="AK948" s="619"/>
      <c r="AL948" s="617"/>
    </row>
    <row r="949" spans="1:38">
      <c r="A949" s="188"/>
      <c r="B949" s="188"/>
      <c r="C949" s="188"/>
      <c r="D949" s="190"/>
      <c r="E949" s="190"/>
      <c r="F949" s="190"/>
      <c r="G949" s="190"/>
      <c r="H949" s="190"/>
      <c r="I949" s="190"/>
      <c r="J949" s="190"/>
      <c r="K949" s="642"/>
      <c r="L949" s="642"/>
      <c r="M949" s="642"/>
      <c r="N949" s="642"/>
      <c r="O949" s="190"/>
      <c r="P949" s="190"/>
      <c r="Q949" s="190"/>
      <c r="R949" s="190"/>
      <c r="S949" s="190"/>
      <c r="T949" s="588"/>
      <c r="U949" s="188"/>
      <c r="V949" s="190"/>
      <c r="W949" s="190"/>
      <c r="X949" s="190"/>
      <c r="Y949" s="190"/>
      <c r="Z949" s="190"/>
      <c r="AA949" s="190"/>
      <c r="AB949" s="190"/>
      <c r="AC949" s="190"/>
      <c r="AD949" s="190"/>
      <c r="AE949" s="190"/>
      <c r="AF949" s="190"/>
      <c r="AG949" s="190"/>
      <c r="AH949" s="190"/>
      <c r="AI949" s="190"/>
      <c r="AJ949" s="190"/>
      <c r="AK949" s="619"/>
      <c r="AL949" s="617"/>
    </row>
    <row r="950" spans="1:38">
      <c r="A950" s="188"/>
      <c r="B950" s="188"/>
      <c r="C950" s="188"/>
      <c r="D950" s="190"/>
      <c r="E950" s="190"/>
      <c r="F950" s="190"/>
      <c r="G950" s="190"/>
      <c r="H950" s="190"/>
      <c r="I950" s="190"/>
      <c r="J950" s="190"/>
      <c r="K950" s="642"/>
      <c r="L950" s="642"/>
      <c r="M950" s="642"/>
      <c r="N950" s="642"/>
      <c r="O950" s="190"/>
      <c r="P950" s="190"/>
      <c r="Q950" s="190"/>
      <c r="R950" s="190"/>
      <c r="S950" s="190"/>
      <c r="T950" s="588"/>
      <c r="U950" s="188"/>
      <c r="V950" s="190"/>
      <c r="W950" s="190"/>
      <c r="X950" s="190"/>
      <c r="Y950" s="190"/>
      <c r="Z950" s="190"/>
      <c r="AA950" s="190"/>
      <c r="AB950" s="190"/>
      <c r="AC950" s="190"/>
      <c r="AD950" s="190"/>
      <c r="AE950" s="190"/>
      <c r="AF950" s="190"/>
      <c r="AG950" s="190"/>
      <c r="AH950" s="190"/>
      <c r="AI950" s="190"/>
      <c r="AJ950" s="190"/>
      <c r="AK950" s="619"/>
      <c r="AL950" s="617"/>
    </row>
    <row r="951" spans="1:38">
      <c r="A951" s="188"/>
      <c r="B951" s="188"/>
      <c r="C951" s="188"/>
      <c r="D951" s="190"/>
      <c r="E951" s="190"/>
      <c r="F951" s="190"/>
      <c r="G951" s="190"/>
      <c r="H951" s="190"/>
      <c r="I951" s="190"/>
      <c r="J951" s="190"/>
      <c r="K951" s="642"/>
      <c r="L951" s="642"/>
      <c r="M951" s="642"/>
      <c r="N951" s="642"/>
      <c r="O951" s="190"/>
      <c r="P951" s="190"/>
      <c r="Q951" s="190"/>
      <c r="R951" s="190"/>
      <c r="S951" s="190"/>
      <c r="T951" s="588"/>
      <c r="U951" s="188"/>
      <c r="V951" s="190"/>
      <c r="W951" s="190"/>
      <c r="X951" s="190"/>
      <c r="Y951" s="190"/>
      <c r="Z951" s="190"/>
      <c r="AA951" s="190"/>
      <c r="AB951" s="190"/>
      <c r="AC951" s="190"/>
      <c r="AD951" s="190"/>
      <c r="AE951" s="190"/>
      <c r="AF951" s="190"/>
      <c r="AG951" s="190"/>
      <c r="AH951" s="190"/>
      <c r="AI951" s="190"/>
      <c r="AJ951" s="190"/>
      <c r="AK951" s="619"/>
      <c r="AL951" s="617"/>
    </row>
    <row r="952" spans="1:38">
      <c r="A952" s="188"/>
      <c r="B952" s="188"/>
      <c r="C952" s="188"/>
      <c r="D952" s="190"/>
      <c r="E952" s="190"/>
      <c r="F952" s="190"/>
      <c r="G952" s="190"/>
      <c r="H952" s="190"/>
      <c r="I952" s="190"/>
      <c r="J952" s="190"/>
      <c r="K952" s="642"/>
      <c r="L952" s="642"/>
      <c r="M952" s="642"/>
      <c r="N952" s="642"/>
      <c r="O952" s="190"/>
      <c r="P952" s="190"/>
      <c r="Q952" s="190"/>
      <c r="R952" s="190"/>
      <c r="S952" s="190"/>
      <c r="T952" s="588"/>
      <c r="U952" s="188"/>
      <c r="V952" s="190"/>
      <c r="W952" s="190"/>
      <c r="X952" s="190"/>
      <c r="Y952" s="190"/>
      <c r="Z952" s="190"/>
      <c r="AA952" s="190"/>
      <c r="AB952" s="190"/>
      <c r="AC952" s="190"/>
      <c r="AD952" s="190"/>
      <c r="AE952" s="190"/>
      <c r="AF952" s="190"/>
      <c r="AG952" s="190"/>
      <c r="AH952" s="190"/>
      <c r="AI952" s="190"/>
      <c r="AJ952" s="190"/>
      <c r="AK952" s="619"/>
      <c r="AL952" s="617"/>
    </row>
    <row r="953" spans="1:38">
      <c r="A953" s="188"/>
      <c r="B953" s="188"/>
      <c r="C953" s="188"/>
      <c r="D953" s="190"/>
      <c r="E953" s="190"/>
      <c r="F953" s="190"/>
      <c r="G953" s="190"/>
      <c r="H953" s="190"/>
      <c r="I953" s="190"/>
      <c r="J953" s="190"/>
      <c r="K953" s="642"/>
      <c r="L953" s="642"/>
      <c r="M953" s="642"/>
      <c r="N953" s="642"/>
      <c r="O953" s="190"/>
      <c r="P953" s="190"/>
      <c r="Q953" s="190"/>
      <c r="R953" s="190"/>
      <c r="S953" s="190"/>
      <c r="T953" s="588"/>
      <c r="U953" s="188"/>
      <c r="V953" s="190"/>
      <c r="W953" s="190"/>
      <c r="X953" s="190"/>
      <c r="Y953" s="190"/>
      <c r="Z953" s="190"/>
      <c r="AA953" s="190"/>
      <c r="AB953" s="190"/>
      <c r="AC953" s="190"/>
      <c r="AD953" s="190"/>
      <c r="AE953" s="190"/>
      <c r="AF953" s="190"/>
      <c r="AG953" s="190"/>
      <c r="AH953" s="190"/>
      <c r="AI953" s="190"/>
      <c r="AJ953" s="190"/>
      <c r="AK953" s="619"/>
      <c r="AL953" s="617"/>
    </row>
    <row r="954" spans="1:38">
      <c r="A954" s="188"/>
      <c r="B954" s="188"/>
      <c r="C954" s="188"/>
      <c r="D954" s="190"/>
      <c r="E954" s="190"/>
      <c r="F954" s="190"/>
      <c r="G954" s="190"/>
      <c r="H954" s="190"/>
      <c r="I954" s="190"/>
      <c r="J954" s="190"/>
      <c r="K954" s="642"/>
      <c r="L954" s="642"/>
      <c r="M954" s="642"/>
      <c r="N954" s="642"/>
      <c r="O954" s="190"/>
      <c r="P954" s="190"/>
      <c r="Q954" s="190"/>
      <c r="R954" s="190"/>
      <c r="S954" s="190"/>
      <c r="T954" s="588"/>
      <c r="U954" s="188"/>
      <c r="V954" s="190"/>
      <c r="W954" s="190"/>
      <c r="X954" s="190"/>
      <c r="Y954" s="190"/>
      <c r="Z954" s="190"/>
      <c r="AA954" s="190"/>
      <c r="AB954" s="190"/>
      <c r="AC954" s="190"/>
      <c r="AD954" s="190"/>
      <c r="AE954" s="190"/>
      <c r="AF954" s="190"/>
      <c r="AG954" s="190"/>
      <c r="AH954" s="190"/>
      <c r="AI954" s="190"/>
      <c r="AJ954" s="190"/>
      <c r="AK954" s="619"/>
      <c r="AL954" s="617"/>
    </row>
    <row r="955" spans="1:38">
      <c r="A955" s="188"/>
      <c r="B955" s="188"/>
      <c r="C955" s="188"/>
      <c r="D955" s="190"/>
      <c r="E955" s="190"/>
      <c r="F955" s="190"/>
      <c r="G955" s="190"/>
      <c r="H955" s="190"/>
      <c r="I955" s="190"/>
      <c r="J955" s="190"/>
      <c r="K955" s="642"/>
      <c r="L955" s="642"/>
      <c r="M955" s="642"/>
      <c r="N955" s="642"/>
      <c r="O955" s="190"/>
      <c r="P955" s="190"/>
      <c r="Q955" s="190"/>
      <c r="R955" s="190"/>
      <c r="S955" s="190"/>
      <c r="T955" s="588"/>
      <c r="U955" s="188"/>
      <c r="V955" s="190"/>
      <c r="W955" s="190"/>
      <c r="X955" s="190"/>
      <c r="Y955" s="190"/>
      <c r="Z955" s="190"/>
      <c r="AA955" s="190"/>
      <c r="AB955" s="190"/>
      <c r="AC955" s="190"/>
      <c r="AD955" s="190"/>
      <c r="AE955" s="190"/>
      <c r="AF955" s="190"/>
      <c r="AG955" s="190"/>
      <c r="AH955" s="190"/>
      <c r="AI955" s="190"/>
      <c r="AJ955" s="190"/>
      <c r="AK955" s="619"/>
      <c r="AL955" s="617"/>
    </row>
    <row r="956" spans="1:38">
      <c r="A956" s="188"/>
      <c r="B956" s="188"/>
      <c r="C956" s="188"/>
      <c r="D956" s="190"/>
      <c r="E956" s="190"/>
      <c r="F956" s="190"/>
      <c r="G956" s="190"/>
      <c r="H956" s="190"/>
      <c r="I956" s="190"/>
      <c r="J956" s="190"/>
      <c r="K956" s="642"/>
      <c r="L956" s="642"/>
      <c r="M956" s="642"/>
      <c r="N956" s="642"/>
      <c r="O956" s="190"/>
      <c r="P956" s="190"/>
      <c r="Q956" s="190"/>
      <c r="R956" s="190"/>
      <c r="S956" s="190"/>
      <c r="T956" s="588"/>
      <c r="U956" s="188"/>
      <c r="V956" s="190"/>
      <c r="W956" s="190"/>
      <c r="X956" s="190"/>
      <c r="Y956" s="190"/>
      <c r="Z956" s="190"/>
      <c r="AA956" s="190"/>
      <c r="AB956" s="190"/>
      <c r="AC956" s="190"/>
      <c r="AD956" s="190"/>
      <c r="AE956" s="190"/>
      <c r="AF956" s="190"/>
      <c r="AG956" s="190"/>
      <c r="AH956" s="190"/>
      <c r="AI956" s="190"/>
      <c r="AJ956" s="190"/>
      <c r="AK956" s="619"/>
      <c r="AL956" s="617"/>
    </row>
    <row r="957" spans="1:38">
      <c r="A957" s="188"/>
      <c r="B957" s="188"/>
      <c r="C957" s="188"/>
      <c r="D957" s="190"/>
      <c r="E957" s="190"/>
      <c r="F957" s="190"/>
      <c r="G957" s="190"/>
      <c r="H957" s="190"/>
      <c r="I957" s="190"/>
      <c r="J957" s="190"/>
      <c r="K957" s="642"/>
      <c r="L957" s="642"/>
      <c r="M957" s="642"/>
      <c r="N957" s="642"/>
      <c r="O957" s="190"/>
      <c r="P957" s="190"/>
      <c r="Q957" s="190"/>
      <c r="R957" s="190"/>
      <c r="S957" s="190"/>
      <c r="T957" s="588"/>
      <c r="U957" s="188"/>
      <c r="V957" s="190"/>
      <c r="W957" s="190"/>
      <c r="X957" s="190"/>
      <c r="Y957" s="190"/>
      <c r="Z957" s="190"/>
      <c r="AA957" s="190"/>
      <c r="AB957" s="190"/>
      <c r="AC957" s="190"/>
      <c r="AD957" s="190"/>
      <c r="AE957" s="190"/>
      <c r="AF957" s="190"/>
      <c r="AG957" s="190"/>
      <c r="AH957" s="190"/>
      <c r="AI957" s="190"/>
      <c r="AJ957" s="190"/>
      <c r="AK957" s="619"/>
      <c r="AL957" s="617"/>
    </row>
    <row r="958" spans="1:38">
      <c r="A958" s="188"/>
      <c r="B958" s="188"/>
      <c r="C958" s="188"/>
      <c r="D958" s="190"/>
      <c r="E958" s="190"/>
      <c r="F958" s="190"/>
      <c r="G958" s="190"/>
      <c r="H958" s="190"/>
      <c r="I958" s="190"/>
      <c r="J958" s="190"/>
      <c r="K958" s="642"/>
      <c r="L958" s="642"/>
      <c r="M958" s="642"/>
      <c r="N958" s="642"/>
      <c r="O958" s="190"/>
      <c r="P958" s="190"/>
      <c r="Q958" s="190"/>
      <c r="R958" s="190"/>
      <c r="S958" s="190"/>
      <c r="T958" s="588"/>
      <c r="U958" s="188"/>
      <c r="V958" s="190"/>
      <c r="W958" s="190"/>
      <c r="X958" s="190"/>
      <c r="Y958" s="190"/>
      <c r="Z958" s="190"/>
      <c r="AA958" s="190"/>
      <c r="AB958" s="190"/>
      <c r="AC958" s="190"/>
      <c r="AD958" s="190"/>
      <c r="AE958" s="190"/>
      <c r="AF958" s="190"/>
      <c r="AG958" s="190"/>
      <c r="AH958" s="190"/>
      <c r="AI958" s="190"/>
      <c r="AJ958" s="190"/>
      <c r="AK958" s="619"/>
      <c r="AL958" s="617"/>
    </row>
    <row r="959" spans="1:38">
      <c r="A959" s="188"/>
      <c r="B959" s="188"/>
      <c r="C959" s="188"/>
      <c r="D959" s="190"/>
      <c r="E959" s="190"/>
      <c r="F959" s="190"/>
      <c r="G959" s="190"/>
      <c r="H959" s="190"/>
      <c r="I959" s="190"/>
      <c r="J959" s="190"/>
      <c r="K959" s="642"/>
      <c r="L959" s="642"/>
      <c r="M959" s="642"/>
      <c r="N959" s="642"/>
      <c r="O959" s="190"/>
      <c r="P959" s="190"/>
      <c r="Q959" s="190"/>
      <c r="R959" s="190"/>
      <c r="S959" s="190"/>
      <c r="T959" s="588"/>
      <c r="U959" s="188"/>
      <c r="V959" s="190"/>
      <c r="W959" s="190"/>
      <c r="X959" s="190"/>
      <c r="Y959" s="190"/>
      <c r="Z959" s="190"/>
      <c r="AA959" s="190"/>
      <c r="AB959" s="190"/>
      <c r="AC959" s="190"/>
      <c r="AD959" s="190"/>
      <c r="AE959" s="190"/>
      <c r="AF959" s="190"/>
      <c r="AG959" s="190"/>
      <c r="AH959" s="190"/>
      <c r="AI959" s="190"/>
      <c r="AJ959" s="190"/>
      <c r="AK959" s="619"/>
      <c r="AL959" s="617"/>
    </row>
    <row r="960" spans="1:38">
      <c r="A960" s="188"/>
      <c r="B960" s="188"/>
      <c r="C960" s="188"/>
      <c r="D960" s="190"/>
      <c r="E960" s="190"/>
      <c r="F960" s="190"/>
      <c r="G960" s="190"/>
      <c r="H960" s="190"/>
      <c r="I960" s="190"/>
      <c r="J960" s="190"/>
      <c r="K960" s="642"/>
      <c r="L960" s="642"/>
      <c r="M960" s="642"/>
      <c r="N960" s="642"/>
      <c r="O960" s="190"/>
      <c r="P960" s="190"/>
      <c r="Q960" s="190"/>
      <c r="R960" s="190"/>
      <c r="S960" s="190"/>
      <c r="T960" s="588"/>
      <c r="U960" s="188"/>
      <c r="V960" s="190"/>
      <c r="W960" s="190"/>
      <c r="X960" s="190"/>
      <c r="Y960" s="190"/>
      <c r="Z960" s="190"/>
      <c r="AA960" s="190"/>
      <c r="AB960" s="190"/>
      <c r="AC960" s="190"/>
      <c r="AD960" s="190"/>
      <c r="AE960" s="190"/>
      <c r="AF960" s="190"/>
      <c r="AG960" s="190"/>
      <c r="AH960" s="190"/>
      <c r="AI960" s="190"/>
      <c r="AJ960" s="190"/>
      <c r="AK960" s="619"/>
      <c r="AL960" s="617"/>
    </row>
    <row r="961" spans="1:38">
      <c r="A961" s="188"/>
      <c r="B961" s="188"/>
      <c r="C961" s="188"/>
      <c r="D961" s="190"/>
      <c r="E961" s="190"/>
      <c r="F961" s="190"/>
      <c r="G961" s="190"/>
      <c r="H961" s="190"/>
      <c r="I961" s="190"/>
      <c r="J961" s="190"/>
      <c r="K961" s="642"/>
      <c r="L961" s="642"/>
      <c r="M961" s="642"/>
      <c r="N961" s="642"/>
      <c r="O961" s="190"/>
      <c r="P961" s="190"/>
      <c r="Q961" s="190"/>
      <c r="R961" s="190"/>
      <c r="S961" s="190"/>
      <c r="T961" s="588"/>
      <c r="U961" s="188"/>
      <c r="V961" s="190"/>
      <c r="W961" s="190"/>
      <c r="X961" s="190"/>
      <c r="Y961" s="190"/>
      <c r="Z961" s="190"/>
      <c r="AA961" s="190"/>
      <c r="AB961" s="190"/>
      <c r="AC961" s="190"/>
      <c r="AD961" s="190"/>
      <c r="AE961" s="190"/>
      <c r="AF961" s="190"/>
      <c r="AG961" s="190"/>
      <c r="AH961" s="190"/>
      <c r="AI961" s="190"/>
      <c r="AJ961" s="190"/>
      <c r="AK961" s="619"/>
      <c r="AL961" s="617"/>
    </row>
    <row r="962" spans="1:38">
      <c r="A962" s="188"/>
      <c r="B962" s="188"/>
      <c r="C962" s="188"/>
      <c r="D962" s="190"/>
      <c r="E962" s="190"/>
      <c r="F962" s="190"/>
      <c r="G962" s="190"/>
      <c r="H962" s="190"/>
      <c r="I962" s="190"/>
      <c r="J962" s="190"/>
      <c r="K962" s="642"/>
      <c r="L962" s="642"/>
      <c r="M962" s="642"/>
      <c r="N962" s="642"/>
      <c r="O962" s="190"/>
      <c r="P962" s="190"/>
      <c r="Q962" s="190"/>
      <c r="R962" s="190"/>
      <c r="S962" s="190"/>
      <c r="T962" s="588"/>
      <c r="U962" s="188"/>
      <c r="V962" s="190"/>
      <c r="W962" s="190"/>
      <c r="X962" s="190"/>
      <c r="Y962" s="190"/>
      <c r="Z962" s="190"/>
      <c r="AA962" s="190"/>
      <c r="AB962" s="190"/>
      <c r="AC962" s="190"/>
      <c r="AD962" s="190"/>
      <c r="AE962" s="190"/>
      <c r="AF962" s="190"/>
      <c r="AG962" s="190"/>
      <c r="AH962" s="190"/>
      <c r="AI962" s="190"/>
      <c r="AJ962" s="190"/>
      <c r="AK962" s="619"/>
      <c r="AL962" s="617"/>
    </row>
    <row r="963" spans="1:38">
      <c r="A963" s="188"/>
      <c r="B963" s="188"/>
      <c r="C963" s="188"/>
      <c r="D963" s="190"/>
      <c r="E963" s="190"/>
      <c r="F963" s="190"/>
      <c r="G963" s="190"/>
      <c r="H963" s="190"/>
      <c r="I963" s="190"/>
      <c r="J963" s="190"/>
      <c r="K963" s="642"/>
      <c r="L963" s="642"/>
      <c r="M963" s="642"/>
      <c r="N963" s="642"/>
      <c r="O963" s="190"/>
      <c r="P963" s="190"/>
      <c r="Q963" s="190"/>
      <c r="R963" s="190"/>
      <c r="S963" s="190"/>
      <c r="T963" s="588"/>
      <c r="U963" s="188"/>
      <c r="V963" s="190"/>
      <c r="W963" s="190"/>
      <c r="X963" s="190"/>
      <c r="Y963" s="190"/>
      <c r="Z963" s="190"/>
      <c r="AA963" s="190"/>
      <c r="AB963" s="190"/>
      <c r="AC963" s="190"/>
      <c r="AD963" s="190"/>
      <c r="AE963" s="190"/>
      <c r="AF963" s="190"/>
      <c r="AG963" s="190"/>
      <c r="AH963" s="190"/>
      <c r="AI963" s="190"/>
      <c r="AJ963" s="190"/>
      <c r="AK963" s="619"/>
      <c r="AL963" s="617"/>
    </row>
    <row r="964" spans="1:38">
      <c r="A964" s="188"/>
      <c r="B964" s="188"/>
      <c r="C964" s="188"/>
      <c r="D964" s="190"/>
      <c r="E964" s="190"/>
      <c r="F964" s="190"/>
      <c r="G964" s="190"/>
      <c r="H964" s="190"/>
      <c r="I964" s="190"/>
      <c r="J964" s="190"/>
      <c r="K964" s="642"/>
      <c r="L964" s="642"/>
      <c r="M964" s="642"/>
      <c r="N964" s="642"/>
      <c r="O964" s="190"/>
      <c r="P964" s="190"/>
      <c r="Q964" s="190"/>
      <c r="R964" s="190"/>
      <c r="S964" s="190"/>
      <c r="T964" s="588"/>
      <c r="U964" s="188"/>
      <c r="V964" s="190"/>
      <c r="W964" s="190"/>
      <c r="X964" s="190"/>
      <c r="Y964" s="190"/>
      <c r="Z964" s="190"/>
      <c r="AA964" s="190"/>
      <c r="AB964" s="190"/>
      <c r="AC964" s="190"/>
      <c r="AD964" s="190"/>
      <c r="AE964" s="190"/>
      <c r="AF964" s="190"/>
      <c r="AG964" s="190"/>
      <c r="AH964" s="190"/>
      <c r="AI964" s="190"/>
      <c r="AJ964" s="190"/>
      <c r="AK964" s="619"/>
      <c r="AL964" s="617"/>
    </row>
    <row r="965" spans="1:38">
      <c r="A965" s="188"/>
      <c r="B965" s="188"/>
      <c r="C965" s="188"/>
      <c r="D965" s="190"/>
      <c r="E965" s="190"/>
      <c r="F965" s="190"/>
      <c r="G965" s="190"/>
      <c r="H965" s="190"/>
      <c r="I965" s="190"/>
      <c r="J965" s="190"/>
      <c r="K965" s="642"/>
      <c r="L965" s="642"/>
      <c r="M965" s="642"/>
      <c r="N965" s="642"/>
      <c r="O965" s="190"/>
      <c r="P965" s="190"/>
      <c r="Q965" s="190"/>
      <c r="R965" s="190"/>
      <c r="S965" s="190"/>
      <c r="T965" s="588"/>
      <c r="U965" s="188"/>
      <c r="V965" s="190"/>
      <c r="W965" s="190"/>
      <c r="X965" s="190"/>
      <c r="Y965" s="190"/>
      <c r="Z965" s="190"/>
      <c r="AA965" s="190"/>
      <c r="AB965" s="190"/>
      <c r="AC965" s="190"/>
      <c r="AD965" s="190"/>
      <c r="AE965" s="190"/>
      <c r="AF965" s="190"/>
      <c r="AG965" s="190"/>
      <c r="AH965" s="190"/>
      <c r="AI965" s="190"/>
      <c r="AJ965" s="190"/>
      <c r="AK965" s="619"/>
      <c r="AL965" s="617"/>
    </row>
    <row r="966" spans="1:38">
      <c r="A966" s="188"/>
      <c r="B966" s="188"/>
      <c r="C966" s="188"/>
      <c r="D966" s="190"/>
      <c r="E966" s="190"/>
      <c r="F966" s="190"/>
      <c r="G966" s="190"/>
      <c r="H966" s="190"/>
      <c r="I966" s="190"/>
      <c r="J966" s="190"/>
      <c r="K966" s="642"/>
      <c r="L966" s="642"/>
      <c r="M966" s="642"/>
      <c r="N966" s="642"/>
      <c r="O966" s="190"/>
      <c r="P966" s="190"/>
      <c r="Q966" s="190"/>
      <c r="R966" s="190"/>
      <c r="S966" s="190"/>
      <c r="T966" s="588"/>
      <c r="U966" s="188"/>
      <c r="V966" s="190"/>
      <c r="W966" s="190"/>
      <c r="X966" s="190"/>
      <c r="Y966" s="190"/>
      <c r="Z966" s="190"/>
      <c r="AA966" s="190"/>
      <c r="AB966" s="190"/>
      <c r="AC966" s="190"/>
      <c r="AD966" s="190"/>
      <c r="AE966" s="190"/>
      <c r="AF966" s="190"/>
      <c r="AG966" s="190"/>
      <c r="AH966" s="190"/>
      <c r="AI966" s="190"/>
      <c r="AJ966" s="190"/>
      <c r="AK966" s="619"/>
      <c r="AL966" s="617"/>
    </row>
    <row r="967" spans="1:38">
      <c r="A967" s="188"/>
      <c r="B967" s="188"/>
      <c r="C967" s="188"/>
      <c r="D967" s="190"/>
      <c r="E967" s="190"/>
      <c r="F967" s="190"/>
      <c r="G967" s="190"/>
      <c r="H967" s="190"/>
      <c r="I967" s="190"/>
      <c r="J967" s="190"/>
      <c r="K967" s="642"/>
      <c r="L967" s="642"/>
      <c r="M967" s="642"/>
      <c r="N967" s="642"/>
      <c r="O967" s="190"/>
      <c r="P967" s="190"/>
      <c r="Q967" s="190"/>
      <c r="R967" s="190"/>
      <c r="S967" s="190"/>
      <c r="T967" s="588"/>
      <c r="U967" s="188"/>
      <c r="V967" s="190"/>
      <c r="W967" s="190"/>
      <c r="X967" s="190"/>
      <c r="Y967" s="190"/>
      <c r="Z967" s="190"/>
      <c r="AA967" s="190"/>
      <c r="AB967" s="190"/>
      <c r="AC967" s="190"/>
      <c r="AD967" s="190"/>
      <c r="AE967" s="190"/>
      <c r="AF967" s="190"/>
      <c r="AG967" s="190"/>
      <c r="AH967" s="190"/>
      <c r="AI967" s="190"/>
      <c r="AJ967" s="190"/>
      <c r="AK967" s="619"/>
      <c r="AL967" s="617"/>
    </row>
    <row r="968" spans="1:38">
      <c r="A968" s="188"/>
      <c r="B968" s="188"/>
      <c r="C968" s="188"/>
      <c r="D968" s="190"/>
      <c r="E968" s="190"/>
      <c r="F968" s="190"/>
      <c r="G968" s="190"/>
      <c r="H968" s="190"/>
      <c r="I968" s="190"/>
      <c r="J968" s="190"/>
      <c r="K968" s="642"/>
      <c r="L968" s="642"/>
      <c r="M968" s="642"/>
      <c r="N968" s="642"/>
      <c r="O968" s="190"/>
      <c r="P968" s="190"/>
      <c r="Q968" s="190"/>
      <c r="R968" s="190"/>
      <c r="S968" s="190"/>
      <c r="T968" s="588"/>
      <c r="U968" s="188"/>
      <c r="V968" s="190"/>
      <c r="W968" s="190"/>
      <c r="X968" s="190"/>
      <c r="Y968" s="190"/>
      <c r="Z968" s="190"/>
      <c r="AA968" s="190"/>
      <c r="AB968" s="190"/>
      <c r="AC968" s="190"/>
      <c r="AD968" s="190"/>
      <c r="AE968" s="190"/>
      <c r="AF968" s="190"/>
      <c r="AG968" s="190"/>
      <c r="AH968" s="190"/>
      <c r="AI968" s="190"/>
      <c r="AJ968" s="190"/>
      <c r="AK968" s="619"/>
      <c r="AL968" s="617"/>
    </row>
    <row r="969" spans="1:38">
      <c r="A969" s="188"/>
      <c r="B969" s="188"/>
      <c r="C969" s="188"/>
      <c r="D969" s="190"/>
      <c r="E969" s="190"/>
      <c r="F969" s="190"/>
      <c r="G969" s="190"/>
      <c r="H969" s="190"/>
      <c r="I969" s="190"/>
      <c r="J969" s="190"/>
      <c r="K969" s="642"/>
      <c r="L969" s="642"/>
      <c r="M969" s="642"/>
      <c r="N969" s="642"/>
      <c r="O969" s="190"/>
      <c r="P969" s="190"/>
      <c r="Q969" s="190"/>
      <c r="R969" s="190"/>
      <c r="S969" s="190"/>
      <c r="T969" s="588"/>
      <c r="U969" s="188"/>
      <c r="V969" s="190"/>
      <c r="W969" s="190"/>
      <c r="X969" s="190"/>
      <c r="Y969" s="190"/>
      <c r="Z969" s="190"/>
      <c r="AA969" s="190"/>
      <c r="AB969" s="190"/>
      <c r="AC969" s="190"/>
      <c r="AD969" s="190"/>
      <c r="AE969" s="190"/>
      <c r="AF969" s="190"/>
      <c r="AG969" s="190"/>
      <c r="AH969" s="190"/>
      <c r="AI969" s="190"/>
      <c r="AJ969" s="190"/>
      <c r="AK969" s="619"/>
      <c r="AL969" s="617"/>
    </row>
    <row r="970" spans="1:38">
      <c r="A970" s="188"/>
      <c r="B970" s="188"/>
      <c r="C970" s="188"/>
      <c r="D970" s="190"/>
      <c r="E970" s="190"/>
      <c r="F970" s="190"/>
      <c r="G970" s="190"/>
      <c r="H970" s="190"/>
      <c r="I970" s="190"/>
      <c r="J970" s="190"/>
      <c r="K970" s="642"/>
      <c r="L970" s="642"/>
      <c r="M970" s="642"/>
      <c r="N970" s="642"/>
      <c r="O970" s="190"/>
      <c r="P970" s="190"/>
      <c r="Q970" s="190"/>
      <c r="R970" s="190"/>
      <c r="S970" s="190"/>
      <c r="T970" s="588"/>
      <c r="U970" s="188"/>
      <c r="V970" s="190"/>
      <c r="W970" s="190"/>
      <c r="X970" s="190"/>
      <c r="Y970" s="190"/>
      <c r="Z970" s="190"/>
      <c r="AA970" s="190"/>
      <c r="AB970" s="190"/>
      <c r="AC970" s="190"/>
      <c r="AD970" s="190"/>
      <c r="AE970" s="190"/>
      <c r="AF970" s="190"/>
      <c r="AG970" s="190"/>
      <c r="AH970" s="190"/>
      <c r="AI970" s="190"/>
      <c r="AJ970" s="190"/>
      <c r="AK970" s="619"/>
      <c r="AL970" s="617"/>
    </row>
    <row r="971" spans="1:38">
      <c r="A971" s="188"/>
      <c r="B971" s="188"/>
      <c r="C971" s="188"/>
      <c r="D971" s="190"/>
      <c r="E971" s="190"/>
      <c r="F971" s="190"/>
      <c r="G971" s="190"/>
      <c r="H971" s="190"/>
      <c r="I971" s="190"/>
      <c r="J971" s="190"/>
      <c r="K971" s="642"/>
      <c r="L971" s="642"/>
      <c r="M971" s="642"/>
      <c r="N971" s="642"/>
      <c r="O971" s="190"/>
      <c r="P971" s="190"/>
      <c r="Q971" s="190"/>
      <c r="R971" s="190"/>
      <c r="S971" s="190"/>
      <c r="T971" s="588"/>
      <c r="U971" s="188"/>
      <c r="V971" s="190"/>
      <c r="W971" s="190"/>
      <c r="X971" s="190"/>
      <c r="Y971" s="190"/>
      <c r="Z971" s="190"/>
      <c r="AA971" s="190"/>
      <c r="AB971" s="190"/>
      <c r="AC971" s="190"/>
      <c r="AD971" s="190"/>
      <c r="AE971" s="190"/>
      <c r="AF971" s="190"/>
      <c r="AG971" s="190"/>
      <c r="AH971" s="190"/>
      <c r="AI971" s="190"/>
      <c r="AJ971" s="190"/>
      <c r="AK971" s="619"/>
      <c r="AL971" s="617"/>
    </row>
    <row r="972" spans="1:38">
      <c r="A972" s="188"/>
      <c r="B972" s="188"/>
      <c r="C972" s="188"/>
      <c r="D972" s="190"/>
      <c r="E972" s="190"/>
      <c r="F972" s="190"/>
      <c r="G972" s="190"/>
      <c r="H972" s="190"/>
      <c r="I972" s="190"/>
      <c r="J972" s="190"/>
      <c r="K972" s="642"/>
      <c r="L972" s="642"/>
      <c r="M972" s="642"/>
      <c r="N972" s="642"/>
      <c r="O972" s="190"/>
      <c r="P972" s="190"/>
      <c r="Q972" s="190"/>
      <c r="R972" s="190"/>
      <c r="S972" s="190"/>
      <c r="T972" s="588"/>
      <c r="U972" s="188"/>
      <c r="V972" s="190"/>
      <c r="W972" s="190"/>
      <c r="X972" s="190"/>
      <c r="Y972" s="190"/>
      <c r="Z972" s="190"/>
      <c r="AA972" s="190"/>
      <c r="AB972" s="190"/>
      <c r="AC972" s="190"/>
      <c r="AD972" s="190"/>
      <c r="AE972" s="190"/>
      <c r="AF972" s="190"/>
      <c r="AG972" s="190"/>
      <c r="AH972" s="190"/>
      <c r="AI972" s="190"/>
      <c r="AJ972" s="190"/>
      <c r="AK972" s="619"/>
      <c r="AL972" s="617"/>
    </row>
    <row r="973" spans="1:38">
      <c r="A973" s="188"/>
      <c r="B973" s="188"/>
      <c r="C973" s="188"/>
      <c r="D973" s="190"/>
      <c r="E973" s="190"/>
      <c r="F973" s="190"/>
      <c r="G973" s="190"/>
      <c r="H973" s="190"/>
      <c r="I973" s="190"/>
      <c r="J973" s="190"/>
      <c r="K973" s="642"/>
      <c r="L973" s="642"/>
      <c r="M973" s="642"/>
      <c r="N973" s="642"/>
      <c r="O973" s="190"/>
      <c r="P973" s="190"/>
      <c r="Q973" s="190"/>
      <c r="R973" s="190"/>
      <c r="S973" s="190"/>
      <c r="T973" s="588"/>
      <c r="U973" s="188"/>
      <c r="V973" s="190"/>
      <c r="W973" s="190"/>
      <c r="X973" s="190"/>
      <c r="Y973" s="190"/>
      <c r="Z973" s="190"/>
      <c r="AA973" s="190"/>
      <c r="AB973" s="190"/>
      <c r="AC973" s="190"/>
      <c r="AD973" s="190"/>
      <c r="AE973" s="190"/>
      <c r="AF973" s="190"/>
      <c r="AG973" s="190"/>
      <c r="AH973" s="190"/>
      <c r="AI973" s="190"/>
      <c r="AJ973" s="190"/>
      <c r="AK973" s="619"/>
      <c r="AL973" s="617"/>
    </row>
    <row r="974" spans="1:38">
      <c r="A974" s="188"/>
      <c r="B974" s="188"/>
      <c r="C974" s="188"/>
      <c r="D974" s="190"/>
      <c r="E974" s="190"/>
      <c r="F974" s="190"/>
      <c r="G974" s="190"/>
      <c r="H974" s="190"/>
      <c r="I974" s="190"/>
      <c r="J974" s="190"/>
      <c r="K974" s="642"/>
      <c r="L974" s="642"/>
      <c r="M974" s="642"/>
      <c r="N974" s="642"/>
      <c r="O974" s="190"/>
      <c r="P974" s="190"/>
      <c r="Q974" s="190"/>
      <c r="R974" s="190"/>
      <c r="S974" s="190"/>
      <c r="T974" s="588"/>
      <c r="U974" s="188"/>
      <c r="V974" s="190"/>
      <c r="W974" s="190"/>
      <c r="X974" s="190"/>
      <c r="Y974" s="190"/>
      <c r="Z974" s="190"/>
      <c r="AA974" s="190"/>
      <c r="AB974" s="190"/>
      <c r="AC974" s="190"/>
      <c r="AD974" s="190"/>
      <c r="AE974" s="190"/>
      <c r="AF974" s="190"/>
      <c r="AG974" s="190"/>
      <c r="AH974" s="190"/>
      <c r="AI974" s="190"/>
      <c r="AJ974" s="190"/>
      <c r="AK974" s="619"/>
      <c r="AL974" s="617"/>
    </row>
    <row r="975" spans="1:38">
      <c r="A975" s="188"/>
      <c r="B975" s="188"/>
      <c r="C975" s="188"/>
      <c r="D975" s="190"/>
      <c r="E975" s="190"/>
      <c r="F975" s="190"/>
      <c r="G975" s="190"/>
      <c r="H975" s="190"/>
      <c r="I975" s="190"/>
      <c r="J975" s="190"/>
      <c r="K975" s="642"/>
      <c r="L975" s="642"/>
      <c r="M975" s="642"/>
      <c r="N975" s="642"/>
      <c r="O975" s="190"/>
      <c r="P975" s="190"/>
      <c r="Q975" s="190"/>
      <c r="R975" s="190"/>
      <c r="S975" s="190"/>
      <c r="T975" s="588"/>
      <c r="U975" s="188"/>
      <c r="V975" s="190"/>
      <c r="W975" s="190"/>
      <c r="X975" s="190"/>
      <c r="Y975" s="190"/>
      <c r="Z975" s="190"/>
      <c r="AA975" s="190"/>
      <c r="AB975" s="190"/>
      <c r="AC975" s="190"/>
      <c r="AD975" s="190"/>
      <c r="AE975" s="190"/>
      <c r="AF975" s="190"/>
      <c r="AG975" s="190"/>
      <c r="AH975" s="190"/>
      <c r="AI975" s="190"/>
      <c r="AJ975" s="190"/>
      <c r="AK975" s="619"/>
      <c r="AL975" s="617"/>
    </row>
    <row r="976" spans="1:38">
      <c r="A976" s="188"/>
      <c r="B976" s="188"/>
      <c r="C976" s="188"/>
      <c r="D976" s="190"/>
      <c r="E976" s="190"/>
      <c r="F976" s="190"/>
      <c r="G976" s="190"/>
      <c r="H976" s="190"/>
      <c r="I976" s="190"/>
      <c r="J976" s="190"/>
      <c r="K976" s="642"/>
      <c r="L976" s="642"/>
      <c r="M976" s="642"/>
      <c r="N976" s="642"/>
      <c r="O976" s="190"/>
      <c r="P976" s="190"/>
      <c r="Q976" s="190"/>
      <c r="R976" s="190"/>
      <c r="S976" s="190"/>
      <c r="T976" s="588"/>
      <c r="U976" s="188"/>
      <c r="V976" s="190"/>
      <c r="W976" s="190"/>
      <c r="X976" s="190"/>
      <c r="Y976" s="190"/>
      <c r="Z976" s="190"/>
      <c r="AA976" s="190"/>
      <c r="AB976" s="190"/>
      <c r="AC976" s="190"/>
      <c r="AD976" s="190"/>
      <c r="AE976" s="190"/>
      <c r="AF976" s="190"/>
      <c r="AG976" s="190"/>
      <c r="AH976" s="190"/>
      <c r="AI976" s="190"/>
      <c r="AJ976" s="190"/>
      <c r="AK976" s="619"/>
      <c r="AL976" s="617"/>
    </row>
    <row r="977" spans="1:38">
      <c r="A977" s="188"/>
      <c r="B977" s="188"/>
      <c r="C977" s="188"/>
      <c r="D977" s="190"/>
      <c r="E977" s="190"/>
      <c r="F977" s="190"/>
      <c r="G977" s="190"/>
      <c r="H977" s="190"/>
      <c r="I977" s="190"/>
      <c r="J977" s="190"/>
      <c r="K977" s="642"/>
      <c r="L977" s="642"/>
      <c r="M977" s="642"/>
      <c r="N977" s="642"/>
      <c r="O977" s="190"/>
      <c r="P977" s="190"/>
      <c r="Q977" s="190"/>
      <c r="R977" s="190"/>
      <c r="S977" s="190"/>
      <c r="T977" s="588"/>
      <c r="U977" s="188"/>
      <c r="V977" s="190"/>
      <c r="W977" s="190"/>
      <c r="X977" s="190"/>
      <c r="Y977" s="190"/>
      <c r="Z977" s="190"/>
      <c r="AA977" s="190"/>
      <c r="AB977" s="190"/>
      <c r="AC977" s="190"/>
      <c r="AD977" s="190"/>
      <c r="AE977" s="190"/>
      <c r="AF977" s="190"/>
      <c r="AG977" s="190"/>
      <c r="AH977" s="190"/>
      <c r="AI977" s="190"/>
      <c r="AJ977" s="190"/>
      <c r="AK977" s="619"/>
      <c r="AL977" s="617"/>
    </row>
    <row r="978" spans="1:38">
      <c r="A978" s="188"/>
      <c r="B978" s="188"/>
      <c r="C978" s="188"/>
      <c r="D978" s="190"/>
      <c r="E978" s="190"/>
      <c r="F978" s="190"/>
      <c r="G978" s="190"/>
      <c r="H978" s="190"/>
      <c r="I978" s="190"/>
      <c r="J978" s="190"/>
      <c r="K978" s="642"/>
      <c r="L978" s="642"/>
      <c r="M978" s="642"/>
      <c r="N978" s="642"/>
      <c r="O978" s="190"/>
      <c r="P978" s="190"/>
      <c r="Q978" s="190"/>
      <c r="R978" s="190"/>
      <c r="S978" s="190"/>
      <c r="T978" s="588"/>
      <c r="U978" s="188"/>
      <c r="V978" s="190"/>
      <c r="W978" s="190"/>
      <c r="X978" s="190"/>
      <c r="Y978" s="190"/>
      <c r="Z978" s="190"/>
      <c r="AA978" s="190"/>
      <c r="AB978" s="190"/>
      <c r="AC978" s="190"/>
      <c r="AD978" s="190"/>
      <c r="AE978" s="190"/>
      <c r="AF978" s="190"/>
      <c r="AG978" s="190"/>
      <c r="AH978" s="190"/>
      <c r="AI978" s="190"/>
      <c r="AJ978" s="190"/>
      <c r="AK978" s="619"/>
      <c r="AL978" s="617"/>
    </row>
    <row r="979" spans="1:38">
      <c r="A979" s="188"/>
      <c r="B979" s="188"/>
      <c r="C979" s="188"/>
      <c r="D979" s="190"/>
      <c r="E979" s="190"/>
      <c r="F979" s="190"/>
      <c r="G979" s="190"/>
      <c r="H979" s="190"/>
      <c r="I979" s="190"/>
      <c r="J979" s="190"/>
      <c r="K979" s="642"/>
      <c r="L979" s="642"/>
      <c r="M979" s="642"/>
      <c r="N979" s="642"/>
      <c r="O979" s="190"/>
      <c r="P979" s="190"/>
      <c r="Q979" s="190"/>
      <c r="R979" s="190"/>
      <c r="S979" s="190"/>
      <c r="T979" s="588"/>
      <c r="U979" s="188"/>
      <c r="V979" s="190"/>
      <c r="W979" s="190"/>
      <c r="X979" s="190"/>
      <c r="Y979" s="190"/>
      <c r="Z979" s="190"/>
      <c r="AA979" s="190"/>
      <c r="AB979" s="190"/>
      <c r="AC979" s="190"/>
      <c r="AD979" s="190"/>
      <c r="AE979" s="190"/>
      <c r="AF979" s="190"/>
      <c r="AG979" s="190"/>
      <c r="AH979" s="190"/>
      <c r="AI979" s="190"/>
      <c r="AJ979" s="190"/>
      <c r="AK979" s="619"/>
      <c r="AL979" s="617"/>
    </row>
    <row r="980" spans="1:38">
      <c r="A980" s="188"/>
      <c r="B980" s="188"/>
      <c r="C980" s="188"/>
      <c r="D980" s="190"/>
      <c r="E980" s="190"/>
      <c r="F980" s="190"/>
      <c r="G980" s="190"/>
      <c r="H980" s="190"/>
      <c r="I980" s="190"/>
      <c r="J980" s="190"/>
      <c r="K980" s="642"/>
      <c r="L980" s="642"/>
      <c r="M980" s="642"/>
      <c r="N980" s="642"/>
      <c r="O980" s="190"/>
      <c r="P980" s="190"/>
      <c r="Q980" s="190"/>
      <c r="R980" s="190"/>
      <c r="S980" s="190"/>
      <c r="T980" s="588"/>
      <c r="U980" s="188"/>
      <c r="V980" s="190"/>
      <c r="W980" s="190"/>
      <c r="X980" s="190"/>
      <c r="Y980" s="190"/>
      <c r="Z980" s="190"/>
      <c r="AA980" s="190"/>
      <c r="AB980" s="190"/>
      <c r="AC980" s="190"/>
      <c r="AD980" s="190"/>
      <c r="AE980" s="190"/>
      <c r="AF980" s="190"/>
      <c r="AG980" s="190"/>
      <c r="AH980" s="190"/>
      <c r="AI980" s="190"/>
      <c r="AJ980" s="190"/>
      <c r="AK980" s="619"/>
      <c r="AL980" s="617"/>
    </row>
    <row r="981" spans="1:38">
      <c r="A981" s="188"/>
      <c r="B981" s="188"/>
      <c r="C981" s="188"/>
      <c r="D981" s="190"/>
      <c r="E981" s="190"/>
      <c r="F981" s="190"/>
      <c r="G981" s="190"/>
      <c r="H981" s="190"/>
      <c r="I981" s="190"/>
      <c r="J981" s="190"/>
      <c r="K981" s="642"/>
      <c r="L981" s="642"/>
      <c r="M981" s="642"/>
      <c r="N981" s="642"/>
      <c r="O981" s="190"/>
      <c r="P981" s="190"/>
      <c r="Q981" s="190"/>
      <c r="R981" s="190"/>
      <c r="S981" s="190"/>
      <c r="T981" s="588"/>
      <c r="U981" s="188"/>
      <c r="V981" s="190"/>
      <c r="W981" s="190"/>
      <c r="X981" s="190"/>
      <c r="Y981" s="190"/>
      <c r="Z981" s="190"/>
      <c r="AA981" s="190"/>
      <c r="AB981" s="190"/>
      <c r="AC981" s="190"/>
      <c r="AD981" s="190"/>
      <c r="AE981" s="190"/>
      <c r="AF981" s="190"/>
      <c r="AG981" s="190"/>
      <c r="AH981" s="190"/>
      <c r="AI981" s="190"/>
      <c r="AJ981" s="190"/>
      <c r="AK981" s="619"/>
      <c r="AL981" s="617"/>
    </row>
    <row r="982" spans="1:38">
      <c r="A982" s="188"/>
      <c r="B982" s="188"/>
      <c r="C982" s="188"/>
      <c r="D982" s="190"/>
      <c r="E982" s="190"/>
      <c r="F982" s="190"/>
      <c r="G982" s="190"/>
      <c r="H982" s="190"/>
      <c r="I982" s="190"/>
      <c r="J982" s="190"/>
      <c r="K982" s="642"/>
      <c r="L982" s="642"/>
      <c r="M982" s="642"/>
      <c r="N982" s="642"/>
      <c r="O982" s="190"/>
      <c r="P982" s="190"/>
      <c r="Q982" s="190"/>
      <c r="R982" s="190"/>
      <c r="S982" s="190"/>
      <c r="T982" s="588"/>
      <c r="U982" s="188"/>
      <c r="V982" s="190"/>
      <c r="W982" s="190"/>
      <c r="X982" s="190"/>
      <c r="Y982" s="190"/>
      <c r="Z982" s="190"/>
      <c r="AA982" s="190"/>
      <c r="AB982" s="190"/>
      <c r="AC982" s="190"/>
      <c r="AD982" s="190"/>
      <c r="AE982" s="190"/>
      <c r="AF982" s="190"/>
      <c r="AG982" s="190"/>
      <c r="AH982" s="190"/>
      <c r="AI982" s="190"/>
      <c r="AJ982" s="190"/>
      <c r="AK982" s="619"/>
      <c r="AL982" s="617"/>
    </row>
    <row r="983" spans="1:38">
      <c r="A983" s="188"/>
      <c r="B983" s="188"/>
      <c r="C983" s="188"/>
      <c r="D983" s="190"/>
      <c r="E983" s="190"/>
      <c r="F983" s="190"/>
      <c r="G983" s="190"/>
      <c r="H983" s="190"/>
      <c r="I983" s="190"/>
      <c r="J983" s="190"/>
      <c r="K983" s="642"/>
      <c r="L983" s="642"/>
      <c r="M983" s="642"/>
      <c r="N983" s="642"/>
      <c r="O983" s="190"/>
      <c r="P983" s="190"/>
      <c r="Q983" s="190"/>
      <c r="R983" s="190"/>
      <c r="S983" s="190"/>
      <c r="T983" s="588"/>
      <c r="U983" s="188"/>
      <c r="V983" s="190"/>
      <c r="W983" s="190"/>
      <c r="X983" s="190"/>
      <c r="Y983" s="190"/>
      <c r="Z983" s="190"/>
      <c r="AA983" s="190"/>
      <c r="AB983" s="190"/>
      <c r="AC983" s="190"/>
      <c r="AD983" s="190"/>
      <c r="AE983" s="190"/>
      <c r="AF983" s="190"/>
      <c r="AG983" s="190"/>
      <c r="AH983" s="190"/>
      <c r="AI983" s="190"/>
      <c r="AJ983" s="190"/>
      <c r="AK983" s="619"/>
      <c r="AL983" s="617"/>
    </row>
    <row r="984" spans="1:38">
      <c r="A984" s="188"/>
      <c r="B984" s="188"/>
      <c r="C984" s="188"/>
      <c r="D984" s="190"/>
      <c r="E984" s="190"/>
      <c r="F984" s="190"/>
      <c r="G984" s="190"/>
      <c r="H984" s="190"/>
      <c r="I984" s="190"/>
      <c r="J984" s="190"/>
      <c r="K984" s="642"/>
      <c r="L984" s="642"/>
      <c r="M984" s="642"/>
      <c r="N984" s="642"/>
      <c r="O984" s="190"/>
      <c r="P984" s="190"/>
      <c r="Q984" s="190"/>
      <c r="R984" s="190"/>
      <c r="S984" s="190"/>
      <c r="T984" s="588"/>
      <c r="U984" s="188"/>
      <c r="V984" s="190"/>
      <c r="W984" s="190"/>
      <c r="X984" s="190"/>
      <c r="Y984" s="190"/>
      <c r="Z984" s="190"/>
      <c r="AA984" s="190"/>
      <c r="AB984" s="190"/>
      <c r="AC984" s="190"/>
      <c r="AD984" s="190"/>
      <c r="AE984" s="190"/>
      <c r="AF984" s="190"/>
      <c r="AG984" s="190"/>
      <c r="AH984" s="190"/>
      <c r="AI984" s="190"/>
      <c r="AJ984" s="190"/>
      <c r="AK984" s="619"/>
      <c r="AL984" s="617"/>
    </row>
    <row r="985" spans="1:38">
      <c r="A985" s="188"/>
      <c r="B985" s="188"/>
      <c r="C985" s="188"/>
      <c r="D985" s="190"/>
      <c r="E985" s="190"/>
      <c r="F985" s="190"/>
      <c r="G985" s="190"/>
      <c r="H985" s="190"/>
      <c r="I985" s="190"/>
      <c r="J985" s="190"/>
      <c r="K985" s="642"/>
      <c r="L985" s="642"/>
      <c r="M985" s="642"/>
      <c r="N985" s="642"/>
      <c r="O985" s="190"/>
      <c r="P985" s="190"/>
      <c r="Q985" s="190"/>
      <c r="R985" s="190"/>
      <c r="S985" s="190"/>
      <c r="T985" s="588"/>
      <c r="U985" s="188"/>
      <c r="V985" s="190"/>
      <c r="W985" s="190"/>
      <c r="X985" s="190"/>
      <c r="Y985" s="190"/>
      <c r="Z985" s="190"/>
      <c r="AA985" s="190"/>
      <c r="AB985" s="190"/>
      <c r="AC985" s="190"/>
      <c r="AD985" s="190"/>
      <c r="AE985" s="190"/>
      <c r="AF985" s="190"/>
      <c r="AG985" s="190"/>
      <c r="AH985" s="190"/>
      <c r="AI985" s="190"/>
      <c r="AJ985" s="190"/>
      <c r="AK985" s="619"/>
      <c r="AL985" s="617"/>
    </row>
    <row r="986" spans="1:38">
      <c r="A986" s="188"/>
      <c r="B986" s="188"/>
      <c r="C986" s="188"/>
      <c r="D986" s="190"/>
      <c r="E986" s="190"/>
      <c r="F986" s="190"/>
      <c r="G986" s="190"/>
      <c r="H986" s="190"/>
      <c r="I986" s="190"/>
      <c r="J986" s="190"/>
      <c r="K986" s="642"/>
      <c r="L986" s="642"/>
      <c r="M986" s="642"/>
      <c r="N986" s="642"/>
      <c r="O986" s="190"/>
      <c r="P986" s="190"/>
      <c r="Q986" s="190"/>
      <c r="R986" s="190"/>
      <c r="S986" s="190"/>
      <c r="T986" s="588"/>
      <c r="U986" s="188"/>
      <c r="V986" s="190"/>
      <c r="W986" s="190"/>
      <c r="X986" s="190"/>
      <c r="Y986" s="190"/>
      <c r="Z986" s="190"/>
      <c r="AA986" s="190"/>
      <c r="AB986" s="190"/>
      <c r="AC986" s="190"/>
      <c r="AD986" s="190"/>
      <c r="AE986" s="190"/>
      <c r="AF986" s="190"/>
      <c r="AG986" s="190"/>
      <c r="AH986" s="190"/>
      <c r="AI986" s="190"/>
      <c r="AJ986" s="190"/>
      <c r="AK986" s="619"/>
      <c r="AL986" s="617"/>
    </row>
    <row r="987" spans="1:38">
      <c r="A987" s="188"/>
      <c r="B987" s="188"/>
      <c r="C987" s="188"/>
      <c r="D987" s="190"/>
      <c r="E987" s="190"/>
      <c r="F987" s="190"/>
      <c r="G987" s="190"/>
      <c r="H987" s="190"/>
      <c r="I987" s="190"/>
      <c r="J987" s="190"/>
      <c r="K987" s="642"/>
      <c r="L987" s="642"/>
      <c r="M987" s="642"/>
      <c r="N987" s="642"/>
      <c r="O987" s="190"/>
      <c r="P987" s="190"/>
      <c r="Q987" s="190"/>
      <c r="R987" s="190"/>
      <c r="S987" s="190"/>
      <c r="T987" s="588"/>
      <c r="U987" s="188"/>
      <c r="V987" s="190"/>
      <c r="W987" s="190"/>
      <c r="X987" s="190"/>
      <c r="Y987" s="190"/>
      <c r="Z987" s="190"/>
      <c r="AA987" s="190"/>
      <c r="AB987" s="190"/>
      <c r="AC987" s="190"/>
      <c r="AD987" s="190"/>
      <c r="AE987" s="190"/>
      <c r="AF987" s="190"/>
      <c r="AG987" s="190"/>
      <c r="AH987" s="190"/>
      <c r="AI987" s="190"/>
      <c r="AJ987" s="190"/>
      <c r="AK987" s="619"/>
      <c r="AL987" s="617"/>
    </row>
    <row r="988" spans="1:38">
      <c r="A988" s="188"/>
      <c r="B988" s="188"/>
      <c r="C988" s="188"/>
      <c r="D988" s="190"/>
      <c r="E988" s="190"/>
      <c r="F988" s="190"/>
      <c r="G988" s="190"/>
      <c r="H988" s="190"/>
      <c r="I988" s="190"/>
      <c r="J988" s="190"/>
      <c r="K988" s="642"/>
      <c r="L988" s="642"/>
      <c r="M988" s="642"/>
      <c r="N988" s="642"/>
      <c r="O988" s="190"/>
      <c r="P988" s="190"/>
      <c r="Q988" s="190"/>
      <c r="R988" s="190"/>
      <c r="S988" s="190"/>
      <c r="T988" s="588"/>
      <c r="U988" s="188"/>
      <c r="V988" s="190"/>
      <c r="W988" s="190"/>
      <c r="X988" s="190"/>
      <c r="Y988" s="190"/>
      <c r="Z988" s="190"/>
      <c r="AA988" s="190"/>
      <c r="AB988" s="190"/>
      <c r="AC988" s="190"/>
      <c r="AD988" s="190"/>
      <c r="AE988" s="190"/>
      <c r="AF988" s="190"/>
      <c r="AG988" s="190"/>
      <c r="AH988" s="190"/>
      <c r="AI988" s="190"/>
      <c r="AJ988" s="190"/>
      <c r="AK988" s="619"/>
      <c r="AL988" s="617"/>
    </row>
    <row r="989" spans="1:38">
      <c r="A989" s="188"/>
      <c r="B989" s="188"/>
      <c r="C989" s="188"/>
      <c r="D989" s="190"/>
      <c r="E989" s="190"/>
      <c r="F989" s="190"/>
      <c r="G989" s="190"/>
      <c r="H989" s="190"/>
      <c r="I989" s="190"/>
      <c r="J989" s="190"/>
      <c r="K989" s="190"/>
      <c r="L989" s="190"/>
      <c r="M989" s="190"/>
      <c r="N989" s="190"/>
      <c r="O989" s="190"/>
      <c r="P989" s="190"/>
      <c r="Q989" s="190"/>
      <c r="R989" s="190"/>
      <c r="S989" s="190"/>
      <c r="T989" s="588"/>
      <c r="U989" s="188"/>
      <c r="V989" s="190"/>
      <c r="W989" s="190"/>
      <c r="X989" s="190"/>
      <c r="Y989" s="190"/>
      <c r="Z989" s="190"/>
      <c r="AA989" s="190"/>
      <c r="AB989" s="190"/>
      <c r="AC989" s="190"/>
      <c r="AD989" s="190"/>
      <c r="AE989" s="190"/>
      <c r="AF989" s="190"/>
      <c r="AG989" s="190"/>
      <c r="AH989" s="190"/>
      <c r="AI989" s="190"/>
      <c r="AJ989" s="190"/>
      <c r="AK989" s="619"/>
      <c r="AL989" s="617"/>
    </row>
    <row r="990" spans="1:38">
      <c r="A990" s="188"/>
      <c r="B990" s="188"/>
      <c r="C990" s="188"/>
      <c r="D990" s="190"/>
      <c r="E990" s="190"/>
      <c r="F990" s="190"/>
      <c r="G990" s="190"/>
      <c r="H990" s="190"/>
      <c r="I990" s="190"/>
      <c r="J990" s="190"/>
      <c r="K990" s="190"/>
      <c r="L990" s="190"/>
      <c r="M990" s="190"/>
      <c r="N990" s="190"/>
      <c r="O990" s="190"/>
      <c r="P990" s="190"/>
      <c r="Q990" s="190"/>
      <c r="R990" s="190"/>
      <c r="S990" s="190"/>
      <c r="T990" s="588"/>
      <c r="U990" s="188"/>
      <c r="V990" s="190"/>
      <c r="W990" s="190"/>
      <c r="X990" s="190"/>
      <c r="Y990" s="190"/>
      <c r="Z990" s="190"/>
      <c r="AA990" s="190"/>
      <c r="AB990" s="190"/>
      <c r="AC990" s="190"/>
      <c r="AD990" s="190"/>
      <c r="AE990" s="190"/>
      <c r="AF990" s="190"/>
      <c r="AG990" s="190"/>
      <c r="AH990" s="190"/>
      <c r="AI990" s="190"/>
      <c r="AJ990" s="190"/>
      <c r="AK990" s="619"/>
      <c r="AL990" s="617"/>
    </row>
    <row r="991" spans="1:38">
      <c r="A991" s="188"/>
      <c r="B991" s="188"/>
      <c r="C991" s="188"/>
      <c r="D991" s="190"/>
      <c r="E991" s="190"/>
      <c r="F991" s="190"/>
      <c r="G991" s="190"/>
      <c r="H991" s="190"/>
      <c r="I991" s="190"/>
      <c r="J991" s="190"/>
      <c r="K991" s="190"/>
      <c r="L991" s="190"/>
      <c r="M991" s="190"/>
      <c r="N991" s="190"/>
      <c r="O991" s="190"/>
      <c r="P991" s="190"/>
      <c r="Q991" s="190"/>
      <c r="R991" s="190"/>
      <c r="S991" s="190"/>
      <c r="T991" s="588"/>
      <c r="U991" s="188"/>
      <c r="V991" s="190"/>
      <c r="W991" s="190"/>
      <c r="X991" s="190"/>
      <c r="Y991" s="190"/>
      <c r="Z991" s="190"/>
      <c r="AA991" s="190"/>
      <c r="AB991" s="190"/>
      <c r="AC991" s="190"/>
      <c r="AD991" s="190"/>
      <c r="AE991" s="190"/>
      <c r="AF991" s="190"/>
      <c r="AG991" s="190"/>
      <c r="AH991" s="190"/>
      <c r="AI991" s="190"/>
      <c r="AJ991" s="190"/>
      <c r="AK991" s="619"/>
    </row>
    <row r="992" spans="1:38">
      <c r="A992" s="188"/>
      <c r="B992" s="188"/>
      <c r="C992" s="188"/>
      <c r="D992" s="190"/>
      <c r="E992" s="190"/>
      <c r="F992" s="190"/>
      <c r="G992" s="190"/>
      <c r="H992" s="190"/>
      <c r="I992" s="190"/>
      <c r="J992" s="190"/>
      <c r="K992" s="190"/>
      <c r="L992" s="190"/>
      <c r="M992" s="190"/>
      <c r="N992" s="190"/>
      <c r="O992" s="190"/>
      <c r="P992" s="190"/>
      <c r="Q992" s="190"/>
      <c r="R992" s="190"/>
      <c r="S992" s="190"/>
      <c r="T992" s="588"/>
      <c r="U992" s="188"/>
      <c r="V992" s="190"/>
      <c r="W992" s="190"/>
      <c r="X992" s="190"/>
      <c r="Y992" s="190"/>
      <c r="Z992" s="190"/>
      <c r="AA992" s="190"/>
      <c r="AB992" s="190"/>
      <c r="AC992" s="190"/>
      <c r="AD992" s="190"/>
      <c r="AE992" s="190"/>
      <c r="AF992" s="190"/>
      <c r="AG992" s="190"/>
      <c r="AH992" s="190"/>
      <c r="AI992" s="190"/>
      <c r="AJ992" s="190"/>
      <c r="AK992" s="619"/>
    </row>
    <row r="993" spans="1:37">
      <c r="A993" s="188"/>
      <c r="B993" s="188"/>
      <c r="C993" s="188"/>
      <c r="D993" s="190"/>
      <c r="E993" s="190"/>
      <c r="F993" s="190"/>
      <c r="G993" s="190"/>
      <c r="H993" s="190"/>
      <c r="I993" s="190"/>
      <c r="J993" s="190"/>
      <c r="K993" s="190"/>
      <c r="L993" s="190"/>
      <c r="M993" s="190"/>
      <c r="N993" s="190"/>
      <c r="O993" s="190"/>
      <c r="P993" s="190"/>
      <c r="Q993" s="190"/>
      <c r="R993" s="190"/>
      <c r="S993" s="190"/>
      <c r="T993" s="588"/>
      <c r="U993" s="188"/>
      <c r="V993" s="190"/>
      <c r="W993" s="190"/>
      <c r="X993" s="190"/>
      <c r="Y993" s="190"/>
      <c r="Z993" s="190"/>
      <c r="AA993" s="190"/>
      <c r="AB993" s="190"/>
      <c r="AC993" s="190"/>
      <c r="AD993" s="190"/>
      <c r="AE993" s="190"/>
      <c r="AF993" s="190"/>
      <c r="AG993" s="190"/>
      <c r="AH993" s="190"/>
      <c r="AI993" s="190"/>
      <c r="AJ993" s="190"/>
      <c r="AK993" s="619"/>
    </row>
    <row r="994" spans="1:37">
      <c r="A994" s="188"/>
      <c r="B994" s="188"/>
      <c r="C994" s="188"/>
      <c r="D994" s="190"/>
      <c r="E994" s="190"/>
      <c r="F994" s="190"/>
      <c r="G994" s="190"/>
      <c r="H994" s="190"/>
      <c r="I994" s="190"/>
      <c r="J994" s="190"/>
      <c r="K994" s="190"/>
      <c r="L994" s="190"/>
      <c r="M994" s="190"/>
      <c r="N994" s="190"/>
      <c r="O994" s="190"/>
      <c r="P994" s="190"/>
      <c r="Q994" s="190"/>
      <c r="R994" s="190"/>
      <c r="S994" s="190"/>
      <c r="T994" s="588"/>
      <c r="U994" s="188"/>
      <c r="V994" s="190"/>
      <c r="W994" s="190"/>
      <c r="X994" s="190"/>
      <c r="Y994" s="190"/>
      <c r="Z994" s="190"/>
      <c r="AA994" s="190"/>
      <c r="AB994" s="190"/>
      <c r="AC994" s="190"/>
      <c r="AD994" s="190"/>
      <c r="AE994" s="190"/>
      <c r="AF994" s="190"/>
      <c r="AG994" s="190"/>
      <c r="AH994" s="190"/>
      <c r="AI994" s="190"/>
      <c r="AJ994" s="190"/>
      <c r="AK994" s="619"/>
    </row>
    <row r="995" spans="1:37">
      <c r="A995" s="188"/>
      <c r="B995" s="188"/>
      <c r="C995" s="188"/>
      <c r="D995" s="190"/>
      <c r="E995" s="190"/>
      <c r="F995" s="190"/>
      <c r="G995" s="190"/>
      <c r="H995" s="190"/>
      <c r="I995" s="190"/>
      <c r="J995" s="190"/>
      <c r="K995" s="190"/>
      <c r="L995" s="190"/>
      <c r="M995" s="190"/>
      <c r="N995" s="190"/>
      <c r="O995" s="190"/>
      <c r="P995" s="190"/>
      <c r="Q995" s="190"/>
      <c r="R995" s="190"/>
      <c r="S995" s="190"/>
      <c r="T995" s="588"/>
      <c r="U995" s="188"/>
      <c r="V995" s="190"/>
      <c r="W995" s="190"/>
      <c r="X995" s="190"/>
      <c r="Y995" s="190"/>
      <c r="Z995" s="190"/>
      <c r="AA995" s="190"/>
      <c r="AB995" s="190"/>
      <c r="AC995" s="190"/>
      <c r="AD995" s="190"/>
      <c r="AE995" s="190"/>
      <c r="AF995" s="190"/>
      <c r="AG995" s="190"/>
      <c r="AH995" s="190"/>
      <c r="AI995" s="190"/>
      <c r="AJ995" s="190"/>
      <c r="AK995" s="619"/>
    </row>
    <row r="996" spans="1:37">
      <c r="A996" s="188"/>
      <c r="B996" s="188"/>
      <c r="C996" s="188"/>
      <c r="D996" s="190"/>
      <c r="E996" s="190"/>
      <c r="F996" s="190"/>
      <c r="G996" s="190"/>
      <c r="H996" s="190"/>
      <c r="I996" s="190"/>
      <c r="J996" s="190"/>
      <c r="K996" s="190"/>
      <c r="L996" s="190"/>
      <c r="M996" s="190"/>
      <c r="N996" s="190"/>
      <c r="O996" s="190"/>
      <c r="P996" s="190"/>
      <c r="Q996" s="190"/>
      <c r="R996" s="190"/>
      <c r="S996" s="190"/>
      <c r="T996" s="588"/>
      <c r="U996" s="188"/>
      <c r="V996" s="190"/>
      <c r="W996" s="190"/>
      <c r="X996" s="190"/>
      <c r="Y996" s="190"/>
      <c r="Z996" s="190"/>
      <c r="AA996" s="190"/>
      <c r="AB996" s="190"/>
      <c r="AC996" s="190"/>
      <c r="AD996" s="190"/>
      <c r="AE996" s="190"/>
      <c r="AF996" s="190"/>
      <c r="AG996" s="190"/>
      <c r="AH996" s="190"/>
      <c r="AI996" s="190"/>
      <c r="AJ996" s="190"/>
      <c r="AK996" s="619"/>
    </row>
    <row r="997" spans="1:37">
      <c r="A997" s="188"/>
      <c r="B997" s="188"/>
      <c r="C997" s="188"/>
      <c r="D997" s="190"/>
      <c r="E997" s="190"/>
      <c r="F997" s="190"/>
      <c r="G997" s="190"/>
      <c r="H997" s="190"/>
      <c r="I997" s="190"/>
      <c r="J997" s="190"/>
      <c r="K997" s="190"/>
      <c r="L997" s="190"/>
      <c r="M997" s="190"/>
      <c r="N997" s="190"/>
      <c r="O997" s="190"/>
      <c r="P997" s="190"/>
      <c r="Q997" s="190"/>
      <c r="R997" s="190"/>
      <c r="S997" s="190"/>
      <c r="T997" s="588"/>
      <c r="U997" s="188"/>
      <c r="V997" s="190"/>
      <c r="W997" s="190"/>
      <c r="X997" s="190"/>
      <c r="Y997" s="190"/>
      <c r="Z997" s="190"/>
      <c r="AA997" s="190"/>
      <c r="AB997" s="190"/>
      <c r="AC997" s="190"/>
      <c r="AD997" s="190"/>
      <c r="AE997" s="190"/>
      <c r="AF997" s="190"/>
      <c r="AG997" s="190"/>
      <c r="AH997" s="190"/>
      <c r="AI997" s="190"/>
      <c r="AJ997" s="190"/>
      <c r="AK997" s="619"/>
    </row>
    <row r="998" spans="1:37">
      <c r="A998" s="188"/>
      <c r="B998" s="188"/>
      <c r="C998" s="188"/>
      <c r="D998" s="190"/>
      <c r="E998" s="190"/>
      <c r="F998" s="190"/>
      <c r="G998" s="190"/>
      <c r="H998" s="190"/>
      <c r="I998" s="190"/>
      <c r="J998" s="190"/>
      <c r="K998" s="190"/>
      <c r="L998" s="190"/>
      <c r="M998" s="190"/>
      <c r="N998" s="190"/>
      <c r="O998" s="190"/>
      <c r="P998" s="190"/>
      <c r="Q998" s="190"/>
      <c r="R998" s="190"/>
      <c r="S998" s="190"/>
      <c r="T998" s="588"/>
      <c r="U998" s="188"/>
      <c r="V998" s="190"/>
      <c r="W998" s="190"/>
      <c r="X998" s="190"/>
      <c r="Y998" s="190"/>
      <c r="Z998" s="190"/>
      <c r="AA998" s="190"/>
      <c r="AB998" s="190"/>
      <c r="AC998" s="190"/>
      <c r="AD998" s="190"/>
      <c r="AE998" s="190"/>
      <c r="AF998" s="190"/>
      <c r="AG998" s="190"/>
      <c r="AH998" s="190"/>
      <c r="AI998" s="190"/>
      <c r="AJ998" s="190"/>
      <c r="AK998" s="619"/>
    </row>
    <row r="999" spans="1:37">
      <c r="A999" s="188"/>
      <c r="B999" s="188"/>
      <c r="C999" s="188"/>
      <c r="D999" s="190"/>
      <c r="E999" s="190"/>
      <c r="F999" s="190"/>
      <c r="G999" s="190"/>
      <c r="H999" s="190"/>
      <c r="I999" s="190"/>
      <c r="J999" s="190"/>
      <c r="K999" s="190"/>
      <c r="L999" s="190"/>
      <c r="M999" s="190"/>
      <c r="N999" s="190"/>
      <c r="O999" s="190"/>
      <c r="P999" s="190"/>
      <c r="Q999" s="190"/>
      <c r="R999" s="190"/>
      <c r="S999" s="190"/>
      <c r="T999" s="588"/>
      <c r="U999" s="188"/>
      <c r="V999" s="190"/>
      <c r="W999" s="190"/>
      <c r="X999" s="190"/>
      <c r="Y999" s="190"/>
      <c r="Z999" s="190"/>
      <c r="AA999" s="190"/>
      <c r="AB999" s="190"/>
      <c r="AC999" s="190"/>
      <c r="AD999" s="190"/>
      <c r="AE999" s="190"/>
      <c r="AF999" s="190"/>
      <c r="AG999" s="190"/>
      <c r="AH999" s="190"/>
      <c r="AI999" s="190"/>
      <c r="AJ999" s="190"/>
      <c r="AK999" s="619"/>
    </row>
    <row r="1000" spans="1:37">
      <c r="A1000" s="188"/>
      <c r="B1000" s="188"/>
      <c r="C1000" s="188"/>
      <c r="D1000" s="190"/>
      <c r="E1000" s="190"/>
      <c r="F1000" s="190"/>
      <c r="G1000" s="190"/>
      <c r="H1000" s="190"/>
      <c r="I1000" s="190"/>
      <c r="J1000" s="190"/>
      <c r="K1000" s="190"/>
      <c r="L1000" s="190"/>
      <c r="M1000" s="190"/>
      <c r="N1000" s="190"/>
      <c r="O1000" s="190"/>
      <c r="P1000" s="190"/>
      <c r="Q1000" s="190"/>
      <c r="R1000" s="190"/>
      <c r="S1000" s="190"/>
      <c r="T1000" s="588"/>
      <c r="U1000" s="188"/>
      <c r="V1000" s="190"/>
      <c r="W1000" s="190"/>
      <c r="X1000" s="190"/>
      <c r="Y1000" s="190"/>
      <c r="Z1000" s="190"/>
      <c r="AA1000" s="190"/>
      <c r="AB1000" s="190"/>
      <c r="AC1000" s="190"/>
      <c r="AD1000" s="190"/>
      <c r="AE1000" s="190"/>
      <c r="AF1000" s="190"/>
      <c r="AG1000" s="190"/>
      <c r="AH1000" s="190"/>
      <c r="AI1000" s="190"/>
      <c r="AJ1000" s="190"/>
      <c r="AK1000" s="619"/>
    </row>
    <row r="1001" spans="1:37">
      <c r="A1001" s="188"/>
      <c r="B1001" s="188"/>
      <c r="C1001" s="188"/>
      <c r="D1001" s="190"/>
      <c r="E1001" s="190"/>
      <c r="F1001" s="190"/>
      <c r="G1001" s="190"/>
      <c r="H1001" s="190"/>
      <c r="I1001" s="190"/>
      <c r="J1001" s="190"/>
      <c r="K1001" s="190"/>
      <c r="L1001" s="190"/>
      <c r="M1001" s="190"/>
      <c r="N1001" s="190"/>
      <c r="O1001" s="190"/>
      <c r="P1001" s="190"/>
      <c r="Q1001" s="190"/>
      <c r="R1001" s="190"/>
      <c r="S1001" s="190"/>
      <c r="T1001" s="588"/>
      <c r="U1001" s="188"/>
      <c r="V1001" s="190"/>
      <c r="W1001" s="190"/>
      <c r="X1001" s="190"/>
      <c r="Y1001" s="190"/>
      <c r="Z1001" s="190"/>
      <c r="AA1001" s="190"/>
      <c r="AB1001" s="190"/>
      <c r="AC1001" s="190"/>
      <c r="AD1001" s="190"/>
      <c r="AE1001" s="190"/>
      <c r="AF1001" s="190"/>
      <c r="AG1001" s="190"/>
      <c r="AH1001" s="190"/>
      <c r="AI1001" s="190"/>
      <c r="AJ1001" s="190"/>
      <c r="AK1001" s="619"/>
    </row>
    <row r="1002" spans="1:37">
      <c r="A1002" s="188"/>
      <c r="B1002" s="188"/>
      <c r="C1002" s="188"/>
      <c r="D1002" s="190"/>
      <c r="E1002" s="190"/>
      <c r="F1002" s="190"/>
      <c r="G1002" s="190"/>
      <c r="H1002" s="190"/>
      <c r="I1002" s="190"/>
      <c r="J1002" s="190"/>
      <c r="K1002" s="190"/>
      <c r="L1002" s="190"/>
      <c r="M1002" s="190"/>
      <c r="N1002" s="190"/>
      <c r="O1002" s="190"/>
      <c r="P1002" s="190"/>
      <c r="Q1002" s="190"/>
      <c r="R1002" s="190"/>
      <c r="S1002" s="190"/>
      <c r="T1002" s="588"/>
      <c r="U1002" s="188"/>
      <c r="V1002" s="190"/>
      <c r="W1002" s="190"/>
      <c r="X1002" s="190"/>
      <c r="Y1002" s="190"/>
      <c r="Z1002" s="190"/>
      <c r="AA1002" s="190"/>
      <c r="AB1002" s="190"/>
      <c r="AC1002" s="190"/>
      <c r="AD1002" s="190"/>
      <c r="AE1002" s="190"/>
      <c r="AF1002" s="190"/>
      <c r="AG1002" s="190"/>
      <c r="AH1002" s="190"/>
      <c r="AI1002" s="190"/>
      <c r="AJ1002" s="190"/>
      <c r="AK1002" s="619"/>
    </row>
    <row r="1003" spans="1:37">
      <c r="A1003" s="188"/>
      <c r="B1003" s="188"/>
      <c r="C1003" s="188"/>
      <c r="D1003" s="190"/>
      <c r="E1003" s="190"/>
      <c r="F1003" s="190"/>
      <c r="G1003" s="190"/>
      <c r="H1003" s="190"/>
      <c r="I1003" s="190"/>
      <c r="J1003" s="190"/>
      <c r="K1003" s="190"/>
      <c r="L1003" s="190"/>
      <c r="M1003" s="190"/>
      <c r="N1003" s="190"/>
      <c r="O1003" s="190"/>
      <c r="P1003" s="190"/>
      <c r="Q1003" s="190"/>
      <c r="R1003" s="190"/>
      <c r="S1003" s="190"/>
      <c r="T1003" s="588"/>
      <c r="U1003" s="188"/>
      <c r="V1003" s="190"/>
      <c r="W1003" s="190"/>
      <c r="X1003" s="190"/>
      <c r="Y1003" s="190"/>
      <c r="Z1003" s="190"/>
      <c r="AA1003" s="190"/>
      <c r="AB1003" s="190"/>
      <c r="AC1003" s="190"/>
      <c r="AD1003" s="190"/>
      <c r="AE1003" s="190"/>
      <c r="AF1003" s="190"/>
      <c r="AG1003" s="190"/>
      <c r="AH1003" s="190"/>
      <c r="AI1003" s="190"/>
      <c r="AJ1003" s="190"/>
      <c r="AK1003" s="619"/>
    </row>
    <row r="1004" spans="1:37">
      <c r="A1004" s="188"/>
      <c r="B1004" s="188"/>
      <c r="C1004" s="188"/>
      <c r="D1004" s="190"/>
      <c r="E1004" s="190"/>
      <c r="F1004" s="190"/>
      <c r="G1004" s="190"/>
      <c r="H1004" s="190"/>
      <c r="I1004" s="190"/>
      <c r="J1004" s="190"/>
      <c r="K1004" s="190"/>
      <c r="L1004" s="190"/>
      <c r="M1004" s="190"/>
      <c r="N1004" s="190"/>
      <c r="O1004" s="190"/>
      <c r="P1004" s="190"/>
      <c r="Q1004" s="190"/>
      <c r="R1004" s="190"/>
      <c r="S1004" s="190"/>
      <c r="T1004" s="588"/>
      <c r="U1004" s="188"/>
      <c r="V1004" s="190"/>
      <c r="W1004" s="190"/>
      <c r="X1004" s="190"/>
      <c r="Y1004" s="190"/>
      <c r="Z1004" s="190"/>
      <c r="AA1004" s="190"/>
      <c r="AB1004" s="190"/>
      <c r="AC1004" s="190"/>
      <c r="AD1004" s="190"/>
      <c r="AE1004" s="190"/>
      <c r="AF1004" s="190"/>
      <c r="AG1004" s="190"/>
      <c r="AH1004" s="190"/>
      <c r="AI1004" s="190"/>
      <c r="AJ1004" s="190"/>
      <c r="AK1004" s="619"/>
    </row>
    <row r="1005" spans="1:37">
      <c r="A1005" s="188"/>
      <c r="B1005" s="188"/>
      <c r="C1005" s="188"/>
      <c r="D1005" s="190"/>
      <c r="E1005" s="190"/>
      <c r="F1005" s="190"/>
      <c r="G1005" s="190"/>
      <c r="H1005" s="190"/>
      <c r="I1005" s="190"/>
      <c r="J1005" s="190"/>
      <c r="K1005" s="190"/>
      <c r="L1005" s="190"/>
      <c r="M1005" s="190"/>
      <c r="N1005" s="190"/>
      <c r="O1005" s="190"/>
      <c r="P1005" s="190"/>
      <c r="Q1005" s="190"/>
      <c r="R1005" s="190"/>
      <c r="S1005" s="190"/>
      <c r="T1005" s="588"/>
      <c r="U1005" s="188"/>
      <c r="V1005" s="190"/>
      <c r="W1005" s="190"/>
      <c r="X1005" s="190"/>
      <c r="Y1005" s="190"/>
      <c r="Z1005" s="190"/>
      <c r="AA1005" s="190"/>
      <c r="AB1005" s="190"/>
      <c r="AC1005" s="190"/>
      <c r="AD1005" s="190"/>
      <c r="AE1005" s="190"/>
      <c r="AF1005" s="190"/>
      <c r="AG1005" s="190"/>
      <c r="AH1005" s="190"/>
      <c r="AI1005" s="190"/>
      <c r="AJ1005" s="190"/>
      <c r="AK1005" s="619"/>
    </row>
    <row r="1006" spans="1:37">
      <c r="A1006" s="188"/>
      <c r="B1006" s="188"/>
      <c r="C1006" s="188"/>
      <c r="D1006" s="190"/>
      <c r="E1006" s="190"/>
      <c r="F1006" s="190"/>
      <c r="G1006" s="190"/>
      <c r="H1006" s="190"/>
      <c r="I1006" s="190"/>
      <c r="J1006" s="190"/>
      <c r="K1006" s="190"/>
      <c r="L1006" s="190"/>
      <c r="M1006" s="190"/>
      <c r="N1006" s="190"/>
      <c r="O1006" s="190"/>
      <c r="P1006" s="190"/>
      <c r="Q1006" s="190"/>
      <c r="R1006" s="190"/>
      <c r="S1006" s="190"/>
      <c r="T1006" s="588"/>
      <c r="U1006" s="188"/>
      <c r="V1006" s="190"/>
      <c r="W1006" s="190"/>
      <c r="X1006" s="190"/>
      <c r="Y1006" s="190"/>
      <c r="Z1006" s="190"/>
      <c r="AA1006" s="190"/>
      <c r="AB1006" s="190"/>
      <c r="AC1006" s="190"/>
      <c r="AD1006" s="190"/>
      <c r="AE1006" s="190"/>
      <c r="AF1006" s="190"/>
      <c r="AG1006" s="190"/>
      <c r="AH1006" s="190"/>
      <c r="AI1006" s="190"/>
      <c r="AJ1006" s="190"/>
      <c r="AK1006" s="619"/>
    </row>
    <row r="1007" spans="1:37">
      <c r="A1007" s="188"/>
      <c r="B1007" s="188"/>
      <c r="C1007" s="188"/>
      <c r="D1007" s="190"/>
      <c r="E1007" s="190"/>
      <c r="F1007" s="190"/>
      <c r="G1007" s="190"/>
      <c r="H1007" s="190"/>
      <c r="I1007" s="190"/>
      <c r="J1007" s="190"/>
      <c r="K1007" s="190"/>
      <c r="L1007" s="190"/>
      <c r="M1007" s="190"/>
      <c r="N1007" s="190"/>
      <c r="O1007" s="190"/>
      <c r="P1007" s="190"/>
      <c r="Q1007" s="190"/>
      <c r="R1007" s="190"/>
      <c r="S1007" s="190"/>
      <c r="T1007" s="588"/>
      <c r="U1007" s="188"/>
      <c r="V1007" s="190"/>
      <c r="W1007" s="190"/>
      <c r="X1007" s="190"/>
      <c r="Y1007" s="190"/>
      <c r="Z1007" s="190"/>
      <c r="AA1007" s="190"/>
      <c r="AB1007" s="190"/>
      <c r="AC1007" s="190"/>
      <c r="AD1007" s="190"/>
      <c r="AE1007" s="190"/>
      <c r="AF1007" s="190"/>
      <c r="AG1007" s="190"/>
      <c r="AH1007" s="190"/>
      <c r="AI1007" s="190"/>
      <c r="AJ1007" s="190"/>
      <c r="AK1007" s="619"/>
    </row>
    <row r="1008" spans="1:37">
      <c r="A1008" s="188"/>
      <c r="B1008" s="188"/>
      <c r="C1008" s="188"/>
      <c r="D1008" s="190"/>
      <c r="E1008" s="190"/>
      <c r="F1008" s="190"/>
      <c r="G1008" s="190"/>
      <c r="H1008" s="190"/>
      <c r="I1008" s="190"/>
      <c r="J1008" s="190"/>
      <c r="K1008" s="190"/>
      <c r="L1008" s="190"/>
      <c r="M1008" s="190"/>
      <c r="N1008" s="190"/>
      <c r="O1008" s="190"/>
      <c r="P1008" s="190"/>
      <c r="Q1008" s="190"/>
      <c r="R1008" s="190"/>
      <c r="S1008" s="190"/>
      <c r="T1008" s="588"/>
      <c r="U1008" s="188"/>
      <c r="V1008" s="190"/>
      <c r="W1008" s="190"/>
      <c r="X1008" s="190"/>
      <c r="Y1008" s="190"/>
      <c r="Z1008" s="190"/>
      <c r="AA1008" s="190"/>
      <c r="AB1008" s="190"/>
      <c r="AC1008" s="190"/>
      <c r="AD1008" s="190"/>
      <c r="AE1008" s="190"/>
      <c r="AF1008" s="190"/>
      <c r="AG1008" s="190"/>
      <c r="AH1008" s="190"/>
      <c r="AI1008" s="190"/>
      <c r="AJ1008" s="190"/>
      <c r="AK1008" s="619"/>
    </row>
    <row r="1009" spans="1:37">
      <c r="A1009" s="188"/>
      <c r="B1009" s="188"/>
      <c r="C1009" s="188"/>
      <c r="D1009" s="190"/>
      <c r="E1009" s="190"/>
      <c r="F1009" s="190"/>
      <c r="G1009" s="190"/>
      <c r="H1009" s="190"/>
      <c r="I1009" s="190"/>
      <c r="J1009" s="190"/>
      <c r="K1009" s="190"/>
      <c r="L1009" s="190"/>
      <c r="M1009" s="190"/>
      <c r="N1009" s="190"/>
      <c r="O1009" s="190"/>
      <c r="P1009" s="190"/>
      <c r="Q1009" s="190"/>
      <c r="R1009" s="190"/>
      <c r="S1009" s="190"/>
      <c r="T1009" s="588"/>
      <c r="U1009" s="188"/>
      <c r="V1009" s="190"/>
      <c r="W1009" s="190"/>
      <c r="X1009" s="190"/>
      <c r="Y1009" s="190"/>
      <c r="Z1009" s="190"/>
      <c r="AA1009" s="190"/>
      <c r="AB1009" s="190"/>
      <c r="AC1009" s="190"/>
      <c r="AD1009" s="190"/>
      <c r="AE1009" s="190"/>
      <c r="AF1009" s="190"/>
      <c r="AG1009" s="190"/>
      <c r="AH1009" s="190"/>
      <c r="AI1009" s="190"/>
      <c r="AJ1009" s="190"/>
      <c r="AK1009" s="619"/>
    </row>
    <row r="1010" spans="1:37">
      <c r="A1010" s="188"/>
      <c r="B1010" s="188"/>
      <c r="C1010" s="188"/>
      <c r="D1010" s="190"/>
      <c r="E1010" s="190"/>
      <c r="F1010" s="190"/>
      <c r="G1010" s="190"/>
      <c r="H1010" s="190"/>
      <c r="I1010" s="190"/>
      <c r="J1010" s="190"/>
      <c r="K1010" s="190"/>
      <c r="L1010" s="190"/>
      <c r="M1010" s="190"/>
      <c r="N1010" s="190"/>
      <c r="O1010" s="190"/>
      <c r="P1010" s="190"/>
      <c r="Q1010" s="190"/>
      <c r="R1010" s="190"/>
      <c r="S1010" s="190"/>
      <c r="T1010" s="588"/>
      <c r="U1010" s="188"/>
      <c r="V1010" s="190"/>
      <c r="W1010" s="190"/>
      <c r="X1010" s="190"/>
      <c r="Y1010" s="190"/>
      <c r="Z1010" s="190"/>
      <c r="AA1010" s="190"/>
      <c r="AB1010" s="190"/>
      <c r="AC1010" s="190"/>
      <c r="AD1010" s="190"/>
      <c r="AE1010" s="190"/>
      <c r="AF1010" s="190"/>
      <c r="AG1010" s="190"/>
      <c r="AH1010" s="190"/>
      <c r="AI1010" s="190"/>
      <c r="AJ1010" s="190"/>
      <c r="AK1010" s="619"/>
    </row>
    <row r="1011" spans="1:37">
      <c r="A1011" s="188"/>
      <c r="B1011" s="188"/>
      <c r="C1011" s="188"/>
      <c r="D1011" s="190"/>
      <c r="E1011" s="190"/>
      <c r="F1011" s="190"/>
      <c r="G1011" s="190"/>
      <c r="H1011" s="190"/>
      <c r="I1011" s="190"/>
      <c r="J1011" s="190"/>
      <c r="K1011" s="190"/>
      <c r="L1011" s="190"/>
      <c r="M1011" s="190"/>
      <c r="N1011" s="190"/>
      <c r="O1011" s="190"/>
      <c r="P1011" s="190"/>
      <c r="Q1011" s="190"/>
      <c r="R1011" s="190"/>
      <c r="S1011" s="190"/>
      <c r="T1011" s="588"/>
      <c r="U1011" s="188"/>
      <c r="V1011" s="190"/>
      <c r="W1011" s="190"/>
      <c r="X1011" s="190"/>
      <c r="Y1011" s="190"/>
      <c r="Z1011" s="190"/>
      <c r="AA1011" s="190"/>
      <c r="AB1011" s="190"/>
      <c r="AC1011" s="190"/>
      <c r="AD1011" s="190"/>
      <c r="AE1011" s="190"/>
      <c r="AF1011" s="190"/>
      <c r="AG1011" s="190"/>
      <c r="AH1011" s="190"/>
      <c r="AI1011" s="190"/>
      <c r="AJ1011" s="190"/>
      <c r="AK1011" s="619"/>
    </row>
    <row r="1012" spans="1:37">
      <c r="A1012" s="188"/>
      <c r="B1012" s="188"/>
      <c r="C1012" s="188"/>
      <c r="D1012" s="190"/>
      <c r="E1012" s="190"/>
      <c r="F1012" s="190"/>
      <c r="G1012" s="190"/>
      <c r="H1012" s="190"/>
      <c r="I1012" s="190"/>
      <c r="J1012" s="190"/>
      <c r="K1012" s="190"/>
      <c r="L1012" s="190"/>
      <c r="M1012" s="190"/>
      <c r="N1012" s="190"/>
      <c r="O1012" s="190"/>
      <c r="P1012" s="190"/>
      <c r="Q1012" s="190"/>
      <c r="R1012" s="190"/>
      <c r="S1012" s="190"/>
      <c r="T1012" s="588"/>
      <c r="U1012" s="188"/>
      <c r="V1012" s="190"/>
      <c r="W1012" s="190"/>
      <c r="X1012" s="190"/>
      <c r="Y1012" s="190"/>
      <c r="Z1012" s="190"/>
      <c r="AA1012" s="190"/>
      <c r="AB1012" s="190"/>
      <c r="AC1012" s="190"/>
      <c r="AD1012" s="190"/>
      <c r="AE1012" s="190"/>
      <c r="AF1012" s="190"/>
      <c r="AG1012" s="190"/>
      <c r="AH1012" s="190"/>
      <c r="AI1012" s="190"/>
      <c r="AJ1012" s="190"/>
      <c r="AK1012" s="619"/>
    </row>
    <row r="1013" spans="1:37">
      <c r="A1013" s="188"/>
      <c r="B1013" s="188"/>
      <c r="C1013" s="188"/>
      <c r="D1013" s="190"/>
      <c r="E1013" s="190"/>
      <c r="F1013" s="190"/>
      <c r="G1013" s="190"/>
      <c r="H1013" s="190"/>
      <c r="I1013" s="190"/>
      <c r="J1013" s="190"/>
      <c r="K1013" s="190"/>
      <c r="L1013" s="190"/>
      <c r="M1013" s="190"/>
      <c r="N1013" s="190"/>
      <c r="O1013" s="190"/>
      <c r="P1013" s="190"/>
      <c r="Q1013" s="190"/>
      <c r="R1013" s="190"/>
      <c r="S1013" s="190"/>
      <c r="T1013" s="588"/>
      <c r="U1013" s="188"/>
      <c r="V1013" s="190"/>
      <c r="W1013" s="190"/>
      <c r="X1013" s="190"/>
      <c r="Y1013" s="190"/>
      <c r="Z1013" s="190"/>
      <c r="AA1013" s="190"/>
      <c r="AB1013" s="190"/>
      <c r="AC1013" s="190"/>
      <c r="AD1013" s="190"/>
      <c r="AE1013" s="190"/>
      <c r="AF1013" s="190"/>
      <c r="AG1013" s="190"/>
      <c r="AH1013" s="190"/>
      <c r="AI1013" s="190"/>
      <c r="AJ1013" s="190"/>
      <c r="AK1013" s="619"/>
    </row>
    <row r="1014" spans="1:37">
      <c r="A1014" s="188"/>
      <c r="B1014" s="188"/>
      <c r="C1014" s="188"/>
      <c r="D1014" s="190"/>
      <c r="E1014" s="190"/>
      <c r="F1014" s="190"/>
      <c r="G1014" s="190"/>
      <c r="H1014" s="190"/>
      <c r="I1014" s="190"/>
      <c r="J1014" s="190"/>
      <c r="K1014" s="190"/>
      <c r="L1014" s="190"/>
      <c r="M1014" s="190"/>
      <c r="N1014" s="190"/>
      <c r="O1014" s="190"/>
      <c r="P1014" s="190"/>
      <c r="Q1014" s="190"/>
      <c r="R1014" s="190"/>
      <c r="S1014" s="190"/>
      <c r="T1014" s="588"/>
      <c r="U1014" s="188"/>
      <c r="V1014" s="190"/>
      <c r="W1014" s="190"/>
      <c r="X1014" s="190"/>
      <c r="Y1014" s="190"/>
      <c r="Z1014" s="190"/>
      <c r="AA1014" s="190"/>
      <c r="AB1014" s="190"/>
      <c r="AC1014" s="190"/>
      <c r="AD1014" s="190"/>
      <c r="AE1014" s="190"/>
      <c r="AF1014" s="190"/>
      <c r="AG1014" s="190"/>
      <c r="AH1014" s="190"/>
      <c r="AI1014" s="190"/>
      <c r="AJ1014" s="190"/>
      <c r="AK1014" s="619"/>
    </row>
    <row r="1015" spans="1:37">
      <c r="A1015" s="188"/>
      <c r="B1015" s="188"/>
      <c r="C1015" s="188"/>
      <c r="D1015" s="190"/>
      <c r="E1015" s="190"/>
      <c r="F1015" s="190"/>
      <c r="G1015" s="190"/>
      <c r="H1015" s="190"/>
      <c r="I1015" s="190"/>
      <c r="J1015" s="190"/>
      <c r="K1015" s="190"/>
      <c r="L1015" s="190"/>
      <c r="M1015" s="190"/>
      <c r="N1015" s="190"/>
      <c r="O1015" s="190"/>
      <c r="P1015" s="190"/>
      <c r="Q1015" s="190"/>
      <c r="R1015" s="190"/>
      <c r="S1015" s="190"/>
      <c r="T1015" s="588"/>
      <c r="U1015" s="188"/>
      <c r="V1015" s="190"/>
      <c r="W1015" s="190"/>
      <c r="X1015" s="190"/>
      <c r="Y1015" s="190"/>
      <c r="Z1015" s="190"/>
      <c r="AA1015" s="190"/>
      <c r="AB1015" s="190"/>
      <c r="AC1015" s="190"/>
      <c r="AD1015" s="190"/>
      <c r="AE1015" s="190"/>
      <c r="AF1015" s="190"/>
      <c r="AG1015" s="190"/>
      <c r="AH1015" s="190"/>
      <c r="AI1015" s="190"/>
      <c r="AJ1015" s="190"/>
      <c r="AK1015" s="619"/>
    </row>
    <row r="1016" spans="1:37">
      <c r="A1016" s="188"/>
      <c r="B1016" s="188"/>
      <c r="C1016" s="188"/>
      <c r="D1016" s="190"/>
      <c r="E1016" s="190"/>
      <c r="F1016" s="190"/>
      <c r="G1016" s="190"/>
      <c r="H1016" s="190"/>
      <c r="I1016" s="190"/>
      <c r="J1016" s="190"/>
      <c r="K1016" s="190"/>
      <c r="L1016" s="190"/>
      <c r="M1016" s="190"/>
      <c r="N1016" s="190"/>
      <c r="O1016" s="190"/>
      <c r="P1016" s="190"/>
      <c r="Q1016" s="190"/>
      <c r="R1016" s="190"/>
      <c r="S1016" s="190"/>
      <c r="T1016" s="588"/>
      <c r="U1016" s="188"/>
      <c r="V1016" s="190"/>
      <c r="W1016" s="190"/>
      <c r="X1016" s="190"/>
      <c r="Y1016" s="190"/>
      <c r="Z1016" s="190"/>
      <c r="AA1016" s="190"/>
      <c r="AB1016" s="190"/>
      <c r="AC1016" s="190"/>
      <c r="AD1016" s="190"/>
      <c r="AE1016" s="190"/>
      <c r="AF1016" s="190"/>
      <c r="AG1016" s="190"/>
      <c r="AH1016" s="190"/>
      <c r="AI1016" s="190"/>
      <c r="AJ1016" s="190"/>
      <c r="AK1016" s="619"/>
    </row>
    <row r="1017" spans="1:37">
      <c r="A1017" s="188"/>
      <c r="B1017" s="188"/>
      <c r="C1017" s="188"/>
      <c r="D1017" s="190"/>
      <c r="E1017" s="190"/>
      <c r="F1017" s="190"/>
      <c r="G1017" s="190"/>
      <c r="H1017" s="190"/>
      <c r="I1017" s="190"/>
      <c r="J1017" s="190"/>
      <c r="K1017" s="190"/>
      <c r="L1017" s="190"/>
      <c r="M1017" s="190"/>
      <c r="N1017" s="190"/>
      <c r="O1017" s="190"/>
      <c r="P1017" s="190"/>
      <c r="Q1017" s="190"/>
      <c r="R1017" s="190"/>
      <c r="S1017" s="190"/>
      <c r="T1017" s="588"/>
      <c r="U1017" s="188"/>
      <c r="V1017" s="190"/>
      <c r="W1017" s="190"/>
      <c r="X1017" s="190"/>
      <c r="Y1017" s="190"/>
      <c r="Z1017" s="190"/>
      <c r="AA1017" s="190"/>
      <c r="AB1017" s="190"/>
      <c r="AC1017" s="190"/>
      <c r="AD1017" s="190"/>
      <c r="AE1017" s="190"/>
      <c r="AF1017" s="190"/>
      <c r="AG1017" s="190"/>
      <c r="AH1017" s="190"/>
      <c r="AI1017" s="190"/>
      <c r="AJ1017" s="190"/>
      <c r="AK1017" s="619"/>
    </row>
    <row r="1018" spans="1:37">
      <c r="A1018" s="188"/>
      <c r="B1018" s="188"/>
      <c r="C1018" s="188"/>
      <c r="D1018" s="190"/>
      <c r="E1018" s="190"/>
      <c r="F1018" s="190"/>
      <c r="G1018" s="190"/>
      <c r="H1018" s="190"/>
      <c r="I1018" s="190"/>
      <c r="J1018" s="190"/>
      <c r="K1018" s="190"/>
      <c r="L1018" s="190"/>
      <c r="M1018" s="190"/>
      <c r="N1018" s="190"/>
      <c r="O1018" s="190"/>
      <c r="P1018" s="190"/>
      <c r="Q1018" s="190"/>
      <c r="R1018" s="190"/>
      <c r="S1018" s="190"/>
      <c r="T1018" s="588"/>
      <c r="U1018" s="188"/>
      <c r="V1018" s="190"/>
      <c r="W1018" s="190"/>
      <c r="X1018" s="190"/>
      <c r="Y1018" s="190"/>
      <c r="Z1018" s="190"/>
      <c r="AA1018" s="190"/>
      <c r="AB1018" s="190"/>
      <c r="AC1018" s="190"/>
      <c r="AD1018" s="190"/>
      <c r="AE1018" s="190"/>
      <c r="AF1018" s="190"/>
      <c r="AG1018" s="190"/>
      <c r="AH1018" s="190"/>
      <c r="AI1018" s="190"/>
      <c r="AJ1018" s="190"/>
      <c r="AK1018" s="619"/>
    </row>
    <row r="1019" spans="1:37">
      <c r="A1019" s="188"/>
      <c r="B1019" s="188"/>
      <c r="C1019" s="188"/>
      <c r="D1019" s="190"/>
      <c r="E1019" s="190"/>
      <c r="F1019" s="190"/>
      <c r="G1019" s="190"/>
      <c r="H1019" s="190"/>
      <c r="I1019" s="190"/>
      <c r="J1019" s="190"/>
      <c r="K1019" s="190"/>
      <c r="L1019" s="190"/>
      <c r="M1019" s="190"/>
      <c r="N1019" s="190"/>
      <c r="O1019" s="190"/>
      <c r="P1019" s="190"/>
      <c r="Q1019" s="190"/>
      <c r="R1019" s="190"/>
      <c r="S1019" s="190"/>
      <c r="T1019" s="588"/>
      <c r="U1019" s="188"/>
      <c r="V1019" s="190"/>
      <c r="W1019" s="190"/>
      <c r="X1019" s="190"/>
      <c r="Y1019" s="190"/>
      <c r="Z1019" s="190"/>
      <c r="AA1019" s="190"/>
      <c r="AB1019" s="190"/>
      <c r="AC1019" s="190"/>
      <c r="AD1019" s="190"/>
      <c r="AE1019" s="190"/>
      <c r="AF1019" s="190"/>
      <c r="AG1019" s="190"/>
      <c r="AH1019" s="190"/>
      <c r="AI1019" s="190"/>
      <c r="AJ1019" s="190"/>
      <c r="AK1019" s="619"/>
    </row>
    <row r="1020" spans="1:37">
      <c r="A1020" s="188"/>
      <c r="B1020" s="188"/>
      <c r="C1020" s="188"/>
      <c r="D1020" s="190"/>
      <c r="E1020" s="190"/>
      <c r="F1020" s="190"/>
      <c r="G1020" s="190"/>
      <c r="H1020" s="190"/>
      <c r="I1020" s="190"/>
      <c r="J1020" s="190"/>
      <c r="K1020" s="190"/>
      <c r="L1020" s="190"/>
      <c r="M1020" s="190"/>
      <c r="N1020" s="190"/>
      <c r="O1020" s="190"/>
      <c r="P1020" s="190"/>
      <c r="Q1020" s="190"/>
      <c r="R1020" s="190"/>
      <c r="S1020" s="190"/>
      <c r="T1020" s="588"/>
      <c r="U1020" s="188"/>
      <c r="V1020" s="190"/>
      <c r="W1020" s="190"/>
      <c r="X1020" s="190"/>
      <c r="Y1020" s="190"/>
      <c r="Z1020" s="190"/>
      <c r="AA1020" s="190"/>
      <c r="AB1020" s="190"/>
      <c r="AC1020" s="190"/>
      <c r="AD1020" s="190"/>
      <c r="AE1020" s="190"/>
      <c r="AF1020" s="190"/>
      <c r="AG1020" s="190"/>
      <c r="AH1020" s="190"/>
      <c r="AI1020" s="190"/>
      <c r="AJ1020" s="190"/>
      <c r="AK1020" s="619"/>
    </row>
    <row r="1021" spans="1:37">
      <c r="A1021" s="188"/>
      <c r="B1021" s="188"/>
      <c r="C1021" s="188"/>
      <c r="D1021" s="190"/>
      <c r="E1021" s="190"/>
      <c r="F1021" s="190"/>
      <c r="G1021" s="190"/>
      <c r="H1021" s="190"/>
      <c r="I1021" s="190"/>
      <c r="J1021" s="190"/>
      <c r="K1021" s="190"/>
      <c r="L1021" s="190"/>
      <c r="M1021" s="190"/>
      <c r="N1021" s="190"/>
      <c r="O1021" s="190"/>
      <c r="P1021" s="190"/>
      <c r="Q1021" s="190"/>
      <c r="R1021" s="190"/>
      <c r="S1021" s="190"/>
      <c r="T1021" s="588"/>
      <c r="U1021" s="188"/>
      <c r="V1021" s="190"/>
      <c r="W1021" s="190"/>
      <c r="X1021" s="190"/>
      <c r="Y1021" s="190"/>
      <c r="Z1021" s="190"/>
      <c r="AA1021" s="190"/>
      <c r="AB1021" s="190"/>
      <c r="AC1021" s="190"/>
      <c r="AD1021" s="190"/>
      <c r="AE1021" s="190"/>
      <c r="AF1021" s="190"/>
      <c r="AG1021" s="190"/>
      <c r="AH1021" s="190"/>
      <c r="AI1021" s="190"/>
      <c r="AJ1021" s="190"/>
      <c r="AK1021" s="619"/>
    </row>
    <row r="1022" spans="1:37">
      <c r="A1022" s="188"/>
      <c r="B1022" s="188"/>
      <c r="C1022" s="188"/>
      <c r="D1022" s="190"/>
      <c r="E1022" s="190"/>
      <c r="F1022" s="190"/>
      <c r="G1022" s="190"/>
      <c r="H1022" s="190"/>
      <c r="I1022" s="190"/>
      <c r="J1022" s="190"/>
      <c r="K1022" s="190"/>
      <c r="L1022" s="190"/>
      <c r="M1022" s="190"/>
      <c r="N1022" s="190"/>
      <c r="O1022" s="190"/>
      <c r="P1022" s="190"/>
      <c r="Q1022" s="190"/>
      <c r="R1022" s="190"/>
      <c r="S1022" s="190"/>
      <c r="T1022" s="588"/>
      <c r="U1022" s="188"/>
      <c r="V1022" s="190"/>
      <c r="W1022" s="190"/>
      <c r="X1022" s="190"/>
      <c r="Y1022" s="190"/>
      <c r="Z1022" s="190"/>
      <c r="AA1022" s="190"/>
      <c r="AB1022" s="190"/>
      <c r="AC1022" s="190"/>
      <c r="AD1022" s="190"/>
      <c r="AE1022" s="190"/>
      <c r="AF1022" s="190"/>
      <c r="AG1022" s="190"/>
      <c r="AH1022" s="190"/>
      <c r="AI1022" s="190"/>
      <c r="AJ1022" s="190"/>
      <c r="AK1022" s="619"/>
    </row>
    <row r="1023" spans="1:37">
      <c r="A1023" s="188"/>
      <c r="B1023" s="188"/>
      <c r="C1023" s="188"/>
      <c r="D1023" s="190"/>
      <c r="E1023" s="190"/>
      <c r="F1023" s="190"/>
      <c r="G1023" s="190"/>
      <c r="H1023" s="190"/>
      <c r="I1023" s="190"/>
      <c r="J1023" s="190"/>
      <c r="K1023" s="190"/>
      <c r="L1023" s="190"/>
      <c r="M1023" s="190"/>
      <c r="N1023" s="190"/>
      <c r="O1023" s="190"/>
      <c r="P1023" s="190"/>
      <c r="Q1023" s="190"/>
      <c r="R1023" s="190"/>
      <c r="S1023" s="190"/>
      <c r="T1023" s="588"/>
      <c r="U1023" s="188"/>
      <c r="V1023" s="190"/>
      <c r="W1023" s="190"/>
      <c r="X1023" s="190"/>
      <c r="Y1023" s="190"/>
      <c r="Z1023" s="190"/>
      <c r="AA1023" s="190"/>
      <c r="AB1023" s="190"/>
      <c r="AC1023" s="190"/>
      <c r="AD1023" s="190"/>
      <c r="AE1023" s="190"/>
      <c r="AF1023" s="190"/>
      <c r="AG1023" s="190"/>
      <c r="AH1023" s="190"/>
      <c r="AI1023" s="190"/>
      <c r="AJ1023" s="190"/>
      <c r="AK1023" s="619"/>
    </row>
    <row r="1024" spans="1:37">
      <c r="A1024" s="188"/>
      <c r="B1024" s="188"/>
      <c r="C1024" s="188"/>
      <c r="D1024" s="188"/>
      <c r="E1024" s="188"/>
      <c r="F1024" s="188"/>
      <c r="G1024" s="188"/>
      <c r="H1024" s="188"/>
      <c r="I1024" s="188"/>
      <c r="J1024" s="188"/>
      <c r="K1024" s="188"/>
      <c r="L1024" s="188"/>
      <c r="M1024" s="188"/>
      <c r="N1024" s="188"/>
      <c r="O1024" s="188"/>
      <c r="P1024" s="188"/>
      <c r="Q1024" s="188"/>
      <c r="S1024" s="188"/>
      <c r="T1024" s="588"/>
      <c r="U1024" s="188"/>
      <c r="V1024" s="190"/>
      <c r="W1024" s="190"/>
      <c r="X1024" s="190"/>
      <c r="Y1024" s="190"/>
      <c r="Z1024" s="190"/>
      <c r="AA1024" s="190"/>
      <c r="AB1024" s="190"/>
      <c r="AC1024" s="190"/>
      <c r="AD1024" s="190"/>
      <c r="AE1024" s="190"/>
      <c r="AF1024" s="190"/>
      <c r="AG1024" s="190"/>
      <c r="AH1024" s="190"/>
      <c r="AI1024" s="190"/>
      <c r="AJ1024" s="190"/>
      <c r="AK1024" s="619"/>
    </row>
    <row r="1025" spans="1:37">
      <c r="A1025" s="188"/>
      <c r="B1025" s="188"/>
      <c r="C1025" s="188"/>
      <c r="D1025" s="188"/>
      <c r="E1025" s="188"/>
      <c r="F1025" s="188"/>
      <c r="G1025" s="188"/>
      <c r="H1025" s="188"/>
      <c r="I1025" s="188"/>
      <c r="J1025" s="188"/>
      <c r="K1025" s="188"/>
      <c r="L1025" s="188"/>
      <c r="M1025" s="188"/>
      <c r="N1025" s="188"/>
      <c r="O1025" s="188"/>
      <c r="P1025" s="188"/>
      <c r="Q1025" s="188"/>
      <c r="S1025" s="188"/>
      <c r="T1025" s="588"/>
      <c r="U1025" s="188"/>
      <c r="V1025" s="190"/>
      <c r="W1025" s="190"/>
      <c r="X1025" s="190"/>
      <c r="Y1025" s="190"/>
      <c r="Z1025" s="190"/>
      <c r="AA1025" s="190"/>
      <c r="AB1025" s="190"/>
      <c r="AC1025" s="190"/>
      <c r="AD1025" s="190"/>
      <c r="AE1025" s="190"/>
      <c r="AF1025" s="190"/>
      <c r="AG1025" s="190"/>
      <c r="AH1025" s="190"/>
      <c r="AI1025" s="190"/>
      <c r="AJ1025" s="190"/>
      <c r="AK1025" s="619"/>
    </row>
    <row r="1026" spans="1:37">
      <c r="A1026" s="188"/>
      <c r="B1026" s="188"/>
      <c r="C1026" s="188"/>
      <c r="D1026" s="188"/>
      <c r="E1026" s="188"/>
      <c r="F1026" s="188"/>
      <c r="G1026" s="188"/>
      <c r="H1026" s="188"/>
      <c r="I1026" s="188"/>
      <c r="J1026" s="188"/>
      <c r="K1026" s="188"/>
      <c r="L1026" s="188"/>
      <c r="M1026" s="188"/>
      <c r="N1026" s="188"/>
      <c r="O1026" s="188"/>
      <c r="P1026" s="188"/>
      <c r="Q1026" s="188"/>
      <c r="S1026" s="188"/>
      <c r="T1026" s="588"/>
      <c r="U1026" s="188"/>
      <c r="V1026" s="190"/>
      <c r="W1026" s="190"/>
      <c r="X1026" s="190"/>
      <c r="Y1026" s="190"/>
      <c r="Z1026" s="190"/>
      <c r="AA1026" s="190"/>
      <c r="AB1026" s="190"/>
      <c r="AC1026" s="190"/>
      <c r="AD1026" s="190"/>
      <c r="AE1026" s="190"/>
      <c r="AF1026" s="190"/>
      <c r="AG1026" s="190"/>
      <c r="AH1026" s="190"/>
      <c r="AI1026" s="190"/>
      <c r="AJ1026" s="190"/>
      <c r="AK1026" s="619"/>
    </row>
    <row r="1027" spans="1:37">
      <c r="A1027" s="188"/>
      <c r="B1027" s="188"/>
      <c r="C1027" s="188"/>
      <c r="D1027" s="188"/>
      <c r="E1027" s="188"/>
      <c r="F1027" s="188"/>
      <c r="G1027" s="188"/>
      <c r="H1027" s="188"/>
      <c r="I1027" s="188"/>
      <c r="J1027" s="188"/>
      <c r="K1027" s="188"/>
      <c r="L1027" s="188"/>
      <c r="M1027" s="188"/>
      <c r="N1027" s="188"/>
      <c r="O1027" s="188"/>
      <c r="P1027" s="188"/>
      <c r="Q1027" s="188"/>
      <c r="S1027" s="188"/>
      <c r="T1027" s="588"/>
      <c r="U1027" s="188"/>
      <c r="V1027" s="190"/>
      <c r="W1027" s="190"/>
      <c r="X1027" s="190"/>
      <c r="Y1027" s="190"/>
      <c r="Z1027" s="190"/>
      <c r="AA1027" s="190"/>
      <c r="AB1027" s="190"/>
      <c r="AC1027" s="190"/>
      <c r="AD1027" s="190"/>
      <c r="AE1027" s="190"/>
      <c r="AF1027" s="190"/>
      <c r="AG1027" s="190"/>
      <c r="AH1027" s="190"/>
      <c r="AI1027" s="190"/>
      <c r="AJ1027" s="190"/>
      <c r="AK1027" s="619"/>
    </row>
    <row r="1028" spans="1:37">
      <c r="A1028" s="188"/>
      <c r="B1028" s="188"/>
      <c r="C1028" s="188"/>
      <c r="D1028" s="188"/>
      <c r="E1028" s="188"/>
      <c r="F1028" s="188"/>
      <c r="G1028" s="188"/>
      <c r="H1028" s="188"/>
      <c r="I1028" s="188"/>
      <c r="J1028" s="188"/>
      <c r="K1028" s="188"/>
      <c r="L1028" s="188"/>
      <c r="M1028" s="188"/>
      <c r="N1028" s="188"/>
      <c r="O1028" s="188"/>
      <c r="P1028" s="188"/>
      <c r="Q1028" s="188"/>
      <c r="S1028" s="188"/>
      <c r="T1028" s="588"/>
      <c r="U1028" s="188"/>
      <c r="V1028" s="190"/>
      <c r="W1028" s="190"/>
      <c r="X1028" s="190"/>
      <c r="Y1028" s="190"/>
      <c r="Z1028" s="190"/>
      <c r="AA1028" s="190"/>
      <c r="AB1028" s="190"/>
      <c r="AC1028" s="190"/>
      <c r="AD1028" s="190"/>
      <c r="AE1028" s="190"/>
      <c r="AF1028" s="190"/>
      <c r="AG1028" s="190"/>
      <c r="AH1028" s="190"/>
      <c r="AI1028" s="190"/>
      <c r="AJ1028" s="190"/>
      <c r="AK1028" s="619"/>
    </row>
    <row r="1029" spans="1:37">
      <c r="A1029" s="188"/>
      <c r="B1029" s="188"/>
      <c r="C1029" s="188"/>
      <c r="D1029" s="188"/>
      <c r="E1029" s="188"/>
      <c r="F1029" s="188"/>
      <c r="G1029" s="188"/>
      <c r="H1029" s="188"/>
      <c r="I1029" s="188"/>
      <c r="J1029" s="188"/>
      <c r="K1029" s="188"/>
      <c r="L1029" s="188"/>
      <c r="M1029" s="188"/>
      <c r="N1029" s="188"/>
      <c r="O1029" s="188"/>
      <c r="P1029" s="188"/>
      <c r="Q1029" s="188"/>
      <c r="S1029" s="188"/>
      <c r="T1029" s="588"/>
      <c r="U1029" s="188"/>
      <c r="V1029" s="190"/>
      <c r="W1029" s="190"/>
      <c r="X1029" s="190"/>
      <c r="Y1029" s="190"/>
      <c r="Z1029" s="190"/>
      <c r="AA1029" s="190"/>
      <c r="AB1029" s="190"/>
      <c r="AC1029" s="190"/>
      <c r="AD1029" s="190"/>
      <c r="AE1029" s="190"/>
      <c r="AF1029" s="190"/>
      <c r="AG1029" s="190"/>
      <c r="AH1029" s="190"/>
      <c r="AI1029" s="190"/>
      <c r="AJ1029" s="190"/>
      <c r="AK1029" s="619"/>
    </row>
    <row r="1030" spans="1:37">
      <c r="A1030" s="188"/>
      <c r="B1030" s="188"/>
      <c r="C1030" s="188"/>
      <c r="D1030" s="188"/>
      <c r="E1030" s="188"/>
      <c r="F1030" s="188"/>
      <c r="G1030" s="188"/>
      <c r="H1030" s="188"/>
      <c r="I1030" s="188"/>
      <c r="J1030" s="188"/>
      <c r="K1030" s="188"/>
      <c r="L1030" s="188"/>
      <c r="M1030" s="188"/>
      <c r="N1030" s="188"/>
      <c r="O1030" s="188"/>
      <c r="P1030" s="188"/>
      <c r="Q1030" s="188"/>
      <c r="S1030" s="188"/>
      <c r="T1030" s="588"/>
      <c r="U1030" s="188"/>
      <c r="V1030" s="190"/>
      <c r="W1030" s="190"/>
      <c r="X1030" s="190"/>
      <c r="Y1030" s="190"/>
      <c r="Z1030" s="190"/>
      <c r="AA1030" s="190"/>
      <c r="AB1030" s="190"/>
      <c r="AC1030" s="190"/>
      <c r="AD1030" s="190"/>
      <c r="AE1030" s="190"/>
      <c r="AF1030" s="190"/>
      <c r="AG1030" s="190"/>
      <c r="AH1030" s="190"/>
      <c r="AI1030" s="190"/>
      <c r="AJ1030" s="190"/>
      <c r="AK1030" s="619"/>
    </row>
    <row r="1031" spans="1:37">
      <c r="A1031" s="188"/>
      <c r="B1031" s="188"/>
      <c r="C1031" s="188"/>
      <c r="D1031" s="188"/>
      <c r="E1031" s="188"/>
      <c r="F1031" s="188"/>
      <c r="G1031" s="188"/>
      <c r="H1031" s="188"/>
      <c r="I1031" s="188"/>
      <c r="J1031" s="188"/>
      <c r="K1031" s="188"/>
      <c r="L1031" s="188"/>
      <c r="M1031" s="188"/>
      <c r="N1031" s="188"/>
      <c r="O1031" s="188"/>
      <c r="P1031" s="188"/>
      <c r="Q1031" s="188"/>
      <c r="S1031" s="188"/>
      <c r="T1031" s="588"/>
      <c r="U1031" s="188"/>
      <c r="V1031" s="190"/>
      <c r="W1031" s="190"/>
      <c r="X1031" s="190"/>
      <c r="Y1031" s="190"/>
      <c r="Z1031" s="190"/>
      <c r="AA1031" s="190"/>
      <c r="AB1031" s="190"/>
      <c r="AC1031" s="190"/>
      <c r="AD1031" s="190"/>
      <c r="AE1031" s="190"/>
      <c r="AF1031" s="190"/>
      <c r="AG1031" s="190"/>
      <c r="AH1031" s="190"/>
      <c r="AI1031" s="190"/>
      <c r="AJ1031" s="190"/>
      <c r="AK1031" s="619"/>
    </row>
    <row r="1032" spans="1:37">
      <c r="A1032" s="188"/>
      <c r="B1032" s="188"/>
      <c r="C1032" s="188"/>
      <c r="D1032" s="188"/>
      <c r="E1032" s="188"/>
      <c r="F1032" s="188"/>
      <c r="G1032" s="188"/>
      <c r="H1032" s="188"/>
      <c r="I1032" s="188"/>
      <c r="J1032" s="188"/>
      <c r="K1032" s="188"/>
      <c r="L1032" s="188"/>
      <c r="M1032" s="188"/>
      <c r="N1032" s="188"/>
      <c r="O1032" s="188"/>
      <c r="P1032" s="188"/>
      <c r="Q1032" s="188"/>
      <c r="S1032" s="188"/>
      <c r="T1032" s="588"/>
      <c r="U1032" s="188"/>
      <c r="V1032" s="190"/>
      <c r="W1032" s="190"/>
      <c r="X1032" s="190"/>
      <c r="Y1032" s="190"/>
      <c r="Z1032" s="190"/>
      <c r="AA1032" s="190"/>
      <c r="AB1032" s="190"/>
      <c r="AC1032" s="190"/>
      <c r="AD1032" s="190"/>
      <c r="AE1032" s="190"/>
      <c r="AF1032" s="190"/>
      <c r="AG1032" s="190"/>
      <c r="AH1032" s="190"/>
      <c r="AI1032" s="190"/>
      <c r="AJ1032" s="190"/>
      <c r="AK1032" s="619"/>
    </row>
    <row r="1033" spans="1:37">
      <c r="A1033" s="188"/>
      <c r="B1033" s="188"/>
      <c r="C1033" s="188"/>
      <c r="D1033" s="188"/>
      <c r="E1033" s="188"/>
      <c r="F1033" s="188"/>
      <c r="G1033" s="188"/>
      <c r="H1033" s="188"/>
      <c r="I1033" s="188"/>
      <c r="J1033" s="188"/>
      <c r="K1033" s="188"/>
      <c r="L1033" s="188"/>
      <c r="M1033" s="188"/>
      <c r="N1033" s="188"/>
      <c r="O1033" s="188"/>
      <c r="P1033" s="188"/>
      <c r="Q1033" s="188"/>
      <c r="S1033" s="188"/>
      <c r="T1033" s="588"/>
      <c r="U1033" s="188"/>
      <c r="V1033" s="190"/>
      <c r="W1033" s="190"/>
      <c r="X1033" s="190"/>
      <c r="Y1033" s="190"/>
      <c r="Z1033" s="190"/>
      <c r="AA1033" s="190"/>
      <c r="AB1033" s="190"/>
      <c r="AC1033" s="190"/>
      <c r="AD1033" s="190"/>
      <c r="AE1033" s="190"/>
      <c r="AF1033" s="190"/>
      <c r="AG1033" s="190"/>
      <c r="AH1033" s="190"/>
      <c r="AI1033" s="190"/>
      <c r="AJ1033" s="190"/>
      <c r="AK1033" s="619"/>
    </row>
    <row r="1034" spans="1:37">
      <c r="A1034" s="188"/>
      <c r="B1034" s="188"/>
      <c r="C1034" s="188"/>
      <c r="D1034" s="188"/>
      <c r="E1034" s="188"/>
      <c r="F1034" s="188"/>
      <c r="G1034" s="188"/>
      <c r="H1034" s="188"/>
      <c r="I1034" s="188"/>
      <c r="J1034" s="188"/>
      <c r="K1034" s="188"/>
      <c r="L1034" s="188"/>
      <c r="M1034" s="188"/>
      <c r="N1034" s="188"/>
      <c r="O1034" s="188"/>
      <c r="P1034" s="188"/>
      <c r="Q1034" s="188"/>
      <c r="S1034" s="188"/>
      <c r="T1034" s="588"/>
      <c r="U1034" s="188"/>
      <c r="V1034" s="190"/>
      <c r="W1034" s="190"/>
      <c r="X1034" s="190"/>
      <c r="Y1034" s="190"/>
      <c r="Z1034" s="190"/>
      <c r="AA1034" s="190"/>
      <c r="AB1034" s="190"/>
      <c r="AC1034" s="190"/>
      <c r="AD1034" s="190"/>
      <c r="AE1034" s="190"/>
      <c r="AF1034" s="190"/>
      <c r="AG1034" s="190"/>
      <c r="AH1034" s="190"/>
      <c r="AI1034" s="190"/>
      <c r="AJ1034" s="190"/>
      <c r="AK1034" s="619"/>
    </row>
    <row r="1035" spans="1:37">
      <c r="A1035" s="188"/>
      <c r="B1035" s="188"/>
      <c r="C1035" s="188"/>
      <c r="D1035" s="188"/>
      <c r="E1035" s="188"/>
      <c r="F1035" s="188"/>
      <c r="G1035" s="188"/>
      <c r="H1035" s="188"/>
      <c r="I1035" s="188"/>
      <c r="J1035" s="188"/>
      <c r="K1035" s="188"/>
      <c r="L1035" s="188"/>
      <c r="M1035" s="188"/>
      <c r="N1035" s="188"/>
      <c r="O1035" s="188"/>
      <c r="P1035" s="188"/>
      <c r="Q1035" s="188"/>
      <c r="S1035" s="188"/>
      <c r="T1035" s="588"/>
      <c r="U1035" s="188"/>
      <c r="V1035" s="190"/>
      <c r="W1035" s="190"/>
      <c r="X1035" s="190"/>
      <c r="Y1035" s="190"/>
      <c r="Z1035" s="190"/>
      <c r="AA1035" s="190"/>
      <c r="AB1035" s="190"/>
      <c r="AC1035" s="190"/>
      <c r="AD1035" s="190"/>
      <c r="AE1035" s="190"/>
      <c r="AF1035" s="190"/>
      <c r="AG1035" s="190"/>
      <c r="AH1035" s="190"/>
      <c r="AI1035" s="190"/>
      <c r="AJ1035" s="190"/>
      <c r="AK1035" s="619"/>
    </row>
    <row r="1036" spans="1:37">
      <c r="A1036" s="188"/>
      <c r="B1036" s="188"/>
      <c r="C1036" s="188"/>
      <c r="D1036" s="188"/>
      <c r="E1036" s="188"/>
      <c r="F1036" s="188"/>
      <c r="G1036" s="188"/>
      <c r="H1036" s="188"/>
      <c r="I1036" s="188"/>
      <c r="J1036" s="188"/>
      <c r="K1036" s="188"/>
      <c r="L1036" s="188"/>
      <c r="M1036" s="188"/>
      <c r="N1036" s="188"/>
      <c r="O1036" s="188"/>
      <c r="P1036" s="188"/>
      <c r="Q1036" s="188"/>
      <c r="S1036" s="188"/>
      <c r="T1036" s="588"/>
      <c r="U1036" s="188"/>
      <c r="V1036" s="190"/>
      <c r="W1036" s="190"/>
      <c r="X1036" s="190"/>
      <c r="Y1036" s="190"/>
      <c r="Z1036" s="190"/>
      <c r="AA1036" s="190"/>
      <c r="AB1036" s="190"/>
      <c r="AC1036" s="190"/>
      <c r="AD1036" s="190"/>
      <c r="AE1036" s="190"/>
      <c r="AF1036" s="190"/>
      <c r="AG1036" s="190"/>
      <c r="AH1036" s="190"/>
      <c r="AI1036" s="190"/>
      <c r="AJ1036" s="190"/>
      <c r="AK1036" s="619"/>
    </row>
    <row r="1037" spans="1:37">
      <c r="A1037" s="188"/>
      <c r="B1037" s="188"/>
      <c r="C1037" s="188"/>
      <c r="D1037" s="188"/>
      <c r="E1037" s="188"/>
      <c r="F1037" s="188"/>
      <c r="G1037" s="188"/>
      <c r="H1037" s="188"/>
      <c r="I1037" s="188"/>
      <c r="J1037" s="188"/>
      <c r="K1037" s="188"/>
      <c r="L1037" s="188"/>
      <c r="M1037" s="188"/>
      <c r="N1037" s="188"/>
      <c r="O1037" s="188"/>
      <c r="P1037" s="188"/>
      <c r="Q1037" s="188"/>
      <c r="S1037" s="188"/>
      <c r="T1037" s="588"/>
      <c r="U1037" s="188"/>
      <c r="V1037" s="190"/>
      <c r="W1037" s="190"/>
      <c r="X1037" s="190"/>
      <c r="Y1037" s="190"/>
      <c r="Z1037" s="190"/>
      <c r="AA1037" s="190"/>
      <c r="AB1037" s="190"/>
      <c r="AC1037" s="190"/>
      <c r="AD1037" s="190"/>
      <c r="AE1037" s="190"/>
      <c r="AF1037" s="190"/>
      <c r="AG1037" s="190"/>
      <c r="AH1037" s="190"/>
      <c r="AI1037" s="190"/>
      <c r="AJ1037" s="190"/>
      <c r="AK1037" s="619"/>
    </row>
    <row r="1038" spans="1:37">
      <c r="A1038" s="188"/>
      <c r="B1038" s="188"/>
      <c r="C1038" s="188"/>
      <c r="D1038" s="188"/>
      <c r="E1038" s="188"/>
      <c r="F1038" s="188"/>
      <c r="G1038" s="188"/>
      <c r="H1038" s="188"/>
      <c r="I1038" s="188"/>
      <c r="J1038" s="188"/>
      <c r="K1038" s="188"/>
      <c r="L1038" s="188"/>
      <c r="M1038" s="188"/>
      <c r="N1038" s="188"/>
      <c r="O1038" s="188"/>
      <c r="P1038" s="188"/>
      <c r="Q1038" s="188"/>
      <c r="S1038" s="188"/>
      <c r="T1038" s="588"/>
      <c r="U1038" s="188"/>
      <c r="V1038" s="190"/>
      <c r="W1038" s="190"/>
      <c r="X1038" s="190"/>
      <c r="Y1038" s="190"/>
      <c r="Z1038" s="190"/>
      <c r="AA1038" s="190"/>
      <c r="AB1038" s="190"/>
      <c r="AC1038" s="190"/>
      <c r="AD1038" s="190"/>
      <c r="AE1038" s="190"/>
      <c r="AF1038" s="190"/>
      <c r="AG1038" s="190"/>
      <c r="AH1038" s="190"/>
      <c r="AI1038" s="190"/>
      <c r="AJ1038" s="190"/>
      <c r="AK1038" s="619"/>
    </row>
    <row r="1039" spans="1:37">
      <c r="A1039" s="188"/>
      <c r="B1039" s="188"/>
      <c r="C1039" s="188"/>
      <c r="D1039" s="188"/>
      <c r="E1039" s="188"/>
      <c r="F1039" s="188"/>
      <c r="G1039" s="188"/>
      <c r="H1039" s="188"/>
      <c r="I1039" s="188"/>
      <c r="J1039" s="188"/>
      <c r="K1039" s="188"/>
      <c r="L1039" s="188"/>
      <c r="M1039" s="188"/>
      <c r="N1039" s="188"/>
      <c r="O1039" s="188"/>
      <c r="P1039" s="188"/>
      <c r="Q1039" s="188"/>
      <c r="S1039" s="188"/>
      <c r="T1039" s="588"/>
      <c r="U1039" s="188"/>
      <c r="V1039" s="190"/>
      <c r="W1039" s="190"/>
      <c r="X1039" s="190"/>
      <c r="Y1039" s="190"/>
      <c r="Z1039" s="190"/>
      <c r="AA1039" s="190"/>
      <c r="AB1039" s="190"/>
      <c r="AC1039" s="190"/>
      <c r="AD1039" s="190"/>
      <c r="AE1039" s="190"/>
      <c r="AF1039" s="190"/>
      <c r="AG1039" s="190"/>
      <c r="AH1039" s="190"/>
      <c r="AI1039" s="190"/>
      <c r="AJ1039" s="190"/>
      <c r="AK1039" s="619"/>
    </row>
    <row r="1040" spans="1:37">
      <c r="A1040" s="188"/>
      <c r="B1040" s="188"/>
      <c r="C1040" s="188"/>
      <c r="D1040" s="188"/>
      <c r="E1040" s="188"/>
      <c r="F1040" s="188"/>
      <c r="G1040" s="188"/>
      <c r="H1040" s="188"/>
      <c r="I1040" s="188"/>
      <c r="J1040" s="188"/>
      <c r="K1040" s="188"/>
      <c r="L1040" s="188"/>
      <c r="M1040" s="188"/>
      <c r="N1040" s="188"/>
      <c r="O1040" s="188"/>
      <c r="P1040" s="188"/>
      <c r="Q1040" s="188"/>
      <c r="S1040" s="188"/>
      <c r="T1040" s="588"/>
      <c r="U1040" s="188"/>
      <c r="V1040" s="190"/>
      <c r="W1040" s="190"/>
      <c r="X1040" s="190"/>
      <c r="Y1040" s="190"/>
      <c r="Z1040" s="190"/>
      <c r="AA1040" s="190"/>
      <c r="AB1040" s="190"/>
      <c r="AC1040" s="190"/>
      <c r="AD1040" s="190"/>
      <c r="AE1040" s="190"/>
      <c r="AF1040" s="190"/>
      <c r="AG1040" s="190"/>
      <c r="AH1040" s="190"/>
      <c r="AI1040" s="190"/>
      <c r="AJ1040" s="190"/>
      <c r="AK1040" s="619"/>
    </row>
    <row r="1041" spans="1:37">
      <c r="A1041" s="188"/>
      <c r="B1041" s="188"/>
      <c r="C1041" s="188"/>
      <c r="D1041" s="188"/>
      <c r="E1041" s="188"/>
      <c r="F1041" s="188"/>
      <c r="G1041" s="188"/>
      <c r="H1041" s="188"/>
      <c r="I1041" s="188"/>
      <c r="J1041" s="188"/>
      <c r="K1041" s="188"/>
      <c r="L1041" s="188"/>
      <c r="M1041" s="188"/>
      <c r="N1041" s="188"/>
      <c r="O1041" s="188"/>
      <c r="P1041" s="188"/>
      <c r="Q1041" s="188"/>
      <c r="S1041" s="188"/>
      <c r="T1041" s="588"/>
      <c r="U1041" s="188"/>
      <c r="V1041" s="190"/>
      <c r="W1041" s="190"/>
      <c r="X1041" s="190"/>
      <c r="Y1041" s="190"/>
      <c r="Z1041" s="190"/>
      <c r="AA1041" s="190"/>
      <c r="AB1041" s="190"/>
      <c r="AC1041" s="190"/>
      <c r="AD1041" s="190"/>
      <c r="AE1041" s="190"/>
      <c r="AF1041" s="190"/>
      <c r="AG1041" s="190"/>
      <c r="AH1041" s="190"/>
      <c r="AI1041" s="190"/>
      <c r="AJ1041" s="190"/>
      <c r="AK1041" s="619"/>
    </row>
    <row r="1042" spans="1:37">
      <c r="A1042" s="188"/>
      <c r="B1042" s="188"/>
      <c r="C1042" s="188"/>
      <c r="D1042" s="188"/>
      <c r="E1042" s="188"/>
      <c r="F1042" s="188"/>
      <c r="G1042" s="188"/>
      <c r="H1042" s="188"/>
      <c r="I1042" s="188"/>
      <c r="J1042" s="188"/>
      <c r="K1042" s="188"/>
      <c r="L1042" s="188"/>
      <c r="M1042" s="188"/>
      <c r="N1042" s="188"/>
      <c r="O1042" s="188"/>
      <c r="P1042" s="188"/>
      <c r="Q1042" s="188"/>
      <c r="S1042" s="188"/>
      <c r="T1042" s="588"/>
      <c r="U1042" s="188"/>
      <c r="V1042" s="190"/>
      <c r="W1042" s="190"/>
      <c r="X1042" s="190"/>
      <c r="Y1042" s="190"/>
      <c r="Z1042" s="190"/>
      <c r="AA1042" s="190"/>
      <c r="AB1042" s="190"/>
      <c r="AC1042" s="190"/>
      <c r="AD1042" s="190"/>
      <c r="AE1042" s="190"/>
      <c r="AF1042" s="190"/>
      <c r="AG1042" s="190"/>
      <c r="AH1042" s="190"/>
      <c r="AI1042" s="190"/>
      <c r="AJ1042" s="190"/>
      <c r="AK1042" s="619"/>
    </row>
    <row r="1043" spans="1:37">
      <c r="A1043" s="188"/>
      <c r="B1043" s="188"/>
      <c r="C1043" s="188"/>
      <c r="D1043" s="188"/>
      <c r="E1043" s="188"/>
      <c r="F1043" s="188"/>
      <c r="G1043" s="188"/>
      <c r="H1043" s="188"/>
      <c r="I1043" s="188"/>
      <c r="J1043" s="188"/>
      <c r="K1043" s="188"/>
      <c r="L1043" s="188"/>
      <c r="M1043" s="188"/>
      <c r="N1043" s="188"/>
      <c r="O1043" s="188"/>
      <c r="P1043" s="188"/>
      <c r="Q1043" s="188"/>
      <c r="S1043" s="188"/>
      <c r="T1043" s="588"/>
      <c r="U1043" s="188"/>
      <c r="V1043" s="190"/>
      <c r="W1043" s="190"/>
      <c r="X1043" s="190"/>
      <c r="Y1043" s="190"/>
      <c r="Z1043" s="190"/>
      <c r="AA1043" s="190"/>
      <c r="AB1043" s="190"/>
      <c r="AC1043" s="190"/>
      <c r="AD1043" s="190"/>
      <c r="AE1043" s="190"/>
      <c r="AF1043" s="190"/>
      <c r="AG1043" s="190"/>
      <c r="AH1043" s="190"/>
      <c r="AI1043" s="190"/>
      <c r="AJ1043" s="190"/>
      <c r="AK1043" s="619"/>
    </row>
    <row r="1044" spans="1:37">
      <c r="A1044" s="188"/>
      <c r="B1044" s="188"/>
      <c r="C1044" s="188"/>
      <c r="D1044" s="188"/>
      <c r="E1044" s="188"/>
      <c r="F1044" s="188"/>
      <c r="G1044" s="188"/>
      <c r="H1044" s="188"/>
      <c r="I1044" s="188"/>
      <c r="J1044" s="188"/>
      <c r="K1044" s="188"/>
      <c r="L1044" s="188"/>
      <c r="M1044" s="188"/>
      <c r="N1044" s="188"/>
      <c r="O1044" s="188"/>
      <c r="P1044" s="188"/>
      <c r="Q1044" s="188"/>
      <c r="S1044" s="188"/>
      <c r="T1044" s="588"/>
      <c r="U1044" s="188"/>
      <c r="V1044" s="190"/>
      <c r="W1044" s="190"/>
      <c r="X1044" s="190"/>
      <c r="Y1044" s="190"/>
      <c r="Z1044" s="190"/>
      <c r="AA1044" s="190"/>
      <c r="AB1044" s="190"/>
      <c r="AC1044" s="190"/>
      <c r="AD1044" s="190"/>
      <c r="AE1044" s="190"/>
      <c r="AF1044" s="190"/>
      <c r="AG1044" s="190"/>
      <c r="AH1044" s="190"/>
      <c r="AI1044" s="190"/>
      <c r="AJ1044" s="190"/>
      <c r="AK1044" s="619"/>
    </row>
    <row r="1045" spans="1:37">
      <c r="A1045" s="188"/>
      <c r="B1045" s="188"/>
      <c r="C1045" s="188"/>
      <c r="D1045" s="188"/>
      <c r="E1045" s="188"/>
      <c r="F1045" s="188"/>
      <c r="G1045" s="188"/>
      <c r="H1045" s="188"/>
      <c r="I1045" s="188"/>
      <c r="J1045" s="188"/>
      <c r="K1045" s="188"/>
      <c r="L1045" s="188"/>
      <c r="M1045" s="188"/>
      <c r="N1045" s="188"/>
      <c r="O1045" s="188"/>
      <c r="P1045" s="188"/>
      <c r="Q1045" s="188"/>
      <c r="S1045" s="188"/>
      <c r="T1045" s="588"/>
      <c r="U1045" s="188"/>
      <c r="V1045" s="190"/>
      <c r="W1045" s="190"/>
      <c r="X1045" s="190"/>
      <c r="Y1045" s="190"/>
      <c r="Z1045" s="190"/>
      <c r="AA1045" s="190"/>
      <c r="AB1045" s="190"/>
      <c r="AC1045" s="190"/>
      <c r="AD1045" s="190"/>
      <c r="AE1045" s="190"/>
      <c r="AF1045" s="190"/>
      <c r="AG1045" s="190"/>
      <c r="AH1045" s="190"/>
      <c r="AI1045" s="190"/>
      <c r="AJ1045" s="190"/>
      <c r="AK1045" s="619"/>
    </row>
    <row r="1046" spans="1:37">
      <c r="A1046" s="188"/>
      <c r="B1046" s="188"/>
      <c r="C1046" s="188"/>
      <c r="D1046" s="188"/>
      <c r="E1046" s="188"/>
      <c r="F1046" s="188"/>
      <c r="G1046" s="188"/>
      <c r="H1046" s="188"/>
      <c r="I1046" s="188"/>
      <c r="J1046" s="188"/>
      <c r="K1046" s="188"/>
      <c r="L1046" s="188"/>
      <c r="M1046" s="188"/>
      <c r="N1046" s="188"/>
      <c r="O1046" s="188"/>
      <c r="P1046" s="188"/>
      <c r="Q1046" s="188"/>
      <c r="S1046" s="188"/>
      <c r="T1046" s="588"/>
      <c r="U1046" s="188"/>
      <c r="V1046" s="190"/>
      <c r="W1046" s="190"/>
      <c r="X1046" s="190"/>
      <c r="Y1046" s="190"/>
      <c r="Z1046" s="190"/>
      <c r="AA1046" s="190"/>
      <c r="AB1046" s="190"/>
      <c r="AC1046" s="190"/>
      <c r="AD1046" s="190"/>
      <c r="AE1046" s="190"/>
      <c r="AF1046" s="190"/>
      <c r="AG1046" s="190"/>
      <c r="AH1046" s="190"/>
      <c r="AI1046" s="190"/>
      <c r="AJ1046" s="190"/>
      <c r="AK1046" s="619"/>
    </row>
    <row r="1047" spans="1:37">
      <c r="A1047" s="188"/>
      <c r="B1047" s="188"/>
      <c r="C1047" s="188"/>
      <c r="D1047" s="188"/>
      <c r="E1047" s="188"/>
      <c r="F1047" s="188"/>
      <c r="G1047" s="188"/>
      <c r="H1047" s="188"/>
      <c r="I1047" s="188"/>
      <c r="J1047" s="188"/>
      <c r="K1047" s="188"/>
      <c r="L1047" s="188"/>
      <c r="M1047" s="188"/>
      <c r="N1047" s="188"/>
      <c r="O1047" s="188"/>
      <c r="P1047" s="188"/>
      <c r="Q1047" s="188"/>
      <c r="S1047" s="188"/>
      <c r="T1047" s="588"/>
      <c r="U1047" s="188"/>
      <c r="V1047" s="190"/>
      <c r="W1047" s="190"/>
      <c r="X1047" s="190"/>
      <c r="Y1047" s="190"/>
      <c r="Z1047" s="190"/>
      <c r="AA1047" s="190"/>
      <c r="AB1047" s="190"/>
      <c r="AC1047" s="190"/>
      <c r="AD1047" s="190"/>
      <c r="AE1047" s="190"/>
      <c r="AF1047" s="190"/>
      <c r="AG1047" s="190"/>
      <c r="AH1047" s="190"/>
      <c r="AI1047" s="190"/>
      <c r="AJ1047" s="190"/>
      <c r="AK1047" s="619"/>
    </row>
    <row r="1048" spans="1:37">
      <c r="A1048" s="188"/>
      <c r="B1048" s="188"/>
      <c r="C1048" s="188"/>
      <c r="D1048" s="188"/>
      <c r="E1048" s="188"/>
      <c r="F1048" s="188"/>
      <c r="G1048" s="188"/>
      <c r="H1048" s="188"/>
      <c r="I1048" s="188"/>
      <c r="J1048" s="188"/>
      <c r="K1048" s="188"/>
      <c r="L1048" s="188"/>
      <c r="M1048" s="188"/>
      <c r="N1048" s="188"/>
      <c r="O1048" s="188"/>
      <c r="P1048" s="188"/>
      <c r="Q1048" s="188"/>
      <c r="S1048" s="188"/>
      <c r="T1048" s="588"/>
      <c r="U1048" s="188"/>
      <c r="V1048" s="190"/>
      <c r="W1048" s="190"/>
      <c r="X1048" s="190"/>
      <c r="Y1048" s="190"/>
      <c r="Z1048" s="190"/>
      <c r="AA1048" s="190"/>
      <c r="AB1048" s="190"/>
      <c r="AC1048" s="190"/>
      <c r="AD1048" s="190"/>
      <c r="AE1048" s="190"/>
      <c r="AF1048" s="190"/>
      <c r="AG1048" s="190"/>
      <c r="AH1048" s="190"/>
      <c r="AI1048" s="190"/>
      <c r="AJ1048" s="190"/>
      <c r="AK1048" s="619"/>
    </row>
    <row r="1049" spans="1:37">
      <c r="A1049" s="188"/>
      <c r="B1049" s="188"/>
      <c r="C1049" s="188"/>
      <c r="D1049" s="188"/>
      <c r="E1049" s="188"/>
      <c r="F1049" s="188"/>
      <c r="G1049" s="188"/>
      <c r="H1049" s="188"/>
      <c r="I1049" s="188"/>
      <c r="J1049" s="188"/>
      <c r="K1049" s="188"/>
      <c r="L1049" s="188"/>
      <c r="M1049" s="188"/>
      <c r="N1049" s="188"/>
      <c r="O1049" s="188"/>
      <c r="P1049" s="188"/>
      <c r="Q1049" s="188"/>
      <c r="S1049" s="188"/>
      <c r="T1049" s="588"/>
      <c r="U1049" s="188"/>
      <c r="V1049" s="190"/>
      <c r="W1049" s="190"/>
      <c r="X1049" s="190"/>
      <c r="Y1049" s="190"/>
      <c r="Z1049" s="190"/>
      <c r="AA1049" s="190"/>
      <c r="AB1049" s="190"/>
      <c r="AC1049" s="190"/>
      <c r="AD1049" s="190"/>
      <c r="AE1049" s="190"/>
      <c r="AF1049" s="190"/>
      <c r="AG1049" s="190"/>
      <c r="AH1049" s="190"/>
      <c r="AI1049" s="190"/>
      <c r="AJ1049" s="190"/>
      <c r="AK1049" s="619"/>
    </row>
    <row r="1050" spans="1:37">
      <c r="A1050" s="188"/>
      <c r="B1050" s="188"/>
      <c r="C1050" s="188"/>
      <c r="D1050" s="188"/>
      <c r="E1050" s="188"/>
      <c r="F1050" s="188"/>
      <c r="G1050" s="188"/>
      <c r="H1050" s="188"/>
      <c r="I1050" s="188"/>
      <c r="J1050" s="188"/>
      <c r="K1050" s="188"/>
      <c r="L1050" s="188"/>
      <c r="M1050" s="188"/>
      <c r="N1050" s="188"/>
      <c r="O1050" s="188"/>
      <c r="P1050" s="188"/>
      <c r="Q1050" s="188"/>
      <c r="S1050" s="188"/>
      <c r="T1050" s="588"/>
      <c r="U1050" s="188"/>
      <c r="V1050" s="190"/>
      <c r="W1050" s="190"/>
      <c r="X1050" s="190"/>
      <c r="Y1050" s="190"/>
      <c r="Z1050" s="190"/>
      <c r="AA1050" s="190"/>
      <c r="AB1050" s="190"/>
      <c r="AC1050" s="190"/>
      <c r="AD1050" s="190"/>
      <c r="AE1050" s="190"/>
      <c r="AF1050" s="190"/>
      <c r="AG1050" s="190"/>
      <c r="AH1050" s="190"/>
      <c r="AI1050" s="190"/>
      <c r="AJ1050" s="190"/>
      <c r="AK1050" s="619"/>
    </row>
    <row r="1051" spans="1:37">
      <c r="A1051" s="188"/>
      <c r="B1051" s="188"/>
      <c r="C1051" s="188"/>
      <c r="D1051" s="188"/>
      <c r="E1051" s="188"/>
      <c r="F1051" s="188"/>
      <c r="G1051" s="188"/>
      <c r="H1051" s="188"/>
      <c r="I1051" s="188"/>
      <c r="J1051" s="188"/>
      <c r="K1051" s="188"/>
      <c r="L1051" s="188"/>
      <c r="M1051" s="188"/>
      <c r="N1051" s="188"/>
      <c r="O1051" s="188"/>
      <c r="P1051" s="188"/>
      <c r="Q1051" s="188"/>
      <c r="S1051" s="188"/>
      <c r="T1051" s="588"/>
      <c r="U1051" s="188"/>
      <c r="V1051" s="190"/>
      <c r="W1051" s="190"/>
      <c r="X1051" s="190"/>
      <c r="Y1051" s="190"/>
      <c r="Z1051" s="190"/>
      <c r="AA1051" s="190"/>
      <c r="AB1051" s="190"/>
      <c r="AC1051" s="190"/>
      <c r="AD1051" s="190"/>
      <c r="AE1051" s="190"/>
      <c r="AF1051" s="190"/>
      <c r="AG1051" s="190"/>
      <c r="AH1051" s="190"/>
      <c r="AI1051" s="190"/>
      <c r="AJ1051" s="190"/>
      <c r="AK1051" s="619"/>
    </row>
    <row r="1052" spans="1:37">
      <c r="A1052" s="188"/>
      <c r="B1052" s="188"/>
      <c r="C1052" s="188"/>
      <c r="D1052" s="188"/>
      <c r="E1052" s="188"/>
      <c r="F1052" s="188"/>
      <c r="G1052" s="188"/>
      <c r="H1052" s="188"/>
      <c r="I1052" s="188"/>
      <c r="J1052" s="188"/>
      <c r="K1052" s="188"/>
      <c r="L1052" s="188"/>
      <c r="M1052" s="188"/>
      <c r="N1052" s="188"/>
      <c r="O1052" s="188"/>
      <c r="P1052" s="188"/>
      <c r="Q1052" s="188"/>
      <c r="S1052" s="188"/>
      <c r="T1052" s="588"/>
      <c r="U1052" s="188"/>
      <c r="V1052" s="190"/>
      <c r="W1052" s="190"/>
      <c r="X1052" s="190"/>
      <c r="Y1052" s="190"/>
      <c r="Z1052" s="190"/>
      <c r="AA1052" s="190"/>
      <c r="AB1052" s="190"/>
      <c r="AC1052" s="190"/>
      <c r="AD1052" s="190"/>
      <c r="AE1052" s="190"/>
      <c r="AF1052" s="190"/>
      <c r="AG1052" s="190"/>
      <c r="AH1052" s="190"/>
      <c r="AI1052" s="190"/>
      <c r="AJ1052" s="190"/>
      <c r="AK1052" s="619"/>
    </row>
    <row r="1053" spans="1:37">
      <c r="A1053" s="188"/>
      <c r="B1053" s="188"/>
      <c r="C1053" s="188"/>
      <c r="D1053" s="188"/>
      <c r="E1053" s="188"/>
      <c r="F1053" s="188"/>
      <c r="G1053" s="188"/>
      <c r="H1053" s="188"/>
      <c r="I1053" s="188"/>
      <c r="J1053" s="188"/>
      <c r="K1053" s="188"/>
      <c r="L1053" s="188"/>
      <c r="M1053" s="188"/>
      <c r="N1053" s="188"/>
      <c r="O1053" s="188"/>
      <c r="P1053" s="188"/>
      <c r="Q1053" s="188"/>
      <c r="S1053" s="188"/>
      <c r="T1053" s="588"/>
      <c r="U1053" s="188"/>
      <c r="V1053" s="190"/>
      <c r="W1053" s="190"/>
      <c r="X1053" s="190"/>
      <c r="Y1053" s="190"/>
      <c r="Z1053" s="190"/>
      <c r="AA1053" s="190"/>
      <c r="AB1053" s="190"/>
      <c r="AC1053" s="190"/>
      <c r="AD1053" s="190"/>
      <c r="AE1053" s="190"/>
      <c r="AF1053" s="190"/>
      <c r="AG1053" s="190"/>
      <c r="AH1053" s="190"/>
      <c r="AI1053" s="190"/>
      <c r="AJ1053" s="190"/>
      <c r="AK1053" s="619"/>
    </row>
    <row r="1054" spans="1:37">
      <c r="A1054" s="188"/>
      <c r="B1054" s="188"/>
      <c r="C1054" s="188"/>
      <c r="D1054" s="188"/>
      <c r="E1054" s="188"/>
      <c r="F1054" s="188"/>
      <c r="G1054" s="188"/>
      <c r="H1054" s="188"/>
      <c r="I1054" s="188"/>
      <c r="J1054" s="188"/>
      <c r="K1054" s="188"/>
      <c r="L1054" s="188"/>
      <c r="M1054" s="188"/>
      <c r="N1054" s="188"/>
      <c r="O1054" s="188"/>
      <c r="P1054" s="188"/>
      <c r="Q1054" s="188"/>
      <c r="S1054" s="188"/>
      <c r="T1054" s="588"/>
      <c r="U1054" s="188"/>
      <c r="V1054" s="190"/>
      <c r="W1054" s="190"/>
      <c r="X1054" s="190"/>
      <c r="Y1054" s="190"/>
      <c r="Z1054" s="190"/>
      <c r="AA1054" s="190"/>
      <c r="AB1054" s="190"/>
      <c r="AC1054" s="190"/>
      <c r="AD1054" s="190"/>
      <c r="AE1054" s="190"/>
      <c r="AF1054" s="190"/>
      <c r="AG1054" s="190"/>
      <c r="AH1054" s="190"/>
      <c r="AI1054" s="190"/>
      <c r="AJ1054" s="190"/>
      <c r="AK1054" s="619"/>
    </row>
    <row r="1055" spans="1:37">
      <c r="A1055" s="188"/>
      <c r="B1055" s="188"/>
      <c r="C1055" s="188"/>
      <c r="D1055" s="188"/>
      <c r="E1055" s="188"/>
      <c r="F1055" s="188"/>
      <c r="G1055" s="188"/>
      <c r="H1055" s="188"/>
      <c r="I1055" s="188"/>
      <c r="J1055" s="188"/>
      <c r="K1055" s="188"/>
      <c r="L1055" s="188"/>
      <c r="M1055" s="188"/>
      <c r="N1055" s="188"/>
      <c r="O1055" s="188"/>
      <c r="P1055" s="188"/>
      <c r="Q1055" s="188"/>
      <c r="S1055" s="188"/>
      <c r="T1055" s="588"/>
      <c r="U1055" s="188"/>
      <c r="V1055" s="190"/>
      <c r="W1055" s="190"/>
      <c r="X1055" s="190"/>
      <c r="Y1055" s="190"/>
      <c r="Z1055" s="190"/>
      <c r="AA1055" s="190"/>
      <c r="AB1055" s="190"/>
      <c r="AC1055" s="190"/>
      <c r="AD1055" s="190"/>
      <c r="AE1055" s="190"/>
      <c r="AF1055" s="190"/>
      <c r="AG1055" s="190"/>
      <c r="AH1055" s="190"/>
      <c r="AI1055" s="190"/>
      <c r="AJ1055" s="190"/>
      <c r="AK1055" s="619"/>
    </row>
    <row r="1056" spans="1:37">
      <c r="A1056" s="188"/>
      <c r="B1056" s="188"/>
      <c r="C1056" s="188"/>
      <c r="D1056" s="188"/>
      <c r="E1056" s="188"/>
      <c r="F1056" s="188"/>
      <c r="G1056" s="188"/>
      <c r="H1056" s="188"/>
      <c r="I1056" s="188"/>
      <c r="J1056" s="188"/>
      <c r="K1056" s="188"/>
      <c r="L1056" s="188"/>
      <c r="M1056" s="188"/>
      <c r="N1056" s="188"/>
      <c r="O1056" s="188"/>
      <c r="P1056" s="188"/>
      <c r="Q1056" s="188"/>
      <c r="S1056" s="188"/>
      <c r="T1056" s="588"/>
      <c r="U1056" s="188"/>
      <c r="V1056" s="190"/>
      <c r="W1056" s="190"/>
      <c r="X1056" s="190"/>
      <c r="Y1056" s="190"/>
      <c r="Z1056" s="190"/>
      <c r="AA1056" s="190"/>
      <c r="AB1056" s="190"/>
      <c r="AC1056" s="190"/>
      <c r="AD1056" s="190"/>
      <c r="AE1056" s="190"/>
      <c r="AF1056" s="190"/>
      <c r="AG1056" s="190"/>
      <c r="AH1056" s="190"/>
      <c r="AI1056" s="190"/>
      <c r="AJ1056" s="190"/>
      <c r="AK1056" s="619"/>
    </row>
    <row r="1057" spans="1:37">
      <c r="A1057" s="188"/>
      <c r="B1057" s="188"/>
      <c r="C1057" s="188"/>
      <c r="D1057" s="188"/>
      <c r="E1057" s="188"/>
      <c r="F1057" s="188"/>
      <c r="G1057" s="188"/>
      <c r="H1057" s="188"/>
      <c r="I1057" s="188"/>
      <c r="J1057" s="188"/>
      <c r="K1057" s="188"/>
      <c r="L1057" s="188"/>
      <c r="M1057" s="188"/>
      <c r="N1057" s="188"/>
      <c r="O1057" s="188"/>
      <c r="P1057" s="188"/>
      <c r="Q1057" s="188"/>
      <c r="S1057" s="188"/>
      <c r="T1057" s="588"/>
      <c r="U1057" s="188"/>
      <c r="V1057" s="190"/>
      <c r="W1057" s="190"/>
      <c r="X1057" s="190"/>
      <c r="Y1057" s="190"/>
      <c r="Z1057" s="190"/>
      <c r="AA1057" s="190"/>
      <c r="AB1057" s="190"/>
      <c r="AC1057" s="190"/>
      <c r="AD1057" s="190"/>
      <c r="AE1057" s="190"/>
      <c r="AF1057" s="190"/>
      <c r="AG1057" s="190"/>
      <c r="AH1057" s="190"/>
      <c r="AI1057" s="190"/>
      <c r="AJ1057" s="190"/>
      <c r="AK1057" s="619"/>
    </row>
    <row r="1058" spans="1:37">
      <c r="A1058" s="188"/>
      <c r="B1058" s="188"/>
      <c r="C1058" s="188"/>
      <c r="D1058" s="188"/>
      <c r="E1058" s="188"/>
      <c r="F1058" s="188"/>
      <c r="G1058" s="188"/>
      <c r="H1058" s="188"/>
      <c r="I1058" s="188"/>
      <c r="J1058" s="188"/>
      <c r="K1058" s="188"/>
      <c r="L1058" s="188"/>
      <c r="M1058" s="188"/>
      <c r="N1058" s="188"/>
      <c r="O1058" s="188"/>
      <c r="P1058" s="188"/>
      <c r="Q1058" s="188"/>
      <c r="S1058" s="188"/>
      <c r="T1058" s="588"/>
      <c r="U1058" s="188"/>
      <c r="V1058" s="190"/>
      <c r="W1058" s="190"/>
      <c r="X1058" s="190"/>
      <c r="Y1058" s="190"/>
      <c r="Z1058" s="190"/>
      <c r="AA1058" s="190"/>
      <c r="AB1058" s="190"/>
      <c r="AC1058" s="190"/>
      <c r="AD1058" s="190"/>
      <c r="AE1058" s="190"/>
      <c r="AF1058" s="190"/>
      <c r="AG1058" s="190"/>
      <c r="AH1058" s="190"/>
      <c r="AI1058" s="190"/>
      <c r="AJ1058" s="190"/>
      <c r="AK1058" s="619"/>
    </row>
    <row r="1059" spans="1:37">
      <c r="A1059" s="188"/>
      <c r="B1059" s="188"/>
      <c r="C1059" s="188"/>
      <c r="D1059" s="188"/>
      <c r="E1059" s="188"/>
      <c r="F1059" s="188"/>
      <c r="G1059" s="188"/>
      <c r="H1059" s="188"/>
      <c r="I1059" s="188"/>
      <c r="J1059" s="188"/>
      <c r="K1059" s="188"/>
      <c r="L1059" s="188"/>
      <c r="M1059" s="188"/>
      <c r="N1059" s="188"/>
      <c r="O1059" s="188"/>
      <c r="P1059" s="188"/>
      <c r="Q1059" s="188"/>
      <c r="S1059" s="188"/>
      <c r="T1059" s="588"/>
      <c r="U1059" s="188"/>
      <c r="V1059" s="190"/>
      <c r="W1059" s="190"/>
      <c r="X1059" s="190"/>
      <c r="Y1059" s="190"/>
      <c r="Z1059" s="190"/>
      <c r="AA1059" s="190"/>
      <c r="AB1059" s="190"/>
      <c r="AC1059" s="190"/>
      <c r="AD1059" s="190"/>
      <c r="AE1059" s="190"/>
      <c r="AF1059" s="190"/>
      <c r="AG1059" s="190"/>
      <c r="AH1059" s="190"/>
      <c r="AI1059" s="190"/>
      <c r="AJ1059" s="190"/>
      <c r="AK1059" s="619"/>
    </row>
    <row r="1060" spans="1:37">
      <c r="A1060" s="188"/>
      <c r="B1060" s="188"/>
      <c r="C1060" s="188"/>
      <c r="D1060" s="188"/>
      <c r="E1060" s="188"/>
      <c r="F1060" s="188"/>
      <c r="G1060" s="188"/>
      <c r="H1060" s="188"/>
      <c r="I1060" s="188"/>
      <c r="J1060" s="188"/>
      <c r="K1060" s="188"/>
      <c r="L1060" s="188"/>
      <c r="M1060" s="188"/>
      <c r="N1060" s="188"/>
      <c r="O1060" s="188"/>
      <c r="P1060" s="188"/>
      <c r="Q1060" s="188"/>
      <c r="S1060" s="188"/>
      <c r="T1060" s="588"/>
      <c r="U1060" s="188"/>
      <c r="V1060" s="190"/>
      <c r="W1060" s="190"/>
      <c r="X1060" s="190"/>
      <c r="Y1060" s="190"/>
      <c r="Z1060" s="190"/>
      <c r="AA1060" s="190"/>
      <c r="AB1060" s="190"/>
      <c r="AC1060" s="190"/>
      <c r="AD1060" s="190"/>
      <c r="AE1060" s="190"/>
      <c r="AF1060" s="190"/>
      <c r="AG1060" s="190"/>
      <c r="AH1060" s="190"/>
      <c r="AI1060" s="190"/>
      <c r="AJ1060" s="190"/>
      <c r="AK1060" s="619"/>
    </row>
    <row r="1061" spans="1:37">
      <c r="A1061" s="188"/>
      <c r="B1061" s="188"/>
      <c r="C1061" s="188"/>
      <c r="D1061" s="188"/>
      <c r="E1061" s="188"/>
      <c r="F1061" s="188"/>
      <c r="G1061" s="188"/>
      <c r="H1061" s="188"/>
      <c r="I1061" s="188"/>
      <c r="J1061" s="188"/>
      <c r="K1061" s="188"/>
      <c r="L1061" s="188"/>
      <c r="M1061" s="188"/>
      <c r="N1061" s="188"/>
      <c r="O1061" s="188"/>
      <c r="P1061" s="188"/>
      <c r="Q1061" s="188"/>
      <c r="S1061" s="188"/>
      <c r="T1061" s="588"/>
      <c r="U1061" s="188"/>
      <c r="V1061" s="190"/>
      <c r="W1061" s="190"/>
      <c r="X1061" s="190"/>
      <c r="Y1061" s="190"/>
      <c r="Z1061" s="190"/>
      <c r="AA1061" s="190"/>
      <c r="AB1061" s="190"/>
      <c r="AC1061" s="190"/>
      <c r="AD1061" s="190"/>
      <c r="AE1061" s="190"/>
      <c r="AF1061" s="190"/>
      <c r="AG1061" s="190"/>
      <c r="AH1061" s="190"/>
      <c r="AI1061" s="190"/>
      <c r="AJ1061" s="190"/>
      <c r="AK1061" s="619"/>
    </row>
    <row r="1062" spans="1:37">
      <c r="A1062" s="188"/>
      <c r="B1062" s="188"/>
      <c r="C1062" s="188"/>
      <c r="D1062" s="188"/>
      <c r="E1062" s="188"/>
      <c r="F1062" s="188"/>
      <c r="G1062" s="188"/>
      <c r="H1062" s="188"/>
      <c r="I1062" s="188"/>
      <c r="J1062" s="188"/>
      <c r="K1062" s="188"/>
      <c r="L1062" s="188"/>
      <c r="M1062" s="188"/>
      <c r="N1062" s="188"/>
      <c r="O1062" s="188"/>
      <c r="P1062" s="188"/>
      <c r="Q1062" s="188"/>
      <c r="S1062" s="188"/>
      <c r="T1062" s="588"/>
      <c r="U1062" s="188"/>
      <c r="V1062" s="190"/>
      <c r="W1062" s="190"/>
      <c r="X1062" s="190"/>
      <c r="Y1062" s="190"/>
      <c r="Z1062" s="190"/>
      <c r="AA1062" s="190"/>
      <c r="AB1062" s="190"/>
      <c r="AC1062" s="190"/>
      <c r="AD1062" s="190"/>
      <c r="AE1062" s="190"/>
      <c r="AF1062" s="190"/>
      <c r="AG1062" s="190"/>
      <c r="AH1062" s="190"/>
      <c r="AI1062" s="190"/>
      <c r="AJ1062" s="190"/>
      <c r="AK1062" s="619"/>
    </row>
    <row r="1063" spans="1:37">
      <c r="A1063" s="188"/>
      <c r="B1063" s="188"/>
      <c r="C1063" s="188"/>
      <c r="D1063" s="188"/>
      <c r="E1063" s="188"/>
      <c r="F1063" s="188"/>
      <c r="G1063" s="188"/>
      <c r="H1063" s="188"/>
      <c r="I1063" s="188"/>
      <c r="J1063" s="188"/>
      <c r="K1063" s="188"/>
      <c r="L1063" s="188"/>
      <c r="M1063" s="188"/>
      <c r="N1063" s="188"/>
      <c r="O1063" s="188"/>
      <c r="P1063" s="188"/>
      <c r="Q1063" s="188"/>
      <c r="S1063" s="188"/>
      <c r="T1063" s="588"/>
      <c r="U1063" s="188"/>
      <c r="V1063" s="190"/>
      <c r="W1063" s="190"/>
      <c r="X1063" s="190"/>
      <c r="Y1063" s="190"/>
      <c r="Z1063" s="190"/>
      <c r="AA1063" s="190"/>
      <c r="AB1063" s="190"/>
      <c r="AC1063" s="190"/>
      <c r="AD1063" s="190"/>
      <c r="AE1063" s="190"/>
      <c r="AF1063" s="190"/>
      <c r="AG1063" s="190"/>
      <c r="AH1063" s="190"/>
      <c r="AI1063" s="190"/>
      <c r="AJ1063" s="190"/>
      <c r="AK1063" s="619"/>
    </row>
    <row r="1064" spans="1:37">
      <c r="A1064" s="188"/>
      <c r="B1064" s="188"/>
      <c r="C1064" s="188"/>
      <c r="D1064" s="188"/>
      <c r="E1064" s="188"/>
      <c r="F1064" s="188"/>
      <c r="G1064" s="188"/>
      <c r="H1064" s="188"/>
      <c r="I1064" s="188"/>
      <c r="J1064" s="188"/>
      <c r="K1064" s="188"/>
      <c r="L1064" s="188"/>
      <c r="M1064" s="188"/>
      <c r="N1064" s="188"/>
      <c r="O1064" s="188"/>
      <c r="P1064" s="188"/>
      <c r="Q1064" s="188"/>
      <c r="S1064" s="188"/>
      <c r="T1064" s="588"/>
      <c r="U1064" s="188"/>
      <c r="V1064" s="190"/>
      <c r="W1064" s="190"/>
      <c r="X1064" s="190"/>
      <c r="Y1064" s="190"/>
      <c r="Z1064" s="190"/>
      <c r="AA1064" s="190"/>
      <c r="AB1064" s="190"/>
      <c r="AC1064" s="190"/>
      <c r="AD1064" s="190"/>
      <c r="AE1064" s="190"/>
      <c r="AF1064" s="190"/>
      <c r="AG1064" s="190"/>
      <c r="AH1064" s="190"/>
      <c r="AI1064" s="190"/>
      <c r="AJ1064" s="190"/>
      <c r="AK1064" s="619"/>
    </row>
    <row r="1065" spans="1:37">
      <c r="A1065" s="188"/>
      <c r="B1065" s="188"/>
      <c r="C1065" s="188"/>
      <c r="D1065" s="188"/>
      <c r="E1065" s="188"/>
      <c r="F1065" s="188"/>
      <c r="G1065" s="188"/>
      <c r="H1065" s="188"/>
      <c r="I1065" s="188"/>
      <c r="J1065" s="188"/>
      <c r="K1065" s="188"/>
      <c r="L1065" s="188"/>
      <c r="M1065" s="188"/>
      <c r="N1065" s="188"/>
      <c r="O1065" s="188"/>
      <c r="P1065" s="188"/>
      <c r="Q1065" s="188"/>
      <c r="S1065" s="188"/>
      <c r="T1065" s="588"/>
      <c r="U1065" s="188"/>
      <c r="V1065" s="190"/>
      <c r="W1065" s="190"/>
      <c r="X1065" s="190"/>
      <c r="Y1065" s="190"/>
      <c r="Z1065" s="190"/>
      <c r="AA1065" s="190"/>
      <c r="AB1065" s="190"/>
      <c r="AC1065" s="190"/>
      <c r="AD1065" s="190"/>
      <c r="AE1065" s="190"/>
      <c r="AF1065" s="190"/>
      <c r="AG1065" s="190"/>
      <c r="AH1065" s="190"/>
      <c r="AI1065" s="190"/>
      <c r="AJ1065" s="190"/>
      <c r="AK1065" s="619"/>
    </row>
    <row r="1066" spans="1:37">
      <c r="A1066" s="188"/>
      <c r="B1066" s="188"/>
      <c r="C1066" s="188"/>
      <c r="D1066" s="188"/>
      <c r="E1066" s="188"/>
      <c r="F1066" s="188"/>
      <c r="G1066" s="188"/>
      <c r="H1066" s="188"/>
      <c r="I1066" s="188"/>
      <c r="J1066" s="188"/>
      <c r="K1066" s="188"/>
      <c r="L1066" s="188"/>
      <c r="M1066" s="188"/>
      <c r="N1066" s="188"/>
      <c r="O1066" s="188"/>
      <c r="P1066" s="188"/>
      <c r="Q1066" s="188"/>
      <c r="S1066" s="188"/>
      <c r="T1066" s="588"/>
      <c r="U1066" s="188"/>
      <c r="V1066" s="190"/>
      <c r="W1066" s="190"/>
      <c r="X1066" s="190"/>
      <c r="Y1066" s="190"/>
      <c r="Z1066" s="190"/>
      <c r="AA1066" s="190"/>
      <c r="AB1066" s="190"/>
      <c r="AC1066" s="190"/>
      <c r="AD1066" s="190"/>
      <c r="AE1066" s="190"/>
      <c r="AF1066" s="190"/>
      <c r="AG1066" s="190"/>
      <c r="AH1066" s="190"/>
      <c r="AI1066" s="190"/>
      <c r="AJ1066" s="190"/>
      <c r="AK1066" s="619"/>
    </row>
    <row r="1067" spans="1:37">
      <c r="A1067" s="188"/>
      <c r="B1067" s="188"/>
      <c r="C1067" s="188"/>
      <c r="D1067" s="188"/>
      <c r="E1067" s="188"/>
      <c r="F1067" s="188"/>
      <c r="G1067" s="188"/>
      <c r="H1067" s="188"/>
      <c r="I1067" s="188"/>
      <c r="J1067" s="188"/>
      <c r="K1067" s="188"/>
      <c r="L1067" s="188"/>
      <c r="M1067" s="188"/>
      <c r="N1067" s="188"/>
      <c r="O1067" s="188"/>
      <c r="P1067" s="188"/>
      <c r="Q1067" s="188"/>
      <c r="S1067" s="188"/>
      <c r="T1067" s="588"/>
      <c r="U1067" s="188"/>
      <c r="V1067" s="190"/>
      <c r="W1067" s="190"/>
      <c r="X1067" s="190"/>
      <c r="Y1067" s="190"/>
      <c r="Z1067" s="190"/>
      <c r="AA1067" s="190"/>
      <c r="AB1067" s="190"/>
      <c r="AC1067" s="190"/>
      <c r="AD1067" s="190"/>
      <c r="AE1067" s="190"/>
      <c r="AF1067" s="190"/>
      <c r="AG1067" s="190"/>
      <c r="AH1067" s="190"/>
      <c r="AI1067" s="190"/>
      <c r="AJ1067" s="190"/>
      <c r="AK1067" s="619"/>
    </row>
    <row r="1068" spans="1:37">
      <c r="A1068" s="188"/>
      <c r="B1068" s="188"/>
      <c r="C1068" s="188"/>
      <c r="D1068" s="188"/>
      <c r="E1068" s="188"/>
      <c r="F1068" s="188"/>
      <c r="G1068" s="188"/>
      <c r="H1068" s="188"/>
      <c r="I1068" s="188"/>
      <c r="J1068" s="188"/>
      <c r="K1068" s="188"/>
      <c r="L1068" s="188"/>
      <c r="M1068" s="188"/>
      <c r="N1068" s="188"/>
      <c r="O1068" s="188"/>
      <c r="P1068" s="188"/>
      <c r="Q1068" s="188"/>
      <c r="S1068" s="188"/>
      <c r="T1068" s="588"/>
      <c r="U1068" s="188"/>
      <c r="V1068" s="190"/>
      <c r="W1068" s="190"/>
      <c r="X1068" s="190"/>
      <c r="Y1068" s="190"/>
      <c r="Z1068" s="190"/>
      <c r="AA1068" s="190"/>
      <c r="AB1068" s="190"/>
      <c r="AC1068" s="190"/>
      <c r="AD1068" s="190"/>
      <c r="AE1068" s="190"/>
      <c r="AF1068" s="190"/>
      <c r="AG1068" s="190"/>
      <c r="AH1068" s="190"/>
      <c r="AI1068" s="190"/>
      <c r="AJ1068" s="190"/>
      <c r="AK1068" s="619"/>
    </row>
    <row r="1069" spans="1:37">
      <c r="A1069" s="188"/>
      <c r="B1069" s="188"/>
      <c r="C1069" s="188"/>
      <c r="D1069" s="188"/>
      <c r="E1069" s="188"/>
      <c r="F1069" s="188"/>
      <c r="G1069" s="188"/>
      <c r="H1069" s="188"/>
      <c r="I1069" s="188"/>
      <c r="J1069" s="188"/>
      <c r="K1069" s="188"/>
      <c r="L1069" s="188"/>
      <c r="M1069" s="188"/>
      <c r="N1069" s="188"/>
      <c r="O1069" s="188"/>
      <c r="P1069" s="188"/>
      <c r="Q1069" s="188"/>
      <c r="S1069" s="188"/>
      <c r="T1069" s="588"/>
      <c r="U1069" s="188"/>
      <c r="V1069" s="190"/>
      <c r="W1069" s="190"/>
      <c r="X1069" s="190"/>
      <c r="Y1069" s="190"/>
      <c r="Z1069" s="190"/>
      <c r="AA1069" s="190"/>
      <c r="AB1069" s="190"/>
      <c r="AC1069" s="190"/>
      <c r="AD1069" s="190"/>
      <c r="AE1069" s="190"/>
      <c r="AF1069" s="190"/>
      <c r="AG1069" s="190"/>
      <c r="AH1069" s="190"/>
      <c r="AI1069" s="190"/>
      <c r="AJ1069" s="190"/>
      <c r="AK1069" s="619"/>
    </row>
    <row r="1070" spans="1:37">
      <c r="A1070" s="188"/>
      <c r="B1070" s="188"/>
      <c r="C1070" s="188"/>
      <c r="D1070" s="188"/>
      <c r="E1070" s="188"/>
      <c r="F1070" s="188"/>
      <c r="G1070" s="188"/>
      <c r="H1070" s="188"/>
      <c r="I1070" s="188"/>
      <c r="J1070" s="188"/>
      <c r="K1070" s="188"/>
      <c r="L1070" s="188"/>
      <c r="M1070" s="188"/>
      <c r="N1070" s="188"/>
      <c r="O1070" s="188"/>
      <c r="P1070" s="188"/>
      <c r="Q1070" s="188"/>
      <c r="S1070" s="188"/>
      <c r="T1070" s="588"/>
      <c r="U1070" s="188"/>
      <c r="V1070" s="190"/>
      <c r="W1070" s="190"/>
      <c r="X1070" s="190"/>
      <c r="Y1070" s="190"/>
      <c r="Z1070" s="190"/>
      <c r="AA1070" s="190"/>
      <c r="AB1070" s="190"/>
      <c r="AC1070" s="190"/>
      <c r="AD1070" s="190"/>
      <c r="AE1070" s="190"/>
      <c r="AF1070" s="190"/>
      <c r="AG1070" s="190"/>
      <c r="AH1070" s="190"/>
      <c r="AI1070" s="190"/>
      <c r="AJ1070" s="190"/>
      <c r="AK1070" s="619"/>
    </row>
    <row r="1071" spans="1:37">
      <c r="A1071" s="188"/>
      <c r="B1071" s="188"/>
      <c r="C1071" s="188"/>
      <c r="D1071" s="188"/>
      <c r="E1071" s="188"/>
      <c r="F1071" s="188"/>
      <c r="G1071" s="188"/>
      <c r="H1071" s="188"/>
      <c r="I1071" s="188"/>
      <c r="J1071" s="188"/>
      <c r="K1071" s="188"/>
      <c r="L1071" s="188"/>
      <c r="M1071" s="188"/>
      <c r="N1071" s="188"/>
      <c r="O1071" s="188"/>
      <c r="P1071" s="188"/>
      <c r="Q1071" s="188"/>
      <c r="S1071" s="188"/>
      <c r="T1071" s="588"/>
      <c r="U1071" s="188"/>
      <c r="V1071" s="190"/>
      <c r="W1071" s="190"/>
      <c r="X1071" s="190"/>
      <c r="Y1071" s="190"/>
      <c r="Z1071" s="190"/>
      <c r="AA1071" s="190"/>
      <c r="AB1071" s="190"/>
      <c r="AC1071" s="190"/>
      <c r="AD1071" s="190"/>
      <c r="AE1071" s="190"/>
      <c r="AF1071" s="190"/>
      <c r="AG1071" s="190"/>
      <c r="AH1071" s="190"/>
      <c r="AI1071" s="190"/>
      <c r="AJ1071" s="190"/>
      <c r="AK1071" s="619"/>
    </row>
    <row r="1072" spans="1:37">
      <c r="A1072" s="188"/>
      <c r="B1072" s="188"/>
      <c r="C1072" s="188"/>
      <c r="D1072" s="188"/>
      <c r="E1072" s="188"/>
      <c r="F1072" s="188"/>
      <c r="G1072" s="188"/>
      <c r="H1072" s="188"/>
      <c r="I1072" s="188"/>
      <c r="J1072" s="188"/>
      <c r="K1072" s="188"/>
      <c r="L1072" s="188"/>
      <c r="M1072" s="188"/>
      <c r="N1072" s="188"/>
      <c r="O1072" s="188"/>
      <c r="P1072" s="188"/>
      <c r="Q1072" s="188"/>
      <c r="S1072" s="188"/>
      <c r="T1072" s="588"/>
      <c r="U1072" s="188"/>
      <c r="V1072" s="190"/>
      <c r="W1072" s="190"/>
      <c r="X1072" s="190"/>
      <c r="Y1072" s="190"/>
      <c r="Z1072" s="190"/>
      <c r="AA1072" s="190"/>
      <c r="AB1072" s="190"/>
      <c r="AC1072" s="190"/>
      <c r="AD1072" s="190"/>
      <c r="AE1072" s="190"/>
      <c r="AF1072" s="190"/>
      <c r="AG1072" s="190"/>
      <c r="AH1072" s="190"/>
      <c r="AI1072" s="190"/>
      <c r="AJ1072" s="190"/>
      <c r="AK1072" s="619"/>
    </row>
    <row r="1073" spans="1:37">
      <c r="A1073" s="188"/>
      <c r="B1073" s="188"/>
      <c r="C1073" s="188"/>
      <c r="D1073" s="188"/>
      <c r="E1073" s="188"/>
      <c r="F1073" s="188"/>
      <c r="G1073" s="188"/>
      <c r="H1073" s="188"/>
      <c r="I1073" s="188"/>
      <c r="J1073" s="188"/>
      <c r="K1073" s="188"/>
      <c r="L1073" s="188"/>
      <c r="M1073" s="188"/>
      <c r="N1073" s="188"/>
      <c r="O1073" s="188"/>
      <c r="P1073" s="188"/>
      <c r="Q1073" s="188"/>
      <c r="S1073" s="188"/>
      <c r="T1073" s="588"/>
      <c r="U1073" s="188"/>
      <c r="V1073" s="190"/>
      <c r="W1073" s="190"/>
      <c r="X1073" s="190"/>
      <c r="Y1073" s="190"/>
      <c r="Z1073" s="190"/>
      <c r="AA1073" s="190"/>
      <c r="AB1073" s="190"/>
      <c r="AC1073" s="190"/>
      <c r="AD1073" s="190"/>
      <c r="AE1073" s="190"/>
      <c r="AF1073" s="190"/>
      <c r="AG1073" s="190"/>
      <c r="AH1073" s="190"/>
      <c r="AI1073" s="190"/>
      <c r="AJ1073" s="190"/>
      <c r="AK1073" s="619"/>
    </row>
    <row r="1074" spans="1:37">
      <c r="A1074" s="188"/>
      <c r="B1074" s="188"/>
      <c r="C1074" s="188"/>
      <c r="D1074" s="188"/>
      <c r="E1074" s="188"/>
      <c r="F1074" s="188"/>
      <c r="G1074" s="188"/>
      <c r="H1074" s="188"/>
      <c r="I1074" s="188"/>
      <c r="J1074" s="188"/>
      <c r="K1074" s="188"/>
      <c r="L1074" s="188"/>
      <c r="M1074" s="188"/>
      <c r="N1074" s="188"/>
      <c r="O1074" s="188"/>
      <c r="P1074" s="188"/>
      <c r="Q1074" s="188"/>
      <c r="S1074" s="188"/>
      <c r="T1074" s="588"/>
      <c r="U1074" s="188"/>
      <c r="V1074" s="190"/>
      <c r="W1074" s="190"/>
      <c r="X1074" s="190"/>
      <c r="Y1074" s="190"/>
      <c r="Z1074" s="190"/>
      <c r="AA1074" s="190"/>
      <c r="AB1074" s="190"/>
      <c r="AC1074" s="190"/>
      <c r="AD1074" s="190"/>
      <c r="AE1074" s="190"/>
      <c r="AF1074" s="190"/>
      <c r="AG1074" s="190"/>
      <c r="AH1074" s="190"/>
      <c r="AI1074" s="190"/>
      <c r="AJ1074" s="190"/>
      <c r="AK1074" s="619"/>
    </row>
    <row r="1075" spans="1:37">
      <c r="A1075" s="188"/>
      <c r="B1075" s="188"/>
      <c r="C1075" s="188"/>
      <c r="D1075" s="188"/>
      <c r="E1075" s="188"/>
      <c r="F1075" s="188"/>
      <c r="G1075" s="188"/>
      <c r="H1075" s="188"/>
      <c r="I1075" s="188"/>
      <c r="J1075" s="188"/>
      <c r="K1075" s="188"/>
      <c r="L1075" s="188"/>
      <c r="M1075" s="188"/>
      <c r="N1075" s="188"/>
      <c r="O1075" s="188"/>
      <c r="P1075" s="188"/>
      <c r="Q1075" s="188"/>
      <c r="S1075" s="188"/>
      <c r="T1075" s="588"/>
      <c r="U1075" s="188"/>
      <c r="V1075" s="190"/>
      <c r="W1075" s="190"/>
      <c r="X1075" s="190"/>
      <c r="Y1075" s="190"/>
      <c r="Z1075" s="190"/>
      <c r="AA1075" s="190"/>
      <c r="AB1075" s="190"/>
      <c r="AC1075" s="190"/>
      <c r="AD1075" s="190"/>
      <c r="AE1075" s="190"/>
      <c r="AF1075" s="190"/>
      <c r="AG1075" s="190"/>
      <c r="AH1075" s="190"/>
      <c r="AI1075" s="190"/>
      <c r="AJ1075" s="190"/>
      <c r="AK1075" s="619"/>
    </row>
    <row r="1076" spans="1:37">
      <c r="A1076" s="188"/>
      <c r="B1076" s="188"/>
      <c r="C1076" s="188"/>
      <c r="D1076" s="188"/>
      <c r="E1076" s="188"/>
      <c r="F1076" s="188"/>
      <c r="G1076" s="188"/>
      <c r="H1076" s="188"/>
      <c r="I1076" s="188"/>
      <c r="J1076" s="188"/>
      <c r="K1076" s="188"/>
      <c r="L1076" s="188"/>
      <c r="M1076" s="188"/>
      <c r="N1076" s="188"/>
      <c r="O1076" s="188"/>
      <c r="P1076" s="188"/>
      <c r="Q1076" s="188"/>
      <c r="S1076" s="188"/>
      <c r="T1076" s="588"/>
      <c r="U1076" s="188"/>
      <c r="V1076" s="190"/>
      <c r="W1076" s="190"/>
      <c r="X1076" s="190"/>
      <c r="Y1076" s="190"/>
      <c r="Z1076" s="190"/>
      <c r="AA1076" s="190"/>
      <c r="AB1076" s="190"/>
      <c r="AC1076" s="190"/>
      <c r="AD1076" s="190"/>
      <c r="AE1076" s="190"/>
      <c r="AF1076" s="190"/>
      <c r="AG1076" s="190"/>
      <c r="AH1076" s="190"/>
      <c r="AI1076" s="190"/>
      <c r="AJ1076" s="190"/>
      <c r="AK1076" s="619"/>
    </row>
    <row r="1077" spans="1:37">
      <c r="A1077" s="188"/>
      <c r="B1077" s="188"/>
      <c r="C1077" s="188"/>
      <c r="D1077" s="188"/>
      <c r="E1077" s="188"/>
      <c r="F1077" s="188"/>
      <c r="G1077" s="188"/>
      <c r="H1077" s="188"/>
      <c r="I1077" s="188"/>
      <c r="J1077" s="188"/>
      <c r="K1077" s="188"/>
      <c r="L1077" s="188"/>
      <c r="M1077" s="188"/>
      <c r="N1077" s="188"/>
      <c r="O1077" s="188"/>
      <c r="P1077" s="188"/>
      <c r="Q1077" s="188"/>
      <c r="S1077" s="188"/>
      <c r="T1077" s="588"/>
      <c r="U1077" s="188"/>
      <c r="V1077" s="190"/>
      <c r="W1077" s="190"/>
      <c r="X1077" s="190"/>
      <c r="Y1077" s="190"/>
      <c r="Z1077" s="190"/>
      <c r="AA1077" s="190"/>
      <c r="AB1077" s="190"/>
      <c r="AC1077" s="190"/>
      <c r="AD1077" s="190"/>
      <c r="AE1077" s="190"/>
      <c r="AF1077" s="190"/>
      <c r="AG1077" s="190"/>
      <c r="AH1077" s="190"/>
      <c r="AI1077" s="190"/>
      <c r="AJ1077" s="190"/>
      <c r="AK1077" s="619"/>
    </row>
    <row r="1078" spans="1:37">
      <c r="A1078" s="188"/>
      <c r="B1078" s="188"/>
      <c r="C1078" s="188"/>
      <c r="D1078" s="188"/>
      <c r="E1078" s="188"/>
      <c r="F1078" s="188"/>
      <c r="G1078" s="188"/>
      <c r="H1078" s="188"/>
      <c r="I1078" s="188"/>
      <c r="J1078" s="188"/>
      <c r="K1078" s="188"/>
      <c r="L1078" s="188"/>
      <c r="M1078" s="188"/>
      <c r="N1078" s="188"/>
      <c r="O1078" s="188"/>
      <c r="P1078" s="188"/>
      <c r="Q1078" s="188"/>
      <c r="S1078" s="188"/>
      <c r="T1078" s="588"/>
      <c r="U1078" s="188"/>
      <c r="V1078" s="190"/>
      <c r="W1078" s="190"/>
      <c r="X1078" s="190"/>
      <c r="Y1078" s="190"/>
      <c r="Z1078" s="190"/>
      <c r="AA1078" s="190"/>
      <c r="AB1078" s="190"/>
      <c r="AC1078" s="190"/>
      <c r="AD1078" s="190"/>
      <c r="AE1078" s="190"/>
      <c r="AF1078" s="190"/>
      <c r="AG1078" s="190"/>
      <c r="AH1078" s="190"/>
      <c r="AI1078" s="190"/>
      <c r="AJ1078" s="190"/>
      <c r="AK1078" s="619"/>
    </row>
    <row r="1079" spans="1:37">
      <c r="A1079" s="188"/>
      <c r="B1079" s="188"/>
      <c r="C1079" s="188"/>
      <c r="D1079" s="188"/>
      <c r="E1079" s="188"/>
      <c r="F1079" s="188"/>
      <c r="G1079" s="188"/>
      <c r="H1079" s="188"/>
      <c r="I1079" s="188"/>
      <c r="J1079" s="188"/>
      <c r="K1079" s="188"/>
      <c r="L1079" s="188"/>
      <c r="M1079" s="188"/>
      <c r="N1079" s="188"/>
      <c r="O1079" s="188"/>
      <c r="P1079" s="188"/>
      <c r="Q1079" s="188"/>
      <c r="S1079" s="188"/>
      <c r="T1079" s="588"/>
      <c r="U1079" s="188"/>
      <c r="V1079" s="190"/>
      <c r="W1079" s="190"/>
      <c r="X1079" s="190"/>
      <c r="Y1079" s="190"/>
      <c r="Z1079" s="190"/>
      <c r="AA1079" s="190"/>
      <c r="AB1079" s="190"/>
      <c r="AC1079" s="190"/>
      <c r="AD1079" s="190"/>
      <c r="AE1079" s="190"/>
      <c r="AF1079" s="190"/>
      <c r="AG1079" s="190"/>
      <c r="AH1079" s="190"/>
      <c r="AI1079" s="190"/>
      <c r="AJ1079" s="190"/>
      <c r="AK1079" s="619"/>
    </row>
    <row r="1080" spans="1:37">
      <c r="A1080" s="188"/>
      <c r="B1080" s="188"/>
      <c r="C1080" s="188"/>
      <c r="D1080" s="188"/>
      <c r="E1080" s="188"/>
      <c r="F1080" s="188"/>
      <c r="G1080" s="188"/>
      <c r="H1080" s="188"/>
      <c r="I1080" s="188"/>
      <c r="J1080" s="188"/>
      <c r="K1080" s="188"/>
      <c r="L1080" s="188"/>
      <c r="M1080" s="188"/>
      <c r="N1080" s="188"/>
      <c r="O1080" s="188"/>
      <c r="P1080" s="188"/>
      <c r="Q1080" s="188"/>
      <c r="S1080" s="188"/>
      <c r="T1080" s="588"/>
      <c r="U1080" s="188"/>
      <c r="V1080" s="190"/>
      <c r="W1080" s="190"/>
      <c r="X1080" s="190"/>
      <c r="Y1080" s="190"/>
      <c r="Z1080" s="190"/>
      <c r="AA1080" s="190"/>
      <c r="AB1080" s="190"/>
      <c r="AC1080" s="190"/>
      <c r="AD1080" s="190"/>
      <c r="AE1080" s="190"/>
      <c r="AF1080" s="190"/>
      <c r="AG1080" s="190"/>
      <c r="AH1080" s="190"/>
      <c r="AI1080" s="190"/>
      <c r="AJ1080" s="190"/>
      <c r="AK1080" s="619"/>
    </row>
    <row r="1081" spans="1:37">
      <c r="T1081" s="588"/>
      <c r="V1081" s="1"/>
      <c r="W1081" s="1"/>
      <c r="X1081" s="1"/>
      <c r="Y1081" s="1"/>
      <c r="Z1081" s="1"/>
      <c r="AA1081" s="1"/>
      <c r="AB1081" s="1"/>
      <c r="AC1081" s="1"/>
      <c r="AD1081" s="1"/>
      <c r="AE1081" s="1"/>
      <c r="AF1081" s="1"/>
      <c r="AG1081" s="1"/>
      <c r="AH1081" s="1"/>
      <c r="AI1081" s="1"/>
      <c r="AJ1081" s="1"/>
      <c r="AK1081" s="620"/>
    </row>
    <row r="1082" spans="1:37">
      <c r="T1082" s="588"/>
      <c r="V1082" s="1"/>
      <c r="W1082" s="1"/>
      <c r="X1082" s="1"/>
      <c r="Y1082" s="1"/>
      <c r="Z1082" s="1"/>
      <c r="AA1082" s="1"/>
      <c r="AB1082" s="1"/>
      <c r="AC1082" s="1"/>
      <c r="AD1082" s="1"/>
      <c r="AE1082" s="1"/>
      <c r="AF1082" s="1"/>
      <c r="AG1082" s="1"/>
      <c r="AH1082" s="1"/>
      <c r="AI1082" s="1"/>
      <c r="AJ1082" s="1"/>
      <c r="AK1082" s="620"/>
    </row>
    <row r="1083" spans="1:37">
      <c r="T1083" s="588"/>
      <c r="V1083" s="1"/>
      <c r="W1083" s="1"/>
      <c r="X1083" s="1"/>
      <c r="Y1083" s="1"/>
      <c r="Z1083" s="1"/>
      <c r="AA1083" s="1"/>
      <c r="AB1083" s="1"/>
      <c r="AC1083" s="1"/>
      <c r="AD1083" s="1"/>
      <c r="AE1083" s="1"/>
      <c r="AF1083" s="1"/>
      <c r="AG1083" s="1"/>
      <c r="AH1083" s="1"/>
      <c r="AI1083" s="1"/>
      <c r="AJ1083" s="1"/>
      <c r="AK1083" s="620"/>
    </row>
    <row r="1084" spans="1:37">
      <c r="T1084" s="588"/>
      <c r="V1084" s="1"/>
      <c r="W1084" s="1"/>
      <c r="X1084" s="1"/>
      <c r="Y1084" s="1"/>
      <c r="Z1084" s="1"/>
      <c r="AA1084" s="1"/>
      <c r="AB1084" s="1"/>
      <c r="AC1084" s="1"/>
      <c r="AD1084" s="1"/>
      <c r="AE1084" s="1"/>
      <c r="AF1084" s="1"/>
      <c r="AG1084" s="1"/>
      <c r="AH1084" s="1"/>
      <c r="AI1084" s="1"/>
      <c r="AJ1084" s="1"/>
      <c r="AK1084" s="620"/>
    </row>
    <row r="1085" spans="1:37">
      <c r="T1085" s="588"/>
      <c r="V1085" s="1"/>
      <c r="W1085" s="1"/>
      <c r="X1085" s="1"/>
      <c r="Y1085" s="1"/>
      <c r="Z1085" s="1"/>
      <c r="AA1085" s="1"/>
      <c r="AB1085" s="1"/>
      <c r="AC1085" s="1"/>
      <c r="AD1085" s="1"/>
      <c r="AE1085" s="1"/>
      <c r="AF1085" s="1"/>
      <c r="AG1085" s="1"/>
      <c r="AH1085" s="1"/>
      <c r="AI1085" s="1"/>
      <c r="AJ1085" s="1"/>
      <c r="AK1085" s="620"/>
    </row>
    <row r="1086" spans="1:37">
      <c r="T1086" s="588"/>
      <c r="V1086" s="1"/>
      <c r="W1086" s="1"/>
      <c r="X1086" s="1"/>
      <c r="Y1086" s="1"/>
      <c r="Z1086" s="1"/>
      <c r="AA1086" s="1"/>
      <c r="AB1086" s="1"/>
      <c r="AC1086" s="1"/>
      <c r="AD1086" s="1"/>
      <c r="AE1086" s="1"/>
      <c r="AF1086" s="1"/>
      <c r="AG1086" s="1"/>
      <c r="AH1086" s="1"/>
      <c r="AI1086" s="1"/>
      <c r="AJ1086" s="1"/>
      <c r="AK1086" s="620"/>
    </row>
    <row r="1087" spans="1:37">
      <c r="T1087" s="588"/>
      <c r="V1087" s="1"/>
      <c r="W1087" s="1"/>
      <c r="X1087" s="1"/>
      <c r="Y1087" s="1"/>
      <c r="Z1087" s="1"/>
      <c r="AA1087" s="1"/>
      <c r="AB1087" s="1"/>
      <c r="AC1087" s="1"/>
      <c r="AD1087" s="1"/>
      <c r="AE1087" s="1"/>
      <c r="AF1087" s="1"/>
      <c r="AG1087" s="1"/>
      <c r="AH1087" s="1"/>
      <c r="AI1087" s="1"/>
      <c r="AJ1087" s="1"/>
      <c r="AK1087" s="620"/>
    </row>
    <row r="1088" spans="1:37">
      <c r="T1088" s="588"/>
      <c r="V1088" s="1"/>
      <c r="W1088" s="1"/>
      <c r="X1088" s="1"/>
      <c r="Y1088" s="1"/>
      <c r="Z1088" s="1"/>
      <c r="AA1088" s="1"/>
      <c r="AB1088" s="1"/>
      <c r="AC1088" s="1"/>
      <c r="AD1088" s="1"/>
      <c r="AE1088" s="1"/>
      <c r="AF1088" s="1"/>
      <c r="AG1088" s="1"/>
      <c r="AH1088" s="1"/>
      <c r="AI1088" s="1"/>
      <c r="AJ1088" s="1"/>
      <c r="AK1088" s="620"/>
    </row>
    <row r="1089" spans="20:37">
      <c r="T1089" s="588"/>
      <c r="V1089" s="1"/>
      <c r="W1089" s="1"/>
      <c r="X1089" s="1"/>
      <c r="Y1089" s="1"/>
      <c r="Z1089" s="1"/>
      <c r="AA1089" s="1"/>
      <c r="AB1089" s="1"/>
      <c r="AC1089" s="1"/>
      <c r="AD1089" s="1"/>
      <c r="AE1089" s="1"/>
      <c r="AF1089" s="1"/>
      <c r="AG1089" s="1"/>
      <c r="AH1089" s="1"/>
      <c r="AI1089" s="1"/>
      <c r="AJ1089" s="1"/>
      <c r="AK1089" s="620"/>
    </row>
    <row r="1090" spans="20:37">
      <c r="T1090" s="588"/>
      <c r="V1090" s="1"/>
      <c r="W1090" s="1"/>
      <c r="X1090" s="1"/>
      <c r="Y1090" s="1"/>
      <c r="Z1090" s="1"/>
      <c r="AA1090" s="1"/>
      <c r="AB1090" s="1"/>
      <c r="AC1090" s="1"/>
      <c r="AD1090" s="1"/>
      <c r="AE1090" s="1"/>
      <c r="AF1090" s="1"/>
      <c r="AG1090" s="1"/>
      <c r="AH1090" s="1"/>
      <c r="AI1090" s="1"/>
      <c r="AJ1090" s="1"/>
      <c r="AK1090" s="620"/>
    </row>
    <row r="1091" spans="20:37">
      <c r="T1091" s="588"/>
      <c r="V1091" s="1"/>
      <c r="W1091" s="1"/>
      <c r="X1091" s="1"/>
      <c r="Y1091" s="1"/>
      <c r="Z1091" s="1"/>
      <c r="AA1091" s="1"/>
      <c r="AB1091" s="1"/>
      <c r="AC1091" s="1"/>
      <c r="AD1091" s="1"/>
      <c r="AE1091" s="1"/>
      <c r="AF1091" s="1"/>
      <c r="AG1091" s="1"/>
      <c r="AH1091" s="1"/>
      <c r="AI1091" s="1"/>
      <c r="AJ1091" s="1"/>
      <c r="AK1091" s="620"/>
    </row>
    <row r="1092" spans="20:37">
      <c r="T1092" s="588"/>
      <c r="V1092" s="1"/>
      <c r="W1092" s="1"/>
      <c r="X1092" s="1"/>
      <c r="Y1092" s="1"/>
      <c r="Z1092" s="1"/>
      <c r="AA1092" s="1"/>
      <c r="AB1092" s="1"/>
      <c r="AC1092" s="1"/>
      <c r="AD1092" s="1"/>
      <c r="AE1092" s="1"/>
      <c r="AF1092" s="1"/>
      <c r="AG1092" s="1"/>
      <c r="AH1092" s="1"/>
      <c r="AI1092" s="1"/>
      <c r="AJ1092" s="1"/>
      <c r="AK1092" s="620"/>
    </row>
    <row r="1093" spans="20:37">
      <c r="T1093" s="588"/>
      <c r="V1093" s="1"/>
      <c r="W1093" s="1"/>
      <c r="X1093" s="1"/>
      <c r="Y1093" s="1"/>
      <c r="Z1093" s="1"/>
      <c r="AA1093" s="1"/>
      <c r="AB1093" s="1"/>
      <c r="AC1093" s="1"/>
      <c r="AD1093" s="1"/>
      <c r="AE1093" s="1"/>
      <c r="AF1093" s="1"/>
      <c r="AG1093" s="1"/>
      <c r="AH1093" s="1"/>
      <c r="AI1093" s="1"/>
      <c r="AJ1093" s="1"/>
      <c r="AK1093" s="620"/>
    </row>
    <row r="1094" spans="20:37">
      <c r="T1094" s="588"/>
      <c r="V1094" s="1"/>
      <c r="W1094" s="1"/>
      <c r="X1094" s="1"/>
      <c r="Y1094" s="1"/>
      <c r="Z1094" s="1"/>
      <c r="AA1094" s="1"/>
      <c r="AB1094" s="1"/>
      <c r="AC1094" s="1"/>
      <c r="AD1094" s="1"/>
      <c r="AE1094" s="1"/>
      <c r="AF1094" s="1"/>
      <c r="AG1094" s="1"/>
      <c r="AH1094" s="1"/>
      <c r="AI1094" s="1"/>
      <c r="AJ1094" s="1"/>
      <c r="AK1094" s="620"/>
    </row>
    <row r="1095" spans="20:37">
      <c r="T1095" s="588"/>
      <c r="V1095" s="1"/>
      <c r="W1095" s="1"/>
      <c r="X1095" s="1"/>
      <c r="Y1095" s="1"/>
      <c r="Z1095" s="1"/>
      <c r="AA1095" s="1"/>
      <c r="AB1095" s="1"/>
      <c r="AC1095" s="1"/>
      <c r="AD1095" s="1"/>
      <c r="AE1095" s="1"/>
      <c r="AF1095" s="1"/>
      <c r="AG1095" s="1"/>
      <c r="AH1095" s="1"/>
      <c r="AI1095" s="1"/>
      <c r="AJ1095" s="1"/>
      <c r="AK1095" s="620"/>
    </row>
    <row r="1096" spans="20:37">
      <c r="T1096" s="588"/>
      <c r="V1096" s="1"/>
      <c r="W1096" s="1"/>
      <c r="X1096" s="1"/>
      <c r="Y1096" s="1"/>
      <c r="Z1096" s="1"/>
      <c r="AA1096" s="1"/>
      <c r="AB1096" s="1"/>
      <c r="AC1096" s="1"/>
      <c r="AD1096" s="1"/>
      <c r="AE1096" s="1"/>
      <c r="AF1096" s="1"/>
      <c r="AG1096" s="1"/>
      <c r="AH1096" s="1"/>
      <c r="AI1096" s="1"/>
      <c r="AJ1096" s="1"/>
      <c r="AK1096" s="620"/>
    </row>
    <row r="1097" spans="20:37">
      <c r="T1097" s="588"/>
      <c r="V1097" s="1"/>
      <c r="W1097" s="1"/>
      <c r="X1097" s="1"/>
      <c r="Y1097" s="1"/>
      <c r="Z1097" s="1"/>
      <c r="AA1097" s="1"/>
      <c r="AB1097" s="1"/>
      <c r="AC1097" s="1"/>
      <c r="AD1097" s="1"/>
      <c r="AE1097" s="1"/>
      <c r="AF1097" s="1"/>
      <c r="AG1097" s="1"/>
      <c r="AH1097" s="1"/>
      <c r="AI1097" s="1"/>
      <c r="AJ1097" s="1"/>
      <c r="AK1097" s="620"/>
    </row>
    <row r="1098" spans="20:37">
      <c r="T1098" s="588"/>
      <c r="V1098" s="1"/>
      <c r="W1098" s="1"/>
      <c r="X1098" s="1"/>
      <c r="Y1098" s="1"/>
      <c r="Z1098" s="1"/>
      <c r="AA1098" s="1"/>
      <c r="AB1098" s="1"/>
      <c r="AC1098" s="1"/>
      <c r="AD1098" s="1"/>
      <c r="AE1098" s="1"/>
      <c r="AF1098" s="1"/>
      <c r="AG1098" s="1"/>
      <c r="AH1098" s="1"/>
      <c r="AI1098" s="1"/>
      <c r="AJ1098" s="1"/>
      <c r="AK1098" s="620"/>
    </row>
    <row r="1099" spans="20:37">
      <c r="T1099" s="588"/>
      <c r="V1099" s="1"/>
      <c r="W1099" s="1"/>
      <c r="X1099" s="1"/>
      <c r="Y1099" s="1"/>
      <c r="Z1099" s="1"/>
      <c r="AA1099" s="1"/>
      <c r="AB1099" s="1"/>
      <c r="AC1099" s="1"/>
      <c r="AD1099" s="1"/>
      <c r="AE1099" s="1"/>
      <c r="AF1099" s="1"/>
      <c r="AG1099" s="1"/>
      <c r="AH1099" s="1"/>
      <c r="AI1099" s="1"/>
      <c r="AJ1099" s="1"/>
      <c r="AK1099" s="620"/>
    </row>
    <row r="1100" spans="20:37">
      <c r="T1100" s="588"/>
      <c r="V1100" s="1"/>
      <c r="W1100" s="1"/>
      <c r="X1100" s="1"/>
      <c r="Y1100" s="1"/>
      <c r="Z1100" s="1"/>
      <c r="AA1100" s="1"/>
      <c r="AB1100" s="1"/>
      <c r="AC1100" s="1"/>
      <c r="AD1100" s="1"/>
      <c r="AE1100" s="1"/>
      <c r="AF1100" s="1"/>
      <c r="AG1100" s="1"/>
      <c r="AH1100" s="1"/>
      <c r="AI1100" s="1"/>
      <c r="AJ1100" s="1"/>
      <c r="AK1100" s="620"/>
    </row>
    <row r="1101" spans="20:37">
      <c r="T1101" s="588"/>
      <c r="V1101" s="1"/>
      <c r="W1101" s="1"/>
      <c r="X1101" s="1"/>
      <c r="Y1101" s="1"/>
      <c r="Z1101" s="1"/>
      <c r="AA1101" s="1"/>
      <c r="AB1101" s="1"/>
      <c r="AC1101" s="1"/>
      <c r="AD1101" s="1"/>
      <c r="AE1101" s="1"/>
      <c r="AF1101" s="1"/>
      <c r="AG1101" s="1"/>
      <c r="AH1101" s="1"/>
      <c r="AI1101" s="1"/>
      <c r="AJ1101" s="1"/>
      <c r="AK1101" s="620"/>
    </row>
    <row r="1102" spans="20:37">
      <c r="T1102" s="588"/>
      <c r="V1102" s="1"/>
      <c r="W1102" s="1"/>
      <c r="X1102" s="1"/>
      <c r="Y1102" s="1"/>
      <c r="Z1102" s="1"/>
      <c r="AA1102" s="1"/>
      <c r="AB1102" s="1"/>
      <c r="AC1102" s="1"/>
      <c r="AD1102" s="1"/>
      <c r="AE1102" s="1"/>
      <c r="AF1102" s="1"/>
      <c r="AG1102" s="1"/>
      <c r="AH1102" s="1"/>
      <c r="AI1102" s="1"/>
      <c r="AJ1102" s="1"/>
      <c r="AK1102" s="620"/>
    </row>
    <row r="1103" spans="20:37">
      <c r="T1103" s="588"/>
      <c r="V1103" s="1"/>
      <c r="W1103" s="1"/>
      <c r="X1103" s="1"/>
      <c r="Y1103" s="1"/>
      <c r="Z1103" s="1"/>
      <c r="AA1103" s="1"/>
      <c r="AB1103" s="1"/>
      <c r="AC1103" s="1"/>
      <c r="AD1103" s="1"/>
      <c r="AE1103" s="1"/>
      <c r="AF1103" s="1"/>
      <c r="AG1103" s="1"/>
      <c r="AH1103" s="1"/>
      <c r="AI1103" s="1"/>
      <c r="AJ1103" s="1"/>
      <c r="AK1103" s="620"/>
    </row>
    <row r="1104" spans="20:37">
      <c r="T1104" s="588"/>
      <c r="V1104" s="1"/>
      <c r="W1104" s="1"/>
      <c r="X1104" s="1"/>
      <c r="Y1104" s="1"/>
      <c r="Z1104" s="1"/>
      <c r="AA1104" s="1"/>
      <c r="AB1104" s="1"/>
      <c r="AC1104" s="1"/>
      <c r="AD1104" s="1"/>
      <c r="AE1104" s="1"/>
      <c r="AF1104" s="1"/>
      <c r="AG1104" s="1"/>
      <c r="AH1104" s="1"/>
      <c r="AI1104" s="1"/>
      <c r="AJ1104" s="1"/>
      <c r="AK1104" s="620"/>
    </row>
    <row r="1105" spans="20:37">
      <c r="T1105" s="588"/>
      <c r="V1105" s="1"/>
      <c r="W1105" s="1"/>
      <c r="X1105" s="1"/>
      <c r="Y1105" s="1"/>
      <c r="Z1105" s="1"/>
      <c r="AA1105" s="1"/>
      <c r="AB1105" s="1"/>
      <c r="AC1105" s="1"/>
      <c r="AD1105" s="1"/>
      <c r="AE1105" s="1"/>
      <c r="AF1105" s="1"/>
      <c r="AG1105" s="1"/>
      <c r="AH1105" s="1"/>
      <c r="AI1105" s="1"/>
      <c r="AJ1105" s="1"/>
      <c r="AK1105" s="620"/>
    </row>
    <row r="1106" spans="20:37">
      <c r="T1106" s="588"/>
      <c r="V1106" s="1"/>
      <c r="W1106" s="1"/>
      <c r="X1106" s="1"/>
      <c r="Y1106" s="1"/>
      <c r="Z1106" s="1"/>
      <c r="AA1106" s="1"/>
      <c r="AB1106" s="1"/>
      <c r="AC1106" s="1"/>
      <c r="AD1106" s="1"/>
      <c r="AE1106" s="1"/>
      <c r="AF1106" s="1"/>
      <c r="AG1106" s="1"/>
      <c r="AH1106" s="1"/>
      <c r="AI1106" s="1"/>
      <c r="AJ1106" s="1"/>
      <c r="AK1106" s="620"/>
    </row>
    <row r="1107" spans="20:37">
      <c r="T1107" s="588"/>
      <c r="V1107" s="1"/>
      <c r="W1107" s="1"/>
      <c r="X1107" s="1"/>
      <c r="Y1107" s="1"/>
      <c r="Z1107" s="1"/>
      <c r="AA1107" s="1"/>
      <c r="AB1107" s="1"/>
      <c r="AC1107" s="1"/>
      <c r="AD1107" s="1"/>
      <c r="AE1107" s="1"/>
      <c r="AF1107" s="1"/>
      <c r="AG1107" s="1"/>
      <c r="AH1107" s="1"/>
      <c r="AI1107" s="1"/>
      <c r="AJ1107" s="1"/>
      <c r="AK1107" s="620"/>
    </row>
    <row r="1108" spans="20:37">
      <c r="T1108" s="588"/>
      <c r="V1108" s="1"/>
      <c r="W1108" s="1"/>
      <c r="X1108" s="1"/>
      <c r="Y1108" s="1"/>
      <c r="Z1108" s="1"/>
      <c r="AA1108" s="1"/>
      <c r="AB1108" s="1"/>
      <c r="AC1108" s="1"/>
      <c r="AD1108" s="1"/>
      <c r="AE1108" s="1"/>
      <c r="AF1108" s="1"/>
      <c r="AG1108" s="1"/>
      <c r="AH1108" s="1"/>
      <c r="AI1108" s="1"/>
      <c r="AJ1108" s="1"/>
      <c r="AK1108" s="620"/>
    </row>
    <row r="1109" spans="20:37">
      <c r="T1109" s="588"/>
      <c r="V1109" s="1"/>
      <c r="W1109" s="1"/>
      <c r="X1109" s="1"/>
      <c r="Y1109" s="1"/>
      <c r="Z1109" s="1"/>
      <c r="AA1109" s="1"/>
      <c r="AB1109" s="1"/>
      <c r="AC1109" s="1"/>
      <c r="AD1109" s="1"/>
      <c r="AE1109" s="1"/>
      <c r="AF1109" s="1"/>
      <c r="AG1109" s="1"/>
      <c r="AH1109" s="1"/>
      <c r="AI1109" s="1"/>
      <c r="AJ1109" s="1"/>
      <c r="AK1109" s="620"/>
    </row>
    <row r="1110" spans="20:37">
      <c r="T1110" s="588"/>
      <c r="V1110" s="1"/>
      <c r="W1110" s="1"/>
      <c r="X1110" s="1"/>
      <c r="Y1110" s="1"/>
      <c r="Z1110" s="1"/>
      <c r="AA1110" s="1"/>
      <c r="AB1110" s="1"/>
      <c r="AC1110" s="1"/>
      <c r="AD1110" s="1"/>
      <c r="AE1110" s="1"/>
      <c r="AF1110" s="1"/>
      <c r="AG1110" s="1"/>
      <c r="AH1110" s="1"/>
      <c r="AI1110" s="1"/>
      <c r="AJ1110" s="1"/>
      <c r="AK1110" s="620"/>
    </row>
    <row r="1111" spans="20:37">
      <c r="T1111" s="588"/>
      <c r="V1111" s="1"/>
      <c r="W1111" s="1"/>
      <c r="X1111" s="1"/>
      <c r="Y1111" s="1"/>
      <c r="Z1111" s="1"/>
      <c r="AA1111" s="1"/>
      <c r="AB1111" s="1"/>
      <c r="AC1111" s="1"/>
      <c r="AD1111" s="1"/>
      <c r="AE1111" s="1"/>
      <c r="AF1111" s="1"/>
      <c r="AG1111" s="1"/>
      <c r="AH1111" s="1"/>
      <c r="AI1111" s="1"/>
      <c r="AJ1111" s="1"/>
      <c r="AK1111" s="620"/>
    </row>
    <row r="1112" spans="20:37">
      <c r="T1112" s="588"/>
      <c r="V1112" s="1"/>
      <c r="W1112" s="1"/>
      <c r="X1112" s="1"/>
      <c r="Y1112" s="1"/>
      <c r="Z1112" s="1"/>
      <c r="AA1112" s="1"/>
      <c r="AB1112" s="1"/>
      <c r="AC1112" s="1"/>
      <c r="AD1112" s="1"/>
      <c r="AE1112" s="1"/>
      <c r="AF1112" s="1"/>
      <c r="AG1112" s="1"/>
      <c r="AH1112" s="1"/>
      <c r="AI1112" s="1"/>
      <c r="AJ1112" s="1"/>
      <c r="AK1112" s="620"/>
    </row>
    <row r="1113" spans="20:37">
      <c r="T1113" s="588"/>
      <c r="V1113" s="1"/>
      <c r="W1113" s="1"/>
      <c r="X1113" s="1"/>
      <c r="Y1113" s="1"/>
      <c r="Z1113" s="1"/>
      <c r="AA1113" s="1"/>
      <c r="AB1113" s="1"/>
      <c r="AC1113" s="1"/>
      <c r="AD1113" s="1"/>
      <c r="AE1113" s="1"/>
      <c r="AF1113" s="1"/>
      <c r="AG1113" s="1"/>
      <c r="AH1113" s="1"/>
      <c r="AI1113" s="1"/>
      <c r="AJ1113" s="1"/>
      <c r="AK1113" s="620"/>
    </row>
    <row r="1114" spans="20:37">
      <c r="T1114" s="588"/>
      <c r="V1114" s="1"/>
      <c r="W1114" s="1"/>
      <c r="X1114" s="1"/>
      <c r="Y1114" s="1"/>
      <c r="Z1114" s="1"/>
      <c r="AA1114" s="1"/>
      <c r="AB1114" s="1"/>
      <c r="AC1114" s="1"/>
      <c r="AD1114" s="1"/>
      <c r="AE1114" s="1"/>
      <c r="AF1114" s="1"/>
      <c r="AG1114" s="1"/>
      <c r="AH1114" s="1"/>
      <c r="AI1114" s="1"/>
      <c r="AJ1114" s="1"/>
      <c r="AK1114" s="620"/>
    </row>
    <row r="1115" spans="20:37">
      <c r="T1115" s="588"/>
      <c r="V1115" s="1"/>
      <c r="W1115" s="1"/>
      <c r="X1115" s="1"/>
      <c r="Y1115" s="1"/>
      <c r="Z1115" s="1"/>
      <c r="AA1115" s="1"/>
      <c r="AB1115" s="1"/>
      <c r="AC1115" s="1"/>
      <c r="AD1115" s="1"/>
      <c r="AE1115" s="1"/>
      <c r="AF1115" s="1"/>
      <c r="AG1115" s="1"/>
      <c r="AH1115" s="1"/>
      <c r="AI1115" s="1"/>
      <c r="AJ1115" s="1"/>
      <c r="AK1115" s="620"/>
    </row>
    <row r="1116" spans="20:37">
      <c r="T1116" s="588"/>
      <c r="V1116" s="1"/>
      <c r="W1116" s="1"/>
      <c r="X1116" s="1"/>
      <c r="Y1116" s="1"/>
      <c r="Z1116" s="1"/>
      <c r="AA1116" s="1"/>
      <c r="AB1116" s="1"/>
      <c r="AC1116" s="1"/>
      <c r="AD1116" s="1"/>
      <c r="AE1116" s="1"/>
      <c r="AF1116" s="1"/>
      <c r="AG1116" s="1"/>
      <c r="AH1116" s="1"/>
      <c r="AI1116" s="1"/>
      <c r="AJ1116" s="1"/>
      <c r="AK1116" s="620"/>
    </row>
    <row r="1117" spans="20:37">
      <c r="T1117" s="588"/>
      <c r="V1117" s="1"/>
      <c r="W1117" s="1"/>
      <c r="X1117" s="1"/>
      <c r="Y1117" s="1"/>
      <c r="Z1117" s="1"/>
      <c r="AA1117" s="1"/>
      <c r="AB1117" s="1"/>
      <c r="AC1117" s="1"/>
      <c r="AD1117" s="1"/>
      <c r="AE1117" s="1"/>
      <c r="AF1117" s="1"/>
      <c r="AG1117" s="1"/>
      <c r="AH1117" s="1"/>
      <c r="AI1117" s="1"/>
      <c r="AJ1117" s="1"/>
      <c r="AK1117" s="620"/>
    </row>
    <row r="1118" spans="20:37">
      <c r="T1118" s="588"/>
      <c r="V1118" s="1"/>
      <c r="W1118" s="1"/>
      <c r="X1118" s="1"/>
      <c r="Y1118" s="1"/>
      <c r="Z1118" s="1"/>
      <c r="AA1118" s="1"/>
      <c r="AB1118" s="1"/>
      <c r="AC1118" s="1"/>
      <c r="AD1118" s="1"/>
      <c r="AE1118" s="1"/>
      <c r="AF1118" s="1"/>
      <c r="AG1118" s="1"/>
      <c r="AH1118" s="1"/>
      <c r="AI1118" s="1"/>
      <c r="AJ1118" s="1"/>
      <c r="AK1118" s="620"/>
    </row>
    <row r="1119" spans="20:37">
      <c r="T1119" s="588"/>
      <c r="V1119" s="1"/>
      <c r="W1119" s="1"/>
      <c r="X1119" s="1"/>
      <c r="Y1119" s="1"/>
      <c r="Z1119" s="1"/>
      <c r="AA1119" s="1"/>
      <c r="AB1119" s="1"/>
      <c r="AC1119" s="1"/>
      <c r="AD1119" s="1"/>
      <c r="AE1119" s="1"/>
      <c r="AF1119" s="1"/>
      <c r="AG1119" s="1"/>
      <c r="AH1119" s="1"/>
      <c r="AI1119" s="1"/>
      <c r="AJ1119" s="1"/>
      <c r="AK1119" s="620"/>
    </row>
    <row r="1120" spans="20:37">
      <c r="T1120" s="588"/>
      <c r="V1120" s="1"/>
      <c r="W1120" s="1"/>
      <c r="X1120" s="1"/>
      <c r="Y1120" s="1"/>
      <c r="Z1120" s="1"/>
      <c r="AA1120" s="1"/>
      <c r="AB1120" s="1"/>
      <c r="AC1120" s="1"/>
      <c r="AD1120" s="1"/>
      <c r="AE1120" s="1"/>
      <c r="AF1120" s="1"/>
      <c r="AG1120" s="1"/>
      <c r="AH1120" s="1"/>
      <c r="AI1120" s="1"/>
      <c r="AJ1120" s="1"/>
      <c r="AK1120" s="620"/>
    </row>
    <row r="1121" spans="20:37">
      <c r="T1121" s="588"/>
      <c r="V1121" s="1"/>
      <c r="W1121" s="1"/>
      <c r="X1121" s="1"/>
      <c r="Y1121" s="1"/>
      <c r="Z1121" s="1"/>
      <c r="AA1121" s="1"/>
      <c r="AB1121" s="1"/>
      <c r="AC1121" s="1"/>
      <c r="AD1121" s="1"/>
      <c r="AE1121" s="1"/>
      <c r="AF1121" s="1"/>
      <c r="AG1121" s="1"/>
      <c r="AH1121" s="1"/>
      <c r="AI1121" s="1"/>
      <c r="AJ1121" s="1"/>
      <c r="AK1121" s="620"/>
    </row>
    <row r="1122" spans="20:37">
      <c r="T1122" s="588"/>
      <c r="V1122" s="1"/>
      <c r="W1122" s="1"/>
      <c r="X1122" s="1"/>
      <c r="Y1122" s="1"/>
      <c r="Z1122" s="1"/>
      <c r="AA1122" s="1"/>
      <c r="AB1122" s="1"/>
      <c r="AC1122" s="1"/>
      <c r="AD1122" s="1"/>
      <c r="AE1122" s="1"/>
      <c r="AF1122" s="1"/>
      <c r="AG1122" s="1"/>
      <c r="AH1122" s="1"/>
      <c r="AI1122" s="1"/>
      <c r="AJ1122" s="1"/>
      <c r="AK1122" s="620"/>
    </row>
    <row r="1123" spans="20:37">
      <c r="T1123" s="588"/>
      <c r="V1123" s="1"/>
      <c r="W1123" s="1"/>
      <c r="X1123" s="1"/>
      <c r="Y1123" s="1"/>
      <c r="Z1123" s="1"/>
      <c r="AA1123" s="1"/>
      <c r="AB1123" s="1"/>
      <c r="AC1123" s="1"/>
      <c r="AD1123" s="1"/>
      <c r="AE1123" s="1"/>
      <c r="AF1123" s="1"/>
      <c r="AG1123" s="1"/>
      <c r="AH1123" s="1"/>
      <c r="AI1123" s="1"/>
      <c r="AJ1123" s="1"/>
      <c r="AK1123" s="620"/>
    </row>
    <row r="1124" spans="20:37">
      <c r="T1124" s="588"/>
      <c r="V1124" s="1"/>
      <c r="W1124" s="1"/>
      <c r="X1124" s="1"/>
      <c r="Y1124" s="1"/>
      <c r="Z1124" s="1"/>
      <c r="AA1124" s="1"/>
      <c r="AB1124" s="1"/>
      <c r="AC1124" s="1"/>
      <c r="AD1124" s="1"/>
      <c r="AE1124" s="1"/>
      <c r="AF1124" s="1"/>
      <c r="AG1124" s="1"/>
      <c r="AH1124" s="1"/>
      <c r="AI1124" s="1"/>
      <c r="AJ1124" s="1"/>
      <c r="AK1124" s="620"/>
    </row>
    <row r="1125" spans="20:37">
      <c r="T1125" s="588"/>
      <c r="V1125" s="1"/>
      <c r="W1125" s="1"/>
      <c r="X1125" s="1"/>
      <c r="Y1125" s="1"/>
      <c r="Z1125" s="1"/>
      <c r="AA1125" s="1"/>
      <c r="AB1125" s="1"/>
      <c r="AC1125" s="1"/>
      <c r="AD1125" s="1"/>
      <c r="AE1125" s="1"/>
      <c r="AF1125" s="1"/>
      <c r="AG1125" s="1"/>
      <c r="AH1125" s="1"/>
      <c r="AI1125" s="1"/>
      <c r="AJ1125" s="1"/>
      <c r="AK1125" s="620"/>
    </row>
    <row r="1126" spans="20:37">
      <c r="T1126" s="588"/>
      <c r="V1126" s="1"/>
      <c r="W1126" s="1"/>
      <c r="X1126" s="1"/>
      <c r="Y1126" s="1"/>
      <c r="Z1126" s="1"/>
      <c r="AA1126" s="1"/>
      <c r="AB1126" s="1"/>
      <c r="AC1126" s="1"/>
      <c r="AD1126" s="1"/>
      <c r="AE1126" s="1"/>
      <c r="AF1126" s="1"/>
      <c r="AG1126" s="1"/>
      <c r="AH1126" s="1"/>
      <c r="AI1126" s="1"/>
      <c r="AJ1126" s="1"/>
      <c r="AK1126" s="620"/>
    </row>
    <row r="1127" spans="20:37">
      <c r="T1127" s="588"/>
      <c r="V1127" s="1"/>
      <c r="W1127" s="1"/>
      <c r="X1127" s="1"/>
      <c r="Y1127" s="1"/>
      <c r="Z1127" s="1"/>
      <c r="AA1127" s="1"/>
      <c r="AB1127" s="1"/>
      <c r="AC1127" s="1"/>
      <c r="AD1127" s="1"/>
      <c r="AE1127" s="1"/>
      <c r="AF1127" s="1"/>
      <c r="AG1127" s="1"/>
      <c r="AH1127" s="1"/>
      <c r="AI1127" s="1"/>
      <c r="AJ1127" s="1"/>
      <c r="AK1127" s="620"/>
    </row>
    <row r="1128" spans="20:37">
      <c r="T1128" s="588"/>
      <c r="V1128" s="1"/>
      <c r="W1128" s="1"/>
      <c r="X1128" s="1"/>
      <c r="Y1128" s="1"/>
      <c r="Z1128" s="1"/>
      <c r="AA1128" s="1"/>
      <c r="AB1128" s="1"/>
      <c r="AC1128" s="1"/>
      <c r="AD1128" s="1"/>
      <c r="AE1128" s="1"/>
      <c r="AF1128" s="1"/>
      <c r="AG1128" s="1"/>
      <c r="AH1128" s="1"/>
      <c r="AI1128" s="1"/>
      <c r="AJ1128" s="1"/>
      <c r="AK1128" s="620"/>
    </row>
    <row r="1129" spans="20:37">
      <c r="T1129" s="588"/>
      <c r="V1129" s="1"/>
      <c r="W1129" s="1"/>
      <c r="X1129" s="1"/>
      <c r="Y1129" s="1"/>
      <c r="Z1129" s="1"/>
      <c r="AA1129" s="1"/>
      <c r="AB1129" s="1"/>
      <c r="AC1129" s="1"/>
      <c r="AD1129" s="1"/>
      <c r="AE1129" s="1"/>
      <c r="AF1129" s="1"/>
      <c r="AG1129" s="1"/>
      <c r="AH1129" s="1"/>
      <c r="AI1129" s="1"/>
      <c r="AJ1129" s="1"/>
      <c r="AK1129" s="620"/>
    </row>
    <row r="1130" spans="20:37">
      <c r="T1130" s="588"/>
      <c r="V1130" s="1"/>
      <c r="W1130" s="1"/>
      <c r="X1130" s="1"/>
      <c r="Y1130" s="1"/>
      <c r="Z1130" s="1"/>
      <c r="AA1130" s="1"/>
      <c r="AB1130" s="1"/>
      <c r="AC1130" s="1"/>
      <c r="AD1130" s="1"/>
      <c r="AE1130" s="1"/>
      <c r="AF1130" s="1"/>
      <c r="AG1130" s="1"/>
      <c r="AH1130" s="1"/>
      <c r="AI1130" s="1"/>
      <c r="AJ1130" s="1"/>
      <c r="AK1130" s="620"/>
    </row>
    <row r="1131" spans="20:37">
      <c r="T1131" s="588"/>
      <c r="V1131" s="1"/>
      <c r="W1131" s="1"/>
      <c r="X1131" s="1"/>
      <c r="Y1131" s="1"/>
      <c r="Z1131" s="1"/>
      <c r="AA1131" s="1"/>
      <c r="AB1131" s="1"/>
      <c r="AC1131" s="1"/>
      <c r="AD1131" s="1"/>
      <c r="AE1131" s="1"/>
      <c r="AF1131" s="1"/>
      <c r="AG1131" s="1"/>
      <c r="AH1131" s="1"/>
      <c r="AI1131" s="1"/>
      <c r="AJ1131" s="1"/>
      <c r="AK1131" s="620"/>
    </row>
    <row r="1132" spans="20:37">
      <c r="T1132" s="588"/>
      <c r="V1132" s="1"/>
      <c r="W1132" s="1"/>
      <c r="X1132" s="1"/>
      <c r="Y1132" s="1"/>
      <c r="Z1132" s="1"/>
      <c r="AA1132" s="1"/>
      <c r="AB1132" s="1"/>
      <c r="AC1132" s="1"/>
      <c r="AD1132" s="1"/>
      <c r="AE1132" s="1"/>
      <c r="AF1132" s="1"/>
      <c r="AG1132" s="1"/>
      <c r="AH1132" s="1"/>
      <c r="AI1132" s="1"/>
      <c r="AJ1132" s="1"/>
      <c r="AK1132" s="620"/>
    </row>
    <row r="1133" spans="20:37">
      <c r="T1133" s="588"/>
      <c r="V1133" s="1"/>
      <c r="W1133" s="1"/>
      <c r="X1133" s="1"/>
      <c r="Y1133" s="1"/>
      <c r="Z1133" s="1"/>
      <c r="AA1133" s="1"/>
      <c r="AB1133" s="1"/>
      <c r="AC1133" s="1"/>
      <c r="AD1133" s="1"/>
      <c r="AE1133" s="1"/>
      <c r="AF1133" s="1"/>
      <c r="AG1133" s="1"/>
      <c r="AH1133" s="1"/>
      <c r="AI1133" s="1"/>
      <c r="AJ1133" s="1"/>
      <c r="AK1133" s="620"/>
    </row>
    <row r="1134" spans="20:37">
      <c r="T1134" s="588"/>
      <c r="V1134" s="1"/>
      <c r="W1134" s="1"/>
      <c r="X1134" s="1"/>
      <c r="Y1134" s="1"/>
      <c r="Z1134" s="1"/>
      <c r="AA1134" s="1"/>
      <c r="AB1134" s="1"/>
      <c r="AC1134" s="1"/>
      <c r="AD1134" s="1"/>
      <c r="AE1134" s="1"/>
      <c r="AF1134" s="1"/>
      <c r="AG1134" s="1"/>
      <c r="AH1134" s="1"/>
      <c r="AI1134" s="1"/>
      <c r="AJ1134" s="1"/>
      <c r="AK1134" s="620"/>
    </row>
    <row r="1135" spans="20:37">
      <c r="T1135" s="588"/>
      <c r="V1135" s="1"/>
      <c r="W1135" s="1"/>
      <c r="X1135" s="1"/>
      <c r="Y1135" s="1"/>
      <c r="Z1135" s="1"/>
      <c r="AA1135" s="1"/>
      <c r="AB1135" s="1"/>
      <c r="AC1135" s="1"/>
      <c r="AD1135" s="1"/>
      <c r="AE1135" s="1"/>
      <c r="AF1135" s="1"/>
      <c r="AG1135" s="1"/>
      <c r="AH1135" s="1"/>
      <c r="AI1135" s="1"/>
      <c r="AJ1135" s="1"/>
      <c r="AK1135" s="620"/>
    </row>
    <row r="1136" spans="20:37">
      <c r="T1136" s="588"/>
      <c r="V1136" s="1"/>
      <c r="W1136" s="1"/>
      <c r="X1136" s="1"/>
      <c r="Y1136" s="1"/>
      <c r="Z1136" s="1"/>
      <c r="AA1136" s="1"/>
      <c r="AB1136" s="1"/>
      <c r="AC1136" s="1"/>
      <c r="AD1136" s="1"/>
      <c r="AE1136" s="1"/>
      <c r="AF1136" s="1"/>
      <c r="AG1136" s="1"/>
      <c r="AH1136" s="1"/>
      <c r="AI1136" s="1"/>
      <c r="AJ1136" s="1"/>
      <c r="AK1136" s="620"/>
    </row>
    <row r="1137" spans="20:37">
      <c r="T1137" s="588"/>
      <c r="V1137" s="1"/>
      <c r="W1137" s="1"/>
      <c r="X1137" s="1"/>
      <c r="Y1137" s="1"/>
      <c r="Z1137" s="1"/>
      <c r="AA1137" s="1"/>
      <c r="AB1137" s="1"/>
      <c r="AC1137" s="1"/>
      <c r="AD1137" s="1"/>
      <c r="AE1137" s="1"/>
      <c r="AF1137" s="1"/>
      <c r="AG1137" s="1"/>
      <c r="AH1137" s="1"/>
      <c r="AI1137" s="1"/>
      <c r="AJ1137" s="1"/>
      <c r="AK1137" s="620"/>
    </row>
    <row r="1138" spans="20:37">
      <c r="T1138" s="588"/>
      <c r="V1138" s="1"/>
      <c r="W1138" s="1"/>
      <c r="X1138" s="1"/>
      <c r="Y1138" s="1"/>
      <c r="Z1138" s="1"/>
      <c r="AA1138" s="1"/>
      <c r="AB1138" s="1"/>
      <c r="AC1138" s="1"/>
      <c r="AD1138" s="1"/>
      <c r="AE1138" s="1"/>
      <c r="AF1138" s="1"/>
      <c r="AG1138" s="1"/>
      <c r="AH1138" s="1"/>
      <c r="AI1138" s="1"/>
      <c r="AJ1138" s="1"/>
      <c r="AK1138" s="620"/>
    </row>
    <row r="1139" spans="20:37">
      <c r="T1139" s="588"/>
      <c r="V1139" s="1"/>
      <c r="W1139" s="1"/>
      <c r="X1139" s="1"/>
      <c r="Y1139" s="1"/>
      <c r="Z1139" s="1"/>
      <c r="AA1139" s="1"/>
      <c r="AB1139" s="1"/>
      <c r="AC1139" s="1"/>
      <c r="AD1139" s="1"/>
      <c r="AE1139" s="1"/>
      <c r="AF1139" s="1"/>
      <c r="AG1139" s="1"/>
      <c r="AH1139" s="1"/>
      <c r="AI1139" s="1"/>
      <c r="AJ1139" s="1"/>
      <c r="AK1139" s="620"/>
    </row>
    <row r="1140" spans="20:37">
      <c r="T1140" s="588"/>
      <c r="V1140" s="1"/>
      <c r="W1140" s="1"/>
      <c r="X1140" s="1"/>
      <c r="Y1140" s="1"/>
      <c r="Z1140" s="1"/>
      <c r="AA1140" s="1"/>
      <c r="AB1140" s="1"/>
      <c r="AC1140" s="1"/>
      <c r="AD1140" s="1"/>
      <c r="AE1140" s="1"/>
      <c r="AF1140" s="1"/>
      <c r="AG1140" s="1"/>
      <c r="AH1140" s="1"/>
      <c r="AI1140" s="1"/>
      <c r="AJ1140" s="1"/>
      <c r="AK1140" s="620"/>
    </row>
    <row r="1141" spans="20:37">
      <c r="T1141" s="588"/>
      <c r="V1141" s="1"/>
      <c r="W1141" s="1"/>
      <c r="X1141" s="1"/>
      <c r="Y1141" s="1"/>
      <c r="Z1141" s="1"/>
      <c r="AA1141" s="1"/>
      <c r="AB1141" s="1"/>
      <c r="AC1141" s="1"/>
      <c r="AD1141" s="1"/>
      <c r="AE1141" s="1"/>
      <c r="AF1141" s="1"/>
      <c r="AG1141" s="1"/>
      <c r="AH1141" s="1"/>
      <c r="AI1141" s="1"/>
      <c r="AJ1141" s="1"/>
      <c r="AK1141" s="620"/>
    </row>
    <row r="1142" spans="20:37">
      <c r="T1142" s="588"/>
      <c r="V1142" s="1"/>
      <c r="W1142" s="1"/>
      <c r="X1142" s="1"/>
      <c r="Y1142" s="1"/>
      <c r="Z1142" s="1"/>
      <c r="AA1142" s="1"/>
      <c r="AB1142" s="1"/>
      <c r="AC1142" s="1"/>
      <c r="AD1142" s="1"/>
      <c r="AE1142" s="1"/>
      <c r="AF1142" s="1"/>
      <c r="AG1142" s="1"/>
      <c r="AH1142" s="1"/>
      <c r="AI1142" s="1"/>
      <c r="AJ1142" s="1"/>
      <c r="AK1142" s="620"/>
    </row>
    <row r="1143" spans="20:37">
      <c r="T1143" s="588"/>
      <c r="V1143" s="1"/>
      <c r="W1143" s="1"/>
      <c r="X1143" s="1"/>
      <c r="Y1143" s="1"/>
      <c r="Z1143" s="1"/>
      <c r="AA1143" s="1"/>
      <c r="AB1143" s="1"/>
      <c r="AC1143" s="1"/>
      <c r="AD1143" s="1"/>
      <c r="AE1143" s="1"/>
      <c r="AF1143" s="1"/>
      <c r="AG1143" s="1"/>
      <c r="AH1143" s="1"/>
      <c r="AI1143" s="1"/>
      <c r="AJ1143" s="1"/>
      <c r="AK1143" s="620"/>
    </row>
    <row r="1144" spans="20:37">
      <c r="T1144" s="588"/>
      <c r="V1144" s="1"/>
      <c r="W1144" s="1"/>
      <c r="X1144" s="1"/>
      <c r="Y1144" s="1"/>
      <c r="Z1144" s="1"/>
      <c r="AA1144" s="1"/>
      <c r="AB1144" s="1"/>
      <c r="AC1144" s="1"/>
      <c r="AD1144" s="1"/>
      <c r="AE1144" s="1"/>
      <c r="AF1144" s="1"/>
      <c r="AG1144" s="1"/>
      <c r="AH1144" s="1"/>
      <c r="AI1144" s="1"/>
      <c r="AJ1144" s="1"/>
      <c r="AK1144" s="620"/>
    </row>
    <row r="1145" spans="20:37">
      <c r="T1145" s="588"/>
      <c r="V1145" s="1"/>
      <c r="W1145" s="1"/>
      <c r="X1145" s="1"/>
      <c r="Y1145" s="1"/>
      <c r="Z1145" s="1"/>
      <c r="AA1145" s="1"/>
      <c r="AB1145" s="1"/>
      <c r="AC1145" s="1"/>
      <c r="AD1145" s="1"/>
      <c r="AE1145" s="1"/>
      <c r="AF1145" s="1"/>
      <c r="AG1145" s="1"/>
      <c r="AH1145" s="1"/>
      <c r="AI1145" s="1"/>
      <c r="AJ1145" s="1"/>
      <c r="AK1145" s="620"/>
    </row>
    <row r="1146" spans="20:37">
      <c r="T1146" s="588"/>
      <c r="V1146" s="1"/>
      <c r="W1146" s="1"/>
      <c r="X1146" s="1"/>
      <c r="Y1146" s="1"/>
      <c r="Z1146" s="1"/>
      <c r="AA1146" s="1"/>
      <c r="AB1146" s="1"/>
      <c r="AC1146" s="1"/>
      <c r="AD1146" s="1"/>
      <c r="AE1146" s="1"/>
      <c r="AF1146" s="1"/>
      <c r="AG1146" s="1"/>
      <c r="AH1146" s="1"/>
      <c r="AI1146" s="1"/>
      <c r="AJ1146" s="1"/>
      <c r="AK1146" s="620"/>
    </row>
    <row r="1147" spans="20:37">
      <c r="T1147" s="588"/>
      <c r="V1147" s="1"/>
      <c r="W1147" s="1"/>
      <c r="X1147" s="1"/>
      <c r="Y1147" s="1"/>
      <c r="Z1147" s="1"/>
      <c r="AA1147" s="1"/>
      <c r="AB1147" s="1"/>
      <c r="AC1147" s="1"/>
      <c r="AD1147" s="1"/>
      <c r="AE1147" s="1"/>
      <c r="AF1147" s="1"/>
      <c r="AG1147" s="1"/>
      <c r="AH1147" s="1"/>
      <c r="AI1147" s="1"/>
      <c r="AJ1147" s="1"/>
      <c r="AK1147" s="620"/>
    </row>
    <row r="1148" spans="20:37">
      <c r="T1148" s="588"/>
      <c r="V1148" s="1"/>
      <c r="W1148" s="1"/>
      <c r="X1148" s="1"/>
      <c r="Y1148" s="1"/>
      <c r="Z1148" s="1"/>
      <c r="AA1148" s="1"/>
      <c r="AB1148" s="1"/>
      <c r="AC1148" s="1"/>
      <c r="AD1148" s="1"/>
      <c r="AE1148" s="1"/>
      <c r="AF1148" s="1"/>
      <c r="AG1148" s="1"/>
      <c r="AH1148" s="1"/>
      <c r="AI1148" s="1"/>
      <c r="AJ1148" s="1"/>
      <c r="AK1148" s="620"/>
    </row>
    <row r="1149" spans="20:37">
      <c r="T1149" s="588"/>
      <c r="V1149" s="1"/>
      <c r="W1149" s="1"/>
      <c r="X1149" s="1"/>
      <c r="Y1149" s="1"/>
      <c r="Z1149" s="1"/>
      <c r="AA1149" s="1"/>
      <c r="AB1149" s="1"/>
      <c r="AC1149" s="1"/>
      <c r="AD1149" s="1"/>
      <c r="AE1149" s="1"/>
      <c r="AF1149" s="1"/>
      <c r="AG1149" s="1"/>
      <c r="AH1149" s="1"/>
      <c r="AI1149" s="1"/>
      <c r="AJ1149" s="1"/>
      <c r="AK1149" s="620"/>
    </row>
    <row r="1150" spans="20:37">
      <c r="T1150" s="588"/>
      <c r="V1150" s="1"/>
      <c r="W1150" s="1"/>
      <c r="X1150" s="1"/>
      <c r="Y1150" s="1"/>
      <c r="Z1150" s="1"/>
      <c r="AA1150" s="1"/>
      <c r="AB1150" s="1"/>
      <c r="AC1150" s="1"/>
      <c r="AD1150" s="1"/>
      <c r="AE1150" s="1"/>
      <c r="AF1150" s="1"/>
      <c r="AG1150" s="1"/>
      <c r="AH1150" s="1"/>
      <c r="AI1150" s="1"/>
      <c r="AJ1150" s="1"/>
      <c r="AK1150" s="620"/>
    </row>
    <row r="1151" spans="20:37">
      <c r="T1151" s="588"/>
      <c r="V1151" s="1"/>
      <c r="W1151" s="1"/>
      <c r="X1151" s="1"/>
      <c r="Y1151" s="1"/>
      <c r="Z1151" s="1"/>
      <c r="AA1151" s="1"/>
      <c r="AB1151" s="1"/>
      <c r="AC1151" s="1"/>
      <c r="AD1151" s="1"/>
      <c r="AE1151" s="1"/>
      <c r="AF1151" s="1"/>
      <c r="AG1151" s="1"/>
      <c r="AH1151" s="1"/>
      <c r="AI1151" s="1"/>
      <c r="AJ1151" s="1"/>
      <c r="AK1151" s="620"/>
    </row>
    <row r="1152" spans="20:37">
      <c r="T1152" s="588"/>
      <c r="V1152" s="1"/>
      <c r="W1152" s="1"/>
      <c r="X1152" s="1"/>
      <c r="Y1152" s="1"/>
      <c r="Z1152" s="1"/>
      <c r="AA1152" s="1"/>
      <c r="AB1152" s="1"/>
      <c r="AC1152" s="1"/>
      <c r="AD1152" s="1"/>
      <c r="AE1152" s="1"/>
      <c r="AF1152" s="1"/>
      <c r="AG1152" s="1"/>
      <c r="AH1152" s="1"/>
      <c r="AI1152" s="1"/>
      <c r="AJ1152" s="1"/>
      <c r="AK1152" s="620"/>
    </row>
    <row r="1153" spans="20:37">
      <c r="T1153" s="588"/>
      <c r="V1153" s="1"/>
      <c r="W1153" s="1"/>
      <c r="X1153" s="1"/>
      <c r="Y1153" s="1"/>
      <c r="Z1153" s="1"/>
      <c r="AA1153" s="1"/>
      <c r="AB1153" s="1"/>
      <c r="AC1153" s="1"/>
      <c r="AD1153" s="1"/>
      <c r="AE1153" s="1"/>
      <c r="AF1153" s="1"/>
      <c r="AG1153" s="1"/>
      <c r="AH1153" s="1"/>
      <c r="AI1153" s="1"/>
      <c r="AJ1153" s="1"/>
      <c r="AK1153" s="620"/>
    </row>
    <row r="1154" spans="20:37">
      <c r="T1154" s="588"/>
      <c r="V1154" s="1"/>
      <c r="W1154" s="1"/>
      <c r="X1154" s="1"/>
      <c r="Y1154" s="1"/>
      <c r="Z1154" s="1"/>
      <c r="AA1154" s="1"/>
      <c r="AB1154" s="1"/>
      <c r="AC1154" s="1"/>
      <c r="AD1154" s="1"/>
      <c r="AE1154" s="1"/>
      <c r="AF1154" s="1"/>
      <c r="AG1154" s="1"/>
      <c r="AH1154" s="1"/>
      <c r="AI1154" s="1"/>
      <c r="AJ1154" s="1"/>
      <c r="AK1154" s="620"/>
    </row>
    <row r="1155" spans="20:37">
      <c r="T1155" s="588"/>
      <c r="V1155" s="1"/>
      <c r="W1155" s="1"/>
      <c r="X1155" s="1"/>
      <c r="Y1155" s="1"/>
      <c r="Z1155" s="1"/>
      <c r="AA1155" s="1"/>
      <c r="AB1155" s="1"/>
      <c r="AC1155" s="1"/>
      <c r="AD1155" s="1"/>
      <c r="AE1155" s="1"/>
      <c r="AF1155" s="1"/>
      <c r="AG1155" s="1"/>
      <c r="AH1155" s="1"/>
      <c r="AI1155" s="1"/>
      <c r="AJ1155" s="1"/>
      <c r="AK1155" s="620"/>
    </row>
    <row r="1156" spans="20:37">
      <c r="T1156" s="588"/>
      <c r="V1156" s="1"/>
      <c r="W1156" s="1"/>
      <c r="X1156" s="1"/>
      <c r="Y1156" s="1"/>
      <c r="Z1156" s="1"/>
      <c r="AA1156" s="1"/>
      <c r="AB1156" s="1"/>
      <c r="AC1156" s="1"/>
      <c r="AD1156" s="1"/>
      <c r="AE1156" s="1"/>
      <c r="AF1156" s="1"/>
      <c r="AG1156" s="1"/>
      <c r="AH1156" s="1"/>
      <c r="AI1156" s="1"/>
      <c r="AJ1156" s="1"/>
      <c r="AK1156" s="620"/>
    </row>
    <row r="1157" spans="20:37">
      <c r="T1157" s="588"/>
      <c r="V1157" s="1"/>
      <c r="W1157" s="1"/>
      <c r="X1157" s="1"/>
      <c r="Y1157" s="1"/>
      <c r="Z1157" s="1"/>
      <c r="AA1157" s="1"/>
      <c r="AB1157" s="1"/>
      <c r="AC1157" s="1"/>
      <c r="AD1157" s="1"/>
      <c r="AE1157" s="1"/>
      <c r="AF1157" s="1"/>
      <c r="AG1157" s="1"/>
      <c r="AH1157" s="1"/>
      <c r="AI1157" s="1"/>
      <c r="AJ1157" s="1"/>
      <c r="AK1157" s="620"/>
    </row>
    <row r="1158" spans="20:37">
      <c r="T1158" s="588"/>
      <c r="V1158" s="1"/>
      <c r="W1158" s="1"/>
      <c r="X1158" s="1"/>
      <c r="Y1158" s="1"/>
      <c r="Z1158" s="1"/>
      <c r="AA1158" s="1"/>
      <c r="AB1158" s="1"/>
      <c r="AC1158" s="1"/>
      <c r="AD1158" s="1"/>
      <c r="AE1158" s="1"/>
      <c r="AF1158" s="1"/>
      <c r="AG1158" s="1"/>
      <c r="AH1158" s="1"/>
      <c r="AI1158" s="1"/>
      <c r="AJ1158" s="1"/>
      <c r="AK1158" s="620"/>
    </row>
    <row r="1159" spans="20:37">
      <c r="T1159" s="588"/>
      <c r="V1159" s="1"/>
      <c r="W1159" s="1"/>
      <c r="X1159" s="1"/>
      <c r="Y1159" s="1"/>
      <c r="Z1159" s="1"/>
      <c r="AA1159" s="1"/>
      <c r="AB1159" s="1"/>
      <c r="AC1159" s="1"/>
      <c r="AD1159" s="1"/>
      <c r="AE1159" s="1"/>
      <c r="AF1159" s="1"/>
      <c r="AG1159" s="1"/>
      <c r="AH1159" s="1"/>
      <c r="AI1159" s="1"/>
      <c r="AJ1159" s="1"/>
      <c r="AK1159" s="620"/>
    </row>
    <row r="1160" spans="20:37">
      <c r="T1160" s="588"/>
      <c r="V1160" s="1"/>
      <c r="W1160" s="1"/>
      <c r="X1160" s="1"/>
      <c r="Y1160" s="1"/>
      <c r="Z1160" s="1"/>
      <c r="AA1160" s="1"/>
      <c r="AB1160" s="1"/>
      <c r="AC1160" s="1"/>
      <c r="AD1160" s="1"/>
      <c r="AE1160" s="1"/>
      <c r="AF1160" s="1"/>
      <c r="AG1160" s="1"/>
      <c r="AH1160" s="1"/>
      <c r="AI1160" s="1"/>
      <c r="AJ1160" s="1"/>
      <c r="AK1160" s="620"/>
    </row>
    <row r="1161" spans="20:37">
      <c r="T1161" s="588"/>
      <c r="V1161" s="1"/>
      <c r="W1161" s="1"/>
      <c r="X1161" s="1"/>
      <c r="Y1161" s="1"/>
      <c r="Z1161" s="1"/>
      <c r="AA1161" s="1"/>
      <c r="AB1161" s="1"/>
      <c r="AC1161" s="1"/>
      <c r="AD1161" s="1"/>
      <c r="AE1161" s="1"/>
      <c r="AF1161" s="1"/>
      <c r="AG1161" s="1"/>
      <c r="AH1161" s="1"/>
      <c r="AI1161" s="1"/>
      <c r="AJ1161" s="1"/>
      <c r="AK1161" s="620"/>
    </row>
    <row r="1162" spans="20:37">
      <c r="T1162" s="588"/>
      <c r="V1162" s="1"/>
      <c r="W1162" s="1"/>
      <c r="X1162" s="1"/>
      <c r="Y1162" s="1"/>
      <c r="Z1162" s="1"/>
      <c r="AA1162" s="1"/>
      <c r="AB1162" s="1"/>
      <c r="AC1162" s="1"/>
      <c r="AD1162" s="1"/>
      <c r="AE1162" s="1"/>
      <c r="AF1162" s="1"/>
      <c r="AG1162" s="1"/>
      <c r="AH1162" s="1"/>
      <c r="AI1162" s="1"/>
      <c r="AJ1162" s="1"/>
      <c r="AK1162" s="620"/>
    </row>
    <row r="1163" spans="20:37">
      <c r="T1163" s="588"/>
      <c r="V1163" s="1"/>
      <c r="W1163" s="1"/>
      <c r="X1163" s="1"/>
      <c r="Y1163" s="1"/>
      <c r="Z1163" s="1"/>
      <c r="AA1163" s="1"/>
      <c r="AB1163" s="1"/>
      <c r="AC1163" s="1"/>
      <c r="AD1163" s="1"/>
      <c r="AE1163" s="1"/>
      <c r="AF1163" s="1"/>
      <c r="AG1163" s="1"/>
      <c r="AH1163" s="1"/>
      <c r="AI1163" s="1"/>
      <c r="AJ1163" s="1"/>
      <c r="AK1163" s="620"/>
    </row>
    <row r="1164" spans="20:37">
      <c r="T1164" s="588"/>
      <c r="V1164" s="1"/>
      <c r="W1164" s="1"/>
      <c r="X1164" s="1"/>
      <c r="Y1164" s="1"/>
      <c r="Z1164" s="1"/>
      <c r="AA1164" s="1"/>
      <c r="AB1164" s="1"/>
      <c r="AC1164" s="1"/>
      <c r="AD1164" s="1"/>
      <c r="AE1164" s="1"/>
      <c r="AF1164" s="1"/>
      <c r="AG1164" s="1"/>
      <c r="AH1164" s="1"/>
      <c r="AI1164" s="1"/>
      <c r="AJ1164" s="1"/>
      <c r="AK1164" s="620"/>
    </row>
    <row r="1165" spans="20:37">
      <c r="T1165" s="588"/>
      <c r="V1165" s="1"/>
      <c r="W1165" s="1"/>
      <c r="X1165" s="1"/>
      <c r="Y1165" s="1"/>
      <c r="Z1165" s="1"/>
      <c r="AA1165" s="1"/>
      <c r="AB1165" s="1"/>
      <c r="AC1165" s="1"/>
      <c r="AD1165" s="1"/>
      <c r="AE1165" s="1"/>
      <c r="AF1165" s="1"/>
      <c r="AG1165" s="1"/>
      <c r="AH1165" s="1"/>
      <c r="AI1165" s="1"/>
      <c r="AJ1165" s="1"/>
      <c r="AK1165" s="620"/>
    </row>
    <row r="1166" spans="20:37">
      <c r="T1166" s="588"/>
      <c r="V1166" s="1"/>
      <c r="W1166" s="1"/>
      <c r="X1166" s="1"/>
      <c r="Y1166" s="1"/>
      <c r="Z1166" s="1"/>
      <c r="AA1166" s="1"/>
      <c r="AB1166" s="1"/>
      <c r="AC1166" s="1"/>
      <c r="AD1166" s="1"/>
      <c r="AE1166" s="1"/>
      <c r="AF1166" s="1"/>
      <c r="AG1166" s="1"/>
      <c r="AH1166" s="1"/>
      <c r="AI1166" s="1"/>
      <c r="AJ1166" s="1"/>
      <c r="AK1166" s="620"/>
    </row>
    <row r="1167" spans="20:37">
      <c r="T1167" s="588"/>
      <c r="V1167" s="1"/>
      <c r="W1167" s="1"/>
      <c r="X1167" s="1"/>
      <c r="Y1167" s="1"/>
      <c r="Z1167" s="1"/>
      <c r="AA1167" s="1"/>
      <c r="AB1167" s="1"/>
      <c r="AC1167" s="1"/>
      <c r="AD1167" s="1"/>
      <c r="AE1167" s="1"/>
      <c r="AF1167" s="1"/>
      <c r="AG1167" s="1"/>
      <c r="AH1167" s="1"/>
      <c r="AI1167" s="1"/>
      <c r="AJ1167" s="1"/>
      <c r="AK1167" s="620"/>
    </row>
    <row r="1168" spans="20:37">
      <c r="T1168" s="588"/>
      <c r="V1168" s="1"/>
      <c r="W1168" s="1"/>
      <c r="X1168" s="1"/>
      <c r="Y1168" s="1"/>
      <c r="Z1168" s="1"/>
      <c r="AA1168" s="1"/>
      <c r="AB1168" s="1"/>
      <c r="AC1168" s="1"/>
      <c r="AD1168" s="1"/>
      <c r="AE1168" s="1"/>
      <c r="AF1168" s="1"/>
      <c r="AG1168" s="1"/>
      <c r="AH1168" s="1"/>
      <c r="AI1168" s="1"/>
      <c r="AJ1168" s="1"/>
      <c r="AK1168" s="620"/>
    </row>
    <row r="1169" spans="20:37">
      <c r="T1169" s="588"/>
      <c r="V1169" s="1"/>
      <c r="W1169" s="1"/>
      <c r="X1169" s="1"/>
      <c r="Y1169" s="1"/>
      <c r="Z1169" s="1"/>
      <c r="AA1169" s="1"/>
      <c r="AB1169" s="1"/>
      <c r="AC1169" s="1"/>
      <c r="AD1169" s="1"/>
      <c r="AE1169" s="1"/>
      <c r="AF1169" s="1"/>
      <c r="AG1169" s="1"/>
      <c r="AH1169" s="1"/>
      <c r="AI1169" s="1"/>
      <c r="AJ1169" s="1"/>
      <c r="AK1169" s="620"/>
    </row>
    <row r="1170" spans="20:37">
      <c r="T1170" s="588"/>
      <c r="V1170" s="1"/>
      <c r="W1170" s="1"/>
      <c r="X1170" s="1"/>
      <c r="Y1170" s="1"/>
      <c r="Z1170" s="1"/>
      <c r="AA1170" s="1"/>
      <c r="AB1170" s="1"/>
      <c r="AC1170" s="1"/>
      <c r="AD1170" s="1"/>
      <c r="AE1170" s="1"/>
      <c r="AF1170" s="1"/>
      <c r="AG1170" s="1"/>
      <c r="AH1170" s="1"/>
      <c r="AI1170" s="1"/>
      <c r="AJ1170" s="1"/>
      <c r="AK1170" s="620"/>
    </row>
    <row r="1171" spans="20:37">
      <c r="T1171" s="588"/>
      <c r="V1171" s="1"/>
      <c r="W1171" s="1"/>
      <c r="X1171" s="1"/>
      <c r="Y1171" s="1"/>
      <c r="Z1171" s="1"/>
      <c r="AA1171" s="1"/>
      <c r="AB1171" s="1"/>
      <c r="AC1171" s="1"/>
      <c r="AD1171" s="1"/>
      <c r="AE1171" s="1"/>
      <c r="AF1171" s="1"/>
      <c r="AG1171" s="1"/>
      <c r="AH1171" s="1"/>
      <c r="AI1171" s="1"/>
      <c r="AJ1171" s="1"/>
      <c r="AK1171" s="620"/>
    </row>
    <row r="1172" spans="20:37">
      <c r="T1172" s="588"/>
      <c r="V1172" s="1"/>
      <c r="W1172" s="1"/>
      <c r="X1172" s="1"/>
      <c r="Y1172" s="1"/>
      <c r="Z1172" s="1"/>
      <c r="AA1172" s="1"/>
      <c r="AB1172" s="1"/>
      <c r="AC1172" s="1"/>
      <c r="AD1172" s="1"/>
      <c r="AE1172" s="1"/>
      <c r="AF1172" s="1"/>
      <c r="AG1172" s="1"/>
      <c r="AH1172" s="1"/>
      <c r="AI1172" s="1"/>
      <c r="AJ1172" s="1"/>
      <c r="AK1172" s="620"/>
    </row>
    <row r="1173" spans="20:37">
      <c r="T1173" s="588"/>
      <c r="V1173" s="1"/>
      <c r="W1173" s="1"/>
      <c r="X1173" s="1"/>
      <c r="Y1173" s="1"/>
      <c r="Z1173" s="1"/>
      <c r="AA1173" s="1"/>
      <c r="AB1173" s="1"/>
      <c r="AC1173" s="1"/>
      <c r="AD1173" s="1"/>
      <c r="AE1173" s="1"/>
      <c r="AF1173" s="1"/>
      <c r="AG1173" s="1"/>
      <c r="AH1173" s="1"/>
      <c r="AI1173" s="1"/>
      <c r="AJ1173" s="1"/>
      <c r="AK1173" s="620"/>
    </row>
    <row r="1174" spans="20:37">
      <c r="T1174" s="588"/>
      <c r="V1174" s="1"/>
      <c r="W1174" s="1"/>
      <c r="X1174" s="1"/>
      <c r="Y1174" s="1"/>
      <c r="Z1174" s="1"/>
      <c r="AA1174" s="1"/>
      <c r="AB1174" s="1"/>
      <c r="AC1174" s="1"/>
      <c r="AD1174" s="1"/>
      <c r="AE1174" s="1"/>
      <c r="AF1174" s="1"/>
      <c r="AG1174" s="1"/>
      <c r="AH1174" s="1"/>
      <c r="AI1174" s="1"/>
      <c r="AJ1174" s="1"/>
      <c r="AK1174" s="620"/>
    </row>
    <row r="1175" spans="20:37">
      <c r="T1175" s="588"/>
      <c r="V1175" s="1"/>
      <c r="W1175" s="1"/>
      <c r="X1175" s="1"/>
      <c r="Y1175" s="1"/>
      <c r="Z1175" s="1"/>
      <c r="AA1175" s="1"/>
      <c r="AB1175" s="1"/>
      <c r="AC1175" s="1"/>
      <c r="AD1175" s="1"/>
      <c r="AE1175" s="1"/>
      <c r="AF1175" s="1"/>
      <c r="AG1175" s="1"/>
      <c r="AH1175" s="1"/>
      <c r="AI1175" s="1"/>
      <c r="AJ1175" s="1"/>
      <c r="AK1175" s="620"/>
    </row>
    <row r="1176" spans="20:37">
      <c r="T1176" s="588"/>
      <c r="V1176" s="1"/>
      <c r="W1176" s="1"/>
      <c r="X1176" s="1"/>
      <c r="Y1176" s="1"/>
      <c r="Z1176" s="1"/>
      <c r="AA1176" s="1"/>
      <c r="AB1176" s="1"/>
      <c r="AC1176" s="1"/>
      <c r="AD1176" s="1"/>
      <c r="AE1176" s="1"/>
      <c r="AF1176" s="1"/>
      <c r="AG1176" s="1"/>
      <c r="AH1176" s="1"/>
      <c r="AI1176" s="1"/>
      <c r="AJ1176" s="1"/>
      <c r="AK1176" s="620"/>
    </row>
    <row r="1177" spans="20:37">
      <c r="T1177" s="588"/>
      <c r="V1177" s="1"/>
      <c r="W1177" s="1"/>
      <c r="X1177" s="1"/>
      <c r="Y1177" s="1"/>
      <c r="Z1177" s="1"/>
      <c r="AA1177" s="1"/>
      <c r="AB1177" s="1"/>
      <c r="AC1177" s="1"/>
      <c r="AD1177" s="1"/>
      <c r="AE1177" s="1"/>
      <c r="AF1177" s="1"/>
      <c r="AG1177" s="1"/>
      <c r="AH1177" s="1"/>
      <c r="AI1177" s="1"/>
      <c r="AJ1177" s="1"/>
      <c r="AK1177" s="620"/>
    </row>
    <row r="1178" spans="20:37">
      <c r="T1178" s="588"/>
      <c r="V1178" s="1"/>
      <c r="W1178" s="1"/>
      <c r="X1178" s="1"/>
      <c r="Y1178" s="1"/>
      <c r="Z1178" s="1"/>
      <c r="AA1178" s="1"/>
      <c r="AB1178" s="1"/>
      <c r="AC1178" s="1"/>
      <c r="AD1178" s="1"/>
      <c r="AE1178" s="1"/>
      <c r="AF1178" s="1"/>
      <c r="AG1178" s="1"/>
      <c r="AH1178" s="1"/>
      <c r="AI1178" s="1"/>
      <c r="AJ1178" s="1"/>
      <c r="AK1178" s="620"/>
    </row>
    <row r="1179" spans="20:37">
      <c r="T1179" s="588"/>
      <c r="V1179" s="1"/>
      <c r="W1179" s="1"/>
      <c r="X1179" s="1"/>
      <c r="Y1179" s="1"/>
      <c r="Z1179" s="1"/>
      <c r="AA1179" s="1"/>
      <c r="AB1179" s="1"/>
      <c r="AC1179" s="1"/>
      <c r="AD1179" s="1"/>
      <c r="AE1179" s="1"/>
      <c r="AF1179" s="1"/>
      <c r="AG1179" s="1"/>
      <c r="AH1179" s="1"/>
      <c r="AI1179" s="1"/>
      <c r="AJ1179" s="1"/>
      <c r="AK1179" s="620"/>
    </row>
    <row r="1180" spans="20:37">
      <c r="T1180" s="588"/>
      <c r="V1180" s="1"/>
      <c r="W1180" s="1"/>
      <c r="X1180" s="1"/>
      <c r="Y1180" s="1"/>
      <c r="Z1180" s="1"/>
      <c r="AA1180" s="1"/>
      <c r="AB1180" s="1"/>
      <c r="AC1180" s="1"/>
      <c r="AD1180" s="1"/>
      <c r="AE1180" s="1"/>
      <c r="AF1180" s="1"/>
      <c r="AG1180" s="1"/>
      <c r="AH1180" s="1"/>
      <c r="AI1180" s="1"/>
      <c r="AJ1180" s="1"/>
      <c r="AK1180" s="620"/>
    </row>
    <row r="1181" spans="20:37">
      <c r="T1181" s="588"/>
      <c r="V1181" s="1"/>
      <c r="W1181" s="1"/>
      <c r="X1181" s="1"/>
      <c r="Y1181" s="1"/>
      <c r="Z1181" s="1"/>
      <c r="AA1181" s="1"/>
      <c r="AB1181" s="1"/>
      <c r="AC1181" s="1"/>
      <c r="AD1181" s="1"/>
      <c r="AE1181" s="1"/>
      <c r="AF1181" s="1"/>
      <c r="AG1181" s="1"/>
      <c r="AH1181" s="1"/>
      <c r="AI1181" s="1"/>
      <c r="AJ1181" s="1"/>
      <c r="AK1181" s="620"/>
    </row>
    <row r="1182" spans="20:37">
      <c r="T1182" s="588"/>
      <c r="V1182" s="1"/>
      <c r="W1182" s="1"/>
      <c r="X1182" s="1"/>
      <c r="Y1182" s="1"/>
      <c r="Z1182" s="1"/>
      <c r="AA1182" s="1"/>
      <c r="AB1182" s="1"/>
      <c r="AC1182" s="1"/>
      <c r="AD1182" s="1"/>
      <c r="AE1182" s="1"/>
      <c r="AF1182" s="1"/>
      <c r="AG1182" s="1"/>
      <c r="AH1182" s="1"/>
      <c r="AI1182" s="1"/>
      <c r="AJ1182" s="1"/>
      <c r="AK1182" s="620"/>
    </row>
    <row r="1183" spans="20:37">
      <c r="T1183" s="588"/>
      <c r="V1183" s="1"/>
      <c r="W1183" s="1"/>
      <c r="X1183" s="1"/>
      <c r="Y1183" s="1"/>
      <c r="Z1183" s="1"/>
      <c r="AA1183" s="1"/>
      <c r="AB1183" s="1"/>
      <c r="AC1183" s="1"/>
      <c r="AD1183" s="1"/>
      <c r="AE1183" s="1"/>
      <c r="AF1183" s="1"/>
      <c r="AG1183" s="1"/>
      <c r="AH1183" s="1"/>
      <c r="AI1183" s="1"/>
      <c r="AJ1183" s="1"/>
      <c r="AK1183" s="620"/>
    </row>
    <row r="1184" spans="20:37">
      <c r="T1184" s="588"/>
      <c r="V1184" s="1"/>
      <c r="W1184" s="1"/>
      <c r="X1184" s="1"/>
      <c r="Y1184" s="1"/>
      <c r="Z1184" s="1"/>
      <c r="AA1184" s="1"/>
      <c r="AB1184" s="1"/>
      <c r="AC1184" s="1"/>
      <c r="AD1184" s="1"/>
      <c r="AE1184" s="1"/>
      <c r="AF1184" s="1"/>
      <c r="AG1184" s="1"/>
      <c r="AH1184" s="1"/>
      <c r="AI1184" s="1"/>
      <c r="AJ1184" s="1"/>
      <c r="AK1184" s="620"/>
    </row>
    <row r="1185" spans="20:37">
      <c r="T1185" s="588"/>
      <c r="V1185" s="1"/>
      <c r="W1185" s="1"/>
      <c r="X1185" s="1"/>
      <c r="Y1185" s="1"/>
      <c r="Z1185" s="1"/>
      <c r="AA1185" s="1"/>
      <c r="AB1185" s="1"/>
      <c r="AC1185" s="1"/>
      <c r="AD1185" s="1"/>
      <c r="AE1185" s="1"/>
      <c r="AF1185" s="1"/>
      <c r="AG1185" s="1"/>
      <c r="AH1185" s="1"/>
      <c r="AI1185" s="1"/>
      <c r="AJ1185" s="1"/>
      <c r="AK1185" s="620"/>
    </row>
    <row r="1186" spans="20:37">
      <c r="T1186" s="588"/>
      <c r="V1186" s="1"/>
      <c r="W1186" s="1"/>
      <c r="X1186" s="1"/>
      <c r="Y1186" s="1"/>
      <c r="Z1186" s="1"/>
      <c r="AA1186" s="1"/>
      <c r="AB1186" s="1"/>
      <c r="AC1186" s="1"/>
      <c r="AD1186" s="1"/>
      <c r="AE1186" s="1"/>
      <c r="AF1186" s="1"/>
      <c r="AG1186" s="1"/>
      <c r="AH1186" s="1"/>
      <c r="AI1186" s="1"/>
      <c r="AJ1186" s="1"/>
      <c r="AK1186" s="620"/>
    </row>
    <row r="1187" spans="20:37">
      <c r="T1187" s="588"/>
      <c r="V1187" s="1"/>
      <c r="W1187" s="1"/>
      <c r="X1187" s="1"/>
      <c r="Y1187" s="1"/>
      <c r="Z1187" s="1"/>
      <c r="AA1187" s="1"/>
      <c r="AB1187" s="1"/>
      <c r="AC1187" s="1"/>
      <c r="AD1187" s="1"/>
      <c r="AE1187" s="1"/>
      <c r="AF1187" s="1"/>
      <c r="AG1187" s="1"/>
      <c r="AH1187" s="1"/>
      <c r="AI1187" s="1"/>
      <c r="AJ1187" s="1"/>
      <c r="AK1187" s="620"/>
    </row>
    <row r="1188" spans="20:37">
      <c r="T1188" s="588"/>
      <c r="V1188" s="1"/>
      <c r="W1188" s="1"/>
      <c r="X1188" s="1"/>
      <c r="Y1188" s="1"/>
      <c r="Z1188" s="1"/>
      <c r="AA1188" s="1"/>
      <c r="AB1188" s="1"/>
      <c r="AC1188" s="1"/>
      <c r="AD1188" s="1"/>
      <c r="AE1188" s="1"/>
      <c r="AF1188" s="1"/>
      <c r="AG1188" s="1"/>
      <c r="AH1188" s="1"/>
      <c r="AI1188" s="1"/>
      <c r="AJ1188" s="1"/>
      <c r="AK1188" s="620"/>
    </row>
    <row r="1189" spans="20:37">
      <c r="T1189" s="588"/>
      <c r="V1189" s="1"/>
      <c r="W1189" s="1"/>
      <c r="X1189" s="1"/>
      <c r="Y1189" s="1"/>
      <c r="Z1189" s="1"/>
      <c r="AA1189" s="1"/>
      <c r="AB1189" s="1"/>
      <c r="AC1189" s="1"/>
      <c r="AD1189" s="1"/>
      <c r="AE1189" s="1"/>
      <c r="AF1189" s="1"/>
      <c r="AG1189" s="1"/>
      <c r="AH1189" s="1"/>
      <c r="AI1189" s="1"/>
      <c r="AJ1189" s="1"/>
      <c r="AK1189" s="620"/>
    </row>
    <row r="1190" spans="20:37">
      <c r="T1190" s="588"/>
      <c r="V1190" s="1"/>
      <c r="W1190" s="1"/>
      <c r="X1190" s="1"/>
      <c r="Y1190" s="1"/>
      <c r="Z1190" s="1"/>
      <c r="AA1190" s="1"/>
      <c r="AB1190" s="1"/>
      <c r="AC1190" s="1"/>
      <c r="AD1190" s="1"/>
      <c r="AE1190" s="1"/>
      <c r="AF1190" s="1"/>
      <c r="AG1190" s="1"/>
      <c r="AH1190" s="1"/>
      <c r="AI1190" s="1"/>
      <c r="AJ1190" s="1"/>
      <c r="AK1190" s="620"/>
    </row>
    <row r="1191" spans="20:37">
      <c r="T1191" s="588"/>
      <c r="V1191" s="1"/>
      <c r="W1191" s="1"/>
      <c r="X1191" s="1"/>
      <c r="Y1191" s="1"/>
      <c r="Z1191" s="1"/>
      <c r="AA1191" s="1"/>
      <c r="AB1191" s="1"/>
      <c r="AC1191" s="1"/>
      <c r="AD1191" s="1"/>
      <c r="AE1191" s="1"/>
      <c r="AF1191" s="1"/>
      <c r="AG1191" s="1"/>
      <c r="AH1191" s="1"/>
      <c r="AI1191" s="1"/>
      <c r="AJ1191" s="1"/>
      <c r="AK1191" s="620"/>
    </row>
    <row r="1192" spans="20:37">
      <c r="T1192" s="588"/>
      <c r="V1192" s="1"/>
      <c r="W1192" s="1"/>
      <c r="X1192" s="1"/>
      <c r="Y1192" s="1"/>
      <c r="Z1192" s="1"/>
      <c r="AA1192" s="1"/>
      <c r="AB1192" s="1"/>
      <c r="AC1192" s="1"/>
      <c r="AD1192" s="1"/>
      <c r="AE1192" s="1"/>
      <c r="AF1192" s="1"/>
      <c r="AG1192" s="1"/>
      <c r="AH1192" s="1"/>
      <c r="AI1192" s="1"/>
      <c r="AJ1192" s="1"/>
      <c r="AK1192" s="620"/>
    </row>
    <row r="1193" spans="20:37">
      <c r="T1193" s="588"/>
      <c r="V1193" s="1"/>
      <c r="W1193" s="1"/>
      <c r="X1193" s="1"/>
      <c r="Y1193" s="1"/>
      <c r="Z1193" s="1"/>
      <c r="AA1193" s="1"/>
      <c r="AB1193" s="1"/>
      <c r="AC1193" s="1"/>
      <c r="AD1193" s="1"/>
      <c r="AE1193" s="1"/>
      <c r="AF1193" s="1"/>
      <c r="AG1193" s="1"/>
      <c r="AH1193" s="1"/>
      <c r="AI1193" s="1"/>
      <c r="AJ1193" s="1"/>
      <c r="AK1193" s="620"/>
    </row>
    <row r="1194" spans="20:37">
      <c r="T1194" s="588"/>
      <c r="V1194" s="1"/>
      <c r="W1194" s="1"/>
      <c r="X1194" s="1"/>
      <c r="Y1194" s="1"/>
      <c r="Z1194" s="1"/>
      <c r="AA1194" s="1"/>
      <c r="AB1194" s="1"/>
      <c r="AC1194" s="1"/>
      <c r="AD1194" s="1"/>
      <c r="AE1194" s="1"/>
      <c r="AF1194" s="1"/>
      <c r="AG1194" s="1"/>
      <c r="AH1194" s="1"/>
      <c r="AI1194" s="1"/>
      <c r="AJ1194" s="1"/>
      <c r="AK1194" s="620"/>
    </row>
    <row r="1195" spans="20:37">
      <c r="T1195" s="588"/>
      <c r="V1195" s="1"/>
      <c r="W1195" s="1"/>
      <c r="X1195" s="1"/>
      <c r="Y1195" s="1"/>
      <c r="Z1195" s="1"/>
      <c r="AA1195" s="1"/>
      <c r="AB1195" s="1"/>
      <c r="AC1195" s="1"/>
      <c r="AD1195" s="1"/>
      <c r="AE1195" s="1"/>
      <c r="AF1195" s="1"/>
      <c r="AG1195" s="1"/>
      <c r="AH1195" s="1"/>
      <c r="AI1195" s="1"/>
      <c r="AJ1195" s="1"/>
      <c r="AK1195" s="620"/>
    </row>
    <row r="1196" spans="20:37">
      <c r="T1196" s="588"/>
      <c r="V1196" s="1"/>
      <c r="W1196" s="1"/>
      <c r="X1196" s="1"/>
      <c r="Y1196" s="1"/>
      <c r="Z1196" s="1"/>
      <c r="AA1196" s="1"/>
      <c r="AB1196" s="1"/>
      <c r="AC1196" s="1"/>
      <c r="AD1196" s="1"/>
      <c r="AE1196" s="1"/>
      <c r="AF1196" s="1"/>
      <c r="AG1196" s="1"/>
      <c r="AH1196" s="1"/>
      <c r="AI1196" s="1"/>
      <c r="AJ1196" s="1"/>
      <c r="AK1196" s="620"/>
    </row>
    <row r="1197" spans="20:37">
      <c r="T1197" s="588"/>
      <c r="V1197" s="1"/>
      <c r="W1197" s="1"/>
      <c r="X1197" s="1"/>
      <c r="Y1197" s="1"/>
      <c r="Z1197" s="1"/>
      <c r="AA1197" s="1"/>
      <c r="AB1197" s="1"/>
      <c r="AC1197" s="1"/>
      <c r="AD1197" s="1"/>
      <c r="AE1197" s="1"/>
      <c r="AF1197" s="1"/>
      <c r="AG1197" s="1"/>
      <c r="AH1197" s="1"/>
      <c r="AI1197" s="1"/>
      <c r="AJ1197" s="1"/>
      <c r="AK1197" s="620"/>
    </row>
    <row r="1198" spans="20:37">
      <c r="T1198" s="588"/>
      <c r="V1198" s="1"/>
      <c r="W1198" s="1"/>
      <c r="X1198" s="1"/>
      <c r="Y1198" s="1"/>
      <c r="Z1198" s="1"/>
      <c r="AA1198" s="1"/>
      <c r="AB1198" s="1"/>
      <c r="AC1198" s="1"/>
      <c r="AD1198" s="1"/>
      <c r="AE1198" s="1"/>
      <c r="AF1198" s="1"/>
      <c r="AG1198" s="1"/>
      <c r="AH1198" s="1"/>
      <c r="AI1198" s="1"/>
      <c r="AJ1198" s="1"/>
      <c r="AK1198" s="620"/>
    </row>
    <row r="1199" spans="20:37">
      <c r="T1199" s="588"/>
      <c r="V1199" s="1"/>
      <c r="W1199" s="1"/>
      <c r="X1199" s="1"/>
      <c r="Y1199" s="1"/>
      <c r="Z1199" s="1"/>
      <c r="AA1199" s="1"/>
      <c r="AB1199" s="1"/>
      <c r="AC1199" s="1"/>
      <c r="AD1199" s="1"/>
      <c r="AE1199" s="1"/>
      <c r="AF1199" s="1"/>
      <c r="AG1199" s="1"/>
      <c r="AH1199" s="1"/>
      <c r="AI1199" s="1"/>
      <c r="AJ1199" s="1"/>
      <c r="AK1199" s="620"/>
    </row>
    <row r="1200" spans="20:37">
      <c r="T1200" s="588"/>
      <c r="V1200" s="1"/>
      <c r="W1200" s="1"/>
      <c r="X1200" s="1"/>
      <c r="Y1200" s="1"/>
      <c r="Z1200" s="1"/>
      <c r="AA1200" s="1"/>
      <c r="AB1200" s="1"/>
      <c r="AC1200" s="1"/>
      <c r="AD1200" s="1"/>
      <c r="AE1200" s="1"/>
      <c r="AF1200" s="1"/>
      <c r="AG1200" s="1"/>
      <c r="AH1200" s="1"/>
      <c r="AI1200" s="1"/>
      <c r="AJ1200" s="1"/>
      <c r="AK1200" s="620"/>
    </row>
    <row r="1201" spans="20:37">
      <c r="T1201" s="588"/>
      <c r="V1201" s="1"/>
      <c r="W1201" s="1"/>
      <c r="X1201" s="1"/>
      <c r="Y1201" s="1"/>
      <c r="Z1201" s="1"/>
      <c r="AA1201" s="1"/>
      <c r="AB1201" s="1"/>
      <c r="AC1201" s="1"/>
      <c r="AD1201" s="1"/>
      <c r="AE1201" s="1"/>
      <c r="AF1201" s="1"/>
      <c r="AG1201" s="1"/>
      <c r="AH1201" s="1"/>
      <c r="AI1201" s="1"/>
      <c r="AJ1201" s="1"/>
      <c r="AK1201" s="620"/>
    </row>
    <row r="1202" spans="20:37">
      <c r="T1202" s="588"/>
      <c r="V1202" s="1"/>
      <c r="W1202" s="1"/>
      <c r="X1202" s="1"/>
      <c r="Y1202" s="1"/>
      <c r="Z1202" s="1"/>
      <c r="AA1202" s="1"/>
      <c r="AB1202" s="1"/>
      <c r="AC1202" s="1"/>
      <c r="AD1202" s="1"/>
      <c r="AE1202" s="1"/>
      <c r="AF1202" s="1"/>
      <c r="AG1202" s="1"/>
      <c r="AH1202" s="1"/>
      <c r="AI1202" s="1"/>
      <c r="AJ1202" s="1"/>
      <c r="AK1202" s="620"/>
    </row>
    <row r="1203" spans="20:37">
      <c r="T1203" s="588"/>
      <c r="V1203" s="1"/>
      <c r="W1203" s="1"/>
      <c r="X1203" s="1"/>
      <c r="Y1203" s="1"/>
      <c r="Z1203" s="1"/>
      <c r="AA1203" s="1"/>
      <c r="AB1203" s="1"/>
      <c r="AC1203" s="1"/>
      <c r="AD1203" s="1"/>
      <c r="AE1203" s="1"/>
      <c r="AF1203" s="1"/>
      <c r="AG1203" s="1"/>
      <c r="AH1203" s="1"/>
      <c r="AI1203" s="1"/>
      <c r="AJ1203" s="1"/>
      <c r="AK1203" s="620"/>
    </row>
    <row r="1204" spans="20:37">
      <c r="T1204" s="588"/>
      <c r="V1204" s="1"/>
      <c r="W1204" s="1"/>
      <c r="X1204" s="1"/>
      <c r="Y1204" s="1"/>
      <c r="Z1204" s="1"/>
      <c r="AA1204" s="1"/>
      <c r="AB1204" s="1"/>
      <c r="AC1204" s="1"/>
      <c r="AD1204" s="1"/>
      <c r="AE1204" s="1"/>
      <c r="AF1204" s="1"/>
      <c r="AG1204" s="1"/>
      <c r="AH1204" s="1"/>
      <c r="AI1204" s="1"/>
      <c r="AJ1204" s="1"/>
      <c r="AK1204" s="620"/>
    </row>
    <row r="1205" spans="20:37">
      <c r="T1205" s="588"/>
      <c r="V1205" s="1"/>
      <c r="W1205" s="1"/>
      <c r="X1205" s="1"/>
      <c r="Y1205" s="1"/>
      <c r="Z1205" s="1"/>
      <c r="AA1205" s="1"/>
      <c r="AB1205" s="1"/>
      <c r="AC1205" s="1"/>
      <c r="AD1205" s="1"/>
      <c r="AE1205" s="1"/>
      <c r="AF1205" s="1"/>
      <c r="AG1205" s="1"/>
      <c r="AH1205" s="1"/>
      <c r="AI1205" s="1"/>
      <c r="AJ1205" s="1"/>
      <c r="AK1205" s="620"/>
    </row>
    <row r="1206" spans="20:37">
      <c r="T1206" s="588"/>
      <c r="V1206" s="1"/>
      <c r="W1206" s="1"/>
      <c r="X1206" s="1"/>
      <c r="Y1206" s="1"/>
      <c r="Z1206" s="1"/>
      <c r="AA1206" s="1"/>
      <c r="AB1206" s="1"/>
      <c r="AC1206" s="1"/>
      <c r="AD1206" s="1"/>
      <c r="AE1206" s="1"/>
      <c r="AF1206" s="1"/>
      <c r="AG1206" s="1"/>
      <c r="AH1206" s="1"/>
      <c r="AI1206" s="1"/>
      <c r="AJ1206" s="1"/>
      <c r="AK1206" s="620"/>
    </row>
    <row r="1207" spans="20:37">
      <c r="T1207" s="588"/>
      <c r="V1207" s="1"/>
      <c r="W1207" s="1"/>
      <c r="X1207" s="1"/>
      <c r="Y1207" s="1"/>
      <c r="Z1207" s="1"/>
      <c r="AA1207" s="1"/>
      <c r="AB1207" s="1"/>
      <c r="AC1207" s="1"/>
      <c r="AD1207" s="1"/>
      <c r="AE1207" s="1"/>
      <c r="AF1207" s="1"/>
      <c r="AG1207" s="1"/>
      <c r="AH1207" s="1"/>
      <c r="AI1207" s="1"/>
      <c r="AJ1207" s="1"/>
      <c r="AK1207" s="620"/>
    </row>
    <row r="1208" spans="20:37">
      <c r="T1208" s="588"/>
      <c r="V1208" s="1"/>
      <c r="W1208" s="1"/>
      <c r="X1208" s="1"/>
      <c r="Y1208" s="1"/>
      <c r="Z1208" s="1"/>
      <c r="AA1208" s="1"/>
      <c r="AB1208" s="1"/>
      <c r="AC1208" s="1"/>
      <c r="AD1208" s="1"/>
      <c r="AE1208" s="1"/>
      <c r="AF1208" s="1"/>
      <c r="AG1208" s="1"/>
      <c r="AH1208" s="1"/>
      <c r="AI1208" s="1"/>
      <c r="AJ1208" s="1"/>
      <c r="AK1208" s="620"/>
    </row>
    <row r="1209" spans="20:37">
      <c r="T1209" s="588"/>
      <c r="V1209" s="1"/>
      <c r="W1209" s="1"/>
      <c r="X1209" s="1"/>
      <c r="Y1209" s="1"/>
      <c r="Z1209" s="1"/>
      <c r="AA1209" s="1"/>
      <c r="AB1209" s="1"/>
      <c r="AC1209" s="1"/>
      <c r="AD1209" s="1"/>
      <c r="AE1209" s="1"/>
      <c r="AF1209" s="1"/>
      <c r="AG1209" s="1"/>
      <c r="AH1209" s="1"/>
      <c r="AI1209" s="1"/>
      <c r="AJ1209" s="1"/>
      <c r="AK1209" s="620"/>
    </row>
    <row r="1210" spans="20:37">
      <c r="T1210" s="588"/>
      <c r="V1210" s="1"/>
      <c r="W1210" s="1"/>
      <c r="X1210" s="1"/>
      <c r="Y1210" s="1"/>
      <c r="Z1210" s="1"/>
      <c r="AA1210" s="1"/>
      <c r="AB1210" s="1"/>
      <c r="AC1210" s="1"/>
      <c r="AD1210" s="1"/>
      <c r="AE1210" s="1"/>
      <c r="AF1210" s="1"/>
      <c r="AG1210" s="1"/>
      <c r="AH1210" s="1"/>
      <c r="AI1210" s="1"/>
      <c r="AJ1210" s="1"/>
      <c r="AK1210" s="620"/>
    </row>
    <row r="1211" spans="20:37">
      <c r="T1211" s="588"/>
      <c r="V1211" s="1"/>
      <c r="W1211" s="1"/>
      <c r="X1211" s="1"/>
      <c r="Y1211" s="1"/>
      <c r="Z1211" s="1"/>
      <c r="AA1211" s="1"/>
      <c r="AB1211" s="1"/>
      <c r="AC1211" s="1"/>
      <c r="AD1211" s="1"/>
      <c r="AE1211" s="1"/>
      <c r="AF1211" s="1"/>
      <c r="AG1211" s="1"/>
      <c r="AH1211" s="1"/>
      <c r="AI1211" s="1"/>
      <c r="AJ1211" s="1"/>
      <c r="AK1211" s="620"/>
    </row>
    <row r="1212" spans="20:37">
      <c r="T1212" s="588"/>
      <c r="V1212" s="1"/>
      <c r="W1212" s="1"/>
      <c r="X1212" s="1"/>
      <c r="Y1212" s="1"/>
      <c r="Z1212" s="1"/>
      <c r="AA1212" s="1"/>
      <c r="AB1212" s="1"/>
      <c r="AC1212" s="1"/>
      <c r="AD1212" s="1"/>
      <c r="AE1212" s="1"/>
      <c r="AF1212" s="1"/>
      <c r="AG1212" s="1"/>
      <c r="AH1212" s="1"/>
      <c r="AI1212" s="1"/>
      <c r="AJ1212" s="1"/>
      <c r="AK1212" s="620"/>
    </row>
    <row r="1213" spans="20:37">
      <c r="T1213" s="588"/>
      <c r="V1213" s="1"/>
      <c r="W1213" s="1"/>
      <c r="X1213" s="1"/>
      <c r="Y1213" s="1"/>
      <c r="Z1213" s="1"/>
      <c r="AA1213" s="1"/>
      <c r="AB1213" s="1"/>
      <c r="AC1213" s="1"/>
      <c r="AD1213" s="1"/>
      <c r="AE1213" s="1"/>
      <c r="AF1213" s="1"/>
      <c r="AG1213" s="1"/>
      <c r="AH1213" s="1"/>
      <c r="AI1213" s="1"/>
      <c r="AJ1213" s="1"/>
      <c r="AK1213" s="620"/>
    </row>
    <row r="1214" spans="20:37">
      <c r="T1214" s="588"/>
      <c r="V1214" s="1"/>
      <c r="W1214" s="1"/>
      <c r="X1214" s="1"/>
      <c r="Y1214" s="1"/>
      <c r="Z1214" s="1"/>
      <c r="AA1214" s="1"/>
      <c r="AB1214" s="1"/>
      <c r="AC1214" s="1"/>
      <c r="AD1214" s="1"/>
      <c r="AE1214" s="1"/>
      <c r="AF1214" s="1"/>
      <c r="AG1214" s="1"/>
      <c r="AH1214" s="1"/>
      <c r="AI1214" s="1"/>
      <c r="AJ1214" s="1"/>
      <c r="AK1214" s="620"/>
    </row>
    <row r="1215" spans="20:37">
      <c r="T1215" s="588"/>
      <c r="V1215" s="1"/>
      <c r="W1215" s="1"/>
      <c r="X1215" s="1"/>
      <c r="Y1215" s="1"/>
      <c r="Z1215" s="1"/>
      <c r="AA1215" s="1"/>
      <c r="AB1215" s="1"/>
      <c r="AC1215" s="1"/>
      <c r="AD1215" s="1"/>
      <c r="AE1215" s="1"/>
      <c r="AF1215" s="1"/>
      <c r="AG1215" s="1"/>
      <c r="AH1215" s="1"/>
      <c r="AI1215" s="1"/>
      <c r="AJ1215" s="1"/>
      <c r="AK1215" s="620"/>
    </row>
    <row r="1216" spans="20:37">
      <c r="T1216" s="588"/>
      <c r="V1216" s="1"/>
      <c r="W1216" s="1"/>
      <c r="X1216" s="1"/>
      <c r="Y1216" s="1"/>
      <c r="Z1216" s="1"/>
      <c r="AA1216" s="1"/>
      <c r="AB1216" s="1"/>
      <c r="AC1216" s="1"/>
      <c r="AD1216" s="1"/>
      <c r="AE1216" s="1"/>
      <c r="AF1216" s="1"/>
      <c r="AG1216" s="1"/>
      <c r="AH1216" s="1"/>
      <c r="AI1216" s="1"/>
      <c r="AJ1216" s="1"/>
      <c r="AK1216" s="620"/>
    </row>
    <row r="1217" spans="20:37">
      <c r="T1217" s="588"/>
      <c r="V1217" s="1"/>
      <c r="W1217" s="1"/>
      <c r="X1217" s="1"/>
      <c r="Y1217" s="1"/>
      <c r="Z1217" s="1"/>
      <c r="AA1217" s="1"/>
      <c r="AB1217" s="1"/>
      <c r="AC1217" s="1"/>
      <c r="AD1217" s="1"/>
      <c r="AE1217" s="1"/>
      <c r="AF1217" s="1"/>
      <c r="AG1217" s="1"/>
      <c r="AH1217" s="1"/>
      <c r="AI1217" s="1"/>
      <c r="AJ1217" s="1"/>
      <c r="AK1217" s="620"/>
    </row>
    <row r="1218" spans="20:37">
      <c r="T1218" s="588"/>
      <c r="V1218" s="1"/>
      <c r="W1218" s="1"/>
      <c r="X1218" s="1"/>
      <c r="Y1218" s="1"/>
      <c r="Z1218" s="1"/>
      <c r="AA1218" s="1"/>
      <c r="AB1218" s="1"/>
      <c r="AC1218" s="1"/>
      <c r="AD1218" s="1"/>
      <c r="AE1218" s="1"/>
      <c r="AF1218" s="1"/>
      <c r="AG1218" s="1"/>
      <c r="AH1218" s="1"/>
      <c r="AI1218" s="1"/>
      <c r="AJ1218" s="1"/>
      <c r="AK1218" s="620"/>
    </row>
    <row r="1219" spans="20:37">
      <c r="T1219" s="588"/>
      <c r="V1219" s="1"/>
      <c r="W1219" s="1"/>
      <c r="X1219" s="1"/>
      <c r="Y1219" s="1"/>
      <c r="Z1219" s="1"/>
      <c r="AA1219" s="1"/>
      <c r="AB1219" s="1"/>
      <c r="AC1219" s="1"/>
      <c r="AD1219" s="1"/>
      <c r="AE1219" s="1"/>
      <c r="AF1219" s="1"/>
      <c r="AG1219" s="1"/>
      <c r="AH1219" s="1"/>
      <c r="AI1219" s="1"/>
      <c r="AJ1219" s="1"/>
      <c r="AK1219" s="620"/>
    </row>
    <row r="1220" spans="20:37">
      <c r="T1220" s="588"/>
      <c r="V1220" s="1"/>
      <c r="W1220" s="1"/>
      <c r="X1220" s="1"/>
      <c r="Y1220" s="1"/>
      <c r="Z1220" s="1"/>
      <c r="AA1220" s="1"/>
      <c r="AB1220" s="1"/>
      <c r="AC1220" s="1"/>
      <c r="AD1220" s="1"/>
      <c r="AE1220" s="1"/>
      <c r="AF1220" s="1"/>
      <c r="AG1220" s="1"/>
      <c r="AH1220" s="1"/>
      <c r="AI1220" s="1"/>
      <c r="AJ1220" s="1"/>
      <c r="AK1220" s="620"/>
    </row>
    <row r="1221" spans="20:37">
      <c r="T1221" s="588"/>
      <c r="V1221" s="1"/>
      <c r="W1221" s="1"/>
      <c r="X1221" s="1"/>
      <c r="Y1221" s="1"/>
      <c r="Z1221" s="1"/>
      <c r="AA1221" s="1"/>
      <c r="AB1221" s="1"/>
      <c r="AC1221" s="1"/>
      <c r="AD1221" s="1"/>
      <c r="AE1221" s="1"/>
      <c r="AF1221" s="1"/>
      <c r="AG1221" s="1"/>
      <c r="AH1221" s="1"/>
      <c r="AI1221" s="1"/>
      <c r="AJ1221" s="1"/>
      <c r="AK1221" s="620"/>
    </row>
    <row r="1222" spans="20:37">
      <c r="T1222" s="588"/>
      <c r="V1222" s="1"/>
      <c r="W1222" s="1"/>
      <c r="X1222" s="1"/>
      <c r="Y1222" s="1"/>
      <c r="Z1222" s="1"/>
      <c r="AA1222" s="1"/>
      <c r="AB1222" s="1"/>
      <c r="AC1222" s="1"/>
      <c r="AD1222" s="1"/>
      <c r="AE1222" s="1"/>
      <c r="AF1222" s="1"/>
      <c r="AG1222" s="1"/>
      <c r="AH1222" s="1"/>
      <c r="AI1222" s="1"/>
      <c r="AJ1222" s="1"/>
      <c r="AK1222" s="620"/>
    </row>
    <row r="1223" spans="20:37">
      <c r="T1223" s="588"/>
      <c r="V1223" s="1"/>
      <c r="W1223" s="1"/>
      <c r="X1223" s="1"/>
      <c r="Y1223" s="1"/>
      <c r="Z1223" s="1"/>
      <c r="AA1223" s="1"/>
      <c r="AB1223" s="1"/>
      <c r="AC1223" s="1"/>
      <c r="AD1223" s="1"/>
      <c r="AE1223" s="1"/>
      <c r="AF1223" s="1"/>
      <c r="AG1223" s="1"/>
      <c r="AH1223" s="1"/>
      <c r="AI1223" s="1"/>
      <c r="AJ1223" s="1"/>
      <c r="AK1223" s="620"/>
    </row>
    <row r="1224" spans="20:37">
      <c r="T1224" s="588"/>
      <c r="V1224" s="1"/>
      <c r="W1224" s="1"/>
      <c r="X1224" s="1"/>
      <c r="Y1224" s="1"/>
      <c r="Z1224" s="1"/>
      <c r="AA1224" s="1"/>
      <c r="AB1224" s="1"/>
      <c r="AC1224" s="1"/>
      <c r="AD1224" s="1"/>
      <c r="AE1224" s="1"/>
      <c r="AF1224" s="1"/>
      <c r="AG1224" s="1"/>
      <c r="AH1224" s="1"/>
      <c r="AI1224" s="1"/>
      <c r="AJ1224" s="1"/>
      <c r="AK1224" s="620"/>
    </row>
    <row r="1225" spans="20:37">
      <c r="T1225" s="588"/>
      <c r="V1225" s="1"/>
      <c r="W1225" s="1"/>
      <c r="X1225" s="1"/>
      <c r="Y1225" s="1"/>
      <c r="Z1225" s="1"/>
      <c r="AA1225" s="1"/>
      <c r="AB1225" s="1"/>
      <c r="AC1225" s="1"/>
      <c r="AD1225" s="1"/>
      <c r="AE1225" s="1"/>
      <c r="AF1225" s="1"/>
      <c r="AG1225" s="1"/>
      <c r="AH1225" s="1"/>
      <c r="AI1225" s="1"/>
      <c r="AJ1225" s="1"/>
      <c r="AK1225" s="620"/>
    </row>
    <row r="1226" spans="20:37">
      <c r="T1226" s="588"/>
      <c r="V1226" s="1"/>
      <c r="W1226" s="1"/>
      <c r="X1226" s="1"/>
      <c r="Y1226" s="1"/>
      <c r="Z1226" s="1"/>
      <c r="AA1226" s="1"/>
      <c r="AB1226" s="1"/>
      <c r="AC1226" s="1"/>
      <c r="AD1226" s="1"/>
      <c r="AE1226" s="1"/>
      <c r="AF1226" s="1"/>
      <c r="AG1226" s="1"/>
      <c r="AH1226" s="1"/>
      <c r="AI1226" s="1"/>
      <c r="AJ1226" s="1"/>
      <c r="AK1226" s="620"/>
    </row>
    <row r="1227" spans="20:37">
      <c r="T1227" s="588"/>
      <c r="V1227" s="1"/>
      <c r="W1227" s="1"/>
      <c r="X1227" s="1"/>
      <c r="Y1227" s="1"/>
      <c r="Z1227" s="1"/>
      <c r="AA1227" s="1"/>
      <c r="AB1227" s="1"/>
      <c r="AC1227" s="1"/>
      <c r="AD1227" s="1"/>
      <c r="AE1227" s="1"/>
      <c r="AF1227" s="1"/>
      <c r="AG1227" s="1"/>
      <c r="AH1227" s="1"/>
      <c r="AI1227" s="1"/>
      <c r="AJ1227" s="1"/>
      <c r="AK1227" s="620"/>
    </row>
    <row r="1228" spans="20:37">
      <c r="T1228" s="588"/>
      <c r="V1228" s="1"/>
      <c r="W1228" s="1"/>
      <c r="X1228" s="1"/>
      <c r="Y1228" s="1"/>
      <c r="Z1228" s="1"/>
      <c r="AA1228" s="1"/>
      <c r="AB1228" s="1"/>
      <c r="AC1228" s="1"/>
      <c r="AD1228" s="1"/>
      <c r="AE1228" s="1"/>
      <c r="AF1228" s="1"/>
      <c r="AG1228" s="1"/>
      <c r="AH1228" s="1"/>
      <c r="AI1228" s="1"/>
      <c r="AJ1228" s="1"/>
      <c r="AK1228" s="620"/>
    </row>
    <row r="1229" spans="20:37">
      <c r="T1229" s="588"/>
      <c r="V1229" s="1"/>
      <c r="W1229" s="1"/>
      <c r="X1229" s="1"/>
      <c r="Y1229" s="1"/>
      <c r="Z1229" s="1"/>
      <c r="AA1229" s="1"/>
      <c r="AB1229" s="1"/>
      <c r="AC1229" s="1"/>
      <c r="AD1229" s="1"/>
      <c r="AE1229" s="1"/>
      <c r="AF1229" s="1"/>
      <c r="AG1229" s="1"/>
      <c r="AH1229" s="1"/>
      <c r="AI1229" s="1"/>
      <c r="AJ1229" s="1"/>
      <c r="AK1229" s="620"/>
    </row>
    <row r="1230" spans="20:37">
      <c r="T1230" s="588"/>
      <c r="V1230" s="1"/>
      <c r="W1230" s="1"/>
      <c r="X1230" s="1"/>
      <c r="Y1230" s="1"/>
      <c r="Z1230" s="1"/>
      <c r="AA1230" s="1"/>
      <c r="AB1230" s="1"/>
      <c r="AC1230" s="1"/>
      <c r="AD1230" s="1"/>
      <c r="AE1230" s="1"/>
      <c r="AF1230" s="1"/>
      <c r="AG1230" s="1"/>
      <c r="AH1230" s="1"/>
      <c r="AI1230" s="1"/>
      <c r="AJ1230" s="1"/>
      <c r="AK1230" s="620"/>
    </row>
    <row r="1231" spans="20:37">
      <c r="T1231" s="588"/>
      <c r="V1231" s="1"/>
      <c r="W1231" s="1"/>
      <c r="X1231" s="1"/>
      <c r="Y1231" s="1"/>
      <c r="Z1231" s="1"/>
      <c r="AA1231" s="1"/>
      <c r="AB1231" s="1"/>
      <c r="AC1231" s="1"/>
      <c r="AD1231" s="1"/>
      <c r="AE1231" s="1"/>
      <c r="AF1231" s="1"/>
      <c r="AG1231" s="1"/>
      <c r="AH1231" s="1"/>
      <c r="AI1231" s="1"/>
      <c r="AJ1231" s="1"/>
      <c r="AK1231" s="620"/>
    </row>
    <row r="1232" spans="20:37">
      <c r="T1232" s="588"/>
      <c r="V1232" s="1"/>
      <c r="W1232" s="1"/>
      <c r="X1232" s="1"/>
      <c r="Y1232" s="1"/>
      <c r="Z1232" s="1"/>
      <c r="AA1232" s="1"/>
      <c r="AB1232" s="1"/>
      <c r="AC1232" s="1"/>
      <c r="AD1232" s="1"/>
      <c r="AE1232" s="1"/>
      <c r="AF1232" s="1"/>
      <c r="AG1232" s="1"/>
      <c r="AH1232" s="1"/>
      <c r="AI1232" s="1"/>
      <c r="AJ1232" s="1"/>
      <c r="AK1232" s="620"/>
    </row>
    <row r="1233" spans="20:37">
      <c r="T1233" s="588"/>
      <c r="V1233" s="1"/>
      <c r="W1233" s="1"/>
      <c r="X1233" s="1"/>
      <c r="Y1233" s="1"/>
      <c r="Z1233" s="1"/>
      <c r="AA1233" s="1"/>
      <c r="AB1233" s="1"/>
      <c r="AC1233" s="1"/>
      <c r="AD1233" s="1"/>
      <c r="AE1233" s="1"/>
      <c r="AF1233" s="1"/>
      <c r="AG1233" s="1"/>
      <c r="AH1233" s="1"/>
      <c r="AI1233" s="1"/>
      <c r="AJ1233" s="1"/>
      <c r="AK1233" s="620"/>
    </row>
    <row r="1234" spans="20:37">
      <c r="T1234" s="588"/>
      <c r="V1234" s="1"/>
      <c r="W1234" s="1"/>
      <c r="X1234" s="1"/>
      <c r="Y1234" s="1"/>
      <c r="Z1234" s="1"/>
      <c r="AA1234" s="1"/>
      <c r="AB1234" s="1"/>
      <c r="AC1234" s="1"/>
      <c r="AD1234" s="1"/>
      <c r="AE1234" s="1"/>
      <c r="AF1234" s="1"/>
      <c r="AG1234" s="1"/>
      <c r="AH1234" s="1"/>
      <c r="AI1234" s="1"/>
      <c r="AJ1234" s="1"/>
      <c r="AK1234" s="620"/>
    </row>
    <row r="1235" spans="20:37">
      <c r="T1235" s="588"/>
      <c r="V1235" s="1"/>
      <c r="W1235" s="1"/>
      <c r="X1235" s="1"/>
      <c r="Y1235" s="1"/>
      <c r="Z1235" s="1"/>
      <c r="AA1235" s="1"/>
      <c r="AB1235" s="1"/>
      <c r="AC1235" s="1"/>
      <c r="AD1235" s="1"/>
      <c r="AE1235" s="1"/>
      <c r="AF1235" s="1"/>
      <c r="AG1235" s="1"/>
      <c r="AH1235" s="1"/>
      <c r="AI1235" s="1"/>
      <c r="AJ1235" s="1"/>
      <c r="AK1235" s="620"/>
    </row>
    <row r="1236" spans="20:37">
      <c r="T1236" s="588"/>
      <c r="V1236" s="1"/>
      <c r="W1236" s="1"/>
      <c r="X1236" s="1"/>
      <c r="Y1236" s="1"/>
      <c r="Z1236" s="1"/>
      <c r="AA1236" s="1"/>
      <c r="AB1236" s="1"/>
      <c r="AC1236" s="1"/>
      <c r="AD1236" s="1"/>
      <c r="AE1236" s="1"/>
      <c r="AF1236" s="1"/>
      <c r="AG1236" s="1"/>
      <c r="AH1236" s="1"/>
      <c r="AI1236" s="1"/>
      <c r="AJ1236" s="1"/>
      <c r="AK1236" s="620"/>
    </row>
    <row r="1237" spans="20:37">
      <c r="T1237" s="588"/>
      <c r="V1237" s="1"/>
      <c r="W1237" s="1"/>
      <c r="X1237" s="1"/>
      <c r="Y1237" s="1"/>
      <c r="Z1237" s="1"/>
      <c r="AA1237" s="1"/>
      <c r="AB1237" s="1"/>
      <c r="AC1237" s="1"/>
      <c r="AD1237" s="1"/>
      <c r="AE1237" s="1"/>
      <c r="AF1237" s="1"/>
      <c r="AG1237" s="1"/>
      <c r="AH1237" s="1"/>
      <c r="AI1237" s="1"/>
      <c r="AJ1237" s="1"/>
      <c r="AK1237" s="620"/>
    </row>
    <row r="1238" spans="20:37">
      <c r="T1238" s="588"/>
      <c r="V1238" s="1"/>
      <c r="W1238" s="1"/>
      <c r="X1238" s="1"/>
      <c r="Y1238" s="1"/>
      <c r="Z1238" s="1"/>
      <c r="AA1238" s="1"/>
      <c r="AB1238" s="1"/>
      <c r="AC1238" s="1"/>
      <c r="AD1238" s="1"/>
      <c r="AE1238" s="1"/>
      <c r="AF1238" s="1"/>
      <c r="AG1238" s="1"/>
      <c r="AH1238" s="1"/>
      <c r="AI1238" s="1"/>
      <c r="AJ1238" s="1"/>
      <c r="AK1238" s="620"/>
    </row>
    <row r="1239" spans="20:37">
      <c r="T1239" s="588"/>
      <c r="V1239" s="1"/>
      <c r="W1239" s="1"/>
      <c r="X1239" s="1"/>
      <c r="Y1239" s="1"/>
      <c r="Z1239" s="1"/>
      <c r="AA1239" s="1"/>
      <c r="AB1239" s="1"/>
      <c r="AC1239" s="1"/>
      <c r="AD1239" s="1"/>
      <c r="AE1239" s="1"/>
      <c r="AF1239" s="1"/>
      <c r="AG1239" s="1"/>
      <c r="AH1239" s="1"/>
      <c r="AI1239" s="1"/>
      <c r="AJ1239" s="1"/>
      <c r="AK1239" s="620"/>
    </row>
    <row r="1240" spans="20:37">
      <c r="T1240" s="588"/>
      <c r="V1240" s="1"/>
      <c r="W1240" s="1"/>
      <c r="X1240" s="1"/>
      <c r="Y1240" s="1"/>
      <c r="Z1240" s="1"/>
      <c r="AA1240" s="1"/>
      <c r="AB1240" s="1"/>
      <c r="AC1240" s="1"/>
      <c r="AD1240" s="1"/>
      <c r="AE1240" s="1"/>
      <c r="AF1240" s="1"/>
      <c r="AG1240" s="1"/>
      <c r="AH1240" s="1"/>
      <c r="AI1240" s="1"/>
      <c r="AJ1240" s="1"/>
      <c r="AK1240" s="620"/>
    </row>
    <row r="1241" spans="20:37">
      <c r="T1241" s="588"/>
      <c r="V1241" s="1"/>
      <c r="W1241" s="1"/>
      <c r="X1241" s="1"/>
      <c r="Y1241" s="1"/>
      <c r="Z1241" s="1"/>
      <c r="AA1241" s="1"/>
      <c r="AB1241" s="1"/>
      <c r="AC1241" s="1"/>
      <c r="AD1241" s="1"/>
      <c r="AE1241" s="1"/>
      <c r="AF1241" s="1"/>
      <c r="AG1241" s="1"/>
      <c r="AH1241" s="1"/>
      <c r="AI1241" s="1"/>
      <c r="AJ1241" s="1"/>
      <c r="AK1241" s="620"/>
    </row>
    <row r="1242" spans="20:37">
      <c r="T1242" s="588"/>
      <c r="V1242" s="1"/>
      <c r="W1242" s="1"/>
      <c r="X1242" s="1"/>
      <c r="Y1242" s="1"/>
      <c r="Z1242" s="1"/>
      <c r="AA1242" s="1"/>
      <c r="AB1242" s="1"/>
      <c r="AC1242" s="1"/>
      <c r="AD1242" s="1"/>
      <c r="AE1242" s="1"/>
      <c r="AF1242" s="1"/>
      <c r="AG1242" s="1"/>
      <c r="AH1242" s="1"/>
      <c r="AI1242" s="1"/>
      <c r="AJ1242" s="1"/>
      <c r="AK1242" s="620"/>
    </row>
    <row r="1243" spans="20:37">
      <c r="T1243" s="588"/>
      <c r="V1243" s="1"/>
      <c r="W1243" s="1"/>
      <c r="X1243" s="1"/>
      <c r="Y1243" s="1"/>
      <c r="Z1243" s="1"/>
      <c r="AA1243" s="1"/>
      <c r="AB1243" s="1"/>
      <c r="AC1243" s="1"/>
      <c r="AD1243" s="1"/>
      <c r="AE1243" s="1"/>
      <c r="AF1243" s="1"/>
      <c r="AG1243" s="1"/>
      <c r="AH1243" s="1"/>
      <c r="AI1243" s="1"/>
      <c r="AJ1243" s="1"/>
      <c r="AK1243" s="620"/>
    </row>
    <row r="1244" spans="20:37">
      <c r="T1244" s="588"/>
      <c r="V1244" s="1"/>
      <c r="W1244" s="1"/>
      <c r="X1244" s="1"/>
      <c r="Y1244" s="1"/>
      <c r="Z1244" s="1"/>
      <c r="AA1244" s="1"/>
      <c r="AB1244" s="1"/>
      <c r="AC1244" s="1"/>
      <c r="AD1244" s="1"/>
      <c r="AE1244" s="1"/>
      <c r="AF1244" s="1"/>
      <c r="AG1244" s="1"/>
      <c r="AH1244" s="1"/>
      <c r="AI1244" s="1"/>
      <c r="AJ1244" s="1"/>
      <c r="AK1244" s="620"/>
    </row>
    <row r="1245" spans="20:37">
      <c r="T1245" s="588"/>
      <c r="V1245" s="1"/>
      <c r="W1245" s="1"/>
      <c r="X1245" s="1"/>
      <c r="Y1245" s="1"/>
      <c r="Z1245" s="1"/>
      <c r="AA1245" s="1"/>
      <c r="AB1245" s="1"/>
      <c r="AC1245" s="1"/>
      <c r="AD1245" s="1"/>
      <c r="AE1245" s="1"/>
      <c r="AF1245" s="1"/>
      <c r="AG1245" s="1"/>
      <c r="AH1245" s="1"/>
      <c r="AI1245" s="1"/>
      <c r="AJ1245" s="1"/>
      <c r="AK1245" s="338"/>
    </row>
    <row r="1246" spans="20:37">
      <c r="T1246" s="588"/>
      <c r="V1246" s="1"/>
      <c r="W1246" s="1"/>
      <c r="X1246" s="1"/>
      <c r="Y1246" s="1"/>
      <c r="Z1246" s="1"/>
      <c r="AA1246" s="1"/>
      <c r="AB1246" s="1"/>
      <c r="AC1246" s="1"/>
      <c r="AD1246" s="1"/>
      <c r="AE1246" s="1"/>
      <c r="AF1246" s="1"/>
      <c r="AG1246" s="1"/>
      <c r="AH1246" s="1"/>
      <c r="AI1246" s="1"/>
      <c r="AJ1246" s="1"/>
      <c r="AK1246" s="338"/>
    </row>
    <row r="1247" spans="20:37">
      <c r="T1247" s="588"/>
      <c r="V1247" s="1"/>
      <c r="W1247" s="1"/>
      <c r="X1247" s="1"/>
      <c r="Y1247" s="1"/>
      <c r="Z1247" s="1"/>
      <c r="AA1247" s="1"/>
      <c r="AB1247" s="1"/>
      <c r="AC1247" s="1"/>
      <c r="AD1247" s="1"/>
      <c r="AE1247" s="1"/>
      <c r="AF1247" s="1"/>
      <c r="AG1247" s="1"/>
      <c r="AH1247" s="1"/>
      <c r="AI1247" s="1"/>
      <c r="AJ1247" s="1"/>
      <c r="AK1247" s="338"/>
    </row>
    <row r="1248" spans="20:37">
      <c r="T1248" s="588"/>
      <c r="V1248" s="1"/>
      <c r="W1248" s="1"/>
      <c r="X1248" s="1"/>
      <c r="Y1248" s="1"/>
      <c r="Z1248" s="1"/>
      <c r="AA1248" s="1"/>
      <c r="AB1248" s="1"/>
      <c r="AC1248" s="1"/>
      <c r="AD1248" s="1"/>
      <c r="AE1248" s="1"/>
      <c r="AF1248" s="1"/>
      <c r="AG1248" s="1"/>
      <c r="AH1248" s="1"/>
      <c r="AI1248" s="1"/>
      <c r="AJ1248" s="1"/>
      <c r="AK1248" s="338"/>
    </row>
    <row r="1249" spans="20:37">
      <c r="T1249" s="588"/>
      <c r="V1249" s="1"/>
      <c r="W1249" s="1"/>
      <c r="X1249" s="1"/>
      <c r="Y1249" s="1"/>
      <c r="Z1249" s="1"/>
      <c r="AA1249" s="1"/>
      <c r="AB1249" s="1"/>
      <c r="AC1249" s="1"/>
      <c r="AD1249" s="1"/>
      <c r="AE1249" s="1"/>
      <c r="AF1249" s="1"/>
      <c r="AG1249" s="1"/>
      <c r="AH1249" s="1"/>
      <c r="AI1249" s="1"/>
      <c r="AJ1249" s="1"/>
      <c r="AK1249" s="338"/>
    </row>
    <row r="1250" spans="20:37">
      <c r="T1250" s="588"/>
      <c r="V1250" s="1"/>
      <c r="W1250" s="1"/>
      <c r="X1250" s="1"/>
      <c r="Y1250" s="1"/>
      <c r="Z1250" s="1"/>
      <c r="AA1250" s="1"/>
      <c r="AB1250" s="1"/>
      <c r="AC1250" s="1"/>
      <c r="AD1250" s="1"/>
      <c r="AE1250" s="1"/>
      <c r="AF1250" s="1"/>
      <c r="AG1250" s="1"/>
      <c r="AH1250" s="1"/>
      <c r="AI1250" s="1"/>
      <c r="AJ1250" s="1"/>
      <c r="AK1250" s="338"/>
    </row>
    <row r="1251" spans="20:37">
      <c r="T1251" s="588"/>
      <c r="V1251" s="1"/>
      <c r="W1251" s="1"/>
      <c r="X1251" s="1"/>
      <c r="Y1251" s="1"/>
      <c r="Z1251" s="1"/>
      <c r="AA1251" s="1"/>
      <c r="AB1251" s="1"/>
      <c r="AC1251" s="1"/>
      <c r="AD1251" s="1"/>
      <c r="AE1251" s="1"/>
      <c r="AF1251" s="1"/>
      <c r="AG1251" s="1"/>
      <c r="AH1251" s="1"/>
      <c r="AI1251" s="1"/>
      <c r="AJ1251" s="1"/>
      <c r="AK1251" s="338"/>
    </row>
    <row r="1252" spans="20:37">
      <c r="T1252" s="588"/>
      <c r="V1252" s="1"/>
      <c r="W1252" s="1"/>
      <c r="X1252" s="1"/>
      <c r="Y1252" s="1"/>
      <c r="Z1252" s="1"/>
      <c r="AA1252" s="1"/>
      <c r="AB1252" s="1"/>
      <c r="AC1252" s="1"/>
      <c r="AD1252" s="1"/>
      <c r="AE1252" s="1"/>
      <c r="AF1252" s="1"/>
      <c r="AG1252" s="1"/>
      <c r="AH1252" s="1"/>
      <c r="AI1252" s="1"/>
      <c r="AJ1252" s="1"/>
      <c r="AK1252" s="338"/>
    </row>
    <row r="1253" spans="20:37">
      <c r="T1253" s="588"/>
      <c r="V1253" s="1"/>
      <c r="W1253" s="1"/>
      <c r="X1253" s="1"/>
      <c r="Y1253" s="1"/>
      <c r="Z1253" s="1"/>
      <c r="AA1253" s="1"/>
      <c r="AB1253" s="1"/>
      <c r="AC1253" s="1"/>
      <c r="AD1253" s="1"/>
      <c r="AE1253" s="1"/>
      <c r="AF1253" s="1"/>
      <c r="AG1253" s="1"/>
      <c r="AH1253" s="1"/>
      <c r="AI1253" s="1"/>
      <c r="AJ1253" s="1"/>
      <c r="AK1253" s="338"/>
    </row>
    <row r="1254" spans="20:37">
      <c r="T1254" s="588"/>
      <c r="V1254" s="1"/>
      <c r="W1254" s="1"/>
      <c r="X1254" s="1"/>
      <c r="Y1254" s="1"/>
      <c r="Z1254" s="1"/>
      <c r="AA1254" s="1"/>
      <c r="AB1254" s="1"/>
      <c r="AC1254" s="1"/>
      <c r="AD1254" s="1"/>
      <c r="AE1254" s="1"/>
      <c r="AF1254" s="1"/>
      <c r="AG1254" s="1"/>
      <c r="AH1254" s="1"/>
      <c r="AI1254" s="1"/>
      <c r="AJ1254" s="1"/>
      <c r="AK1254" s="338"/>
    </row>
    <row r="1255" spans="20:37">
      <c r="T1255" s="588"/>
      <c r="V1255" s="1"/>
      <c r="W1255" s="1"/>
      <c r="X1255" s="1"/>
      <c r="Y1255" s="1"/>
      <c r="Z1255" s="1"/>
      <c r="AA1255" s="1"/>
      <c r="AB1255" s="1"/>
      <c r="AC1255" s="1"/>
      <c r="AD1255" s="1"/>
      <c r="AE1255" s="1"/>
      <c r="AF1255" s="1"/>
      <c r="AG1255" s="1"/>
      <c r="AH1255" s="1"/>
      <c r="AI1255" s="1"/>
      <c r="AJ1255" s="1"/>
      <c r="AK1255" s="338"/>
    </row>
    <row r="1256" spans="20:37">
      <c r="T1256" s="588"/>
      <c r="V1256" s="1"/>
      <c r="W1256" s="1"/>
      <c r="X1256" s="1"/>
      <c r="Y1256" s="1"/>
      <c r="Z1256" s="1"/>
      <c r="AA1256" s="1"/>
      <c r="AB1256" s="1"/>
      <c r="AC1256" s="1"/>
      <c r="AD1256" s="1"/>
      <c r="AE1256" s="1"/>
      <c r="AF1256" s="1"/>
      <c r="AG1256" s="1"/>
      <c r="AH1256" s="1"/>
      <c r="AI1256" s="1"/>
      <c r="AJ1256" s="1"/>
      <c r="AK1256" s="338"/>
    </row>
    <row r="1257" spans="20:37">
      <c r="T1257" s="588"/>
      <c r="V1257" s="1"/>
      <c r="W1257" s="1"/>
      <c r="X1257" s="1"/>
      <c r="Y1257" s="1"/>
      <c r="Z1257" s="1"/>
      <c r="AA1257" s="1"/>
      <c r="AB1257" s="1"/>
      <c r="AC1257" s="1"/>
      <c r="AD1257" s="1"/>
      <c r="AE1257" s="1"/>
      <c r="AF1257" s="1"/>
      <c r="AG1257" s="1"/>
      <c r="AH1257" s="1"/>
      <c r="AI1257" s="1"/>
      <c r="AJ1257" s="1"/>
      <c r="AK1257" s="338"/>
    </row>
    <row r="1258" spans="20:37">
      <c r="T1258" s="588"/>
      <c r="V1258" s="1"/>
      <c r="W1258" s="1"/>
      <c r="X1258" s="1"/>
      <c r="Y1258" s="1"/>
      <c r="Z1258" s="1"/>
      <c r="AA1258" s="1"/>
      <c r="AB1258" s="1"/>
      <c r="AC1258" s="1"/>
      <c r="AD1258" s="1"/>
      <c r="AE1258" s="1"/>
      <c r="AF1258" s="1"/>
      <c r="AG1258" s="1"/>
      <c r="AH1258" s="1"/>
      <c r="AI1258" s="1"/>
      <c r="AJ1258" s="1"/>
      <c r="AK1258" s="338"/>
    </row>
    <row r="1259" spans="20:37">
      <c r="T1259" s="588"/>
      <c r="V1259" s="1"/>
      <c r="W1259" s="1"/>
      <c r="X1259" s="1"/>
      <c r="Y1259" s="1"/>
      <c r="Z1259" s="1"/>
      <c r="AA1259" s="1"/>
      <c r="AB1259" s="1"/>
      <c r="AC1259" s="1"/>
      <c r="AD1259" s="1"/>
      <c r="AE1259" s="1"/>
      <c r="AF1259" s="1"/>
      <c r="AG1259" s="1"/>
      <c r="AH1259" s="1"/>
      <c r="AI1259" s="1"/>
      <c r="AJ1259" s="1"/>
      <c r="AK1259" s="338"/>
    </row>
    <row r="1260" spans="20:37">
      <c r="T1260" s="588"/>
      <c r="V1260" s="1"/>
      <c r="W1260" s="1"/>
      <c r="X1260" s="1"/>
      <c r="Y1260" s="1"/>
      <c r="Z1260" s="1"/>
      <c r="AA1260" s="1"/>
      <c r="AB1260" s="1"/>
      <c r="AC1260" s="1"/>
      <c r="AD1260" s="1"/>
      <c r="AE1260" s="1"/>
      <c r="AF1260" s="1"/>
      <c r="AG1260" s="1"/>
      <c r="AH1260" s="1"/>
      <c r="AI1260" s="1"/>
      <c r="AJ1260" s="1"/>
      <c r="AK1260" s="338"/>
    </row>
    <row r="1261" spans="20:37">
      <c r="T1261" s="588"/>
      <c r="V1261" s="1"/>
      <c r="W1261" s="1"/>
      <c r="X1261" s="1"/>
      <c r="Y1261" s="1"/>
      <c r="Z1261" s="1"/>
      <c r="AA1261" s="1"/>
      <c r="AB1261" s="1"/>
      <c r="AC1261" s="1"/>
      <c r="AD1261" s="1"/>
      <c r="AE1261" s="1"/>
      <c r="AF1261" s="1"/>
      <c r="AG1261" s="1"/>
      <c r="AH1261" s="1"/>
      <c r="AI1261" s="1"/>
      <c r="AJ1261" s="1"/>
      <c r="AK1261" s="338"/>
    </row>
    <row r="1262" spans="20:37">
      <c r="T1262" s="588"/>
      <c r="V1262" s="1"/>
      <c r="W1262" s="1"/>
      <c r="X1262" s="1"/>
      <c r="Y1262" s="1"/>
      <c r="Z1262" s="1"/>
      <c r="AA1262" s="1"/>
      <c r="AB1262" s="1"/>
      <c r="AC1262" s="1"/>
      <c r="AD1262" s="1"/>
      <c r="AE1262" s="1"/>
      <c r="AF1262" s="1"/>
      <c r="AG1262" s="1"/>
      <c r="AH1262" s="1"/>
      <c r="AI1262" s="1"/>
      <c r="AJ1262" s="1"/>
      <c r="AK1262" s="338"/>
    </row>
    <row r="1263" spans="20:37">
      <c r="T1263" s="588"/>
      <c r="V1263" s="1"/>
      <c r="W1263" s="1"/>
      <c r="X1263" s="1"/>
      <c r="Y1263" s="1"/>
      <c r="Z1263" s="1"/>
      <c r="AA1263" s="1"/>
      <c r="AB1263" s="1"/>
      <c r="AC1263" s="1"/>
      <c r="AD1263" s="1"/>
      <c r="AE1263" s="1"/>
      <c r="AF1263" s="1"/>
      <c r="AG1263" s="1"/>
      <c r="AH1263" s="1"/>
      <c r="AI1263" s="1"/>
      <c r="AJ1263" s="1"/>
      <c r="AK1263" s="338"/>
    </row>
    <row r="1264" spans="20:37">
      <c r="T1264" s="588"/>
      <c r="V1264" s="1"/>
      <c r="W1264" s="1"/>
      <c r="X1264" s="1"/>
      <c r="Y1264" s="1"/>
      <c r="Z1264" s="1"/>
      <c r="AA1264" s="1"/>
      <c r="AB1264" s="1"/>
      <c r="AC1264" s="1"/>
      <c r="AD1264" s="1"/>
      <c r="AE1264" s="1"/>
      <c r="AF1264" s="1"/>
      <c r="AG1264" s="1"/>
      <c r="AH1264" s="1"/>
      <c r="AI1264" s="1"/>
      <c r="AJ1264" s="1"/>
      <c r="AK1264" s="338"/>
    </row>
    <row r="1265" spans="20:37">
      <c r="T1265" s="588"/>
      <c r="V1265" s="1"/>
      <c r="W1265" s="1"/>
      <c r="X1265" s="1"/>
      <c r="Y1265" s="1"/>
      <c r="Z1265" s="1"/>
      <c r="AA1265" s="1"/>
      <c r="AB1265" s="1"/>
      <c r="AC1265" s="1"/>
      <c r="AD1265" s="1"/>
      <c r="AE1265" s="1"/>
      <c r="AF1265" s="1"/>
      <c r="AG1265" s="1"/>
      <c r="AH1265" s="1"/>
      <c r="AI1265" s="1"/>
      <c r="AJ1265" s="1"/>
      <c r="AK1265" s="338"/>
    </row>
    <row r="1266" spans="20:37">
      <c r="T1266" s="588"/>
      <c r="V1266" s="1"/>
      <c r="W1266" s="1"/>
      <c r="X1266" s="1"/>
      <c r="Y1266" s="1"/>
      <c r="Z1266" s="1"/>
      <c r="AA1266" s="1"/>
      <c r="AB1266" s="1"/>
      <c r="AC1266" s="1"/>
      <c r="AD1266" s="1"/>
      <c r="AE1266" s="1"/>
      <c r="AF1266" s="1"/>
      <c r="AG1266" s="1"/>
      <c r="AH1266" s="1"/>
      <c r="AI1266" s="1"/>
      <c r="AJ1266" s="1"/>
      <c r="AK1266" s="338"/>
    </row>
    <row r="1267" spans="20:37">
      <c r="T1267" s="588"/>
      <c r="V1267" s="1"/>
      <c r="W1267" s="1"/>
      <c r="X1267" s="1"/>
      <c r="Y1267" s="1"/>
      <c r="Z1267" s="1"/>
      <c r="AA1267" s="1"/>
      <c r="AB1267" s="1"/>
      <c r="AC1267" s="1"/>
      <c r="AD1267" s="1"/>
      <c r="AE1267" s="1"/>
      <c r="AF1267" s="1"/>
      <c r="AG1267" s="1"/>
      <c r="AH1267" s="1"/>
      <c r="AI1267" s="1"/>
      <c r="AJ1267" s="1"/>
      <c r="AK1267" s="338"/>
    </row>
    <row r="1268" spans="20:37">
      <c r="T1268" s="588"/>
      <c r="V1268" s="1"/>
      <c r="W1268" s="1"/>
      <c r="X1268" s="1"/>
      <c r="Y1268" s="1"/>
      <c r="Z1268" s="1"/>
      <c r="AA1268" s="1"/>
      <c r="AB1268" s="1"/>
      <c r="AC1268" s="1"/>
      <c r="AD1268" s="1"/>
      <c r="AE1268" s="1"/>
      <c r="AF1268" s="1"/>
      <c r="AG1268" s="1"/>
      <c r="AH1268" s="1"/>
      <c r="AI1268" s="1"/>
      <c r="AJ1268" s="1"/>
      <c r="AK1268" s="338"/>
    </row>
    <row r="1269" spans="20:37">
      <c r="T1269" s="588"/>
      <c r="V1269" s="1"/>
      <c r="W1269" s="1"/>
      <c r="X1269" s="1"/>
      <c r="Y1269" s="1"/>
      <c r="Z1269" s="1"/>
      <c r="AA1269" s="1"/>
      <c r="AB1269" s="1"/>
      <c r="AC1269" s="1"/>
      <c r="AD1269" s="1"/>
      <c r="AE1269" s="1"/>
      <c r="AF1269" s="1"/>
      <c r="AG1269" s="1"/>
      <c r="AH1269" s="1"/>
      <c r="AI1269" s="1"/>
      <c r="AJ1269" s="1"/>
      <c r="AK1269" s="338"/>
    </row>
    <row r="1270" spans="20:37">
      <c r="T1270" s="588"/>
      <c r="V1270" s="1"/>
      <c r="W1270" s="1"/>
      <c r="X1270" s="1"/>
      <c r="Y1270" s="1"/>
      <c r="Z1270" s="1"/>
      <c r="AA1270" s="1"/>
      <c r="AB1270" s="1"/>
      <c r="AC1270" s="1"/>
      <c r="AD1270" s="1"/>
      <c r="AE1270" s="1"/>
      <c r="AF1270" s="1"/>
      <c r="AG1270" s="1"/>
      <c r="AH1270" s="1"/>
      <c r="AI1270" s="1"/>
      <c r="AJ1270" s="1"/>
      <c r="AK1270" s="338"/>
    </row>
    <row r="1271" spans="20:37">
      <c r="T1271" s="588"/>
      <c r="V1271" s="1"/>
      <c r="W1271" s="1"/>
      <c r="X1271" s="1"/>
      <c r="Y1271" s="1"/>
      <c r="Z1271" s="1"/>
      <c r="AA1271" s="1"/>
      <c r="AB1271" s="1"/>
      <c r="AC1271" s="1"/>
      <c r="AD1271" s="1"/>
      <c r="AE1271" s="1"/>
      <c r="AF1271" s="1"/>
      <c r="AG1271" s="1"/>
      <c r="AH1271" s="1"/>
      <c r="AI1271" s="1"/>
      <c r="AJ1271" s="1"/>
      <c r="AK1271" s="338"/>
    </row>
    <row r="1272" spans="20:37">
      <c r="T1272" s="588"/>
      <c r="V1272" s="1"/>
      <c r="W1272" s="1"/>
      <c r="X1272" s="1"/>
      <c r="Y1272" s="1"/>
      <c r="Z1272" s="1"/>
      <c r="AA1272" s="1"/>
      <c r="AB1272" s="1"/>
      <c r="AC1272" s="1"/>
      <c r="AD1272" s="1"/>
      <c r="AE1272" s="1"/>
      <c r="AF1272" s="1"/>
      <c r="AG1272" s="1"/>
      <c r="AH1272" s="1"/>
      <c r="AI1272" s="1"/>
      <c r="AJ1272" s="1"/>
      <c r="AK1272" s="338"/>
    </row>
    <row r="1273" spans="20:37">
      <c r="T1273" s="588"/>
      <c r="V1273" s="1"/>
      <c r="W1273" s="1"/>
      <c r="X1273" s="1"/>
      <c r="Y1273" s="1"/>
      <c r="Z1273" s="1"/>
      <c r="AA1273" s="1"/>
      <c r="AB1273" s="1"/>
      <c r="AC1273" s="1"/>
      <c r="AD1273" s="1"/>
      <c r="AE1273" s="1"/>
      <c r="AF1273" s="1"/>
      <c r="AG1273" s="1"/>
      <c r="AH1273" s="1"/>
      <c r="AI1273" s="1"/>
      <c r="AJ1273" s="1"/>
      <c r="AK1273" s="338"/>
    </row>
    <row r="1274" spans="20:37">
      <c r="T1274" s="588"/>
      <c r="V1274" s="1"/>
      <c r="W1274" s="1"/>
      <c r="X1274" s="1"/>
      <c r="Y1274" s="1"/>
      <c r="Z1274" s="1"/>
      <c r="AA1274" s="1"/>
      <c r="AB1274" s="1"/>
      <c r="AC1274" s="1"/>
      <c r="AD1274" s="1"/>
      <c r="AE1274" s="1"/>
      <c r="AF1274" s="1"/>
      <c r="AG1274" s="1"/>
      <c r="AH1274" s="1"/>
      <c r="AI1274" s="1"/>
      <c r="AJ1274" s="1"/>
      <c r="AK1274" s="338"/>
    </row>
    <row r="1275" spans="20:37">
      <c r="T1275" s="588"/>
      <c r="V1275" s="1"/>
      <c r="W1275" s="1"/>
      <c r="X1275" s="1"/>
      <c r="Y1275" s="1"/>
      <c r="Z1275" s="1"/>
      <c r="AA1275" s="1"/>
      <c r="AB1275" s="1"/>
      <c r="AC1275" s="1"/>
      <c r="AD1275" s="1"/>
      <c r="AE1275" s="1"/>
      <c r="AF1275" s="1"/>
      <c r="AG1275" s="1"/>
      <c r="AH1275" s="1"/>
      <c r="AI1275" s="1"/>
      <c r="AJ1275" s="1"/>
      <c r="AK1275" s="338"/>
    </row>
    <row r="1276" spans="20:37">
      <c r="T1276" s="588"/>
      <c r="V1276" s="1"/>
      <c r="W1276" s="1"/>
      <c r="X1276" s="1"/>
      <c r="Y1276" s="1"/>
      <c r="Z1276" s="1"/>
      <c r="AA1276" s="1"/>
      <c r="AB1276" s="1"/>
      <c r="AC1276" s="1"/>
      <c r="AD1276" s="1"/>
      <c r="AE1276" s="1"/>
      <c r="AF1276" s="1"/>
      <c r="AG1276" s="1"/>
      <c r="AH1276" s="1"/>
      <c r="AI1276" s="1"/>
      <c r="AJ1276" s="1"/>
      <c r="AK1276" s="338"/>
    </row>
    <row r="1277" spans="20:37">
      <c r="T1277" s="588"/>
      <c r="V1277" s="1"/>
      <c r="W1277" s="1"/>
      <c r="X1277" s="1"/>
      <c r="Y1277" s="1"/>
      <c r="Z1277" s="1"/>
      <c r="AA1277" s="1"/>
      <c r="AB1277" s="1"/>
      <c r="AC1277" s="1"/>
      <c r="AD1277" s="1"/>
      <c r="AE1277" s="1"/>
      <c r="AF1277" s="1"/>
      <c r="AG1277" s="1"/>
      <c r="AH1277" s="1"/>
      <c r="AI1277" s="1"/>
      <c r="AJ1277" s="1"/>
      <c r="AK1277" s="338"/>
    </row>
    <row r="1278" spans="20:37">
      <c r="T1278" s="588"/>
      <c r="V1278" s="1"/>
      <c r="W1278" s="1"/>
      <c r="X1278" s="1"/>
      <c r="Y1278" s="1"/>
      <c r="Z1278" s="1"/>
      <c r="AA1278" s="1"/>
      <c r="AB1278" s="1"/>
      <c r="AC1278" s="1"/>
      <c r="AD1278" s="1"/>
      <c r="AE1278" s="1"/>
      <c r="AF1278" s="1"/>
      <c r="AG1278" s="1"/>
      <c r="AH1278" s="1"/>
      <c r="AI1278" s="1"/>
      <c r="AJ1278" s="1"/>
      <c r="AK1278" s="338"/>
    </row>
    <row r="1279" spans="20:37">
      <c r="T1279" s="588"/>
      <c r="V1279" s="1"/>
      <c r="W1279" s="1"/>
      <c r="X1279" s="1"/>
      <c r="Y1279" s="1"/>
      <c r="Z1279" s="1"/>
      <c r="AA1279" s="1"/>
      <c r="AB1279" s="1"/>
      <c r="AC1279" s="1"/>
      <c r="AD1279" s="1"/>
      <c r="AE1279" s="1"/>
      <c r="AF1279" s="1"/>
      <c r="AG1279" s="1"/>
      <c r="AH1279" s="1"/>
      <c r="AI1279" s="1"/>
      <c r="AJ1279" s="1"/>
      <c r="AK1279" s="338"/>
    </row>
    <row r="1280" spans="20:37">
      <c r="T1280" s="588"/>
      <c r="V1280" s="1"/>
      <c r="W1280" s="1"/>
      <c r="X1280" s="1"/>
      <c r="Y1280" s="1"/>
      <c r="Z1280" s="1"/>
      <c r="AA1280" s="1"/>
      <c r="AB1280" s="1"/>
      <c r="AC1280" s="1"/>
      <c r="AD1280" s="1"/>
      <c r="AE1280" s="1"/>
      <c r="AF1280" s="1"/>
      <c r="AG1280" s="1"/>
      <c r="AH1280" s="1"/>
      <c r="AI1280" s="1"/>
      <c r="AJ1280" s="1"/>
      <c r="AK1280" s="338"/>
    </row>
    <row r="1281" spans="20:37">
      <c r="T1281" s="588"/>
      <c r="V1281" s="1"/>
      <c r="W1281" s="1"/>
      <c r="X1281" s="1"/>
      <c r="Y1281" s="1"/>
      <c r="Z1281" s="1"/>
      <c r="AA1281" s="1"/>
      <c r="AB1281" s="1"/>
      <c r="AC1281" s="1"/>
      <c r="AD1281" s="1"/>
      <c r="AE1281" s="1"/>
      <c r="AF1281" s="1"/>
      <c r="AG1281" s="1"/>
      <c r="AH1281" s="1"/>
      <c r="AI1281" s="1"/>
      <c r="AJ1281" s="1"/>
      <c r="AK1281" s="338"/>
    </row>
    <row r="1282" spans="20:37">
      <c r="T1282" s="588"/>
      <c r="V1282" s="1"/>
      <c r="W1282" s="1"/>
      <c r="X1282" s="1"/>
      <c r="Y1282" s="1"/>
      <c r="Z1282" s="1"/>
      <c r="AA1282" s="1"/>
      <c r="AB1282" s="1"/>
      <c r="AC1282" s="1"/>
      <c r="AD1282" s="1"/>
      <c r="AE1282" s="1"/>
      <c r="AF1282" s="1"/>
      <c r="AG1282" s="1"/>
      <c r="AH1282" s="1"/>
      <c r="AI1282" s="1"/>
      <c r="AJ1282" s="1"/>
      <c r="AK1282" s="338"/>
    </row>
    <row r="1283" spans="20:37">
      <c r="T1283" s="588"/>
      <c r="V1283" s="1"/>
      <c r="W1283" s="1"/>
      <c r="X1283" s="1"/>
      <c r="Y1283" s="1"/>
      <c r="Z1283" s="1"/>
      <c r="AA1283" s="1"/>
      <c r="AB1283" s="1"/>
      <c r="AC1283" s="1"/>
      <c r="AD1283" s="1"/>
      <c r="AE1283" s="1"/>
      <c r="AF1283" s="1"/>
      <c r="AG1283" s="1"/>
      <c r="AH1283" s="1"/>
      <c r="AI1283" s="1"/>
      <c r="AJ1283" s="1"/>
      <c r="AK1283" s="338"/>
    </row>
    <row r="1284" spans="20:37">
      <c r="T1284" s="588"/>
      <c r="V1284" s="1"/>
      <c r="W1284" s="1"/>
      <c r="X1284" s="1"/>
      <c r="Y1284" s="1"/>
      <c r="Z1284" s="1"/>
      <c r="AA1284" s="1"/>
      <c r="AB1284" s="1"/>
      <c r="AC1284" s="1"/>
      <c r="AD1284" s="1"/>
      <c r="AE1284" s="1"/>
      <c r="AF1284" s="1"/>
      <c r="AG1284" s="1"/>
      <c r="AH1284" s="1"/>
      <c r="AI1284" s="1"/>
      <c r="AJ1284" s="1"/>
      <c r="AK1284" s="338"/>
    </row>
    <row r="1285" spans="20:37">
      <c r="T1285" s="588"/>
      <c r="V1285" s="1"/>
      <c r="W1285" s="1"/>
      <c r="X1285" s="1"/>
      <c r="Y1285" s="1"/>
      <c r="Z1285" s="1"/>
      <c r="AA1285" s="1"/>
      <c r="AB1285" s="1"/>
      <c r="AC1285" s="1"/>
      <c r="AD1285" s="1"/>
      <c r="AE1285" s="1"/>
      <c r="AF1285" s="1"/>
      <c r="AG1285" s="1"/>
      <c r="AH1285" s="1"/>
      <c r="AI1285" s="1"/>
      <c r="AJ1285" s="1"/>
      <c r="AK1285" s="338"/>
    </row>
    <row r="1286" spans="20:37">
      <c r="T1286" s="588"/>
      <c r="V1286" s="1"/>
      <c r="W1286" s="1"/>
      <c r="X1286" s="1"/>
      <c r="Y1286" s="1"/>
      <c r="Z1286" s="1"/>
      <c r="AA1286" s="1"/>
      <c r="AB1286" s="1"/>
      <c r="AC1286" s="1"/>
      <c r="AD1286" s="1"/>
      <c r="AE1286" s="1"/>
      <c r="AF1286" s="1"/>
      <c r="AG1286" s="1"/>
      <c r="AH1286" s="1"/>
      <c r="AI1286" s="1"/>
      <c r="AJ1286" s="1"/>
      <c r="AK1286" s="338"/>
    </row>
    <row r="1287" spans="20:37">
      <c r="T1287" s="588"/>
      <c r="V1287" s="1"/>
      <c r="W1287" s="1"/>
      <c r="X1287" s="1"/>
      <c r="Y1287" s="1"/>
      <c r="Z1287" s="1"/>
      <c r="AA1287" s="1"/>
      <c r="AB1287" s="1"/>
      <c r="AC1287" s="1"/>
      <c r="AD1287" s="1"/>
      <c r="AE1287" s="1"/>
      <c r="AF1287" s="1"/>
      <c r="AG1287" s="1"/>
      <c r="AH1287" s="1"/>
      <c r="AI1287" s="1"/>
      <c r="AJ1287" s="1"/>
      <c r="AK1287" s="338"/>
    </row>
    <row r="1288" spans="20:37">
      <c r="T1288" s="588"/>
      <c r="V1288" s="1"/>
      <c r="W1288" s="1"/>
      <c r="X1288" s="1"/>
      <c r="Y1288" s="1"/>
      <c r="Z1288" s="1"/>
      <c r="AA1288" s="1"/>
      <c r="AB1288" s="1"/>
      <c r="AC1288" s="1"/>
      <c r="AD1288" s="1"/>
      <c r="AE1288" s="1"/>
      <c r="AF1288" s="1"/>
      <c r="AG1288" s="1"/>
      <c r="AH1288" s="1"/>
      <c r="AI1288" s="1"/>
      <c r="AJ1288" s="1"/>
      <c r="AK1288" s="338"/>
    </row>
    <row r="1289" spans="20:37">
      <c r="T1289" s="588"/>
      <c r="V1289" s="1"/>
      <c r="W1289" s="1"/>
      <c r="X1289" s="1"/>
      <c r="Y1289" s="1"/>
      <c r="Z1289" s="1"/>
      <c r="AA1289" s="1"/>
      <c r="AB1289" s="1"/>
      <c r="AC1289" s="1"/>
      <c r="AD1289" s="1"/>
      <c r="AE1289" s="1"/>
      <c r="AF1289" s="1"/>
      <c r="AG1289" s="1"/>
      <c r="AH1289" s="1"/>
      <c r="AI1289" s="1"/>
      <c r="AJ1289" s="1"/>
      <c r="AK1289" s="338"/>
    </row>
    <row r="1290" spans="20:37">
      <c r="T1290" s="588"/>
      <c r="V1290" s="1"/>
      <c r="W1290" s="1"/>
      <c r="X1290" s="1"/>
      <c r="Y1290" s="1"/>
      <c r="Z1290" s="1"/>
      <c r="AA1290" s="1"/>
      <c r="AB1290" s="1"/>
      <c r="AC1290" s="1"/>
      <c r="AD1290" s="1"/>
      <c r="AE1290" s="1"/>
      <c r="AF1290" s="1"/>
      <c r="AG1290" s="1"/>
      <c r="AH1290" s="1"/>
      <c r="AI1290" s="1"/>
      <c r="AJ1290" s="1"/>
      <c r="AK1290" s="338"/>
    </row>
    <row r="1291" spans="20:37">
      <c r="T1291" s="588"/>
      <c r="V1291" s="1"/>
      <c r="W1291" s="1"/>
      <c r="X1291" s="1"/>
      <c r="Y1291" s="1"/>
      <c r="Z1291" s="1"/>
      <c r="AA1291" s="1"/>
      <c r="AB1291" s="1"/>
      <c r="AC1291" s="1"/>
      <c r="AD1291" s="1"/>
      <c r="AE1291" s="1"/>
      <c r="AF1291" s="1"/>
      <c r="AG1291" s="1"/>
      <c r="AH1291" s="1"/>
      <c r="AI1291" s="1"/>
      <c r="AJ1291" s="1"/>
      <c r="AK1291" s="338"/>
    </row>
    <row r="1292" spans="20:37">
      <c r="T1292" s="588"/>
      <c r="V1292" s="1"/>
      <c r="W1292" s="1"/>
      <c r="X1292" s="1"/>
      <c r="Y1292" s="1"/>
      <c r="Z1292" s="1"/>
      <c r="AA1292" s="1"/>
      <c r="AB1292" s="1"/>
      <c r="AC1292" s="1"/>
      <c r="AD1292" s="1"/>
      <c r="AE1292" s="1"/>
      <c r="AF1292" s="1"/>
      <c r="AG1292" s="1"/>
      <c r="AH1292" s="1"/>
      <c r="AI1292" s="1"/>
      <c r="AJ1292" s="1"/>
      <c r="AK1292" s="338"/>
    </row>
    <row r="1293" spans="20:37">
      <c r="T1293" s="588"/>
      <c r="V1293" s="1"/>
      <c r="W1293" s="1"/>
      <c r="X1293" s="1"/>
      <c r="Y1293" s="1"/>
      <c r="Z1293" s="1"/>
      <c r="AA1293" s="1"/>
      <c r="AB1293" s="1"/>
      <c r="AC1293" s="1"/>
      <c r="AD1293" s="1"/>
      <c r="AE1293" s="1"/>
      <c r="AF1293" s="1"/>
      <c r="AG1293" s="1"/>
      <c r="AH1293" s="1"/>
      <c r="AI1293" s="1"/>
      <c r="AJ1293" s="1"/>
      <c r="AK1293" s="338"/>
    </row>
    <row r="1294" spans="20:37">
      <c r="T1294" s="588"/>
      <c r="V1294" s="1"/>
      <c r="W1294" s="1"/>
      <c r="X1294" s="1"/>
      <c r="Y1294" s="1"/>
      <c r="Z1294" s="1"/>
      <c r="AA1294" s="1"/>
      <c r="AB1294" s="1"/>
      <c r="AC1294" s="1"/>
      <c r="AD1294" s="1"/>
      <c r="AE1294" s="1"/>
      <c r="AF1294" s="1"/>
      <c r="AG1294" s="1"/>
      <c r="AH1294" s="1"/>
      <c r="AI1294" s="1"/>
      <c r="AJ1294" s="1"/>
      <c r="AK1294" s="338"/>
    </row>
    <row r="1295" spans="20:37">
      <c r="T1295" s="588"/>
      <c r="V1295" s="1"/>
      <c r="W1295" s="1"/>
      <c r="X1295" s="1"/>
      <c r="Y1295" s="1"/>
      <c r="Z1295" s="1"/>
      <c r="AA1295" s="1"/>
      <c r="AB1295" s="1"/>
      <c r="AC1295" s="1"/>
      <c r="AD1295" s="1"/>
      <c r="AE1295" s="1"/>
      <c r="AF1295" s="1"/>
      <c r="AG1295" s="1"/>
      <c r="AH1295" s="1"/>
      <c r="AI1295" s="1"/>
      <c r="AJ1295" s="1"/>
      <c r="AK1295" s="338"/>
    </row>
    <row r="1296" spans="20:37">
      <c r="T1296" s="588"/>
      <c r="V1296" s="1"/>
      <c r="W1296" s="1"/>
      <c r="X1296" s="1"/>
      <c r="Y1296" s="1"/>
      <c r="Z1296" s="1"/>
      <c r="AA1296" s="1"/>
      <c r="AB1296" s="1"/>
      <c r="AC1296" s="1"/>
      <c r="AD1296" s="1"/>
      <c r="AE1296" s="1"/>
      <c r="AF1296" s="1"/>
      <c r="AG1296" s="1"/>
      <c r="AH1296" s="1"/>
      <c r="AI1296" s="1"/>
      <c r="AJ1296" s="1"/>
      <c r="AK1296" s="338"/>
    </row>
    <row r="1297" spans="20:37">
      <c r="T1297" s="588"/>
      <c r="V1297" s="1"/>
      <c r="W1297" s="1"/>
      <c r="X1297" s="1"/>
      <c r="Y1297" s="1"/>
      <c r="Z1297" s="1"/>
      <c r="AA1297" s="1"/>
      <c r="AB1297" s="1"/>
      <c r="AC1297" s="1"/>
      <c r="AD1297" s="1"/>
      <c r="AE1297" s="1"/>
      <c r="AF1297" s="1"/>
      <c r="AG1297" s="1"/>
      <c r="AH1297" s="1"/>
      <c r="AI1297" s="1"/>
      <c r="AJ1297" s="1"/>
      <c r="AK1297" s="338"/>
    </row>
    <row r="1298" spans="20:37">
      <c r="T1298" s="588"/>
      <c r="V1298" s="1"/>
      <c r="W1298" s="1"/>
      <c r="X1298" s="1"/>
      <c r="Y1298" s="1"/>
      <c r="Z1298" s="1"/>
      <c r="AA1298" s="1"/>
      <c r="AB1298" s="1"/>
      <c r="AC1298" s="1"/>
      <c r="AD1298" s="1"/>
      <c r="AE1298" s="1"/>
      <c r="AF1298" s="1"/>
      <c r="AG1298" s="1"/>
      <c r="AH1298" s="1"/>
      <c r="AI1298" s="1"/>
      <c r="AJ1298" s="1"/>
      <c r="AK1298" s="338"/>
    </row>
    <row r="1299" spans="20:37">
      <c r="T1299" s="588"/>
      <c r="V1299" s="1"/>
      <c r="W1299" s="1"/>
      <c r="X1299" s="1"/>
      <c r="Y1299" s="1"/>
      <c r="Z1299" s="1"/>
      <c r="AA1299" s="1"/>
      <c r="AB1299" s="1"/>
      <c r="AC1299" s="1"/>
      <c r="AD1299" s="1"/>
      <c r="AE1299" s="1"/>
      <c r="AF1299" s="1"/>
      <c r="AG1299" s="1"/>
      <c r="AH1299" s="1"/>
      <c r="AI1299" s="1"/>
      <c r="AJ1299" s="1"/>
      <c r="AK1299" s="338"/>
    </row>
    <row r="1300" spans="20:37">
      <c r="T1300" s="588"/>
      <c r="V1300" s="1"/>
      <c r="W1300" s="1"/>
      <c r="X1300" s="1"/>
      <c r="Y1300" s="1"/>
      <c r="Z1300" s="1"/>
      <c r="AA1300" s="1"/>
      <c r="AB1300" s="1"/>
      <c r="AC1300" s="1"/>
      <c r="AD1300" s="1"/>
      <c r="AE1300" s="1"/>
      <c r="AF1300" s="1"/>
      <c r="AG1300" s="1"/>
      <c r="AH1300" s="1"/>
      <c r="AI1300" s="1"/>
      <c r="AJ1300" s="1"/>
      <c r="AK1300" s="338"/>
    </row>
    <row r="1301" spans="20:37">
      <c r="T1301" s="588"/>
      <c r="V1301" s="1"/>
      <c r="W1301" s="1"/>
      <c r="X1301" s="1"/>
      <c r="Y1301" s="1"/>
      <c r="Z1301" s="1"/>
      <c r="AA1301" s="1"/>
      <c r="AB1301" s="1"/>
      <c r="AC1301" s="1"/>
      <c r="AD1301" s="1"/>
      <c r="AE1301" s="1"/>
      <c r="AF1301" s="1"/>
      <c r="AG1301" s="1"/>
      <c r="AH1301" s="1"/>
      <c r="AI1301" s="1"/>
      <c r="AJ1301" s="1"/>
      <c r="AK1301" s="338"/>
    </row>
    <row r="1302" spans="20:37">
      <c r="T1302" s="588"/>
      <c r="V1302" s="1"/>
      <c r="W1302" s="1"/>
      <c r="X1302" s="1"/>
      <c r="Y1302" s="1"/>
      <c r="Z1302" s="1"/>
      <c r="AA1302" s="1"/>
      <c r="AB1302" s="1"/>
      <c r="AC1302" s="1"/>
      <c r="AD1302" s="1"/>
      <c r="AE1302" s="1"/>
      <c r="AF1302" s="1"/>
      <c r="AG1302" s="1"/>
      <c r="AH1302" s="1"/>
      <c r="AI1302" s="1"/>
      <c r="AJ1302" s="1"/>
      <c r="AK1302" s="338"/>
    </row>
    <row r="1303" spans="20:37">
      <c r="T1303" s="588"/>
      <c r="V1303" s="1"/>
      <c r="W1303" s="1"/>
      <c r="X1303" s="1"/>
      <c r="Y1303" s="1"/>
      <c r="Z1303" s="1"/>
      <c r="AA1303" s="1"/>
      <c r="AB1303" s="1"/>
      <c r="AC1303" s="1"/>
      <c r="AD1303" s="1"/>
      <c r="AE1303" s="1"/>
      <c r="AF1303" s="1"/>
      <c r="AG1303" s="1"/>
      <c r="AH1303" s="1"/>
      <c r="AI1303" s="1"/>
      <c r="AJ1303" s="1"/>
      <c r="AK1303" s="338"/>
    </row>
    <row r="1304" spans="20:37">
      <c r="T1304" s="588"/>
      <c r="V1304" s="1"/>
      <c r="W1304" s="1"/>
      <c r="X1304" s="1"/>
      <c r="Y1304" s="1"/>
      <c r="Z1304" s="1"/>
      <c r="AA1304" s="1"/>
      <c r="AB1304" s="1"/>
      <c r="AC1304" s="1"/>
      <c r="AD1304" s="1"/>
      <c r="AE1304" s="1"/>
      <c r="AF1304" s="1"/>
      <c r="AG1304" s="1"/>
      <c r="AH1304" s="1"/>
      <c r="AI1304" s="1"/>
      <c r="AJ1304" s="1"/>
      <c r="AK1304" s="338"/>
    </row>
    <row r="1305" spans="20:37">
      <c r="T1305" s="588"/>
      <c r="V1305" s="1"/>
      <c r="W1305" s="1"/>
      <c r="X1305" s="1"/>
      <c r="Y1305" s="1"/>
      <c r="Z1305" s="1"/>
      <c r="AA1305" s="1"/>
      <c r="AB1305" s="1"/>
      <c r="AC1305" s="1"/>
      <c r="AD1305" s="1"/>
      <c r="AE1305" s="1"/>
      <c r="AF1305" s="1"/>
      <c r="AG1305" s="1"/>
      <c r="AH1305" s="1"/>
      <c r="AI1305" s="1"/>
      <c r="AJ1305" s="1"/>
      <c r="AK1305" s="338"/>
    </row>
    <row r="1306" spans="20:37">
      <c r="T1306" s="588"/>
      <c r="V1306" s="1"/>
      <c r="W1306" s="1"/>
      <c r="X1306" s="1"/>
      <c r="Y1306" s="1"/>
      <c r="Z1306" s="1"/>
      <c r="AA1306" s="1"/>
      <c r="AB1306" s="1"/>
      <c r="AC1306" s="1"/>
      <c r="AD1306" s="1"/>
      <c r="AE1306" s="1"/>
      <c r="AF1306" s="1"/>
      <c r="AG1306" s="1"/>
      <c r="AH1306" s="1"/>
      <c r="AI1306" s="1"/>
      <c r="AJ1306" s="1"/>
      <c r="AK1306" s="338"/>
    </row>
    <row r="1307" spans="20:37">
      <c r="T1307" s="588"/>
      <c r="V1307" s="1"/>
      <c r="W1307" s="1"/>
      <c r="X1307" s="1"/>
      <c r="Y1307" s="1"/>
      <c r="Z1307" s="1"/>
      <c r="AA1307" s="1"/>
      <c r="AB1307" s="1"/>
      <c r="AC1307" s="1"/>
      <c r="AD1307" s="1"/>
      <c r="AE1307" s="1"/>
      <c r="AF1307" s="1"/>
      <c r="AG1307" s="1"/>
      <c r="AH1307" s="1"/>
      <c r="AI1307" s="1"/>
      <c r="AJ1307" s="1"/>
      <c r="AK1307" s="338"/>
    </row>
    <row r="1308" spans="20:37">
      <c r="T1308" s="588"/>
      <c r="V1308" s="1"/>
      <c r="W1308" s="1"/>
      <c r="X1308" s="1"/>
      <c r="Y1308" s="1"/>
      <c r="Z1308" s="1"/>
      <c r="AA1308" s="1"/>
      <c r="AB1308" s="1"/>
      <c r="AC1308" s="1"/>
      <c r="AD1308" s="1"/>
      <c r="AE1308" s="1"/>
      <c r="AF1308" s="1"/>
      <c r="AG1308" s="1"/>
      <c r="AH1308" s="1"/>
      <c r="AI1308" s="1"/>
      <c r="AJ1308" s="1"/>
      <c r="AK1308" s="338"/>
    </row>
    <row r="1309" spans="20:37">
      <c r="T1309" s="588"/>
      <c r="V1309" s="1"/>
      <c r="W1309" s="1"/>
      <c r="X1309" s="1"/>
      <c r="Y1309" s="1"/>
      <c r="Z1309" s="1"/>
      <c r="AA1309" s="1"/>
      <c r="AB1309" s="1"/>
      <c r="AC1309" s="1"/>
      <c r="AD1309" s="1"/>
      <c r="AE1309" s="1"/>
      <c r="AF1309" s="1"/>
      <c r="AG1309" s="1"/>
      <c r="AH1309" s="1"/>
      <c r="AI1309" s="1"/>
      <c r="AJ1309" s="1"/>
      <c r="AK1309" s="338"/>
    </row>
    <row r="1310" spans="20:37">
      <c r="T1310" s="588"/>
      <c r="V1310" s="1"/>
      <c r="W1310" s="1"/>
      <c r="X1310" s="1"/>
      <c r="Y1310" s="1"/>
      <c r="Z1310" s="1"/>
      <c r="AA1310" s="1"/>
      <c r="AB1310" s="1"/>
      <c r="AC1310" s="1"/>
      <c r="AD1310" s="1"/>
      <c r="AE1310" s="1"/>
      <c r="AF1310" s="1"/>
      <c r="AG1310" s="1"/>
      <c r="AH1310" s="1"/>
      <c r="AI1310" s="1"/>
      <c r="AJ1310" s="1"/>
      <c r="AK1310" s="338"/>
    </row>
    <row r="1311" spans="20:37">
      <c r="T1311" s="588"/>
      <c r="V1311" s="1"/>
      <c r="W1311" s="1"/>
      <c r="X1311" s="1"/>
      <c r="Y1311" s="1"/>
      <c r="Z1311" s="1"/>
      <c r="AA1311" s="1"/>
      <c r="AB1311" s="1"/>
      <c r="AC1311" s="1"/>
      <c r="AD1311" s="1"/>
      <c r="AE1311" s="1"/>
      <c r="AF1311" s="1"/>
      <c r="AG1311" s="1"/>
      <c r="AH1311" s="1"/>
      <c r="AI1311" s="1"/>
      <c r="AJ1311" s="1"/>
      <c r="AK1311" s="338"/>
    </row>
    <row r="1312" spans="20:37">
      <c r="T1312" s="588"/>
      <c r="V1312" s="1"/>
      <c r="W1312" s="1"/>
      <c r="X1312" s="1"/>
      <c r="Y1312" s="1"/>
      <c r="Z1312" s="1"/>
      <c r="AA1312" s="1"/>
      <c r="AB1312" s="1"/>
      <c r="AC1312" s="1"/>
      <c r="AD1312" s="1"/>
      <c r="AE1312" s="1"/>
      <c r="AF1312" s="1"/>
      <c r="AG1312" s="1"/>
      <c r="AH1312" s="1"/>
      <c r="AI1312" s="1"/>
      <c r="AJ1312" s="1"/>
      <c r="AK1312" s="338"/>
    </row>
    <row r="1313" spans="20:37">
      <c r="T1313" s="588"/>
      <c r="V1313" s="1"/>
      <c r="W1313" s="1"/>
      <c r="X1313" s="1"/>
      <c r="Y1313" s="1"/>
      <c r="Z1313" s="1"/>
      <c r="AA1313" s="1"/>
      <c r="AB1313" s="1"/>
      <c r="AC1313" s="1"/>
      <c r="AD1313" s="1"/>
      <c r="AE1313" s="1"/>
      <c r="AF1313" s="1"/>
      <c r="AG1313" s="1"/>
      <c r="AH1313" s="1"/>
      <c r="AI1313" s="1"/>
      <c r="AJ1313" s="1"/>
      <c r="AK1313" s="338"/>
    </row>
    <row r="1314" spans="20:37">
      <c r="T1314" s="588"/>
      <c r="V1314" s="1"/>
      <c r="W1314" s="1"/>
      <c r="X1314" s="1"/>
      <c r="Y1314" s="1"/>
      <c r="Z1314" s="1"/>
      <c r="AA1314" s="1"/>
      <c r="AB1314" s="1"/>
      <c r="AC1314" s="1"/>
      <c r="AD1314" s="1"/>
      <c r="AE1314" s="1"/>
      <c r="AF1314" s="1"/>
      <c r="AG1314" s="1"/>
      <c r="AH1314" s="1"/>
      <c r="AI1314" s="1"/>
      <c r="AJ1314" s="1"/>
      <c r="AK1314" s="338"/>
    </row>
    <row r="1315" spans="20:37">
      <c r="T1315" s="588"/>
      <c r="V1315" s="1"/>
      <c r="W1315" s="1"/>
      <c r="X1315" s="1"/>
      <c r="Y1315" s="1"/>
      <c r="Z1315" s="1"/>
      <c r="AA1315" s="1"/>
      <c r="AB1315" s="1"/>
      <c r="AC1315" s="1"/>
      <c r="AD1315" s="1"/>
      <c r="AE1315" s="1"/>
      <c r="AF1315" s="1"/>
      <c r="AG1315" s="1"/>
      <c r="AH1315" s="1"/>
      <c r="AI1315" s="1"/>
      <c r="AJ1315" s="1"/>
      <c r="AK1315" s="338"/>
    </row>
    <row r="1316" spans="20:37">
      <c r="T1316" s="588"/>
      <c r="V1316" s="1"/>
      <c r="W1316" s="1"/>
      <c r="X1316" s="1"/>
      <c r="Y1316" s="1"/>
      <c r="Z1316" s="1"/>
      <c r="AA1316" s="1"/>
      <c r="AB1316" s="1"/>
      <c r="AC1316" s="1"/>
      <c r="AD1316" s="1"/>
      <c r="AE1316" s="1"/>
      <c r="AF1316" s="1"/>
      <c r="AG1316" s="1"/>
      <c r="AH1316" s="1"/>
      <c r="AI1316" s="1"/>
      <c r="AJ1316" s="1"/>
      <c r="AK1316" s="338"/>
    </row>
    <row r="1317" spans="20:37">
      <c r="T1317" s="588"/>
      <c r="V1317" s="1"/>
      <c r="W1317" s="1"/>
      <c r="X1317" s="1"/>
      <c r="Y1317" s="1"/>
      <c r="Z1317" s="1"/>
      <c r="AA1317" s="1"/>
      <c r="AB1317" s="1"/>
      <c r="AC1317" s="1"/>
      <c r="AD1317" s="1"/>
      <c r="AE1317" s="1"/>
      <c r="AF1317" s="1"/>
      <c r="AG1317" s="1"/>
      <c r="AH1317" s="1"/>
      <c r="AI1317" s="1"/>
      <c r="AJ1317" s="1"/>
      <c r="AK1317" s="338"/>
    </row>
    <row r="1318" spans="20:37">
      <c r="T1318" s="588"/>
      <c r="V1318" s="1"/>
      <c r="W1318" s="1"/>
      <c r="X1318" s="1"/>
      <c r="Y1318" s="1"/>
      <c r="Z1318" s="1"/>
      <c r="AA1318" s="1"/>
      <c r="AB1318" s="1"/>
      <c r="AC1318" s="1"/>
      <c r="AD1318" s="1"/>
      <c r="AE1318" s="1"/>
      <c r="AF1318" s="1"/>
      <c r="AG1318" s="1"/>
      <c r="AH1318" s="1"/>
      <c r="AI1318" s="1"/>
      <c r="AJ1318" s="1"/>
      <c r="AK1318" s="338"/>
    </row>
    <row r="1319" spans="20:37">
      <c r="T1319" s="588"/>
      <c r="V1319" s="1"/>
      <c r="W1319" s="1"/>
      <c r="X1319" s="1"/>
      <c r="Y1319" s="1"/>
      <c r="Z1319" s="1"/>
      <c r="AA1319" s="1"/>
      <c r="AB1319" s="1"/>
      <c r="AC1319" s="1"/>
      <c r="AD1319" s="1"/>
      <c r="AE1319" s="1"/>
      <c r="AF1319" s="1"/>
      <c r="AG1319" s="1"/>
      <c r="AH1319" s="1"/>
      <c r="AI1319" s="1"/>
      <c r="AJ1319" s="1"/>
      <c r="AK1319" s="338"/>
    </row>
    <row r="1320" spans="20:37">
      <c r="T1320" s="588"/>
      <c r="V1320" s="1"/>
      <c r="W1320" s="1"/>
      <c r="X1320" s="1"/>
      <c r="Y1320" s="1"/>
      <c r="Z1320" s="1"/>
      <c r="AA1320" s="1"/>
      <c r="AB1320" s="1"/>
      <c r="AC1320" s="1"/>
      <c r="AD1320" s="1"/>
      <c r="AE1320" s="1"/>
      <c r="AF1320" s="1"/>
      <c r="AG1320" s="1"/>
      <c r="AH1320" s="1"/>
      <c r="AI1320" s="1"/>
      <c r="AJ1320" s="1"/>
      <c r="AK1320" s="338"/>
    </row>
    <row r="1321" spans="20:37">
      <c r="T1321" s="588"/>
      <c r="V1321" s="1"/>
      <c r="W1321" s="1"/>
      <c r="X1321" s="1"/>
      <c r="Y1321" s="1"/>
      <c r="Z1321" s="1"/>
      <c r="AA1321" s="1"/>
      <c r="AB1321" s="1"/>
      <c r="AC1321" s="1"/>
      <c r="AD1321" s="1"/>
      <c r="AE1321" s="1"/>
      <c r="AF1321" s="1"/>
      <c r="AG1321" s="1"/>
      <c r="AH1321" s="1"/>
      <c r="AI1321" s="1"/>
      <c r="AJ1321" s="1"/>
      <c r="AK1321" s="338"/>
    </row>
    <row r="1322" spans="20:37">
      <c r="T1322" s="588"/>
      <c r="V1322" s="1"/>
      <c r="W1322" s="1"/>
      <c r="X1322" s="1"/>
      <c r="Y1322" s="1"/>
      <c r="Z1322" s="1"/>
      <c r="AA1322" s="1"/>
      <c r="AB1322" s="1"/>
      <c r="AC1322" s="1"/>
      <c r="AD1322" s="1"/>
      <c r="AE1322" s="1"/>
      <c r="AF1322" s="1"/>
      <c r="AG1322" s="1"/>
      <c r="AH1322" s="1"/>
      <c r="AI1322" s="1"/>
      <c r="AJ1322" s="1"/>
      <c r="AK1322" s="338"/>
    </row>
    <row r="1323" spans="20:37">
      <c r="T1323" s="588"/>
      <c r="V1323" s="1"/>
      <c r="W1323" s="1"/>
      <c r="X1323" s="1"/>
      <c r="Y1323" s="1"/>
      <c r="Z1323" s="1"/>
      <c r="AA1323" s="1"/>
      <c r="AB1323" s="1"/>
      <c r="AC1323" s="1"/>
      <c r="AD1323" s="1"/>
      <c r="AE1323" s="1"/>
      <c r="AF1323" s="1"/>
      <c r="AG1323" s="1"/>
      <c r="AH1323" s="1"/>
      <c r="AI1323" s="1"/>
      <c r="AJ1323" s="1"/>
      <c r="AK1323" s="338"/>
    </row>
    <row r="1324" spans="20:37">
      <c r="T1324" s="588"/>
      <c r="V1324" s="1"/>
      <c r="W1324" s="1"/>
      <c r="X1324" s="1"/>
      <c r="Y1324" s="1"/>
      <c r="Z1324" s="1"/>
      <c r="AA1324" s="1"/>
      <c r="AB1324" s="1"/>
      <c r="AC1324" s="1"/>
      <c r="AD1324" s="1"/>
      <c r="AE1324" s="1"/>
      <c r="AF1324" s="1"/>
      <c r="AG1324" s="1"/>
      <c r="AH1324" s="1"/>
      <c r="AI1324" s="1"/>
      <c r="AJ1324" s="1"/>
      <c r="AK1324" s="338"/>
    </row>
    <row r="1325" spans="20:37">
      <c r="T1325" s="588"/>
      <c r="V1325" s="1"/>
      <c r="W1325" s="1"/>
      <c r="X1325" s="1"/>
      <c r="Y1325" s="1"/>
      <c r="Z1325" s="1"/>
      <c r="AA1325" s="1"/>
      <c r="AB1325" s="1"/>
      <c r="AC1325" s="1"/>
      <c r="AD1325" s="1"/>
      <c r="AE1325" s="1"/>
      <c r="AF1325" s="1"/>
      <c r="AG1325" s="1"/>
      <c r="AH1325" s="1"/>
      <c r="AI1325" s="1"/>
      <c r="AJ1325" s="1"/>
      <c r="AK1325" s="338"/>
    </row>
    <row r="1326" spans="20:37">
      <c r="T1326" s="588"/>
      <c r="V1326" s="1"/>
      <c r="W1326" s="1"/>
      <c r="X1326" s="1"/>
      <c r="Y1326" s="1"/>
      <c r="Z1326" s="1"/>
      <c r="AA1326" s="1"/>
      <c r="AB1326" s="1"/>
      <c r="AC1326" s="1"/>
      <c r="AD1326" s="1"/>
      <c r="AE1326" s="1"/>
      <c r="AF1326" s="1"/>
      <c r="AG1326" s="1"/>
      <c r="AH1326" s="1"/>
      <c r="AI1326" s="1"/>
      <c r="AJ1326" s="1"/>
      <c r="AK1326" s="338"/>
    </row>
    <row r="1327" spans="20:37">
      <c r="T1327" s="588"/>
      <c r="V1327" s="1"/>
      <c r="W1327" s="1"/>
      <c r="X1327" s="1"/>
      <c r="Y1327" s="1"/>
      <c r="Z1327" s="1"/>
      <c r="AA1327" s="1"/>
      <c r="AB1327" s="1"/>
      <c r="AC1327" s="1"/>
      <c r="AD1327" s="1"/>
      <c r="AE1327" s="1"/>
      <c r="AF1327" s="1"/>
      <c r="AG1327" s="1"/>
      <c r="AH1327" s="1"/>
      <c r="AI1327" s="1"/>
      <c r="AJ1327" s="1"/>
      <c r="AK1327" s="338"/>
    </row>
    <row r="1328" spans="20:37">
      <c r="T1328" s="588"/>
      <c r="V1328" s="1"/>
      <c r="W1328" s="1"/>
      <c r="X1328" s="1"/>
      <c r="Y1328" s="1"/>
      <c r="Z1328" s="1"/>
      <c r="AA1328" s="1"/>
      <c r="AB1328" s="1"/>
      <c r="AC1328" s="1"/>
      <c r="AD1328" s="1"/>
      <c r="AE1328" s="1"/>
      <c r="AF1328" s="1"/>
      <c r="AG1328" s="1"/>
      <c r="AH1328" s="1"/>
      <c r="AI1328" s="1"/>
      <c r="AJ1328" s="1"/>
      <c r="AK1328" s="338"/>
    </row>
    <row r="1329" spans="20:37">
      <c r="T1329" s="588"/>
      <c r="V1329" s="1"/>
      <c r="W1329" s="1"/>
      <c r="X1329" s="1"/>
      <c r="Y1329" s="1"/>
      <c r="Z1329" s="1"/>
      <c r="AA1329" s="1"/>
      <c r="AB1329" s="1"/>
      <c r="AC1329" s="1"/>
      <c r="AD1329" s="1"/>
      <c r="AE1329" s="1"/>
      <c r="AF1329" s="1"/>
      <c r="AG1329" s="1"/>
      <c r="AH1329" s="1"/>
      <c r="AI1329" s="1"/>
      <c r="AJ1329" s="1"/>
      <c r="AK1329" s="338"/>
    </row>
    <row r="1330" spans="20:37">
      <c r="T1330" s="588"/>
      <c r="V1330" s="1"/>
      <c r="W1330" s="1"/>
      <c r="X1330" s="1"/>
      <c r="Y1330" s="1"/>
      <c r="Z1330" s="1"/>
      <c r="AA1330" s="1"/>
      <c r="AB1330" s="1"/>
      <c r="AC1330" s="1"/>
      <c r="AD1330" s="1"/>
      <c r="AE1330" s="1"/>
      <c r="AF1330" s="1"/>
      <c r="AG1330" s="1"/>
      <c r="AH1330" s="1"/>
      <c r="AI1330" s="1"/>
      <c r="AJ1330" s="1"/>
      <c r="AK1330" s="338"/>
    </row>
    <row r="1331" spans="20:37">
      <c r="T1331" s="588"/>
      <c r="V1331" s="1"/>
      <c r="W1331" s="1"/>
      <c r="X1331" s="1"/>
      <c r="Y1331" s="1"/>
      <c r="Z1331" s="1"/>
      <c r="AA1331" s="1"/>
      <c r="AB1331" s="1"/>
      <c r="AC1331" s="1"/>
      <c r="AD1331" s="1"/>
      <c r="AE1331" s="1"/>
      <c r="AF1331" s="1"/>
      <c r="AG1331" s="1"/>
      <c r="AH1331" s="1"/>
      <c r="AI1331" s="1"/>
      <c r="AJ1331" s="1"/>
      <c r="AK1331" s="338"/>
    </row>
    <row r="1332" spans="20:37">
      <c r="T1332" s="588"/>
      <c r="V1332" s="1"/>
      <c r="W1332" s="1"/>
      <c r="X1332" s="1"/>
      <c r="Y1332" s="1"/>
      <c r="Z1332" s="1"/>
      <c r="AA1332" s="1"/>
      <c r="AB1332" s="1"/>
      <c r="AC1332" s="1"/>
      <c r="AD1332" s="1"/>
      <c r="AE1332" s="1"/>
      <c r="AF1332" s="1"/>
      <c r="AG1332" s="1"/>
      <c r="AH1332" s="1"/>
      <c r="AI1332" s="1"/>
      <c r="AJ1332" s="1"/>
      <c r="AK1332" s="338"/>
    </row>
    <row r="1333" spans="20:37">
      <c r="T1333" s="588"/>
      <c r="V1333" s="1"/>
      <c r="W1333" s="1"/>
      <c r="X1333" s="1"/>
      <c r="Y1333" s="1"/>
      <c r="Z1333" s="1"/>
      <c r="AA1333" s="1"/>
      <c r="AB1333" s="1"/>
      <c r="AC1333" s="1"/>
      <c r="AD1333" s="1"/>
      <c r="AE1333" s="1"/>
      <c r="AF1333" s="1"/>
      <c r="AG1333" s="1"/>
      <c r="AH1333" s="1"/>
      <c r="AI1333" s="1"/>
      <c r="AJ1333" s="1"/>
      <c r="AK1333" s="338"/>
    </row>
    <row r="1334" spans="20:37">
      <c r="T1334" s="588"/>
      <c r="V1334" s="1"/>
      <c r="W1334" s="1"/>
      <c r="X1334" s="1"/>
      <c r="Y1334" s="1"/>
      <c r="Z1334" s="1"/>
      <c r="AA1334" s="1"/>
      <c r="AB1334" s="1"/>
      <c r="AC1334" s="1"/>
      <c r="AD1334" s="1"/>
      <c r="AE1334" s="1"/>
      <c r="AF1334" s="1"/>
      <c r="AG1334" s="1"/>
      <c r="AH1334" s="1"/>
      <c r="AI1334" s="1"/>
      <c r="AJ1334" s="1"/>
      <c r="AK1334" s="338"/>
    </row>
    <row r="1335" spans="20:37">
      <c r="T1335" s="588"/>
      <c r="V1335" s="1"/>
      <c r="W1335" s="1"/>
      <c r="X1335" s="1"/>
      <c r="Y1335" s="1"/>
      <c r="Z1335" s="1"/>
      <c r="AA1335" s="1"/>
      <c r="AB1335" s="1"/>
      <c r="AC1335" s="1"/>
      <c r="AD1335" s="1"/>
      <c r="AE1335" s="1"/>
      <c r="AF1335" s="1"/>
      <c r="AG1335" s="1"/>
      <c r="AH1335" s="1"/>
      <c r="AI1335" s="1"/>
      <c r="AJ1335" s="1"/>
      <c r="AK1335" s="338"/>
    </row>
    <row r="1336" spans="20:37">
      <c r="T1336" s="588"/>
      <c r="V1336" s="1"/>
      <c r="W1336" s="1"/>
      <c r="X1336" s="1"/>
      <c r="Y1336" s="1"/>
      <c r="Z1336" s="1"/>
      <c r="AA1336" s="1"/>
      <c r="AB1336" s="1"/>
      <c r="AC1336" s="1"/>
      <c r="AD1336" s="1"/>
      <c r="AE1336" s="1"/>
      <c r="AF1336" s="1"/>
      <c r="AG1336" s="1"/>
      <c r="AH1336" s="1"/>
      <c r="AI1336" s="1"/>
      <c r="AJ1336" s="1"/>
      <c r="AK1336" s="338"/>
    </row>
    <row r="1337" spans="20:37">
      <c r="T1337" s="588"/>
      <c r="V1337" s="1"/>
      <c r="W1337" s="1"/>
      <c r="X1337" s="1"/>
      <c r="Y1337" s="1"/>
      <c r="Z1337" s="1"/>
      <c r="AA1337" s="1"/>
      <c r="AB1337" s="1"/>
      <c r="AC1337" s="1"/>
      <c r="AD1337" s="1"/>
      <c r="AE1337" s="1"/>
      <c r="AF1337" s="1"/>
      <c r="AG1337" s="1"/>
      <c r="AH1337" s="1"/>
      <c r="AI1337" s="1"/>
      <c r="AJ1337" s="1"/>
      <c r="AK1337" s="338"/>
    </row>
    <row r="1338" spans="20:37">
      <c r="T1338" s="588"/>
      <c r="V1338" s="1"/>
      <c r="W1338" s="1"/>
      <c r="X1338" s="1"/>
      <c r="Y1338" s="1"/>
      <c r="Z1338" s="1"/>
      <c r="AA1338" s="1"/>
      <c r="AB1338" s="1"/>
      <c r="AC1338" s="1"/>
      <c r="AD1338" s="1"/>
      <c r="AE1338" s="1"/>
      <c r="AF1338" s="1"/>
      <c r="AG1338" s="1"/>
      <c r="AH1338" s="1"/>
      <c r="AI1338" s="1"/>
      <c r="AJ1338" s="1"/>
      <c r="AK1338" s="338"/>
    </row>
    <row r="1339" spans="20:37">
      <c r="T1339" s="588"/>
      <c r="V1339" s="1"/>
      <c r="W1339" s="1"/>
      <c r="X1339" s="1"/>
      <c r="Y1339" s="1"/>
      <c r="Z1339" s="1"/>
      <c r="AA1339" s="1"/>
      <c r="AB1339" s="1"/>
      <c r="AC1339" s="1"/>
      <c r="AD1339" s="1"/>
      <c r="AE1339" s="1"/>
      <c r="AF1339" s="1"/>
      <c r="AG1339" s="1"/>
      <c r="AH1339" s="1"/>
      <c r="AI1339" s="1"/>
      <c r="AJ1339" s="1"/>
      <c r="AK1339" s="338"/>
    </row>
    <row r="1340" spans="20:37">
      <c r="T1340" s="588"/>
      <c r="V1340" s="1"/>
      <c r="W1340" s="1"/>
      <c r="X1340" s="1"/>
      <c r="Y1340" s="1"/>
      <c r="Z1340" s="1"/>
      <c r="AA1340" s="1"/>
      <c r="AB1340" s="1"/>
      <c r="AC1340" s="1"/>
      <c r="AD1340" s="1"/>
      <c r="AE1340" s="1"/>
      <c r="AF1340" s="1"/>
      <c r="AG1340" s="1"/>
      <c r="AH1340" s="1"/>
      <c r="AI1340" s="1"/>
      <c r="AJ1340" s="1"/>
      <c r="AK1340" s="338"/>
    </row>
    <row r="1341" spans="20:37">
      <c r="T1341" s="588"/>
      <c r="V1341" s="1"/>
      <c r="W1341" s="1"/>
      <c r="X1341" s="1"/>
      <c r="Y1341" s="1"/>
      <c r="Z1341" s="1"/>
      <c r="AA1341" s="1"/>
      <c r="AB1341" s="1"/>
      <c r="AC1341" s="1"/>
      <c r="AD1341" s="1"/>
      <c r="AE1341" s="1"/>
      <c r="AF1341" s="1"/>
      <c r="AG1341" s="1"/>
      <c r="AH1341" s="1"/>
      <c r="AI1341" s="1"/>
      <c r="AJ1341" s="1"/>
      <c r="AK1341" s="338"/>
    </row>
    <row r="1342" spans="20:37">
      <c r="T1342" s="588"/>
      <c r="V1342" s="1"/>
      <c r="W1342" s="1"/>
      <c r="X1342" s="1"/>
      <c r="Y1342" s="1"/>
      <c r="Z1342" s="1"/>
      <c r="AA1342" s="1"/>
      <c r="AB1342" s="1"/>
      <c r="AC1342" s="1"/>
      <c r="AD1342" s="1"/>
      <c r="AE1342" s="1"/>
      <c r="AF1342" s="1"/>
      <c r="AG1342" s="1"/>
      <c r="AH1342" s="1"/>
      <c r="AI1342" s="1"/>
      <c r="AJ1342" s="1"/>
      <c r="AK1342" s="338"/>
    </row>
    <row r="1343" spans="20:37">
      <c r="T1343" s="588"/>
      <c r="V1343" s="1"/>
      <c r="W1343" s="1"/>
      <c r="X1343" s="1"/>
      <c r="Y1343" s="1"/>
      <c r="Z1343" s="1"/>
      <c r="AA1343" s="1"/>
      <c r="AB1343" s="1"/>
      <c r="AC1343" s="1"/>
      <c r="AD1343" s="1"/>
      <c r="AE1343" s="1"/>
      <c r="AF1343" s="1"/>
      <c r="AG1343" s="1"/>
      <c r="AH1343" s="1"/>
      <c r="AI1343" s="1"/>
      <c r="AJ1343" s="1"/>
      <c r="AK1343" s="338"/>
    </row>
    <row r="1344" spans="20:37">
      <c r="T1344" s="588"/>
      <c r="V1344" s="1"/>
      <c r="W1344" s="1"/>
      <c r="X1344" s="1"/>
      <c r="Y1344" s="1"/>
      <c r="Z1344" s="1"/>
      <c r="AA1344" s="1"/>
      <c r="AB1344" s="1"/>
      <c r="AC1344" s="1"/>
      <c r="AD1344" s="1"/>
      <c r="AE1344" s="1"/>
      <c r="AF1344" s="1"/>
      <c r="AG1344" s="1"/>
      <c r="AH1344" s="1"/>
      <c r="AI1344" s="1"/>
      <c r="AJ1344" s="1"/>
      <c r="AK1344" s="338"/>
    </row>
    <row r="1345" spans="20:37">
      <c r="T1345" s="588"/>
      <c r="V1345" s="1"/>
      <c r="W1345" s="1"/>
      <c r="X1345" s="1"/>
      <c r="Y1345" s="1"/>
      <c r="Z1345" s="1"/>
      <c r="AA1345" s="1"/>
      <c r="AB1345" s="1"/>
      <c r="AC1345" s="1"/>
      <c r="AD1345" s="1"/>
      <c r="AE1345" s="1"/>
      <c r="AF1345" s="1"/>
      <c r="AG1345" s="1"/>
      <c r="AH1345" s="1"/>
      <c r="AI1345" s="1"/>
      <c r="AJ1345" s="1"/>
      <c r="AK1345" s="338"/>
    </row>
    <row r="1346" spans="20:37">
      <c r="T1346" s="588"/>
      <c r="V1346" s="1"/>
      <c r="W1346" s="1"/>
      <c r="X1346" s="1"/>
      <c r="Y1346" s="1"/>
      <c r="Z1346" s="1"/>
      <c r="AA1346" s="1"/>
      <c r="AB1346" s="1"/>
      <c r="AC1346" s="1"/>
      <c r="AD1346" s="1"/>
      <c r="AE1346" s="1"/>
      <c r="AF1346" s="1"/>
      <c r="AG1346" s="1"/>
      <c r="AH1346" s="1"/>
      <c r="AI1346" s="1"/>
      <c r="AJ1346" s="1"/>
      <c r="AK1346" s="338"/>
    </row>
    <row r="1347" spans="20:37">
      <c r="T1347" s="588"/>
      <c r="V1347" s="1"/>
      <c r="W1347" s="1"/>
      <c r="X1347" s="1"/>
      <c r="Y1347" s="1"/>
      <c r="Z1347" s="1"/>
      <c r="AA1347" s="1"/>
      <c r="AB1347" s="1"/>
      <c r="AC1347" s="1"/>
      <c r="AD1347" s="1"/>
      <c r="AE1347" s="1"/>
      <c r="AF1347" s="1"/>
      <c r="AG1347" s="1"/>
      <c r="AH1347" s="1"/>
      <c r="AI1347" s="1"/>
      <c r="AJ1347" s="1"/>
      <c r="AK1347" s="338"/>
    </row>
    <row r="1348" spans="20:37">
      <c r="T1348" s="588"/>
      <c r="V1348" s="1"/>
      <c r="W1348" s="1"/>
      <c r="X1348" s="1"/>
      <c r="Y1348" s="1"/>
      <c r="Z1348" s="1"/>
      <c r="AA1348" s="1"/>
      <c r="AB1348" s="1"/>
      <c r="AC1348" s="1"/>
      <c r="AD1348" s="1"/>
      <c r="AE1348" s="1"/>
      <c r="AF1348" s="1"/>
      <c r="AG1348" s="1"/>
      <c r="AH1348" s="1"/>
      <c r="AI1348" s="1"/>
      <c r="AJ1348" s="1"/>
      <c r="AK1348" s="338"/>
    </row>
    <row r="1349" spans="20:37">
      <c r="T1349" s="588"/>
      <c r="V1349" s="1"/>
      <c r="W1349" s="1"/>
      <c r="X1349" s="1"/>
      <c r="Y1349" s="1"/>
      <c r="Z1349" s="1"/>
      <c r="AA1349" s="1"/>
      <c r="AB1349" s="1"/>
      <c r="AC1349" s="1"/>
      <c r="AD1349" s="1"/>
      <c r="AE1349" s="1"/>
      <c r="AF1349" s="1"/>
      <c r="AG1349" s="1"/>
      <c r="AH1349" s="1"/>
      <c r="AI1349" s="1"/>
      <c r="AJ1349" s="1"/>
      <c r="AK1349" s="338"/>
    </row>
    <row r="1350" spans="20:37">
      <c r="T1350" s="588"/>
      <c r="V1350" s="1"/>
      <c r="W1350" s="1"/>
      <c r="X1350" s="1"/>
      <c r="Y1350" s="1"/>
      <c r="Z1350" s="1"/>
      <c r="AA1350" s="1"/>
      <c r="AB1350" s="1"/>
      <c r="AC1350" s="1"/>
      <c r="AD1350" s="1"/>
      <c r="AE1350" s="1"/>
      <c r="AF1350" s="1"/>
      <c r="AG1350" s="1"/>
      <c r="AH1350" s="1"/>
      <c r="AI1350" s="1"/>
      <c r="AJ1350" s="1"/>
      <c r="AK1350" s="338"/>
    </row>
    <row r="1351" spans="20:37">
      <c r="T1351" s="588"/>
      <c r="V1351" s="1"/>
      <c r="W1351" s="1"/>
      <c r="X1351" s="1"/>
      <c r="Y1351" s="1"/>
      <c r="Z1351" s="1"/>
      <c r="AA1351" s="1"/>
      <c r="AB1351" s="1"/>
      <c r="AC1351" s="1"/>
      <c r="AD1351" s="1"/>
      <c r="AE1351" s="1"/>
      <c r="AF1351" s="1"/>
      <c r="AG1351" s="1"/>
      <c r="AH1351" s="1"/>
      <c r="AI1351" s="1"/>
      <c r="AJ1351" s="1"/>
      <c r="AK1351" s="338"/>
    </row>
    <row r="1352" spans="20:37">
      <c r="T1352" s="588"/>
      <c r="V1352" s="1"/>
      <c r="W1352" s="1"/>
      <c r="X1352" s="1"/>
      <c r="Y1352" s="1"/>
      <c r="Z1352" s="1"/>
      <c r="AA1352" s="1"/>
      <c r="AB1352" s="1"/>
      <c r="AC1352" s="1"/>
      <c r="AD1352" s="1"/>
      <c r="AE1352" s="1"/>
      <c r="AF1352" s="1"/>
      <c r="AG1352" s="1"/>
      <c r="AH1352" s="1"/>
      <c r="AI1352" s="1"/>
      <c r="AJ1352" s="1"/>
      <c r="AK1352" s="338"/>
    </row>
    <row r="1353" spans="20:37">
      <c r="T1353" s="588"/>
      <c r="V1353" s="1"/>
      <c r="W1353" s="1"/>
      <c r="X1353" s="1"/>
      <c r="Y1353" s="1"/>
      <c r="Z1353" s="1"/>
      <c r="AA1353" s="1"/>
      <c r="AB1353" s="1"/>
      <c r="AC1353" s="1"/>
      <c r="AD1353" s="1"/>
      <c r="AE1353" s="1"/>
      <c r="AF1353" s="1"/>
      <c r="AG1353" s="1"/>
      <c r="AH1353" s="1"/>
      <c r="AI1353" s="1"/>
      <c r="AJ1353" s="1"/>
      <c r="AK1353" s="338"/>
    </row>
    <row r="1354" spans="20:37">
      <c r="T1354" s="588"/>
      <c r="V1354" s="1"/>
      <c r="W1354" s="1"/>
      <c r="X1354" s="1"/>
      <c r="Y1354" s="1"/>
      <c r="Z1354" s="1"/>
      <c r="AA1354" s="1"/>
      <c r="AB1354" s="1"/>
      <c r="AC1354" s="1"/>
      <c r="AD1354" s="1"/>
      <c r="AE1354" s="1"/>
      <c r="AF1354" s="1"/>
      <c r="AG1354" s="1"/>
      <c r="AH1354" s="1"/>
      <c r="AI1354" s="1"/>
      <c r="AJ1354" s="1"/>
      <c r="AK1354" s="338"/>
    </row>
    <row r="1355" spans="20:37">
      <c r="T1355" s="588"/>
      <c r="V1355" s="1"/>
      <c r="W1355" s="1"/>
      <c r="X1355" s="1"/>
      <c r="Y1355" s="1"/>
      <c r="Z1355" s="1"/>
      <c r="AA1355" s="1"/>
      <c r="AB1355" s="1"/>
      <c r="AC1355" s="1"/>
      <c r="AD1355" s="1"/>
      <c r="AE1355" s="1"/>
      <c r="AF1355" s="1"/>
      <c r="AG1355" s="1"/>
      <c r="AH1355" s="1"/>
      <c r="AI1355" s="1"/>
      <c r="AJ1355" s="1"/>
      <c r="AK1355" s="338"/>
    </row>
    <row r="1356" spans="20:37">
      <c r="T1356" s="588"/>
      <c r="V1356" s="1"/>
      <c r="W1356" s="1"/>
      <c r="X1356" s="1"/>
      <c r="Y1356" s="1"/>
      <c r="Z1356" s="1"/>
      <c r="AA1356" s="1"/>
      <c r="AB1356" s="1"/>
      <c r="AC1356" s="1"/>
      <c r="AD1356" s="1"/>
      <c r="AE1356" s="1"/>
      <c r="AF1356" s="1"/>
      <c r="AG1356" s="1"/>
      <c r="AH1356" s="1"/>
      <c r="AI1356" s="1"/>
      <c r="AJ1356" s="1"/>
      <c r="AK1356" s="338"/>
    </row>
    <row r="1357" spans="20:37">
      <c r="T1357" s="588"/>
      <c r="V1357" s="1"/>
      <c r="W1357" s="1"/>
      <c r="X1357" s="1"/>
      <c r="Y1357" s="1"/>
      <c r="Z1357" s="1"/>
      <c r="AA1357" s="1"/>
      <c r="AB1357" s="1"/>
      <c r="AC1357" s="1"/>
      <c r="AD1357" s="1"/>
      <c r="AE1357" s="1"/>
      <c r="AF1357" s="1"/>
      <c r="AG1357" s="1"/>
      <c r="AH1357" s="1"/>
      <c r="AI1357" s="1"/>
      <c r="AJ1357" s="1"/>
      <c r="AK1357" s="338"/>
    </row>
    <row r="1358" spans="20:37">
      <c r="T1358" s="588"/>
      <c r="V1358" s="1"/>
      <c r="W1358" s="1"/>
      <c r="X1358" s="1"/>
      <c r="Y1358" s="1"/>
      <c r="Z1358" s="1"/>
      <c r="AA1358" s="1"/>
      <c r="AB1358" s="1"/>
      <c r="AC1358" s="1"/>
      <c r="AD1358" s="1"/>
      <c r="AE1358" s="1"/>
      <c r="AF1358" s="1"/>
      <c r="AG1358" s="1"/>
      <c r="AH1358" s="1"/>
      <c r="AI1358" s="1"/>
      <c r="AJ1358" s="1"/>
      <c r="AK1358" s="338"/>
    </row>
    <row r="1359" spans="20:37">
      <c r="T1359" s="588"/>
      <c r="V1359" s="1"/>
      <c r="W1359" s="1"/>
      <c r="X1359" s="1"/>
      <c r="Y1359" s="1"/>
      <c r="Z1359" s="1"/>
      <c r="AA1359" s="1"/>
      <c r="AB1359" s="1"/>
      <c r="AC1359" s="1"/>
      <c r="AD1359" s="1"/>
      <c r="AE1359" s="1"/>
      <c r="AF1359" s="1"/>
      <c r="AG1359" s="1"/>
      <c r="AH1359" s="1"/>
      <c r="AI1359" s="1"/>
      <c r="AJ1359" s="1"/>
      <c r="AK1359" s="338"/>
    </row>
    <row r="1360" spans="20:37">
      <c r="T1360" s="588"/>
      <c r="V1360" s="1"/>
      <c r="W1360" s="1"/>
      <c r="X1360" s="1"/>
      <c r="Y1360" s="1"/>
      <c r="Z1360" s="1"/>
      <c r="AA1360" s="1"/>
      <c r="AB1360" s="1"/>
      <c r="AC1360" s="1"/>
      <c r="AD1360" s="1"/>
      <c r="AE1360" s="1"/>
      <c r="AF1360" s="1"/>
      <c r="AG1360" s="1"/>
      <c r="AH1360" s="1"/>
      <c r="AI1360" s="1"/>
      <c r="AJ1360" s="1"/>
      <c r="AK1360" s="338"/>
    </row>
    <row r="1361" spans="20:37">
      <c r="T1361" s="588"/>
      <c r="V1361" s="1"/>
      <c r="W1361" s="1"/>
      <c r="X1361" s="1"/>
      <c r="Y1361" s="1"/>
      <c r="Z1361" s="1"/>
      <c r="AA1361" s="1"/>
      <c r="AB1361" s="1"/>
      <c r="AC1361" s="1"/>
      <c r="AD1361" s="1"/>
      <c r="AE1361" s="1"/>
      <c r="AF1361" s="1"/>
      <c r="AG1361" s="1"/>
      <c r="AH1361" s="1"/>
      <c r="AI1361" s="1"/>
      <c r="AJ1361" s="1"/>
      <c r="AK1361" s="338"/>
    </row>
    <row r="1362" spans="20:37">
      <c r="T1362" s="588"/>
      <c r="V1362" s="1"/>
      <c r="W1362" s="1"/>
      <c r="X1362" s="1"/>
      <c r="Y1362" s="1"/>
      <c r="Z1362" s="1"/>
      <c r="AA1362" s="1"/>
      <c r="AB1362" s="1"/>
      <c r="AC1362" s="1"/>
      <c r="AD1362" s="1"/>
      <c r="AE1362" s="1"/>
      <c r="AF1362" s="1"/>
      <c r="AG1362" s="1"/>
      <c r="AH1362" s="1"/>
      <c r="AI1362" s="1"/>
      <c r="AJ1362" s="1"/>
      <c r="AK1362" s="338"/>
    </row>
    <row r="1363" spans="20:37">
      <c r="T1363" s="588"/>
      <c r="V1363" s="1"/>
      <c r="W1363" s="1"/>
      <c r="X1363" s="1"/>
      <c r="Y1363" s="1"/>
      <c r="Z1363" s="1"/>
      <c r="AA1363" s="1"/>
      <c r="AB1363" s="1"/>
      <c r="AC1363" s="1"/>
      <c r="AD1363" s="1"/>
      <c r="AE1363" s="1"/>
      <c r="AF1363" s="1"/>
      <c r="AG1363" s="1"/>
      <c r="AH1363" s="1"/>
      <c r="AI1363" s="1"/>
      <c r="AJ1363" s="1"/>
      <c r="AK1363" s="338"/>
    </row>
    <row r="1364" spans="20:37">
      <c r="T1364" s="588"/>
      <c r="V1364" s="1"/>
      <c r="W1364" s="1"/>
      <c r="X1364" s="1"/>
      <c r="Y1364" s="1"/>
      <c r="Z1364" s="1"/>
      <c r="AA1364" s="1"/>
      <c r="AB1364" s="1"/>
      <c r="AC1364" s="1"/>
      <c r="AD1364" s="1"/>
      <c r="AE1364" s="1"/>
      <c r="AF1364" s="1"/>
      <c r="AG1364" s="1"/>
      <c r="AH1364" s="1"/>
      <c r="AI1364" s="1"/>
      <c r="AJ1364" s="1"/>
      <c r="AK1364" s="338"/>
    </row>
    <row r="1365" spans="20:37">
      <c r="T1365" s="588"/>
      <c r="V1365" s="1"/>
      <c r="W1365" s="1"/>
      <c r="X1365" s="1"/>
      <c r="Y1365" s="1"/>
      <c r="Z1365" s="1"/>
      <c r="AA1365" s="1"/>
      <c r="AB1365" s="1"/>
      <c r="AC1365" s="1"/>
      <c r="AD1365" s="1"/>
      <c r="AE1365" s="1"/>
      <c r="AF1365" s="1"/>
      <c r="AG1365" s="1"/>
      <c r="AH1365" s="1"/>
      <c r="AI1365" s="1"/>
      <c r="AJ1365" s="1"/>
      <c r="AK1365" s="338"/>
    </row>
    <row r="1366" spans="20:37">
      <c r="T1366" s="588"/>
      <c r="V1366" s="1"/>
      <c r="W1366" s="1"/>
      <c r="X1366" s="1"/>
      <c r="Y1366" s="1"/>
      <c r="Z1366" s="1"/>
      <c r="AA1366" s="1"/>
      <c r="AB1366" s="1"/>
      <c r="AC1366" s="1"/>
      <c r="AD1366" s="1"/>
      <c r="AE1366" s="1"/>
      <c r="AF1366" s="1"/>
      <c r="AG1366" s="1"/>
      <c r="AH1366" s="1"/>
      <c r="AI1366" s="1"/>
      <c r="AJ1366" s="1"/>
      <c r="AK1366" s="338"/>
    </row>
    <row r="1367" spans="20:37">
      <c r="T1367" s="588"/>
      <c r="V1367" s="1"/>
      <c r="W1367" s="1"/>
      <c r="X1367" s="1"/>
      <c r="Y1367" s="1"/>
      <c r="Z1367" s="1"/>
      <c r="AA1367" s="1"/>
      <c r="AB1367" s="1"/>
      <c r="AC1367" s="1"/>
      <c r="AD1367" s="1"/>
      <c r="AE1367" s="1"/>
      <c r="AF1367" s="1"/>
      <c r="AG1367" s="1"/>
      <c r="AH1367" s="1"/>
      <c r="AI1367" s="1"/>
      <c r="AJ1367" s="1"/>
      <c r="AK1367" s="338"/>
    </row>
    <row r="1368" spans="20:37">
      <c r="T1368" s="588"/>
      <c r="V1368" s="1"/>
      <c r="W1368" s="1"/>
      <c r="X1368" s="1"/>
      <c r="Y1368" s="1"/>
      <c r="Z1368" s="1"/>
      <c r="AA1368" s="1"/>
      <c r="AB1368" s="1"/>
      <c r="AC1368" s="1"/>
      <c r="AD1368" s="1"/>
      <c r="AE1368" s="1"/>
      <c r="AF1368" s="1"/>
      <c r="AG1368" s="1"/>
      <c r="AH1368" s="1"/>
      <c r="AI1368" s="1"/>
      <c r="AJ1368" s="1"/>
      <c r="AK1368" s="338"/>
    </row>
    <row r="1369" spans="20:37">
      <c r="T1369" s="588"/>
      <c r="V1369" s="1"/>
      <c r="W1369" s="1"/>
      <c r="X1369" s="1"/>
      <c r="Y1369" s="1"/>
      <c r="Z1369" s="1"/>
      <c r="AA1369" s="1"/>
      <c r="AB1369" s="1"/>
      <c r="AC1369" s="1"/>
      <c r="AD1369" s="1"/>
      <c r="AE1369" s="1"/>
      <c r="AF1369" s="1"/>
      <c r="AG1369" s="1"/>
      <c r="AH1369" s="1"/>
      <c r="AI1369" s="1"/>
      <c r="AJ1369" s="1"/>
      <c r="AK1369" s="338"/>
    </row>
    <row r="1370" spans="20:37">
      <c r="T1370" s="588"/>
      <c r="V1370" s="1"/>
      <c r="W1370" s="1"/>
      <c r="X1370" s="1"/>
      <c r="Y1370" s="1"/>
      <c r="Z1370" s="1"/>
      <c r="AA1370" s="1"/>
      <c r="AB1370" s="1"/>
      <c r="AC1370" s="1"/>
      <c r="AD1370" s="1"/>
      <c r="AE1370" s="1"/>
      <c r="AF1370" s="1"/>
      <c r="AG1370" s="1"/>
      <c r="AH1370" s="1"/>
      <c r="AI1370" s="1"/>
      <c r="AJ1370" s="1"/>
      <c r="AK1370" s="338"/>
    </row>
    <row r="1371" spans="20:37">
      <c r="T1371" s="588"/>
      <c r="V1371" s="1"/>
      <c r="W1371" s="1"/>
      <c r="X1371" s="1"/>
      <c r="Y1371" s="1"/>
      <c r="Z1371" s="1"/>
      <c r="AA1371" s="1"/>
      <c r="AB1371" s="1"/>
      <c r="AC1371" s="1"/>
      <c r="AD1371" s="1"/>
      <c r="AE1371" s="1"/>
      <c r="AF1371" s="1"/>
      <c r="AG1371" s="1"/>
      <c r="AH1371" s="1"/>
      <c r="AI1371" s="1"/>
      <c r="AJ1371" s="1"/>
      <c r="AK1371" s="338"/>
    </row>
    <row r="1372" spans="20:37">
      <c r="T1372" s="588"/>
      <c r="V1372" s="1"/>
      <c r="W1372" s="1"/>
      <c r="X1372" s="1"/>
      <c r="Y1372" s="1"/>
      <c r="Z1372" s="1"/>
      <c r="AA1372" s="1"/>
      <c r="AB1372" s="1"/>
      <c r="AC1372" s="1"/>
      <c r="AD1372" s="1"/>
      <c r="AE1372" s="1"/>
      <c r="AF1372" s="1"/>
      <c r="AG1372" s="1"/>
      <c r="AH1372" s="1"/>
      <c r="AI1372" s="1"/>
      <c r="AJ1372" s="1"/>
      <c r="AK1372" s="338"/>
    </row>
    <row r="1373" spans="20:37">
      <c r="T1373" s="588"/>
      <c r="V1373" s="1"/>
      <c r="W1373" s="1"/>
      <c r="X1373" s="1"/>
      <c r="Y1373" s="1"/>
      <c r="Z1373" s="1"/>
      <c r="AA1373" s="1"/>
      <c r="AB1373" s="1"/>
      <c r="AC1373" s="1"/>
      <c r="AD1373" s="1"/>
      <c r="AE1373" s="1"/>
      <c r="AF1373" s="1"/>
      <c r="AG1373" s="1"/>
      <c r="AH1373" s="1"/>
      <c r="AI1373" s="1"/>
      <c r="AJ1373" s="1"/>
      <c r="AK1373" s="338"/>
    </row>
    <row r="1374" spans="20:37">
      <c r="T1374" s="588"/>
      <c r="V1374" s="1"/>
      <c r="W1374" s="1"/>
      <c r="X1374" s="1"/>
      <c r="Y1374" s="1"/>
      <c r="Z1374" s="1"/>
      <c r="AA1374" s="1"/>
      <c r="AB1374" s="1"/>
      <c r="AC1374" s="1"/>
      <c r="AD1374" s="1"/>
      <c r="AE1374" s="1"/>
      <c r="AF1374" s="1"/>
      <c r="AG1374" s="1"/>
      <c r="AH1374" s="1"/>
      <c r="AI1374" s="1"/>
      <c r="AJ1374" s="1"/>
      <c r="AK1374" s="338"/>
    </row>
    <row r="1375" spans="20:37">
      <c r="T1375" s="588"/>
      <c r="V1375" s="1"/>
      <c r="W1375" s="1"/>
      <c r="X1375" s="1"/>
      <c r="Y1375" s="1"/>
      <c r="Z1375" s="1"/>
      <c r="AA1375" s="1"/>
      <c r="AB1375" s="1"/>
      <c r="AC1375" s="1"/>
      <c r="AD1375" s="1"/>
      <c r="AE1375" s="1"/>
      <c r="AF1375" s="1"/>
      <c r="AG1375" s="1"/>
      <c r="AH1375" s="1"/>
      <c r="AI1375" s="1"/>
      <c r="AJ1375" s="1"/>
      <c r="AK1375" s="338"/>
    </row>
    <row r="1376" spans="20:37">
      <c r="T1376" s="588"/>
      <c r="V1376" s="1"/>
      <c r="W1376" s="1"/>
      <c r="X1376" s="1"/>
      <c r="Y1376" s="1"/>
      <c r="Z1376" s="1"/>
      <c r="AA1376" s="1"/>
      <c r="AB1376" s="1"/>
      <c r="AC1376" s="1"/>
      <c r="AD1376" s="1"/>
      <c r="AE1376" s="1"/>
      <c r="AF1376" s="1"/>
      <c r="AG1376" s="1"/>
      <c r="AH1376" s="1"/>
      <c r="AI1376" s="1"/>
      <c r="AJ1376" s="1"/>
      <c r="AK1376" s="338"/>
    </row>
    <row r="1377" spans="20:37">
      <c r="T1377" s="588"/>
      <c r="V1377" s="1"/>
      <c r="W1377" s="1"/>
      <c r="X1377" s="1"/>
      <c r="Y1377" s="1"/>
      <c r="Z1377" s="1"/>
      <c r="AA1377" s="1"/>
      <c r="AB1377" s="1"/>
      <c r="AC1377" s="1"/>
      <c r="AD1377" s="1"/>
      <c r="AE1377" s="1"/>
      <c r="AF1377" s="1"/>
      <c r="AG1377" s="1"/>
      <c r="AH1377" s="1"/>
      <c r="AI1377" s="1"/>
      <c r="AJ1377" s="1"/>
      <c r="AK1377" s="338"/>
    </row>
    <row r="1378" spans="20:37">
      <c r="T1378" s="588"/>
      <c r="V1378" s="1"/>
      <c r="W1378" s="1"/>
      <c r="X1378" s="1"/>
      <c r="Y1378" s="1"/>
      <c r="Z1378" s="1"/>
      <c r="AA1378" s="1"/>
      <c r="AB1378" s="1"/>
      <c r="AC1378" s="1"/>
      <c r="AD1378" s="1"/>
      <c r="AE1378" s="1"/>
      <c r="AF1378" s="1"/>
      <c r="AG1378" s="1"/>
      <c r="AH1378" s="1"/>
      <c r="AI1378" s="1"/>
      <c r="AJ1378" s="1"/>
      <c r="AK1378" s="338"/>
    </row>
    <row r="1379" spans="20:37">
      <c r="T1379" s="588"/>
      <c r="V1379" s="1"/>
      <c r="W1379" s="1"/>
      <c r="X1379" s="1"/>
      <c r="Y1379" s="1"/>
      <c r="Z1379" s="1"/>
      <c r="AA1379" s="1"/>
      <c r="AB1379" s="1"/>
      <c r="AC1379" s="1"/>
      <c r="AD1379" s="1"/>
      <c r="AE1379" s="1"/>
      <c r="AF1379" s="1"/>
      <c r="AG1379" s="1"/>
      <c r="AH1379" s="1"/>
      <c r="AI1379" s="1"/>
      <c r="AJ1379" s="1"/>
      <c r="AK1379" s="338"/>
    </row>
    <row r="1380" spans="20:37">
      <c r="T1380" s="588"/>
      <c r="V1380" s="1"/>
      <c r="W1380" s="1"/>
      <c r="X1380" s="1"/>
      <c r="Y1380" s="1"/>
      <c r="Z1380" s="1"/>
      <c r="AA1380" s="1"/>
      <c r="AB1380" s="1"/>
      <c r="AC1380" s="1"/>
      <c r="AD1380" s="1"/>
      <c r="AE1380" s="1"/>
      <c r="AF1380" s="1"/>
      <c r="AG1380" s="1"/>
      <c r="AH1380" s="1"/>
      <c r="AI1380" s="1"/>
      <c r="AJ1380" s="1"/>
      <c r="AK1380" s="338"/>
    </row>
    <row r="1381" spans="20:37">
      <c r="T1381" s="588"/>
      <c r="V1381" s="1"/>
      <c r="W1381" s="1"/>
      <c r="X1381" s="1"/>
      <c r="Y1381" s="1"/>
      <c r="Z1381" s="1"/>
      <c r="AA1381" s="1"/>
      <c r="AB1381" s="1"/>
      <c r="AC1381" s="1"/>
      <c r="AD1381" s="1"/>
      <c r="AE1381" s="1"/>
      <c r="AF1381" s="1"/>
      <c r="AG1381" s="1"/>
      <c r="AH1381" s="1"/>
      <c r="AI1381" s="1"/>
      <c r="AJ1381" s="1"/>
      <c r="AK1381" s="338"/>
    </row>
    <row r="1382" spans="20:37">
      <c r="T1382" s="588"/>
      <c r="V1382" s="1"/>
      <c r="W1382" s="1"/>
      <c r="X1382" s="1"/>
      <c r="Y1382" s="1"/>
      <c r="Z1382" s="1"/>
      <c r="AA1382" s="1"/>
      <c r="AB1382" s="1"/>
      <c r="AC1382" s="1"/>
      <c r="AD1382" s="1"/>
      <c r="AE1382" s="1"/>
      <c r="AF1382" s="1"/>
      <c r="AG1382" s="1"/>
      <c r="AH1382" s="1"/>
      <c r="AI1382" s="1"/>
      <c r="AJ1382" s="1"/>
      <c r="AK1382" s="338"/>
    </row>
    <row r="1383" spans="20:37">
      <c r="T1383" s="588"/>
      <c r="V1383" s="1"/>
      <c r="W1383" s="1"/>
      <c r="X1383" s="1"/>
      <c r="Y1383" s="1"/>
      <c r="Z1383" s="1"/>
      <c r="AA1383" s="1"/>
      <c r="AB1383" s="1"/>
      <c r="AC1383" s="1"/>
      <c r="AD1383" s="1"/>
      <c r="AE1383" s="1"/>
      <c r="AF1383" s="1"/>
      <c r="AG1383" s="1"/>
      <c r="AH1383" s="1"/>
      <c r="AI1383" s="1"/>
      <c r="AJ1383" s="1"/>
      <c r="AK1383" s="338"/>
    </row>
    <row r="1384" spans="20:37">
      <c r="T1384" s="588"/>
      <c r="V1384" s="1"/>
      <c r="W1384" s="1"/>
      <c r="X1384" s="1"/>
      <c r="Y1384" s="1"/>
      <c r="Z1384" s="1"/>
      <c r="AA1384" s="1"/>
      <c r="AB1384" s="1"/>
      <c r="AC1384" s="1"/>
      <c r="AD1384" s="1"/>
      <c r="AE1384" s="1"/>
      <c r="AF1384" s="1"/>
      <c r="AG1384" s="1"/>
      <c r="AH1384" s="1"/>
      <c r="AI1384" s="1"/>
      <c r="AJ1384" s="1"/>
      <c r="AK1384" s="338"/>
    </row>
    <row r="1385" spans="20:37">
      <c r="T1385" s="588"/>
      <c r="V1385" s="1"/>
      <c r="W1385" s="1"/>
      <c r="X1385" s="1"/>
      <c r="Y1385" s="1"/>
      <c r="Z1385" s="1"/>
      <c r="AA1385" s="1"/>
      <c r="AB1385" s="1"/>
      <c r="AC1385" s="1"/>
      <c r="AD1385" s="1"/>
      <c r="AE1385" s="1"/>
      <c r="AF1385" s="1"/>
      <c r="AG1385" s="1"/>
      <c r="AH1385" s="1"/>
      <c r="AI1385" s="1"/>
      <c r="AJ1385" s="1"/>
      <c r="AK1385" s="338"/>
    </row>
    <row r="1386" spans="20:37">
      <c r="T1386" s="588"/>
      <c r="V1386" s="1"/>
      <c r="W1386" s="1"/>
      <c r="X1386" s="1"/>
      <c r="Y1386" s="1"/>
      <c r="Z1386" s="1"/>
      <c r="AA1386" s="1"/>
      <c r="AB1386" s="1"/>
      <c r="AC1386" s="1"/>
      <c r="AD1386" s="1"/>
      <c r="AE1386" s="1"/>
      <c r="AF1386" s="1"/>
      <c r="AG1386" s="1"/>
      <c r="AH1386" s="1"/>
      <c r="AI1386" s="1"/>
      <c r="AJ1386" s="1"/>
      <c r="AK1386" s="338"/>
    </row>
    <row r="1387" spans="20:37">
      <c r="T1387" s="588"/>
      <c r="V1387" s="1"/>
      <c r="W1387" s="1"/>
      <c r="X1387" s="1"/>
      <c r="Y1387" s="1"/>
      <c r="Z1387" s="1"/>
      <c r="AA1387" s="1"/>
      <c r="AB1387" s="1"/>
      <c r="AC1387" s="1"/>
      <c r="AD1387" s="1"/>
      <c r="AE1387" s="1"/>
      <c r="AF1387" s="1"/>
      <c r="AG1387" s="1"/>
      <c r="AH1387" s="1"/>
      <c r="AI1387" s="1"/>
      <c r="AJ1387" s="1"/>
      <c r="AK1387" s="338"/>
    </row>
    <row r="1388" spans="20:37">
      <c r="T1388" s="588"/>
      <c r="V1388" s="1"/>
      <c r="W1388" s="1"/>
      <c r="X1388" s="1"/>
      <c r="Y1388" s="1"/>
      <c r="Z1388" s="1"/>
      <c r="AA1388" s="1"/>
      <c r="AB1388" s="1"/>
      <c r="AC1388" s="1"/>
      <c r="AD1388" s="1"/>
      <c r="AE1388" s="1"/>
      <c r="AF1388" s="1"/>
      <c r="AG1388" s="1"/>
      <c r="AH1388" s="1"/>
      <c r="AI1388" s="1"/>
      <c r="AJ1388" s="1"/>
      <c r="AK1388" s="338"/>
    </row>
    <row r="1389" spans="20:37">
      <c r="T1389" s="588"/>
      <c r="V1389" s="1"/>
      <c r="W1389" s="1"/>
      <c r="X1389" s="1"/>
      <c r="Y1389" s="1"/>
      <c r="Z1389" s="1"/>
      <c r="AA1389" s="1"/>
      <c r="AB1389" s="1"/>
      <c r="AC1389" s="1"/>
      <c r="AD1389" s="1"/>
      <c r="AE1389" s="1"/>
      <c r="AF1389" s="1"/>
      <c r="AG1389" s="1"/>
      <c r="AH1389" s="1"/>
      <c r="AI1389" s="1"/>
      <c r="AJ1389" s="1"/>
      <c r="AK1389" s="338"/>
    </row>
    <row r="1390" spans="20:37">
      <c r="T1390" s="588"/>
      <c r="V1390" s="1"/>
      <c r="W1390" s="1"/>
      <c r="X1390" s="1"/>
      <c r="Y1390" s="1"/>
      <c r="Z1390" s="1"/>
      <c r="AA1390" s="1"/>
      <c r="AB1390" s="1"/>
      <c r="AC1390" s="1"/>
      <c r="AD1390" s="1"/>
      <c r="AE1390" s="1"/>
      <c r="AF1390" s="1"/>
      <c r="AG1390" s="1"/>
      <c r="AH1390" s="1"/>
      <c r="AI1390" s="1"/>
      <c r="AJ1390" s="1"/>
      <c r="AK1390" s="338"/>
    </row>
    <row r="1391" spans="20:37">
      <c r="T1391" s="588"/>
      <c r="V1391" s="1"/>
      <c r="W1391" s="1"/>
      <c r="X1391" s="1"/>
      <c r="Y1391" s="1"/>
      <c r="Z1391" s="1"/>
      <c r="AA1391" s="1"/>
      <c r="AB1391" s="1"/>
      <c r="AC1391" s="1"/>
      <c r="AD1391" s="1"/>
      <c r="AE1391" s="1"/>
      <c r="AF1391" s="1"/>
      <c r="AG1391" s="1"/>
      <c r="AH1391" s="1"/>
      <c r="AI1391" s="1"/>
      <c r="AJ1391" s="1"/>
      <c r="AK1391" s="338"/>
    </row>
    <row r="1392" spans="20:37">
      <c r="T1392" s="588"/>
      <c r="V1392" s="1"/>
      <c r="W1392" s="1"/>
      <c r="X1392" s="1"/>
      <c r="Y1392" s="1"/>
      <c r="Z1392" s="1"/>
      <c r="AA1392" s="1"/>
      <c r="AB1392" s="1"/>
      <c r="AC1392" s="1"/>
      <c r="AD1392" s="1"/>
      <c r="AE1392" s="1"/>
      <c r="AF1392" s="1"/>
      <c r="AG1392" s="1"/>
      <c r="AH1392" s="1"/>
      <c r="AI1392" s="1"/>
      <c r="AJ1392" s="1"/>
      <c r="AK1392" s="338"/>
    </row>
    <row r="1393" spans="20:37">
      <c r="T1393" s="588"/>
      <c r="V1393" s="1"/>
      <c r="W1393" s="1"/>
      <c r="X1393" s="1"/>
      <c r="Y1393" s="1"/>
      <c r="Z1393" s="1"/>
      <c r="AA1393" s="1"/>
      <c r="AB1393" s="1"/>
      <c r="AC1393" s="1"/>
      <c r="AD1393" s="1"/>
      <c r="AE1393" s="1"/>
      <c r="AF1393" s="1"/>
      <c r="AG1393" s="1"/>
      <c r="AH1393" s="1"/>
      <c r="AI1393" s="1"/>
      <c r="AJ1393" s="1"/>
      <c r="AK1393" s="338"/>
    </row>
    <row r="1394" spans="20:37">
      <c r="T1394" s="588"/>
      <c r="V1394" s="1"/>
      <c r="W1394" s="1"/>
      <c r="X1394" s="1"/>
      <c r="Y1394" s="1"/>
      <c r="Z1394" s="1"/>
      <c r="AA1394" s="1"/>
      <c r="AB1394" s="1"/>
      <c r="AC1394" s="1"/>
      <c r="AD1394" s="1"/>
      <c r="AE1394" s="1"/>
      <c r="AF1394" s="1"/>
      <c r="AG1394" s="1"/>
      <c r="AH1394" s="1"/>
      <c r="AI1394" s="1"/>
      <c r="AJ1394" s="1"/>
      <c r="AK1394" s="338"/>
    </row>
    <row r="1395" spans="20:37">
      <c r="T1395" s="588"/>
      <c r="V1395" s="1"/>
      <c r="W1395" s="1"/>
      <c r="X1395" s="1"/>
      <c r="Y1395" s="1"/>
      <c r="Z1395" s="1"/>
      <c r="AA1395" s="1"/>
      <c r="AB1395" s="1"/>
      <c r="AC1395" s="1"/>
      <c r="AD1395" s="1"/>
      <c r="AE1395" s="1"/>
      <c r="AF1395" s="1"/>
      <c r="AG1395" s="1"/>
      <c r="AH1395" s="1"/>
      <c r="AI1395" s="1"/>
      <c r="AJ1395" s="1"/>
      <c r="AK1395" s="338"/>
    </row>
    <row r="1396" spans="20:37">
      <c r="T1396" s="588"/>
      <c r="V1396" s="1"/>
      <c r="W1396" s="1"/>
      <c r="X1396" s="1"/>
      <c r="Y1396" s="1"/>
      <c r="Z1396" s="1"/>
      <c r="AA1396" s="1"/>
      <c r="AB1396" s="1"/>
      <c r="AC1396" s="1"/>
      <c r="AD1396" s="1"/>
      <c r="AE1396" s="1"/>
      <c r="AF1396" s="1"/>
      <c r="AG1396" s="1"/>
      <c r="AH1396" s="1"/>
      <c r="AI1396" s="1"/>
      <c r="AJ1396" s="1"/>
      <c r="AK1396" s="338"/>
    </row>
    <row r="1397" spans="20:37">
      <c r="T1397" s="588"/>
      <c r="V1397" s="1"/>
      <c r="W1397" s="1"/>
      <c r="X1397" s="1"/>
      <c r="Y1397" s="1"/>
      <c r="Z1397" s="1"/>
      <c r="AA1397" s="1"/>
      <c r="AB1397" s="1"/>
      <c r="AC1397" s="1"/>
      <c r="AD1397" s="1"/>
      <c r="AE1397" s="1"/>
      <c r="AF1397" s="1"/>
      <c r="AG1397" s="1"/>
      <c r="AH1397" s="1"/>
      <c r="AI1397" s="1"/>
      <c r="AJ1397" s="1"/>
      <c r="AK1397" s="338"/>
    </row>
    <row r="1398" spans="20:37">
      <c r="T1398" s="588"/>
      <c r="V1398" s="1"/>
      <c r="W1398" s="1"/>
      <c r="X1398" s="1"/>
      <c r="Y1398" s="1"/>
      <c r="Z1398" s="1"/>
      <c r="AA1398" s="1"/>
      <c r="AB1398" s="1"/>
      <c r="AC1398" s="1"/>
      <c r="AD1398" s="1"/>
      <c r="AE1398" s="1"/>
      <c r="AF1398" s="1"/>
      <c r="AG1398" s="1"/>
      <c r="AH1398" s="1"/>
      <c r="AI1398" s="1"/>
      <c r="AJ1398" s="1"/>
      <c r="AK1398" s="338"/>
    </row>
    <row r="1399" spans="20:37">
      <c r="T1399" s="588"/>
      <c r="V1399" s="1"/>
      <c r="W1399" s="1"/>
      <c r="X1399" s="1"/>
      <c r="Y1399" s="1"/>
      <c r="Z1399" s="1"/>
      <c r="AA1399" s="1"/>
      <c r="AB1399" s="1"/>
      <c r="AC1399" s="1"/>
      <c r="AD1399" s="1"/>
      <c r="AE1399" s="1"/>
      <c r="AF1399" s="1"/>
      <c r="AG1399" s="1"/>
      <c r="AH1399" s="1"/>
      <c r="AI1399" s="1"/>
      <c r="AJ1399" s="1"/>
      <c r="AK1399" s="338"/>
    </row>
    <row r="1400" spans="20:37">
      <c r="T1400" s="588"/>
      <c r="V1400" s="1"/>
      <c r="W1400" s="1"/>
      <c r="X1400" s="1"/>
      <c r="Y1400" s="1"/>
      <c r="Z1400" s="1"/>
      <c r="AA1400" s="1"/>
      <c r="AB1400" s="1"/>
      <c r="AC1400" s="1"/>
      <c r="AD1400" s="1"/>
      <c r="AE1400" s="1"/>
      <c r="AF1400" s="1"/>
      <c r="AG1400" s="1"/>
      <c r="AH1400" s="1"/>
      <c r="AI1400" s="1"/>
      <c r="AJ1400" s="1"/>
      <c r="AK1400" s="338"/>
    </row>
    <row r="1401" spans="20:37">
      <c r="T1401" s="588"/>
      <c r="V1401" s="1"/>
      <c r="W1401" s="1"/>
      <c r="X1401" s="1"/>
      <c r="Y1401" s="1"/>
      <c r="Z1401" s="1"/>
      <c r="AA1401" s="1"/>
      <c r="AB1401" s="1"/>
      <c r="AC1401" s="1"/>
      <c r="AD1401" s="1"/>
      <c r="AE1401" s="1"/>
      <c r="AF1401" s="1"/>
      <c r="AG1401" s="1"/>
      <c r="AH1401" s="1"/>
      <c r="AI1401" s="1"/>
      <c r="AJ1401" s="1"/>
      <c r="AK1401" s="338"/>
    </row>
    <row r="1402" spans="20:37">
      <c r="T1402" s="588"/>
      <c r="V1402" s="1"/>
      <c r="W1402" s="1"/>
      <c r="X1402" s="1"/>
      <c r="Y1402" s="1"/>
      <c r="Z1402" s="1"/>
      <c r="AA1402" s="1"/>
      <c r="AB1402" s="1"/>
      <c r="AC1402" s="1"/>
      <c r="AD1402" s="1"/>
      <c r="AE1402" s="1"/>
      <c r="AF1402" s="1"/>
      <c r="AG1402" s="1"/>
      <c r="AH1402" s="1"/>
      <c r="AI1402" s="1"/>
      <c r="AJ1402" s="1"/>
      <c r="AK1402" s="338"/>
    </row>
    <row r="1403" spans="20:37">
      <c r="T1403" s="588"/>
      <c r="V1403" s="1"/>
      <c r="W1403" s="1"/>
      <c r="X1403" s="1"/>
      <c r="Y1403" s="1"/>
      <c r="Z1403" s="1"/>
      <c r="AA1403" s="1"/>
      <c r="AB1403" s="1"/>
      <c r="AC1403" s="1"/>
      <c r="AD1403" s="1"/>
      <c r="AE1403" s="1"/>
      <c r="AF1403" s="1"/>
      <c r="AG1403" s="1"/>
      <c r="AH1403" s="1"/>
      <c r="AI1403" s="1"/>
      <c r="AJ1403" s="1"/>
      <c r="AK1403" s="338"/>
    </row>
    <row r="1404" spans="20:37">
      <c r="T1404" s="588"/>
      <c r="V1404" s="1"/>
      <c r="W1404" s="1"/>
      <c r="X1404" s="1"/>
      <c r="Y1404" s="1"/>
      <c r="Z1404" s="1"/>
      <c r="AA1404" s="1"/>
      <c r="AB1404" s="1"/>
      <c r="AC1404" s="1"/>
      <c r="AD1404" s="1"/>
      <c r="AE1404" s="1"/>
      <c r="AF1404" s="1"/>
      <c r="AG1404" s="1"/>
      <c r="AH1404" s="1"/>
      <c r="AI1404" s="1"/>
      <c r="AJ1404" s="1"/>
      <c r="AK1404" s="338"/>
    </row>
    <row r="1405" spans="20:37">
      <c r="T1405" s="588"/>
      <c r="V1405" s="1"/>
      <c r="W1405" s="1"/>
      <c r="X1405" s="1"/>
      <c r="Y1405" s="1"/>
      <c r="Z1405" s="1"/>
      <c r="AA1405" s="1"/>
      <c r="AB1405" s="1"/>
      <c r="AC1405" s="1"/>
      <c r="AD1405" s="1"/>
      <c r="AE1405" s="1"/>
      <c r="AF1405" s="1"/>
      <c r="AG1405" s="1"/>
      <c r="AH1405" s="1"/>
      <c r="AI1405" s="1"/>
      <c r="AJ1405" s="1"/>
      <c r="AK1405" s="338"/>
    </row>
    <row r="1406" spans="20:37">
      <c r="T1406" s="588"/>
      <c r="V1406" s="1"/>
      <c r="W1406" s="1"/>
      <c r="X1406" s="1"/>
      <c r="Y1406" s="1"/>
      <c r="Z1406" s="1"/>
      <c r="AA1406" s="1"/>
      <c r="AB1406" s="1"/>
      <c r="AC1406" s="1"/>
      <c r="AD1406" s="1"/>
      <c r="AE1406" s="1"/>
      <c r="AF1406" s="1"/>
      <c r="AG1406" s="1"/>
      <c r="AH1406" s="1"/>
      <c r="AI1406" s="1"/>
      <c r="AJ1406" s="1"/>
      <c r="AK1406" s="338"/>
    </row>
    <row r="1407" spans="20:37">
      <c r="T1407" s="588"/>
      <c r="V1407" s="1"/>
      <c r="W1407" s="1"/>
      <c r="X1407" s="1"/>
      <c r="Y1407" s="1"/>
      <c r="Z1407" s="1"/>
      <c r="AA1407" s="1"/>
      <c r="AB1407" s="1"/>
      <c r="AC1407" s="1"/>
      <c r="AD1407" s="1"/>
      <c r="AE1407" s="1"/>
      <c r="AF1407" s="1"/>
      <c r="AG1407" s="1"/>
      <c r="AH1407" s="1"/>
      <c r="AI1407" s="1"/>
      <c r="AJ1407" s="1"/>
      <c r="AK1407" s="338"/>
    </row>
    <row r="1408" spans="20:37">
      <c r="T1408" s="588"/>
      <c r="V1408" s="1"/>
      <c r="W1408" s="1"/>
      <c r="X1408" s="1"/>
      <c r="Y1408" s="1"/>
      <c r="Z1408" s="1"/>
      <c r="AA1408" s="1"/>
      <c r="AB1408" s="1"/>
      <c r="AC1408" s="1"/>
      <c r="AD1408" s="1"/>
      <c r="AE1408" s="1"/>
      <c r="AF1408" s="1"/>
      <c r="AG1408" s="1"/>
      <c r="AH1408" s="1"/>
      <c r="AI1408" s="1"/>
      <c r="AJ1408" s="1"/>
      <c r="AK1408" s="338"/>
    </row>
    <row r="1409" spans="20:37">
      <c r="T1409" s="588"/>
      <c r="V1409" s="1"/>
      <c r="W1409" s="1"/>
      <c r="X1409" s="1"/>
      <c r="Y1409" s="1"/>
      <c r="Z1409" s="1"/>
      <c r="AA1409" s="1"/>
      <c r="AB1409" s="1"/>
      <c r="AC1409" s="1"/>
      <c r="AD1409" s="1"/>
      <c r="AE1409" s="1"/>
      <c r="AF1409" s="1"/>
      <c r="AG1409" s="1"/>
      <c r="AH1409" s="1"/>
      <c r="AI1409" s="1"/>
      <c r="AJ1409" s="1"/>
      <c r="AK1409" s="338"/>
    </row>
    <row r="1410" spans="20:37">
      <c r="T1410" s="588"/>
      <c r="V1410" s="1"/>
      <c r="W1410" s="1"/>
      <c r="X1410" s="1"/>
      <c r="Y1410" s="1"/>
      <c r="Z1410" s="1"/>
      <c r="AA1410" s="1"/>
      <c r="AB1410" s="1"/>
      <c r="AC1410" s="1"/>
      <c r="AD1410" s="1"/>
      <c r="AE1410" s="1"/>
      <c r="AF1410" s="1"/>
      <c r="AG1410" s="1"/>
      <c r="AH1410" s="1"/>
      <c r="AI1410" s="1"/>
      <c r="AJ1410" s="1"/>
      <c r="AK1410" s="338"/>
    </row>
    <row r="1411" spans="20:37">
      <c r="T1411" s="588"/>
      <c r="V1411" s="1"/>
      <c r="W1411" s="1"/>
      <c r="X1411" s="1"/>
      <c r="Y1411" s="1"/>
      <c r="Z1411" s="1"/>
      <c r="AA1411" s="1"/>
      <c r="AB1411" s="1"/>
      <c r="AC1411" s="1"/>
      <c r="AD1411" s="1"/>
      <c r="AE1411" s="1"/>
      <c r="AF1411" s="1"/>
      <c r="AG1411" s="1"/>
      <c r="AH1411" s="1"/>
      <c r="AI1411" s="1"/>
      <c r="AJ1411" s="1"/>
      <c r="AK1411" s="338"/>
    </row>
    <row r="1412" spans="20:37">
      <c r="T1412" s="588"/>
      <c r="V1412" s="1"/>
      <c r="W1412" s="1"/>
      <c r="X1412" s="1"/>
      <c r="Y1412" s="1"/>
      <c r="Z1412" s="1"/>
      <c r="AA1412" s="1"/>
      <c r="AB1412" s="1"/>
      <c r="AC1412" s="1"/>
      <c r="AD1412" s="1"/>
      <c r="AE1412" s="1"/>
      <c r="AF1412" s="1"/>
      <c r="AG1412" s="1"/>
      <c r="AH1412" s="1"/>
      <c r="AI1412" s="1"/>
      <c r="AJ1412" s="1"/>
      <c r="AK1412" s="338"/>
    </row>
    <row r="1413" spans="20:37">
      <c r="T1413" s="588"/>
      <c r="V1413" s="1"/>
      <c r="W1413" s="1"/>
      <c r="X1413" s="1"/>
      <c r="Y1413" s="1"/>
      <c r="Z1413" s="1"/>
      <c r="AA1413" s="1"/>
      <c r="AB1413" s="1"/>
      <c r="AC1413" s="1"/>
      <c r="AD1413" s="1"/>
      <c r="AE1413" s="1"/>
      <c r="AF1413" s="1"/>
      <c r="AG1413" s="1"/>
      <c r="AH1413" s="1"/>
      <c r="AI1413" s="1"/>
      <c r="AJ1413" s="1"/>
      <c r="AK1413" s="338"/>
    </row>
    <row r="1414" spans="20:37">
      <c r="T1414" s="588"/>
      <c r="V1414" s="1"/>
      <c r="W1414" s="1"/>
      <c r="X1414" s="1"/>
      <c r="Y1414" s="1"/>
      <c r="Z1414" s="1"/>
      <c r="AA1414" s="1"/>
      <c r="AB1414" s="1"/>
      <c r="AC1414" s="1"/>
      <c r="AD1414" s="1"/>
      <c r="AE1414" s="1"/>
      <c r="AF1414" s="1"/>
      <c r="AG1414" s="1"/>
      <c r="AH1414" s="1"/>
      <c r="AI1414" s="1"/>
      <c r="AJ1414" s="1"/>
      <c r="AK1414" s="338"/>
    </row>
    <row r="1415" spans="20:37">
      <c r="T1415" s="588"/>
      <c r="V1415" s="1"/>
      <c r="W1415" s="1"/>
      <c r="X1415" s="1"/>
      <c r="Y1415" s="1"/>
      <c r="Z1415" s="1"/>
      <c r="AA1415" s="1"/>
      <c r="AB1415" s="1"/>
      <c r="AC1415" s="1"/>
      <c r="AD1415" s="1"/>
      <c r="AE1415" s="1"/>
      <c r="AF1415" s="1"/>
      <c r="AG1415" s="1"/>
      <c r="AH1415" s="1"/>
      <c r="AI1415" s="1"/>
      <c r="AJ1415" s="1"/>
      <c r="AK1415" s="338"/>
    </row>
    <row r="1416" spans="20:37">
      <c r="T1416" s="588"/>
      <c r="V1416" s="1"/>
      <c r="W1416" s="1"/>
      <c r="X1416" s="1"/>
      <c r="Y1416" s="1"/>
      <c r="Z1416" s="1"/>
      <c r="AA1416" s="1"/>
      <c r="AB1416" s="1"/>
      <c r="AC1416" s="1"/>
      <c r="AD1416" s="1"/>
      <c r="AE1416" s="1"/>
      <c r="AF1416" s="1"/>
      <c r="AG1416" s="1"/>
      <c r="AH1416" s="1"/>
      <c r="AI1416" s="1"/>
      <c r="AJ1416" s="1"/>
      <c r="AK1416" s="338"/>
    </row>
    <row r="1417" spans="20:37">
      <c r="T1417" s="588"/>
      <c r="V1417" s="1"/>
      <c r="W1417" s="1"/>
      <c r="X1417" s="1"/>
      <c r="Y1417" s="1"/>
      <c r="Z1417" s="1"/>
      <c r="AA1417" s="1"/>
      <c r="AB1417" s="1"/>
      <c r="AC1417" s="1"/>
      <c r="AD1417" s="1"/>
      <c r="AE1417" s="1"/>
      <c r="AF1417" s="1"/>
      <c r="AG1417" s="1"/>
      <c r="AH1417" s="1"/>
      <c r="AI1417" s="1"/>
      <c r="AJ1417" s="1"/>
      <c r="AK1417" s="338"/>
    </row>
    <row r="1418" spans="20:37">
      <c r="T1418" s="588"/>
      <c r="V1418" s="1"/>
      <c r="W1418" s="1"/>
      <c r="X1418" s="1"/>
      <c r="Y1418" s="1"/>
      <c r="Z1418" s="1"/>
      <c r="AA1418" s="1"/>
      <c r="AB1418" s="1"/>
      <c r="AC1418" s="1"/>
      <c r="AD1418" s="1"/>
      <c r="AE1418" s="1"/>
      <c r="AF1418" s="1"/>
      <c r="AG1418" s="1"/>
      <c r="AH1418" s="1"/>
      <c r="AI1418" s="1"/>
      <c r="AJ1418" s="1"/>
      <c r="AK1418" s="338"/>
    </row>
    <row r="1419" spans="20:37">
      <c r="T1419" s="588"/>
      <c r="V1419" s="1"/>
      <c r="W1419" s="1"/>
      <c r="X1419" s="1"/>
      <c r="Y1419" s="1"/>
      <c r="Z1419" s="1"/>
      <c r="AA1419" s="1"/>
      <c r="AB1419" s="1"/>
      <c r="AC1419" s="1"/>
      <c r="AD1419" s="1"/>
      <c r="AE1419" s="1"/>
      <c r="AF1419" s="1"/>
      <c r="AG1419" s="1"/>
      <c r="AH1419" s="1"/>
      <c r="AI1419" s="1"/>
      <c r="AJ1419" s="1"/>
      <c r="AK1419" s="338"/>
    </row>
    <row r="1420" spans="20:37">
      <c r="T1420" s="588"/>
      <c r="V1420" s="1"/>
      <c r="W1420" s="1"/>
      <c r="X1420" s="1"/>
      <c r="Y1420" s="1"/>
      <c r="Z1420" s="1"/>
      <c r="AA1420" s="1"/>
      <c r="AB1420" s="1"/>
      <c r="AC1420" s="1"/>
      <c r="AD1420" s="1"/>
      <c r="AE1420" s="1"/>
      <c r="AF1420" s="1"/>
      <c r="AG1420" s="1"/>
      <c r="AH1420" s="1"/>
      <c r="AI1420" s="1"/>
      <c r="AJ1420" s="1"/>
      <c r="AK1420" s="338"/>
    </row>
    <row r="1421" spans="20:37">
      <c r="T1421" s="588"/>
      <c r="V1421" s="1"/>
      <c r="W1421" s="1"/>
      <c r="X1421" s="1"/>
      <c r="Y1421" s="1"/>
      <c r="Z1421" s="1"/>
      <c r="AA1421" s="1"/>
      <c r="AB1421" s="1"/>
      <c r="AC1421" s="1"/>
      <c r="AD1421" s="1"/>
      <c r="AE1421" s="1"/>
      <c r="AF1421" s="1"/>
      <c r="AG1421" s="1"/>
      <c r="AH1421" s="1"/>
      <c r="AI1421" s="1"/>
      <c r="AJ1421" s="1"/>
      <c r="AK1421" s="338"/>
    </row>
    <row r="1422" spans="20:37">
      <c r="T1422" s="588"/>
      <c r="V1422" s="1"/>
      <c r="W1422" s="1"/>
      <c r="X1422" s="1"/>
      <c r="Y1422" s="1"/>
      <c r="Z1422" s="1"/>
      <c r="AA1422" s="1"/>
      <c r="AB1422" s="1"/>
      <c r="AC1422" s="1"/>
      <c r="AD1422" s="1"/>
      <c r="AE1422" s="1"/>
      <c r="AF1422" s="1"/>
      <c r="AG1422" s="1"/>
      <c r="AH1422" s="1"/>
      <c r="AI1422" s="1"/>
      <c r="AJ1422" s="1"/>
      <c r="AK1422" s="338"/>
    </row>
    <row r="1423" spans="20:37">
      <c r="T1423" s="588"/>
      <c r="V1423" s="1"/>
      <c r="W1423" s="1"/>
      <c r="X1423" s="1"/>
      <c r="Y1423" s="1"/>
      <c r="Z1423" s="1"/>
      <c r="AA1423" s="1"/>
      <c r="AB1423" s="1"/>
      <c r="AC1423" s="1"/>
      <c r="AD1423" s="1"/>
      <c r="AE1423" s="1"/>
      <c r="AF1423" s="1"/>
      <c r="AG1423" s="1"/>
      <c r="AH1423" s="1"/>
      <c r="AI1423" s="1"/>
      <c r="AJ1423" s="1"/>
      <c r="AK1423" s="338"/>
    </row>
    <row r="1424" spans="20:37">
      <c r="T1424" s="588"/>
      <c r="V1424" s="1"/>
      <c r="W1424" s="1"/>
      <c r="X1424" s="1"/>
      <c r="Y1424" s="1"/>
      <c r="Z1424" s="1"/>
      <c r="AA1424" s="1"/>
      <c r="AB1424" s="1"/>
      <c r="AC1424" s="1"/>
      <c r="AD1424" s="1"/>
      <c r="AE1424" s="1"/>
      <c r="AF1424" s="1"/>
      <c r="AG1424" s="1"/>
      <c r="AH1424" s="1"/>
      <c r="AI1424" s="1"/>
      <c r="AJ1424" s="1"/>
      <c r="AK1424" s="338"/>
    </row>
    <row r="1425" spans="20:37">
      <c r="T1425" s="588"/>
      <c r="V1425" s="1"/>
      <c r="W1425" s="1"/>
      <c r="X1425" s="1"/>
      <c r="Y1425" s="1"/>
      <c r="Z1425" s="1"/>
      <c r="AA1425" s="1"/>
      <c r="AB1425" s="1"/>
      <c r="AC1425" s="1"/>
      <c r="AD1425" s="1"/>
      <c r="AE1425" s="1"/>
      <c r="AF1425" s="1"/>
      <c r="AG1425" s="1"/>
      <c r="AH1425" s="1"/>
      <c r="AI1425" s="1"/>
      <c r="AJ1425" s="1"/>
      <c r="AK1425" s="338"/>
    </row>
    <row r="1426" spans="20:37">
      <c r="T1426" s="588"/>
      <c r="V1426" s="1"/>
      <c r="W1426" s="1"/>
      <c r="X1426" s="1"/>
      <c r="Y1426" s="1"/>
      <c r="Z1426" s="1"/>
      <c r="AA1426" s="1"/>
      <c r="AB1426" s="1"/>
      <c r="AC1426" s="1"/>
      <c r="AD1426" s="1"/>
      <c r="AE1426" s="1"/>
      <c r="AF1426" s="1"/>
      <c r="AG1426" s="1"/>
      <c r="AH1426" s="1"/>
      <c r="AI1426" s="1"/>
      <c r="AJ1426" s="1"/>
      <c r="AK1426" s="338"/>
    </row>
    <row r="1427" spans="20:37">
      <c r="T1427" s="588"/>
      <c r="V1427" s="1"/>
      <c r="W1427" s="1"/>
      <c r="X1427" s="1"/>
      <c r="Y1427" s="1"/>
      <c r="Z1427" s="1"/>
      <c r="AA1427" s="1"/>
      <c r="AB1427" s="1"/>
      <c r="AC1427" s="1"/>
      <c r="AD1427" s="1"/>
      <c r="AE1427" s="1"/>
      <c r="AF1427" s="1"/>
      <c r="AG1427" s="1"/>
      <c r="AH1427" s="1"/>
      <c r="AI1427" s="1"/>
      <c r="AJ1427" s="1"/>
      <c r="AK1427" s="338"/>
    </row>
    <row r="1428" spans="20:37">
      <c r="T1428" s="588"/>
      <c r="V1428" s="1"/>
      <c r="W1428" s="1"/>
      <c r="X1428" s="1"/>
      <c r="Y1428" s="1"/>
      <c r="Z1428" s="1"/>
      <c r="AA1428" s="1"/>
      <c r="AB1428" s="1"/>
      <c r="AC1428" s="1"/>
      <c r="AD1428" s="1"/>
      <c r="AE1428" s="1"/>
      <c r="AF1428" s="1"/>
      <c r="AG1428" s="1"/>
      <c r="AH1428" s="1"/>
      <c r="AI1428" s="1"/>
      <c r="AJ1428" s="1"/>
      <c r="AK1428" s="338"/>
    </row>
    <row r="1429" spans="20:37">
      <c r="T1429" s="588"/>
      <c r="V1429" s="1"/>
      <c r="W1429" s="1"/>
      <c r="X1429" s="1"/>
      <c r="Y1429" s="1"/>
      <c r="Z1429" s="1"/>
      <c r="AA1429" s="1"/>
      <c r="AB1429" s="1"/>
      <c r="AC1429" s="1"/>
      <c r="AD1429" s="1"/>
      <c r="AE1429" s="1"/>
      <c r="AF1429" s="1"/>
      <c r="AG1429" s="1"/>
      <c r="AH1429" s="1"/>
      <c r="AI1429" s="1"/>
      <c r="AJ1429" s="1"/>
      <c r="AK1429" s="338"/>
    </row>
    <row r="1430" spans="20:37">
      <c r="T1430" s="588"/>
      <c r="V1430" s="1"/>
      <c r="W1430" s="1"/>
      <c r="X1430" s="1"/>
      <c r="Y1430" s="1"/>
      <c r="Z1430" s="1"/>
      <c r="AA1430" s="1"/>
      <c r="AB1430" s="1"/>
      <c r="AC1430" s="1"/>
      <c r="AD1430" s="1"/>
      <c r="AE1430" s="1"/>
      <c r="AF1430" s="1"/>
      <c r="AG1430" s="1"/>
      <c r="AH1430" s="1"/>
      <c r="AI1430" s="1"/>
      <c r="AJ1430" s="1"/>
      <c r="AK1430" s="338"/>
    </row>
    <row r="1431" spans="20:37">
      <c r="T1431" s="588"/>
      <c r="V1431" s="1"/>
      <c r="W1431" s="1"/>
      <c r="X1431" s="1"/>
      <c r="Y1431" s="1"/>
      <c r="Z1431" s="1"/>
      <c r="AA1431" s="1"/>
      <c r="AB1431" s="1"/>
      <c r="AC1431" s="1"/>
      <c r="AD1431" s="1"/>
      <c r="AE1431" s="1"/>
      <c r="AF1431" s="1"/>
      <c r="AG1431" s="1"/>
      <c r="AH1431" s="1"/>
      <c r="AI1431" s="1"/>
      <c r="AJ1431" s="1"/>
      <c r="AK1431" s="338"/>
    </row>
    <row r="1432" spans="20:37">
      <c r="T1432" s="588"/>
      <c r="V1432" s="1"/>
      <c r="W1432" s="1"/>
      <c r="X1432" s="1"/>
      <c r="Y1432" s="1"/>
      <c r="Z1432" s="1"/>
      <c r="AA1432" s="1"/>
      <c r="AB1432" s="1"/>
      <c r="AC1432" s="1"/>
      <c r="AD1432" s="1"/>
      <c r="AE1432" s="1"/>
      <c r="AF1432" s="1"/>
      <c r="AG1432" s="1"/>
      <c r="AH1432" s="1"/>
      <c r="AI1432" s="1"/>
      <c r="AJ1432" s="1"/>
      <c r="AK1432" s="338"/>
    </row>
    <row r="1433" spans="20:37">
      <c r="T1433" s="588"/>
      <c r="V1433" s="1"/>
      <c r="W1433" s="1"/>
      <c r="X1433" s="1"/>
      <c r="Y1433" s="1"/>
      <c r="Z1433" s="1"/>
      <c r="AA1433" s="1"/>
      <c r="AB1433" s="1"/>
      <c r="AC1433" s="1"/>
      <c r="AD1433" s="1"/>
      <c r="AE1433" s="1"/>
      <c r="AF1433" s="1"/>
      <c r="AG1433" s="1"/>
      <c r="AH1433" s="1"/>
      <c r="AI1433" s="1"/>
      <c r="AJ1433" s="1"/>
      <c r="AK1433" s="338"/>
    </row>
    <row r="1434" spans="20:37">
      <c r="T1434" s="588"/>
      <c r="V1434" s="1"/>
      <c r="W1434" s="1"/>
      <c r="X1434" s="1"/>
      <c r="Y1434" s="1"/>
      <c r="Z1434" s="1"/>
      <c r="AA1434" s="1"/>
      <c r="AB1434" s="1"/>
      <c r="AC1434" s="1"/>
      <c r="AD1434" s="1"/>
      <c r="AE1434" s="1"/>
      <c r="AF1434" s="1"/>
      <c r="AG1434" s="1"/>
      <c r="AH1434" s="1"/>
      <c r="AI1434" s="1"/>
      <c r="AJ1434" s="1"/>
      <c r="AK1434" s="338"/>
    </row>
    <row r="1435" spans="20:37">
      <c r="T1435" s="588"/>
      <c r="V1435" s="1"/>
      <c r="W1435" s="1"/>
      <c r="X1435" s="1"/>
      <c r="Y1435" s="1"/>
      <c r="Z1435" s="1"/>
      <c r="AA1435" s="1"/>
      <c r="AB1435" s="1"/>
      <c r="AC1435" s="1"/>
      <c r="AD1435" s="1"/>
      <c r="AE1435" s="1"/>
      <c r="AF1435" s="1"/>
      <c r="AG1435" s="1"/>
      <c r="AH1435" s="1"/>
      <c r="AI1435" s="1"/>
      <c r="AJ1435" s="1"/>
      <c r="AK1435" s="338"/>
    </row>
    <row r="1436" spans="20:37">
      <c r="T1436" s="588"/>
      <c r="V1436" s="1"/>
      <c r="W1436" s="1"/>
      <c r="X1436" s="1"/>
      <c r="Y1436" s="1"/>
      <c r="Z1436" s="1"/>
      <c r="AA1436" s="1"/>
      <c r="AB1436" s="1"/>
      <c r="AC1436" s="1"/>
      <c r="AD1436" s="1"/>
      <c r="AE1436" s="1"/>
      <c r="AF1436" s="1"/>
      <c r="AG1436" s="1"/>
      <c r="AH1436" s="1"/>
      <c r="AI1436" s="1"/>
      <c r="AJ1436" s="1"/>
      <c r="AK1436" s="338"/>
    </row>
    <row r="1437" spans="20:37">
      <c r="T1437" s="588"/>
      <c r="V1437" s="1"/>
      <c r="W1437" s="1"/>
      <c r="X1437" s="1"/>
      <c r="Y1437" s="1"/>
      <c r="Z1437" s="1"/>
      <c r="AA1437" s="1"/>
      <c r="AB1437" s="1"/>
      <c r="AC1437" s="1"/>
      <c r="AD1437" s="1"/>
      <c r="AE1437" s="1"/>
      <c r="AF1437" s="1"/>
      <c r="AG1437" s="1"/>
      <c r="AH1437" s="1"/>
      <c r="AI1437" s="1"/>
      <c r="AJ1437" s="1"/>
      <c r="AK1437" s="338"/>
    </row>
    <row r="1438" spans="20:37">
      <c r="T1438" s="588"/>
      <c r="V1438" s="1"/>
      <c r="W1438" s="1"/>
      <c r="X1438" s="1"/>
      <c r="Y1438" s="1"/>
      <c r="Z1438" s="1"/>
      <c r="AA1438" s="1"/>
      <c r="AB1438" s="1"/>
      <c r="AC1438" s="1"/>
      <c r="AD1438" s="1"/>
      <c r="AE1438" s="1"/>
      <c r="AF1438" s="1"/>
      <c r="AG1438" s="1"/>
      <c r="AH1438" s="1"/>
      <c r="AI1438" s="1"/>
      <c r="AJ1438" s="1"/>
      <c r="AK1438" s="338"/>
    </row>
    <row r="1439" spans="20:37">
      <c r="T1439" s="588"/>
      <c r="V1439" s="1"/>
      <c r="W1439" s="1"/>
      <c r="X1439" s="1"/>
      <c r="Y1439" s="1"/>
      <c r="Z1439" s="1"/>
      <c r="AA1439" s="1"/>
      <c r="AB1439" s="1"/>
      <c r="AC1439" s="1"/>
      <c r="AD1439" s="1"/>
      <c r="AE1439" s="1"/>
      <c r="AF1439" s="1"/>
      <c r="AG1439" s="1"/>
      <c r="AH1439" s="1"/>
      <c r="AI1439" s="1"/>
      <c r="AJ1439" s="1"/>
      <c r="AK1439" s="338"/>
    </row>
    <row r="1440" spans="20:37">
      <c r="T1440" s="588"/>
      <c r="V1440" s="1"/>
      <c r="W1440" s="1"/>
      <c r="X1440" s="1"/>
      <c r="Y1440" s="1"/>
      <c r="Z1440" s="1"/>
      <c r="AA1440" s="1"/>
      <c r="AB1440" s="1"/>
      <c r="AC1440" s="1"/>
      <c r="AD1440" s="1"/>
      <c r="AE1440" s="1"/>
      <c r="AF1440" s="1"/>
      <c r="AG1440" s="1"/>
      <c r="AH1440" s="1"/>
      <c r="AI1440" s="1"/>
      <c r="AJ1440" s="1"/>
      <c r="AK1440" s="338"/>
    </row>
    <row r="1441" spans="20:37">
      <c r="T1441" s="588"/>
      <c r="V1441" s="1"/>
      <c r="W1441" s="1"/>
      <c r="X1441" s="1"/>
      <c r="Y1441" s="1"/>
      <c r="Z1441" s="1"/>
      <c r="AA1441" s="1"/>
      <c r="AB1441" s="1"/>
      <c r="AC1441" s="1"/>
      <c r="AD1441" s="1"/>
      <c r="AE1441" s="1"/>
      <c r="AF1441" s="1"/>
      <c r="AG1441" s="1"/>
      <c r="AH1441" s="1"/>
      <c r="AI1441" s="1"/>
      <c r="AJ1441" s="1"/>
      <c r="AK1441" s="338"/>
    </row>
    <row r="1442" spans="20:37">
      <c r="T1442" s="588"/>
      <c r="V1442" s="1"/>
      <c r="W1442" s="1"/>
      <c r="X1442" s="1"/>
      <c r="Y1442" s="1"/>
      <c r="Z1442" s="1"/>
      <c r="AA1442" s="1"/>
      <c r="AB1442" s="1"/>
      <c r="AC1442" s="1"/>
      <c r="AD1442" s="1"/>
      <c r="AE1442" s="1"/>
      <c r="AF1442" s="1"/>
      <c r="AG1442" s="1"/>
      <c r="AH1442" s="1"/>
      <c r="AI1442" s="1"/>
      <c r="AJ1442" s="1"/>
      <c r="AK1442" s="338"/>
    </row>
    <row r="1443" spans="20:37">
      <c r="T1443" s="588"/>
      <c r="V1443" s="1"/>
      <c r="W1443" s="1"/>
      <c r="X1443" s="1"/>
      <c r="Y1443" s="1"/>
      <c r="Z1443" s="1"/>
      <c r="AA1443" s="1"/>
      <c r="AB1443" s="1"/>
      <c r="AC1443" s="1"/>
      <c r="AD1443" s="1"/>
      <c r="AE1443" s="1"/>
      <c r="AF1443" s="1"/>
      <c r="AG1443" s="1"/>
      <c r="AH1443" s="1"/>
      <c r="AI1443" s="1"/>
      <c r="AJ1443" s="1"/>
      <c r="AK1443" s="338"/>
    </row>
    <row r="1444" spans="20:37">
      <c r="T1444" s="588"/>
      <c r="V1444" s="1"/>
      <c r="W1444" s="1"/>
      <c r="X1444" s="1"/>
      <c r="Y1444" s="1"/>
      <c r="Z1444" s="1"/>
      <c r="AA1444" s="1"/>
      <c r="AB1444" s="1"/>
      <c r="AC1444" s="1"/>
      <c r="AD1444" s="1"/>
      <c r="AE1444" s="1"/>
      <c r="AF1444" s="1"/>
      <c r="AG1444" s="1"/>
      <c r="AH1444" s="1"/>
      <c r="AI1444" s="1"/>
      <c r="AJ1444" s="1"/>
      <c r="AK1444" s="338"/>
    </row>
    <row r="1445" spans="20:37">
      <c r="T1445" s="588"/>
      <c r="V1445" s="1"/>
      <c r="W1445" s="1"/>
      <c r="X1445" s="1"/>
      <c r="Y1445" s="1"/>
      <c r="Z1445" s="1"/>
      <c r="AA1445" s="1"/>
      <c r="AB1445" s="1"/>
      <c r="AC1445" s="1"/>
      <c r="AD1445" s="1"/>
      <c r="AE1445" s="1"/>
      <c r="AF1445" s="1"/>
      <c r="AG1445" s="1"/>
      <c r="AH1445" s="1"/>
      <c r="AI1445" s="1"/>
      <c r="AJ1445" s="1"/>
      <c r="AK1445" s="338"/>
    </row>
    <row r="1446" spans="20:37">
      <c r="T1446" s="588"/>
      <c r="V1446" s="1"/>
      <c r="W1446" s="1"/>
      <c r="X1446" s="1"/>
      <c r="Y1446" s="1"/>
      <c r="Z1446" s="1"/>
      <c r="AA1446" s="1"/>
      <c r="AB1446" s="1"/>
      <c r="AC1446" s="1"/>
      <c r="AD1446" s="1"/>
      <c r="AE1446" s="1"/>
      <c r="AF1446" s="1"/>
      <c r="AG1446" s="1"/>
      <c r="AH1446" s="1"/>
      <c r="AI1446" s="1"/>
      <c r="AJ1446" s="1"/>
      <c r="AK1446" s="338"/>
    </row>
    <row r="1447" spans="20:37">
      <c r="T1447" s="588"/>
      <c r="V1447" s="1"/>
      <c r="W1447" s="1"/>
      <c r="X1447" s="1"/>
      <c r="Y1447" s="1"/>
      <c r="Z1447" s="1"/>
      <c r="AA1447" s="1"/>
      <c r="AB1447" s="1"/>
      <c r="AC1447" s="1"/>
      <c r="AD1447" s="1"/>
      <c r="AE1447" s="1"/>
      <c r="AF1447" s="1"/>
      <c r="AG1447" s="1"/>
      <c r="AH1447" s="1"/>
      <c r="AI1447" s="1"/>
      <c r="AJ1447" s="1"/>
      <c r="AK1447" s="338"/>
    </row>
    <row r="1448" spans="20:37">
      <c r="T1448" s="588"/>
      <c r="V1448" s="1"/>
      <c r="W1448" s="1"/>
      <c r="X1448" s="1"/>
      <c r="Y1448" s="1"/>
      <c r="Z1448" s="1"/>
      <c r="AA1448" s="1"/>
      <c r="AB1448" s="1"/>
      <c r="AC1448" s="1"/>
      <c r="AD1448" s="1"/>
      <c r="AE1448" s="1"/>
      <c r="AF1448" s="1"/>
      <c r="AG1448" s="1"/>
      <c r="AH1448" s="1"/>
      <c r="AI1448" s="1"/>
      <c r="AJ1448" s="1"/>
      <c r="AK1448" s="338"/>
    </row>
    <row r="1449" spans="20:37">
      <c r="T1449" s="588"/>
      <c r="V1449" s="1"/>
      <c r="W1449" s="1"/>
      <c r="X1449" s="1"/>
      <c r="Y1449" s="1"/>
      <c r="Z1449" s="1"/>
      <c r="AA1449" s="1"/>
      <c r="AB1449" s="1"/>
      <c r="AC1449" s="1"/>
      <c r="AD1449" s="1"/>
      <c r="AE1449" s="1"/>
      <c r="AF1449" s="1"/>
      <c r="AG1449" s="1"/>
      <c r="AH1449" s="1"/>
      <c r="AI1449" s="1"/>
      <c r="AJ1449" s="1"/>
      <c r="AK1449" s="338"/>
    </row>
    <row r="1450" spans="20:37">
      <c r="T1450" s="588"/>
      <c r="V1450" s="1"/>
      <c r="W1450" s="1"/>
      <c r="X1450" s="1"/>
      <c r="Y1450" s="1"/>
      <c r="Z1450" s="1"/>
      <c r="AA1450" s="1"/>
      <c r="AB1450" s="1"/>
      <c r="AC1450" s="1"/>
      <c r="AD1450" s="1"/>
      <c r="AE1450" s="1"/>
      <c r="AF1450" s="1"/>
      <c r="AG1450" s="1"/>
      <c r="AH1450" s="1"/>
      <c r="AI1450" s="1"/>
      <c r="AJ1450" s="1"/>
      <c r="AK1450" s="338"/>
    </row>
    <row r="1451" spans="20:37">
      <c r="T1451" s="588"/>
      <c r="V1451" s="1"/>
      <c r="W1451" s="1"/>
      <c r="X1451" s="1"/>
      <c r="Y1451" s="1"/>
      <c r="Z1451" s="1"/>
      <c r="AA1451" s="1"/>
      <c r="AB1451" s="1"/>
      <c r="AC1451" s="1"/>
      <c r="AD1451" s="1"/>
      <c r="AE1451" s="1"/>
      <c r="AF1451" s="1"/>
      <c r="AG1451" s="1"/>
      <c r="AH1451" s="1"/>
      <c r="AI1451" s="1"/>
      <c r="AJ1451" s="1"/>
      <c r="AK1451" s="338"/>
    </row>
    <row r="1452" spans="20:37">
      <c r="T1452" s="588"/>
      <c r="V1452" s="1"/>
      <c r="W1452" s="1"/>
      <c r="X1452" s="1"/>
      <c r="Y1452" s="1"/>
      <c r="Z1452" s="1"/>
      <c r="AA1452" s="1"/>
      <c r="AB1452" s="1"/>
      <c r="AC1452" s="1"/>
      <c r="AD1452" s="1"/>
      <c r="AE1452" s="1"/>
      <c r="AF1452" s="1"/>
      <c r="AG1452" s="1"/>
      <c r="AH1452" s="1"/>
      <c r="AI1452" s="1"/>
      <c r="AJ1452" s="1"/>
      <c r="AK1452" s="338"/>
    </row>
    <row r="1453" spans="20:37">
      <c r="T1453" s="588"/>
      <c r="V1453" s="1"/>
      <c r="W1453" s="1"/>
      <c r="X1453" s="1"/>
      <c r="Y1453" s="1"/>
      <c r="Z1453" s="1"/>
      <c r="AA1453" s="1"/>
      <c r="AB1453" s="1"/>
      <c r="AC1453" s="1"/>
      <c r="AD1453" s="1"/>
      <c r="AE1453" s="1"/>
      <c r="AF1453" s="1"/>
      <c r="AG1453" s="1"/>
      <c r="AH1453" s="1"/>
      <c r="AI1453" s="1"/>
      <c r="AJ1453" s="1"/>
      <c r="AK1453" s="338"/>
    </row>
    <row r="1454" spans="20:37">
      <c r="T1454" s="588"/>
      <c r="V1454" s="1"/>
      <c r="W1454" s="1"/>
      <c r="X1454" s="1"/>
      <c r="Y1454" s="1"/>
      <c r="Z1454" s="1"/>
      <c r="AA1454" s="1"/>
      <c r="AB1454" s="1"/>
      <c r="AC1454" s="1"/>
      <c r="AD1454" s="1"/>
      <c r="AE1454" s="1"/>
      <c r="AF1454" s="1"/>
      <c r="AG1454" s="1"/>
      <c r="AH1454" s="1"/>
      <c r="AI1454" s="1"/>
      <c r="AJ1454" s="1"/>
      <c r="AK1454" s="338"/>
    </row>
    <row r="1455" spans="20:37">
      <c r="T1455" s="588"/>
      <c r="V1455" s="1"/>
      <c r="W1455" s="1"/>
      <c r="X1455" s="1"/>
      <c r="Y1455" s="1"/>
      <c r="Z1455" s="1"/>
      <c r="AA1455" s="1"/>
      <c r="AB1455" s="1"/>
      <c r="AC1455" s="1"/>
      <c r="AD1455" s="1"/>
      <c r="AE1455" s="1"/>
      <c r="AF1455" s="1"/>
      <c r="AG1455" s="1"/>
      <c r="AH1455" s="1"/>
      <c r="AI1455" s="1"/>
      <c r="AJ1455" s="1"/>
      <c r="AK1455" s="338"/>
    </row>
    <row r="1456" spans="20:37">
      <c r="T1456" s="588"/>
      <c r="V1456" s="1"/>
      <c r="W1456" s="1"/>
      <c r="X1456" s="1"/>
      <c r="Y1456" s="1"/>
      <c r="Z1456" s="1"/>
      <c r="AA1456" s="1"/>
      <c r="AB1456" s="1"/>
      <c r="AC1456" s="1"/>
      <c r="AD1456" s="1"/>
      <c r="AE1456" s="1"/>
      <c r="AF1456" s="1"/>
      <c r="AG1456" s="1"/>
      <c r="AH1456" s="1"/>
      <c r="AI1456" s="1"/>
      <c r="AJ1456" s="1"/>
      <c r="AK1456" s="338"/>
    </row>
    <row r="1457" spans="20:37">
      <c r="T1457" s="588"/>
      <c r="V1457" s="1"/>
      <c r="W1457" s="1"/>
      <c r="X1457" s="1"/>
      <c r="Y1457" s="1"/>
      <c r="Z1457" s="1"/>
      <c r="AA1457" s="1"/>
      <c r="AB1457" s="1"/>
      <c r="AC1457" s="1"/>
      <c r="AD1457" s="1"/>
      <c r="AE1457" s="1"/>
      <c r="AF1457" s="1"/>
      <c r="AG1457" s="1"/>
      <c r="AH1457" s="1"/>
      <c r="AI1457" s="1"/>
      <c r="AJ1457" s="1"/>
      <c r="AK1457" s="338"/>
    </row>
    <row r="1458" spans="20:37">
      <c r="T1458" s="588"/>
      <c r="V1458" s="1"/>
      <c r="W1458" s="1"/>
      <c r="X1458" s="1"/>
      <c r="Y1458" s="1"/>
      <c r="Z1458" s="1"/>
      <c r="AA1458" s="1"/>
      <c r="AB1458" s="1"/>
      <c r="AC1458" s="1"/>
      <c r="AD1458" s="1"/>
      <c r="AE1458" s="1"/>
      <c r="AF1458" s="1"/>
      <c r="AG1458" s="1"/>
      <c r="AH1458" s="1"/>
      <c r="AI1458" s="1"/>
      <c r="AJ1458" s="1"/>
      <c r="AK1458" s="338"/>
    </row>
    <row r="1459" spans="20:37">
      <c r="T1459" s="588"/>
      <c r="V1459" s="1"/>
      <c r="W1459" s="1"/>
      <c r="X1459" s="1"/>
      <c r="Y1459" s="1"/>
      <c r="Z1459" s="1"/>
      <c r="AA1459" s="1"/>
      <c r="AB1459" s="1"/>
      <c r="AC1459" s="1"/>
      <c r="AD1459" s="1"/>
      <c r="AE1459" s="1"/>
      <c r="AF1459" s="1"/>
      <c r="AG1459" s="1"/>
      <c r="AH1459" s="1"/>
      <c r="AI1459" s="1"/>
      <c r="AJ1459" s="1"/>
      <c r="AK1459" s="338"/>
    </row>
    <row r="1460" spans="20:37">
      <c r="T1460" s="588"/>
      <c r="V1460" s="1"/>
      <c r="W1460" s="1"/>
      <c r="X1460" s="1"/>
      <c r="Y1460" s="1"/>
      <c r="Z1460" s="1"/>
      <c r="AA1460" s="1"/>
      <c r="AB1460" s="1"/>
      <c r="AC1460" s="1"/>
      <c r="AD1460" s="1"/>
      <c r="AE1460" s="1"/>
      <c r="AF1460" s="1"/>
      <c r="AG1460" s="1"/>
      <c r="AH1460" s="1"/>
      <c r="AI1460" s="1"/>
      <c r="AJ1460" s="1"/>
      <c r="AK1460" s="338"/>
    </row>
    <row r="1461" spans="20:37">
      <c r="T1461" s="588"/>
      <c r="V1461" s="1"/>
      <c r="W1461" s="1"/>
      <c r="X1461" s="1"/>
      <c r="Y1461" s="1"/>
      <c r="Z1461" s="1"/>
      <c r="AA1461" s="1"/>
      <c r="AB1461" s="1"/>
      <c r="AC1461" s="1"/>
      <c r="AD1461" s="1"/>
      <c r="AE1461" s="1"/>
      <c r="AF1461" s="1"/>
      <c r="AG1461" s="1"/>
      <c r="AH1461" s="1"/>
      <c r="AI1461" s="1"/>
      <c r="AJ1461" s="1"/>
      <c r="AK1461" s="338"/>
    </row>
    <row r="1462" spans="20:37">
      <c r="T1462" s="588"/>
      <c r="V1462" s="1"/>
      <c r="W1462" s="1"/>
      <c r="X1462" s="1"/>
      <c r="Y1462" s="1"/>
      <c r="Z1462" s="1"/>
      <c r="AA1462" s="1"/>
      <c r="AB1462" s="1"/>
      <c r="AC1462" s="1"/>
      <c r="AD1462" s="1"/>
      <c r="AE1462" s="1"/>
      <c r="AF1462" s="1"/>
      <c r="AG1462" s="1"/>
      <c r="AH1462" s="1"/>
      <c r="AI1462" s="1"/>
      <c r="AJ1462" s="1"/>
      <c r="AK1462" s="338"/>
    </row>
    <row r="1463" spans="20:37">
      <c r="T1463" s="588"/>
      <c r="V1463" s="1"/>
      <c r="W1463" s="1"/>
      <c r="X1463" s="1"/>
      <c r="Y1463" s="1"/>
      <c r="Z1463" s="1"/>
      <c r="AA1463" s="1"/>
      <c r="AB1463" s="1"/>
      <c r="AC1463" s="1"/>
      <c r="AD1463" s="1"/>
      <c r="AE1463" s="1"/>
      <c r="AF1463" s="1"/>
      <c r="AG1463" s="1"/>
      <c r="AH1463" s="1"/>
      <c r="AI1463" s="1"/>
      <c r="AJ1463" s="1"/>
      <c r="AK1463" s="338"/>
    </row>
    <row r="1464" spans="20:37">
      <c r="T1464" s="588"/>
      <c r="V1464" s="1"/>
      <c r="W1464" s="1"/>
      <c r="X1464" s="1"/>
      <c r="Y1464" s="1"/>
      <c r="Z1464" s="1"/>
      <c r="AA1464" s="1"/>
      <c r="AB1464" s="1"/>
      <c r="AC1464" s="1"/>
      <c r="AD1464" s="1"/>
      <c r="AE1464" s="1"/>
      <c r="AF1464" s="1"/>
      <c r="AG1464" s="1"/>
      <c r="AH1464" s="1"/>
      <c r="AI1464" s="1"/>
      <c r="AJ1464" s="1"/>
      <c r="AK1464" s="338"/>
    </row>
    <row r="1465" spans="20:37">
      <c r="T1465" s="588"/>
      <c r="V1465" s="1"/>
      <c r="W1465" s="1"/>
      <c r="X1465" s="1"/>
      <c r="Y1465" s="1"/>
      <c r="Z1465" s="1"/>
      <c r="AA1465" s="1"/>
      <c r="AB1465" s="1"/>
      <c r="AC1465" s="1"/>
      <c r="AD1465" s="1"/>
      <c r="AE1465" s="1"/>
      <c r="AF1465" s="1"/>
      <c r="AG1465" s="1"/>
      <c r="AH1465" s="1"/>
      <c r="AI1465" s="1"/>
      <c r="AJ1465" s="1"/>
      <c r="AK1465" s="338"/>
    </row>
    <row r="1466" spans="20:37">
      <c r="T1466" s="588"/>
      <c r="V1466" s="1"/>
      <c r="W1466" s="1"/>
      <c r="X1466" s="1"/>
      <c r="Y1466" s="1"/>
      <c r="Z1466" s="1"/>
      <c r="AA1466" s="1"/>
      <c r="AB1466" s="1"/>
      <c r="AC1466" s="1"/>
      <c r="AD1466" s="1"/>
      <c r="AE1466" s="1"/>
      <c r="AF1466" s="1"/>
      <c r="AG1466" s="1"/>
      <c r="AH1466" s="1"/>
      <c r="AI1466" s="1"/>
      <c r="AJ1466" s="1"/>
      <c r="AK1466" s="338"/>
    </row>
    <row r="1467" spans="20:37">
      <c r="T1467" s="588"/>
      <c r="V1467" s="1"/>
      <c r="W1467" s="1"/>
      <c r="X1467" s="1"/>
      <c r="Y1467" s="1"/>
      <c r="Z1467" s="1"/>
      <c r="AA1467" s="1"/>
      <c r="AB1467" s="1"/>
      <c r="AC1467" s="1"/>
      <c r="AD1467" s="1"/>
      <c r="AE1467" s="1"/>
      <c r="AF1467" s="1"/>
      <c r="AG1467" s="1"/>
      <c r="AH1467" s="1"/>
      <c r="AI1467" s="1"/>
      <c r="AJ1467" s="1"/>
      <c r="AK1467" s="338"/>
    </row>
    <row r="1468" spans="20:37">
      <c r="T1468" s="588"/>
      <c r="V1468" s="1"/>
      <c r="W1468" s="1"/>
      <c r="X1468" s="1"/>
      <c r="Y1468" s="1"/>
      <c r="Z1468" s="1"/>
      <c r="AA1468" s="1"/>
      <c r="AB1468" s="1"/>
      <c r="AC1468" s="1"/>
      <c r="AD1468" s="1"/>
      <c r="AE1468" s="1"/>
      <c r="AF1468" s="1"/>
      <c r="AG1468" s="1"/>
      <c r="AH1468" s="1"/>
      <c r="AI1468" s="1"/>
      <c r="AJ1468" s="1"/>
      <c r="AK1468" s="338"/>
    </row>
    <row r="1469" spans="20:37">
      <c r="T1469" s="588"/>
      <c r="V1469" s="1"/>
      <c r="W1469" s="1"/>
      <c r="X1469" s="1"/>
      <c r="Y1469" s="1"/>
      <c r="Z1469" s="1"/>
      <c r="AA1469" s="1"/>
      <c r="AB1469" s="1"/>
      <c r="AC1469" s="1"/>
      <c r="AD1469" s="1"/>
      <c r="AE1469" s="1"/>
      <c r="AF1469" s="1"/>
      <c r="AG1469" s="1"/>
      <c r="AH1469" s="1"/>
      <c r="AI1469" s="1"/>
      <c r="AJ1469" s="1"/>
      <c r="AK1469" s="338"/>
    </row>
    <row r="1470" spans="20:37">
      <c r="T1470" s="588"/>
      <c r="V1470" s="1"/>
      <c r="W1470" s="1"/>
      <c r="X1470" s="1"/>
      <c r="Y1470" s="1"/>
      <c r="Z1470" s="1"/>
      <c r="AA1470" s="1"/>
      <c r="AB1470" s="1"/>
      <c r="AC1470" s="1"/>
      <c r="AD1470" s="1"/>
      <c r="AE1470" s="1"/>
      <c r="AF1470" s="1"/>
      <c r="AG1470" s="1"/>
      <c r="AH1470" s="1"/>
      <c r="AI1470" s="1"/>
      <c r="AJ1470" s="1"/>
      <c r="AK1470" s="338"/>
    </row>
    <row r="1471" spans="20:37">
      <c r="T1471" s="588"/>
      <c r="V1471" s="1"/>
      <c r="W1471" s="1"/>
      <c r="X1471" s="1"/>
      <c r="Y1471" s="1"/>
      <c r="Z1471" s="1"/>
      <c r="AA1471" s="1"/>
      <c r="AB1471" s="1"/>
      <c r="AC1471" s="1"/>
      <c r="AD1471" s="1"/>
      <c r="AE1471" s="1"/>
      <c r="AF1471" s="1"/>
      <c r="AG1471" s="1"/>
      <c r="AH1471" s="1"/>
      <c r="AI1471" s="1"/>
      <c r="AJ1471" s="1"/>
      <c r="AK1471" s="338"/>
    </row>
    <row r="1472" spans="20:37">
      <c r="T1472" s="588"/>
      <c r="V1472" s="1"/>
      <c r="W1472" s="1"/>
      <c r="X1472" s="1"/>
      <c r="Y1472" s="1"/>
      <c r="Z1472" s="1"/>
      <c r="AA1472" s="1"/>
      <c r="AB1472" s="1"/>
      <c r="AC1472" s="1"/>
      <c r="AD1472" s="1"/>
      <c r="AE1472" s="1"/>
      <c r="AF1472" s="1"/>
      <c r="AG1472" s="1"/>
      <c r="AH1472" s="1"/>
      <c r="AI1472" s="1"/>
      <c r="AJ1472" s="1"/>
      <c r="AK1472" s="338"/>
    </row>
    <row r="1473" spans="20:37">
      <c r="T1473" s="588"/>
      <c r="V1473" s="1"/>
      <c r="W1473" s="1"/>
      <c r="X1473" s="1"/>
      <c r="Y1473" s="1"/>
      <c r="Z1473" s="1"/>
      <c r="AA1473" s="1"/>
      <c r="AB1473" s="1"/>
      <c r="AC1473" s="1"/>
      <c r="AD1473" s="1"/>
      <c r="AE1473" s="1"/>
      <c r="AF1473" s="1"/>
      <c r="AG1473" s="1"/>
      <c r="AH1473" s="1"/>
      <c r="AI1473" s="1"/>
      <c r="AJ1473" s="1"/>
      <c r="AK1473" s="338"/>
    </row>
    <row r="1474" spans="20:37">
      <c r="T1474" s="588"/>
      <c r="V1474" s="1"/>
      <c r="W1474" s="1"/>
      <c r="X1474" s="1"/>
      <c r="Y1474" s="1"/>
      <c r="Z1474" s="1"/>
      <c r="AA1474" s="1"/>
      <c r="AB1474" s="1"/>
      <c r="AC1474" s="1"/>
      <c r="AD1474" s="1"/>
      <c r="AE1474" s="1"/>
      <c r="AF1474" s="1"/>
      <c r="AG1474" s="1"/>
      <c r="AH1474" s="1"/>
      <c r="AI1474" s="1"/>
      <c r="AJ1474" s="1"/>
      <c r="AK1474" s="338"/>
    </row>
    <row r="1475" spans="20:37">
      <c r="T1475" s="588"/>
      <c r="V1475" s="1"/>
      <c r="W1475" s="1"/>
      <c r="X1475" s="1"/>
      <c r="Y1475" s="1"/>
      <c r="Z1475" s="1"/>
      <c r="AA1475" s="1"/>
      <c r="AB1475" s="1"/>
      <c r="AC1475" s="1"/>
      <c r="AD1475" s="1"/>
      <c r="AE1475" s="1"/>
      <c r="AF1475" s="1"/>
      <c r="AG1475" s="1"/>
      <c r="AH1475" s="1"/>
      <c r="AI1475" s="1"/>
      <c r="AJ1475" s="1"/>
      <c r="AK1475" s="338"/>
    </row>
    <row r="1476" spans="20:37">
      <c r="T1476" s="588"/>
      <c r="V1476" s="1"/>
      <c r="W1476" s="1"/>
      <c r="X1476" s="1"/>
      <c r="Y1476" s="1"/>
      <c r="Z1476" s="1"/>
      <c r="AA1476" s="1"/>
      <c r="AB1476" s="1"/>
      <c r="AC1476" s="1"/>
      <c r="AD1476" s="1"/>
      <c r="AE1476" s="1"/>
      <c r="AF1476" s="1"/>
      <c r="AG1476" s="1"/>
      <c r="AH1476" s="1"/>
      <c r="AI1476" s="1"/>
      <c r="AJ1476" s="1"/>
      <c r="AK1476" s="338"/>
    </row>
    <row r="1477" spans="20:37">
      <c r="T1477" s="588"/>
      <c r="V1477" s="1"/>
      <c r="W1477" s="1"/>
      <c r="X1477" s="1"/>
      <c r="Y1477" s="1"/>
      <c r="Z1477" s="1"/>
      <c r="AA1477" s="1"/>
      <c r="AB1477" s="1"/>
      <c r="AC1477" s="1"/>
      <c r="AD1477" s="1"/>
      <c r="AE1477" s="1"/>
      <c r="AF1477" s="1"/>
      <c r="AG1477" s="1"/>
      <c r="AH1477" s="1"/>
      <c r="AI1477" s="1"/>
      <c r="AJ1477" s="1"/>
      <c r="AK1477" s="338"/>
    </row>
    <row r="1478" spans="20:37">
      <c r="T1478" s="588"/>
      <c r="V1478" s="1"/>
      <c r="W1478" s="1"/>
      <c r="X1478" s="1"/>
      <c r="Y1478" s="1"/>
      <c r="Z1478" s="1"/>
      <c r="AA1478" s="1"/>
      <c r="AB1478" s="1"/>
      <c r="AC1478" s="1"/>
      <c r="AD1478" s="1"/>
      <c r="AE1478" s="1"/>
      <c r="AF1478" s="1"/>
      <c r="AG1478" s="1"/>
      <c r="AH1478" s="1"/>
      <c r="AI1478" s="1"/>
      <c r="AJ1478" s="1"/>
      <c r="AK1478" s="338"/>
    </row>
    <row r="1479" spans="20:37">
      <c r="T1479" s="588"/>
      <c r="V1479" s="1"/>
      <c r="W1479" s="1"/>
      <c r="X1479" s="1"/>
      <c r="Y1479" s="1"/>
      <c r="Z1479" s="1"/>
      <c r="AA1479" s="1"/>
      <c r="AB1479" s="1"/>
      <c r="AC1479" s="1"/>
      <c r="AD1479" s="1"/>
      <c r="AE1479" s="1"/>
      <c r="AF1479" s="1"/>
      <c r="AG1479" s="1"/>
      <c r="AH1479" s="1"/>
      <c r="AI1479" s="1"/>
      <c r="AJ1479" s="1"/>
      <c r="AK1479" s="338"/>
    </row>
    <row r="1480" spans="20:37">
      <c r="T1480" s="588"/>
      <c r="V1480" s="1"/>
      <c r="W1480" s="1"/>
      <c r="X1480" s="1"/>
      <c r="Y1480" s="1"/>
      <c r="Z1480" s="1"/>
      <c r="AA1480" s="1"/>
      <c r="AB1480" s="1"/>
      <c r="AC1480" s="1"/>
      <c r="AD1480" s="1"/>
      <c r="AE1480" s="1"/>
      <c r="AF1480" s="1"/>
      <c r="AG1480" s="1"/>
      <c r="AH1480" s="1"/>
      <c r="AI1480" s="1"/>
      <c r="AJ1480" s="1"/>
      <c r="AK1480" s="338"/>
    </row>
    <row r="1481" spans="20:37">
      <c r="T1481" s="588"/>
      <c r="V1481" s="1"/>
      <c r="W1481" s="1"/>
      <c r="X1481" s="1"/>
      <c r="Y1481" s="1"/>
      <c r="Z1481" s="1"/>
      <c r="AA1481" s="1"/>
      <c r="AB1481" s="1"/>
      <c r="AC1481" s="1"/>
      <c r="AD1481" s="1"/>
      <c r="AE1481" s="1"/>
      <c r="AF1481" s="1"/>
      <c r="AG1481" s="1"/>
      <c r="AH1481" s="1"/>
      <c r="AI1481" s="1"/>
      <c r="AJ1481" s="1"/>
      <c r="AK1481" s="338"/>
    </row>
    <row r="1482" spans="20:37">
      <c r="T1482" s="588"/>
      <c r="V1482" s="1"/>
      <c r="W1482" s="1"/>
      <c r="X1482" s="1"/>
      <c r="Y1482" s="1"/>
      <c r="Z1482" s="1"/>
      <c r="AA1482" s="1"/>
      <c r="AB1482" s="1"/>
      <c r="AC1482" s="1"/>
      <c r="AD1482" s="1"/>
      <c r="AE1482" s="1"/>
      <c r="AF1482" s="1"/>
      <c r="AG1482" s="1"/>
      <c r="AH1482" s="1"/>
      <c r="AI1482" s="1"/>
      <c r="AJ1482" s="1"/>
      <c r="AK1482" s="338"/>
    </row>
    <row r="1483" spans="20:37">
      <c r="T1483" s="588"/>
      <c r="V1483" s="1"/>
      <c r="W1483" s="1"/>
      <c r="X1483" s="1"/>
      <c r="Y1483" s="1"/>
      <c r="Z1483" s="1"/>
      <c r="AA1483" s="1"/>
      <c r="AB1483" s="1"/>
      <c r="AC1483" s="1"/>
      <c r="AD1483" s="1"/>
      <c r="AE1483" s="1"/>
      <c r="AF1483" s="1"/>
      <c r="AG1483" s="1"/>
      <c r="AH1483" s="1"/>
      <c r="AI1483" s="1"/>
      <c r="AJ1483" s="1"/>
      <c r="AK1483" s="338"/>
    </row>
    <row r="1484" spans="20:37">
      <c r="T1484" s="588"/>
      <c r="V1484" s="1"/>
      <c r="W1484" s="1"/>
      <c r="X1484" s="1"/>
      <c r="Y1484" s="1"/>
      <c r="Z1484" s="1"/>
      <c r="AA1484" s="1"/>
      <c r="AB1484" s="1"/>
      <c r="AC1484" s="1"/>
      <c r="AD1484" s="1"/>
      <c r="AE1484" s="1"/>
      <c r="AF1484" s="1"/>
      <c r="AG1484" s="1"/>
      <c r="AH1484" s="1"/>
      <c r="AI1484" s="1"/>
      <c r="AJ1484" s="1"/>
      <c r="AK1484" s="338"/>
    </row>
    <row r="1485" spans="20:37">
      <c r="T1485" s="588"/>
      <c r="V1485" s="1"/>
      <c r="W1485" s="1"/>
      <c r="X1485" s="1"/>
      <c r="Y1485" s="1"/>
      <c r="Z1485" s="1"/>
      <c r="AA1485" s="1"/>
      <c r="AB1485" s="1"/>
      <c r="AC1485" s="1"/>
      <c r="AD1485" s="1"/>
      <c r="AE1485" s="1"/>
      <c r="AF1485" s="1"/>
      <c r="AG1485" s="1"/>
      <c r="AH1485" s="1"/>
      <c r="AI1485" s="1"/>
      <c r="AJ1485" s="1"/>
      <c r="AK1485" s="338"/>
    </row>
    <row r="1486" spans="20:37">
      <c r="T1486" s="588"/>
      <c r="V1486" s="1"/>
      <c r="W1486" s="1"/>
      <c r="X1486" s="1"/>
      <c r="Y1486" s="1"/>
      <c r="Z1486" s="1"/>
      <c r="AA1486" s="1"/>
      <c r="AB1486" s="1"/>
      <c r="AC1486" s="1"/>
      <c r="AD1486" s="1"/>
      <c r="AE1486" s="1"/>
      <c r="AF1486" s="1"/>
      <c r="AG1486" s="1"/>
      <c r="AH1486" s="1"/>
      <c r="AI1486" s="1"/>
      <c r="AJ1486" s="1"/>
      <c r="AK1486" s="338"/>
    </row>
    <row r="1487" spans="20:37">
      <c r="T1487" s="588"/>
      <c r="V1487" s="1"/>
      <c r="W1487" s="1"/>
      <c r="X1487" s="1"/>
      <c r="Y1487" s="1"/>
      <c r="Z1487" s="1"/>
      <c r="AA1487" s="1"/>
      <c r="AB1487" s="1"/>
      <c r="AC1487" s="1"/>
      <c r="AD1487" s="1"/>
      <c r="AE1487" s="1"/>
      <c r="AF1487" s="1"/>
      <c r="AG1487" s="1"/>
      <c r="AH1487" s="1"/>
      <c r="AI1487" s="1"/>
      <c r="AJ1487" s="1"/>
      <c r="AK1487" s="338"/>
    </row>
    <row r="1488" spans="20:37">
      <c r="T1488" s="588"/>
      <c r="V1488" s="1"/>
      <c r="W1488" s="1"/>
      <c r="X1488" s="1"/>
      <c r="Y1488" s="1"/>
      <c r="Z1488" s="1"/>
      <c r="AA1488" s="1"/>
      <c r="AB1488" s="1"/>
      <c r="AC1488" s="1"/>
      <c r="AD1488" s="1"/>
      <c r="AE1488" s="1"/>
      <c r="AF1488" s="1"/>
      <c r="AG1488" s="1"/>
      <c r="AH1488" s="1"/>
      <c r="AI1488" s="1"/>
      <c r="AJ1488" s="1"/>
      <c r="AK1488" s="338"/>
    </row>
    <row r="1489" spans="20:37">
      <c r="T1489" s="588"/>
      <c r="V1489" s="1"/>
      <c r="W1489" s="1"/>
      <c r="X1489" s="1"/>
      <c r="Y1489" s="1"/>
      <c r="Z1489" s="1"/>
      <c r="AA1489" s="1"/>
      <c r="AB1489" s="1"/>
      <c r="AC1489" s="1"/>
      <c r="AD1489" s="1"/>
      <c r="AE1489" s="1"/>
      <c r="AF1489" s="1"/>
      <c r="AG1489" s="1"/>
      <c r="AH1489" s="1"/>
      <c r="AI1489" s="1"/>
      <c r="AJ1489" s="1"/>
      <c r="AK1489" s="338"/>
    </row>
    <row r="1490" spans="20:37">
      <c r="T1490" s="588"/>
      <c r="V1490" s="1"/>
      <c r="W1490" s="1"/>
      <c r="X1490" s="1"/>
      <c r="Y1490" s="1"/>
      <c r="Z1490" s="1"/>
      <c r="AA1490" s="1"/>
      <c r="AB1490" s="1"/>
      <c r="AC1490" s="1"/>
      <c r="AD1490" s="1"/>
      <c r="AE1490" s="1"/>
      <c r="AF1490" s="1"/>
      <c r="AG1490" s="1"/>
      <c r="AH1490" s="1"/>
      <c r="AI1490" s="1"/>
      <c r="AJ1490" s="1"/>
      <c r="AK1490" s="338"/>
    </row>
    <row r="1491" spans="20:37">
      <c r="T1491" s="588"/>
      <c r="V1491" s="1"/>
      <c r="W1491" s="1"/>
      <c r="X1491" s="1"/>
      <c r="Y1491" s="1"/>
      <c r="Z1491" s="1"/>
      <c r="AA1491" s="1"/>
      <c r="AB1491" s="1"/>
      <c r="AC1491" s="1"/>
      <c r="AD1491" s="1"/>
      <c r="AE1491" s="1"/>
      <c r="AF1491" s="1"/>
      <c r="AG1491" s="1"/>
      <c r="AH1491" s="1"/>
      <c r="AI1491" s="1"/>
      <c r="AJ1491" s="1"/>
      <c r="AK1491" s="338"/>
    </row>
    <row r="1492" spans="20:37">
      <c r="T1492" s="588"/>
      <c r="V1492" s="1"/>
      <c r="W1492" s="1"/>
      <c r="X1492" s="1"/>
      <c r="Y1492" s="1"/>
      <c r="Z1492" s="1"/>
      <c r="AA1492" s="1"/>
      <c r="AB1492" s="1"/>
      <c r="AC1492" s="1"/>
      <c r="AD1492" s="1"/>
      <c r="AE1492" s="1"/>
      <c r="AF1492" s="1"/>
      <c r="AG1492" s="1"/>
      <c r="AH1492" s="1"/>
      <c r="AI1492" s="1"/>
      <c r="AJ1492" s="1"/>
      <c r="AK1492" s="338"/>
    </row>
    <row r="1493" spans="20:37">
      <c r="T1493" s="588"/>
      <c r="V1493" s="1"/>
      <c r="W1493" s="1"/>
      <c r="X1493" s="1"/>
      <c r="Y1493" s="1"/>
      <c r="Z1493" s="1"/>
      <c r="AA1493" s="1"/>
      <c r="AB1493" s="1"/>
      <c r="AC1493" s="1"/>
      <c r="AD1493" s="1"/>
      <c r="AE1493" s="1"/>
      <c r="AF1493" s="1"/>
      <c r="AG1493" s="1"/>
      <c r="AH1493" s="1"/>
      <c r="AI1493" s="1"/>
      <c r="AJ1493" s="1"/>
      <c r="AK1493" s="338"/>
    </row>
    <row r="1494" spans="20:37">
      <c r="T1494" s="588"/>
      <c r="V1494" s="1"/>
      <c r="W1494" s="1"/>
      <c r="X1494" s="1"/>
      <c r="Y1494" s="1"/>
      <c r="Z1494" s="1"/>
      <c r="AA1494" s="1"/>
      <c r="AB1494" s="1"/>
      <c r="AC1494" s="1"/>
      <c r="AD1494" s="1"/>
      <c r="AE1494" s="1"/>
      <c r="AF1494" s="1"/>
      <c r="AG1494" s="1"/>
      <c r="AH1494" s="1"/>
      <c r="AI1494" s="1"/>
      <c r="AJ1494" s="1"/>
      <c r="AK1494" s="338"/>
    </row>
    <row r="1495" spans="20:37">
      <c r="T1495" s="588"/>
      <c r="V1495" s="1"/>
      <c r="W1495" s="1"/>
      <c r="X1495" s="1"/>
      <c r="Y1495" s="1"/>
      <c r="Z1495" s="1"/>
      <c r="AA1495" s="1"/>
      <c r="AB1495" s="1"/>
      <c r="AC1495" s="1"/>
      <c r="AD1495" s="1"/>
      <c r="AE1495" s="1"/>
      <c r="AF1495" s="1"/>
      <c r="AG1495" s="1"/>
      <c r="AH1495" s="1"/>
      <c r="AI1495" s="1"/>
      <c r="AJ1495" s="1"/>
      <c r="AK1495" s="338"/>
    </row>
    <row r="1496" spans="20:37">
      <c r="T1496" s="588"/>
      <c r="V1496" s="1"/>
      <c r="W1496" s="1"/>
      <c r="X1496" s="1"/>
      <c r="Y1496" s="1"/>
      <c r="Z1496" s="1"/>
      <c r="AA1496" s="1"/>
      <c r="AB1496" s="1"/>
      <c r="AC1496" s="1"/>
      <c r="AD1496" s="1"/>
      <c r="AE1496" s="1"/>
      <c r="AF1496" s="1"/>
      <c r="AG1496" s="1"/>
      <c r="AH1496" s="1"/>
      <c r="AI1496" s="1"/>
      <c r="AJ1496" s="1"/>
      <c r="AK1496" s="338"/>
    </row>
    <row r="1497" spans="20:37">
      <c r="T1497" s="588"/>
      <c r="V1497" s="1"/>
      <c r="W1497" s="1"/>
      <c r="X1497" s="1"/>
      <c r="Y1497" s="1"/>
      <c r="Z1497" s="1"/>
      <c r="AA1497" s="1"/>
      <c r="AB1497" s="1"/>
      <c r="AC1497" s="1"/>
      <c r="AD1497" s="1"/>
      <c r="AE1497" s="1"/>
      <c r="AF1497" s="1"/>
      <c r="AG1497" s="1"/>
      <c r="AH1497" s="1"/>
      <c r="AI1497" s="1"/>
      <c r="AJ1497" s="1"/>
      <c r="AK1497" s="338"/>
    </row>
    <row r="1498" spans="20:37">
      <c r="T1498" s="588"/>
      <c r="V1498" s="1"/>
      <c r="W1498" s="1"/>
      <c r="X1498" s="1"/>
      <c r="Y1498" s="1"/>
      <c r="Z1498" s="1"/>
      <c r="AA1498" s="1"/>
      <c r="AB1498" s="1"/>
      <c r="AC1498" s="1"/>
      <c r="AD1498" s="1"/>
      <c r="AE1498" s="1"/>
      <c r="AF1498" s="1"/>
      <c r="AG1498" s="1"/>
      <c r="AH1498" s="1"/>
      <c r="AI1498" s="1"/>
      <c r="AJ1498" s="1"/>
      <c r="AK1498" s="338"/>
    </row>
    <row r="1499" spans="20:37">
      <c r="T1499" s="588"/>
      <c r="V1499" s="1"/>
      <c r="W1499" s="1"/>
      <c r="X1499" s="1"/>
      <c r="Y1499" s="1"/>
      <c r="Z1499" s="1"/>
      <c r="AA1499" s="1"/>
      <c r="AB1499" s="1"/>
      <c r="AC1499" s="1"/>
      <c r="AD1499" s="1"/>
      <c r="AE1499" s="1"/>
      <c r="AF1499" s="1"/>
      <c r="AG1499" s="1"/>
      <c r="AH1499" s="1"/>
      <c r="AI1499" s="1"/>
      <c r="AJ1499" s="1"/>
      <c r="AK1499" s="338"/>
    </row>
    <row r="1500" spans="20:37">
      <c r="T1500" s="588"/>
      <c r="V1500" s="1"/>
      <c r="W1500" s="1"/>
      <c r="X1500" s="1"/>
      <c r="Y1500" s="1"/>
      <c r="Z1500" s="1"/>
      <c r="AA1500" s="1"/>
      <c r="AB1500" s="1"/>
      <c r="AC1500" s="1"/>
      <c r="AD1500" s="1"/>
      <c r="AE1500" s="1"/>
      <c r="AF1500" s="1"/>
      <c r="AG1500" s="1"/>
      <c r="AH1500" s="1"/>
      <c r="AI1500" s="1"/>
      <c r="AJ1500" s="1"/>
      <c r="AK1500" s="338"/>
    </row>
    <row r="1501" spans="20:37">
      <c r="T1501" s="588"/>
      <c r="V1501" s="1"/>
      <c r="W1501" s="1"/>
      <c r="X1501" s="1"/>
      <c r="Y1501" s="1"/>
      <c r="Z1501" s="1"/>
      <c r="AA1501" s="1"/>
      <c r="AB1501" s="1"/>
      <c r="AC1501" s="1"/>
      <c r="AD1501" s="1"/>
      <c r="AE1501" s="1"/>
      <c r="AF1501" s="1"/>
      <c r="AG1501" s="1"/>
      <c r="AH1501" s="1"/>
      <c r="AI1501" s="1"/>
      <c r="AJ1501" s="1"/>
      <c r="AK1501" s="338"/>
    </row>
    <row r="1502" spans="20:37">
      <c r="T1502" s="588"/>
      <c r="V1502" s="1"/>
      <c r="W1502" s="1"/>
      <c r="X1502" s="1"/>
      <c r="Y1502" s="1"/>
      <c r="Z1502" s="1"/>
      <c r="AA1502" s="1"/>
      <c r="AB1502" s="1"/>
      <c r="AC1502" s="1"/>
      <c r="AD1502" s="1"/>
      <c r="AE1502" s="1"/>
      <c r="AF1502" s="1"/>
      <c r="AG1502" s="1"/>
      <c r="AH1502" s="1"/>
      <c r="AI1502" s="1"/>
      <c r="AJ1502" s="1"/>
      <c r="AK1502" s="338"/>
    </row>
    <row r="1503" spans="20:37">
      <c r="T1503" s="588"/>
      <c r="V1503" s="1"/>
      <c r="W1503" s="1"/>
      <c r="X1503" s="1"/>
      <c r="Y1503" s="1"/>
      <c r="Z1503" s="1"/>
      <c r="AA1503" s="1"/>
      <c r="AB1503" s="1"/>
      <c r="AC1503" s="1"/>
      <c r="AD1503" s="1"/>
      <c r="AE1503" s="1"/>
      <c r="AF1503" s="1"/>
      <c r="AG1503" s="1"/>
      <c r="AH1503" s="1"/>
      <c r="AI1503" s="1"/>
      <c r="AJ1503" s="1"/>
      <c r="AK1503" s="338"/>
    </row>
    <row r="1504" spans="20:37">
      <c r="T1504" s="588"/>
      <c r="V1504" s="1"/>
      <c r="W1504" s="1"/>
      <c r="X1504" s="1"/>
      <c r="Y1504" s="1"/>
      <c r="Z1504" s="1"/>
      <c r="AA1504" s="1"/>
      <c r="AB1504" s="1"/>
      <c r="AC1504" s="1"/>
      <c r="AD1504" s="1"/>
      <c r="AE1504" s="1"/>
      <c r="AF1504" s="1"/>
      <c r="AG1504" s="1"/>
      <c r="AH1504" s="1"/>
      <c r="AI1504" s="1"/>
      <c r="AJ1504" s="1"/>
      <c r="AK1504" s="338"/>
    </row>
    <row r="1505" spans="20:37">
      <c r="T1505" s="588"/>
      <c r="V1505" s="1"/>
      <c r="W1505" s="1"/>
      <c r="X1505" s="1"/>
      <c r="Y1505" s="1"/>
      <c r="Z1505" s="1"/>
      <c r="AA1505" s="1"/>
      <c r="AB1505" s="1"/>
      <c r="AC1505" s="1"/>
      <c r="AD1505" s="1"/>
      <c r="AE1505" s="1"/>
      <c r="AF1505" s="1"/>
      <c r="AG1505" s="1"/>
      <c r="AH1505" s="1"/>
      <c r="AI1505" s="1"/>
      <c r="AJ1505" s="1"/>
      <c r="AK1505" s="338"/>
    </row>
    <row r="1506" spans="20:37">
      <c r="T1506" s="588"/>
      <c r="V1506" s="1"/>
      <c r="W1506" s="1"/>
      <c r="X1506" s="1"/>
      <c r="Y1506" s="1"/>
      <c r="Z1506" s="1"/>
      <c r="AA1506" s="1"/>
      <c r="AB1506" s="1"/>
      <c r="AC1506" s="1"/>
      <c r="AD1506" s="1"/>
      <c r="AE1506" s="1"/>
      <c r="AF1506" s="1"/>
      <c r="AG1506" s="1"/>
      <c r="AH1506" s="1"/>
      <c r="AI1506" s="1"/>
      <c r="AJ1506" s="1"/>
      <c r="AK1506" s="338"/>
    </row>
    <row r="1507" spans="20:37">
      <c r="T1507" s="588"/>
      <c r="V1507" s="1"/>
      <c r="W1507" s="1"/>
      <c r="X1507" s="1"/>
      <c r="Y1507" s="1"/>
      <c r="Z1507" s="1"/>
      <c r="AA1507" s="1"/>
      <c r="AB1507" s="1"/>
      <c r="AC1507" s="1"/>
      <c r="AD1507" s="1"/>
      <c r="AE1507" s="1"/>
      <c r="AF1507" s="1"/>
      <c r="AG1507" s="1"/>
      <c r="AH1507" s="1"/>
      <c r="AI1507" s="1"/>
      <c r="AJ1507" s="1"/>
      <c r="AK1507" s="338"/>
    </row>
    <row r="1508" spans="20:37">
      <c r="T1508" s="588"/>
      <c r="V1508" s="1"/>
      <c r="W1508" s="1"/>
      <c r="X1508" s="1"/>
      <c r="Y1508" s="1"/>
      <c r="Z1508" s="1"/>
      <c r="AA1508" s="1"/>
      <c r="AB1508" s="1"/>
      <c r="AC1508" s="1"/>
      <c r="AD1508" s="1"/>
      <c r="AE1508" s="1"/>
      <c r="AF1508" s="1"/>
      <c r="AG1508" s="1"/>
      <c r="AH1508" s="1"/>
      <c r="AI1508" s="1"/>
      <c r="AJ1508" s="1"/>
      <c r="AK1508" s="338"/>
    </row>
    <row r="1509" spans="20:37">
      <c r="T1509" s="588"/>
      <c r="V1509" s="1"/>
      <c r="W1509" s="1"/>
      <c r="X1509" s="1"/>
      <c r="Y1509" s="1"/>
      <c r="Z1509" s="1"/>
      <c r="AA1509" s="1"/>
      <c r="AB1509" s="1"/>
      <c r="AC1509" s="1"/>
      <c r="AD1509" s="1"/>
      <c r="AE1509" s="1"/>
      <c r="AF1509" s="1"/>
      <c r="AG1509" s="1"/>
      <c r="AH1509" s="1"/>
      <c r="AI1509" s="1"/>
      <c r="AJ1509" s="1"/>
      <c r="AK1509" s="338"/>
    </row>
    <row r="1510" spans="20:37">
      <c r="T1510" s="588"/>
      <c r="V1510" s="1"/>
      <c r="W1510" s="1"/>
      <c r="X1510" s="1"/>
      <c r="Y1510" s="1"/>
      <c r="Z1510" s="1"/>
      <c r="AA1510" s="1"/>
      <c r="AB1510" s="1"/>
      <c r="AC1510" s="1"/>
      <c r="AD1510" s="1"/>
      <c r="AE1510" s="1"/>
      <c r="AF1510" s="1"/>
      <c r="AG1510" s="1"/>
      <c r="AH1510" s="1"/>
      <c r="AI1510" s="1"/>
      <c r="AJ1510" s="1"/>
      <c r="AK1510" s="338"/>
    </row>
    <row r="1511" spans="20:37">
      <c r="T1511" s="588"/>
      <c r="V1511" s="1"/>
      <c r="W1511" s="1"/>
      <c r="X1511" s="1"/>
      <c r="Y1511" s="1"/>
      <c r="Z1511" s="1"/>
      <c r="AA1511" s="1"/>
      <c r="AB1511" s="1"/>
      <c r="AC1511" s="1"/>
      <c r="AD1511" s="1"/>
      <c r="AE1511" s="1"/>
      <c r="AF1511" s="1"/>
      <c r="AG1511" s="1"/>
      <c r="AH1511" s="1"/>
      <c r="AI1511" s="1"/>
      <c r="AJ1511" s="1"/>
      <c r="AK1511" s="338"/>
    </row>
    <row r="1512" spans="20:37">
      <c r="T1512" s="588"/>
      <c r="V1512" s="1"/>
      <c r="W1512" s="1"/>
      <c r="X1512" s="1"/>
      <c r="Y1512" s="1"/>
      <c r="Z1512" s="1"/>
      <c r="AA1512" s="1"/>
      <c r="AB1512" s="1"/>
      <c r="AC1512" s="1"/>
      <c r="AD1512" s="1"/>
      <c r="AE1512" s="1"/>
      <c r="AF1512" s="1"/>
      <c r="AG1512" s="1"/>
      <c r="AH1512" s="1"/>
      <c r="AI1512" s="1"/>
      <c r="AJ1512" s="1"/>
      <c r="AK1512" s="338"/>
    </row>
    <row r="1513" spans="20:37">
      <c r="T1513" s="588"/>
      <c r="V1513" s="1"/>
      <c r="W1513" s="1"/>
      <c r="X1513" s="1"/>
      <c r="Y1513" s="1"/>
      <c r="Z1513" s="1"/>
      <c r="AA1513" s="1"/>
      <c r="AB1513" s="1"/>
      <c r="AC1513" s="1"/>
      <c r="AD1513" s="1"/>
      <c r="AE1513" s="1"/>
      <c r="AF1513" s="1"/>
      <c r="AG1513" s="1"/>
      <c r="AH1513" s="1"/>
      <c r="AI1513" s="1"/>
      <c r="AJ1513" s="1"/>
      <c r="AK1513" s="338"/>
    </row>
    <row r="1514" spans="20:37">
      <c r="T1514" s="588"/>
      <c r="V1514" s="1"/>
      <c r="W1514" s="1"/>
      <c r="X1514" s="1"/>
      <c r="Y1514" s="1"/>
      <c r="Z1514" s="1"/>
      <c r="AA1514" s="1"/>
      <c r="AB1514" s="1"/>
      <c r="AC1514" s="1"/>
      <c r="AD1514" s="1"/>
      <c r="AE1514" s="1"/>
      <c r="AF1514" s="1"/>
      <c r="AG1514" s="1"/>
      <c r="AH1514" s="1"/>
      <c r="AI1514" s="1"/>
      <c r="AJ1514" s="1"/>
      <c r="AK1514" s="338"/>
    </row>
    <row r="1515" spans="20:37">
      <c r="T1515" s="588"/>
      <c r="V1515" s="1"/>
      <c r="W1515" s="1"/>
      <c r="X1515" s="1"/>
      <c r="Y1515" s="1"/>
      <c r="Z1515" s="1"/>
      <c r="AA1515" s="1"/>
      <c r="AB1515" s="1"/>
      <c r="AC1515" s="1"/>
      <c r="AD1515" s="1"/>
      <c r="AE1515" s="1"/>
      <c r="AF1515" s="1"/>
      <c r="AG1515" s="1"/>
      <c r="AH1515" s="1"/>
      <c r="AI1515" s="1"/>
      <c r="AJ1515" s="1"/>
      <c r="AK1515" s="338"/>
    </row>
    <row r="1516" spans="20:37">
      <c r="T1516" s="588"/>
      <c r="V1516" s="1"/>
      <c r="W1516" s="1"/>
      <c r="X1516" s="1"/>
      <c r="Y1516" s="1"/>
      <c r="Z1516" s="1"/>
      <c r="AA1516" s="1"/>
      <c r="AB1516" s="1"/>
      <c r="AC1516" s="1"/>
      <c r="AD1516" s="1"/>
      <c r="AE1516" s="1"/>
      <c r="AF1516" s="1"/>
      <c r="AG1516" s="1"/>
      <c r="AH1516" s="1"/>
      <c r="AI1516" s="1"/>
      <c r="AJ1516" s="1"/>
      <c r="AK1516" s="338"/>
    </row>
    <row r="1517" spans="20:37">
      <c r="T1517" s="588"/>
      <c r="V1517" s="1"/>
      <c r="W1517" s="1"/>
      <c r="X1517" s="1"/>
      <c r="Y1517" s="1"/>
      <c r="Z1517" s="1"/>
      <c r="AA1517" s="1"/>
      <c r="AB1517" s="1"/>
      <c r="AC1517" s="1"/>
      <c r="AD1517" s="1"/>
      <c r="AE1517" s="1"/>
      <c r="AF1517" s="1"/>
      <c r="AG1517" s="1"/>
      <c r="AH1517" s="1"/>
      <c r="AI1517" s="1"/>
      <c r="AJ1517" s="1"/>
      <c r="AK1517" s="338"/>
    </row>
    <row r="1518" spans="20:37">
      <c r="T1518" s="588"/>
      <c r="V1518" s="1"/>
      <c r="W1518" s="1"/>
      <c r="X1518" s="1"/>
      <c r="Y1518" s="1"/>
      <c r="Z1518" s="1"/>
      <c r="AA1518" s="1"/>
      <c r="AB1518" s="1"/>
      <c r="AC1518" s="1"/>
      <c r="AD1518" s="1"/>
      <c r="AE1518" s="1"/>
      <c r="AF1518" s="1"/>
      <c r="AG1518" s="1"/>
      <c r="AH1518" s="1"/>
      <c r="AI1518" s="1"/>
      <c r="AJ1518" s="1"/>
      <c r="AK1518" s="338"/>
    </row>
    <row r="1519" spans="20:37">
      <c r="T1519" s="588"/>
      <c r="V1519" s="1"/>
      <c r="W1519" s="1"/>
      <c r="X1519" s="1"/>
      <c r="Y1519" s="1"/>
      <c r="Z1519" s="1"/>
      <c r="AA1519" s="1"/>
      <c r="AB1519" s="1"/>
      <c r="AC1519" s="1"/>
      <c r="AD1519" s="1"/>
      <c r="AE1519" s="1"/>
      <c r="AF1519" s="1"/>
      <c r="AG1519" s="1"/>
      <c r="AH1519" s="1"/>
      <c r="AI1519" s="1"/>
      <c r="AJ1519" s="1"/>
      <c r="AK1519" s="338"/>
    </row>
    <row r="1520" spans="20:37">
      <c r="T1520" s="588"/>
      <c r="V1520" s="1"/>
      <c r="W1520" s="1"/>
      <c r="X1520" s="1"/>
      <c r="Y1520" s="1"/>
      <c r="Z1520" s="1"/>
      <c r="AA1520" s="1"/>
      <c r="AB1520" s="1"/>
      <c r="AC1520" s="1"/>
      <c r="AD1520" s="1"/>
      <c r="AE1520" s="1"/>
      <c r="AF1520" s="1"/>
      <c r="AG1520" s="1"/>
      <c r="AH1520" s="1"/>
      <c r="AI1520" s="1"/>
      <c r="AJ1520" s="1"/>
      <c r="AK1520" s="338"/>
    </row>
    <row r="1521" spans="20:37">
      <c r="T1521" s="588"/>
      <c r="V1521" s="1"/>
      <c r="W1521" s="1"/>
      <c r="X1521" s="1"/>
      <c r="Y1521" s="1"/>
      <c r="Z1521" s="1"/>
      <c r="AA1521" s="1"/>
      <c r="AB1521" s="1"/>
      <c r="AC1521" s="1"/>
      <c r="AD1521" s="1"/>
      <c r="AE1521" s="1"/>
      <c r="AF1521" s="1"/>
      <c r="AG1521" s="1"/>
      <c r="AH1521" s="1"/>
      <c r="AI1521" s="1"/>
      <c r="AJ1521" s="1"/>
      <c r="AK1521" s="338"/>
    </row>
    <row r="1522" spans="20:37">
      <c r="T1522" s="588"/>
      <c r="V1522" s="1"/>
      <c r="W1522" s="1"/>
      <c r="X1522" s="1"/>
      <c r="Y1522" s="1"/>
      <c r="Z1522" s="1"/>
      <c r="AA1522" s="1"/>
      <c r="AB1522" s="1"/>
      <c r="AC1522" s="1"/>
      <c r="AD1522" s="1"/>
      <c r="AE1522" s="1"/>
      <c r="AF1522" s="1"/>
      <c r="AG1522" s="1"/>
      <c r="AH1522" s="1"/>
      <c r="AI1522" s="1"/>
      <c r="AJ1522" s="1"/>
      <c r="AK1522" s="338"/>
    </row>
    <row r="1523" spans="20:37">
      <c r="T1523" s="588"/>
      <c r="V1523" s="1"/>
      <c r="W1523" s="1"/>
      <c r="X1523" s="1"/>
      <c r="Y1523" s="1"/>
      <c r="Z1523" s="1"/>
      <c r="AA1523" s="1"/>
      <c r="AB1523" s="1"/>
      <c r="AC1523" s="1"/>
      <c r="AD1523" s="1"/>
      <c r="AE1523" s="1"/>
      <c r="AF1523" s="1"/>
      <c r="AG1523" s="1"/>
      <c r="AH1523" s="1"/>
      <c r="AI1523" s="1"/>
      <c r="AJ1523" s="1"/>
      <c r="AK1523" s="338"/>
    </row>
    <row r="1524" spans="20:37">
      <c r="T1524" s="588"/>
      <c r="V1524" s="1"/>
      <c r="W1524" s="1"/>
      <c r="X1524" s="1"/>
      <c r="Y1524" s="1"/>
      <c r="Z1524" s="1"/>
      <c r="AA1524" s="1"/>
      <c r="AB1524" s="1"/>
      <c r="AC1524" s="1"/>
      <c r="AD1524" s="1"/>
      <c r="AE1524" s="1"/>
      <c r="AF1524" s="1"/>
      <c r="AG1524" s="1"/>
      <c r="AH1524" s="1"/>
      <c r="AI1524" s="1"/>
      <c r="AJ1524" s="1"/>
      <c r="AK1524" s="338"/>
    </row>
    <row r="1525" spans="20:37">
      <c r="T1525" s="588"/>
      <c r="V1525" s="1"/>
      <c r="W1525" s="1"/>
      <c r="X1525" s="1"/>
      <c r="Y1525" s="1"/>
      <c r="Z1525" s="1"/>
      <c r="AA1525" s="1"/>
      <c r="AB1525" s="1"/>
      <c r="AC1525" s="1"/>
      <c r="AD1525" s="1"/>
      <c r="AE1525" s="1"/>
      <c r="AF1525" s="1"/>
      <c r="AG1525" s="1"/>
      <c r="AH1525" s="1"/>
      <c r="AI1525" s="1"/>
      <c r="AJ1525" s="1"/>
      <c r="AK1525" s="338"/>
    </row>
    <row r="1526" spans="20:37">
      <c r="T1526" s="588"/>
      <c r="V1526" s="1"/>
      <c r="W1526" s="1"/>
      <c r="X1526" s="1"/>
      <c r="Y1526" s="1"/>
      <c r="Z1526" s="1"/>
      <c r="AA1526" s="1"/>
      <c r="AB1526" s="1"/>
      <c r="AC1526" s="1"/>
      <c r="AD1526" s="1"/>
      <c r="AE1526" s="1"/>
      <c r="AF1526" s="1"/>
      <c r="AG1526" s="1"/>
      <c r="AH1526" s="1"/>
      <c r="AI1526" s="1"/>
      <c r="AJ1526" s="1"/>
      <c r="AK1526" s="338"/>
    </row>
    <row r="1527" spans="20:37">
      <c r="T1527" s="588"/>
      <c r="V1527" s="1"/>
      <c r="W1527" s="1"/>
      <c r="X1527" s="1"/>
      <c r="Y1527" s="1"/>
      <c r="Z1527" s="1"/>
      <c r="AA1527" s="1"/>
      <c r="AB1527" s="1"/>
      <c r="AC1527" s="1"/>
      <c r="AD1527" s="1"/>
      <c r="AE1527" s="1"/>
      <c r="AF1527" s="1"/>
      <c r="AG1527" s="1"/>
      <c r="AH1527" s="1"/>
      <c r="AI1527" s="1"/>
      <c r="AJ1527" s="1"/>
      <c r="AK1527" s="338"/>
    </row>
    <row r="1528" spans="20:37">
      <c r="T1528" s="588"/>
      <c r="V1528" s="1"/>
      <c r="W1528" s="1"/>
      <c r="X1528" s="1"/>
      <c r="Y1528" s="1"/>
      <c r="Z1528" s="1"/>
      <c r="AA1528" s="1"/>
      <c r="AB1528" s="1"/>
      <c r="AC1528" s="1"/>
      <c r="AD1528" s="1"/>
      <c r="AE1528" s="1"/>
      <c r="AF1528" s="1"/>
      <c r="AG1528" s="1"/>
      <c r="AH1528" s="1"/>
      <c r="AI1528" s="1"/>
      <c r="AJ1528" s="1"/>
      <c r="AK1528" s="338"/>
    </row>
    <row r="1529" spans="20:37">
      <c r="T1529" s="588"/>
      <c r="V1529" s="1"/>
      <c r="W1529" s="1"/>
      <c r="X1529" s="1"/>
      <c r="Y1529" s="1"/>
      <c r="Z1529" s="1"/>
      <c r="AA1529" s="1"/>
      <c r="AB1529" s="1"/>
      <c r="AC1529" s="1"/>
      <c r="AD1529" s="1"/>
      <c r="AE1529" s="1"/>
      <c r="AF1529" s="1"/>
      <c r="AG1529" s="1"/>
      <c r="AH1529" s="1"/>
      <c r="AI1529" s="1"/>
      <c r="AJ1529" s="1"/>
      <c r="AK1529" s="338"/>
    </row>
    <row r="1530" spans="20:37">
      <c r="T1530" s="588"/>
      <c r="V1530" s="1"/>
      <c r="W1530" s="1"/>
      <c r="X1530" s="1"/>
      <c r="Y1530" s="1"/>
      <c r="Z1530" s="1"/>
      <c r="AA1530" s="1"/>
      <c r="AB1530" s="1"/>
      <c r="AC1530" s="1"/>
      <c r="AD1530" s="1"/>
      <c r="AE1530" s="1"/>
      <c r="AF1530" s="1"/>
      <c r="AG1530" s="1"/>
      <c r="AH1530" s="1"/>
      <c r="AI1530" s="1"/>
      <c r="AJ1530" s="1"/>
      <c r="AK1530" s="338"/>
    </row>
    <row r="1531" spans="20:37">
      <c r="T1531" s="588"/>
      <c r="V1531" s="1"/>
      <c r="W1531" s="1"/>
      <c r="X1531" s="1"/>
      <c r="Y1531" s="1"/>
      <c r="Z1531" s="1"/>
      <c r="AA1531" s="1"/>
      <c r="AB1531" s="1"/>
      <c r="AC1531" s="1"/>
      <c r="AD1531" s="1"/>
      <c r="AE1531" s="1"/>
      <c r="AF1531" s="1"/>
      <c r="AG1531" s="1"/>
      <c r="AH1531" s="1"/>
      <c r="AI1531" s="1"/>
      <c r="AJ1531" s="1"/>
      <c r="AK1531" s="338"/>
    </row>
    <row r="1532" spans="20:37">
      <c r="T1532" s="588"/>
      <c r="V1532" s="1"/>
      <c r="W1532" s="1"/>
      <c r="X1532" s="1"/>
      <c r="Y1532" s="1"/>
      <c r="Z1532" s="1"/>
      <c r="AA1532" s="1"/>
      <c r="AB1532" s="1"/>
      <c r="AC1532" s="1"/>
      <c r="AD1532" s="1"/>
      <c r="AE1532" s="1"/>
      <c r="AF1532" s="1"/>
      <c r="AG1532" s="1"/>
      <c r="AH1532" s="1"/>
      <c r="AI1532" s="1"/>
      <c r="AJ1532" s="1"/>
      <c r="AK1532" s="338"/>
    </row>
    <row r="1533" spans="20:37">
      <c r="T1533" s="588"/>
      <c r="V1533" s="1"/>
      <c r="W1533" s="1"/>
      <c r="X1533" s="1"/>
      <c r="Y1533" s="1"/>
      <c r="Z1533" s="1"/>
      <c r="AA1533" s="1"/>
      <c r="AB1533" s="1"/>
      <c r="AC1533" s="1"/>
      <c r="AD1533" s="1"/>
      <c r="AE1533" s="1"/>
      <c r="AF1533" s="1"/>
      <c r="AG1533" s="1"/>
      <c r="AH1533" s="1"/>
      <c r="AI1533" s="1"/>
      <c r="AJ1533" s="1"/>
      <c r="AK1533" s="338"/>
    </row>
    <row r="1534" spans="20:37">
      <c r="T1534" s="588"/>
      <c r="V1534" s="1"/>
      <c r="W1534" s="1"/>
      <c r="X1534" s="1"/>
      <c r="Y1534" s="1"/>
      <c r="Z1534" s="1"/>
      <c r="AA1534" s="1"/>
      <c r="AB1534" s="1"/>
      <c r="AC1534" s="1"/>
      <c r="AD1534" s="1"/>
      <c r="AE1534" s="1"/>
      <c r="AF1534" s="1"/>
      <c r="AG1534" s="1"/>
      <c r="AH1534" s="1"/>
      <c r="AI1534" s="1"/>
      <c r="AJ1534" s="1"/>
      <c r="AK1534" s="338"/>
    </row>
    <row r="1535" spans="20:37">
      <c r="T1535" s="588"/>
      <c r="V1535" s="1"/>
      <c r="W1535" s="1"/>
      <c r="X1535" s="1"/>
      <c r="Y1535" s="1"/>
      <c r="Z1535" s="1"/>
      <c r="AA1535" s="1"/>
      <c r="AB1535" s="1"/>
      <c r="AC1535" s="1"/>
      <c r="AD1535" s="1"/>
      <c r="AE1535" s="1"/>
      <c r="AF1535" s="1"/>
      <c r="AG1535" s="1"/>
      <c r="AH1535" s="1"/>
      <c r="AI1535" s="1"/>
      <c r="AJ1535" s="1"/>
      <c r="AK1535" s="338"/>
    </row>
    <row r="1536" spans="20:37">
      <c r="T1536" s="588"/>
      <c r="V1536" s="1"/>
      <c r="W1536" s="1"/>
      <c r="X1536" s="1"/>
      <c r="Y1536" s="1"/>
      <c r="Z1536" s="1"/>
      <c r="AA1536" s="1"/>
      <c r="AB1536" s="1"/>
      <c r="AC1536" s="1"/>
      <c r="AD1536" s="1"/>
      <c r="AE1536" s="1"/>
      <c r="AF1536" s="1"/>
      <c r="AG1536" s="1"/>
      <c r="AH1536" s="1"/>
      <c r="AI1536" s="1"/>
      <c r="AJ1536" s="1"/>
      <c r="AK1536" s="338"/>
    </row>
    <row r="1537" spans="20:37">
      <c r="T1537" s="588"/>
      <c r="V1537" s="1"/>
      <c r="W1537" s="1"/>
      <c r="X1537" s="1"/>
      <c r="Y1537" s="1"/>
      <c r="Z1537" s="1"/>
      <c r="AA1537" s="1"/>
      <c r="AB1537" s="1"/>
      <c r="AC1537" s="1"/>
      <c r="AD1537" s="1"/>
      <c r="AE1537" s="1"/>
      <c r="AF1537" s="1"/>
      <c r="AG1537" s="1"/>
      <c r="AH1537" s="1"/>
      <c r="AI1537" s="1"/>
      <c r="AJ1537" s="1"/>
      <c r="AK1537" s="338"/>
    </row>
    <row r="1538" spans="20:37">
      <c r="T1538" s="588"/>
      <c r="V1538" s="1"/>
      <c r="W1538" s="1"/>
      <c r="X1538" s="1"/>
      <c r="Y1538" s="1"/>
      <c r="Z1538" s="1"/>
      <c r="AA1538" s="1"/>
      <c r="AB1538" s="1"/>
      <c r="AC1538" s="1"/>
      <c r="AD1538" s="1"/>
      <c r="AE1538" s="1"/>
      <c r="AF1538" s="1"/>
      <c r="AG1538" s="1"/>
      <c r="AH1538" s="1"/>
      <c r="AI1538" s="1"/>
      <c r="AJ1538" s="1"/>
      <c r="AK1538" s="338"/>
    </row>
    <row r="1539" spans="20:37">
      <c r="T1539" s="588"/>
      <c r="V1539" s="1"/>
      <c r="W1539" s="1"/>
      <c r="X1539" s="1"/>
      <c r="Y1539" s="1"/>
      <c r="Z1539" s="1"/>
      <c r="AA1539" s="1"/>
      <c r="AB1539" s="1"/>
      <c r="AC1539" s="1"/>
      <c r="AD1539" s="1"/>
      <c r="AE1539" s="1"/>
      <c r="AF1539" s="1"/>
      <c r="AG1539" s="1"/>
      <c r="AH1539" s="1"/>
      <c r="AI1539" s="1"/>
      <c r="AJ1539" s="1"/>
      <c r="AK1539" s="338"/>
    </row>
    <row r="1540" spans="20:37">
      <c r="T1540" s="588"/>
      <c r="V1540" s="1"/>
      <c r="W1540" s="1"/>
      <c r="X1540" s="1"/>
      <c r="Y1540" s="1"/>
      <c r="Z1540" s="1"/>
      <c r="AA1540" s="1"/>
      <c r="AB1540" s="1"/>
      <c r="AC1540" s="1"/>
      <c r="AD1540" s="1"/>
      <c r="AE1540" s="1"/>
      <c r="AF1540" s="1"/>
      <c r="AG1540" s="1"/>
      <c r="AH1540" s="1"/>
      <c r="AI1540" s="1"/>
      <c r="AJ1540" s="1"/>
      <c r="AK1540" s="338"/>
    </row>
    <row r="1541" spans="20:37">
      <c r="T1541" s="588"/>
      <c r="V1541" s="1"/>
      <c r="W1541" s="1"/>
      <c r="X1541" s="1"/>
      <c r="Y1541" s="1"/>
      <c r="Z1541" s="1"/>
      <c r="AA1541" s="1"/>
      <c r="AB1541" s="1"/>
      <c r="AC1541" s="1"/>
      <c r="AD1541" s="1"/>
      <c r="AE1541" s="1"/>
      <c r="AF1541" s="1"/>
      <c r="AG1541" s="1"/>
      <c r="AH1541" s="1"/>
      <c r="AI1541" s="1"/>
      <c r="AJ1541" s="1"/>
      <c r="AK1541" s="338"/>
    </row>
    <row r="1542" spans="20:37">
      <c r="T1542" s="588"/>
      <c r="V1542" s="1"/>
      <c r="W1542" s="1"/>
      <c r="X1542" s="1"/>
      <c r="Y1542" s="1"/>
      <c r="Z1542" s="1"/>
      <c r="AA1542" s="1"/>
      <c r="AB1542" s="1"/>
      <c r="AC1542" s="1"/>
      <c r="AD1542" s="1"/>
      <c r="AE1542" s="1"/>
      <c r="AF1542" s="1"/>
      <c r="AG1542" s="1"/>
      <c r="AH1542" s="1"/>
      <c r="AI1542" s="1"/>
      <c r="AJ1542" s="1"/>
      <c r="AK1542" s="338"/>
    </row>
    <row r="1543" spans="20:37">
      <c r="T1543" s="588"/>
      <c r="V1543" s="1"/>
      <c r="W1543" s="1"/>
      <c r="X1543" s="1"/>
      <c r="Y1543" s="1"/>
      <c r="Z1543" s="1"/>
      <c r="AA1543" s="1"/>
      <c r="AB1543" s="1"/>
      <c r="AC1543" s="1"/>
      <c r="AD1543" s="1"/>
      <c r="AE1543" s="1"/>
      <c r="AF1543" s="1"/>
      <c r="AG1543" s="1"/>
      <c r="AH1543" s="1"/>
      <c r="AI1543" s="1"/>
      <c r="AJ1543" s="1"/>
      <c r="AK1543" s="338"/>
    </row>
    <row r="1544" spans="20:37">
      <c r="T1544" s="588"/>
      <c r="V1544" s="1"/>
      <c r="W1544" s="1"/>
      <c r="X1544" s="1"/>
      <c r="Y1544" s="1"/>
      <c r="Z1544" s="1"/>
      <c r="AA1544" s="1"/>
      <c r="AB1544" s="1"/>
      <c r="AC1544" s="1"/>
      <c r="AD1544" s="1"/>
      <c r="AE1544" s="1"/>
      <c r="AF1544" s="1"/>
      <c r="AG1544" s="1"/>
      <c r="AH1544" s="1"/>
      <c r="AI1544" s="1"/>
      <c r="AJ1544" s="1"/>
      <c r="AK1544" s="338"/>
    </row>
    <row r="1545" spans="20:37">
      <c r="T1545" s="588"/>
      <c r="V1545" s="1"/>
      <c r="W1545" s="1"/>
      <c r="X1545" s="1"/>
      <c r="Y1545" s="1"/>
      <c r="Z1545" s="1"/>
      <c r="AA1545" s="1"/>
      <c r="AB1545" s="1"/>
      <c r="AC1545" s="1"/>
      <c r="AD1545" s="1"/>
      <c r="AE1545" s="1"/>
      <c r="AF1545" s="1"/>
      <c r="AG1545" s="1"/>
      <c r="AH1545" s="1"/>
      <c r="AI1545" s="1"/>
      <c r="AJ1545" s="1"/>
      <c r="AK1545" s="338"/>
    </row>
    <row r="1546" spans="20:37">
      <c r="T1546" s="588"/>
      <c r="V1546" s="1"/>
      <c r="W1546" s="1"/>
      <c r="X1546" s="1"/>
      <c r="Y1546" s="1"/>
      <c r="Z1546" s="1"/>
      <c r="AA1546" s="1"/>
      <c r="AB1546" s="1"/>
      <c r="AC1546" s="1"/>
      <c r="AD1546" s="1"/>
      <c r="AE1546" s="1"/>
      <c r="AF1546" s="1"/>
      <c r="AG1546" s="1"/>
      <c r="AH1546" s="1"/>
      <c r="AI1546" s="1"/>
      <c r="AJ1546" s="1"/>
      <c r="AK1546" s="338"/>
    </row>
    <row r="1547" spans="20:37">
      <c r="T1547" s="588"/>
      <c r="V1547" s="1"/>
      <c r="W1547" s="1"/>
      <c r="X1547" s="1"/>
      <c r="Y1547" s="1"/>
      <c r="Z1547" s="1"/>
      <c r="AA1547" s="1"/>
      <c r="AB1547" s="1"/>
      <c r="AC1547" s="1"/>
      <c r="AD1547" s="1"/>
      <c r="AE1547" s="1"/>
      <c r="AF1547" s="1"/>
      <c r="AG1547" s="1"/>
      <c r="AH1547" s="1"/>
      <c r="AI1547" s="1"/>
      <c r="AJ1547" s="1"/>
      <c r="AK1547" s="338"/>
    </row>
    <row r="1548" spans="20:37">
      <c r="T1548" s="588"/>
      <c r="V1548" s="1"/>
      <c r="W1548" s="1"/>
      <c r="X1548" s="1"/>
      <c r="Y1548" s="1"/>
      <c r="Z1548" s="1"/>
      <c r="AA1548" s="1"/>
      <c r="AB1548" s="1"/>
      <c r="AC1548" s="1"/>
      <c r="AD1548" s="1"/>
      <c r="AE1548" s="1"/>
      <c r="AF1548" s="1"/>
      <c r="AG1548" s="1"/>
      <c r="AH1548" s="1"/>
      <c r="AI1548" s="1"/>
      <c r="AJ1548" s="1"/>
      <c r="AK1548" s="338"/>
    </row>
    <row r="1549" spans="20:37">
      <c r="T1549" s="588"/>
      <c r="V1549" s="1"/>
      <c r="W1549" s="1"/>
      <c r="X1549" s="1"/>
      <c r="Y1549" s="1"/>
      <c r="Z1549" s="1"/>
      <c r="AA1549" s="1"/>
      <c r="AB1549" s="1"/>
      <c r="AC1549" s="1"/>
      <c r="AD1549" s="1"/>
      <c r="AE1549" s="1"/>
      <c r="AF1549" s="1"/>
      <c r="AG1549" s="1"/>
      <c r="AH1549" s="1"/>
      <c r="AI1549" s="1"/>
      <c r="AJ1549" s="1"/>
      <c r="AK1549" s="338"/>
    </row>
    <row r="1550" spans="20:37">
      <c r="T1550" s="588"/>
      <c r="V1550" s="1"/>
      <c r="W1550" s="1"/>
      <c r="X1550" s="1"/>
      <c r="Y1550" s="1"/>
      <c r="Z1550" s="1"/>
      <c r="AA1550" s="1"/>
      <c r="AB1550" s="1"/>
      <c r="AC1550" s="1"/>
      <c r="AD1550" s="1"/>
      <c r="AE1550" s="1"/>
      <c r="AF1550" s="1"/>
      <c r="AG1550" s="1"/>
      <c r="AH1550" s="1"/>
      <c r="AI1550" s="1"/>
      <c r="AJ1550" s="1"/>
      <c r="AK1550" s="338"/>
    </row>
    <row r="1551" spans="20:37">
      <c r="T1551" s="588"/>
      <c r="V1551" s="1"/>
      <c r="W1551" s="1"/>
      <c r="X1551" s="1"/>
      <c r="Y1551" s="1"/>
      <c r="Z1551" s="1"/>
      <c r="AA1551" s="1"/>
      <c r="AB1551" s="1"/>
      <c r="AC1551" s="1"/>
      <c r="AD1551" s="1"/>
      <c r="AE1551" s="1"/>
      <c r="AF1551" s="1"/>
      <c r="AG1551" s="1"/>
      <c r="AH1551" s="1"/>
      <c r="AI1551" s="1"/>
      <c r="AJ1551" s="1"/>
      <c r="AK1551" s="338"/>
    </row>
    <row r="1552" spans="20:37">
      <c r="T1552" s="588"/>
      <c r="V1552" s="1"/>
      <c r="W1552" s="1"/>
      <c r="X1552" s="1"/>
      <c r="Y1552" s="1"/>
      <c r="Z1552" s="1"/>
      <c r="AA1552" s="1"/>
      <c r="AB1552" s="1"/>
      <c r="AC1552" s="1"/>
      <c r="AD1552" s="1"/>
      <c r="AE1552" s="1"/>
      <c r="AF1552" s="1"/>
      <c r="AG1552" s="1"/>
      <c r="AH1552" s="1"/>
      <c r="AI1552" s="1"/>
      <c r="AJ1552" s="1"/>
      <c r="AK1552" s="338"/>
    </row>
    <row r="1553" spans="20:37">
      <c r="T1553" s="588"/>
      <c r="V1553" s="1"/>
      <c r="W1553" s="1"/>
      <c r="X1553" s="1"/>
      <c r="Y1553" s="1"/>
      <c r="Z1553" s="1"/>
      <c r="AA1553" s="1"/>
      <c r="AB1553" s="1"/>
      <c r="AC1553" s="1"/>
      <c r="AD1553" s="1"/>
      <c r="AE1553" s="1"/>
      <c r="AF1553" s="1"/>
      <c r="AG1553" s="1"/>
      <c r="AH1553" s="1"/>
      <c r="AI1553" s="1"/>
      <c r="AJ1553" s="1"/>
      <c r="AK1553" s="338"/>
    </row>
    <row r="1554" spans="20:37">
      <c r="T1554" s="588"/>
      <c r="V1554" s="1"/>
      <c r="W1554" s="1"/>
      <c r="X1554" s="1"/>
      <c r="Y1554" s="1"/>
      <c r="Z1554" s="1"/>
      <c r="AA1554" s="1"/>
      <c r="AB1554" s="1"/>
      <c r="AC1554" s="1"/>
      <c r="AD1554" s="1"/>
      <c r="AE1554" s="1"/>
      <c r="AF1554" s="1"/>
      <c r="AG1554" s="1"/>
      <c r="AH1554" s="1"/>
      <c r="AI1554" s="1"/>
      <c r="AJ1554" s="1"/>
      <c r="AK1554" s="338"/>
    </row>
    <row r="1555" spans="20:37">
      <c r="T1555" s="588"/>
      <c r="V1555" s="1"/>
      <c r="W1555" s="1"/>
      <c r="X1555" s="1"/>
      <c r="Y1555" s="1"/>
      <c r="Z1555" s="1"/>
      <c r="AA1555" s="1"/>
      <c r="AB1555" s="1"/>
      <c r="AC1555" s="1"/>
      <c r="AD1555" s="1"/>
      <c r="AE1555" s="1"/>
      <c r="AF1555" s="1"/>
      <c r="AG1555" s="1"/>
      <c r="AH1555" s="1"/>
      <c r="AI1555" s="1"/>
      <c r="AJ1555" s="1"/>
      <c r="AK1555" s="338"/>
    </row>
    <row r="1556" spans="20:37">
      <c r="T1556" s="588"/>
      <c r="V1556" s="1"/>
      <c r="W1556" s="1"/>
      <c r="X1556" s="1"/>
      <c r="Y1556" s="1"/>
      <c r="Z1556" s="1"/>
      <c r="AA1556" s="1"/>
      <c r="AB1556" s="1"/>
      <c r="AC1556" s="1"/>
      <c r="AD1556" s="1"/>
      <c r="AE1556" s="1"/>
      <c r="AF1556" s="1"/>
      <c r="AG1556" s="1"/>
      <c r="AH1556" s="1"/>
      <c r="AI1556" s="1"/>
      <c r="AJ1556" s="1"/>
      <c r="AK1556" s="338"/>
    </row>
    <row r="1557" spans="20:37">
      <c r="T1557" s="588"/>
      <c r="V1557" s="1"/>
      <c r="W1557" s="1"/>
      <c r="X1557" s="1"/>
      <c r="Y1557" s="1"/>
      <c r="Z1557" s="1"/>
      <c r="AA1557" s="1"/>
      <c r="AB1557" s="1"/>
      <c r="AC1557" s="1"/>
      <c r="AD1557" s="1"/>
      <c r="AE1557" s="1"/>
      <c r="AF1557" s="1"/>
      <c r="AG1557" s="1"/>
      <c r="AH1557" s="1"/>
      <c r="AI1557" s="1"/>
      <c r="AJ1557" s="1"/>
      <c r="AK1557" s="338"/>
    </row>
    <row r="1558" spans="20:37">
      <c r="T1558" s="588"/>
      <c r="V1558" s="1"/>
      <c r="W1558" s="1"/>
      <c r="X1558" s="1"/>
      <c r="Y1558" s="1"/>
      <c r="Z1558" s="1"/>
      <c r="AA1558" s="1"/>
      <c r="AB1558" s="1"/>
      <c r="AC1558" s="1"/>
      <c r="AD1558" s="1"/>
      <c r="AE1558" s="1"/>
      <c r="AF1558" s="1"/>
      <c r="AG1558" s="1"/>
      <c r="AH1558" s="1"/>
      <c r="AI1558" s="1"/>
      <c r="AJ1558" s="1"/>
      <c r="AK1558" s="338"/>
    </row>
    <row r="1559" spans="20:37">
      <c r="T1559" s="588"/>
      <c r="V1559" s="1"/>
      <c r="W1559" s="1"/>
      <c r="X1559" s="1"/>
      <c r="Y1559" s="1"/>
      <c r="Z1559" s="1"/>
      <c r="AA1559" s="1"/>
      <c r="AB1559" s="1"/>
      <c r="AC1559" s="1"/>
      <c r="AD1559" s="1"/>
      <c r="AE1559" s="1"/>
      <c r="AF1559" s="1"/>
      <c r="AG1559" s="1"/>
      <c r="AH1559" s="1"/>
      <c r="AI1559" s="1"/>
      <c r="AJ1559" s="1"/>
      <c r="AK1559" s="338"/>
    </row>
    <row r="1560" spans="20:37">
      <c r="T1560" s="588"/>
      <c r="V1560" s="1"/>
      <c r="W1560" s="1"/>
      <c r="X1560" s="1"/>
      <c r="Y1560" s="1"/>
      <c r="Z1560" s="1"/>
      <c r="AA1560" s="1"/>
      <c r="AB1560" s="1"/>
      <c r="AC1560" s="1"/>
      <c r="AD1560" s="1"/>
      <c r="AE1560" s="1"/>
      <c r="AF1560" s="1"/>
      <c r="AG1560" s="1"/>
      <c r="AH1560" s="1"/>
      <c r="AI1560" s="1"/>
      <c r="AJ1560" s="1"/>
      <c r="AK1560" s="338"/>
    </row>
    <row r="1561" spans="20:37">
      <c r="T1561" s="588"/>
      <c r="V1561" s="1"/>
      <c r="W1561" s="1"/>
      <c r="X1561" s="1"/>
      <c r="Y1561" s="1"/>
      <c r="Z1561" s="1"/>
      <c r="AA1561" s="1"/>
      <c r="AB1561" s="1"/>
      <c r="AC1561" s="1"/>
      <c r="AD1561" s="1"/>
      <c r="AE1561" s="1"/>
      <c r="AF1561" s="1"/>
      <c r="AG1561" s="1"/>
      <c r="AH1561" s="1"/>
      <c r="AI1561" s="1"/>
      <c r="AJ1561" s="1"/>
      <c r="AK1561" s="338"/>
    </row>
    <row r="1562" spans="20:37">
      <c r="T1562" s="588"/>
      <c r="V1562" s="1"/>
      <c r="W1562" s="1"/>
      <c r="X1562" s="1"/>
      <c r="Y1562" s="1"/>
      <c r="Z1562" s="1"/>
      <c r="AA1562" s="1"/>
      <c r="AB1562" s="1"/>
      <c r="AC1562" s="1"/>
      <c r="AD1562" s="1"/>
      <c r="AE1562" s="1"/>
      <c r="AF1562" s="1"/>
      <c r="AG1562" s="1"/>
      <c r="AH1562" s="1"/>
      <c r="AI1562" s="1"/>
      <c r="AJ1562" s="1"/>
      <c r="AK1562" s="338"/>
    </row>
    <row r="1563" spans="20:37">
      <c r="T1563" s="588"/>
      <c r="V1563" s="1"/>
      <c r="W1563" s="1"/>
      <c r="X1563" s="1"/>
      <c r="Y1563" s="1"/>
      <c r="Z1563" s="1"/>
      <c r="AA1563" s="1"/>
      <c r="AB1563" s="1"/>
      <c r="AC1563" s="1"/>
      <c r="AD1563" s="1"/>
      <c r="AE1563" s="1"/>
      <c r="AF1563" s="1"/>
      <c r="AG1563" s="1"/>
      <c r="AH1563" s="1"/>
      <c r="AI1563" s="1"/>
      <c r="AJ1563" s="1"/>
      <c r="AK1563" s="338"/>
    </row>
    <row r="1564" spans="20:37">
      <c r="T1564" s="588"/>
      <c r="V1564" s="1"/>
      <c r="W1564" s="1"/>
      <c r="X1564" s="1"/>
      <c r="Y1564" s="1"/>
      <c r="Z1564" s="1"/>
      <c r="AA1564" s="1"/>
      <c r="AB1564" s="1"/>
      <c r="AC1564" s="1"/>
      <c r="AD1564" s="1"/>
      <c r="AE1564" s="1"/>
      <c r="AF1564" s="1"/>
      <c r="AG1564" s="1"/>
      <c r="AH1564" s="1"/>
      <c r="AI1564" s="1"/>
      <c r="AJ1564" s="1"/>
      <c r="AK1564" s="338"/>
    </row>
    <row r="1565" spans="20:37">
      <c r="T1565" s="588"/>
      <c r="V1565" s="1"/>
      <c r="W1565" s="1"/>
      <c r="X1565" s="1"/>
      <c r="Y1565" s="1"/>
      <c r="Z1565" s="1"/>
      <c r="AA1565" s="1"/>
      <c r="AB1565" s="1"/>
      <c r="AC1565" s="1"/>
      <c r="AD1565" s="1"/>
      <c r="AE1565" s="1"/>
      <c r="AF1565" s="1"/>
      <c r="AG1565" s="1"/>
      <c r="AH1565" s="1"/>
      <c r="AI1565" s="1"/>
      <c r="AJ1565" s="1"/>
      <c r="AK1565" s="338"/>
    </row>
    <row r="1566" spans="20:37">
      <c r="T1566" s="588"/>
      <c r="V1566" s="1"/>
      <c r="W1566" s="1"/>
      <c r="X1566" s="1"/>
      <c r="Y1566" s="1"/>
      <c r="Z1566" s="1"/>
      <c r="AA1566" s="1"/>
      <c r="AB1566" s="1"/>
      <c r="AC1566" s="1"/>
      <c r="AD1566" s="1"/>
      <c r="AE1566" s="1"/>
      <c r="AF1566" s="1"/>
      <c r="AG1566" s="1"/>
      <c r="AH1566" s="1"/>
      <c r="AI1566" s="1"/>
      <c r="AJ1566" s="1"/>
      <c r="AK1566" s="338"/>
    </row>
    <row r="1567" spans="20:37">
      <c r="T1567" s="588"/>
      <c r="V1567" s="1"/>
      <c r="W1567" s="1"/>
      <c r="X1567" s="1"/>
      <c r="Y1567" s="1"/>
      <c r="Z1567" s="1"/>
      <c r="AA1567" s="1"/>
      <c r="AB1567" s="1"/>
      <c r="AC1567" s="1"/>
      <c r="AD1567" s="1"/>
      <c r="AE1567" s="1"/>
      <c r="AF1567" s="1"/>
      <c r="AG1567" s="1"/>
      <c r="AH1567" s="1"/>
      <c r="AI1567" s="1"/>
      <c r="AJ1567" s="1"/>
      <c r="AK1567" s="338"/>
    </row>
    <row r="1568" spans="20:37">
      <c r="T1568" s="588"/>
      <c r="V1568" s="1"/>
      <c r="W1568" s="1"/>
      <c r="X1568" s="1"/>
      <c r="Y1568" s="1"/>
      <c r="Z1568" s="1"/>
      <c r="AA1568" s="1"/>
      <c r="AB1568" s="1"/>
      <c r="AC1568" s="1"/>
      <c r="AD1568" s="1"/>
      <c r="AE1568" s="1"/>
      <c r="AF1568" s="1"/>
      <c r="AG1568" s="1"/>
      <c r="AH1568" s="1"/>
      <c r="AI1568" s="1"/>
      <c r="AJ1568" s="1"/>
      <c r="AK1568" s="338"/>
    </row>
    <row r="1569" spans="20:37">
      <c r="T1569" s="588"/>
      <c r="V1569" s="1"/>
      <c r="W1569" s="1"/>
      <c r="X1569" s="1"/>
      <c r="Y1569" s="1"/>
      <c r="Z1569" s="1"/>
      <c r="AA1569" s="1"/>
      <c r="AB1569" s="1"/>
      <c r="AC1569" s="1"/>
      <c r="AD1569" s="1"/>
      <c r="AE1569" s="1"/>
      <c r="AF1569" s="1"/>
      <c r="AG1569" s="1"/>
      <c r="AH1569" s="1"/>
      <c r="AI1569" s="1"/>
      <c r="AJ1569" s="1"/>
      <c r="AK1569" s="338"/>
    </row>
    <row r="1570" spans="20:37">
      <c r="T1570" s="588"/>
    </row>
    <row r="1571" spans="20:37">
      <c r="T1571" s="588"/>
    </row>
    <row r="1572" spans="20:37">
      <c r="T1572" s="588"/>
    </row>
    <row r="1573" spans="20:37">
      <c r="T1573" s="588"/>
    </row>
    <row r="1574" spans="20:37">
      <c r="T1574" s="588"/>
    </row>
    <row r="1575" spans="20:37">
      <c r="T1575" s="588"/>
    </row>
    <row r="1576" spans="20:37">
      <c r="T1576" s="588"/>
    </row>
    <row r="1577" spans="20:37">
      <c r="T1577" s="588"/>
    </row>
    <row r="1578" spans="20:37">
      <c r="T1578" s="588"/>
    </row>
    <row r="1579" spans="20:37">
      <c r="T1579" s="588"/>
    </row>
    <row r="1580" spans="20:37">
      <c r="T1580" s="588"/>
    </row>
    <row r="1581" spans="20:37">
      <c r="T1581" s="588"/>
    </row>
    <row r="1582" spans="20:37">
      <c r="T1582" s="588"/>
    </row>
    <row r="1583" spans="20:37">
      <c r="T1583" s="588"/>
    </row>
    <row r="1584" spans="20:37">
      <c r="T1584" s="588"/>
    </row>
    <row r="1585" spans="20:20">
      <c r="T1585" s="588"/>
    </row>
    <row r="1586" spans="20:20">
      <c r="T1586" s="588"/>
    </row>
    <row r="1587" spans="20:20">
      <c r="T1587" s="588"/>
    </row>
    <row r="1588" spans="20:20">
      <c r="T1588" s="588"/>
    </row>
    <row r="1589" spans="20:20">
      <c r="T1589" s="588"/>
    </row>
    <row r="1590" spans="20:20">
      <c r="T1590" s="588"/>
    </row>
    <row r="1591" spans="20:20">
      <c r="T1591" s="588"/>
    </row>
    <row r="1592" spans="20:20">
      <c r="T1592" s="588"/>
    </row>
    <row r="1593" spans="20:20">
      <c r="T1593" s="588"/>
    </row>
    <row r="1594" spans="20:20">
      <c r="T1594" s="588"/>
    </row>
    <row r="1595" spans="20:20">
      <c r="T1595" s="588"/>
    </row>
    <row r="1596" spans="20:20">
      <c r="T1596" s="588"/>
    </row>
    <row r="1597" spans="20:20">
      <c r="T1597" s="588"/>
    </row>
    <row r="1598" spans="20:20">
      <c r="T1598" s="588"/>
    </row>
    <row r="1599" spans="20:20">
      <c r="T1599" s="588"/>
    </row>
    <row r="1600" spans="20:20">
      <c r="T1600" s="588"/>
    </row>
    <row r="1601" spans="20:20">
      <c r="T1601" s="588"/>
    </row>
    <row r="1602" spans="20:20">
      <c r="T1602" s="588"/>
    </row>
    <row r="1603" spans="20:20">
      <c r="T1603" s="588"/>
    </row>
    <row r="1604" spans="20:20">
      <c r="T1604" s="588"/>
    </row>
    <row r="1605" spans="20:20">
      <c r="T1605" s="588"/>
    </row>
    <row r="1606" spans="20:20">
      <c r="T1606" s="588"/>
    </row>
    <row r="1607" spans="20:20">
      <c r="T1607" s="588"/>
    </row>
    <row r="1608" spans="20:20">
      <c r="T1608" s="588"/>
    </row>
    <row r="1609" spans="20:20">
      <c r="T1609" s="588"/>
    </row>
    <row r="1610" spans="20:20">
      <c r="T1610" s="588"/>
    </row>
    <row r="1611" spans="20:20">
      <c r="T1611" s="588"/>
    </row>
    <row r="1612" spans="20:20">
      <c r="T1612" s="588"/>
    </row>
    <row r="1613" spans="20:20">
      <c r="T1613" s="588"/>
    </row>
    <row r="1614" spans="20:20">
      <c r="T1614" s="588"/>
    </row>
    <row r="1615" spans="20:20">
      <c r="T1615" s="588"/>
    </row>
    <row r="1616" spans="20:20">
      <c r="T1616" s="588"/>
    </row>
    <row r="1617" spans="20:20">
      <c r="T1617" s="588"/>
    </row>
    <row r="1618" spans="20:20">
      <c r="T1618" s="588"/>
    </row>
    <row r="1619" spans="20:20">
      <c r="T1619" s="588"/>
    </row>
    <row r="1620" spans="20:20">
      <c r="T1620" s="588"/>
    </row>
    <row r="1621" spans="20:20">
      <c r="T1621" s="588"/>
    </row>
    <row r="1622" spans="20:20">
      <c r="T1622" s="588"/>
    </row>
    <row r="1623" spans="20:20">
      <c r="T1623" s="588"/>
    </row>
    <row r="1624" spans="20:20">
      <c r="T1624" s="588"/>
    </row>
    <row r="1625" spans="20:20">
      <c r="T1625" s="588"/>
    </row>
    <row r="1626" spans="20:20">
      <c r="T1626" s="588"/>
    </row>
    <row r="1627" spans="20:20">
      <c r="T1627" s="588"/>
    </row>
    <row r="1628" spans="20:20">
      <c r="T1628" s="588"/>
    </row>
    <row r="1629" spans="20:20">
      <c r="T1629" s="588"/>
    </row>
    <row r="1630" spans="20:20">
      <c r="T1630" s="588"/>
    </row>
    <row r="1631" spans="20:20">
      <c r="T1631" s="588"/>
    </row>
    <row r="1632" spans="20:20">
      <c r="T1632" s="588"/>
    </row>
    <row r="1633" spans="20:20">
      <c r="T1633" s="588"/>
    </row>
    <row r="1634" spans="20:20">
      <c r="T1634" s="588"/>
    </row>
    <row r="1635" spans="20:20">
      <c r="T1635" s="588"/>
    </row>
    <row r="1636" spans="20:20">
      <c r="T1636" s="588"/>
    </row>
    <row r="1637" spans="20:20">
      <c r="T1637" s="588"/>
    </row>
    <row r="1638" spans="20:20">
      <c r="T1638" s="588"/>
    </row>
    <row r="1639" spans="20:20">
      <c r="T1639" s="588"/>
    </row>
    <row r="1640" spans="20:20">
      <c r="T1640" s="588"/>
    </row>
    <row r="1641" spans="20:20">
      <c r="T1641" s="588"/>
    </row>
    <row r="1642" spans="20:20">
      <c r="T1642" s="588"/>
    </row>
    <row r="1643" spans="20:20">
      <c r="T1643" s="588"/>
    </row>
    <row r="1644" spans="20:20">
      <c r="T1644" s="588"/>
    </row>
    <row r="1645" spans="20:20">
      <c r="T1645" s="588"/>
    </row>
    <row r="1646" spans="20:20">
      <c r="T1646" s="588"/>
    </row>
    <row r="1647" spans="20:20">
      <c r="T1647" s="588"/>
    </row>
    <row r="1648" spans="20:20">
      <c r="T1648" s="588"/>
    </row>
    <row r="1649" spans="20:20">
      <c r="T1649" s="588"/>
    </row>
    <row r="1650" spans="20:20">
      <c r="T1650" s="588"/>
    </row>
    <row r="1651" spans="20:20">
      <c r="T1651" s="588"/>
    </row>
    <row r="1652" spans="20:20">
      <c r="T1652" s="588"/>
    </row>
    <row r="1653" spans="20:20">
      <c r="T1653" s="588"/>
    </row>
    <row r="1654" spans="20:20">
      <c r="T1654" s="588"/>
    </row>
    <row r="1655" spans="20:20">
      <c r="T1655" s="588"/>
    </row>
    <row r="1656" spans="20:20">
      <c r="T1656" s="588"/>
    </row>
    <row r="1657" spans="20:20">
      <c r="T1657" s="588"/>
    </row>
    <row r="1658" spans="20:20">
      <c r="T1658" s="588"/>
    </row>
    <row r="1659" spans="20:20">
      <c r="T1659" s="588"/>
    </row>
    <row r="1660" spans="20:20">
      <c r="T1660" s="588"/>
    </row>
    <row r="1661" spans="20:20">
      <c r="T1661" s="588"/>
    </row>
    <row r="1662" spans="20:20">
      <c r="T1662" s="588"/>
    </row>
    <row r="1663" spans="20:20">
      <c r="T1663" s="588"/>
    </row>
    <row r="1664" spans="20:20">
      <c r="T1664" s="588"/>
    </row>
    <row r="1665" spans="20:20">
      <c r="T1665" s="588"/>
    </row>
    <row r="1666" spans="20:20">
      <c r="T1666" s="588"/>
    </row>
    <row r="1667" spans="20:20">
      <c r="T1667" s="588"/>
    </row>
    <row r="1668" spans="20:20">
      <c r="T1668" s="588"/>
    </row>
    <row r="1669" spans="20:20">
      <c r="T1669" s="588"/>
    </row>
    <row r="1670" spans="20:20">
      <c r="T1670" s="588"/>
    </row>
    <row r="1671" spans="20:20">
      <c r="T1671" s="588"/>
    </row>
    <row r="1672" spans="20:20">
      <c r="T1672" s="588"/>
    </row>
    <row r="1673" spans="20:20">
      <c r="T1673" s="588"/>
    </row>
    <row r="1674" spans="20:20">
      <c r="T1674" s="588"/>
    </row>
    <row r="1675" spans="20:20">
      <c r="T1675" s="588"/>
    </row>
    <row r="1676" spans="20:20">
      <c r="T1676" s="588"/>
    </row>
    <row r="1677" spans="20:20">
      <c r="T1677" s="588"/>
    </row>
    <row r="1678" spans="20:20">
      <c r="T1678" s="588"/>
    </row>
    <row r="1679" spans="20:20">
      <c r="T1679" s="588"/>
    </row>
    <row r="1680" spans="20:20">
      <c r="T1680" s="588"/>
    </row>
    <row r="1681" spans="20:20">
      <c r="T1681" s="588"/>
    </row>
    <row r="1682" spans="20:20">
      <c r="T1682" s="588"/>
    </row>
    <row r="1683" spans="20:20">
      <c r="T1683" s="588"/>
    </row>
    <row r="1684" spans="20:20">
      <c r="T1684" s="588"/>
    </row>
    <row r="1685" spans="20:20">
      <c r="T1685" s="588"/>
    </row>
    <row r="1686" spans="20:20">
      <c r="T1686" s="588"/>
    </row>
    <row r="1687" spans="20:20">
      <c r="T1687" s="588"/>
    </row>
    <row r="1688" spans="20:20">
      <c r="T1688" s="588"/>
    </row>
    <row r="1689" spans="20:20">
      <c r="T1689" s="588"/>
    </row>
    <row r="1690" spans="20:20">
      <c r="T1690" s="588"/>
    </row>
    <row r="1691" spans="20:20">
      <c r="T1691" s="588"/>
    </row>
    <row r="1692" spans="20:20">
      <c r="T1692" s="588"/>
    </row>
    <row r="1693" spans="20:20">
      <c r="T1693" s="588"/>
    </row>
    <row r="1694" spans="20:20">
      <c r="T1694" s="588"/>
    </row>
    <row r="1695" spans="20:20">
      <c r="T1695" s="588"/>
    </row>
    <row r="1696" spans="20:20">
      <c r="T1696" s="588"/>
    </row>
    <row r="1697" spans="20:20">
      <c r="T1697" s="588"/>
    </row>
    <row r="1698" spans="20:20">
      <c r="T1698" s="588"/>
    </row>
    <row r="1699" spans="20:20">
      <c r="T1699" s="588"/>
    </row>
    <row r="1700" spans="20:20">
      <c r="T1700" s="588"/>
    </row>
    <row r="1701" spans="20:20">
      <c r="T1701" s="588"/>
    </row>
    <row r="1702" spans="20:20">
      <c r="T1702" s="588"/>
    </row>
    <row r="1703" spans="20:20">
      <c r="T1703" s="588"/>
    </row>
    <row r="1704" spans="20:20">
      <c r="T1704" s="588"/>
    </row>
    <row r="1705" spans="20:20">
      <c r="T1705" s="588"/>
    </row>
    <row r="1706" spans="20:20">
      <c r="T1706" s="588"/>
    </row>
    <row r="1707" spans="20:20">
      <c r="T1707" s="588"/>
    </row>
    <row r="1708" spans="20:20">
      <c r="T1708" s="588"/>
    </row>
    <row r="1709" spans="20:20">
      <c r="T1709" s="588"/>
    </row>
    <row r="1710" spans="20:20">
      <c r="T1710" s="588"/>
    </row>
    <row r="1711" spans="20:20">
      <c r="T1711" s="588"/>
    </row>
    <row r="1712" spans="20:20">
      <c r="T1712" s="588"/>
    </row>
    <row r="1713" spans="20:20">
      <c r="T1713" s="588"/>
    </row>
    <row r="1714" spans="20:20">
      <c r="T1714" s="588"/>
    </row>
    <row r="1715" spans="20:20">
      <c r="T1715" s="588"/>
    </row>
    <row r="1716" spans="20:20">
      <c r="T1716" s="588"/>
    </row>
    <row r="1717" spans="20:20">
      <c r="T1717" s="588"/>
    </row>
    <row r="1718" spans="20:20">
      <c r="T1718" s="588"/>
    </row>
    <row r="1719" spans="20:20">
      <c r="T1719" s="588"/>
    </row>
    <row r="1720" spans="20:20">
      <c r="T1720" s="588"/>
    </row>
    <row r="1721" spans="20:20">
      <c r="T1721" s="588"/>
    </row>
    <row r="1722" spans="20:20">
      <c r="T1722" s="588"/>
    </row>
    <row r="1723" spans="20:20">
      <c r="T1723" s="588"/>
    </row>
    <row r="1724" spans="20:20">
      <c r="T1724" s="588"/>
    </row>
    <row r="1725" spans="20:20">
      <c r="T1725" s="588"/>
    </row>
    <row r="1726" spans="20:20">
      <c r="T1726" s="588"/>
    </row>
    <row r="1727" spans="20:20">
      <c r="T1727" s="588"/>
    </row>
    <row r="1728" spans="20:20">
      <c r="T1728" s="588"/>
    </row>
    <row r="1729" spans="20:20">
      <c r="T1729" s="588"/>
    </row>
    <row r="1730" spans="20:20">
      <c r="T1730" s="588"/>
    </row>
    <row r="1731" spans="20:20">
      <c r="T1731" s="588"/>
    </row>
    <row r="1732" spans="20:20">
      <c r="T1732" s="588"/>
    </row>
    <row r="1733" spans="20:20">
      <c r="T1733" s="588"/>
    </row>
    <row r="1734" spans="20:20">
      <c r="T1734" s="588"/>
    </row>
    <row r="1735" spans="20:20">
      <c r="T1735" s="588"/>
    </row>
    <row r="1736" spans="20:20">
      <c r="T1736" s="588"/>
    </row>
    <row r="1737" spans="20:20">
      <c r="T1737" s="588"/>
    </row>
    <row r="1738" spans="20:20">
      <c r="T1738" s="588"/>
    </row>
    <row r="1739" spans="20:20">
      <c r="T1739" s="588"/>
    </row>
    <row r="1740" spans="20:20">
      <c r="T1740" s="588"/>
    </row>
    <row r="1741" spans="20:20">
      <c r="T1741" s="588"/>
    </row>
    <row r="1742" spans="20:20">
      <c r="T1742" s="588"/>
    </row>
    <row r="1743" spans="20:20">
      <c r="T1743" s="588"/>
    </row>
    <row r="1744" spans="20:20">
      <c r="T1744" s="588"/>
    </row>
    <row r="1745" spans="20:20">
      <c r="T1745" s="588"/>
    </row>
    <row r="1746" spans="20:20">
      <c r="T1746" s="588"/>
    </row>
    <row r="1747" spans="20:20">
      <c r="T1747" s="588"/>
    </row>
    <row r="1748" spans="20:20">
      <c r="T1748" s="588"/>
    </row>
    <row r="1749" spans="20:20">
      <c r="T1749" s="588"/>
    </row>
    <row r="1750" spans="20:20">
      <c r="T1750" s="588"/>
    </row>
    <row r="1751" spans="20:20">
      <c r="T1751" s="588"/>
    </row>
    <row r="1752" spans="20:20">
      <c r="T1752" s="588"/>
    </row>
    <row r="1753" spans="20:20">
      <c r="T1753" s="588"/>
    </row>
    <row r="1754" spans="20:20">
      <c r="T1754" s="588"/>
    </row>
    <row r="1755" spans="20:20">
      <c r="T1755" s="588"/>
    </row>
    <row r="1756" spans="20:20">
      <c r="T1756" s="588"/>
    </row>
    <row r="1757" spans="20:20">
      <c r="T1757" s="588"/>
    </row>
    <row r="1758" spans="20:20">
      <c r="T1758" s="588"/>
    </row>
    <row r="1759" spans="20:20">
      <c r="T1759" s="588"/>
    </row>
    <row r="1760" spans="20:20">
      <c r="T1760" s="588"/>
    </row>
    <row r="1761" spans="20:20">
      <c r="T1761" s="588"/>
    </row>
    <row r="1762" spans="20:20">
      <c r="T1762" s="588"/>
    </row>
    <row r="1763" spans="20:20">
      <c r="T1763" s="588"/>
    </row>
    <row r="1764" spans="20:20">
      <c r="T1764" s="588"/>
    </row>
    <row r="1765" spans="20:20">
      <c r="T1765" s="588"/>
    </row>
    <row r="1766" spans="20:20">
      <c r="T1766" s="588"/>
    </row>
    <row r="1767" spans="20:20">
      <c r="T1767" s="588"/>
    </row>
    <row r="1768" spans="20:20">
      <c r="T1768" s="588"/>
    </row>
    <row r="1769" spans="20:20">
      <c r="T1769" s="588"/>
    </row>
    <row r="1770" spans="20:20">
      <c r="T1770" s="588"/>
    </row>
    <row r="1771" spans="20:20">
      <c r="T1771" s="588"/>
    </row>
    <row r="1772" spans="20:20">
      <c r="T1772" s="588"/>
    </row>
    <row r="1773" spans="20:20">
      <c r="T1773" s="588"/>
    </row>
    <row r="1774" spans="20:20">
      <c r="T1774" s="588"/>
    </row>
    <row r="1775" spans="20:20">
      <c r="T1775" s="588"/>
    </row>
    <row r="1776" spans="20:20">
      <c r="T1776" s="588"/>
    </row>
    <row r="1777" spans="20:20">
      <c r="T1777" s="588"/>
    </row>
    <row r="1778" spans="20:20">
      <c r="T1778" s="588"/>
    </row>
    <row r="1779" spans="20:20">
      <c r="T1779" s="588"/>
    </row>
    <row r="1780" spans="20:20">
      <c r="T1780" s="588"/>
    </row>
    <row r="1781" spans="20:20">
      <c r="T1781" s="588"/>
    </row>
    <row r="1782" spans="20:20">
      <c r="T1782" s="588"/>
    </row>
    <row r="1783" spans="20:20">
      <c r="T1783" s="588"/>
    </row>
    <row r="1784" spans="20:20">
      <c r="T1784" s="588"/>
    </row>
    <row r="1785" spans="20:20">
      <c r="T1785" s="588"/>
    </row>
    <row r="1786" spans="20:20">
      <c r="T1786" s="588"/>
    </row>
    <row r="1787" spans="20:20">
      <c r="T1787" s="588"/>
    </row>
    <row r="1788" spans="20:20">
      <c r="T1788" s="588"/>
    </row>
    <row r="1789" spans="20:20">
      <c r="T1789" s="588"/>
    </row>
    <row r="1790" spans="20:20">
      <c r="T1790" s="588"/>
    </row>
    <row r="1791" spans="20:20">
      <c r="T1791" s="588"/>
    </row>
    <row r="1792" spans="20:20">
      <c r="T1792" s="588"/>
    </row>
    <row r="1793" spans="20:20">
      <c r="T1793" s="588"/>
    </row>
    <row r="1794" spans="20:20">
      <c r="T1794" s="588"/>
    </row>
    <row r="1795" spans="20:20">
      <c r="T1795" s="588"/>
    </row>
    <row r="1796" spans="20:20">
      <c r="T1796" s="588"/>
    </row>
    <row r="1797" spans="20:20">
      <c r="T1797" s="588"/>
    </row>
    <row r="1798" spans="20:20">
      <c r="T1798" s="588"/>
    </row>
    <row r="1799" spans="20:20">
      <c r="T1799" s="588"/>
    </row>
    <row r="1800" spans="20:20">
      <c r="T1800" s="588"/>
    </row>
    <row r="1801" spans="20:20">
      <c r="T1801" s="588"/>
    </row>
    <row r="1802" spans="20:20">
      <c r="T1802" s="588"/>
    </row>
    <row r="1803" spans="20:20">
      <c r="T1803" s="588"/>
    </row>
    <row r="1804" spans="20:20">
      <c r="T1804" s="588"/>
    </row>
    <row r="1805" spans="20:20">
      <c r="T1805" s="588"/>
    </row>
    <row r="1806" spans="20:20">
      <c r="T1806" s="588"/>
    </row>
    <row r="1807" spans="20:20">
      <c r="T1807" s="588"/>
    </row>
    <row r="1808" spans="20:20">
      <c r="T1808" s="588"/>
    </row>
    <row r="1809" spans="20:20">
      <c r="T1809" s="588"/>
    </row>
    <row r="1810" spans="20:20">
      <c r="T1810" s="588"/>
    </row>
    <row r="1811" spans="20:20">
      <c r="T1811" s="588"/>
    </row>
    <row r="1812" spans="20:20">
      <c r="T1812" s="588"/>
    </row>
    <row r="1813" spans="20:20">
      <c r="T1813" s="588"/>
    </row>
    <row r="1814" spans="20:20">
      <c r="T1814" s="588"/>
    </row>
    <row r="1815" spans="20:20">
      <c r="T1815" s="588"/>
    </row>
    <row r="1816" spans="20:20">
      <c r="T1816" s="588"/>
    </row>
    <row r="1817" spans="20:20">
      <c r="T1817" s="588"/>
    </row>
    <row r="1818" spans="20:20">
      <c r="T1818" s="588"/>
    </row>
    <row r="1819" spans="20:20">
      <c r="T1819" s="588"/>
    </row>
    <row r="1820" spans="20:20">
      <c r="T1820" s="588"/>
    </row>
    <row r="1821" spans="20:20">
      <c r="T1821" s="588"/>
    </row>
    <row r="1822" spans="20:20">
      <c r="T1822" s="588"/>
    </row>
    <row r="1823" spans="20:20">
      <c r="T1823" s="588"/>
    </row>
    <row r="1824" spans="20:20">
      <c r="T1824" s="588"/>
    </row>
    <row r="1825" spans="20:20">
      <c r="T1825" s="588"/>
    </row>
    <row r="1826" spans="20:20">
      <c r="T1826" s="588"/>
    </row>
    <row r="1827" spans="20:20">
      <c r="T1827" s="588"/>
    </row>
    <row r="1828" spans="20:20">
      <c r="T1828" s="588"/>
    </row>
    <row r="1829" spans="20:20">
      <c r="T1829" s="588"/>
    </row>
    <row r="1830" spans="20:20">
      <c r="T1830" s="588"/>
    </row>
    <row r="1831" spans="20:20">
      <c r="T1831" s="588"/>
    </row>
    <row r="1832" spans="20:20">
      <c r="T1832" s="588"/>
    </row>
    <row r="1833" spans="20:20">
      <c r="T1833" s="588"/>
    </row>
    <row r="1834" spans="20:20">
      <c r="T1834" s="588"/>
    </row>
    <row r="1835" spans="20:20">
      <c r="T1835" s="588"/>
    </row>
    <row r="1836" spans="20:20">
      <c r="T1836" s="588"/>
    </row>
    <row r="1837" spans="20:20">
      <c r="T1837" s="588"/>
    </row>
    <row r="1838" spans="20:20">
      <c r="T1838" s="588"/>
    </row>
    <row r="1839" spans="20:20">
      <c r="T1839" s="588"/>
    </row>
    <row r="1840" spans="20:20">
      <c r="T1840" s="588"/>
    </row>
    <row r="1841" spans="20:20">
      <c r="T1841" s="588"/>
    </row>
    <row r="1842" spans="20:20">
      <c r="T1842" s="588"/>
    </row>
    <row r="1843" spans="20:20">
      <c r="T1843" s="588"/>
    </row>
    <row r="1844" spans="20:20">
      <c r="T1844" s="588"/>
    </row>
    <row r="1845" spans="20:20">
      <c r="T1845" s="588"/>
    </row>
    <row r="1846" spans="20:20">
      <c r="T1846" s="588"/>
    </row>
    <row r="1847" spans="20:20">
      <c r="T1847" s="588"/>
    </row>
    <row r="1848" spans="20:20">
      <c r="T1848" s="588"/>
    </row>
    <row r="1849" spans="20:20">
      <c r="T1849" s="588"/>
    </row>
    <row r="1850" spans="20:20">
      <c r="T1850" s="588"/>
    </row>
    <row r="1851" spans="20:20">
      <c r="T1851" s="588"/>
    </row>
    <row r="1852" spans="20:20">
      <c r="T1852" s="588"/>
    </row>
    <row r="1853" spans="20:20">
      <c r="T1853" s="588"/>
    </row>
    <row r="1854" spans="20:20">
      <c r="T1854" s="588"/>
    </row>
    <row r="1855" spans="20:20">
      <c r="T1855" s="588"/>
    </row>
    <row r="1856" spans="20:20">
      <c r="T1856" s="588"/>
    </row>
    <row r="1857" spans="20:20">
      <c r="T1857" s="588"/>
    </row>
    <row r="1858" spans="20:20">
      <c r="T1858" s="588"/>
    </row>
    <row r="1859" spans="20:20">
      <c r="T1859" s="588"/>
    </row>
    <row r="1860" spans="20:20">
      <c r="T1860" s="588"/>
    </row>
    <row r="1861" spans="20:20">
      <c r="T1861" s="588"/>
    </row>
    <row r="1862" spans="20:20">
      <c r="T1862" s="588"/>
    </row>
    <row r="1863" spans="20:20">
      <c r="T1863" s="588"/>
    </row>
    <row r="1864" spans="20:20">
      <c r="T1864" s="588"/>
    </row>
    <row r="1865" spans="20:20">
      <c r="T1865" s="588"/>
    </row>
    <row r="1866" spans="20:20">
      <c r="T1866" s="588"/>
    </row>
    <row r="1867" spans="20:20">
      <c r="T1867" s="588"/>
    </row>
    <row r="1868" spans="20:20">
      <c r="T1868" s="588"/>
    </row>
    <row r="1869" spans="20:20">
      <c r="T1869" s="588"/>
    </row>
    <row r="1870" spans="20:20">
      <c r="T1870" s="588"/>
    </row>
    <row r="1871" spans="20:20">
      <c r="T1871" s="588"/>
    </row>
    <row r="1872" spans="20:20">
      <c r="T1872" s="588"/>
    </row>
    <row r="1873" spans="20:20">
      <c r="T1873" s="588"/>
    </row>
    <row r="1874" spans="20:20">
      <c r="T1874" s="588"/>
    </row>
    <row r="1875" spans="20:20">
      <c r="T1875" s="588"/>
    </row>
    <row r="1876" spans="20:20">
      <c r="T1876" s="588"/>
    </row>
    <row r="1877" spans="20:20">
      <c r="T1877" s="588"/>
    </row>
    <row r="1878" spans="20:20">
      <c r="T1878" s="588"/>
    </row>
    <row r="1879" spans="20:20">
      <c r="T1879" s="588"/>
    </row>
    <row r="1880" spans="20:20">
      <c r="T1880" s="588"/>
    </row>
    <row r="1881" spans="20:20">
      <c r="T1881" s="588"/>
    </row>
    <row r="1882" spans="20:20">
      <c r="T1882" s="588"/>
    </row>
    <row r="1883" spans="20:20">
      <c r="T1883" s="588"/>
    </row>
    <row r="1884" spans="20:20">
      <c r="T1884" s="588"/>
    </row>
    <row r="1885" spans="20:20">
      <c r="T1885" s="588"/>
    </row>
    <row r="1886" spans="20:20">
      <c r="T1886" s="588"/>
    </row>
    <row r="1887" spans="20:20">
      <c r="T1887" s="588"/>
    </row>
    <row r="1888" spans="20:20">
      <c r="T1888" s="588"/>
    </row>
    <row r="1889" spans="20:20">
      <c r="T1889" s="588"/>
    </row>
    <row r="1890" spans="20:20">
      <c r="T1890" s="588"/>
    </row>
    <row r="1891" spans="20:20">
      <c r="T1891" s="588"/>
    </row>
    <row r="1892" spans="20:20">
      <c r="T1892" s="588"/>
    </row>
    <row r="1893" spans="20:20">
      <c r="T1893" s="588"/>
    </row>
    <row r="1894" spans="20:20">
      <c r="T1894" s="588"/>
    </row>
    <row r="1895" spans="20:20">
      <c r="T1895" s="588"/>
    </row>
    <row r="1896" spans="20:20">
      <c r="T1896" s="588"/>
    </row>
    <row r="1897" spans="20:20">
      <c r="T1897" s="588"/>
    </row>
    <row r="1898" spans="20:20">
      <c r="T1898" s="588"/>
    </row>
    <row r="1899" spans="20:20">
      <c r="T1899" s="588"/>
    </row>
    <row r="1900" spans="20:20">
      <c r="T1900" s="588"/>
    </row>
    <row r="1901" spans="20:20">
      <c r="T1901" s="588"/>
    </row>
    <row r="1902" spans="20:20">
      <c r="T1902" s="588"/>
    </row>
    <row r="1903" spans="20:20">
      <c r="T1903" s="588"/>
    </row>
    <row r="1904" spans="20:20">
      <c r="T1904" s="588"/>
    </row>
    <row r="1905" spans="20:20">
      <c r="T1905" s="588"/>
    </row>
    <row r="1906" spans="20:20">
      <c r="T1906" s="588"/>
    </row>
    <row r="1907" spans="20:20">
      <c r="T1907" s="588"/>
    </row>
    <row r="1908" spans="20:20">
      <c r="T1908" s="588"/>
    </row>
    <row r="1909" spans="20:20">
      <c r="T1909" s="588"/>
    </row>
    <row r="1910" spans="20:20">
      <c r="T1910" s="588"/>
    </row>
    <row r="1911" spans="20:20">
      <c r="T1911" s="588"/>
    </row>
    <row r="1912" spans="20:20">
      <c r="T1912" s="588"/>
    </row>
    <row r="1913" spans="20:20">
      <c r="T1913" s="588"/>
    </row>
    <row r="1914" spans="20:20">
      <c r="T1914" s="588"/>
    </row>
    <row r="1915" spans="20:20">
      <c r="T1915" s="588"/>
    </row>
    <row r="1916" spans="20:20">
      <c r="T1916" s="588"/>
    </row>
    <row r="1917" spans="20:20">
      <c r="T1917" s="588"/>
    </row>
    <row r="1918" spans="20:20">
      <c r="T1918" s="588"/>
    </row>
    <row r="1919" spans="20:20">
      <c r="T1919" s="588"/>
    </row>
    <row r="1920" spans="20:20">
      <c r="T1920" s="588"/>
    </row>
    <row r="1921" spans="20:20">
      <c r="T1921" s="588"/>
    </row>
    <row r="1922" spans="20:20">
      <c r="T1922" s="588"/>
    </row>
    <row r="1923" spans="20:20">
      <c r="T1923" s="588"/>
    </row>
    <row r="1924" spans="20:20">
      <c r="T1924" s="588"/>
    </row>
    <row r="1925" spans="20:20">
      <c r="T1925" s="588"/>
    </row>
    <row r="1926" spans="20:20">
      <c r="T1926" s="588"/>
    </row>
    <row r="1927" spans="20:20">
      <c r="T1927" s="588"/>
    </row>
    <row r="1928" spans="20:20">
      <c r="T1928" s="588"/>
    </row>
    <row r="1929" spans="20:20">
      <c r="T1929" s="588"/>
    </row>
    <row r="1930" spans="20:20">
      <c r="T1930" s="588"/>
    </row>
    <row r="1931" spans="20:20">
      <c r="T1931" s="588"/>
    </row>
    <row r="1932" spans="20:20">
      <c r="T1932" s="588"/>
    </row>
    <row r="1933" spans="20:20">
      <c r="T1933" s="588"/>
    </row>
    <row r="1934" spans="20:20">
      <c r="T1934" s="588"/>
    </row>
    <row r="1935" spans="20:20">
      <c r="T1935" s="588"/>
    </row>
    <row r="1936" spans="20:20">
      <c r="T1936" s="588"/>
    </row>
    <row r="1937" spans="20:20">
      <c r="T1937" s="588"/>
    </row>
    <row r="1938" spans="20:20">
      <c r="T1938" s="588"/>
    </row>
    <row r="1939" spans="20:20">
      <c r="T1939" s="588"/>
    </row>
    <row r="1940" spans="20:20">
      <c r="T1940" s="588"/>
    </row>
    <row r="1941" spans="20:20">
      <c r="T1941" s="588"/>
    </row>
    <row r="1942" spans="20:20">
      <c r="T1942" s="588"/>
    </row>
    <row r="1943" spans="20:20">
      <c r="T1943" s="588"/>
    </row>
    <row r="1944" spans="20:20">
      <c r="T1944" s="588"/>
    </row>
    <row r="1945" spans="20:20">
      <c r="T1945" s="588"/>
    </row>
    <row r="1946" spans="20:20">
      <c r="T1946" s="588"/>
    </row>
    <row r="1947" spans="20:20">
      <c r="T1947" s="588"/>
    </row>
    <row r="1948" spans="20:20">
      <c r="T1948" s="588"/>
    </row>
    <row r="1949" spans="20:20">
      <c r="T1949" s="588"/>
    </row>
    <row r="1950" spans="20:20">
      <c r="T1950" s="588"/>
    </row>
    <row r="1951" spans="20:20">
      <c r="T1951" s="588"/>
    </row>
    <row r="1952" spans="20:20">
      <c r="T1952" s="588"/>
    </row>
    <row r="1953" spans="20:20">
      <c r="T1953" s="588"/>
    </row>
    <row r="1954" spans="20:20">
      <c r="T1954" s="588"/>
    </row>
    <row r="1955" spans="20:20">
      <c r="T1955" s="588"/>
    </row>
    <row r="1956" spans="20:20">
      <c r="T1956" s="588"/>
    </row>
    <row r="1957" spans="20:20">
      <c r="T1957" s="588"/>
    </row>
    <row r="1958" spans="20:20">
      <c r="T1958" s="588"/>
    </row>
    <row r="1959" spans="20:20">
      <c r="T1959" s="588"/>
    </row>
    <row r="1960" spans="20:20">
      <c r="T1960" s="588"/>
    </row>
    <row r="1961" spans="20:20">
      <c r="T1961" s="588"/>
    </row>
    <row r="1962" spans="20:20">
      <c r="T1962" s="588"/>
    </row>
    <row r="1963" spans="20:20">
      <c r="T1963" s="588"/>
    </row>
    <row r="1964" spans="20:20">
      <c r="T1964" s="588"/>
    </row>
    <row r="1965" spans="20:20">
      <c r="T1965" s="588"/>
    </row>
    <row r="1966" spans="20:20">
      <c r="T1966" s="588"/>
    </row>
    <row r="1967" spans="20:20">
      <c r="T1967" s="588"/>
    </row>
    <row r="1968" spans="20:20">
      <c r="T1968" s="588"/>
    </row>
    <row r="1969" spans="20:20">
      <c r="T1969" s="588"/>
    </row>
    <row r="1970" spans="20:20">
      <c r="T1970" s="588"/>
    </row>
    <row r="1971" spans="20:20">
      <c r="T1971" s="588"/>
    </row>
    <row r="1972" spans="20:20">
      <c r="T1972" s="588"/>
    </row>
    <row r="1973" spans="20:20">
      <c r="T1973" s="588"/>
    </row>
    <row r="1974" spans="20:20">
      <c r="T1974" s="588"/>
    </row>
    <row r="1975" spans="20:20">
      <c r="T1975" s="588"/>
    </row>
    <row r="1976" spans="20:20">
      <c r="T1976" s="588"/>
    </row>
    <row r="1977" spans="20:20">
      <c r="T1977" s="588"/>
    </row>
    <row r="1978" spans="20:20">
      <c r="T1978" s="588"/>
    </row>
    <row r="1979" spans="20:20">
      <c r="T1979" s="588"/>
    </row>
    <row r="1980" spans="20:20">
      <c r="T1980" s="588"/>
    </row>
    <row r="1981" spans="20:20">
      <c r="T1981" s="588"/>
    </row>
    <row r="1982" spans="20:20">
      <c r="T1982" s="588"/>
    </row>
    <row r="1983" spans="20:20">
      <c r="T1983" s="588"/>
    </row>
    <row r="1984" spans="20:20">
      <c r="T1984" s="588"/>
    </row>
    <row r="1985" spans="20:20">
      <c r="T1985" s="588"/>
    </row>
    <row r="1986" spans="20:20">
      <c r="T1986" s="588"/>
    </row>
    <row r="1987" spans="20:20">
      <c r="T1987" s="588"/>
    </row>
    <row r="1988" spans="20:20">
      <c r="T1988" s="588"/>
    </row>
    <row r="1989" spans="20:20">
      <c r="T1989" s="588"/>
    </row>
    <row r="1990" spans="20:20">
      <c r="T1990" s="588"/>
    </row>
    <row r="1991" spans="20:20">
      <c r="T1991" s="588"/>
    </row>
    <row r="1992" spans="20:20">
      <c r="T1992" s="588"/>
    </row>
    <row r="1993" spans="20:20">
      <c r="T1993" s="588"/>
    </row>
    <row r="1994" spans="20:20">
      <c r="T1994" s="588"/>
    </row>
    <row r="1995" spans="20:20">
      <c r="T1995" s="588"/>
    </row>
    <row r="1996" spans="20:20">
      <c r="T1996" s="588"/>
    </row>
    <row r="1997" spans="20:20">
      <c r="T1997" s="588"/>
    </row>
    <row r="1998" spans="20:20">
      <c r="T1998" s="588"/>
    </row>
    <row r="1999" spans="20:20">
      <c r="T1999" s="588"/>
    </row>
    <row r="2000" spans="20:20">
      <c r="T2000" s="588"/>
    </row>
    <row r="2001" spans="20:20">
      <c r="T2001" s="588"/>
    </row>
    <row r="2002" spans="20:20">
      <c r="T2002" s="588"/>
    </row>
    <row r="2003" spans="20:20">
      <c r="T2003" s="588"/>
    </row>
    <row r="2004" spans="20:20">
      <c r="T2004" s="588"/>
    </row>
    <row r="2005" spans="20:20">
      <c r="T2005" s="588"/>
    </row>
    <row r="2006" spans="20:20">
      <c r="T2006" s="588"/>
    </row>
    <row r="2007" spans="20:20">
      <c r="T2007" s="588"/>
    </row>
    <row r="2008" spans="20:20">
      <c r="T2008" s="588"/>
    </row>
    <row r="2009" spans="20:20">
      <c r="T2009" s="588"/>
    </row>
    <row r="2010" spans="20:20">
      <c r="T2010" s="588"/>
    </row>
    <row r="2011" spans="20:20">
      <c r="T2011" s="588"/>
    </row>
    <row r="2012" spans="20:20">
      <c r="T2012" s="588"/>
    </row>
    <row r="2013" spans="20:20">
      <c r="T2013" s="588"/>
    </row>
    <row r="2014" spans="20:20">
      <c r="T2014" s="588"/>
    </row>
    <row r="2015" spans="20:20">
      <c r="T2015" s="588"/>
    </row>
    <row r="2016" spans="20:20">
      <c r="T2016" s="588"/>
    </row>
    <row r="2017" spans="20:20">
      <c r="T2017" s="588"/>
    </row>
    <row r="2018" spans="20:20">
      <c r="T2018" s="588"/>
    </row>
    <row r="2019" spans="20:20">
      <c r="T2019" s="588"/>
    </row>
    <row r="2020" spans="20:20">
      <c r="T2020" s="588"/>
    </row>
    <row r="2021" spans="20:20">
      <c r="T2021" s="588"/>
    </row>
    <row r="2022" spans="20:20">
      <c r="T2022" s="588"/>
    </row>
    <row r="2023" spans="20:20">
      <c r="T2023" s="588"/>
    </row>
    <row r="2024" spans="20:20">
      <c r="T2024" s="588"/>
    </row>
    <row r="2025" spans="20:20">
      <c r="T2025" s="588"/>
    </row>
    <row r="2026" spans="20:20">
      <c r="T2026" s="588"/>
    </row>
    <row r="2027" spans="20:20">
      <c r="T2027" s="588"/>
    </row>
    <row r="2028" spans="20:20">
      <c r="T2028" s="588"/>
    </row>
    <row r="2029" spans="20:20">
      <c r="T2029" s="588"/>
    </row>
    <row r="2030" spans="20:20">
      <c r="T2030" s="588"/>
    </row>
    <row r="2031" spans="20:20">
      <c r="T2031" s="588"/>
    </row>
    <row r="2032" spans="20:20">
      <c r="T2032" s="588"/>
    </row>
    <row r="2033" spans="20:20">
      <c r="T2033" s="588"/>
    </row>
    <row r="2034" spans="20:20">
      <c r="T2034" s="588"/>
    </row>
    <row r="2035" spans="20:20">
      <c r="T2035" s="588"/>
    </row>
    <row r="2036" spans="20:20">
      <c r="T2036" s="588"/>
    </row>
    <row r="2037" spans="20:20">
      <c r="T2037" s="588"/>
    </row>
    <row r="2038" spans="20:20">
      <c r="T2038" s="588"/>
    </row>
    <row r="2039" spans="20:20">
      <c r="T2039" s="588"/>
    </row>
    <row r="2040" spans="20:20">
      <c r="T2040" s="588"/>
    </row>
    <row r="2041" spans="20:20">
      <c r="T2041" s="588"/>
    </row>
    <row r="2042" spans="20:20">
      <c r="T2042" s="588"/>
    </row>
    <row r="2043" spans="20:20">
      <c r="T2043" s="588"/>
    </row>
    <row r="2044" spans="20:20">
      <c r="T2044" s="588"/>
    </row>
    <row r="2045" spans="20:20">
      <c r="T2045" s="588"/>
    </row>
    <row r="2046" spans="20:20">
      <c r="T2046" s="588"/>
    </row>
    <row r="2047" spans="20:20">
      <c r="T2047" s="588"/>
    </row>
    <row r="2048" spans="20:20">
      <c r="T2048" s="588"/>
    </row>
    <row r="2049" spans="20:20">
      <c r="T2049" s="588"/>
    </row>
    <row r="2050" spans="20:20">
      <c r="T2050" s="588"/>
    </row>
    <row r="2051" spans="20:20">
      <c r="T2051" s="588"/>
    </row>
    <row r="2052" spans="20:20">
      <c r="T2052" s="588"/>
    </row>
    <row r="2053" spans="20:20">
      <c r="T2053" s="588"/>
    </row>
    <row r="2054" spans="20:20">
      <c r="T2054" s="588"/>
    </row>
    <row r="2055" spans="20:20">
      <c r="T2055" s="588"/>
    </row>
    <row r="2056" spans="20:20">
      <c r="T2056" s="588"/>
    </row>
    <row r="2057" spans="20:20">
      <c r="T2057" s="588"/>
    </row>
    <row r="2058" spans="20:20">
      <c r="T2058" s="588"/>
    </row>
    <row r="2059" spans="20:20">
      <c r="T2059" s="588"/>
    </row>
    <row r="2060" spans="20:20">
      <c r="T2060" s="588"/>
    </row>
    <row r="2061" spans="20:20">
      <c r="T2061" s="588"/>
    </row>
    <row r="2062" spans="20:20">
      <c r="T2062" s="588"/>
    </row>
    <row r="2063" spans="20:20">
      <c r="T2063" s="588"/>
    </row>
    <row r="2064" spans="20:20">
      <c r="T2064" s="588"/>
    </row>
    <row r="2065" spans="20:20">
      <c r="T2065" s="588"/>
    </row>
    <row r="2066" spans="20:20">
      <c r="T2066" s="588"/>
    </row>
    <row r="2067" spans="20:20">
      <c r="T2067" s="588"/>
    </row>
    <row r="2068" spans="20:20">
      <c r="T2068" s="588"/>
    </row>
    <row r="2069" spans="20:20">
      <c r="T2069" s="588"/>
    </row>
    <row r="2070" spans="20:20">
      <c r="T2070" s="588"/>
    </row>
    <row r="2071" spans="20:20">
      <c r="T2071" s="588"/>
    </row>
    <row r="2072" spans="20:20">
      <c r="T2072" s="588"/>
    </row>
    <row r="2073" spans="20:20">
      <c r="T2073" s="588"/>
    </row>
    <row r="2074" spans="20:20">
      <c r="T2074" s="588"/>
    </row>
    <row r="2075" spans="20:20">
      <c r="T2075" s="588"/>
    </row>
    <row r="2076" spans="20:20">
      <c r="T2076" s="588"/>
    </row>
    <row r="2077" spans="20:20">
      <c r="T2077" s="588"/>
    </row>
    <row r="2078" spans="20:20">
      <c r="T2078" s="588"/>
    </row>
    <row r="2079" spans="20:20">
      <c r="T2079" s="588"/>
    </row>
    <row r="2080" spans="20:20">
      <c r="T2080" s="588"/>
    </row>
    <row r="2081" spans="20:20">
      <c r="T2081" s="588"/>
    </row>
    <row r="2082" spans="20:20">
      <c r="T2082" s="588"/>
    </row>
    <row r="2083" spans="20:20">
      <c r="T2083" s="588"/>
    </row>
    <row r="2084" spans="20:20">
      <c r="T2084" s="588"/>
    </row>
    <row r="2085" spans="20:20">
      <c r="T2085" s="588"/>
    </row>
    <row r="2086" spans="20:20">
      <c r="T2086" s="588"/>
    </row>
    <row r="2087" spans="20:20">
      <c r="T2087" s="588"/>
    </row>
    <row r="2088" spans="20:20">
      <c r="T2088" s="588"/>
    </row>
    <row r="2089" spans="20:20">
      <c r="T2089" s="588"/>
    </row>
    <row r="2090" spans="20:20">
      <c r="T2090" s="588"/>
    </row>
    <row r="2091" spans="20:20">
      <c r="T2091" s="588"/>
    </row>
    <row r="2092" spans="20:20">
      <c r="T2092" s="588"/>
    </row>
    <row r="2093" spans="20:20">
      <c r="T2093" s="588"/>
    </row>
    <row r="2094" spans="20:20">
      <c r="T2094" s="588"/>
    </row>
    <row r="2095" spans="20:20">
      <c r="T2095" s="588"/>
    </row>
    <row r="2096" spans="20:20">
      <c r="T2096" s="588"/>
    </row>
    <row r="2097" spans="20:20">
      <c r="T2097" s="588"/>
    </row>
    <row r="2098" spans="20:20">
      <c r="T2098" s="588"/>
    </row>
    <row r="2099" spans="20:20">
      <c r="T2099" s="588"/>
    </row>
    <row r="2100" spans="20:20">
      <c r="T2100" s="588"/>
    </row>
    <row r="2101" spans="20:20">
      <c r="T2101" s="588"/>
    </row>
    <row r="2102" spans="20:20">
      <c r="T2102" s="588"/>
    </row>
    <row r="2103" spans="20:20">
      <c r="T2103" s="588"/>
    </row>
    <row r="2104" spans="20:20">
      <c r="T2104" s="588"/>
    </row>
    <row r="2105" spans="20:20">
      <c r="T2105" s="588"/>
    </row>
    <row r="2106" spans="20:20">
      <c r="T2106" s="588"/>
    </row>
    <row r="2107" spans="20:20">
      <c r="T2107" s="588"/>
    </row>
    <row r="2108" spans="20:20">
      <c r="T2108" s="588"/>
    </row>
    <row r="2109" spans="20:20">
      <c r="T2109" s="588"/>
    </row>
    <row r="2110" spans="20:20">
      <c r="T2110" s="588"/>
    </row>
    <row r="2111" spans="20:20">
      <c r="T2111" s="588"/>
    </row>
    <row r="2112" spans="20:20">
      <c r="T2112" s="588"/>
    </row>
    <row r="2113" spans="20:20">
      <c r="T2113" s="588"/>
    </row>
    <row r="2114" spans="20:20">
      <c r="T2114" s="588"/>
    </row>
    <row r="2115" spans="20:20">
      <c r="T2115" s="588"/>
    </row>
    <row r="2116" spans="20:20">
      <c r="T2116" s="588"/>
    </row>
    <row r="2117" spans="20:20">
      <c r="T2117" s="588"/>
    </row>
    <row r="2118" spans="20:20">
      <c r="T2118" s="588"/>
    </row>
    <row r="2119" spans="20:20">
      <c r="T2119" s="588"/>
    </row>
    <row r="2120" spans="20:20">
      <c r="T2120" s="588"/>
    </row>
    <row r="2121" spans="20:20">
      <c r="T2121" s="588"/>
    </row>
    <row r="2122" spans="20:20">
      <c r="T2122" s="588"/>
    </row>
    <row r="2123" spans="20:20">
      <c r="T2123" s="588"/>
    </row>
    <row r="2124" spans="20:20">
      <c r="T2124" s="588"/>
    </row>
    <row r="2125" spans="20:20">
      <c r="T2125" s="588"/>
    </row>
    <row r="2126" spans="20:20">
      <c r="T2126" s="588"/>
    </row>
    <row r="2127" spans="20:20">
      <c r="T2127" s="588"/>
    </row>
    <row r="2128" spans="20:20">
      <c r="T2128" s="588"/>
    </row>
    <row r="2129" spans="20:20">
      <c r="T2129" s="588"/>
    </row>
    <row r="2130" spans="20:20">
      <c r="T2130" s="588"/>
    </row>
    <row r="2131" spans="20:20">
      <c r="T2131" s="588"/>
    </row>
    <row r="2132" spans="20:20">
      <c r="T2132" s="588"/>
    </row>
    <row r="2133" spans="20:20">
      <c r="T2133" s="588"/>
    </row>
    <row r="2134" spans="20:20">
      <c r="T2134" s="588"/>
    </row>
    <row r="2135" spans="20:20">
      <c r="T2135" s="588"/>
    </row>
    <row r="2136" spans="20:20">
      <c r="T2136" s="588"/>
    </row>
    <row r="2137" spans="20:20">
      <c r="T2137" s="588"/>
    </row>
    <row r="2138" spans="20:20">
      <c r="T2138" s="588"/>
    </row>
    <row r="2139" spans="20:20">
      <c r="T2139" s="588"/>
    </row>
    <row r="2140" spans="20:20">
      <c r="T2140" s="588"/>
    </row>
    <row r="2141" spans="20:20">
      <c r="T2141" s="588"/>
    </row>
    <row r="2142" spans="20:20">
      <c r="T2142" s="588"/>
    </row>
    <row r="2143" spans="20:20">
      <c r="T2143" s="588"/>
    </row>
    <row r="2144" spans="20:20">
      <c r="T2144" s="588"/>
    </row>
    <row r="2145" spans="20:20">
      <c r="T2145" s="588"/>
    </row>
    <row r="2146" spans="20:20">
      <c r="T2146" s="588"/>
    </row>
    <row r="2147" spans="20:20">
      <c r="T2147" s="588"/>
    </row>
    <row r="2148" spans="20:20">
      <c r="T2148" s="588"/>
    </row>
    <row r="2149" spans="20:20">
      <c r="T2149" s="588"/>
    </row>
    <row r="2150" spans="20:20">
      <c r="T2150" s="588"/>
    </row>
    <row r="2151" spans="20:20">
      <c r="T2151" s="588"/>
    </row>
    <row r="2152" spans="20:20">
      <c r="T2152" s="588"/>
    </row>
    <row r="2153" spans="20:20">
      <c r="T2153" s="588"/>
    </row>
    <row r="2154" spans="20:20">
      <c r="T2154" s="588"/>
    </row>
    <row r="2155" spans="20:20">
      <c r="T2155" s="588"/>
    </row>
    <row r="2156" spans="20:20">
      <c r="T2156" s="588"/>
    </row>
    <row r="2157" spans="20:20">
      <c r="T2157" s="588"/>
    </row>
    <row r="2158" spans="20:20">
      <c r="T2158" s="588"/>
    </row>
    <row r="2159" spans="20:20">
      <c r="T2159" s="588"/>
    </row>
    <row r="2160" spans="20:20">
      <c r="T2160" s="588"/>
    </row>
    <row r="2161" spans="20:20">
      <c r="T2161" s="588"/>
    </row>
    <row r="2162" spans="20:20">
      <c r="T2162" s="588"/>
    </row>
    <row r="2163" spans="20:20">
      <c r="T2163" s="588"/>
    </row>
    <row r="2164" spans="20:20">
      <c r="T2164" s="588"/>
    </row>
    <row r="2165" spans="20:20">
      <c r="T2165" s="588"/>
    </row>
    <row r="2166" spans="20:20">
      <c r="T2166" s="588"/>
    </row>
    <row r="2167" spans="20:20">
      <c r="T2167" s="588"/>
    </row>
    <row r="2168" spans="20:20">
      <c r="T2168" s="588"/>
    </row>
    <row r="2169" spans="20:20">
      <c r="T2169" s="588"/>
    </row>
    <row r="2170" spans="20:20">
      <c r="T2170" s="588"/>
    </row>
    <row r="2171" spans="20:20">
      <c r="T2171" s="588"/>
    </row>
    <row r="2172" spans="20:20">
      <c r="T2172" s="588"/>
    </row>
    <row r="2173" spans="20:20">
      <c r="T2173" s="588"/>
    </row>
    <row r="2174" spans="20:20">
      <c r="T2174" s="588"/>
    </row>
    <row r="2175" spans="20:20">
      <c r="T2175" s="588"/>
    </row>
    <row r="2176" spans="20:20">
      <c r="T2176" s="588"/>
    </row>
    <row r="2177" spans="20:20">
      <c r="T2177" s="588"/>
    </row>
    <row r="2178" spans="20:20">
      <c r="T2178" s="588"/>
    </row>
    <row r="2179" spans="20:20">
      <c r="T2179" s="588"/>
    </row>
    <row r="2180" spans="20:20">
      <c r="T2180" s="588"/>
    </row>
    <row r="2181" spans="20:20">
      <c r="T2181" s="588"/>
    </row>
    <row r="2182" spans="20:20">
      <c r="T2182" s="588"/>
    </row>
    <row r="2183" spans="20:20">
      <c r="T2183" s="588"/>
    </row>
    <row r="2184" spans="20:20">
      <c r="T2184" s="588"/>
    </row>
    <row r="2185" spans="20:20">
      <c r="T2185" s="588"/>
    </row>
    <row r="2186" spans="20:20">
      <c r="T2186" s="588"/>
    </row>
    <row r="2187" spans="20:20">
      <c r="T2187" s="588"/>
    </row>
    <row r="2188" spans="20:20">
      <c r="T2188" s="588"/>
    </row>
    <row r="2189" spans="20:20">
      <c r="T2189" s="588"/>
    </row>
    <row r="2190" spans="20:20">
      <c r="T2190" s="588"/>
    </row>
    <row r="2191" spans="20:20">
      <c r="T2191" s="588"/>
    </row>
    <row r="2192" spans="20:20">
      <c r="T2192" s="588"/>
    </row>
    <row r="2193" spans="20:20">
      <c r="T2193" s="588"/>
    </row>
    <row r="2194" spans="20:20">
      <c r="T2194" s="588"/>
    </row>
    <row r="2195" spans="20:20">
      <c r="T2195" s="588"/>
    </row>
    <row r="2196" spans="20:20">
      <c r="T2196" s="588"/>
    </row>
    <row r="2197" spans="20:20">
      <c r="T2197" s="588"/>
    </row>
    <row r="2198" spans="20:20">
      <c r="T2198" s="588"/>
    </row>
    <row r="2199" spans="20:20">
      <c r="T2199" s="588"/>
    </row>
    <row r="2200" spans="20:20">
      <c r="T2200" s="588"/>
    </row>
    <row r="2201" spans="20:20">
      <c r="T2201" s="588"/>
    </row>
    <row r="2202" spans="20:20">
      <c r="T2202" s="588"/>
    </row>
    <row r="2203" spans="20:20">
      <c r="T2203" s="588"/>
    </row>
    <row r="2204" spans="20:20">
      <c r="T2204" s="588"/>
    </row>
    <row r="2205" spans="20:20">
      <c r="T2205" s="588"/>
    </row>
    <row r="2206" spans="20:20">
      <c r="T2206" s="588"/>
    </row>
    <row r="2207" spans="20:20">
      <c r="T2207" s="588"/>
    </row>
    <row r="2208" spans="20:20">
      <c r="T2208" s="588"/>
    </row>
    <row r="2209" spans="20:20">
      <c r="T2209" s="588"/>
    </row>
    <row r="2210" spans="20:20">
      <c r="T2210" s="588"/>
    </row>
    <row r="2211" spans="20:20">
      <c r="T2211" s="588"/>
    </row>
    <row r="2212" spans="20:20">
      <c r="T2212" s="588"/>
    </row>
    <row r="2213" spans="20:20">
      <c r="T2213" s="588"/>
    </row>
    <row r="2214" spans="20:20">
      <c r="T2214" s="588"/>
    </row>
    <row r="2215" spans="20:20">
      <c r="T2215" s="588"/>
    </row>
    <row r="2216" spans="20:20">
      <c r="T2216" s="588"/>
    </row>
    <row r="2217" spans="20:20">
      <c r="T2217" s="588"/>
    </row>
    <row r="2218" spans="20:20">
      <c r="T2218" s="588"/>
    </row>
    <row r="2219" spans="20:20">
      <c r="T2219" s="588"/>
    </row>
    <row r="2220" spans="20:20">
      <c r="T2220" s="588"/>
    </row>
    <row r="2221" spans="20:20">
      <c r="T2221" s="588"/>
    </row>
    <row r="2222" spans="20:20">
      <c r="T2222" s="588"/>
    </row>
    <row r="2223" spans="20:20">
      <c r="T2223" s="588"/>
    </row>
    <row r="2224" spans="20:20">
      <c r="T2224" s="588"/>
    </row>
    <row r="2225" spans="20:20">
      <c r="T2225" s="588"/>
    </row>
    <row r="2226" spans="20:20">
      <c r="T2226" s="588"/>
    </row>
    <row r="2227" spans="20:20">
      <c r="T2227" s="588"/>
    </row>
    <row r="2228" spans="20:20">
      <c r="T2228" s="588"/>
    </row>
    <row r="2229" spans="20:20">
      <c r="T2229" s="588"/>
    </row>
    <row r="2230" spans="20:20">
      <c r="T2230" s="588"/>
    </row>
    <row r="2231" spans="20:20">
      <c r="T2231" s="588"/>
    </row>
    <row r="2232" spans="20:20">
      <c r="T2232" s="588"/>
    </row>
    <row r="2233" spans="20:20">
      <c r="T2233" s="588"/>
    </row>
    <row r="2234" spans="20:20">
      <c r="T2234" s="588"/>
    </row>
    <row r="2235" spans="20:20">
      <c r="T2235" s="588"/>
    </row>
    <row r="2236" spans="20:20">
      <c r="T2236" s="588"/>
    </row>
    <row r="2237" spans="20:20">
      <c r="T2237" s="588"/>
    </row>
    <row r="2238" spans="20:20">
      <c r="T2238" s="588"/>
    </row>
    <row r="2239" spans="20:20">
      <c r="T2239" s="588"/>
    </row>
    <row r="2240" spans="20:20">
      <c r="T2240" s="588"/>
    </row>
    <row r="2241" spans="20:20">
      <c r="T2241" s="588"/>
    </row>
    <row r="2242" spans="20:20">
      <c r="T2242" s="588"/>
    </row>
    <row r="2243" spans="20:20">
      <c r="T2243" s="588"/>
    </row>
    <row r="2244" spans="20:20">
      <c r="T2244" s="588"/>
    </row>
    <row r="2245" spans="20:20">
      <c r="T2245" s="588"/>
    </row>
    <row r="2246" spans="20:20">
      <c r="T2246" s="588"/>
    </row>
    <row r="2247" spans="20:20">
      <c r="T2247" s="588"/>
    </row>
    <row r="2248" spans="20:20">
      <c r="T2248" s="588"/>
    </row>
    <row r="2249" spans="20:20">
      <c r="T2249" s="588"/>
    </row>
    <row r="2250" spans="20:20">
      <c r="T2250" s="588"/>
    </row>
    <row r="2251" spans="20:20">
      <c r="T2251" s="588"/>
    </row>
    <row r="2252" spans="20:20">
      <c r="T2252" s="588"/>
    </row>
    <row r="2253" spans="20:20">
      <c r="T2253" s="588"/>
    </row>
    <row r="2254" spans="20:20">
      <c r="T2254" s="588"/>
    </row>
    <row r="2255" spans="20:20">
      <c r="T2255" s="588"/>
    </row>
    <row r="2256" spans="20:20">
      <c r="T2256" s="588"/>
    </row>
    <row r="2257" spans="20:20">
      <c r="T2257" s="588"/>
    </row>
    <row r="2258" spans="20:20">
      <c r="T2258" s="588"/>
    </row>
    <row r="2259" spans="20:20">
      <c r="T2259" s="588"/>
    </row>
    <row r="2260" spans="20:20">
      <c r="T2260" s="588"/>
    </row>
    <row r="2261" spans="20:20">
      <c r="T2261" s="588"/>
    </row>
    <row r="2262" spans="20:20">
      <c r="T2262" s="588"/>
    </row>
    <row r="2263" spans="20:20">
      <c r="T2263" s="588"/>
    </row>
    <row r="2264" spans="20:20">
      <c r="T2264" s="588"/>
    </row>
    <row r="2265" spans="20:20">
      <c r="T2265" s="588"/>
    </row>
    <row r="2266" spans="20:20">
      <c r="T2266" s="588"/>
    </row>
    <row r="2267" spans="20:20">
      <c r="T2267" s="588"/>
    </row>
    <row r="2268" spans="20:20">
      <c r="T2268" s="588"/>
    </row>
    <row r="2269" spans="20:20">
      <c r="T2269" s="588"/>
    </row>
    <row r="2270" spans="20:20">
      <c r="T2270" s="588"/>
    </row>
    <row r="2271" spans="20:20">
      <c r="T2271" s="588"/>
    </row>
    <row r="2272" spans="20:20">
      <c r="T2272" s="588"/>
    </row>
    <row r="2273" spans="20:20">
      <c r="T2273" s="588"/>
    </row>
    <row r="2274" spans="20:20">
      <c r="T2274" s="588"/>
    </row>
    <row r="2275" spans="20:20">
      <c r="T2275" s="588"/>
    </row>
    <row r="2276" spans="20:20">
      <c r="T2276" s="588"/>
    </row>
    <row r="2277" spans="20:20">
      <c r="T2277" s="588"/>
    </row>
    <row r="2278" spans="20:20">
      <c r="T2278" s="588"/>
    </row>
    <row r="2279" spans="20:20">
      <c r="T2279" s="588"/>
    </row>
    <row r="2280" spans="20:20">
      <c r="T2280" s="588"/>
    </row>
    <row r="2281" spans="20:20">
      <c r="T2281" s="588"/>
    </row>
    <row r="2282" spans="20:20">
      <c r="T2282" s="588"/>
    </row>
    <row r="2283" spans="20:20">
      <c r="T2283" s="588"/>
    </row>
    <row r="2284" spans="20:20">
      <c r="T2284" s="588"/>
    </row>
    <row r="2285" spans="20:20">
      <c r="T2285" s="588"/>
    </row>
    <row r="2286" spans="20:20">
      <c r="T2286" s="588"/>
    </row>
    <row r="2287" spans="20:20">
      <c r="T2287" s="588"/>
    </row>
    <row r="2288" spans="20:20">
      <c r="T2288" s="588"/>
    </row>
    <row r="2289" spans="20:20">
      <c r="T2289" s="588"/>
    </row>
    <row r="2290" spans="20:20">
      <c r="T2290" s="588"/>
    </row>
    <row r="2291" spans="20:20">
      <c r="T2291" s="588"/>
    </row>
    <row r="2292" spans="20:20">
      <c r="T2292" s="588"/>
    </row>
    <row r="2293" spans="20:20">
      <c r="T2293" s="588"/>
    </row>
    <row r="2294" spans="20:20">
      <c r="T2294" s="588"/>
    </row>
    <row r="2295" spans="20:20">
      <c r="T2295" s="588"/>
    </row>
    <row r="2296" spans="20:20">
      <c r="T2296" s="588"/>
    </row>
    <row r="2297" spans="20:20">
      <c r="T2297" s="588"/>
    </row>
    <row r="2298" spans="20:20">
      <c r="T2298" s="588"/>
    </row>
    <row r="2299" spans="20:20">
      <c r="T2299" s="588"/>
    </row>
    <row r="2300" spans="20:20">
      <c r="T2300" s="588"/>
    </row>
    <row r="2301" spans="20:20">
      <c r="T2301" s="588"/>
    </row>
    <row r="2302" spans="20:20">
      <c r="T2302" s="588"/>
    </row>
    <row r="2303" spans="20:20">
      <c r="T2303" s="588"/>
    </row>
    <row r="2304" spans="20:20">
      <c r="T2304" s="588"/>
    </row>
    <row r="2305" spans="20:20">
      <c r="T2305" s="588"/>
    </row>
    <row r="2306" spans="20:20">
      <c r="T2306" s="588"/>
    </row>
    <row r="2307" spans="20:20">
      <c r="T2307" s="588"/>
    </row>
    <row r="2308" spans="20:20">
      <c r="T2308" s="588"/>
    </row>
    <row r="2309" spans="20:20">
      <c r="T2309" s="588"/>
    </row>
    <row r="2310" spans="20:20">
      <c r="T2310" s="588"/>
    </row>
    <row r="2311" spans="20:20">
      <c r="T2311" s="588"/>
    </row>
    <row r="2312" spans="20:20">
      <c r="T2312" s="588"/>
    </row>
    <row r="2313" spans="20:20">
      <c r="T2313" s="588"/>
    </row>
    <row r="2314" spans="20:20">
      <c r="T2314" s="588"/>
    </row>
    <row r="2315" spans="20:20">
      <c r="T2315" s="588"/>
    </row>
    <row r="2316" spans="20:20">
      <c r="T2316" s="588"/>
    </row>
    <row r="2317" spans="20:20">
      <c r="T2317" s="588"/>
    </row>
    <row r="2318" spans="20:20">
      <c r="T2318" s="588"/>
    </row>
    <row r="2319" spans="20:20">
      <c r="T2319" s="588"/>
    </row>
    <row r="2320" spans="20:20">
      <c r="T2320" s="588"/>
    </row>
    <row r="2321" spans="20:20">
      <c r="T2321" s="588"/>
    </row>
    <row r="2322" spans="20:20">
      <c r="T2322" s="588"/>
    </row>
    <row r="2323" spans="20:20">
      <c r="T2323" s="588"/>
    </row>
    <row r="2324" spans="20:20">
      <c r="T2324" s="588"/>
    </row>
    <row r="2325" spans="20:20">
      <c r="T2325" s="588"/>
    </row>
    <row r="2326" spans="20:20">
      <c r="T2326" s="588"/>
    </row>
    <row r="2327" spans="20:20">
      <c r="T2327" s="588"/>
    </row>
    <row r="2328" spans="20:20">
      <c r="T2328" s="588"/>
    </row>
    <row r="2329" spans="20:20">
      <c r="T2329" s="588"/>
    </row>
    <row r="2330" spans="20:20">
      <c r="T2330" s="588"/>
    </row>
    <row r="2331" spans="20:20">
      <c r="T2331" s="588"/>
    </row>
    <row r="2332" spans="20:20">
      <c r="T2332" s="588"/>
    </row>
    <row r="2333" spans="20:20">
      <c r="T2333" s="588"/>
    </row>
    <row r="2334" spans="20:20">
      <c r="T2334" s="588"/>
    </row>
    <row r="2335" spans="20:20">
      <c r="T2335" s="588"/>
    </row>
    <row r="2336" spans="20:20">
      <c r="T2336" s="588"/>
    </row>
    <row r="2337" spans="20:20">
      <c r="T2337" s="588"/>
    </row>
    <row r="2338" spans="20:20">
      <c r="T2338" s="588"/>
    </row>
    <row r="2339" spans="20:20">
      <c r="T2339" s="588"/>
    </row>
    <row r="2340" spans="20:20">
      <c r="T2340" s="588"/>
    </row>
    <row r="2341" spans="20:20">
      <c r="T2341" s="588"/>
    </row>
    <row r="2342" spans="20:20">
      <c r="T2342" s="588"/>
    </row>
    <row r="2343" spans="20:20">
      <c r="T2343" s="588"/>
    </row>
    <row r="2344" spans="20:20">
      <c r="T2344" s="588"/>
    </row>
    <row r="2345" spans="20:20">
      <c r="T2345" s="588"/>
    </row>
    <row r="2346" spans="20:20">
      <c r="T2346" s="588"/>
    </row>
    <row r="2347" spans="20:20">
      <c r="T2347" s="588"/>
    </row>
    <row r="2348" spans="20:20">
      <c r="T2348" s="588"/>
    </row>
    <row r="2349" spans="20:20">
      <c r="T2349" s="588"/>
    </row>
    <row r="2350" spans="20:20">
      <c r="T2350" s="588"/>
    </row>
    <row r="2351" spans="20:20">
      <c r="T2351" s="588"/>
    </row>
    <row r="2352" spans="20:20">
      <c r="T2352" s="588"/>
    </row>
    <row r="2353" spans="20:20">
      <c r="T2353" s="588"/>
    </row>
    <row r="2354" spans="20:20">
      <c r="T2354" s="588"/>
    </row>
    <row r="2355" spans="20:20">
      <c r="T2355" s="588"/>
    </row>
    <row r="2356" spans="20:20">
      <c r="T2356" s="588"/>
    </row>
    <row r="2357" spans="20:20">
      <c r="T2357" s="588"/>
    </row>
    <row r="2358" spans="20:20">
      <c r="T2358" s="588"/>
    </row>
    <row r="2359" spans="20:20">
      <c r="T2359" s="588"/>
    </row>
    <row r="2360" spans="20:20">
      <c r="T2360" s="588"/>
    </row>
    <row r="2361" spans="20:20">
      <c r="T2361" s="588"/>
    </row>
    <row r="2362" spans="20:20">
      <c r="T2362" s="588"/>
    </row>
    <row r="2363" spans="20:20">
      <c r="T2363" s="588"/>
    </row>
    <row r="2364" spans="20:20">
      <c r="T2364" s="588"/>
    </row>
    <row r="2365" spans="20:20">
      <c r="T2365" s="588"/>
    </row>
    <row r="2366" spans="20:20">
      <c r="T2366" s="588"/>
    </row>
    <row r="2367" spans="20:20">
      <c r="T2367" s="588"/>
    </row>
    <row r="2368" spans="20:20">
      <c r="T2368" s="588"/>
    </row>
    <row r="2369" spans="20:20">
      <c r="T2369" s="588"/>
    </row>
    <row r="2370" spans="20:20">
      <c r="T2370" s="588"/>
    </row>
    <row r="2371" spans="20:20">
      <c r="T2371" s="588"/>
    </row>
    <row r="2372" spans="20:20">
      <c r="T2372" s="588"/>
    </row>
    <row r="2373" spans="20:20">
      <c r="T2373" s="588"/>
    </row>
    <row r="2374" spans="20:20">
      <c r="T2374" s="588"/>
    </row>
    <row r="2375" spans="20:20">
      <c r="T2375" s="588"/>
    </row>
    <row r="2376" spans="20:20">
      <c r="T2376" s="588"/>
    </row>
    <row r="2377" spans="20:20">
      <c r="T2377" s="588"/>
    </row>
    <row r="2378" spans="20:20">
      <c r="T2378" s="588"/>
    </row>
    <row r="2379" spans="20:20">
      <c r="T2379" s="588"/>
    </row>
    <row r="2380" spans="20:20">
      <c r="T2380" s="588"/>
    </row>
    <row r="2381" spans="20:20">
      <c r="T2381" s="588"/>
    </row>
    <row r="2382" spans="20:20">
      <c r="T2382" s="588"/>
    </row>
    <row r="2383" spans="20:20">
      <c r="T2383" s="588"/>
    </row>
    <row r="2384" spans="20:20">
      <c r="T2384" s="588"/>
    </row>
    <row r="2385" spans="20:20">
      <c r="T2385" s="588"/>
    </row>
    <row r="2386" spans="20:20">
      <c r="T2386" s="588"/>
    </row>
    <row r="2387" spans="20:20">
      <c r="T2387" s="588"/>
    </row>
    <row r="2388" spans="20:20">
      <c r="T2388" s="588"/>
    </row>
    <row r="2389" spans="20:20">
      <c r="T2389" s="588"/>
    </row>
    <row r="2390" spans="20:20">
      <c r="T2390" s="588"/>
    </row>
    <row r="2391" spans="20:20">
      <c r="T2391" s="588"/>
    </row>
    <row r="2392" spans="20:20">
      <c r="T2392" s="588"/>
    </row>
    <row r="2393" spans="20:20">
      <c r="T2393" s="588"/>
    </row>
    <row r="2394" spans="20:20">
      <c r="T2394" s="588"/>
    </row>
    <row r="2395" spans="20:20">
      <c r="T2395" s="588"/>
    </row>
    <row r="2396" spans="20:20">
      <c r="T2396" s="588"/>
    </row>
    <row r="2397" spans="20:20">
      <c r="T2397" s="588"/>
    </row>
    <row r="2398" spans="20:20">
      <c r="T2398" s="588"/>
    </row>
    <row r="2399" spans="20:20">
      <c r="T2399" s="588"/>
    </row>
    <row r="2400" spans="20:20">
      <c r="T2400" s="588"/>
    </row>
    <row r="2401" spans="20:20">
      <c r="T2401" s="588"/>
    </row>
    <row r="2402" spans="20:20">
      <c r="T2402" s="588"/>
    </row>
    <row r="2403" spans="20:20">
      <c r="T2403" s="588"/>
    </row>
    <row r="2404" spans="20:20">
      <c r="T2404" s="588"/>
    </row>
    <row r="2405" spans="20:20">
      <c r="T2405" s="588"/>
    </row>
    <row r="2406" spans="20:20">
      <c r="T2406" s="588"/>
    </row>
    <row r="2407" spans="20:20">
      <c r="T2407" s="588"/>
    </row>
    <row r="2408" spans="20:20">
      <c r="T2408" s="588"/>
    </row>
    <row r="2409" spans="20:20">
      <c r="T2409" s="588"/>
    </row>
    <row r="2410" spans="20:20">
      <c r="T2410" s="588"/>
    </row>
    <row r="2411" spans="20:20">
      <c r="T2411" s="588"/>
    </row>
    <row r="2412" spans="20:20">
      <c r="T2412" s="588"/>
    </row>
    <row r="2413" spans="20:20">
      <c r="T2413" s="588"/>
    </row>
    <row r="2414" spans="20:20">
      <c r="T2414" s="588"/>
    </row>
    <row r="2415" spans="20:20">
      <c r="T2415" s="588"/>
    </row>
    <row r="2416" spans="20:20">
      <c r="T2416" s="588"/>
    </row>
    <row r="2417" spans="20:20">
      <c r="T2417" s="588"/>
    </row>
    <row r="2418" spans="20:20">
      <c r="T2418" s="588"/>
    </row>
    <row r="2419" spans="20:20">
      <c r="T2419" s="588"/>
    </row>
    <row r="2420" spans="20:20">
      <c r="T2420" s="588"/>
    </row>
    <row r="2421" spans="20:20">
      <c r="T2421" s="588"/>
    </row>
    <row r="2422" spans="20:20">
      <c r="T2422" s="588"/>
    </row>
    <row r="2423" spans="20:20">
      <c r="T2423" s="588"/>
    </row>
    <row r="2424" spans="20:20">
      <c r="T2424" s="588"/>
    </row>
    <row r="2425" spans="20:20">
      <c r="T2425" s="588"/>
    </row>
    <row r="2426" spans="20:20">
      <c r="T2426" s="588"/>
    </row>
    <row r="2427" spans="20:20">
      <c r="T2427" s="588"/>
    </row>
    <row r="2428" spans="20:20">
      <c r="T2428" s="588"/>
    </row>
    <row r="2429" spans="20:20">
      <c r="T2429" s="588"/>
    </row>
    <row r="2430" spans="20:20">
      <c r="T2430" s="588"/>
    </row>
    <row r="2431" spans="20:20">
      <c r="T2431" s="588"/>
    </row>
    <row r="2432" spans="20:20">
      <c r="T2432" s="588"/>
    </row>
    <row r="2433" spans="20:20">
      <c r="T2433" s="588"/>
    </row>
    <row r="2434" spans="20:20">
      <c r="T2434" s="588"/>
    </row>
    <row r="2435" spans="20:20">
      <c r="T2435" s="588"/>
    </row>
    <row r="2436" spans="20:20">
      <c r="T2436" s="588"/>
    </row>
    <row r="2437" spans="20:20">
      <c r="T2437" s="588"/>
    </row>
    <row r="2438" spans="20:20">
      <c r="T2438" s="588"/>
    </row>
    <row r="2439" spans="20:20">
      <c r="T2439" s="588"/>
    </row>
    <row r="2440" spans="20:20">
      <c r="T2440" s="588"/>
    </row>
    <row r="2441" spans="20:20">
      <c r="T2441" s="588"/>
    </row>
    <row r="2442" spans="20:20">
      <c r="T2442" s="588"/>
    </row>
    <row r="2443" spans="20:20">
      <c r="T2443" s="588"/>
    </row>
    <row r="2444" spans="20:20">
      <c r="T2444" s="588"/>
    </row>
    <row r="2445" spans="20:20">
      <c r="T2445" s="588"/>
    </row>
    <row r="2446" spans="20:20">
      <c r="T2446" s="588"/>
    </row>
    <row r="2447" spans="20:20">
      <c r="T2447" s="588"/>
    </row>
    <row r="2448" spans="20:20">
      <c r="T2448" s="588"/>
    </row>
    <row r="2449" spans="20:20">
      <c r="T2449" s="588"/>
    </row>
    <row r="2450" spans="20:20">
      <c r="T2450" s="588"/>
    </row>
    <row r="2451" spans="20:20">
      <c r="T2451" s="588"/>
    </row>
    <row r="2452" spans="20:20">
      <c r="T2452" s="588"/>
    </row>
    <row r="2453" spans="20:20">
      <c r="T2453" s="588"/>
    </row>
    <row r="2454" spans="20:20">
      <c r="T2454" s="588"/>
    </row>
    <row r="2455" spans="20:20">
      <c r="T2455" s="588"/>
    </row>
    <row r="2456" spans="20:20">
      <c r="T2456" s="588"/>
    </row>
    <row r="2457" spans="20:20">
      <c r="T2457" s="588"/>
    </row>
    <row r="2458" spans="20:20">
      <c r="T2458" s="588"/>
    </row>
    <row r="2459" spans="20:20">
      <c r="T2459" s="588"/>
    </row>
    <row r="2460" spans="20:20">
      <c r="T2460" s="588"/>
    </row>
    <row r="2461" spans="20:20">
      <c r="T2461" s="588"/>
    </row>
    <row r="2462" spans="20:20">
      <c r="T2462" s="588"/>
    </row>
    <row r="2463" spans="20:20">
      <c r="T2463" s="588"/>
    </row>
    <row r="2464" spans="20:20">
      <c r="T2464" s="588"/>
    </row>
    <row r="2465" spans="20:20">
      <c r="T2465" s="588"/>
    </row>
    <row r="2466" spans="20:20">
      <c r="T2466" s="588"/>
    </row>
    <row r="2467" spans="20:20">
      <c r="T2467" s="588"/>
    </row>
    <row r="2468" spans="20:20">
      <c r="T2468" s="588"/>
    </row>
    <row r="2469" spans="20:20">
      <c r="T2469" s="588"/>
    </row>
    <row r="2470" spans="20:20">
      <c r="T2470" s="588"/>
    </row>
    <row r="2471" spans="20:20">
      <c r="T2471" s="588"/>
    </row>
    <row r="2472" spans="20:20">
      <c r="T2472" s="588"/>
    </row>
    <row r="2473" spans="20:20">
      <c r="T2473" s="588"/>
    </row>
    <row r="2474" spans="20:20">
      <c r="T2474" s="588"/>
    </row>
    <row r="2475" spans="20:20">
      <c r="T2475" s="588"/>
    </row>
    <row r="2476" spans="20:20">
      <c r="T2476" s="588"/>
    </row>
    <row r="2477" spans="20:20">
      <c r="T2477" s="588"/>
    </row>
    <row r="2478" spans="20:20">
      <c r="T2478" s="588"/>
    </row>
    <row r="2479" spans="20:20">
      <c r="T2479" s="588"/>
    </row>
    <row r="2480" spans="20:20">
      <c r="T2480" s="588"/>
    </row>
    <row r="2481" spans="20:20">
      <c r="T2481" s="588"/>
    </row>
    <row r="2482" spans="20:20">
      <c r="T2482" s="588"/>
    </row>
    <row r="2483" spans="20:20">
      <c r="T2483" s="588"/>
    </row>
    <row r="2484" spans="20:20">
      <c r="T2484" s="588"/>
    </row>
    <row r="2485" spans="20:20">
      <c r="T2485" s="588"/>
    </row>
    <row r="2486" spans="20:20">
      <c r="T2486" s="588"/>
    </row>
    <row r="2487" spans="20:20">
      <c r="T2487" s="588"/>
    </row>
    <row r="2488" spans="20:20">
      <c r="T2488" s="588"/>
    </row>
    <row r="2489" spans="20:20">
      <c r="T2489" s="588"/>
    </row>
    <row r="2490" spans="20:20">
      <c r="T2490" s="588"/>
    </row>
    <row r="2491" spans="20:20">
      <c r="T2491" s="588"/>
    </row>
    <row r="2492" spans="20:20">
      <c r="T2492" s="588"/>
    </row>
    <row r="2493" spans="20:20">
      <c r="T2493" s="588"/>
    </row>
    <row r="2494" spans="20:20">
      <c r="T2494" s="588"/>
    </row>
    <row r="2495" spans="20:20">
      <c r="T2495" s="588"/>
    </row>
    <row r="2496" spans="20:20">
      <c r="T2496" s="588"/>
    </row>
    <row r="2497" spans="20:20">
      <c r="T2497" s="588"/>
    </row>
    <row r="2498" spans="20:20">
      <c r="T2498" s="588"/>
    </row>
    <row r="2499" spans="20:20">
      <c r="T2499" s="588"/>
    </row>
    <row r="2500" spans="20:20">
      <c r="T2500" s="588"/>
    </row>
    <row r="2501" spans="20:20">
      <c r="T2501" s="588"/>
    </row>
    <row r="2502" spans="20:20">
      <c r="T2502" s="588"/>
    </row>
    <row r="2503" spans="20:20">
      <c r="T2503" s="588"/>
    </row>
    <row r="2504" spans="20:20">
      <c r="T2504" s="588"/>
    </row>
    <row r="2505" spans="20:20">
      <c r="T2505" s="588"/>
    </row>
    <row r="2506" spans="20:20">
      <c r="T2506" s="588"/>
    </row>
    <row r="2507" spans="20:20">
      <c r="T2507" s="588"/>
    </row>
    <row r="2508" spans="20:20">
      <c r="T2508" s="588"/>
    </row>
    <row r="2509" spans="20:20">
      <c r="T2509" s="588"/>
    </row>
    <row r="2510" spans="20:20">
      <c r="T2510" s="588"/>
    </row>
    <row r="2511" spans="20:20">
      <c r="T2511" s="588"/>
    </row>
    <row r="2512" spans="20:20">
      <c r="T2512" s="588"/>
    </row>
    <row r="2513" spans="20:20">
      <c r="T2513" s="588"/>
    </row>
    <row r="2514" spans="20:20">
      <c r="T2514" s="588"/>
    </row>
    <row r="2515" spans="20:20">
      <c r="T2515" s="588"/>
    </row>
    <row r="2516" spans="20:20">
      <c r="T2516" s="588"/>
    </row>
    <row r="2517" spans="20:20">
      <c r="T2517" s="588"/>
    </row>
    <row r="2518" spans="20:20">
      <c r="T2518" s="588"/>
    </row>
    <row r="2519" spans="20:20">
      <c r="T2519" s="588"/>
    </row>
    <row r="2520" spans="20:20">
      <c r="T2520" s="588"/>
    </row>
    <row r="2521" spans="20:20">
      <c r="T2521" s="588"/>
    </row>
    <row r="2522" spans="20:20">
      <c r="T2522" s="588"/>
    </row>
    <row r="2523" spans="20:20">
      <c r="T2523" s="588"/>
    </row>
    <row r="2524" spans="20:20">
      <c r="T2524" s="588"/>
    </row>
    <row r="2525" spans="20:20">
      <c r="T2525" s="588"/>
    </row>
    <row r="2526" spans="20:20">
      <c r="T2526" s="588"/>
    </row>
    <row r="2527" spans="20:20">
      <c r="T2527" s="588"/>
    </row>
    <row r="2528" spans="20:20">
      <c r="T2528" s="588"/>
    </row>
    <row r="2529" spans="20:20">
      <c r="T2529" s="588"/>
    </row>
    <row r="2530" spans="20:20">
      <c r="T2530" s="588"/>
    </row>
    <row r="2531" spans="20:20">
      <c r="T2531" s="588"/>
    </row>
    <row r="2532" spans="20:20">
      <c r="T2532" s="588"/>
    </row>
    <row r="2533" spans="20:20">
      <c r="T2533" s="588"/>
    </row>
    <row r="2534" spans="20:20">
      <c r="T2534" s="588"/>
    </row>
    <row r="2535" spans="20:20">
      <c r="T2535" s="588"/>
    </row>
    <row r="2536" spans="20:20">
      <c r="T2536" s="588"/>
    </row>
    <row r="2537" spans="20:20">
      <c r="T2537" s="588"/>
    </row>
    <row r="2538" spans="20:20">
      <c r="T2538" s="588"/>
    </row>
    <row r="2539" spans="20:20">
      <c r="T2539" s="588"/>
    </row>
    <row r="2540" spans="20:20">
      <c r="T2540" s="588"/>
    </row>
    <row r="2541" spans="20:20">
      <c r="T2541" s="588"/>
    </row>
    <row r="2542" spans="20:20">
      <c r="T2542" s="588"/>
    </row>
    <row r="2543" spans="20:20">
      <c r="T2543" s="588"/>
    </row>
    <row r="2544" spans="20:20">
      <c r="T2544" s="588"/>
    </row>
    <row r="2545" spans="20:20">
      <c r="T2545" s="588"/>
    </row>
    <row r="2546" spans="20:20">
      <c r="T2546" s="588"/>
    </row>
    <row r="2547" spans="20:20">
      <c r="T2547" s="588"/>
    </row>
    <row r="2548" spans="20:20">
      <c r="T2548" s="588"/>
    </row>
    <row r="2549" spans="20:20">
      <c r="T2549" s="588"/>
    </row>
    <row r="2550" spans="20:20">
      <c r="T2550" s="588"/>
    </row>
    <row r="2551" spans="20:20">
      <c r="T2551" s="588"/>
    </row>
    <row r="2552" spans="20:20">
      <c r="T2552" s="588"/>
    </row>
    <row r="2553" spans="20:20">
      <c r="T2553" s="588"/>
    </row>
    <row r="2554" spans="20:20">
      <c r="T2554" s="588"/>
    </row>
    <row r="2555" spans="20:20">
      <c r="T2555" s="588"/>
    </row>
    <row r="2556" spans="20:20">
      <c r="T2556" s="588"/>
    </row>
    <row r="2557" spans="20:20">
      <c r="T2557" s="588"/>
    </row>
    <row r="2558" spans="20:20">
      <c r="T2558" s="588"/>
    </row>
    <row r="2559" spans="20:20">
      <c r="T2559" s="588"/>
    </row>
    <row r="2560" spans="20:20">
      <c r="T2560" s="588"/>
    </row>
    <row r="2561" spans="20:20">
      <c r="T2561" s="588"/>
    </row>
    <row r="2562" spans="20:20">
      <c r="T2562" s="588"/>
    </row>
    <row r="2563" spans="20:20">
      <c r="T2563" s="588"/>
    </row>
    <row r="2564" spans="20:20">
      <c r="T2564" s="588"/>
    </row>
    <row r="2565" spans="20:20">
      <c r="T2565" s="588"/>
    </row>
    <row r="2566" spans="20:20">
      <c r="T2566" s="588"/>
    </row>
    <row r="2567" spans="20:20">
      <c r="T2567" s="588"/>
    </row>
    <row r="2568" spans="20:20">
      <c r="T2568" s="588"/>
    </row>
    <row r="2569" spans="20:20">
      <c r="T2569" s="588"/>
    </row>
    <row r="2570" spans="20:20">
      <c r="T2570" s="588"/>
    </row>
    <row r="2571" spans="20:20">
      <c r="T2571" s="588"/>
    </row>
    <row r="2572" spans="20:20">
      <c r="T2572" s="588"/>
    </row>
    <row r="2573" spans="20:20">
      <c r="T2573" s="588"/>
    </row>
    <row r="2574" spans="20:20">
      <c r="T2574" s="588"/>
    </row>
    <row r="2575" spans="20:20">
      <c r="T2575" s="588"/>
    </row>
    <row r="2576" spans="20:20">
      <c r="T2576" s="588"/>
    </row>
    <row r="2577" spans="20:20">
      <c r="T2577" s="588"/>
    </row>
    <row r="2578" spans="20:20">
      <c r="T2578" s="588"/>
    </row>
    <row r="2579" spans="20:20">
      <c r="T2579" s="588"/>
    </row>
    <row r="2580" spans="20:20">
      <c r="T2580" s="588"/>
    </row>
    <row r="2581" spans="20:20">
      <c r="T2581" s="588"/>
    </row>
    <row r="2582" spans="20:20">
      <c r="T2582" s="588"/>
    </row>
    <row r="2583" spans="20:20">
      <c r="T2583" s="588"/>
    </row>
    <row r="2584" spans="20:20">
      <c r="T2584" s="588"/>
    </row>
    <row r="2585" spans="20:20">
      <c r="T2585" s="588"/>
    </row>
    <row r="2586" spans="20:20">
      <c r="T2586" s="588"/>
    </row>
    <row r="2587" spans="20:20">
      <c r="T2587" s="588"/>
    </row>
    <row r="2588" spans="20:20">
      <c r="T2588" s="588"/>
    </row>
    <row r="2589" spans="20:20">
      <c r="T2589" s="588"/>
    </row>
    <row r="2590" spans="20:20">
      <c r="T2590" s="588"/>
    </row>
    <row r="2591" spans="20:20">
      <c r="T2591" s="588"/>
    </row>
    <row r="2592" spans="20:20">
      <c r="T2592" s="588"/>
    </row>
    <row r="2593" spans="20:20">
      <c r="T2593" s="588"/>
    </row>
    <row r="2594" spans="20:20">
      <c r="T2594" s="588"/>
    </row>
    <row r="2595" spans="20:20">
      <c r="T2595" s="588"/>
    </row>
    <row r="2596" spans="20:20">
      <c r="T2596" s="588"/>
    </row>
    <row r="2597" spans="20:20">
      <c r="T2597" s="588"/>
    </row>
    <row r="2598" spans="20:20">
      <c r="T2598" s="588"/>
    </row>
    <row r="2599" spans="20:20">
      <c r="T2599" s="588"/>
    </row>
    <row r="2600" spans="20:20">
      <c r="T2600" s="588"/>
    </row>
    <row r="2601" spans="20:20">
      <c r="T2601" s="588"/>
    </row>
    <row r="2602" spans="20:20">
      <c r="T2602" s="588"/>
    </row>
    <row r="2603" spans="20:20">
      <c r="T2603" s="588"/>
    </row>
    <row r="2604" spans="20:20">
      <c r="T2604" s="588"/>
    </row>
    <row r="2605" spans="20:20">
      <c r="T2605" s="588"/>
    </row>
    <row r="2606" spans="20:20">
      <c r="T2606" s="588"/>
    </row>
    <row r="2607" spans="20:20">
      <c r="T2607" s="588"/>
    </row>
    <row r="2608" spans="20:20">
      <c r="T2608" s="588"/>
    </row>
    <row r="2609" spans="20:20">
      <c r="T2609" s="588"/>
    </row>
    <row r="2610" spans="20:20">
      <c r="T2610" s="588"/>
    </row>
    <row r="2611" spans="20:20">
      <c r="T2611" s="588"/>
    </row>
    <row r="2612" spans="20:20">
      <c r="T2612" s="588"/>
    </row>
    <row r="2613" spans="20:20">
      <c r="T2613" s="588"/>
    </row>
    <row r="2614" spans="20:20">
      <c r="T2614" s="588"/>
    </row>
    <row r="2615" spans="20:20">
      <c r="T2615" s="588"/>
    </row>
    <row r="2616" spans="20:20">
      <c r="T2616" s="588"/>
    </row>
    <row r="2617" spans="20:20">
      <c r="T2617" s="588"/>
    </row>
    <row r="2618" spans="20:20">
      <c r="T2618" s="588"/>
    </row>
    <row r="2619" spans="20:20">
      <c r="T2619" s="588"/>
    </row>
    <row r="2620" spans="20:20">
      <c r="T2620" s="588"/>
    </row>
    <row r="2621" spans="20:20">
      <c r="T2621" s="588"/>
    </row>
    <row r="2622" spans="20:20">
      <c r="T2622" s="588"/>
    </row>
    <row r="2623" spans="20:20">
      <c r="T2623" s="588"/>
    </row>
    <row r="2624" spans="20:20">
      <c r="T2624" s="588"/>
    </row>
  </sheetData>
  <mergeCells count="2">
    <mergeCell ref="A1:T1"/>
    <mergeCell ref="V1:AL1"/>
  </mergeCells>
  <dataValidations count="9">
    <dataValidation type="list" allowBlank="1" showErrorMessage="1" prompt="_x000a_" sqref="B3:B696" xr:uid="{6012FD72-621F-4830-8B59-375321AFD565}">
      <formula1>"Flyer/Poster,Carte de visite,Dépliant"</formula1>
    </dataValidation>
    <dataValidation type="list" allowBlank="1" showInputMessage="1" showErrorMessage="1" sqref="H3:H682" xr:uid="{C7E7E721-B9C6-4E98-8BFB-AFE406ADB67D}">
      <formula1>"Oui,Non"</formula1>
    </dataValidation>
    <dataValidation type="list" allowBlank="1" showInputMessage="1" showErrorMessage="1" sqref="G3:G871" xr:uid="{788C0D8D-6267-44CF-88B8-5EB2C4EAF7C1}">
      <formula1>"Quadrichromie,Quadrichromie + Vernis Machine,Bichromie,Noir"</formula1>
    </dataValidation>
    <dataValidation type="list" allowBlank="1" showInputMessage="1" showErrorMessage="1" sqref="I3:I570" xr:uid="{022191BA-A355-4EC3-92F2-473C01FF53A5}">
      <formula1>"Autre,Couché Mat,Couché Satin,Brillant,Offset,Recyclé"</formula1>
    </dataValidation>
    <dataValidation type="list" allowBlank="1" showInputMessage="1" showErrorMessage="1" sqref="M3:M876" xr:uid="{949C7CDD-1045-4375-A2BD-9B2962D4E5F9}">
      <formula1>"Croisé,Rien"</formula1>
    </dataValidation>
    <dataValidation type="list" allowBlank="1" showInputMessage="1" showErrorMessage="1" sqref="L3:L876" xr:uid="{3E8EE5A3-B28C-48F9-BA4B-6D5B7199254E}">
      <formula1>"1,2,3,4,5,6"</formula1>
    </dataValidation>
    <dataValidation type="list" allowBlank="1" showInputMessage="1" showErrorMessage="1" sqref="K3:K876" xr:uid="{0F0A416E-3095-4E2F-A922-F2D7A5DDB98E}">
      <formula1>"Roulé,Accordéon,Croisé,Rien"</formula1>
    </dataValidation>
    <dataValidation type="list" allowBlank="1" showInputMessage="1" showErrorMessage="1" sqref="N3:N876" xr:uid="{07F604B6-7EFF-463F-9608-FF4B1FB950D0}">
      <formula1>"0,1,2"</formula1>
    </dataValidation>
    <dataValidation allowBlank="1" showErrorMessage="1" prompt="_x000a_" sqref="C3:C1048576" xr:uid="{73A59B03-5255-4EC0-B755-2E2AEFEB79FA}"/>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0" r:id="rId3" name="Button 2">
              <controlPr defaultSize="0" print="0" autoFill="0" autoPict="0">
                <anchor moveWithCells="1" sizeWithCells="1">
                  <from>
                    <xdr:col>20</xdr:col>
                    <xdr:colOff>9525</xdr:colOff>
                    <xdr:row>0</xdr:row>
                    <xdr:rowOff>447675</xdr:rowOff>
                  </from>
                  <to>
                    <xdr:col>20</xdr:col>
                    <xdr:colOff>485775</xdr:colOff>
                    <xdr:row>0</xdr:row>
                    <xdr:rowOff>657225</xdr:rowOff>
                  </to>
                </anchor>
              </controlPr>
            </control>
          </mc:Choice>
        </mc:AlternateContent>
        <mc:AlternateContent xmlns:mc="http://schemas.openxmlformats.org/markup-compatibility/2006">
          <mc:Choice Requires="x14">
            <control shapeId="22531" r:id="rId4" name="Button 3">
              <controlPr defaultSize="0" print="0" autoFill="0" autoPict="0">
                <anchor moveWithCells="1" sizeWithCells="1">
                  <from>
                    <xdr:col>0</xdr:col>
                    <xdr:colOff>428625</xdr:colOff>
                    <xdr:row>0</xdr:row>
                    <xdr:rowOff>57150</xdr:rowOff>
                  </from>
                  <to>
                    <xdr:col>1</xdr:col>
                    <xdr:colOff>523875</xdr:colOff>
                    <xdr:row>0</xdr:row>
                    <xdr:rowOff>571500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tabColor theme="9" tint="0.59999389629810485"/>
  </sheetPr>
  <dimension ref="A1:AB63"/>
  <sheetViews>
    <sheetView topLeftCell="I19" zoomScaleNormal="100" workbookViewId="0">
      <selection activeCell="S16" sqref="R16:S17"/>
    </sheetView>
  </sheetViews>
  <sheetFormatPr baseColWidth="10" defaultRowHeight="15"/>
  <cols>
    <col min="1" max="1" width="28.42578125" customWidth="1"/>
    <col min="3" max="3" width="21.7109375" customWidth="1"/>
    <col min="5" max="5" width="31.5703125" customWidth="1"/>
    <col min="6" max="6" width="21" customWidth="1"/>
    <col min="7" max="7" width="17.28515625" customWidth="1"/>
    <col min="8" max="8" width="29.7109375" customWidth="1"/>
    <col min="9" max="9" width="25" customWidth="1"/>
    <col min="10" max="10" width="17.140625" customWidth="1"/>
    <col min="11" max="11" width="27.85546875" customWidth="1"/>
    <col min="13" max="13" width="24.42578125" customWidth="1"/>
    <col min="16" max="16" width="19.7109375" customWidth="1"/>
    <col min="18" max="18" width="29.42578125" customWidth="1"/>
    <col min="19" max="19" width="18.85546875" customWidth="1"/>
    <col min="20" max="20" width="24" customWidth="1"/>
    <col min="21" max="21" width="19.5703125" customWidth="1"/>
    <col min="27" max="27" width="26" customWidth="1"/>
  </cols>
  <sheetData>
    <row r="1" spans="1:28">
      <c r="A1" s="835" t="s">
        <v>147</v>
      </c>
      <c r="B1" s="835"/>
      <c r="C1" s="835"/>
      <c r="D1" s="173"/>
      <c r="E1" s="837" t="s">
        <v>160</v>
      </c>
      <c r="F1" s="837"/>
      <c r="G1" s="837"/>
      <c r="H1" s="173"/>
      <c r="I1" s="833" t="s">
        <v>45</v>
      </c>
      <c r="J1" s="833"/>
      <c r="K1" s="833"/>
      <c r="L1" s="173"/>
      <c r="M1" s="836" t="s">
        <v>168</v>
      </c>
      <c r="N1" s="836"/>
      <c r="O1" s="836"/>
      <c r="P1" s="836"/>
      <c r="R1" s="838" t="s">
        <v>182</v>
      </c>
      <c r="S1" s="838"/>
      <c r="Z1" s="92"/>
      <c r="AA1" s="827" t="s">
        <v>806</v>
      </c>
    </row>
    <row r="2" spans="1:28">
      <c r="T2" t="s">
        <v>647</v>
      </c>
      <c r="U2" t="s">
        <v>649</v>
      </c>
      <c r="W2" t="s">
        <v>183</v>
      </c>
      <c r="X2" t="s">
        <v>679</v>
      </c>
      <c r="Z2" s="92"/>
      <c r="AA2" s="827"/>
    </row>
    <row r="3" spans="1:28">
      <c r="A3" s="162" t="s">
        <v>148</v>
      </c>
      <c r="B3" s="162" t="s">
        <v>24</v>
      </c>
      <c r="C3" s="162" t="s">
        <v>149</v>
      </c>
      <c r="E3" s="163" t="s">
        <v>148</v>
      </c>
      <c r="F3" s="163" t="s">
        <v>952</v>
      </c>
      <c r="G3" s="163" t="s">
        <v>149</v>
      </c>
      <c r="I3" s="169" t="s">
        <v>148</v>
      </c>
      <c r="J3" s="169" t="s">
        <v>24</v>
      </c>
      <c r="K3" s="169" t="s">
        <v>149</v>
      </c>
      <c r="M3" s="174" t="s">
        <v>169</v>
      </c>
      <c r="N3" s="174" t="s">
        <v>170</v>
      </c>
      <c r="O3" s="174" t="s">
        <v>171</v>
      </c>
      <c r="P3" s="174" t="s">
        <v>172</v>
      </c>
      <c r="R3" s="180" t="s">
        <v>184</v>
      </c>
      <c r="S3" s="180" t="s">
        <v>185</v>
      </c>
      <c r="T3" t="s">
        <v>78</v>
      </c>
      <c r="U3" t="s">
        <v>78</v>
      </c>
      <c r="W3" t="s">
        <v>186</v>
      </c>
      <c r="X3" t="s">
        <v>681</v>
      </c>
      <c r="Z3" s="92"/>
      <c r="AA3" s="827"/>
    </row>
    <row r="4" spans="1:28">
      <c r="A4" s="162">
        <v>2</v>
      </c>
      <c r="B4" s="166">
        <v>215.25</v>
      </c>
      <c r="C4" s="166">
        <v>91</v>
      </c>
      <c r="D4" s="5"/>
      <c r="E4" s="163">
        <v>2</v>
      </c>
      <c r="F4" s="164">
        <v>489.28</v>
      </c>
      <c r="G4" s="164">
        <v>136.72999999999999</v>
      </c>
      <c r="H4" s="5"/>
      <c r="I4" s="169">
        <v>2</v>
      </c>
      <c r="J4" s="170">
        <v>320.25</v>
      </c>
      <c r="K4" s="170">
        <v>95.55</v>
      </c>
      <c r="L4" s="5"/>
      <c r="M4" s="174">
        <v>1</v>
      </c>
      <c r="N4" s="175">
        <v>73</v>
      </c>
      <c r="O4" s="175">
        <v>31</v>
      </c>
      <c r="P4" s="175">
        <v>23</v>
      </c>
      <c r="R4" s="182" t="s">
        <v>183</v>
      </c>
      <c r="S4" s="181">
        <v>0.25</v>
      </c>
      <c r="T4" t="s">
        <v>644</v>
      </c>
      <c r="U4" t="s">
        <v>648</v>
      </c>
      <c r="W4" t="s">
        <v>665</v>
      </c>
      <c r="X4" t="s">
        <v>664</v>
      </c>
      <c r="Z4" s="92"/>
    </row>
    <row r="5" spans="1:28">
      <c r="A5" s="162">
        <v>3</v>
      </c>
      <c r="B5" s="166">
        <v>218.4</v>
      </c>
      <c r="C5" s="166">
        <v>97</v>
      </c>
      <c r="E5" s="163">
        <v>3</v>
      </c>
      <c r="F5" s="164">
        <v>520.91999999999996</v>
      </c>
      <c r="G5" s="164">
        <v>150.29</v>
      </c>
      <c r="H5" s="5"/>
      <c r="I5" s="169">
        <v>3</v>
      </c>
      <c r="J5" s="170">
        <v>348.6</v>
      </c>
      <c r="K5" s="170">
        <v>101.85000000000001</v>
      </c>
      <c r="L5" s="5"/>
      <c r="M5" s="174">
        <v>2</v>
      </c>
      <c r="N5" s="175">
        <v>93</v>
      </c>
      <c r="O5" s="175">
        <v>49</v>
      </c>
      <c r="P5" s="175">
        <v>37</v>
      </c>
      <c r="R5" s="182" t="s">
        <v>186</v>
      </c>
      <c r="S5" s="181">
        <v>0.3</v>
      </c>
      <c r="U5" t="s">
        <v>645</v>
      </c>
      <c r="W5" t="s">
        <v>78</v>
      </c>
      <c r="X5" t="s">
        <v>678</v>
      </c>
      <c r="Z5" s="92"/>
    </row>
    <row r="6" spans="1:28">
      <c r="A6" s="162">
        <v>4</v>
      </c>
      <c r="B6" s="166">
        <v>221.55</v>
      </c>
      <c r="C6" s="166">
        <v>109</v>
      </c>
      <c r="E6" s="163">
        <v>4</v>
      </c>
      <c r="F6" s="164">
        <v>534.48</v>
      </c>
      <c r="G6" s="164">
        <v>166.10999999999999</v>
      </c>
      <c r="H6" s="5"/>
      <c r="I6" s="169">
        <v>4</v>
      </c>
      <c r="J6" s="170">
        <v>364.35</v>
      </c>
      <c r="K6" s="170">
        <v>114.45</v>
      </c>
      <c r="L6" s="5"/>
      <c r="M6" s="174">
        <v>3</v>
      </c>
      <c r="N6" s="175">
        <v>112</v>
      </c>
      <c r="O6" s="175">
        <v>63</v>
      </c>
      <c r="P6" s="175">
        <v>49</v>
      </c>
      <c r="R6" s="182" t="s">
        <v>187</v>
      </c>
      <c r="S6" s="181">
        <v>0.5</v>
      </c>
      <c r="X6" t="s">
        <v>682</v>
      </c>
      <c r="Z6" s="92"/>
      <c r="AA6" t="s">
        <v>927</v>
      </c>
    </row>
    <row r="7" spans="1:28">
      <c r="A7" s="162">
        <v>5</v>
      </c>
      <c r="B7" s="166">
        <v>223.65</v>
      </c>
      <c r="C7" s="166">
        <v>118</v>
      </c>
      <c r="E7" s="163">
        <v>5</v>
      </c>
      <c r="F7" s="164">
        <v>551.42999999999995</v>
      </c>
      <c r="G7" s="164">
        <v>187.57999999999998</v>
      </c>
      <c r="H7" s="5"/>
      <c r="I7" s="169">
        <v>5</v>
      </c>
      <c r="J7" s="170">
        <v>378</v>
      </c>
      <c r="K7" s="170">
        <v>123.9</v>
      </c>
      <c r="L7" s="5"/>
      <c r="M7" s="174">
        <v>4</v>
      </c>
      <c r="N7" s="175">
        <v>133</v>
      </c>
      <c r="O7" s="175">
        <v>84</v>
      </c>
      <c r="P7" s="175">
        <v>63</v>
      </c>
      <c r="R7" s="161" t="s">
        <v>488</v>
      </c>
      <c r="S7" s="233">
        <v>55</v>
      </c>
      <c r="X7" t="s">
        <v>146</v>
      </c>
      <c r="Z7" s="92"/>
      <c r="AA7" t="s">
        <v>24</v>
      </c>
    </row>
    <row r="8" spans="1:28">
      <c r="A8" s="162">
        <v>6</v>
      </c>
      <c r="B8" s="166">
        <v>225.75</v>
      </c>
      <c r="C8" s="166">
        <v>128</v>
      </c>
      <c r="E8" s="163">
        <v>6</v>
      </c>
      <c r="F8" s="164">
        <v>575.16</v>
      </c>
      <c r="G8" s="164">
        <v>207.92</v>
      </c>
      <c r="H8" s="5"/>
      <c r="I8" s="169">
        <v>6</v>
      </c>
      <c r="J8" s="170">
        <v>401.1</v>
      </c>
      <c r="K8" s="170">
        <v>134.4</v>
      </c>
      <c r="L8" s="5"/>
      <c r="M8" s="174">
        <v>5</v>
      </c>
      <c r="N8" s="175">
        <v>156</v>
      </c>
      <c r="O8" s="175">
        <v>115</v>
      </c>
      <c r="P8" s="175">
        <v>78</v>
      </c>
      <c r="R8" s="183" t="s">
        <v>188</v>
      </c>
      <c r="S8" s="179">
        <v>60</v>
      </c>
      <c r="X8" t="s">
        <v>683</v>
      </c>
      <c r="Z8" s="92"/>
      <c r="AA8" t="s">
        <v>928</v>
      </c>
      <c r="AB8">
        <v>22.5</v>
      </c>
    </row>
    <row r="9" spans="1:28">
      <c r="A9" s="162">
        <v>7</v>
      </c>
      <c r="B9" s="166">
        <v>231</v>
      </c>
      <c r="C9" s="166">
        <v>151</v>
      </c>
      <c r="E9" s="163">
        <v>7</v>
      </c>
      <c r="F9" s="164">
        <v>587.58999999999992</v>
      </c>
      <c r="G9" s="164">
        <v>232.77999999999997</v>
      </c>
      <c r="H9" s="5"/>
      <c r="I9" s="169">
        <v>7</v>
      </c>
      <c r="J9" s="170">
        <v>413.70000000000005</v>
      </c>
      <c r="K9" s="170">
        <v>158.55000000000001</v>
      </c>
      <c r="L9" s="5"/>
      <c r="M9" s="174">
        <v>6</v>
      </c>
      <c r="N9" s="175">
        <v>182</v>
      </c>
      <c r="O9" s="175">
        <v>132</v>
      </c>
      <c r="P9" s="175">
        <v>100</v>
      </c>
      <c r="Z9" s="92"/>
      <c r="AA9" t="s">
        <v>70</v>
      </c>
      <c r="AB9">
        <v>22.5</v>
      </c>
    </row>
    <row r="10" spans="1:28">
      <c r="A10" s="162">
        <v>8</v>
      </c>
      <c r="B10" s="166">
        <v>234.15</v>
      </c>
      <c r="C10" s="166">
        <v>163</v>
      </c>
      <c r="E10" s="163">
        <v>8</v>
      </c>
      <c r="F10" s="164">
        <v>609.05999999999995</v>
      </c>
      <c r="G10" s="164">
        <v>255.37999999999997</v>
      </c>
      <c r="H10" s="5"/>
      <c r="I10" s="169">
        <v>8</v>
      </c>
      <c r="J10" s="170">
        <v>433.65000000000003</v>
      </c>
      <c r="K10" s="170">
        <v>171.15</v>
      </c>
      <c r="L10" s="5"/>
      <c r="M10" s="174">
        <v>7</v>
      </c>
      <c r="N10" s="175">
        <v>275</v>
      </c>
      <c r="O10" s="175">
        <v>163</v>
      </c>
      <c r="P10" s="175">
        <v>123</v>
      </c>
      <c r="R10" s="839" t="s">
        <v>189</v>
      </c>
      <c r="S10" s="839"/>
      <c r="T10" s="839"/>
      <c r="Z10" s="92"/>
      <c r="AA10" t="s">
        <v>71</v>
      </c>
      <c r="AB10">
        <v>45</v>
      </c>
    </row>
    <row r="11" spans="1:28">
      <c r="A11" s="162">
        <v>9</v>
      </c>
      <c r="B11" s="166">
        <v>237.3</v>
      </c>
      <c r="C11" s="166">
        <v>197</v>
      </c>
      <c r="E11" s="163">
        <v>9</v>
      </c>
      <c r="F11" s="164">
        <v>616.97</v>
      </c>
      <c r="G11" s="164">
        <v>307.35999999999996</v>
      </c>
      <c r="H11" s="5"/>
      <c r="I11" s="169">
        <v>9</v>
      </c>
      <c r="J11" s="170">
        <v>438.90000000000003</v>
      </c>
      <c r="K11" s="170">
        <v>206.85000000000002</v>
      </c>
      <c r="L11" s="5"/>
      <c r="M11" s="174"/>
      <c r="N11" s="175"/>
      <c r="O11" s="175"/>
      <c r="P11" s="175"/>
      <c r="Z11" s="92"/>
      <c r="AA11" t="s">
        <v>73</v>
      </c>
      <c r="AB11">
        <v>45</v>
      </c>
    </row>
    <row r="12" spans="1:28">
      <c r="A12" s="162">
        <v>10</v>
      </c>
      <c r="B12" s="166">
        <v>240.45000000000002</v>
      </c>
      <c r="C12" s="166">
        <v>204</v>
      </c>
      <c r="E12" s="163">
        <v>10</v>
      </c>
      <c r="F12" s="164">
        <v>622.61999999999989</v>
      </c>
      <c r="G12" s="164">
        <v>320.91999999999996</v>
      </c>
      <c r="H12" s="5"/>
      <c r="I12" s="169">
        <v>10</v>
      </c>
      <c r="J12" s="170">
        <v>446.25</v>
      </c>
      <c r="K12" s="170">
        <v>214.20000000000002</v>
      </c>
      <c r="L12" s="5"/>
      <c r="M12" s="174"/>
      <c r="N12" s="175"/>
      <c r="O12" s="175"/>
      <c r="P12" s="175"/>
      <c r="S12" s="184" t="s">
        <v>191</v>
      </c>
      <c r="T12" s="184" t="s">
        <v>193</v>
      </c>
      <c r="Z12" s="92"/>
      <c r="AA12" t="s">
        <v>826</v>
      </c>
      <c r="AB12">
        <v>45</v>
      </c>
    </row>
    <row r="13" spans="1:28">
      <c r="A13" s="162">
        <v>11</v>
      </c>
      <c r="B13" s="166">
        <v>244.65</v>
      </c>
      <c r="C13" s="166">
        <v>209</v>
      </c>
      <c r="E13" s="163">
        <v>11</v>
      </c>
      <c r="F13" s="164">
        <v>652</v>
      </c>
      <c r="G13" s="164">
        <v>335.60999999999996</v>
      </c>
      <c r="H13" s="5"/>
      <c r="I13" s="169">
        <v>11</v>
      </c>
      <c r="J13" s="170">
        <v>472.5</v>
      </c>
      <c r="K13" s="170">
        <v>219.45000000000002</v>
      </c>
      <c r="L13" s="5"/>
      <c r="M13" s="174"/>
      <c r="N13" s="175"/>
      <c r="O13" s="175"/>
      <c r="P13" s="175"/>
      <c r="S13" s="184" t="s">
        <v>192</v>
      </c>
      <c r="T13" s="184" t="s">
        <v>192</v>
      </c>
      <c r="Z13" s="92"/>
      <c r="AA13" t="s">
        <v>830</v>
      </c>
      <c r="AB13">
        <v>45</v>
      </c>
    </row>
    <row r="14" spans="1:28">
      <c r="A14" s="162">
        <v>12</v>
      </c>
      <c r="B14" s="166">
        <v>246.75</v>
      </c>
      <c r="C14" s="166">
        <v>216</v>
      </c>
      <c r="E14" s="163">
        <v>12</v>
      </c>
      <c r="F14" s="164">
        <v>691.55</v>
      </c>
      <c r="G14" s="164">
        <v>349.16999999999996</v>
      </c>
      <c r="H14" s="5"/>
      <c r="I14" s="169">
        <v>12</v>
      </c>
      <c r="J14" s="170">
        <v>508.20000000000005</v>
      </c>
      <c r="K14" s="170">
        <v>226.8</v>
      </c>
      <c r="L14" s="5"/>
      <c r="M14" s="174"/>
      <c r="N14" s="175"/>
      <c r="O14" s="175"/>
      <c r="P14" s="175"/>
      <c r="R14" s="186" t="s">
        <v>190</v>
      </c>
      <c r="S14" s="185">
        <v>170</v>
      </c>
      <c r="T14" s="185">
        <v>130</v>
      </c>
      <c r="Z14" s="92"/>
      <c r="AA14" t="s">
        <v>929</v>
      </c>
      <c r="AB14">
        <v>45</v>
      </c>
    </row>
    <row r="15" spans="1:28">
      <c r="A15" s="162">
        <v>13</v>
      </c>
      <c r="B15" s="166">
        <v>250.95000000000002</v>
      </c>
      <c r="C15" s="166">
        <v>233</v>
      </c>
      <c r="E15" s="163">
        <v>13</v>
      </c>
      <c r="F15" s="164">
        <v>734.4899999999999</v>
      </c>
      <c r="G15" s="164">
        <v>381.93999999999994</v>
      </c>
      <c r="H15" s="5"/>
      <c r="I15" s="169">
        <v>13</v>
      </c>
      <c r="J15" s="170">
        <v>547.05000000000007</v>
      </c>
      <c r="K15" s="170">
        <v>244.65</v>
      </c>
      <c r="L15" s="5"/>
      <c r="Z15" s="92"/>
      <c r="AA15" t="s">
        <v>930</v>
      </c>
      <c r="AB15">
        <v>45</v>
      </c>
    </row>
    <row r="16" spans="1:28">
      <c r="A16" s="162">
        <v>14</v>
      </c>
      <c r="B16" s="166">
        <v>254.10000000000002</v>
      </c>
      <c r="C16" s="166">
        <v>245</v>
      </c>
      <c r="E16" s="163">
        <v>14</v>
      </c>
      <c r="F16" s="164">
        <v>763.86999999999989</v>
      </c>
      <c r="G16" s="164">
        <v>409.05999999999995</v>
      </c>
      <c r="H16" s="5"/>
      <c r="I16" s="169">
        <v>14</v>
      </c>
      <c r="J16" s="170">
        <v>574.35</v>
      </c>
      <c r="K16" s="170">
        <v>257.25</v>
      </c>
      <c r="L16" s="5"/>
      <c r="M16" s="176" t="s">
        <v>173</v>
      </c>
      <c r="P16" s="174" t="s">
        <v>24</v>
      </c>
      <c r="S16" s="184" t="s">
        <v>196</v>
      </c>
      <c r="T16" s="184" t="s">
        <v>196</v>
      </c>
      <c r="Z16" s="92"/>
    </row>
    <row r="17" spans="1:28">
      <c r="A17" s="162">
        <v>15</v>
      </c>
      <c r="B17" s="166">
        <v>257.25</v>
      </c>
      <c r="C17" s="166">
        <v>255</v>
      </c>
      <c r="E17" s="163">
        <v>15</v>
      </c>
      <c r="F17" s="164">
        <v>786.46999999999991</v>
      </c>
      <c r="G17" s="164">
        <v>426.00999999999993</v>
      </c>
      <c r="H17" s="5"/>
      <c r="I17" s="169">
        <v>15</v>
      </c>
      <c r="J17" s="170">
        <v>590.1</v>
      </c>
      <c r="K17" s="170">
        <v>267.75</v>
      </c>
      <c r="L17" s="5"/>
      <c r="M17" s="174" t="s">
        <v>24</v>
      </c>
      <c r="N17" s="175">
        <v>26</v>
      </c>
      <c r="O17" s="174">
        <v>1</v>
      </c>
      <c r="P17" s="566">
        <v>40</v>
      </c>
      <c r="R17" s="186" t="s">
        <v>194</v>
      </c>
      <c r="S17" s="185">
        <v>90</v>
      </c>
      <c r="T17" s="185">
        <v>115</v>
      </c>
      <c r="Z17" s="92"/>
      <c r="AA17" t="s">
        <v>931</v>
      </c>
    </row>
    <row r="18" spans="1:28">
      <c r="A18" s="162">
        <v>16</v>
      </c>
      <c r="B18" s="166">
        <v>260.40000000000003</v>
      </c>
      <c r="C18" s="166">
        <v>261</v>
      </c>
      <c r="E18" s="163">
        <v>16</v>
      </c>
      <c r="F18" s="164">
        <v>815.84999999999991</v>
      </c>
      <c r="G18" s="164">
        <v>441.83</v>
      </c>
      <c r="H18" s="5"/>
      <c r="I18" s="169">
        <v>16</v>
      </c>
      <c r="J18" s="170">
        <v>620.55000000000007</v>
      </c>
      <c r="K18" s="170">
        <v>274.05</v>
      </c>
      <c r="L18" s="5"/>
      <c r="M18" s="174" t="s">
        <v>174</v>
      </c>
      <c r="N18" s="175">
        <v>13</v>
      </c>
      <c r="O18" s="174">
        <v>2</v>
      </c>
      <c r="P18" s="566">
        <v>50</v>
      </c>
      <c r="R18" s="186" t="s">
        <v>195</v>
      </c>
      <c r="S18" s="185">
        <v>115</v>
      </c>
      <c r="Z18" s="92"/>
      <c r="AA18" t="s">
        <v>928</v>
      </c>
      <c r="AB18">
        <v>9</v>
      </c>
    </row>
    <row r="19" spans="1:28">
      <c r="A19" s="162">
        <v>17</v>
      </c>
      <c r="B19" s="166">
        <v>263.55</v>
      </c>
      <c r="C19" s="166">
        <v>278</v>
      </c>
      <c r="E19" s="163">
        <v>17</v>
      </c>
      <c r="F19" s="164">
        <v>832.8</v>
      </c>
      <c r="G19" s="164">
        <v>463.29999999999995</v>
      </c>
      <c r="H19" s="5"/>
      <c r="I19" s="169">
        <v>17</v>
      </c>
      <c r="J19" s="170">
        <v>636.30000000000007</v>
      </c>
      <c r="K19" s="170">
        <v>291.90000000000003</v>
      </c>
      <c r="L19" s="5"/>
      <c r="O19" s="174">
        <v>3</v>
      </c>
      <c r="P19" s="566">
        <v>60</v>
      </c>
      <c r="Z19" s="92"/>
      <c r="AA19" t="s">
        <v>70</v>
      </c>
      <c r="AB19">
        <v>9</v>
      </c>
    </row>
    <row r="20" spans="1:28">
      <c r="A20" s="162">
        <v>18</v>
      </c>
      <c r="B20" s="166">
        <v>267.75</v>
      </c>
      <c r="C20" s="166">
        <v>289</v>
      </c>
      <c r="E20" s="163">
        <v>18</v>
      </c>
      <c r="F20" s="164">
        <v>859.92</v>
      </c>
      <c r="G20" s="164">
        <v>479.11999999999995</v>
      </c>
      <c r="H20" s="5"/>
      <c r="I20" s="169">
        <v>18</v>
      </c>
      <c r="J20" s="170">
        <v>660.45</v>
      </c>
      <c r="K20" s="170">
        <v>303.45</v>
      </c>
      <c r="L20" s="5"/>
      <c r="M20" s="176" t="s">
        <v>175</v>
      </c>
      <c r="O20" s="174">
        <v>4</v>
      </c>
      <c r="P20" s="566">
        <v>70</v>
      </c>
      <c r="R20" s="186" t="s">
        <v>197</v>
      </c>
      <c r="S20" s="184" t="s">
        <v>191</v>
      </c>
      <c r="T20" s="184" t="s">
        <v>193</v>
      </c>
      <c r="Z20" s="92"/>
      <c r="AA20" t="s">
        <v>71</v>
      </c>
      <c r="AB20">
        <v>9</v>
      </c>
    </row>
    <row r="21" spans="1:28">
      <c r="A21" s="162">
        <v>19</v>
      </c>
      <c r="B21" s="166">
        <v>271.95</v>
      </c>
      <c r="C21" s="166">
        <v>300</v>
      </c>
      <c r="E21" s="163">
        <v>19</v>
      </c>
      <c r="F21" s="164">
        <v>868.95999999999992</v>
      </c>
      <c r="G21" s="164">
        <v>506.23999999999995</v>
      </c>
      <c r="H21" s="5"/>
      <c r="I21" s="169">
        <v>19</v>
      </c>
      <c r="J21" s="170">
        <v>669.9</v>
      </c>
      <c r="K21" s="170">
        <v>315</v>
      </c>
      <c r="L21" s="5"/>
      <c r="M21" s="174" t="s">
        <v>24</v>
      </c>
      <c r="N21" s="175">
        <v>25</v>
      </c>
      <c r="O21" s="174">
        <v>5</v>
      </c>
      <c r="P21" s="566">
        <v>80</v>
      </c>
      <c r="R21" s="186" t="s">
        <v>198</v>
      </c>
      <c r="S21" s="185">
        <v>160</v>
      </c>
      <c r="T21" s="185">
        <v>175</v>
      </c>
      <c r="Z21" s="92"/>
      <c r="AA21" t="s">
        <v>73</v>
      </c>
      <c r="AB21">
        <v>11.26</v>
      </c>
    </row>
    <row r="22" spans="1:28">
      <c r="A22" s="162">
        <v>20</v>
      </c>
      <c r="B22" s="166">
        <v>274.05</v>
      </c>
      <c r="C22" s="166">
        <v>310</v>
      </c>
      <c r="E22" s="163">
        <v>20</v>
      </c>
      <c r="F22" s="164">
        <v>897.20999999999992</v>
      </c>
      <c r="G22" s="164">
        <v>520.92999999999995</v>
      </c>
      <c r="H22" s="5"/>
      <c r="I22" s="169">
        <v>20</v>
      </c>
      <c r="J22" s="170">
        <v>696.15</v>
      </c>
      <c r="K22" s="170">
        <v>325.5</v>
      </c>
      <c r="L22" s="5"/>
      <c r="M22" s="174" t="s">
        <v>174</v>
      </c>
      <c r="N22" s="175">
        <v>33.4</v>
      </c>
      <c r="O22" s="174">
        <v>6</v>
      </c>
      <c r="P22" s="566">
        <v>90</v>
      </c>
      <c r="R22" s="186" t="s">
        <v>199</v>
      </c>
      <c r="S22" s="185">
        <v>320</v>
      </c>
      <c r="T22" s="185">
        <v>350</v>
      </c>
      <c r="Z22" s="92"/>
      <c r="AA22" t="s">
        <v>826</v>
      </c>
      <c r="AB22">
        <v>11.26</v>
      </c>
    </row>
    <row r="23" spans="1:28">
      <c r="A23" s="162">
        <v>21</v>
      </c>
      <c r="B23" s="166">
        <v>277.2</v>
      </c>
      <c r="C23" s="166">
        <v>322</v>
      </c>
      <c r="E23" s="163" t="s">
        <v>150</v>
      </c>
      <c r="F23" s="164">
        <v>22.599999999999998</v>
      </c>
      <c r="G23" s="164">
        <v>21.47</v>
      </c>
      <c r="H23" s="5"/>
      <c r="I23" s="169">
        <v>21</v>
      </c>
      <c r="J23" s="170">
        <v>717.15</v>
      </c>
      <c r="K23" s="170">
        <v>338.1</v>
      </c>
      <c r="L23" s="5"/>
      <c r="O23" s="174">
        <v>7</v>
      </c>
      <c r="P23" s="566">
        <v>100</v>
      </c>
      <c r="Z23" s="92"/>
      <c r="AA23" t="s">
        <v>830</v>
      </c>
      <c r="AB23">
        <v>11.26</v>
      </c>
    </row>
    <row r="24" spans="1:28">
      <c r="A24" s="162">
        <v>22</v>
      </c>
      <c r="B24" s="166">
        <v>280.35000000000002</v>
      </c>
      <c r="C24" s="166">
        <v>334</v>
      </c>
      <c r="I24" s="169">
        <v>22</v>
      </c>
      <c r="J24" s="170">
        <v>738.15</v>
      </c>
      <c r="K24" s="170">
        <v>350.7</v>
      </c>
      <c r="L24" s="5"/>
      <c r="M24" s="176" t="s">
        <v>176</v>
      </c>
      <c r="N24" s="177">
        <v>37</v>
      </c>
      <c r="Z24" s="92"/>
      <c r="AA24" t="s">
        <v>929</v>
      </c>
      <c r="AB24">
        <v>11.26</v>
      </c>
    </row>
    <row r="25" spans="1:28">
      <c r="A25" s="162">
        <v>23</v>
      </c>
      <c r="B25" s="166">
        <v>284.55</v>
      </c>
      <c r="C25" s="166">
        <v>347</v>
      </c>
      <c r="E25" s="832" t="s">
        <v>151</v>
      </c>
      <c r="F25" s="832"/>
      <c r="G25" s="832"/>
      <c r="I25" s="169">
        <v>23</v>
      </c>
      <c r="J25" s="170">
        <v>759.15</v>
      </c>
      <c r="K25" s="170">
        <v>364.35</v>
      </c>
      <c r="L25" s="5"/>
      <c r="M25" s="176" t="s">
        <v>481</v>
      </c>
      <c r="N25" s="177">
        <v>50</v>
      </c>
      <c r="Z25" s="92"/>
      <c r="AA25" t="s">
        <v>930</v>
      </c>
      <c r="AB25">
        <v>11.26</v>
      </c>
    </row>
    <row r="26" spans="1:28">
      <c r="A26" s="162">
        <v>24</v>
      </c>
      <c r="B26" s="166">
        <v>287.7</v>
      </c>
      <c r="C26" s="166">
        <v>359</v>
      </c>
      <c r="I26" s="169">
        <v>24</v>
      </c>
      <c r="J26" s="170">
        <v>780.15</v>
      </c>
      <c r="K26" s="170">
        <v>376.95</v>
      </c>
      <c r="L26" s="5"/>
      <c r="M26" s="176" t="s">
        <v>177</v>
      </c>
      <c r="N26" s="178" t="s">
        <v>181</v>
      </c>
      <c r="R26" t="s">
        <v>480</v>
      </c>
      <c r="Z26" s="92"/>
    </row>
    <row r="27" spans="1:28">
      <c r="A27" s="162">
        <v>25</v>
      </c>
      <c r="B27" s="166">
        <v>290.85000000000002</v>
      </c>
      <c r="C27" s="166">
        <v>371</v>
      </c>
      <c r="E27" s="832" t="s">
        <v>161</v>
      </c>
      <c r="F27" s="832"/>
      <c r="G27" s="165">
        <v>0.05</v>
      </c>
      <c r="I27" s="169">
        <v>25</v>
      </c>
      <c r="J27" s="170">
        <v>799.05000000000007</v>
      </c>
      <c r="K27" s="170">
        <v>389.55</v>
      </c>
      <c r="L27" s="5"/>
      <c r="M27" s="174" t="s">
        <v>178</v>
      </c>
      <c r="N27" s="175">
        <v>50</v>
      </c>
      <c r="R27" t="s">
        <v>479</v>
      </c>
      <c r="Z27" s="92"/>
    </row>
    <row r="28" spans="1:28">
      <c r="A28" s="162">
        <v>26</v>
      </c>
      <c r="B28" s="166">
        <v>295.05</v>
      </c>
      <c r="C28" s="166">
        <v>383</v>
      </c>
      <c r="E28" s="832" t="s">
        <v>162</v>
      </c>
      <c r="F28" s="832"/>
      <c r="G28" s="165">
        <v>0.15</v>
      </c>
      <c r="I28" s="169">
        <v>26</v>
      </c>
      <c r="J28" s="170">
        <v>821.1</v>
      </c>
      <c r="K28" s="170">
        <v>402.15000000000003</v>
      </c>
      <c r="L28" s="5"/>
      <c r="M28" s="174" t="s">
        <v>179</v>
      </c>
      <c r="N28" s="175">
        <v>70</v>
      </c>
      <c r="Z28" s="92"/>
    </row>
    <row r="29" spans="1:28">
      <c r="A29" s="162">
        <v>27</v>
      </c>
      <c r="B29" s="166">
        <v>298.2</v>
      </c>
      <c r="C29" s="166">
        <v>395</v>
      </c>
      <c r="E29" s="832" t="s">
        <v>163</v>
      </c>
      <c r="F29" s="832"/>
      <c r="G29" s="165">
        <v>0.05</v>
      </c>
      <c r="I29" s="169">
        <v>27</v>
      </c>
      <c r="J29" s="170">
        <v>842.1</v>
      </c>
      <c r="K29" s="170">
        <v>414.75</v>
      </c>
      <c r="L29" s="5"/>
      <c r="M29" s="174" t="s">
        <v>180</v>
      </c>
      <c r="N29" s="175">
        <v>99</v>
      </c>
      <c r="R29" s="174" t="s">
        <v>169</v>
      </c>
      <c r="S29" s="174" t="s">
        <v>24</v>
      </c>
      <c r="T29" s="174" t="s">
        <v>704</v>
      </c>
      <c r="U29" s="174" t="s">
        <v>706</v>
      </c>
      <c r="V29" s="174" t="s">
        <v>707</v>
      </c>
      <c r="W29" s="174" t="s">
        <v>708</v>
      </c>
      <c r="Z29" s="92"/>
    </row>
    <row r="30" spans="1:28">
      <c r="A30" s="162">
        <v>28</v>
      </c>
      <c r="B30" s="166">
        <v>301.35000000000002</v>
      </c>
      <c r="C30" s="166">
        <v>407</v>
      </c>
      <c r="E30" s="832" t="s">
        <v>164</v>
      </c>
      <c r="F30" s="832"/>
      <c r="G30" s="165">
        <v>0.1</v>
      </c>
      <c r="I30" s="169">
        <v>28</v>
      </c>
      <c r="J30" s="170">
        <v>863.1</v>
      </c>
      <c r="K30" s="170">
        <v>427.35</v>
      </c>
      <c r="L30" s="5"/>
      <c r="R30" s="174">
        <v>1</v>
      </c>
      <c r="S30" s="175">
        <v>25</v>
      </c>
      <c r="T30" s="175">
        <v>17</v>
      </c>
      <c r="U30" s="175">
        <f>T30*0.75</f>
        <v>12.75</v>
      </c>
      <c r="V30" s="175">
        <f>T30*0.74</f>
        <v>12.58</v>
      </c>
      <c r="W30" s="175">
        <f>T30*0.73</f>
        <v>12.41</v>
      </c>
      <c r="Z30" s="92"/>
    </row>
    <row r="31" spans="1:28">
      <c r="A31" s="162">
        <v>29</v>
      </c>
      <c r="B31" s="166">
        <v>304.5</v>
      </c>
      <c r="C31" s="166">
        <v>419</v>
      </c>
      <c r="E31" s="832" t="s">
        <v>165</v>
      </c>
      <c r="F31" s="832"/>
      <c r="G31" s="165">
        <v>0.2</v>
      </c>
      <c r="I31" s="169" t="s">
        <v>150</v>
      </c>
      <c r="J31" s="170">
        <v>21</v>
      </c>
      <c r="K31" s="170">
        <v>15.75</v>
      </c>
      <c r="L31" s="5"/>
      <c r="R31" s="174">
        <v>2</v>
      </c>
      <c r="S31" s="175">
        <v>25</v>
      </c>
      <c r="T31" s="175">
        <v>35</v>
      </c>
      <c r="U31" s="175">
        <f t="shared" ref="U31:U36" si="0">T31*0.75</f>
        <v>26.25</v>
      </c>
      <c r="V31" s="175">
        <f t="shared" ref="V31:V36" si="1">T31*0.74</f>
        <v>25.9</v>
      </c>
      <c r="W31" s="175">
        <f t="shared" ref="W31:W36" si="2">T31*0.73</f>
        <v>25.55</v>
      </c>
      <c r="Z31" s="92"/>
    </row>
    <row r="32" spans="1:28">
      <c r="A32" s="162" t="s">
        <v>150</v>
      </c>
      <c r="B32" s="166">
        <v>4.2</v>
      </c>
      <c r="C32" s="166">
        <v>12</v>
      </c>
      <c r="E32" s="832" t="s">
        <v>166</v>
      </c>
      <c r="F32" s="832"/>
      <c r="G32" s="165">
        <v>0.2</v>
      </c>
      <c r="R32" s="174">
        <v>3</v>
      </c>
      <c r="S32" s="175">
        <v>25</v>
      </c>
      <c r="T32" s="175">
        <v>45</v>
      </c>
      <c r="U32" s="175">
        <f t="shared" si="0"/>
        <v>33.75</v>
      </c>
      <c r="V32" s="175">
        <f t="shared" si="1"/>
        <v>33.299999999999997</v>
      </c>
      <c r="W32" s="175">
        <f t="shared" si="2"/>
        <v>32.85</v>
      </c>
      <c r="Z32" s="92"/>
    </row>
    <row r="33" spans="1:26">
      <c r="I33" s="834" t="s">
        <v>151</v>
      </c>
      <c r="J33" s="834"/>
      <c r="K33" s="834"/>
      <c r="R33" s="174">
        <v>4</v>
      </c>
      <c r="S33" s="175">
        <v>25</v>
      </c>
      <c r="T33" s="175">
        <v>50</v>
      </c>
      <c r="U33" s="175">
        <f t="shared" si="0"/>
        <v>37.5</v>
      </c>
      <c r="V33" s="175">
        <f t="shared" si="1"/>
        <v>37</v>
      </c>
      <c r="W33" s="175">
        <f t="shared" si="2"/>
        <v>36.5</v>
      </c>
      <c r="Z33" s="92"/>
    </row>
    <row r="34" spans="1:26">
      <c r="A34" s="829" t="s">
        <v>151</v>
      </c>
      <c r="B34" s="829"/>
      <c r="C34" s="829"/>
      <c r="R34" s="174">
        <v>5</v>
      </c>
      <c r="S34" s="175">
        <v>35</v>
      </c>
      <c r="T34" s="175">
        <v>75</v>
      </c>
      <c r="U34" s="175">
        <f t="shared" si="0"/>
        <v>56.25</v>
      </c>
      <c r="V34" s="175">
        <f t="shared" si="1"/>
        <v>55.5</v>
      </c>
      <c r="W34" s="175">
        <f t="shared" si="2"/>
        <v>54.75</v>
      </c>
      <c r="Z34" s="92"/>
    </row>
    <row r="35" spans="1:26">
      <c r="I35" s="834" t="s">
        <v>161</v>
      </c>
      <c r="J35" s="834"/>
      <c r="K35" s="171">
        <v>0.05</v>
      </c>
      <c r="R35" s="174">
        <v>6</v>
      </c>
      <c r="S35" s="175">
        <v>35</v>
      </c>
      <c r="T35" s="175">
        <v>95</v>
      </c>
      <c r="U35" s="175">
        <f t="shared" si="0"/>
        <v>71.25</v>
      </c>
      <c r="V35" s="175">
        <f t="shared" si="1"/>
        <v>70.3</v>
      </c>
      <c r="W35" s="175">
        <f t="shared" si="2"/>
        <v>69.349999999999994</v>
      </c>
      <c r="Z35" s="92"/>
    </row>
    <row r="36" spans="1:26">
      <c r="A36" s="829" t="s">
        <v>157</v>
      </c>
      <c r="B36" s="829"/>
      <c r="C36" s="167">
        <v>0.2</v>
      </c>
      <c r="I36" s="834" t="s">
        <v>162</v>
      </c>
      <c r="J36" s="834"/>
      <c r="K36" s="171">
        <v>0.15</v>
      </c>
      <c r="R36" s="174">
        <v>7</v>
      </c>
      <c r="S36" s="175">
        <v>55</v>
      </c>
      <c r="T36" s="175">
        <v>120</v>
      </c>
      <c r="U36" s="175">
        <f t="shared" si="0"/>
        <v>90</v>
      </c>
      <c r="V36" s="175">
        <f t="shared" si="1"/>
        <v>88.8</v>
      </c>
      <c r="W36" s="175">
        <f t="shared" si="2"/>
        <v>87.6</v>
      </c>
      <c r="Z36" s="92"/>
    </row>
    <row r="37" spans="1:26">
      <c r="A37" s="829" t="s">
        <v>158</v>
      </c>
      <c r="B37" s="829"/>
      <c r="C37" s="167">
        <v>0.2</v>
      </c>
      <c r="I37" s="834" t="s">
        <v>167</v>
      </c>
      <c r="J37" s="834"/>
      <c r="K37" s="171">
        <v>0.15</v>
      </c>
      <c r="R37" s="174"/>
      <c r="S37" s="175"/>
      <c r="T37" s="175"/>
      <c r="U37" s="175"/>
      <c r="V37" s="175"/>
      <c r="W37" s="175"/>
      <c r="Z37" s="92"/>
    </row>
    <row r="38" spans="1:26">
      <c r="A38" s="830" t="s">
        <v>159</v>
      </c>
      <c r="B38" s="830"/>
      <c r="C38" s="168">
        <v>0.2</v>
      </c>
      <c r="I38" s="834" t="s">
        <v>165</v>
      </c>
      <c r="J38" s="834"/>
      <c r="K38" s="171">
        <v>0.2</v>
      </c>
      <c r="R38" s="174"/>
      <c r="S38" s="175"/>
      <c r="T38" s="175"/>
      <c r="U38" s="175"/>
      <c r="V38" s="175"/>
      <c r="W38" s="175"/>
      <c r="Z38" s="92"/>
    </row>
    <row r="39" spans="1:26">
      <c r="I39" s="834" t="s">
        <v>166</v>
      </c>
      <c r="J39" s="834"/>
      <c r="K39" s="171">
        <v>0.2</v>
      </c>
      <c r="R39" s="174"/>
      <c r="S39" s="175"/>
      <c r="T39" s="175"/>
      <c r="U39" s="175"/>
      <c r="V39" s="175"/>
      <c r="W39" s="175"/>
      <c r="Z39" s="92"/>
    </row>
    <row r="40" spans="1:26" ht="21">
      <c r="A40" s="831" t="s">
        <v>75</v>
      </c>
      <c r="B40" s="831"/>
      <c r="C40" s="831"/>
      <c r="D40" s="831"/>
      <c r="E40" s="831"/>
      <c r="F40" s="831"/>
      <c r="G40" s="831"/>
      <c r="H40" s="831"/>
      <c r="I40" s="831"/>
      <c r="J40" s="831"/>
      <c r="K40" s="831"/>
      <c r="L40" s="831"/>
      <c r="M40" s="831"/>
      <c r="N40" s="831"/>
      <c r="O40" s="831"/>
      <c r="P40" s="831"/>
      <c r="R40" s="174"/>
      <c r="S40" s="175"/>
      <c r="T40" s="175"/>
      <c r="U40" s="175"/>
      <c r="V40" s="175"/>
      <c r="W40" s="175"/>
      <c r="Z40" s="92"/>
    </row>
    <row r="41" spans="1:26">
      <c r="A41" s="828" t="s">
        <v>152</v>
      </c>
      <c r="B41" s="828"/>
      <c r="C41" s="172">
        <v>0.25</v>
      </c>
      <c r="E41" s="237" t="s">
        <v>494</v>
      </c>
      <c r="H41" s="240" t="s">
        <v>492</v>
      </c>
      <c r="K41" s="250" t="s">
        <v>491</v>
      </c>
      <c r="Z41" s="92"/>
    </row>
    <row r="42" spans="1:26">
      <c r="A42" s="828" t="s">
        <v>153</v>
      </c>
      <c r="B42" s="828"/>
      <c r="C42" s="172">
        <v>0.17</v>
      </c>
      <c r="E42" s="186" t="s">
        <v>500</v>
      </c>
      <c r="F42" s="186">
        <v>0.5</v>
      </c>
      <c r="H42" s="239" t="s">
        <v>500</v>
      </c>
      <c r="I42" s="239">
        <v>12.5</v>
      </c>
      <c r="K42" s="249" t="s">
        <v>500</v>
      </c>
      <c r="L42" s="249">
        <v>500</v>
      </c>
      <c r="R42" s="174" t="s">
        <v>705</v>
      </c>
      <c r="S42" s="175">
        <v>13</v>
      </c>
    </row>
    <row r="43" spans="1:26">
      <c r="A43" s="828" t="s">
        <v>154</v>
      </c>
      <c r="B43" s="828"/>
      <c r="C43" s="172">
        <v>0.12</v>
      </c>
      <c r="E43" s="186" t="s">
        <v>495</v>
      </c>
      <c r="F43" s="185">
        <v>50</v>
      </c>
      <c r="H43" s="239" t="s">
        <v>495</v>
      </c>
      <c r="I43" s="241">
        <v>50</v>
      </c>
      <c r="K43" s="249" t="s">
        <v>495</v>
      </c>
      <c r="L43" s="251">
        <v>50</v>
      </c>
      <c r="R43" s="174" t="s">
        <v>174</v>
      </c>
      <c r="S43" s="175">
        <v>13</v>
      </c>
    </row>
    <row r="44" spans="1:26" ht="36.75" customHeight="1">
      <c r="A44" s="828" t="s">
        <v>155</v>
      </c>
      <c r="B44" s="828"/>
      <c r="C44" s="172">
        <v>0.1</v>
      </c>
      <c r="E44" s="186" t="s">
        <v>383</v>
      </c>
      <c r="F44" s="238">
        <v>0.2</v>
      </c>
      <c r="H44" s="239" t="s">
        <v>383</v>
      </c>
      <c r="I44" s="242">
        <v>0</v>
      </c>
      <c r="K44" s="249" t="s">
        <v>383</v>
      </c>
      <c r="L44" s="252">
        <v>0</v>
      </c>
    </row>
    <row r="45" spans="1:26">
      <c r="A45" s="828" t="s">
        <v>156</v>
      </c>
      <c r="B45" s="828"/>
      <c r="C45" s="172">
        <v>0.08</v>
      </c>
      <c r="E45" s="186" t="s">
        <v>496</v>
      </c>
      <c r="F45" s="185">
        <v>2.2200000000000002</v>
      </c>
      <c r="H45" s="239" t="s">
        <v>496</v>
      </c>
      <c r="I45" s="241">
        <v>0</v>
      </c>
      <c r="K45" s="249" t="s">
        <v>496</v>
      </c>
      <c r="L45" s="251">
        <v>5</v>
      </c>
    </row>
    <row r="46" spans="1:26">
      <c r="E46" s="186" t="s">
        <v>497</v>
      </c>
      <c r="F46" s="185">
        <v>0.56000000000000005</v>
      </c>
      <c r="H46" s="239" t="s">
        <v>497</v>
      </c>
      <c r="I46" s="243">
        <v>0.45</v>
      </c>
      <c r="K46" s="249" t="s">
        <v>497</v>
      </c>
      <c r="L46" s="251">
        <v>2</v>
      </c>
    </row>
    <row r="47" spans="1:26">
      <c r="A47" s="248" t="s">
        <v>501</v>
      </c>
      <c r="E47" s="186" t="s">
        <v>498</v>
      </c>
      <c r="F47" s="185">
        <v>40</v>
      </c>
      <c r="H47" s="239" t="s">
        <v>651</v>
      </c>
      <c r="I47" s="243">
        <v>0.52</v>
      </c>
      <c r="K47" s="249" t="s">
        <v>498</v>
      </c>
      <c r="L47" s="251">
        <v>480</v>
      </c>
    </row>
    <row r="48" spans="1:26">
      <c r="A48" s="244" t="s">
        <v>500</v>
      </c>
      <c r="B48" s="244">
        <v>2.5</v>
      </c>
      <c r="E48" s="186" t="s">
        <v>499</v>
      </c>
      <c r="F48" s="238">
        <v>0.4</v>
      </c>
      <c r="H48" s="239" t="s">
        <v>499</v>
      </c>
      <c r="I48" s="242">
        <v>0.3</v>
      </c>
      <c r="K48" s="249" t="s">
        <v>499</v>
      </c>
      <c r="L48" s="252">
        <v>0.3</v>
      </c>
    </row>
    <row r="49" spans="1:2">
      <c r="A49" s="244" t="s">
        <v>495</v>
      </c>
      <c r="B49" s="245">
        <v>65</v>
      </c>
    </row>
    <row r="50" spans="1:2">
      <c r="A50" s="244" t="s">
        <v>383</v>
      </c>
      <c r="B50" s="246">
        <v>0.2</v>
      </c>
    </row>
    <row r="51" spans="1:2">
      <c r="A51" s="244" t="s">
        <v>496</v>
      </c>
      <c r="B51" s="245">
        <v>4</v>
      </c>
    </row>
    <row r="52" spans="1:2">
      <c r="A52" s="244" t="s">
        <v>497</v>
      </c>
      <c r="B52" s="247">
        <v>0.3</v>
      </c>
    </row>
    <row r="53" spans="1:2">
      <c r="A53" s="244" t="s">
        <v>498</v>
      </c>
      <c r="B53" s="247">
        <v>1.5</v>
      </c>
    </row>
    <row r="54" spans="1:2">
      <c r="A54" s="244" t="s">
        <v>499</v>
      </c>
      <c r="B54" s="246">
        <v>0.33</v>
      </c>
    </row>
    <row r="56" spans="1:2">
      <c r="A56" s="323" t="s">
        <v>703</v>
      </c>
    </row>
    <row r="57" spans="1:2">
      <c r="A57" s="321" t="s">
        <v>500</v>
      </c>
      <c r="B57" s="321">
        <v>1.5</v>
      </c>
    </row>
    <row r="58" spans="1:2">
      <c r="A58" s="321" t="s">
        <v>495</v>
      </c>
      <c r="B58" s="321">
        <v>45</v>
      </c>
    </row>
    <row r="59" spans="1:2">
      <c r="A59" s="321" t="s">
        <v>383</v>
      </c>
      <c r="B59" s="322">
        <v>0.2</v>
      </c>
    </row>
    <row r="60" spans="1:2">
      <c r="A60" s="321" t="s">
        <v>496</v>
      </c>
      <c r="B60" s="321">
        <v>5</v>
      </c>
    </row>
    <row r="61" spans="1:2">
      <c r="A61" s="321" t="s">
        <v>497</v>
      </c>
      <c r="B61" s="321">
        <v>0.1</v>
      </c>
    </row>
    <row r="62" spans="1:2">
      <c r="A62" s="321" t="s">
        <v>498</v>
      </c>
      <c r="B62" s="321">
        <v>0.01</v>
      </c>
    </row>
    <row r="63" spans="1:2">
      <c r="A63" s="321" t="s">
        <v>499</v>
      </c>
      <c r="B63" s="322">
        <v>0.48</v>
      </c>
    </row>
  </sheetData>
  <mergeCells count="30">
    <mergeCell ref="R1:S1"/>
    <mergeCell ref="R10:T10"/>
    <mergeCell ref="I35:J35"/>
    <mergeCell ref="I36:J36"/>
    <mergeCell ref="I38:J38"/>
    <mergeCell ref="I39:J39"/>
    <mergeCell ref="E30:F30"/>
    <mergeCell ref="E29:F29"/>
    <mergeCell ref="M1:P1"/>
    <mergeCell ref="E1:G1"/>
    <mergeCell ref="E25:G25"/>
    <mergeCell ref="E32:F32"/>
    <mergeCell ref="E31:F31"/>
    <mergeCell ref="I37:J37"/>
    <mergeCell ref="AA1:AA3"/>
    <mergeCell ref="A44:B44"/>
    <mergeCell ref="A45:B45"/>
    <mergeCell ref="A36:B36"/>
    <mergeCell ref="A37:B37"/>
    <mergeCell ref="A38:B38"/>
    <mergeCell ref="A41:B41"/>
    <mergeCell ref="A42:B42"/>
    <mergeCell ref="A40:P40"/>
    <mergeCell ref="E28:F28"/>
    <mergeCell ref="E27:F27"/>
    <mergeCell ref="I1:K1"/>
    <mergeCell ref="I33:K33"/>
    <mergeCell ref="A43:B43"/>
    <mergeCell ref="A1:C1"/>
    <mergeCell ref="A34:C34"/>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9"/>
  <dimension ref="A1:CX930"/>
  <sheetViews>
    <sheetView zoomScale="85" zoomScaleNormal="85" workbookViewId="0">
      <pane ySplit="1" topLeftCell="A608" activePane="bottomLeft" state="frozen"/>
      <selection pane="bottomLeft" activeCell="P628" sqref="P628"/>
    </sheetView>
  </sheetViews>
  <sheetFormatPr baseColWidth="10" defaultColWidth="9.140625" defaultRowHeight="15"/>
  <cols>
    <col min="1" max="1" width="28.5703125" style="1" customWidth="1"/>
    <col min="2" max="2" width="17.85546875" style="1" customWidth="1"/>
    <col min="3" max="7" width="13.85546875" customWidth="1"/>
    <col min="8" max="8" width="13.85546875" style="262" customWidth="1"/>
    <col min="9" max="12" width="13.85546875" customWidth="1"/>
    <col min="13" max="15" width="19.85546875" customWidth="1"/>
    <col min="16" max="16" width="27.28515625" customWidth="1"/>
    <col min="17" max="29" width="13.85546875" customWidth="1"/>
    <col min="30" max="33" width="13.85546875" style="1" customWidth="1"/>
    <col min="34" max="37" width="9.28515625" style="1" bestFit="1" customWidth="1"/>
    <col min="38" max="42" width="9.7109375" bestFit="1" customWidth="1"/>
    <col min="43" max="46" width="9.28515625" bestFit="1" customWidth="1"/>
    <col min="47" max="47" width="14.42578125" customWidth="1"/>
    <col min="48" max="48" width="9.7109375" bestFit="1" customWidth="1"/>
    <col min="49" max="49" width="9.5703125" bestFit="1" customWidth="1"/>
    <col min="50" max="50" width="9.28515625" bestFit="1" customWidth="1"/>
    <col min="51" max="51" width="9.7109375" style="211" bestFit="1" customWidth="1"/>
    <col min="52" max="52" width="13.28515625" style="1" customWidth="1"/>
    <col min="53" max="55" width="9.140625" style="1"/>
    <col min="56" max="57" width="12.7109375" style="1" customWidth="1"/>
    <col min="58" max="61" width="12.7109375" customWidth="1"/>
    <col min="68" max="68" width="9.5703125" bestFit="1" customWidth="1"/>
    <col min="72" max="76" width="17.140625" customWidth="1"/>
    <col min="82" max="82" width="12.28515625" customWidth="1"/>
    <col min="83" max="83" width="11.42578125" customWidth="1"/>
  </cols>
  <sheetData>
    <row r="1" spans="1:102">
      <c r="A1" s="256" t="s">
        <v>628</v>
      </c>
      <c r="B1" s="256" t="s">
        <v>629</v>
      </c>
      <c r="C1" s="257">
        <v>1</v>
      </c>
      <c r="D1" s="256">
        <v>2</v>
      </c>
      <c r="E1" s="256">
        <v>3</v>
      </c>
      <c r="F1" s="256">
        <v>4</v>
      </c>
      <c r="G1" s="256">
        <v>5</v>
      </c>
      <c r="H1" s="256">
        <v>6</v>
      </c>
      <c r="I1" s="256">
        <v>7</v>
      </c>
      <c r="J1" s="256">
        <v>8</v>
      </c>
      <c r="K1" s="256">
        <v>9</v>
      </c>
      <c r="L1" s="256">
        <v>10</v>
      </c>
      <c r="M1" s="256">
        <v>11</v>
      </c>
      <c r="N1" s="256">
        <v>12</v>
      </c>
      <c r="O1" s="256">
        <v>13</v>
      </c>
      <c r="P1" s="256">
        <v>14</v>
      </c>
      <c r="Q1" s="256">
        <v>15</v>
      </c>
      <c r="R1" s="256">
        <v>16</v>
      </c>
      <c r="S1" s="256">
        <v>17</v>
      </c>
      <c r="T1" s="256">
        <v>18</v>
      </c>
      <c r="U1" s="256">
        <v>19</v>
      </c>
      <c r="V1" s="256">
        <v>20</v>
      </c>
      <c r="W1" s="256">
        <v>30</v>
      </c>
      <c r="X1" s="256">
        <v>40</v>
      </c>
      <c r="Y1" s="256">
        <v>50</v>
      </c>
      <c r="Z1" s="256">
        <v>60</v>
      </c>
      <c r="AA1" s="256">
        <v>70</v>
      </c>
      <c r="AB1" s="256">
        <v>80</v>
      </c>
      <c r="AC1" s="256">
        <v>90</v>
      </c>
      <c r="AD1" s="256">
        <v>100</v>
      </c>
      <c r="AE1" s="256">
        <v>110</v>
      </c>
      <c r="AF1" s="256">
        <v>125</v>
      </c>
      <c r="AG1" s="256">
        <v>150</v>
      </c>
      <c r="AH1" s="256">
        <v>175</v>
      </c>
      <c r="AI1" s="256">
        <v>201</v>
      </c>
      <c r="AJ1" s="256">
        <v>225</v>
      </c>
      <c r="AK1" s="256">
        <v>250</v>
      </c>
      <c r="AL1" s="256">
        <v>301</v>
      </c>
      <c r="AM1" s="256">
        <v>325</v>
      </c>
      <c r="AN1" s="256">
        <v>350</v>
      </c>
      <c r="AO1" s="256">
        <v>375</v>
      </c>
      <c r="AP1" s="256">
        <v>401</v>
      </c>
      <c r="AQ1" s="256">
        <v>425</v>
      </c>
      <c r="AR1" s="256">
        <v>450</v>
      </c>
      <c r="AS1" s="256">
        <v>475</v>
      </c>
      <c r="AT1" s="256">
        <v>500</v>
      </c>
      <c r="AU1" s="256">
        <v>525</v>
      </c>
      <c r="AV1" s="256">
        <v>550</v>
      </c>
      <c r="AW1" s="256">
        <v>575</v>
      </c>
      <c r="AX1" s="256">
        <v>600</v>
      </c>
      <c r="AY1" s="256">
        <v>650</v>
      </c>
      <c r="AZ1" s="256">
        <v>700</v>
      </c>
      <c r="BA1" s="256">
        <v>750</v>
      </c>
      <c r="BB1" s="256">
        <v>800</v>
      </c>
      <c r="BC1" s="256">
        <v>850</v>
      </c>
      <c r="BD1" s="256">
        <v>900</v>
      </c>
      <c r="BE1" s="256">
        <v>950</v>
      </c>
      <c r="BF1" s="256">
        <v>1000</v>
      </c>
      <c r="BG1" s="258">
        <v>1100</v>
      </c>
      <c r="BH1" s="258">
        <v>1200</v>
      </c>
      <c r="BI1" s="258">
        <v>1250</v>
      </c>
      <c r="BJ1" s="258">
        <v>1300</v>
      </c>
      <c r="BK1" s="258">
        <v>1400</v>
      </c>
      <c r="BL1" s="256">
        <v>1500</v>
      </c>
      <c r="BM1" s="256">
        <v>1600</v>
      </c>
      <c r="BN1" s="256">
        <v>1700</v>
      </c>
      <c r="BO1" s="256">
        <v>1750</v>
      </c>
      <c r="BP1" s="256">
        <v>1800</v>
      </c>
      <c r="BQ1" s="256">
        <v>1900</v>
      </c>
      <c r="BR1" s="256">
        <v>2000</v>
      </c>
      <c r="BS1" s="256">
        <v>2250</v>
      </c>
      <c r="BT1" s="256">
        <v>2500</v>
      </c>
      <c r="BU1" s="256">
        <f>5.5*500</f>
        <v>2750</v>
      </c>
      <c r="BV1" s="256">
        <f>6*500</f>
        <v>3000</v>
      </c>
      <c r="BW1" s="256">
        <v>3500</v>
      </c>
      <c r="BX1" s="256">
        <v>4000</v>
      </c>
      <c r="BY1" s="256">
        <v>4500</v>
      </c>
      <c r="BZ1" s="256">
        <v>5000</v>
      </c>
      <c r="CA1" s="256">
        <v>5500</v>
      </c>
      <c r="CB1" s="256">
        <v>6000</v>
      </c>
      <c r="CC1" s="256">
        <v>7000</v>
      </c>
      <c r="CD1" s="256">
        <v>8000</v>
      </c>
      <c r="CE1" s="256">
        <v>9000</v>
      </c>
      <c r="CF1" s="256">
        <v>10000</v>
      </c>
      <c r="CG1" s="1" t="s">
        <v>722</v>
      </c>
      <c r="CH1" s="159" t="s">
        <v>757</v>
      </c>
      <c r="CI1" s="159" t="s">
        <v>758</v>
      </c>
      <c r="CJ1" s="159" t="s">
        <v>759</v>
      </c>
      <c r="CK1" s="159" t="s">
        <v>760</v>
      </c>
      <c r="CL1" s="159" t="s">
        <v>761</v>
      </c>
    </row>
    <row r="2" spans="1:102" s="437" customFormat="1">
      <c r="A2" s="435" t="s">
        <v>510</v>
      </c>
      <c r="B2" s="435" t="s">
        <v>90</v>
      </c>
      <c r="C2" s="436" cm="1">
        <f t="array" ref="C2">IF($B603=0, Vide, $B603)</f>
        <v>40.203999999999986</v>
      </c>
      <c r="D2" s="436" cm="1">
        <f t="array" ref="D2">IF($B603=0, Vide, $B603)</f>
        <v>40.203999999999986</v>
      </c>
      <c r="E2" s="436" cm="1">
        <f t="array" ref="E2">IF($B603=0, Vide, $B603)</f>
        <v>40.203999999999986</v>
      </c>
      <c r="F2" s="436" cm="1">
        <f t="array" ref="F2">IF($B603=0, Vide, $B603)</f>
        <v>40.203999999999986</v>
      </c>
      <c r="G2" s="436" cm="1">
        <f t="array" ref="G2">IF($B603=0, Vide, $B603)</f>
        <v>40.203999999999986</v>
      </c>
      <c r="H2" s="436" cm="1">
        <f t="array" ref="H2">IF($C603=0, Vide, $C603)</f>
        <v>47.477749999999993</v>
      </c>
      <c r="I2" s="436" cm="1">
        <f t="array" ref="I2">IF($C603=0, Vide, $C603)</f>
        <v>47.477749999999993</v>
      </c>
      <c r="J2" s="436" cm="1">
        <f t="array" ref="J2">IF($C603=0, Vide, $C603)</f>
        <v>47.477749999999993</v>
      </c>
      <c r="K2" s="436" cm="1">
        <f t="array" ref="K2">IF($C603=0, Vide, $C603)</f>
        <v>47.477749999999993</v>
      </c>
      <c r="L2" s="436" cm="1">
        <f t="array" ref="L2">IF($C603=0, Vide, $C603)</f>
        <v>47.477749999999993</v>
      </c>
      <c r="M2" s="436" t="s">
        <v>762</v>
      </c>
      <c r="N2" s="436" t="s">
        <v>762</v>
      </c>
      <c r="O2" s="436" t="s">
        <v>762</v>
      </c>
      <c r="P2" s="436" t="s">
        <v>762</v>
      </c>
      <c r="Q2" s="436" t="s">
        <v>762</v>
      </c>
      <c r="R2" s="436" t="s">
        <v>762</v>
      </c>
      <c r="S2" s="436" t="s">
        <v>762</v>
      </c>
      <c r="T2" s="436" t="s">
        <v>762</v>
      </c>
      <c r="U2" s="436" t="s">
        <v>762</v>
      </c>
      <c r="V2" s="436" cm="1">
        <f t="array" ref="V2">IF($D603=0, Vide, $D603)</f>
        <v>63.215499999999984</v>
      </c>
      <c r="W2" s="436" cm="1">
        <f t="array" ref="W2">IF($E603=0, Vide, $E603)</f>
        <v>75.871824999999987</v>
      </c>
      <c r="X2" s="436" cm="1">
        <f t="array" ref="X2">IF($F603=0, Vide, $F603)</f>
        <v>91.71537499999998</v>
      </c>
      <c r="Y2" s="436" cm="1">
        <f t="array" ref="Y2">IF($G603=0, Vide, $G603)</f>
        <v>107.50602499999999</v>
      </c>
      <c r="Z2" s="436" cm="1">
        <f t="array" ref="Z2">IF($H603=0, Vide, $H603)</f>
        <v>123.56117499999999</v>
      </c>
      <c r="AA2" s="436" cm="1">
        <f t="array" ref="AA2">IF($I603=0, Vide, $I603)</f>
        <v>140.2379</v>
      </c>
      <c r="AB2" s="436" cm="1">
        <f t="array" ref="AB2">IF($J603=0, Vide, $J603)</f>
        <v>157.16589999999999</v>
      </c>
      <c r="AC2" s="436" cm="1">
        <f t="array" ref="AC2">IF($K603=0, Vide, $K603)</f>
        <v>174.12034999999997</v>
      </c>
      <c r="AD2" s="436" cm="1">
        <f t="array" ref="AD2">IF($L603=0, Vide, $L603)</f>
        <v>196.81444999999997</v>
      </c>
      <c r="AE2" s="436">
        <f t="shared" ref="AE2:AN7" si="0">(AE$1/100)*$CG2</f>
        <v>216.49589499999999</v>
      </c>
      <c r="AF2" s="436">
        <f t="shared" si="0"/>
        <v>246.01806249999996</v>
      </c>
      <c r="AG2" s="436">
        <f t="shared" si="0"/>
        <v>295.22167499999995</v>
      </c>
      <c r="AH2" s="436">
        <f t="shared" si="0"/>
        <v>344.42528749999997</v>
      </c>
      <c r="AI2" s="436">
        <f t="shared" si="0"/>
        <v>395.59704449999987</v>
      </c>
      <c r="AJ2" s="436">
        <f t="shared" si="0"/>
        <v>442.83251249999989</v>
      </c>
      <c r="AK2" s="436">
        <f t="shared" si="0"/>
        <v>492.03612499999991</v>
      </c>
      <c r="AL2" s="436">
        <f t="shared" si="0"/>
        <v>592.41149449999989</v>
      </c>
      <c r="AM2" s="436">
        <f t="shared" si="0"/>
        <v>639.64696249999986</v>
      </c>
      <c r="AN2" s="436">
        <f t="shared" si="0"/>
        <v>688.85057499999994</v>
      </c>
      <c r="AO2" s="436">
        <f t="shared" ref="AO2:AX7" si="1">(AO$1/100)*$CG2</f>
        <v>738.0541874999999</v>
      </c>
      <c r="AP2" s="436">
        <f t="shared" si="1"/>
        <v>789.22594449999985</v>
      </c>
      <c r="AQ2" s="436">
        <f t="shared" si="1"/>
        <v>836.46141249999982</v>
      </c>
      <c r="AR2" s="436">
        <f t="shared" si="1"/>
        <v>885.66502499999979</v>
      </c>
      <c r="AS2" s="436">
        <f t="shared" si="1"/>
        <v>934.86863749999986</v>
      </c>
      <c r="AT2" s="436">
        <f t="shared" si="1"/>
        <v>984.07224999999983</v>
      </c>
      <c r="AU2" s="436">
        <f t="shared" si="1"/>
        <v>1033.2758624999999</v>
      </c>
      <c r="AV2" s="436">
        <f t="shared" si="1"/>
        <v>1082.4794749999999</v>
      </c>
      <c r="AW2" s="436">
        <f t="shared" si="1"/>
        <v>1131.6830874999998</v>
      </c>
      <c r="AX2" s="436">
        <f t="shared" si="1"/>
        <v>1180.8866999999998</v>
      </c>
      <c r="AY2" s="436">
        <f t="shared" ref="AY2:BH7" si="2">(AY$1/100)*$CG2</f>
        <v>1279.2939249999997</v>
      </c>
      <c r="AZ2" s="436">
        <f t="shared" si="2"/>
        <v>1377.7011499999999</v>
      </c>
      <c r="BA2" s="436">
        <f t="shared" si="2"/>
        <v>1476.1083749999998</v>
      </c>
      <c r="BB2" s="436">
        <f t="shared" si="2"/>
        <v>1574.5155999999997</v>
      </c>
      <c r="BC2" s="436">
        <f t="shared" si="2"/>
        <v>1672.9228249999996</v>
      </c>
      <c r="BD2" s="436">
        <f t="shared" si="2"/>
        <v>1771.3300499999996</v>
      </c>
      <c r="BE2" s="436">
        <f t="shared" si="2"/>
        <v>1869.7372749999997</v>
      </c>
      <c r="BF2" s="436">
        <f t="shared" si="2"/>
        <v>1968.1444999999997</v>
      </c>
      <c r="BG2" s="436">
        <f t="shared" si="2"/>
        <v>2164.9589499999997</v>
      </c>
      <c r="BH2" s="436">
        <f t="shared" si="2"/>
        <v>2361.7733999999996</v>
      </c>
      <c r="BI2" s="436">
        <f t="shared" ref="BI2:BR7" si="3">(BI$1/100)*$CG2</f>
        <v>2460.1806249999995</v>
      </c>
      <c r="BJ2" s="436">
        <f t="shared" si="3"/>
        <v>2558.5878499999994</v>
      </c>
      <c r="BK2" s="436">
        <f t="shared" si="3"/>
        <v>2755.4022999999997</v>
      </c>
      <c r="BL2" s="436">
        <f t="shared" si="3"/>
        <v>2952.2167499999996</v>
      </c>
      <c r="BM2" s="436">
        <f t="shared" si="3"/>
        <v>3149.0311999999994</v>
      </c>
      <c r="BN2" s="436">
        <f t="shared" si="3"/>
        <v>3345.8456499999993</v>
      </c>
      <c r="BO2" s="436">
        <f t="shared" si="3"/>
        <v>3444.2528749999992</v>
      </c>
      <c r="BP2" s="436">
        <f t="shared" si="3"/>
        <v>3542.6600999999991</v>
      </c>
      <c r="BQ2" s="436">
        <f t="shared" si="3"/>
        <v>3739.4745499999995</v>
      </c>
      <c r="BR2" s="436">
        <f t="shared" si="3"/>
        <v>3936.2889999999993</v>
      </c>
      <c r="BS2" s="436">
        <f t="shared" ref="BS2:CF7" si="4">(BS$1/100)*$CG2</f>
        <v>4428.3251249999994</v>
      </c>
      <c r="BT2" s="436">
        <f t="shared" si="4"/>
        <v>4920.361249999999</v>
      </c>
      <c r="BU2" s="436">
        <f t="shared" si="4"/>
        <v>5412.3973749999986</v>
      </c>
      <c r="BV2" s="436">
        <f t="shared" si="4"/>
        <v>5904.4334999999992</v>
      </c>
      <c r="BW2" s="436">
        <f t="shared" si="4"/>
        <v>6888.5057499999984</v>
      </c>
      <c r="BX2" s="436">
        <f t="shared" si="4"/>
        <v>7872.5779999999986</v>
      </c>
      <c r="BY2" s="436">
        <f t="shared" si="4"/>
        <v>8856.6502499999988</v>
      </c>
      <c r="BZ2" s="436">
        <f t="shared" si="4"/>
        <v>9840.722499999998</v>
      </c>
      <c r="CA2" s="436">
        <f t="shared" si="4"/>
        <v>10824.794749999997</v>
      </c>
      <c r="CB2" s="436">
        <f t="shared" si="4"/>
        <v>11808.866999999998</v>
      </c>
      <c r="CC2" s="436">
        <f t="shared" si="4"/>
        <v>13777.011499999997</v>
      </c>
      <c r="CD2" s="436">
        <f t="shared" si="4"/>
        <v>15745.155999999997</v>
      </c>
      <c r="CE2" s="436">
        <f t="shared" si="4"/>
        <v>17713.300499999998</v>
      </c>
      <c r="CF2" s="436">
        <f t="shared" si="4"/>
        <v>19681.444999999996</v>
      </c>
      <c r="CG2" s="436" cm="1">
        <f t="array" ref="CG2">IF($M603=0, Vide, $M603)</f>
        <v>196.81444999999997</v>
      </c>
      <c r="CH2" s="435" t="s">
        <v>762</v>
      </c>
      <c r="CI2" s="435" t="s">
        <v>762</v>
      </c>
      <c r="CJ2" s="435" t="s">
        <v>762</v>
      </c>
      <c r="CK2" s="435" t="s">
        <v>762</v>
      </c>
      <c r="CL2" s="435" t="s">
        <v>762</v>
      </c>
    </row>
    <row r="3" spans="1:102" s="437" customFormat="1">
      <c r="A3" s="435" t="s">
        <v>511</v>
      </c>
      <c r="B3" s="435" t="s">
        <v>90</v>
      </c>
      <c r="C3" s="436" cm="1">
        <f t="array" ref="C3">IF($B604=0, Vide, $B604)</f>
        <v>34.239524999999993</v>
      </c>
      <c r="D3" s="436" cm="1">
        <f t="array" ref="D3">IF($B604=0, Vide, $B604)</f>
        <v>34.239524999999993</v>
      </c>
      <c r="E3" s="436" cm="1">
        <f t="array" ref="E3">IF($B604=0, Vide, $B604)</f>
        <v>34.239524999999993</v>
      </c>
      <c r="F3" s="436" cm="1">
        <f t="array" ref="F3">IF($B604=0, Vide, $B604)</f>
        <v>34.239524999999993</v>
      </c>
      <c r="G3" s="436" cm="1">
        <f t="array" ref="G3">IF($B604=0, Vide, $B604)</f>
        <v>34.239524999999993</v>
      </c>
      <c r="H3" s="436" cm="1">
        <f t="array" ref="H3">IF($C604=0, Vide, $C604)</f>
        <v>36.500999999999998</v>
      </c>
      <c r="I3" s="436" cm="1">
        <f t="array" ref="I3">IF($C604=0, Vide, $C604)</f>
        <v>36.500999999999998</v>
      </c>
      <c r="J3" s="436" cm="1">
        <f t="array" ref="J3">IF($C604=0, Vide, $C604)</f>
        <v>36.500999999999998</v>
      </c>
      <c r="K3" s="436" cm="1">
        <f t="array" ref="K3">IF($C604=0, Vide, $C604)</f>
        <v>36.500999999999998</v>
      </c>
      <c r="L3" s="436" cm="1">
        <f t="array" ref="L3">IF($C604=0, Vide, $C604)</f>
        <v>36.500999999999998</v>
      </c>
      <c r="M3" s="436" t="s">
        <v>762</v>
      </c>
      <c r="N3" s="436" t="s">
        <v>762</v>
      </c>
      <c r="O3" s="436" t="s">
        <v>762</v>
      </c>
      <c r="P3" s="436" t="s">
        <v>762</v>
      </c>
      <c r="Q3" s="436" t="s">
        <v>762</v>
      </c>
      <c r="R3" s="436" t="s">
        <v>762</v>
      </c>
      <c r="S3" s="436" t="s">
        <v>762</v>
      </c>
      <c r="T3" s="436" t="s">
        <v>762</v>
      </c>
      <c r="U3" s="436" t="s">
        <v>762</v>
      </c>
      <c r="V3" s="436" cm="1">
        <f t="array" ref="V3">IF($D604=0, Vide, $D604)</f>
        <v>40.534624999999991</v>
      </c>
      <c r="W3" s="436" cm="1">
        <f t="array" ref="W3">IF($E604=0, Vide, $E604)</f>
        <v>44.303749999999994</v>
      </c>
      <c r="X3" s="436" cm="1">
        <f t="array" ref="X3">IF($F604=0, Vide, $F604)</f>
        <v>48.601874999999993</v>
      </c>
      <c r="Y3" s="436" cm="1">
        <f t="array" ref="Y3">IF($G604=0, Vide, $G604)</f>
        <v>52.860324999999996</v>
      </c>
      <c r="Z3" s="436" cm="1">
        <f t="array" ref="Z3">IF($H604=0, Vide, $H604)</f>
        <v>57.211349999999989</v>
      </c>
      <c r="AA3" s="436" cm="1">
        <f t="array" ref="AA3">IF($I604=0, Vide, $I604)</f>
        <v>61.535924999999992</v>
      </c>
      <c r="AB3" s="436" cm="1">
        <f t="array" ref="AB3">IF($J604=0, Vide, $J604)</f>
        <v>68.426149999999993</v>
      </c>
      <c r="AC3" s="436" cm="1">
        <f t="array" ref="AC3">IF($K604=0, Vide, $K604)</f>
        <v>75.012199999999993</v>
      </c>
      <c r="AD3" s="436" cm="1">
        <f t="array" ref="AD3">IF($L604=0, Vide, $L604)</f>
        <v>79.349999999999994</v>
      </c>
      <c r="AE3" s="436">
        <f t="shared" si="0"/>
        <v>87.284999999999997</v>
      </c>
      <c r="AF3" s="436">
        <f t="shared" si="0"/>
        <v>99.1875</v>
      </c>
      <c r="AG3" s="436">
        <f t="shared" si="0"/>
        <v>119.02499999999999</v>
      </c>
      <c r="AH3" s="436">
        <f t="shared" si="0"/>
        <v>138.86249999999998</v>
      </c>
      <c r="AI3" s="436">
        <f t="shared" si="0"/>
        <v>159.49349999999998</v>
      </c>
      <c r="AJ3" s="436">
        <f t="shared" si="0"/>
        <v>178.53749999999999</v>
      </c>
      <c r="AK3" s="436">
        <f t="shared" si="0"/>
        <v>198.375</v>
      </c>
      <c r="AL3" s="436">
        <f t="shared" si="0"/>
        <v>238.84349999999998</v>
      </c>
      <c r="AM3" s="436">
        <f t="shared" si="0"/>
        <v>257.88749999999999</v>
      </c>
      <c r="AN3" s="436">
        <f t="shared" si="0"/>
        <v>277.72499999999997</v>
      </c>
      <c r="AO3" s="436">
        <f t="shared" si="1"/>
        <v>297.5625</v>
      </c>
      <c r="AP3" s="436">
        <f t="shared" si="1"/>
        <v>318.19349999999997</v>
      </c>
      <c r="AQ3" s="436">
        <f t="shared" si="1"/>
        <v>337.23749999999995</v>
      </c>
      <c r="AR3" s="436">
        <f t="shared" si="1"/>
        <v>357.07499999999999</v>
      </c>
      <c r="AS3" s="436">
        <f t="shared" si="1"/>
        <v>376.91249999999997</v>
      </c>
      <c r="AT3" s="436">
        <f t="shared" si="1"/>
        <v>396.75</v>
      </c>
      <c r="AU3" s="436">
        <f t="shared" si="1"/>
        <v>416.58749999999998</v>
      </c>
      <c r="AV3" s="436">
        <f t="shared" si="1"/>
        <v>436.42499999999995</v>
      </c>
      <c r="AW3" s="436">
        <f t="shared" si="1"/>
        <v>456.26249999999999</v>
      </c>
      <c r="AX3" s="436">
        <f t="shared" si="1"/>
        <v>476.09999999999997</v>
      </c>
      <c r="AY3" s="436">
        <f t="shared" si="2"/>
        <v>515.77499999999998</v>
      </c>
      <c r="AZ3" s="436">
        <f t="shared" si="2"/>
        <v>555.44999999999993</v>
      </c>
      <c r="BA3" s="436">
        <f t="shared" si="2"/>
        <v>595.125</v>
      </c>
      <c r="BB3" s="436">
        <f t="shared" si="2"/>
        <v>634.79999999999995</v>
      </c>
      <c r="BC3" s="436">
        <f t="shared" si="2"/>
        <v>674.47499999999991</v>
      </c>
      <c r="BD3" s="436">
        <f t="shared" si="2"/>
        <v>714.15</v>
      </c>
      <c r="BE3" s="436">
        <f t="shared" si="2"/>
        <v>753.82499999999993</v>
      </c>
      <c r="BF3" s="436">
        <f t="shared" si="2"/>
        <v>793.5</v>
      </c>
      <c r="BG3" s="436">
        <f t="shared" si="2"/>
        <v>872.84999999999991</v>
      </c>
      <c r="BH3" s="436">
        <f t="shared" si="2"/>
        <v>952.19999999999993</v>
      </c>
      <c r="BI3" s="436">
        <f t="shared" si="3"/>
        <v>991.87499999999989</v>
      </c>
      <c r="BJ3" s="436">
        <f t="shared" si="3"/>
        <v>1031.55</v>
      </c>
      <c r="BK3" s="436">
        <f t="shared" si="3"/>
        <v>1110.8999999999999</v>
      </c>
      <c r="BL3" s="436">
        <f t="shared" si="3"/>
        <v>1190.25</v>
      </c>
      <c r="BM3" s="436">
        <f t="shared" si="3"/>
        <v>1269.5999999999999</v>
      </c>
      <c r="BN3" s="436">
        <f t="shared" si="3"/>
        <v>1348.9499999999998</v>
      </c>
      <c r="BO3" s="436">
        <f t="shared" si="3"/>
        <v>1388.625</v>
      </c>
      <c r="BP3" s="436">
        <f t="shared" si="3"/>
        <v>1428.3</v>
      </c>
      <c r="BQ3" s="436">
        <f t="shared" si="3"/>
        <v>1507.6499999999999</v>
      </c>
      <c r="BR3" s="436">
        <f t="shared" si="3"/>
        <v>1587</v>
      </c>
      <c r="BS3" s="436">
        <f t="shared" si="4"/>
        <v>1785.3749999999998</v>
      </c>
      <c r="BT3" s="436">
        <f t="shared" si="4"/>
        <v>1983.7499999999998</v>
      </c>
      <c r="BU3" s="436">
        <f t="shared" si="4"/>
        <v>2182.125</v>
      </c>
      <c r="BV3" s="436">
        <f t="shared" si="4"/>
        <v>2380.5</v>
      </c>
      <c r="BW3" s="436">
        <f t="shared" si="4"/>
        <v>2777.25</v>
      </c>
      <c r="BX3" s="436">
        <f t="shared" si="4"/>
        <v>3174</v>
      </c>
      <c r="BY3" s="436">
        <f t="shared" si="4"/>
        <v>3570.7499999999995</v>
      </c>
      <c r="BZ3" s="436">
        <f t="shared" si="4"/>
        <v>3967.4999999999995</v>
      </c>
      <c r="CA3" s="436">
        <f t="shared" si="4"/>
        <v>4364.25</v>
      </c>
      <c r="CB3" s="436">
        <f t="shared" si="4"/>
        <v>4761</v>
      </c>
      <c r="CC3" s="436">
        <f t="shared" si="4"/>
        <v>5554.5</v>
      </c>
      <c r="CD3" s="436">
        <f t="shared" si="4"/>
        <v>6348</v>
      </c>
      <c r="CE3" s="436">
        <f t="shared" si="4"/>
        <v>7141.4999999999991</v>
      </c>
      <c r="CF3" s="436">
        <f t="shared" si="4"/>
        <v>7934.9999999999991</v>
      </c>
      <c r="CG3" s="436" cm="1">
        <f t="array" ref="CG3">IF($M604=0, Vide, $M604)</f>
        <v>79.349999999999994</v>
      </c>
      <c r="CH3" s="435" t="s">
        <v>762</v>
      </c>
      <c r="CI3" s="435" t="s">
        <v>762</v>
      </c>
      <c r="CJ3" s="435" t="s">
        <v>762</v>
      </c>
      <c r="CK3" s="435" t="s">
        <v>762</v>
      </c>
      <c r="CL3" s="435" t="s">
        <v>762</v>
      </c>
    </row>
    <row r="4" spans="1:102" s="437" customFormat="1">
      <c r="A4" s="435" t="s">
        <v>512</v>
      </c>
      <c r="B4" s="435" t="s">
        <v>90</v>
      </c>
      <c r="C4" s="436" cm="1">
        <f t="array" ref="C4">IF($B605=0, Vide, $B605)</f>
        <v>40.203999999999986</v>
      </c>
      <c r="D4" s="436" cm="1">
        <f t="array" ref="D4">IF($B605=0, Vide, $B605)</f>
        <v>40.203999999999986</v>
      </c>
      <c r="E4" s="436" cm="1">
        <f t="array" ref="E4">IF($B605=0, Vide, $B605)</f>
        <v>40.203999999999986</v>
      </c>
      <c r="F4" s="436" cm="1">
        <f t="array" ref="F4">IF($B605=0, Vide, $B605)</f>
        <v>40.203999999999986</v>
      </c>
      <c r="G4" s="436" cm="1">
        <f t="array" ref="G4">IF($B605=0, Vide, $B605)</f>
        <v>40.203999999999986</v>
      </c>
      <c r="H4" s="436" cm="1">
        <f t="array" ref="H4">IF($C605=0, Vide, $C605)</f>
        <v>47.477749999999993</v>
      </c>
      <c r="I4" s="436" cm="1">
        <f t="array" ref="I4">IF($C605=0, Vide, $C605)</f>
        <v>47.477749999999993</v>
      </c>
      <c r="J4" s="436" cm="1">
        <f t="array" ref="J4">IF($C605=0, Vide, $C605)</f>
        <v>47.477749999999993</v>
      </c>
      <c r="K4" s="436" cm="1">
        <f t="array" ref="K4">IF($C605=0, Vide, $C605)</f>
        <v>47.477749999999993</v>
      </c>
      <c r="L4" s="436" cm="1">
        <f t="array" ref="L4">IF($C605=0, Vide, $C605)</f>
        <v>47.477749999999993</v>
      </c>
      <c r="M4" s="436" t="s">
        <v>762</v>
      </c>
      <c r="N4" s="436" t="s">
        <v>762</v>
      </c>
      <c r="O4" s="436" t="s">
        <v>762</v>
      </c>
      <c r="P4" s="436" t="s">
        <v>762</v>
      </c>
      <c r="Q4" s="436" t="s">
        <v>762</v>
      </c>
      <c r="R4" s="436" t="s">
        <v>762</v>
      </c>
      <c r="S4" s="436" t="s">
        <v>762</v>
      </c>
      <c r="T4" s="436" t="s">
        <v>762</v>
      </c>
      <c r="U4" s="436" t="s">
        <v>762</v>
      </c>
      <c r="V4" s="436" cm="1">
        <f t="array" ref="V4">IF($D605=0, Vide, $D605)</f>
        <v>63.215499999999984</v>
      </c>
      <c r="W4" s="436" cm="1">
        <f t="array" ref="W4">IF($E605=0, Vide, $E605)</f>
        <v>75.871824999999987</v>
      </c>
      <c r="X4" s="436" cm="1">
        <f t="array" ref="X4">IF($F605=0, Vide, $F605)</f>
        <v>91.71537499999998</v>
      </c>
      <c r="Y4" s="436" cm="1">
        <f t="array" ref="Y4">IF($G605=0, Vide, $G605)</f>
        <v>107.50602499999999</v>
      </c>
      <c r="Z4" s="436" cm="1">
        <f t="array" ref="Z4">IF($H605=0, Vide, $H605)</f>
        <v>123.56117499999999</v>
      </c>
      <c r="AA4" s="436" cm="1">
        <f t="array" ref="AA4">IF($I605=0, Vide, $I605)</f>
        <v>140.2379</v>
      </c>
      <c r="AB4" s="436" cm="1">
        <f t="array" ref="AB4">IF($J605=0, Vide, $J605)</f>
        <v>157.16589999999999</v>
      </c>
      <c r="AC4" s="436" cm="1">
        <f t="array" ref="AC4">IF($K605=0, Vide, $K605)</f>
        <v>174.12034999999997</v>
      </c>
      <c r="AD4" s="436" cm="1">
        <f t="array" ref="AD4">IF($L605=0, Vide, $L605)</f>
        <v>196.81444999999997</v>
      </c>
      <c r="AE4" s="436">
        <f t="shared" si="0"/>
        <v>216.49589499999999</v>
      </c>
      <c r="AF4" s="436">
        <f t="shared" si="0"/>
        <v>246.01806249999996</v>
      </c>
      <c r="AG4" s="436">
        <f t="shared" si="0"/>
        <v>295.22167499999995</v>
      </c>
      <c r="AH4" s="436">
        <f t="shared" si="0"/>
        <v>344.42528749999997</v>
      </c>
      <c r="AI4" s="436">
        <f t="shared" si="0"/>
        <v>395.59704449999987</v>
      </c>
      <c r="AJ4" s="436">
        <f t="shared" si="0"/>
        <v>442.83251249999989</v>
      </c>
      <c r="AK4" s="436">
        <f t="shared" si="0"/>
        <v>492.03612499999991</v>
      </c>
      <c r="AL4" s="436">
        <f t="shared" si="0"/>
        <v>592.41149449999989</v>
      </c>
      <c r="AM4" s="436">
        <f t="shared" si="0"/>
        <v>639.64696249999986</v>
      </c>
      <c r="AN4" s="436">
        <f t="shared" si="0"/>
        <v>688.85057499999994</v>
      </c>
      <c r="AO4" s="436">
        <f t="shared" si="1"/>
        <v>738.0541874999999</v>
      </c>
      <c r="AP4" s="436">
        <f t="shared" si="1"/>
        <v>789.22594449999985</v>
      </c>
      <c r="AQ4" s="436">
        <f t="shared" si="1"/>
        <v>836.46141249999982</v>
      </c>
      <c r="AR4" s="436">
        <f t="shared" si="1"/>
        <v>885.66502499999979</v>
      </c>
      <c r="AS4" s="436">
        <f t="shared" si="1"/>
        <v>934.86863749999986</v>
      </c>
      <c r="AT4" s="436">
        <f t="shared" si="1"/>
        <v>984.07224999999983</v>
      </c>
      <c r="AU4" s="436">
        <f t="shared" si="1"/>
        <v>1033.2758624999999</v>
      </c>
      <c r="AV4" s="436">
        <f t="shared" si="1"/>
        <v>1082.4794749999999</v>
      </c>
      <c r="AW4" s="436">
        <f t="shared" si="1"/>
        <v>1131.6830874999998</v>
      </c>
      <c r="AX4" s="436">
        <f t="shared" si="1"/>
        <v>1180.8866999999998</v>
      </c>
      <c r="AY4" s="436">
        <f t="shared" si="2"/>
        <v>1279.2939249999997</v>
      </c>
      <c r="AZ4" s="436">
        <f t="shared" si="2"/>
        <v>1377.7011499999999</v>
      </c>
      <c r="BA4" s="436">
        <f t="shared" si="2"/>
        <v>1476.1083749999998</v>
      </c>
      <c r="BB4" s="436">
        <f t="shared" si="2"/>
        <v>1574.5155999999997</v>
      </c>
      <c r="BC4" s="436">
        <f t="shared" si="2"/>
        <v>1672.9228249999996</v>
      </c>
      <c r="BD4" s="436">
        <f t="shared" si="2"/>
        <v>1771.3300499999996</v>
      </c>
      <c r="BE4" s="436">
        <f t="shared" si="2"/>
        <v>1869.7372749999997</v>
      </c>
      <c r="BF4" s="436">
        <f t="shared" si="2"/>
        <v>1968.1444999999997</v>
      </c>
      <c r="BG4" s="436">
        <f t="shared" si="2"/>
        <v>2164.9589499999997</v>
      </c>
      <c r="BH4" s="436">
        <f t="shared" si="2"/>
        <v>2361.7733999999996</v>
      </c>
      <c r="BI4" s="436">
        <f t="shared" si="3"/>
        <v>2460.1806249999995</v>
      </c>
      <c r="BJ4" s="436">
        <f t="shared" si="3"/>
        <v>2558.5878499999994</v>
      </c>
      <c r="BK4" s="436">
        <f t="shared" si="3"/>
        <v>2755.4022999999997</v>
      </c>
      <c r="BL4" s="436">
        <f t="shared" si="3"/>
        <v>2952.2167499999996</v>
      </c>
      <c r="BM4" s="436">
        <f t="shared" si="3"/>
        <v>3149.0311999999994</v>
      </c>
      <c r="BN4" s="436">
        <f t="shared" si="3"/>
        <v>3345.8456499999993</v>
      </c>
      <c r="BO4" s="436">
        <f t="shared" si="3"/>
        <v>3444.2528749999992</v>
      </c>
      <c r="BP4" s="436">
        <f t="shared" si="3"/>
        <v>3542.6600999999991</v>
      </c>
      <c r="BQ4" s="436">
        <f t="shared" si="3"/>
        <v>3739.4745499999995</v>
      </c>
      <c r="BR4" s="436">
        <f t="shared" si="3"/>
        <v>3936.2889999999993</v>
      </c>
      <c r="BS4" s="436">
        <f t="shared" si="4"/>
        <v>4428.3251249999994</v>
      </c>
      <c r="BT4" s="436">
        <f t="shared" si="4"/>
        <v>4920.361249999999</v>
      </c>
      <c r="BU4" s="436">
        <f t="shared" si="4"/>
        <v>5412.3973749999986</v>
      </c>
      <c r="BV4" s="436">
        <f t="shared" si="4"/>
        <v>5904.4334999999992</v>
      </c>
      <c r="BW4" s="436">
        <f t="shared" si="4"/>
        <v>6888.5057499999984</v>
      </c>
      <c r="BX4" s="436">
        <f t="shared" si="4"/>
        <v>7872.5779999999986</v>
      </c>
      <c r="BY4" s="436">
        <f t="shared" si="4"/>
        <v>8856.6502499999988</v>
      </c>
      <c r="BZ4" s="436">
        <f t="shared" si="4"/>
        <v>9840.722499999998</v>
      </c>
      <c r="CA4" s="436">
        <f t="shared" si="4"/>
        <v>10824.794749999997</v>
      </c>
      <c r="CB4" s="436">
        <f t="shared" si="4"/>
        <v>11808.866999999998</v>
      </c>
      <c r="CC4" s="436">
        <f t="shared" si="4"/>
        <v>13777.011499999997</v>
      </c>
      <c r="CD4" s="436">
        <f t="shared" si="4"/>
        <v>15745.155999999997</v>
      </c>
      <c r="CE4" s="436">
        <f t="shared" si="4"/>
        <v>17713.300499999998</v>
      </c>
      <c r="CF4" s="436">
        <f t="shared" si="4"/>
        <v>19681.444999999996</v>
      </c>
      <c r="CG4" s="436" cm="1">
        <f t="array" ref="CG4">IF($M605=0, Vide, $M605)</f>
        <v>196.81444999999997</v>
      </c>
      <c r="CH4" s="435" t="s">
        <v>762</v>
      </c>
      <c r="CI4" s="435" t="s">
        <v>762</v>
      </c>
      <c r="CJ4" s="435" t="s">
        <v>762</v>
      </c>
      <c r="CK4" s="435" t="s">
        <v>762</v>
      </c>
      <c r="CL4" s="435" t="s">
        <v>762</v>
      </c>
    </row>
    <row r="5" spans="1:102" s="437" customFormat="1">
      <c r="A5" s="435" t="s">
        <v>513</v>
      </c>
      <c r="B5" s="435" t="s">
        <v>90</v>
      </c>
      <c r="C5" s="436" cm="1">
        <f t="array" ref="C5">IF($B606=0, Vide, $B606)</f>
        <v>41.433924999999995</v>
      </c>
      <c r="D5" s="436" cm="1">
        <f t="array" ref="D5">IF($B606=0, Vide, $B606)</f>
        <v>41.433924999999995</v>
      </c>
      <c r="E5" s="436" cm="1">
        <f t="array" ref="E5">IF($B606=0, Vide, $B606)</f>
        <v>41.433924999999995</v>
      </c>
      <c r="F5" s="436" cm="1">
        <f t="array" ref="F5">IF($B606=0, Vide, $B606)</f>
        <v>41.433924999999995</v>
      </c>
      <c r="G5" s="436" cm="1">
        <f t="array" ref="G5">IF($B606=0, Vide, $B606)</f>
        <v>41.433924999999995</v>
      </c>
      <c r="H5" s="436" cm="1">
        <f t="array" ref="H5">IF($C606=0, Vide, $C606)</f>
        <v>48.879599999999996</v>
      </c>
      <c r="I5" s="436" cm="1">
        <f t="array" ref="I5">IF($C606=0, Vide, $C606)</f>
        <v>48.879599999999996</v>
      </c>
      <c r="J5" s="436" cm="1">
        <f t="array" ref="J5">IF($C606=0, Vide, $C606)</f>
        <v>48.879599999999996</v>
      </c>
      <c r="K5" s="436" cm="1">
        <f t="array" ref="K5">IF($C606=0, Vide, $C606)</f>
        <v>48.879599999999996</v>
      </c>
      <c r="L5" s="436" cm="1">
        <f t="array" ref="L5">IF($C606=0, Vide, $C606)</f>
        <v>48.879599999999996</v>
      </c>
      <c r="M5" s="436" t="s">
        <v>762</v>
      </c>
      <c r="N5" s="436" t="s">
        <v>762</v>
      </c>
      <c r="O5" s="436" t="s">
        <v>762</v>
      </c>
      <c r="P5" s="436" t="s">
        <v>762</v>
      </c>
      <c r="Q5" s="436" t="s">
        <v>762</v>
      </c>
      <c r="R5" s="436" t="s">
        <v>762</v>
      </c>
      <c r="S5" s="436" t="s">
        <v>762</v>
      </c>
      <c r="T5" s="436" t="s">
        <v>762</v>
      </c>
      <c r="U5" s="436" t="s">
        <v>762</v>
      </c>
      <c r="V5" s="436" cm="1">
        <f t="array" ref="V5">IF($D606=0, Vide, $D606)</f>
        <v>65.146349999999984</v>
      </c>
      <c r="W5" s="436" cm="1">
        <f t="array" ref="W5">IF($E606=0, Vide, $E606)</f>
        <v>78.159750000000003</v>
      </c>
      <c r="X5" s="436" cm="1">
        <f t="array" ref="X5">IF($F606=0, Vide, $F606)</f>
        <v>94.439724999999967</v>
      </c>
      <c r="Y5" s="436" cm="1">
        <f t="array" ref="Y5">IF($G606=0, Vide, $G606)</f>
        <v>110.75937499999998</v>
      </c>
      <c r="Z5" s="436" cm="1">
        <f t="array" ref="Z5">IF($H606=0, Vide, $H606)</f>
        <v>127.31707499999997</v>
      </c>
      <c r="AA5" s="436" cm="1">
        <f t="array" ref="AA5">IF($I606=0, Vide, $I606)</f>
        <v>144.43022499999998</v>
      </c>
      <c r="AB5" s="436" cm="1">
        <f t="array" ref="AB5">IF($J606=0, Vide, $J606)</f>
        <v>161.86077499999996</v>
      </c>
      <c r="AC5" s="436" cm="1">
        <f t="array" ref="AC5">IF($K606=0, Vide, $K606)</f>
        <v>179.29132499999997</v>
      </c>
      <c r="AD5" s="436" cm="1">
        <f t="array" ref="AD5">IF($L606=0, Vide, $L606)</f>
        <v>202.72602499999996</v>
      </c>
      <c r="AE5" s="436">
        <f t="shared" si="0"/>
        <v>222.99862749999997</v>
      </c>
      <c r="AF5" s="436">
        <f t="shared" si="0"/>
        <v>253.40753124999995</v>
      </c>
      <c r="AG5" s="436">
        <f t="shared" si="0"/>
        <v>304.08903749999996</v>
      </c>
      <c r="AH5" s="436">
        <f t="shared" si="0"/>
        <v>354.77054374999994</v>
      </c>
      <c r="AI5" s="436">
        <f t="shared" si="0"/>
        <v>407.47931024999991</v>
      </c>
      <c r="AJ5" s="436">
        <f t="shared" si="0"/>
        <v>456.13355624999991</v>
      </c>
      <c r="AK5" s="436">
        <f t="shared" si="0"/>
        <v>506.8150624999999</v>
      </c>
      <c r="AL5" s="436">
        <f t="shared" si="0"/>
        <v>610.20533524999985</v>
      </c>
      <c r="AM5" s="436">
        <f t="shared" si="0"/>
        <v>658.85958124999991</v>
      </c>
      <c r="AN5" s="436">
        <f t="shared" si="0"/>
        <v>709.54108749999989</v>
      </c>
      <c r="AO5" s="436">
        <f t="shared" si="1"/>
        <v>760.22259374999987</v>
      </c>
      <c r="AP5" s="436">
        <f t="shared" si="1"/>
        <v>812.93136024999978</v>
      </c>
      <c r="AQ5" s="436">
        <f t="shared" si="1"/>
        <v>861.58560624999984</v>
      </c>
      <c r="AR5" s="436">
        <f t="shared" si="1"/>
        <v>912.26711249999983</v>
      </c>
      <c r="AS5" s="436">
        <f t="shared" si="1"/>
        <v>962.94861874999981</v>
      </c>
      <c r="AT5" s="436">
        <f t="shared" si="1"/>
        <v>1013.6301249999998</v>
      </c>
      <c r="AU5" s="436">
        <f t="shared" si="1"/>
        <v>1064.3116312499999</v>
      </c>
      <c r="AV5" s="436">
        <f t="shared" si="1"/>
        <v>1114.9931374999999</v>
      </c>
      <c r="AW5" s="436">
        <f t="shared" si="1"/>
        <v>1165.6746437499999</v>
      </c>
      <c r="AX5" s="436">
        <f t="shared" si="1"/>
        <v>1216.3561499999998</v>
      </c>
      <c r="AY5" s="436">
        <f t="shared" si="2"/>
        <v>1317.7191624999998</v>
      </c>
      <c r="AZ5" s="436">
        <f t="shared" si="2"/>
        <v>1419.0821749999998</v>
      </c>
      <c r="BA5" s="436">
        <f t="shared" si="2"/>
        <v>1520.4451874999997</v>
      </c>
      <c r="BB5" s="436">
        <f t="shared" si="2"/>
        <v>1621.8081999999997</v>
      </c>
      <c r="BC5" s="436">
        <f t="shared" si="2"/>
        <v>1723.1712124999997</v>
      </c>
      <c r="BD5" s="436">
        <f t="shared" si="2"/>
        <v>1824.5342249999997</v>
      </c>
      <c r="BE5" s="436">
        <f t="shared" si="2"/>
        <v>1925.8972374999996</v>
      </c>
      <c r="BF5" s="436">
        <f t="shared" si="2"/>
        <v>2027.2602499999996</v>
      </c>
      <c r="BG5" s="436">
        <f t="shared" si="2"/>
        <v>2229.9862749999998</v>
      </c>
      <c r="BH5" s="436">
        <f t="shared" si="2"/>
        <v>2432.7122999999997</v>
      </c>
      <c r="BI5" s="436">
        <f t="shared" si="3"/>
        <v>2534.0753124999997</v>
      </c>
      <c r="BJ5" s="436">
        <f t="shared" si="3"/>
        <v>2635.4383249999996</v>
      </c>
      <c r="BK5" s="436">
        <f t="shared" si="3"/>
        <v>2838.1643499999996</v>
      </c>
      <c r="BL5" s="436">
        <f t="shared" si="3"/>
        <v>3040.8903749999995</v>
      </c>
      <c r="BM5" s="436">
        <f t="shared" si="3"/>
        <v>3243.6163999999994</v>
      </c>
      <c r="BN5" s="436">
        <f t="shared" si="3"/>
        <v>3446.3424249999994</v>
      </c>
      <c r="BO5" s="436">
        <f t="shared" si="3"/>
        <v>3547.7054374999993</v>
      </c>
      <c r="BP5" s="436">
        <f t="shared" si="3"/>
        <v>3649.0684499999993</v>
      </c>
      <c r="BQ5" s="436">
        <f t="shared" si="3"/>
        <v>3851.7944749999992</v>
      </c>
      <c r="BR5" s="436">
        <f t="shared" si="3"/>
        <v>4054.5204999999992</v>
      </c>
      <c r="BS5" s="436">
        <f t="shared" si="4"/>
        <v>4561.3355624999995</v>
      </c>
      <c r="BT5" s="436">
        <f t="shared" si="4"/>
        <v>5068.1506249999993</v>
      </c>
      <c r="BU5" s="436">
        <f t="shared" si="4"/>
        <v>5574.9656874999991</v>
      </c>
      <c r="BV5" s="436">
        <f t="shared" si="4"/>
        <v>6081.780749999999</v>
      </c>
      <c r="BW5" s="436">
        <f t="shared" si="4"/>
        <v>7095.4108749999987</v>
      </c>
      <c r="BX5" s="436">
        <f t="shared" si="4"/>
        <v>8109.0409999999983</v>
      </c>
      <c r="BY5" s="436">
        <f t="shared" si="4"/>
        <v>9122.6711249999989</v>
      </c>
      <c r="BZ5" s="436">
        <f t="shared" si="4"/>
        <v>10136.301249999999</v>
      </c>
      <c r="CA5" s="436">
        <f t="shared" si="4"/>
        <v>11149.931374999998</v>
      </c>
      <c r="CB5" s="436">
        <f t="shared" si="4"/>
        <v>12163.561499999998</v>
      </c>
      <c r="CC5" s="436">
        <f t="shared" si="4"/>
        <v>14190.821749999997</v>
      </c>
      <c r="CD5" s="436">
        <f t="shared" si="4"/>
        <v>16218.081999999997</v>
      </c>
      <c r="CE5" s="436">
        <f t="shared" si="4"/>
        <v>18245.342249999998</v>
      </c>
      <c r="CF5" s="436">
        <f t="shared" si="4"/>
        <v>20272.602499999997</v>
      </c>
      <c r="CG5" s="436" cm="1">
        <f t="array" ref="CG5">IF($M606=0, Vide, $M606)</f>
        <v>202.72602499999996</v>
      </c>
      <c r="CH5" s="435" t="s">
        <v>762</v>
      </c>
      <c r="CI5" s="435" t="s">
        <v>762</v>
      </c>
      <c r="CJ5" s="435" t="s">
        <v>762</v>
      </c>
      <c r="CK5" s="435" t="s">
        <v>762</v>
      </c>
      <c r="CL5" s="435" t="s">
        <v>762</v>
      </c>
    </row>
    <row r="6" spans="1:102" s="437" customFormat="1">
      <c r="A6" s="435" t="s">
        <v>514</v>
      </c>
      <c r="B6" s="435" t="s">
        <v>90</v>
      </c>
      <c r="C6" s="436" cm="1">
        <f t="array" ref="C6">IF($B607=0, Vide, $B607)</f>
        <v>41.433924999999995</v>
      </c>
      <c r="D6" s="436" cm="1">
        <f t="array" ref="D6">IF($B607=0, Vide, $B607)</f>
        <v>41.433924999999995</v>
      </c>
      <c r="E6" s="436" cm="1">
        <f t="array" ref="E6">IF($B607=0, Vide, $B607)</f>
        <v>41.433924999999995</v>
      </c>
      <c r="F6" s="436" cm="1">
        <f t="array" ref="F6">IF($B607=0, Vide, $B607)</f>
        <v>41.433924999999995</v>
      </c>
      <c r="G6" s="436" cm="1">
        <f t="array" ref="G6">IF($B607=0, Vide, $B607)</f>
        <v>41.433924999999995</v>
      </c>
      <c r="H6" s="436" cm="1">
        <f t="array" ref="H6">IF($C607=0, Vide, $C607)</f>
        <v>48.879599999999996</v>
      </c>
      <c r="I6" s="436" cm="1">
        <f t="array" ref="I6">IF($C607=0, Vide, $C607)</f>
        <v>48.879599999999996</v>
      </c>
      <c r="J6" s="436" cm="1">
        <f t="array" ref="J6">IF($C607=0, Vide, $C607)</f>
        <v>48.879599999999996</v>
      </c>
      <c r="K6" s="436" cm="1">
        <f t="array" ref="K6">IF($C607=0, Vide, $C607)</f>
        <v>48.879599999999996</v>
      </c>
      <c r="L6" s="436" cm="1">
        <f t="array" ref="L6">IF($C607=0, Vide, $C607)</f>
        <v>48.879599999999996</v>
      </c>
      <c r="M6" s="436" t="s">
        <v>762</v>
      </c>
      <c r="N6" s="436" t="s">
        <v>762</v>
      </c>
      <c r="O6" s="436" t="s">
        <v>762</v>
      </c>
      <c r="P6" s="436" t="s">
        <v>762</v>
      </c>
      <c r="Q6" s="436" t="s">
        <v>762</v>
      </c>
      <c r="R6" s="436" t="s">
        <v>762</v>
      </c>
      <c r="S6" s="436" t="s">
        <v>762</v>
      </c>
      <c r="T6" s="436" t="s">
        <v>762</v>
      </c>
      <c r="U6" s="436" t="s">
        <v>762</v>
      </c>
      <c r="V6" s="436" cm="1">
        <f t="array" ref="V6">IF($D607=0, Vide, $D607)</f>
        <v>65.146349999999984</v>
      </c>
      <c r="W6" s="436" cm="1">
        <f t="array" ref="W6">IF($E607=0, Vide, $E607)</f>
        <v>78.159750000000003</v>
      </c>
      <c r="X6" s="436" cm="1">
        <f t="array" ref="X6">IF($F607=0, Vide, $F607)</f>
        <v>94.439724999999967</v>
      </c>
      <c r="Y6" s="436" cm="1">
        <f t="array" ref="Y6">IF($G607=0, Vide, $G607)</f>
        <v>110.75937499999998</v>
      </c>
      <c r="Z6" s="436" cm="1">
        <f t="array" ref="Z6">IF($H607=0, Vide, $H607)</f>
        <v>127.31707499999997</v>
      </c>
      <c r="AA6" s="436" cm="1">
        <f t="array" ref="AA6">IF($I607=0, Vide, $I607)</f>
        <v>144.43022499999998</v>
      </c>
      <c r="AB6" s="436" cm="1">
        <f t="array" ref="AB6">IF($J607=0, Vide, $J607)</f>
        <v>161.86077499999996</v>
      </c>
      <c r="AC6" s="436" cm="1">
        <f t="array" ref="AC6">IF($K607=0, Vide, $K607)</f>
        <v>179.29132499999997</v>
      </c>
      <c r="AD6" s="436" cm="1">
        <f t="array" ref="AD6">IF($L607=0, Vide, $L607)</f>
        <v>202.72602499999996</v>
      </c>
      <c r="AE6" s="436">
        <f t="shared" si="0"/>
        <v>222.99862749999997</v>
      </c>
      <c r="AF6" s="436">
        <f t="shared" si="0"/>
        <v>253.40753124999995</v>
      </c>
      <c r="AG6" s="436">
        <f t="shared" si="0"/>
        <v>304.08903749999996</v>
      </c>
      <c r="AH6" s="436">
        <f t="shared" si="0"/>
        <v>354.77054374999994</v>
      </c>
      <c r="AI6" s="436">
        <f t="shared" si="0"/>
        <v>407.47931024999991</v>
      </c>
      <c r="AJ6" s="436">
        <f t="shared" si="0"/>
        <v>456.13355624999991</v>
      </c>
      <c r="AK6" s="436">
        <f t="shared" si="0"/>
        <v>506.8150624999999</v>
      </c>
      <c r="AL6" s="436">
        <f t="shared" si="0"/>
        <v>610.20533524999985</v>
      </c>
      <c r="AM6" s="436">
        <f t="shared" si="0"/>
        <v>658.85958124999991</v>
      </c>
      <c r="AN6" s="436">
        <f t="shared" si="0"/>
        <v>709.54108749999989</v>
      </c>
      <c r="AO6" s="436">
        <f t="shared" si="1"/>
        <v>760.22259374999987</v>
      </c>
      <c r="AP6" s="436">
        <f t="shared" si="1"/>
        <v>812.93136024999978</v>
      </c>
      <c r="AQ6" s="436">
        <f t="shared" si="1"/>
        <v>861.58560624999984</v>
      </c>
      <c r="AR6" s="436">
        <f t="shared" si="1"/>
        <v>912.26711249999983</v>
      </c>
      <c r="AS6" s="436">
        <f t="shared" si="1"/>
        <v>962.94861874999981</v>
      </c>
      <c r="AT6" s="436">
        <f t="shared" si="1"/>
        <v>1013.6301249999998</v>
      </c>
      <c r="AU6" s="436">
        <f t="shared" si="1"/>
        <v>1064.3116312499999</v>
      </c>
      <c r="AV6" s="436">
        <f t="shared" si="1"/>
        <v>1114.9931374999999</v>
      </c>
      <c r="AW6" s="436">
        <f t="shared" si="1"/>
        <v>1165.6746437499999</v>
      </c>
      <c r="AX6" s="436">
        <f t="shared" si="1"/>
        <v>1216.3561499999998</v>
      </c>
      <c r="AY6" s="436">
        <f t="shared" si="2"/>
        <v>1317.7191624999998</v>
      </c>
      <c r="AZ6" s="436">
        <f t="shared" si="2"/>
        <v>1419.0821749999998</v>
      </c>
      <c r="BA6" s="436">
        <f t="shared" si="2"/>
        <v>1520.4451874999997</v>
      </c>
      <c r="BB6" s="436">
        <f t="shared" si="2"/>
        <v>1621.8081999999997</v>
      </c>
      <c r="BC6" s="436">
        <f t="shared" si="2"/>
        <v>1723.1712124999997</v>
      </c>
      <c r="BD6" s="436">
        <f t="shared" si="2"/>
        <v>1824.5342249999997</v>
      </c>
      <c r="BE6" s="436">
        <f t="shared" si="2"/>
        <v>1925.8972374999996</v>
      </c>
      <c r="BF6" s="436">
        <f t="shared" si="2"/>
        <v>2027.2602499999996</v>
      </c>
      <c r="BG6" s="436">
        <f t="shared" si="2"/>
        <v>2229.9862749999998</v>
      </c>
      <c r="BH6" s="436">
        <f t="shared" si="2"/>
        <v>2432.7122999999997</v>
      </c>
      <c r="BI6" s="436">
        <f t="shared" si="3"/>
        <v>2534.0753124999997</v>
      </c>
      <c r="BJ6" s="436">
        <f t="shared" si="3"/>
        <v>2635.4383249999996</v>
      </c>
      <c r="BK6" s="436">
        <f t="shared" si="3"/>
        <v>2838.1643499999996</v>
      </c>
      <c r="BL6" s="436">
        <f t="shared" si="3"/>
        <v>3040.8903749999995</v>
      </c>
      <c r="BM6" s="436">
        <f t="shared" si="3"/>
        <v>3243.6163999999994</v>
      </c>
      <c r="BN6" s="436">
        <f t="shared" si="3"/>
        <v>3446.3424249999994</v>
      </c>
      <c r="BO6" s="436">
        <f t="shared" si="3"/>
        <v>3547.7054374999993</v>
      </c>
      <c r="BP6" s="436">
        <f t="shared" si="3"/>
        <v>3649.0684499999993</v>
      </c>
      <c r="BQ6" s="436">
        <f t="shared" si="3"/>
        <v>3851.7944749999992</v>
      </c>
      <c r="BR6" s="436">
        <f t="shared" si="3"/>
        <v>4054.5204999999992</v>
      </c>
      <c r="BS6" s="436">
        <f t="shared" si="4"/>
        <v>4561.3355624999995</v>
      </c>
      <c r="BT6" s="436">
        <f t="shared" si="4"/>
        <v>5068.1506249999993</v>
      </c>
      <c r="BU6" s="436">
        <f t="shared" si="4"/>
        <v>5574.9656874999991</v>
      </c>
      <c r="BV6" s="436">
        <f t="shared" si="4"/>
        <v>6081.780749999999</v>
      </c>
      <c r="BW6" s="436">
        <f t="shared" si="4"/>
        <v>7095.4108749999987</v>
      </c>
      <c r="BX6" s="436">
        <f t="shared" si="4"/>
        <v>8109.0409999999983</v>
      </c>
      <c r="BY6" s="436">
        <f t="shared" si="4"/>
        <v>9122.6711249999989</v>
      </c>
      <c r="BZ6" s="436">
        <f t="shared" si="4"/>
        <v>10136.301249999999</v>
      </c>
      <c r="CA6" s="436">
        <f t="shared" si="4"/>
        <v>11149.931374999998</v>
      </c>
      <c r="CB6" s="436">
        <f t="shared" si="4"/>
        <v>12163.561499999998</v>
      </c>
      <c r="CC6" s="436">
        <f t="shared" si="4"/>
        <v>14190.821749999997</v>
      </c>
      <c r="CD6" s="436">
        <f t="shared" si="4"/>
        <v>16218.081999999997</v>
      </c>
      <c r="CE6" s="436">
        <f t="shared" si="4"/>
        <v>18245.342249999998</v>
      </c>
      <c r="CF6" s="436">
        <f t="shared" si="4"/>
        <v>20272.602499999997</v>
      </c>
      <c r="CG6" s="436" cm="1">
        <f t="array" ref="CG6">IF($M607=0, Vide, $M607)</f>
        <v>202.72602499999996</v>
      </c>
      <c r="CH6" s="435" t="s">
        <v>762</v>
      </c>
      <c r="CI6" s="435" t="s">
        <v>762</v>
      </c>
      <c r="CJ6" s="435" t="s">
        <v>762</v>
      </c>
      <c r="CK6" s="435" t="s">
        <v>762</v>
      </c>
      <c r="CL6" s="435" t="s">
        <v>762</v>
      </c>
    </row>
    <row r="7" spans="1:102" s="437" customFormat="1">
      <c r="A7" s="435" t="s">
        <v>515</v>
      </c>
      <c r="B7" s="435" t="s">
        <v>90</v>
      </c>
      <c r="C7" s="436" cm="1">
        <f t="array" ref="C7">IF($B608=0, Vide, $B608)</f>
        <v>41.433924999999995</v>
      </c>
      <c r="D7" s="436" cm="1">
        <f t="array" ref="D7">IF($B608=0, Vide, $B608)</f>
        <v>41.433924999999995</v>
      </c>
      <c r="E7" s="436" cm="1">
        <f t="array" ref="E7">IF($B608=0, Vide, $B608)</f>
        <v>41.433924999999995</v>
      </c>
      <c r="F7" s="436" cm="1">
        <f t="array" ref="F7">IF($B608=0, Vide, $B608)</f>
        <v>41.433924999999995</v>
      </c>
      <c r="G7" s="436" cm="1">
        <f t="array" ref="G7">IF($B608=0, Vide, $B608)</f>
        <v>41.433924999999995</v>
      </c>
      <c r="H7" s="436" cm="1">
        <f t="array" ref="H7">IF($C608=0, Vide, $C608)</f>
        <v>48.879599999999996</v>
      </c>
      <c r="I7" s="436" cm="1">
        <f t="array" ref="I7">IF($C608=0, Vide, $C608)</f>
        <v>48.879599999999996</v>
      </c>
      <c r="J7" s="436" cm="1">
        <f t="array" ref="J7">IF($C608=0, Vide, $C608)</f>
        <v>48.879599999999996</v>
      </c>
      <c r="K7" s="436" cm="1">
        <f t="array" ref="K7">IF($C608=0, Vide, $C608)</f>
        <v>48.879599999999996</v>
      </c>
      <c r="L7" s="436" cm="1">
        <f t="array" ref="L7">IF($C608=0, Vide, $C608)</f>
        <v>48.879599999999996</v>
      </c>
      <c r="M7" s="436" t="s">
        <v>762</v>
      </c>
      <c r="N7" s="436" t="s">
        <v>762</v>
      </c>
      <c r="O7" s="436" t="s">
        <v>762</v>
      </c>
      <c r="P7" s="436" t="s">
        <v>762</v>
      </c>
      <c r="Q7" s="436" t="s">
        <v>762</v>
      </c>
      <c r="R7" s="436" t="s">
        <v>762</v>
      </c>
      <c r="S7" s="436" t="s">
        <v>762</v>
      </c>
      <c r="T7" s="436" t="s">
        <v>762</v>
      </c>
      <c r="U7" s="436" t="s">
        <v>762</v>
      </c>
      <c r="V7" s="436" cm="1">
        <f t="array" ref="V7">IF($D608=0, Vide, $D608)</f>
        <v>65.146349999999984</v>
      </c>
      <c r="W7" s="436" cm="1">
        <f t="array" ref="W7">IF($E608=0, Vide, $E608)</f>
        <v>78.159750000000003</v>
      </c>
      <c r="X7" s="436" cm="1">
        <f t="array" ref="X7">IF($F608=0, Vide, $F608)</f>
        <v>94.439724999999967</v>
      </c>
      <c r="Y7" s="436" cm="1">
        <f t="array" ref="Y7">IF($G608=0, Vide, $G608)</f>
        <v>110.75937499999998</v>
      </c>
      <c r="Z7" s="436" cm="1">
        <f t="array" ref="Z7">IF($H608=0, Vide, $H608)</f>
        <v>127.31707499999997</v>
      </c>
      <c r="AA7" s="436" cm="1">
        <f t="array" ref="AA7">IF($I608=0, Vide, $I608)</f>
        <v>144.43022499999998</v>
      </c>
      <c r="AB7" s="436" cm="1">
        <f t="array" ref="AB7">IF($J608=0, Vide, $J608)</f>
        <v>161.86077499999996</v>
      </c>
      <c r="AC7" s="436" cm="1">
        <f t="array" ref="AC7">IF($K608=0, Vide, $K608)</f>
        <v>179.29132499999997</v>
      </c>
      <c r="AD7" s="436" cm="1">
        <f t="array" ref="AD7">IF($L608=0, Vide, $L608)</f>
        <v>202.72602499999996</v>
      </c>
      <c r="AE7" s="436">
        <f t="shared" si="0"/>
        <v>222.99862749999997</v>
      </c>
      <c r="AF7" s="436">
        <f t="shared" si="0"/>
        <v>253.40753124999995</v>
      </c>
      <c r="AG7" s="436">
        <f t="shared" si="0"/>
        <v>304.08903749999996</v>
      </c>
      <c r="AH7" s="436">
        <f t="shared" si="0"/>
        <v>354.77054374999994</v>
      </c>
      <c r="AI7" s="436">
        <f t="shared" si="0"/>
        <v>407.47931024999991</v>
      </c>
      <c r="AJ7" s="436">
        <f t="shared" si="0"/>
        <v>456.13355624999991</v>
      </c>
      <c r="AK7" s="436">
        <f t="shared" si="0"/>
        <v>506.8150624999999</v>
      </c>
      <c r="AL7" s="436">
        <f t="shared" si="0"/>
        <v>610.20533524999985</v>
      </c>
      <c r="AM7" s="436">
        <f t="shared" si="0"/>
        <v>658.85958124999991</v>
      </c>
      <c r="AN7" s="436">
        <f t="shared" si="0"/>
        <v>709.54108749999989</v>
      </c>
      <c r="AO7" s="436">
        <f t="shared" si="1"/>
        <v>760.22259374999987</v>
      </c>
      <c r="AP7" s="436">
        <f t="shared" si="1"/>
        <v>812.93136024999978</v>
      </c>
      <c r="AQ7" s="436">
        <f t="shared" si="1"/>
        <v>861.58560624999984</v>
      </c>
      <c r="AR7" s="436">
        <f t="shared" si="1"/>
        <v>912.26711249999983</v>
      </c>
      <c r="AS7" s="436">
        <f t="shared" si="1"/>
        <v>962.94861874999981</v>
      </c>
      <c r="AT7" s="436">
        <f t="shared" si="1"/>
        <v>1013.6301249999998</v>
      </c>
      <c r="AU7" s="436">
        <f t="shared" si="1"/>
        <v>1064.3116312499999</v>
      </c>
      <c r="AV7" s="436">
        <f t="shared" si="1"/>
        <v>1114.9931374999999</v>
      </c>
      <c r="AW7" s="436">
        <f t="shared" si="1"/>
        <v>1165.6746437499999</v>
      </c>
      <c r="AX7" s="436">
        <f t="shared" si="1"/>
        <v>1216.3561499999998</v>
      </c>
      <c r="AY7" s="436">
        <f t="shared" si="2"/>
        <v>1317.7191624999998</v>
      </c>
      <c r="AZ7" s="436">
        <f t="shared" si="2"/>
        <v>1419.0821749999998</v>
      </c>
      <c r="BA7" s="436">
        <f t="shared" si="2"/>
        <v>1520.4451874999997</v>
      </c>
      <c r="BB7" s="436">
        <f t="shared" si="2"/>
        <v>1621.8081999999997</v>
      </c>
      <c r="BC7" s="436">
        <f t="shared" si="2"/>
        <v>1723.1712124999997</v>
      </c>
      <c r="BD7" s="436">
        <f t="shared" si="2"/>
        <v>1824.5342249999997</v>
      </c>
      <c r="BE7" s="436">
        <f t="shared" si="2"/>
        <v>1925.8972374999996</v>
      </c>
      <c r="BF7" s="436">
        <f t="shared" si="2"/>
        <v>2027.2602499999996</v>
      </c>
      <c r="BG7" s="436">
        <f t="shared" si="2"/>
        <v>2229.9862749999998</v>
      </c>
      <c r="BH7" s="436">
        <f t="shared" si="2"/>
        <v>2432.7122999999997</v>
      </c>
      <c r="BI7" s="436">
        <f t="shared" si="3"/>
        <v>2534.0753124999997</v>
      </c>
      <c r="BJ7" s="436">
        <f t="shared" si="3"/>
        <v>2635.4383249999996</v>
      </c>
      <c r="BK7" s="436">
        <f t="shared" si="3"/>
        <v>2838.1643499999996</v>
      </c>
      <c r="BL7" s="436">
        <f t="shared" si="3"/>
        <v>3040.8903749999995</v>
      </c>
      <c r="BM7" s="436">
        <f t="shared" si="3"/>
        <v>3243.6163999999994</v>
      </c>
      <c r="BN7" s="436">
        <f t="shared" si="3"/>
        <v>3446.3424249999994</v>
      </c>
      <c r="BO7" s="436">
        <f t="shared" si="3"/>
        <v>3547.7054374999993</v>
      </c>
      <c r="BP7" s="436">
        <f t="shared" si="3"/>
        <v>3649.0684499999993</v>
      </c>
      <c r="BQ7" s="436">
        <f t="shared" si="3"/>
        <v>3851.7944749999992</v>
      </c>
      <c r="BR7" s="436">
        <f t="shared" si="3"/>
        <v>4054.5204999999992</v>
      </c>
      <c r="BS7" s="436">
        <f t="shared" si="4"/>
        <v>4561.3355624999995</v>
      </c>
      <c r="BT7" s="436">
        <f t="shared" si="4"/>
        <v>5068.1506249999993</v>
      </c>
      <c r="BU7" s="436">
        <f t="shared" si="4"/>
        <v>5574.9656874999991</v>
      </c>
      <c r="BV7" s="436">
        <f t="shared" si="4"/>
        <v>6081.780749999999</v>
      </c>
      <c r="BW7" s="436">
        <f t="shared" si="4"/>
        <v>7095.4108749999987</v>
      </c>
      <c r="BX7" s="436">
        <f t="shared" si="4"/>
        <v>8109.0409999999983</v>
      </c>
      <c r="BY7" s="436">
        <f t="shared" si="4"/>
        <v>9122.6711249999989</v>
      </c>
      <c r="BZ7" s="436">
        <f t="shared" si="4"/>
        <v>10136.301249999999</v>
      </c>
      <c r="CA7" s="436">
        <f t="shared" si="4"/>
        <v>11149.931374999998</v>
      </c>
      <c r="CB7" s="436">
        <f t="shared" si="4"/>
        <v>12163.561499999998</v>
      </c>
      <c r="CC7" s="436">
        <f t="shared" si="4"/>
        <v>14190.821749999997</v>
      </c>
      <c r="CD7" s="436">
        <f t="shared" si="4"/>
        <v>16218.081999999997</v>
      </c>
      <c r="CE7" s="436">
        <f t="shared" si="4"/>
        <v>18245.342249999998</v>
      </c>
      <c r="CF7" s="436">
        <f t="shared" si="4"/>
        <v>20272.602499999997</v>
      </c>
      <c r="CG7" s="436" cm="1">
        <f t="array" ref="CG7">IF($M608=0, Vide, $M608)</f>
        <v>202.72602499999996</v>
      </c>
      <c r="CH7" s="435" t="s">
        <v>762</v>
      </c>
      <c r="CI7" s="435" t="s">
        <v>762</v>
      </c>
      <c r="CJ7" s="435" t="s">
        <v>762</v>
      </c>
      <c r="CK7" s="435" t="s">
        <v>762</v>
      </c>
      <c r="CL7" s="435" t="s">
        <v>762</v>
      </c>
    </row>
    <row r="8" spans="1:102" s="437" customFormat="1">
      <c r="A8" s="435" t="s">
        <v>516</v>
      </c>
      <c r="B8" s="435" t="s">
        <v>90</v>
      </c>
      <c r="C8" s="436" t="s">
        <v>762</v>
      </c>
      <c r="D8" s="436" t="s">
        <v>762</v>
      </c>
      <c r="E8" s="436" t="s">
        <v>762</v>
      </c>
      <c r="F8" s="436" t="s">
        <v>762</v>
      </c>
      <c r="G8" s="436" t="s">
        <v>762</v>
      </c>
      <c r="H8" s="436" t="s">
        <v>762</v>
      </c>
      <c r="I8" s="436" t="s">
        <v>762</v>
      </c>
      <c r="J8" s="436" t="s">
        <v>762</v>
      </c>
      <c r="K8" s="436" t="s">
        <v>762</v>
      </c>
      <c r="L8" s="436" t="s">
        <v>762</v>
      </c>
      <c r="M8" s="436" t="s">
        <v>762</v>
      </c>
      <c r="N8" s="436" t="s">
        <v>762</v>
      </c>
      <c r="O8" s="436" t="s">
        <v>762</v>
      </c>
      <c r="P8" s="436" t="s">
        <v>762</v>
      </c>
      <c r="Q8" s="436" t="s">
        <v>762</v>
      </c>
      <c r="R8" s="436" t="s">
        <v>762</v>
      </c>
      <c r="S8" s="436" t="s">
        <v>762</v>
      </c>
      <c r="T8" s="436" t="s">
        <v>762</v>
      </c>
      <c r="U8" s="436" t="s">
        <v>762</v>
      </c>
      <c r="V8" s="436" t="s">
        <v>762</v>
      </c>
      <c r="W8" s="436" t="s">
        <v>762</v>
      </c>
      <c r="X8" s="436" t="s">
        <v>762</v>
      </c>
      <c r="Y8" s="436" t="s">
        <v>762</v>
      </c>
      <c r="Z8" s="436" t="s">
        <v>762</v>
      </c>
      <c r="AA8" s="436" t="s">
        <v>762</v>
      </c>
      <c r="AB8" s="436" t="s">
        <v>762</v>
      </c>
      <c r="AC8" s="436" t="s">
        <v>762</v>
      </c>
      <c r="AD8" s="436" t="s">
        <v>762</v>
      </c>
      <c r="AE8" s="436" t="s">
        <v>762</v>
      </c>
      <c r="AF8" s="436" t="s">
        <v>762</v>
      </c>
      <c r="AG8" s="436" t="s">
        <v>762</v>
      </c>
      <c r="AH8" s="436" t="s">
        <v>762</v>
      </c>
      <c r="AI8" s="436" t="s">
        <v>762</v>
      </c>
      <c r="AJ8" s="436" t="s">
        <v>762</v>
      </c>
      <c r="AK8" s="436" t="s">
        <v>762</v>
      </c>
      <c r="AL8" s="436" t="s">
        <v>762</v>
      </c>
      <c r="AM8" s="436" t="s">
        <v>762</v>
      </c>
      <c r="AN8" s="436" t="s">
        <v>762</v>
      </c>
      <c r="AO8" s="436" t="s">
        <v>762</v>
      </c>
      <c r="AP8" s="436" t="s">
        <v>762</v>
      </c>
      <c r="AQ8" s="436" t="s">
        <v>762</v>
      </c>
      <c r="AR8" s="436" t="s">
        <v>762</v>
      </c>
      <c r="AS8" s="436" t="s">
        <v>762</v>
      </c>
      <c r="AT8" s="436" t="s">
        <v>762</v>
      </c>
      <c r="AU8" s="436" t="s">
        <v>762</v>
      </c>
      <c r="AV8" s="436" t="s">
        <v>762</v>
      </c>
      <c r="AW8" s="436" t="s">
        <v>762</v>
      </c>
      <c r="AX8" s="436" t="s">
        <v>762</v>
      </c>
      <c r="AY8" s="436" t="s">
        <v>762</v>
      </c>
      <c r="AZ8" s="436" t="s">
        <v>762</v>
      </c>
      <c r="BA8" s="436" t="s">
        <v>762</v>
      </c>
      <c r="BB8" s="436" t="s">
        <v>762</v>
      </c>
      <c r="BC8" s="436" t="s">
        <v>762</v>
      </c>
      <c r="BD8" s="436" t="s">
        <v>762</v>
      </c>
      <c r="BE8" s="436" t="s">
        <v>762</v>
      </c>
      <c r="BF8" s="436" t="s">
        <v>762</v>
      </c>
      <c r="BG8" s="436" t="s">
        <v>762</v>
      </c>
      <c r="BH8" s="436" t="s">
        <v>762</v>
      </c>
      <c r="BI8" s="436" t="s">
        <v>762</v>
      </c>
      <c r="BJ8" s="436" t="s">
        <v>762</v>
      </c>
      <c r="BK8" s="436" t="s">
        <v>762</v>
      </c>
      <c r="BL8" s="436" t="s">
        <v>762</v>
      </c>
      <c r="BM8" s="436" t="s">
        <v>762</v>
      </c>
      <c r="BN8" s="436" t="s">
        <v>762</v>
      </c>
      <c r="BO8" s="436" t="s">
        <v>762</v>
      </c>
      <c r="BP8" s="436" t="s">
        <v>762</v>
      </c>
      <c r="BQ8" s="436" t="s">
        <v>762</v>
      </c>
      <c r="BR8" s="436" t="s">
        <v>762</v>
      </c>
      <c r="BS8" s="436" t="s">
        <v>762</v>
      </c>
      <c r="BT8" s="436" t="s">
        <v>762</v>
      </c>
      <c r="BU8" s="436" t="s">
        <v>762</v>
      </c>
      <c r="BV8" s="436" t="s">
        <v>762</v>
      </c>
      <c r="BW8" s="436" t="s">
        <v>762</v>
      </c>
      <c r="BX8" s="436" t="s">
        <v>762</v>
      </c>
      <c r="BY8" s="436" t="s">
        <v>762</v>
      </c>
      <c r="BZ8" s="436" t="s">
        <v>762</v>
      </c>
      <c r="CA8" s="436" t="s">
        <v>762</v>
      </c>
      <c r="CB8" s="436" t="s">
        <v>762</v>
      </c>
      <c r="CC8" s="436" t="s">
        <v>762</v>
      </c>
      <c r="CD8" s="436" t="s">
        <v>762</v>
      </c>
      <c r="CE8" s="436" t="s">
        <v>762</v>
      </c>
      <c r="CF8" s="436" t="s">
        <v>762</v>
      </c>
      <c r="CG8" s="436" t="s">
        <v>762</v>
      </c>
      <c r="CH8" s="436" t="s">
        <v>762</v>
      </c>
      <c r="CI8" s="436" t="s">
        <v>762</v>
      </c>
      <c r="CJ8" s="436" t="s">
        <v>762</v>
      </c>
      <c r="CK8" s="436" t="s">
        <v>762</v>
      </c>
      <c r="CL8" s="436" t="s">
        <v>762</v>
      </c>
    </row>
    <row r="9" spans="1:102" s="437" customFormat="1">
      <c r="A9" s="435" t="s">
        <v>517</v>
      </c>
      <c r="B9" s="435" t="s">
        <v>90</v>
      </c>
      <c r="C9" s="436" cm="1">
        <f t="array" ref="C9">IF($B610=0, Vide, $B610)</f>
        <v>41.433924999999995</v>
      </c>
      <c r="D9" s="436" cm="1">
        <f t="array" ref="D9">IF($B610=0, Vide, $B610)</f>
        <v>41.433924999999995</v>
      </c>
      <c r="E9" s="436" cm="1">
        <f t="array" ref="E9">IF($B610=0, Vide, $B610)</f>
        <v>41.433924999999995</v>
      </c>
      <c r="F9" s="436" cm="1">
        <f t="array" ref="F9">IF($B610=0, Vide, $B610)</f>
        <v>41.433924999999995</v>
      </c>
      <c r="G9" s="436" cm="1">
        <f t="array" ref="G9">IF($B610=0, Vide, $B610)</f>
        <v>41.433924999999995</v>
      </c>
      <c r="H9" s="436" cm="1">
        <f t="array" ref="H9">IF($C610=0, Vide, $C610)</f>
        <v>48.879599999999996</v>
      </c>
      <c r="I9" s="436" cm="1">
        <f t="array" ref="I9">IF($C610=0, Vide, $C610)</f>
        <v>48.879599999999996</v>
      </c>
      <c r="J9" s="436" cm="1">
        <f t="array" ref="J9">IF($C610=0, Vide, $C610)</f>
        <v>48.879599999999996</v>
      </c>
      <c r="K9" s="436" cm="1">
        <f t="array" ref="K9">IF($C610=0, Vide, $C610)</f>
        <v>48.879599999999996</v>
      </c>
      <c r="L9" s="436" cm="1">
        <f t="array" ref="L9">IF($C610=0, Vide, $C610)</f>
        <v>48.879599999999996</v>
      </c>
      <c r="M9" s="436" t="s">
        <v>762</v>
      </c>
      <c r="N9" s="436" t="s">
        <v>762</v>
      </c>
      <c r="O9" s="436" t="s">
        <v>762</v>
      </c>
      <c r="P9" s="436" t="s">
        <v>762</v>
      </c>
      <c r="Q9" s="436" t="s">
        <v>762</v>
      </c>
      <c r="R9" s="436" t="s">
        <v>762</v>
      </c>
      <c r="S9" s="436" t="s">
        <v>762</v>
      </c>
      <c r="T9" s="436" t="s">
        <v>762</v>
      </c>
      <c r="U9" s="436" t="s">
        <v>762</v>
      </c>
      <c r="V9" s="436" cm="1">
        <f t="array" ref="V9">IF($D610=0, Vide, $D610)</f>
        <v>65.146349999999984</v>
      </c>
      <c r="W9" s="436" cm="1">
        <f t="array" ref="W9">IF($E610=0, Vide, $E610)</f>
        <v>78.159750000000003</v>
      </c>
      <c r="X9" s="436" cm="1">
        <f t="array" ref="X9">IF($F610=0, Vide, $F610)</f>
        <v>94.439724999999967</v>
      </c>
      <c r="Y9" s="436" cm="1">
        <f t="array" ref="Y9">IF($G610=0, Vide, $G610)</f>
        <v>110.75937499999998</v>
      </c>
      <c r="Z9" s="436" cm="1">
        <f t="array" ref="Z9">IF($H610=0, Vide, $H610)</f>
        <v>127.31707499999997</v>
      </c>
      <c r="AA9" s="436" cm="1">
        <f t="array" ref="AA9">IF($I610=0, Vide, $I610)</f>
        <v>144.43022499999998</v>
      </c>
      <c r="AB9" s="436" cm="1">
        <f t="array" ref="AB9">IF($J610=0, Vide, $J610)</f>
        <v>161.86077499999996</v>
      </c>
      <c r="AC9" s="436" cm="1">
        <f t="array" ref="AC9">IF($K610=0, Vide, $K610)</f>
        <v>179.29132499999997</v>
      </c>
      <c r="AD9" s="436" cm="1">
        <f t="array" ref="AD9">IF($L610=0, Vide, $L610)</f>
        <v>202.72602499999996</v>
      </c>
      <c r="AE9" s="436">
        <f t="shared" ref="AE9:BJ9" si="5">(AE$1/100)*$CG9</f>
        <v>222.99862749999997</v>
      </c>
      <c r="AF9" s="436">
        <f t="shared" si="5"/>
        <v>253.40753124999995</v>
      </c>
      <c r="AG9" s="436">
        <f t="shared" si="5"/>
        <v>304.08903749999996</v>
      </c>
      <c r="AH9" s="436">
        <f t="shared" si="5"/>
        <v>354.77054374999994</v>
      </c>
      <c r="AI9" s="436">
        <f t="shared" si="5"/>
        <v>407.47931024999991</v>
      </c>
      <c r="AJ9" s="436">
        <f t="shared" si="5"/>
        <v>456.13355624999991</v>
      </c>
      <c r="AK9" s="436">
        <f t="shared" si="5"/>
        <v>506.8150624999999</v>
      </c>
      <c r="AL9" s="436">
        <f t="shared" si="5"/>
        <v>610.20533524999985</v>
      </c>
      <c r="AM9" s="436">
        <f t="shared" si="5"/>
        <v>658.85958124999991</v>
      </c>
      <c r="AN9" s="436">
        <f t="shared" si="5"/>
        <v>709.54108749999989</v>
      </c>
      <c r="AO9" s="436">
        <f t="shared" si="5"/>
        <v>760.22259374999987</v>
      </c>
      <c r="AP9" s="436">
        <f t="shared" si="5"/>
        <v>812.93136024999978</v>
      </c>
      <c r="AQ9" s="436">
        <f t="shared" si="5"/>
        <v>861.58560624999984</v>
      </c>
      <c r="AR9" s="436">
        <f t="shared" si="5"/>
        <v>912.26711249999983</v>
      </c>
      <c r="AS9" s="436">
        <f t="shared" si="5"/>
        <v>962.94861874999981</v>
      </c>
      <c r="AT9" s="436">
        <f t="shared" si="5"/>
        <v>1013.6301249999998</v>
      </c>
      <c r="AU9" s="436">
        <f t="shared" si="5"/>
        <v>1064.3116312499999</v>
      </c>
      <c r="AV9" s="436">
        <f t="shared" si="5"/>
        <v>1114.9931374999999</v>
      </c>
      <c r="AW9" s="436">
        <f t="shared" si="5"/>
        <v>1165.6746437499999</v>
      </c>
      <c r="AX9" s="436">
        <f t="shared" si="5"/>
        <v>1216.3561499999998</v>
      </c>
      <c r="AY9" s="436">
        <f t="shared" si="5"/>
        <v>1317.7191624999998</v>
      </c>
      <c r="AZ9" s="436">
        <f t="shared" si="5"/>
        <v>1419.0821749999998</v>
      </c>
      <c r="BA9" s="436">
        <f t="shared" si="5"/>
        <v>1520.4451874999997</v>
      </c>
      <c r="BB9" s="436">
        <f t="shared" si="5"/>
        <v>1621.8081999999997</v>
      </c>
      <c r="BC9" s="436">
        <f t="shared" si="5"/>
        <v>1723.1712124999997</v>
      </c>
      <c r="BD9" s="436">
        <f t="shared" si="5"/>
        <v>1824.5342249999997</v>
      </c>
      <c r="BE9" s="436">
        <f t="shared" si="5"/>
        <v>1925.8972374999996</v>
      </c>
      <c r="BF9" s="436">
        <f t="shared" si="5"/>
        <v>2027.2602499999996</v>
      </c>
      <c r="BG9" s="436">
        <f t="shared" si="5"/>
        <v>2229.9862749999998</v>
      </c>
      <c r="BH9" s="436">
        <f t="shared" si="5"/>
        <v>2432.7122999999997</v>
      </c>
      <c r="BI9" s="436">
        <f t="shared" si="5"/>
        <v>2534.0753124999997</v>
      </c>
      <c r="BJ9" s="436">
        <f t="shared" si="5"/>
        <v>2635.4383249999996</v>
      </c>
      <c r="BK9" s="436">
        <f t="shared" ref="BK9:CF9" si="6">(BK$1/100)*$CG9</f>
        <v>2838.1643499999996</v>
      </c>
      <c r="BL9" s="436">
        <f t="shared" si="6"/>
        <v>3040.8903749999995</v>
      </c>
      <c r="BM9" s="436">
        <f t="shared" si="6"/>
        <v>3243.6163999999994</v>
      </c>
      <c r="BN9" s="436">
        <f t="shared" si="6"/>
        <v>3446.3424249999994</v>
      </c>
      <c r="BO9" s="436">
        <f t="shared" si="6"/>
        <v>3547.7054374999993</v>
      </c>
      <c r="BP9" s="436">
        <f t="shared" si="6"/>
        <v>3649.0684499999993</v>
      </c>
      <c r="BQ9" s="436">
        <f t="shared" si="6"/>
        <v>3851.7944749999992</v>
      </c>
      <c r="BR9" s="436">
        <f t="shared" si="6"/>
        <v>4054.5204999999992</v>
      </c>
      <c r="BS9" s="436">
        <f t="shared" si="6"/>
        <v>4561.3355624999995</v>
      </c>
      <c r="BT9" s="436">
        <f t="shared" si="6"/>
        <v>5068.1506249999993</v>
      </c>
      <c r="BU9" s="436">
        <f t="shared" si="6"/>
        <v>5574.9656874999991</v>
      </c>
      <c r="BV9" s="436">
        <f t="shared" si="6"/>
        <v>6081.780749999999</v>
      </c>
      <c r="BW9" s="436">
        <f t="shared" si="6"/>
        <v>7095.4108749999987</v>
      </c>
      <c r="BX9" s="436">
        <f t="shared" si="6"/>
        <v>8109.0409999999983</v>
      </c>
      <c r="BY9" s="436">
        <f t="shared" si="6"/>
        <v>9122.6711249999989</v>
      </c>
      <c r="BZ9" s="436">
        <f t="shared" si="6"/>
        <v>10136.301249999999</v>
      </c>
      <c r="CA9" s="436">
        <f t="shared" si="6"/>
        <v>11149.931374999998</v>
      </c>
      <c r="CB9" s="436">
        <f t="shared" si="6"/>
        <v>12163.561499999998</v>
      </c>
      <c r="CC9" s="436">
        <f t="shared" si="6"/>
        <v>14190.821749999997</v>
      </c>
      <c r="CD9" s="436">
        <f t="shared" si="6"/>
        <v>16218.081999999997</v>
      </c>
      <c r="CE9" s="436">
        <f t="shared" si="6"/>
        <v>18245.342249999998</v>
      </c>
      <c r="CF9" s="436">
        <f t="shared" si="6"/>
        <v>20272.602499999997</v>
      </c>
      <c r="CG9" s="436" cm="1">
        <f t="array" ref="CG9">IF($M610=0, Vide, $M610)</f>
        <v>202.72602499999996</v>
      </c>
      <c r="CH9" s="435" t="s">
        <v>762</v>
      </c>
      <c r="CI9" s="435" t="s">
        <v>762</v>
      </c>
      <c r="CJ9" s="435" t="s">
        <v>762</v>
      </c>
      <c r="CK9" s="435" t="s">
        <v>762</v>
      </c>
      <c r="CL9" s="435" t="s">
        <v>762</v>
      </c>
      <c r="CW9" s="442"/>
      <c r="CX9" s="442"/>
    </row>
    <row r="10" spans="1:102" s="437" customFormat="1">
      <c r="A10" s="435" t="s">
        <v>518</v>
      </c>
      <c r="B10" s="435" t="s">
        <v>90</v>
      </c>
      <c r="C10" s="436" t="s">
        <v>762</v>
      </c>
      <c r="D10" s="436" t="s">
        <v>762</v>
      </c>
      <c r="E10" s="436" t="s">
        <v>762</v>
      </c>
      <c r="F10" s="436" t="s">
        <v>762</v>
      </c>
      <c r="G10" s="436" t="s">
        <v>762</v>
      </c>
      <c r="H10" s="436" t="s">
        <v>762</v>
      </c>
      <c r="I10" s="436" t="s">
        <v>762</v>
      </c>
      <c r="J10" s="436" t="s">
        <v>762</v>
      </c>
      <c r="K10" s="436" t="s">
        <v>762</v>
      </c>
      <c r="L10" s="436" t="s">
        <v>762</v>
      </c>
      <c r="M10" s="436" t="s">
        <v>762</v>
      </c>
      <c r="N10" s="436" t="s">
        <v>762</v>
      </c>
      <c r="O10" s="436" t="s">
        <v>762</v>
      </c>
      <c r="P10" s="436" t="s">
        <v>762</v>
      </c>
      <c r="Q10" s="436" t="s">
        <v>762</v>
      </c>
      <c r="R10" s="436" t="s">
        <v>762</v>
      </c>
      <c r="S10" s="436" t="s">
        <v>762</v>
      </c>
      <c r="T10" s="436" t="s">
        <v>762</v>
      </c>
      <c r="U10" s="436" t="s">
        <v>762</v>
      </c>
      <c r="V10" s="436" t="s">
        <v>762</v>
      </c>
      <c r="W10" s="436" t="s">
        <v>762</v>
      </c>
      <c r="X10" s="436" t="s">
        <v>762</v>
      </c>
      <c r="Y10" s="436" t="s">
        <v>762</v>
      </c>
      <c r="Z10" s="436" t="s">
        <v>762</v>
      </c>
      <c r="AA10" s="436" t="s">
        <v>762</v>
      </c>
      <c r="AB10" s="436" t="s">
        <v>762</v>
      </c>
      <c r="AC10" s="436" t="s">
        <v>762</v>
      </c>
      <c r="AD10" s="436" t="s">
        <v>762</v>
      </c>
      <c r="AE10" s="436" t="s">
        <v>762</v>
      </c>
      <c r="AF10" s="436" t="s">
        <v>762</v>
      </c>
      <c r="AG10" s="436" t="s">
        <v>762</v>
      </c>
      <c r="AH10" s="436" t="s">
        <v>762</v>
      </c>
      <c r="AI10" s="436" t="s">
        <v>762</v>
      </c>
      <c r="AJ10" s="436" t="s">
        <v>762</v>
      </c>
      <c r="AK10" s="436" t="s">
        <v>762</v>
      </c>
      <c r="AL10" s="436" t="s">
        <v>762</v>
      </c>
      <c r="AM10" s="436" t="s">
        <v>762</v>
      </c>
      <c r="AN10" s="436" t="s">
        <v>762</v>
      </c>
      <c r="AO10" s="436" t="s">
        <v>762</v>
      </c>
      <c r="AP10" s="436" t="s">
        <v>762</v>
      </c>
      <c r="AQ10" s="436" t="s">
        <v>762</v>
      </c>
      <c r="AR10" s="436" t="s">
        <v>762</v>
      </c>
      <c r="AS10" s="436" t="s">
        <v>762</v>
      </c>
      <c r="AT10" s="436" t="s">
        <v>762</v>
      </c>
      <c r="AU10" s="436" t="s">
        <v>762</v>
      </c>
      <c r="AV10" s="436" t="s">
        <v>762</v>
      </c>
      <c r="AW10" s="436" t="s">
        <v>762</v>
      </c>
      <c r="AX10" s="436" t="s">
        <v>762</v>
      </c>
      <c r="AY10" s="436" t="s">
        <v>762</v>
      </c>
      <c r="AZ10" s="436" t="s">
        <v>762</v>
      </c>
      <c r="BA10" s="436" t="s">
        <v>762</v>
      </c>
      <c r="BB10" s="436" t="s">
        <v>762</v>
      </c>
      <c r="BC10" s="436" t="s">
        <v>762</v>
      </c>
      <c r="BD10" s="436" t="s">
        <v>762</v>
      </c>
      <c r="BE10" s="436" t="s">
        <v>762</v>
      </c>
      <c r="BF10" s="436" t="s">
        <v>762</v>
      </c>
      <c r="BG10" s="436" t="s">
        <v>762</v>
      </c>
      <c r="BH10" s="436" t="s">
        <v>762</v>
      </c>
      <c r="BI10" s="436" t="s">
        <v>762</v>
      </c>
      <c r="BJ10" s="436" t="s">
        <v>762</v>
      </c>
      <c r="BK10" s="436" t="s">
        <v>762</v>
      </c>
      <c r="BL10" s="436" t="s">
        <v>762</v>
      </c>
      <c r="BM10" s="436" t="s">
        <v>762</v>
      </c>
      <c r="BN10" s="436" t="s">
        <v>762</v>
      </c>
      <c r="BO10" s="436" t="s">
        <v>762</v>
      </c>
      <c r="BP10" s="436" t="s">
        <v>762</v>
      </c>
      <c r="BQ10" s="436" t="s">
        <v>762</v>
      </c>
      <c r="BR10" s="436" t="s">
        <v>762</v>
      </c>
      <c r="BS10" s="436" t="s">
        <v>762</v>
      </c>
      <c r="BT10" s="436" t="s">
        <v>762</v>
      </c>
      <c r="BU10" s="436" t="s">
        <v>762</v>
      </c>
      <c r="BV10" s="436" t="s">
        <v>762</v>
      </c>
      <c r="BW10" s="436" t="s">
        <v>762</v>
      </c>
      <c r="BX10" s="436" t="s">
        <v>762</v>
      </c>
      <c r="BY10" s="436" t="s">
        <v>762</v>
      </c>
      <c r="BZ10" s="436" t="s">
        <v>762</v>
      </c>
      <c r="CA10" s="436" t="s">
        <v>762</v>
      </c>
      <c r="CB10" s="436" t="s">
        <v>762</v>
      </c>
      <c r="CC10" s="436" t="s">
        <v>762</v>
      </c>
      <c r="CD10" s="436" t="s">
        <v>762</v>
      </c>
      <c r="CE10" s="436" t="s">
        <v>762</v>
      </c>
      <c r="CF10" s="436" t="s">
        <v>762</v>
      </c>
      <c r="CG10" s="436" t="s">
        <v>762</v>
      </c>
      <c r="CH10" s="436" t="s">
        <v>762</v>
      </c>
      <c r="CI10" s="436" t="s">
        <v>762</v>
      </c>
      <c r="CJ10" s="436" t="s">
        <v>762</v>
      </c>
      <c r="CK10" s="436" t="s">
        <v>762</v>
      </c>
      <c r="CL10" s="436" t="s">
        <v>762</v>
      </c>
      <c r="CW10" s="442"/>
    </row>
    <row r="11" spans="1:102" s="437" customFormat="1">
      <c r="A11" s="435" t="s">
        <v>519</v>
      </c>
      <c r="B11" s="435" t="s">
        <v>90</v>
      </c>
      <c r="C11" s="436" cm="1">
        <f t="array" ref="C11">IF($B612=0, Vide, $B612)</f>
        <v>41.433924999999995</v>
      </c>
      <c r="D11" s="436" cm="1">
        <f t="array" ref="D11">IF($B612=0, Vide, $B612)</f>
        <v>41.433924999999995</v>
      </c>
      <c r="E11" s="436" cm="1">
        <f t="array" ref="E11">IF($B612=0, Vide, $B612)</f>
        <v>41.433924999999995</v>
      </c>
      <c r="F11" s="436" cm="1">
        <f t="array" ref="F11">IF($B612=0, Vide, $B612)</f>
        <v>41.433924999999995</v>
      </c>
      <c r="G11" s="436" cm="1">
        <f t="array" ref="G11">IF($B612=0, Vide, $B612)</f>
        <v>41.433924999999995</v>
      </c>
      <c r="H11" s="436" cm="1">
        <f t="array" ref="H11">IF($C612=0, Vide, $C612)</f>
        <v>48.879599999999996</v>
      </c>
      <c r="I11" s="436" cm="1">
        <f t="array" ref="I11">IF($C612=0, Vide, $C612)</f>
        <v>48.879599999999996</v>
      </c>
      <c r="J11" s="436" cm="1">
        <f t="array" ref="J11">IF($C612=0, Vide, $C612)</f>
        <v>48.879599999999996</v>
      </c>
      <c r="K11" s="436" cm="1">
        <f t="array" ref="K11">IF($C612=0, Vide, $C612)</f>
        <v>48.879599999999996</v>
      </c>
      <c r="L11" s="436" cm="1">
        <f t="array" ref="L11">IF($C612=0, Vide, $C612)</f>
        <v>48.879599999999996</v>
      </c>
      <c r="M11" s="436" t="s">
        <v>762</v>
      </c>
      <c r="N11" s="436" t="s">
        <v>762</v>
      </c>
      <c r="O11" s="436" t="s">
        <v>762</v>
      </c>
      <c r="P11" s="436" t="s">
        <v>762</v>
      </c>
      <c r="Q11" s="436" t="s">
        <v>762</v>
      </c>
      <c r="R11" s="436" t="s">
        <v>762</v>
      </c>
      <c r="S11" s="436" t="s">
        <v>762</v>
      </c>
      <c r="T11" s="436" t="s">
        <v>762</v>
      </c>
      <c r="U11" s="436" t="s">
        <v>762</v>
      </c>
      <c r="V11" s="436" cm="1">
        <f t="array" ref="V11">IF($D612=0, Vide, $D612)</f>
        <v>65.146349999999984</v>
      </c>
      <c r="W11" s="436" cm="1">
        <f t="array" ref="W11">IF($E612=0, Vide, $E612)</f>
        <v>78.159750000000003</v>
      </c>
      <c r="X11" s="436" cm="1">
        <f t="array" ref="X11">IF($F612=0, Vide, $F612)</f>
        <v>94.439724999999967</v>
      </c>
      <c r="Y11" s="436" cm="1">
        <f t="array" ref="Y11">IF($G612=0, Vide, $G612)</f>
        <v>110.75937499999998</v>
      </c>
      <c r="Z11" s="436" cm="1">
        <f t="array" ref="Z11">IF($H612=0, Vide, $H612)</f>
        <v>127.31707499999997</v>
      </c>
      <c r="AA11" s="436" cm="1">
        <f t="array" ref="AA11">IF($I612=0, Vide, $I612)</f>
        <v>144.43022499999998</v>
      </c>
      <c r="AB11" s="436" cm="1">
        <f t="array" ref="AB11">IF($J612=0, Vide, $J612)</f>
        <v>161.86077499999996</v>
      </c>
      <c r="AC11" s="436" cm="1">
        <f t="array" ref="AC11">IF($K612=0, Vide, $K612)</f>
        <v>179.29132499999997</v>
      </c>
      <c r="AD11" s="436" cm="1">
        <f t="array" ref="AD11">IF($L612=0, Vide, $L612)</f>
        <v>202.72602499999996</v>
      </c>
      <c r="AE11" s="436">
        <f t="shared" ref="AE11:AN13" si="7">(AE$1/100)*$CG11</f>
        <v>222.99862749999997</v>
      </c>
      <c r="AF11" s="436">
        <f t="shared" si="7"/>
        <v>253.40753124999995</v>
      </c>
      <c r="AG11" s="436">
        <f t="shared" si="7"/>
        <v>304.08903749999996</v>
      </c>
      <c r="AH11" s="436">
        <f t="shared" si="7"/>
        <v>354.77054374999994</v>
      </c>
      <c r="AI11" s="436">
        <f t="shared" si="7"/>
        <v>407.47931024999991</v>
      </c>
      <c r="AJ11" s="436">
        <f t="shared" si="7"/>
        <v>456.13355624999991</v>
      </c>
      <c r="AK11" s="436">
        <f t="shared" si="7"/>
        <v>506.8150624999999</v>
      </c>
      <c r="AL11" s="436">
        <f t="shared" si="7"/>
        <v>610.20533524999985</v>
      </c>
      <c r="AM11" s="436">
        <f t="shared" si="7"/>
        <v>658.85958124999991</v>
      </c>
      <c r="AN11" s="436">
        <f t="shared" si="7"/>
        <v>709.54108749999989</v>
      </c>
      <c r="AO11" s="436">
        <f t="shared" ref="AO11:AX13" si="8">(AO$1/100)*$CG11</f>
        <v>760.22259374999987</v>
      </c>
      <c r="AP11" s="436">
        <f t="shared" si="8"/>
        <v>812.93136024999978</v>
      </c>
      <c r="AQ11" s="436">
        <f t="shared" si="8"/>
        <v>861.58560624999984</v>
      </c>
      <c r="AR11" s="436">
        <f t="shared" si="8"/>
        <v>912.26711249999983</v>
      </c>
      <c r="AS11" s="436">
        <f t="shared" si="8"/>
        <v>962.94861874999981</v>
      </c>
      <c r="AT11" s="436">
        <f t="shared" si="8"/>
        <v>1013.6301249999998</v>
      </c>
      <c r="AU11" s="436">
        <f t="shared" si="8"/>
        <v>1064.3116312499999</v>
      </c>
      <c r="AV11" s="436">
        <f t="shared" si="8"/>
        <v>1114.9931374999999</v>
      </c>
      <c r="AW11" s="436">
        <f t="shared" si="8"/>
        <v>1165.6746437499999</v>
      </c>
      <c r="AX11" s="436">
        <f t="shared" si="8"/>
        <v>1216.3561499999998</v>
      </c>
      <c r="AY11" s="436">
        <f t="shared" ref="AY11:BH13" si="9">(AY$1/100)*$CG11</f>
        <v>1317.7191624999998</v>
      </c>
      <c r="AZ11" s="436">
        <f t="shared" si="9"/>
        <v>1419.0821749999998</v>
      </c>
      <c r="BA11" s="436">
        <f t="shared" si="9"/>
        <v>1520.4451874999997</v>
      </c>
      <c r="BB11" s="436">
        <f t="shared" si="9"/>
        <v>1621.8081999999997</v>
      </c>
      <c r="BC11" s="436">
        <f t="shared" si="9"/>
        <v>1723.1712124999997</v>
      </c>
      <c r="BD11" s="436">
        <f t="shared" si="9"/>
        <v>1824.5342249999997</v>
      </c>
      <c r="BE11" s="436">
        <f t="shared" si="9"/>
        <v>1925.8972374999996</v>
      </c>
      <c r="BF11" s="436">
        <f t="shared" si="9"/>
        <v>2027.2602499999996</v>
      </c>
      <c r="BG11" s="436">
        <f t="shared" si="9"/>
        <v>2229.9862749999998</v>
      </c>
      <c r="BH11" s="436">
        <f t="shared" si="9"/>
        <v>2432.7122999999997</v>
      </c>
      <c r="BI11" s="436">
        <f t="shared" ref="BI11:BR13" si="10">(BI$1/100)*$CG11</f>
        <v>2534.0753124999997</v>
      </c>
      <c r="BJ11" s="436">
        <f t="shared" si="10"/>
        <v>2635.4383249999996</v>
      </c>
      <c r="BK11" s="436">
        <f t="shared" si="10"/>
        <v>2838.1643499999996</v>
      </c>
      <c r="BL11" s="436">
        <f t="shared" si="10"/>
        <v>3040.8903749999995</v>
      </c>
      <c r="BM11" s="436">
        <f t="shared" si="10"/>
        <v>3243.6163999999994</v>
      </c>
      <c r="BN11" s="436">
        <f t="shared" si="10"/>
        <v>3446.3424249999994</v>
      </c>
      <c r="BO11" s="436">
        <f t="shared" si="10"/>
        <v>3547.7054374999993</v>
      </c>
      <c r="BP11" s="436">
        <f t="shared" si="10"/>
        <v>3649.0684499999993</v>
      </c>
      <c r="BQ11" s="436">
        <f t="shared" si="10"/>
        <v>3851.7944749999992</v>
      </c>
      <c r="BR11" s="436">
        <f t="shared" si="10"/>
        <v>4054.5204999999992</v>
      </c>
      <c r="BS11" s="436">
        <f t="shared" ref="BS11:CF13" si="11">(BS$1/100)*$CG11</f>
        <v>4561.3355624999995</v>
      </c>
      <c r="BT11" s="436">
        <f t="shared" si="11"/>
        <v>5068.1506249999993</v>
      </c>
      <c r="BU11" s="436">
        <f t="shared" si="11"/>
        <v>5574.9656874999991</v>
      </c>
      <c r="BV11" s="436">
        <f t="shared" si="11"/>
        <v>6081.780749999999</v>
      </c>
      <c r="BW11" s="436">
        <f t="shared" si="11"/>
        <v>7095.4108749999987</v>
      </c>
      <c r="BX11" s="436">
        <f t="shared" si="11"/>
        <v>8109.0409999999983</v>
      </c>
      <c r="BY11" s="436">
        <f t="shared" si="11"/>
        <v>9122.6711249999989</v>
      </c>
      <c r="BZ11" s="436">
        <f t="shared" si="11"/>
        <v>10136.301249999999</v>
      </c>
      <c r="CA11" s="436">
        <f t="shared" si="11"/>
        <v>11149.931374999998</v>
      </c>
      <c r="CB11" s="436">
        <f t="shared" si="11"/>
        <v>12163.561499999998</v>
      </c>
      <c r="CC11" s="436">
        <f t="shared" si="11"/>
        <v>14190.821749999997</v>
      </c>
      <c r="CD11" s="436">
        <f t="shared" si="11"/>
        <v>16218.081999999997</v>
      </c>
      <c r="CE11" s="436">
        <f t="shared" si="11"/>
        <v>18245.342249999998</v>
      </c>
      <c r="CF11" s="436">
        <f t="shared" si="11"/>
        <v>20272.602499999997</v>
      </c>
      <c r="CG11" s="436" cm="1">
        <f t="array" ref="CG11">IF($M612=0, Vide, $M612)</f>
        <v>202.72602499999996</v>
      </c>
      <c r="CH11" s="435" t="s">
        <v>762</v>
      </c>
      <c r="CI11" s="435" t="s">
        <v>762</v>
      </c>
      <c r="CJ11" s="435" t="s">
        <v>762</v>
      </c>
      <c r="CK11" s="435" t="s">
        <v>762</v>
      </c>
      <c r="CL11" s="435" t="s">
        <v>762</v>
      </c>
      <c r="CW11" s="442"/>
    </row>
    <row r="12" spans="1:102" s="437" customFormat="1">
      <c r="A12" s="435" t="s">
        <v>520</v>
      </c>
      <c r="B12" s="435" t="s">
        <v>90</v>
      </c>
      <c r="C12" s="436" cm="1">
        <f t="array" ref="C12">IF($B613=0, Vide, $B613)</f>
        <v>40.203999999999986</v>
      </c>
      <c r="D12" s="436" cm="1">
        <f t="array" ref="D12">IF($B613=0, Vide, $B613)</f>
        <v>40.203999999999986</v>
      </c>
      <c r="E12" s="436" cm="1">
        <f t="array" ref="E12">IF($B613=0, Vide, $B613)</f>
        <v>40.203999999999986</v>
      </c>
      <c r="F12" s="436" cm="1">
        <f t="array" ref="F12">IF($B613=0, Vide, $B613)</f>
        <v>40.203999999999986</v>
      </c>
      <c r="G12" s="436" cm="1">
        <f t="array" ref="G12">IF($B613=0, Vide, $B613)</f>
        <v>40.203999999999986</v>
      </c>
      <c r="H12" s="436" cm="1">
        <f t="array" ref="H12">IF($C613=0, Vide, $C613)</f>
        <v>47.477749999999993</v>
      </c>
      <c r="I12" s="436" cm="1">
        <f t="array" ref="I12">IF($C613=0, Vide, $C613)</f>
        <v>47.477749999999993</v>
      </c>
      <c r="J12" s="436" cm="1">
        <f t="array" ref="J12">IF($C613=0, Vide, $C613)</f>
        <v>47.477749999999993</v>
      </c>
      <c r="K12" s="436" cm="1">
        <f t="array" ref="K12">IF($C613=0, Vide, $C613)</f>
        <v>47.477749999999993</v>
      </c>
      <c r="L12" s="436" cm="1">
        <f t="array" ref="L12">IF($C613=0, Vide, $C613)</f>
        <v>47.477749999999993</v>
      </c>
      <c r="M12" s="436" t="s">
        <v>762</v>
      </c>
      <c r="N12" s="436" t="s">
        <v>762</v>
      </c>
      <c r="O12" s="436" t="s">
        <v>762</v>
      </c>
      <c r="P12" s="436" t="s">
        <v>762</v>
      </c>
      <c r="Q12" s="436" t="s">
        <v>762</v>
      </c>
      <c r="R12" s="436" t="s">
        <v>762</v>
      </c>
      <c r="S12" s="436" t="s">
        <v>762</v>
      </c>
      <c r="T12" s="436" t="s">
        <v>762</v>
      </c>
      <c r="U12" s="436" t="s">
        <v>762</v>
      </c>
      <c r="V12" s="436" cm="1">
        <f t="array" ref="V12">IF($D613=0, Vide, $D613)</f>
        <v>63.215499999999984</v>
      </c>
      <c r="W12" s="436" cm="1">
        <f t="array" ref="W12">IF($E613=0, Vide, $E613)</f>
        <v>75.871824999999987</v>
      </c>
      <c r="X12" s="436" cm="1">
        <f t="array" ref="X12">IF($F613=0, Vide, $F613)</f>
        <v>91.71537499999998</v>
      </c>
      <c r="Y12" s="436" cm="1">
        <f t="array" ref="Y12">IF($G613=0, Vide, $G613)</f>
        <v>107.50602499999999</v>
      </c>
      <c r="Z12" s="436" cm="1">
        <f t="array" ref="Z12">IF($H613=0, Vide, $H613)</f>
        <v>123.56117499999999</v>
      </c>
      <c r="AA12" s="436" cm="1">
        <f t="array" ref="AA12">IF($I613=0, Vide, $I613)</f>
        <v>140.2379</v>
      </c>
      <c r="AB12" s="436" cm="1">
        <f t="array" ref="AB12">IF($J613=0, Vide, $J613)</f>
        <v>157.16589999999999</v>
      </c>
      <c r="AC12" s="436" cm="1">
        <f t="array" ref="AC12">IF($K613=0, Vide, $K613)</f>
        <v>174.12034999999997</v>
      </c>
      <c r="AD12" s="436" cm="1">
        <f t="array" ref="AD12">IF($L613=0, Vide, $L613)</f>
        <v>196.81444999999997</v>
      </c>
      <c r="AE12" s="436">
        <f t="shared" si="7"/>
        <v>216.49589499999999</v>
      </c>
      <c r="AF12" s="436">
        <f t="shared" si="7"/>
        <v>246.01806249999996</v>
      </c>
      <c r="AG12" s="436">
        <f t="shared" si="7"/>
        <v>295.22167499999995</v>
      </c>
      <c r="AH12" s="436">
        <f t="shared" si="7"/>
        <v>344.42528749999997</v>
      </c>
      <c r="AI12" s="436">
        <f t="shared" si="7"/>
        <v>395.59704449999987</v>
      </c>
      <c r="AJ12" s="436">
        <f t="shared" si="7"/>
        <v>442.83251249999989</v>
      </c>
      <c r="AK12" s="436">
        <f t="shared" si="7"/>
        <v>492.03612499999991</v>
      </c>
      <c r="AL12" s="436">
        <f t="shared" si="7"/>
        <v>592.41149449999989</v>
      </c>
      <c r="AM12" s="436">
        <f t="shared" si="7"/>
        <v>639.64696249999986</v>
      </c>
      <c r="AN12" s="436">
        <f t="shared" si="7"/>
        <v>688.85057499999994</v>
      </c>
      <c r="AO12" s="436">
        <f t="shared" si="8"/>
        <v>738.0541874999999</v>
      </c>
      <c r="AP12" s="436">
        <f t="shared" si="8"/>
        <v>789.22594449999985</v>
      </c>
      <c r="AQ12" s="436">
        <f t="shared" si="8"/>
        <v>836.46141249999982</v>
      </c>
      <c r="AR12" s="436">
        <f t="shared" si="8"/>
        <v>885.66502499999979</v>
      </c>
      <c r="AS12" s="436">
        <f t="shared" si="8"/>
        <v>934.86863749999986</v>
      </c>
      <c r="AT12" s="436">
        <f t="shared" si="8"/>
        <v>984.07224999999983</v>
      </c>
      <c r="AU12" s="436">
        <f t="shared" si="8"/>
        <v>1033.2758624999999</v>
      </c>
      <c r="AV12" s="436">
        <f t="shared" si="8"/>
        <v>1082.4794749999999</v>
      </c>
      <c r="AW12" s="436">
        <f t="shared" si="8"/>
        <v>1131.6830874999998</v>
      </c>
      <c r="AX12" s="436">
        <f t="shared" si="8"/>
        <v>1180.8866999999998</v>
      </c>
      <c r="AY12" s="436">
        <f t="shared" si="9"/>
        <v>1279.2939249999997</v>
      </c>
      <c r="AZ12" s="436">
        <f t="shared" si="9"/>
        <v>1377.7011499999999</v>
      </c>
      <c r="BA12" s="436">
        <f t="shared" si="9"/>
        <v>1476.1083749999998</v>
      </c>
      <c r="BB12" s="436">
        <f t="shared" si="9"/>
        <v>1574.5155999999997</v>
      </c>
      <c r="BC12" s="436">
        <f t="shared" si="9"/>
        <v>1672.9228249999996</v>
      </c>
      <c r="BD12" s="436">
        <f t="shared" si="9"/>
        <v>1771.3300499999996</v>
      </c>
      <c r="BE12" s="436">
        <f t="shared" si="9"/>
        <v>1869.7372749999997</v>
      </c>
      <c r="BF12" s="436">
        <f t="shared" si="9"/>
        <v>1968.1444999999997</v>
      </c>
      <c r="BG12" s="436">
        <f t="shared" si="9"/>
        <v>2164.9589499999997</v>
      </c>
      <c r="BH12" s="436">
        <f t="shared" si="9"/>
        <v>2361.7733999999996</v>
      </c>
      <c r="BI12" s="436">
        <f t="shared" si="10"/>
        <v>2460.1806249999995</v>
      </c>
      <c r="BJ12" s="436">
        <f t="shared" si="10"/>
        <v>2558.5878499999994</v>
      </c>
      <c r="BK12" s="436">
        <f t="shared" si="10"/>
        <v>2755.4022999999997</v>
      </c>
      <c r="BL12" s="436">
        <f t="shared" si="10"/>
        <v>2952.2167499999996</v>
      </c>
      <c r="BM12" s="436">
        <f t="shared" si="10"/>
        <v>3149.0311999999994</v>
      </c>
      <c r="BN12" s="436">
        <f t="shared" si="10"/>
        <v>3345.8456499999993</v>
      </c>
      <c r="BO12" s="436">
        <f t="shared" si="10"/>
        <v>3444.2528749999992</v>
      </c>
      <c r="BP12" s="436">
        <f t="shared" si="10"/>
        <v>3542.6600999999991</v>
      </c>
      <c r="BQ12" s="436">
        <f t="shared" si="10"/>
        <v>3739.4745499999995</v>
      </c>
      <c r="BR12" s="436">
        <f t="shared" si="10"/>
        <v>3936.2889999999993</v>
      </c>
      <c r="BS12" s="436">
        <f t="shared" si="11"/>
        <v>4428.3251249999994</v>
      </c>
      <c r="BT12" s="436">
        <f t="shared" si="11"/>
        <v>4920.361249999999</v>
      </c>
      <c r="BU12" s="436">
        <f t="shared" si="11"/>
        <v>5412.3973749999986</v>
      </c>
      <c r="BV12" s="436">
        <f t="shared" si="11"/>
        <v>5904.4334999999992</v>
      </c>
      <c r="BW12" s="436">
        <f t="shared" si="11"/>
        <v>6888.5057499999984</v>
      </c>
      <c r="BX12" s="436">
        <f t="shared" si="11"/>
        <v>7872.5779999999986</v>
      </c>
      <c r="BY12" s="436">
        <f t="shared" si="11"/>
        <v>8856.6502499999988</v>
      </c>
      <c r="BZ12" s="436">
        <f t="shared" si="11"/>
        <v>9840.722499999998</v>
      </c>
      <c r="CA12" s="436">
        <f t="shared" si="11"/>
        <v>10824.794749999997</v>
      </c>
      <c r="CB12" s="436">
        <f t="shared" si="11"/>
        <v>11808.866999999998</v>
      </c>
      <c r="CC12" s="436">
        <f t="shared" si="11"/>
        <v>13777.011499999997</v>
      </c>
      <c r="CD12" s="436">
        <f t="shared" si="11"/>
        <v>15745.155999999997</v>
      </c>
      <c r="CE12" s="436">
        <f t="shared" si="11"/>
        <v>17713.300499999998</v>
      </c>
      <c r="CF12" s="436">
        <f t="shared" si="11"/>
        <v>19681.444999999996</v>
      </c>
      <c r="CG12" s="436" cm="1">
        <f t="array" ref="CG12">IF($M613=0, Vide, $M613)</f>
        <v>196.81444999999997</v>
      </c>
      <c r="CH12" s="435" t="s">
        <v>762</v>
      </c>
      <c r="CI12" s="435" t="s">
        <v>762</v>
      </c>
      <c r="CJ12" s="435" t="s">
        <v>762</v>
      </c>
      <c r="CK12" s="435" t="s">
        <v>762</v>
      </c>
      <c r="CL12" s="435" t="s">
        <v>762</v>
      </c>
      <c r="CW12" s="442"/>
    </row>
    <row r="13" spans="1:102" s="437" customFormat="1">
      <c r="A13" s="435" t="s">
        <v>521</v>
      </c>
      <c r="B13" s="435" t="s">
        <v>90</v>
      </c>
      <c r="C13" s="436" cm="1">
        <f t="array" ref="C13">IF($B614=0, Vide, $B614)</f>
        <v>41.433924999999995</v>
      </c>
      <c r="D13" s="436" cm="1">
        <f t="array" ref="D13">IF($B614=0, Vide, $B614)</f>
        <v>41.433924999999995</v>
      </c>
      <c r="E13" s="436" cm="1">
        <f t="array" ref="E13">IF($B614=0, Vide, $B614)</f>
        <v>41.433924999999995</v>
      </c>
      <c r="F13" s="436" cm="1">
        <f t="array" ref="F13">IF($B614=0, Vide, $B614)</f>
        <v>41.433924999999995</v>
      </c>
      <c r="G13" s="436" cm="1">
        <f t="array" ref="G13">IF($B614=0, Vide, $B614)</f>
        <v>41.433924999999995</v>
      </c>
      <c r="H13" s="436" cm="1">
        <f t="array" ref="H13">IF($C614=0, Vide, $C614)</f>
        <v>48.879599999999996</v>
      </c>
      <c r="I13" s="436" cm="1">
        <f t="array" ref="I13">IF($C614=0, Vide, $C614)</f>
        <v>48.879599999999996</v>
      </c>
      <c r="J13" s="436" cm="1">
        <f t="array" ref="J13">IF($C614=0, Vide, $C614)</f>
        <v>48.879599999999996</v>
      </c>
      <c r="K13" s="436" cm="1">
        <f t="array" ref="K13">IF($C614=0, Vide, $C614)</f>
        <v>48.879599999999996</v>
      </c>
      <c r="L13" s="436" cm="1">
        <f t="array" ref="L13">IF($C614=0, Vide, $C614)</f>
        <v>48.879599999999996</v>
      </c>
      <c r="M13" s="436" t="s">
        <v>762</v>
      </c>
      <c r="N13" s="436" t="s">
        <v>762</v>
      </c>
      <c r="O13" s="436" t="s">
        <v>762</v>
      </c>
      <c r="P13" s="436" t="s">
        <v>762</v>
      </c>
      <c r="Q13" s="436" t="s">
        <v>762</v>
      </c>
      <c r="R13" s="436" t="s">
        <v>762</v>
      </c>
      <c r="S13" s="436" t="s">
        <v>762</v>
      </c>
      <c r="T13" s="436" t="s">
        <v>762</v>
      </c>
      <c r="U13" s="436" t="s">
        <v>762</v>
      </c>
      <c r="V13" s="436" cm="1">
        <f t="array" ref="V13">IF($D614=0, Vide, $D614)</f>
        <v>65.146349999999984</v>
      </c>
      <c r="W13" s="436" cm="1">
        <f t="array" ref="W13">IF($E614=0, Vide, $E614)</f>
        <v>78.159750000000003</v>
      </c>
      <c r="X13" s="436" cm="1">
        <f t="array" ref="X13">IF($F614=0, Vide, $F614)</f>
        <v>94.439724999999967</v>
      </c>
      <c r="Y13" s="436" cm="1">
        <f t="array" ref="Y13">IF($G614=0, Vide, $G614)</f>
        <v>110.75937499999998</v>
      </c>
      <c r="Z13" s="436" cm="1">
        <f t="array" ref="Z13">IF($H614=0, Vide, $H614)</f>
        <v>127.31707499999997</v>
      </c>
      <c r="AA13" s="436" cm="1">
        <f t="array" ref="AA13">IF($I614=0, Vide, $I614)</f>
        <v>144.43022499999998</v>
      </c>
      <c r="AB13" s="436" cm="1">
        <f t="array" ref="AB13">IF($J614=0, Vide, $J614)</f>
        <v>161.86077499999996</v>
      </c>
      <c r="AC13" s="436" cm="1">
        <f t="array" ref="AC13">IF($K614=0, Vide, $K614)</f>
        <v>179.29132499999997</v>
      </c>
      <c r="AD13" s="436" cm="1">
        <f t="array" ref="AD13">IF($L614=0, Vide, $L614)</f>
        <v>202.72602499999996</v>
      </c>
      <c r="AE13" s="436">
        <f t="shared" si="7"/>
        <v>222.99862749999997</v>
      </c>
      <c r="AF13" s="436">
        <f t="shared" si="7"/>
        <v>253.40753124999995</v>
      </c>
      <c r="AG13" s="436">
        <f t="shared" si="7"/>
        <v>304.08903749999996</v>
      </c>
      <c r="AH13" s="436">
        <f t="shared" si="7"/>
        <v>354.77054374999994</v>
      </c>
      <c r="AI13" s="436">
        <f t="shared" si="7"/>
        <v>407.47931024999991</v>
      </c>
      <c r="AJ13" s="436">
        <f t="shared" si="7"/>
        <v>456.13355624999991</v>
      </c>
      <c r="AK13" s="436">
        <f t="shared" si="7"/>
        <v>506.8150624999999</v>
      </c>
      <c r="AL13" s="436">
        <f t="shared" si="7"/>
        <v>610.20533524999985</v>
      </c>
      <c r="AM13" s="436">
        <f t="shared" si="7"/>
        <v>658.85958124999991</v>
      </c>
      <c r="AN13" s="436">
        <f t="shared" si="7"/>
        <v>709.54108749999989</v>
      </c>
      <c r="AO13" s="436">
        <f t="shared" si="8"/>
        <v>760.22259374999987</v>
      </c>
      <c r="AP13" s="436">
        <f t="shared" si="8"/>
        <v>812.93136024999978</v>
      </c>
      <c r="AQ13" s="436">
        <f t="shared" si="8"/>
        <v>861.58560624999984</v>
      </c>
      <c r="AR13" s="436">
        <f t="shared" si="8"/>
        <v>912.26711249999983</v>
      </c>
      <c r="AS13" s="436">
        <f t="shared" si="8"/>
        <v>962.94861874999981</v>
      </c>
      <c r="AT13" s="436">
        <f t="shared" si="8"/>
        <v>1013.6301249999998</v>
      </c>
      <c r="AU13" s="436">
        <f t="shared" si="8"/>
        <v>1064.3116312499999</v>
      </c>
      <c r="AV13" s="436">
        <f t="shared" si="8"/>
        <v>1114.9931374999999</v>
      </c>
      <c r="AW13" s="436">
        <f t="shared" si="8"/>
        <v>1165.6746437499999</v>
      </c>
      <c r="AX13" s="436">
        <f t="shared" si="8"/>
        <v>1216.3561499999998</v>
      </c>
      <c r="AY13" s="436">
        <f t="shared" si="9"/>
        <v>1317.7191624999998</v>
      </c>
      <c r="AZ13" s="436">
        <f t="shared" si="9"/>
        <v>1419.0821749999998</v>
      </c>
      <c r="BA13" s="436">
        <f t="shared" si="9"/>
        <v>1520.4451874999997</v>
      </c>
      <c r="BB13" s="436">
        <f t="shared" si="9"/>
        <v>1621.8081999999997</v>
      </c>
      <c r="BC13" s="436">
        <f t="shared" si="9"/>
        <v>1723.1712124999997</v>
      </c>
      <c r="BD13" s="436">
        <f t="shared" si="9"/>
        <v>1824.5342249999997</v>
      </c>
      <c r="BE13" s="436">
        <f t="shared" si="9"/>
        <v>1925.8972374999996</v>
      </c>
      <c r="BF13" s="436">
        <f t="shared" si="9"/>
        <v>2027.2602499999996</v>
      </c>
      <c r="BG13" s="436">
        <f t="shared" si="9"/>
        <v>2229.9862749999998</v>
      </c>
      <c r="BH13" s="436">
        <f t="shared" si="9"/>
        <v>2432.7122999999997</v>
      </c>
      <c r="BI13" s="436">
        <f t="shared" si="10"/>
        <v>2534.0753124999997</v>
      </c>
      <c r="BJ13" s="436">
        <f t="shared" si="10"/>
        <v>2635.4383249999996</v>
      </c>
      <c r="BK13" s="436">
        <f t="shared" si="10"/>
        <v>2838.1643499999996</v>
      </c>
      <c r="BL13" s="436">
        <f t="shared" si="10"/>
        <v>3040.8903749999995</v>
      </c>
      <c r="BM13" s="436">
        <f t="shared" si="10"/>
        <v>3243.6163999999994</v>
      </c>
      <c r="BN13" s="436">
        <f t="shared" si="10"/>
        <v>3446.3424249999994</v>
      </c>
      <c r="BO13" s="436">
        <f t="shared" si="10"/>
        <v>3547.7054374999993</v>
      </c>
      <c r="BP13" s="436">
        <f t="shared" si="10"/>
        <v>3649.0684499999993</v>
      </c>
      <c r="BQ13" s="436">
        <f t="shared" si="10"/>
        <v>3851.7944749999992</v>
      </c>
      <c r="BR13" s="436">
        <f t="shared" si="10"/>
        <v>4054.5204999999992</v>
      </c>
      <c r="BS13" s="436">
        <f t="shared" si="11"/>
        <v>4561.3355624999995</v>
      </c>
      <c r="BT13" s="436">
        <f t="shared" si="11"/>
        <v>5068.1506249999993</v>
      </c>
      <c r="BU13" s="436">
        <f t="shared" si="11"/>
        <v>5574.9656874999991</v>
      </c>
      <c r="BV13" s="436">
        <f t="shared" si="11"/>
        <v>6081.780749999999</v>
      </c>
      <c r="BW13" s="436">
        <f t="shared" si="11"/>
        <v>7095.4108749999987</v>
      </c>
      <c r="BX13" s="436">
        <f t="shared" si="11"/>
        <v>8109.0409999999983</v>
      </c>
      <c r="BY13" s="436">
        <f t="shared" si="11"/>
        <v>9122.6711249999989</v>
      </c>
      <c r="BZ13" s="436">
        <f t="shared" si="11"/>
        <v>10136.301249999999</v>
      </c>
      <c r="CA13" s="436">
        <f t="shared" si="11"/>
        <v>11149.931374999998</v>
      </c>
      <c r="CB13" s="436">
        <f t="shared" si="11"/>
        <v>12163.561499999998</v>
      </c>
      <c r="CC13" s="436">
        <f t="shared" si="11"/>
        <v>14190.821749999997</v>
      </c>
      <c r="CD13" s="436">
        <f t="shared" si="11"/>
        <v>16218.081999999997</v>
      </c>
      <c r="CE13" s="436">
        <f t="shared" si="11"/>
        <v>18245.342249999998</v>
      </c>
      <c r="CF13" s="436">
        <f t="shared" si="11"/>
        <v>20272.602499999997</v>
      </c>
      <c r="CG13" s="436" cm="1">
        <f t="array" ref="CG13">IF($M614=0, Vide, $M614)</f>
        <v>202.72602499999996</v>
      </c>
      <c r="CH13" s="435" t="s">
        <v>762</v>
      </c>
      <c r="CI13" s="435" t="s">
        <v>762</v>
      </c>
      <c r="CJ13" s="435" t="s">
        <v>762</v>
      </c>
      <c r="CK13" s="435" t="s">
        <v>762</v>
      </c>
      <c r="CL13" s="435" t="s">
        <v>762</v>
      </c>
      <c r="CW13" s="442"/>
    </row>
    <row r="14" spans="1:102" s="437" customFormat="1">
      <c r="A14" s="435" t="s">
        <v>522</v>
      </c>
      <c r="B14" s="435" t="s">
        <v>90</v>
      </c>
      <c r="C14" s="436" t="s">
        <v>762</v>
      </c>
      <c r="D14" s="436" t="s">
        <v>762</v>
      </c>
      <c r="E14" s="436" t="s">
        <v>762</v>
      </c>
      <c r="F14" s="436" t="s">
        <v>762</v>
      </c>
      <c r="G14" s="436" t="s">
        <v>762</v>
      </c>
      <c r="H14" s="436" t="s">
        <v>762</v>
      </c>
      <c r="I14" s="436" t="s">
        <v>762</v>
      </c>
      <c r="J14" s="436" t="s">
        <v>762</v>
      </c>
      <c r="K14" s="436" t="s">
        <v>762</v>
      </c>
      <c r="L14" s="436" t="s">
        <v>762</v>
      </c>
      <c r="M14" s="436" t="s">
        <v>762</v>
      </c>
      <c r="N14" s="436" t="s">
        <v>762</v>
      </c>
      <c r="O14" s="436" t="s">
        <v>762</v>
      </c>
      <c r="P14" s="436" t="s">
        <v>762</v>
      </c>
      <c r="Q14" s="436" t="s">
        <v>762</v>
      </c>
      <c r="R14" s="436" t="s">
        <v>762</v>
      </c>
      <c r="S14" s="436" t="s">
        <v>762</v>
      </c>
      <c r="T14" s="436" t="s">
        <v>762</v>
      </c>
      <c r="U14" s="436" t="s">
        <v>762</v>
      </c>
      <c r="V14" s="436" t="s">
        <v>762</v>
      </c>
      <c r="W14" s="436" t="s">
        <v>762</v>
      </c>
      <c r="X14" s="436" t="s">
        <v>762</v>
      </c>
      <c r="Y14" s="436" t="s">
        <v>762</v>
      </c>
      <c r="Z14" s="436" t="s">
        <v>762</v>
      </c>
      <c r="AA14" s="436" t="s">
        <v>762</v>
      </c>
      <c r="AB14" s="436" t="s">
        <v>762</v>
      </c>
      <c r="AC14" s="436" t="s">
        <v>762</v>
      </c>
      <c r="AD14" s="436" t="s">
        <v>762</v>
      </c>
      <c r="AE14" s="436" t="s">
        <v>762</v>
      </c>
      <c r="AF14" s="436" t="s">
        <v>762</v>
      </c>
      <c r="AG14" s="436" t="s">
        <v>762</v>
      </c>
      <c r="AH14" s="436" t="s">
        <v>762</v>
      </c>
      <c r="AI14" s="436" t="s">
        <v>762</v>
      </c>
      <c r="AJ14" s="436" t="s">
        <v>762</v>
      </c>
      <c r="AK14" s="436" t="s">
        <v>762</v>
      </c>
      <c r="AL14" s="436" t="s">
        <v>762</v>
      </c>
      <c r="AM14" s="436" t="s">
        <v>762</v>
      </c>
      <c r="AN14" s="436" t="s">
        <v>762</v>
      </c>
      <c r="AO14" s="436" t="s">
        <v>762</v>
      </c>
      <c r="AP14" s="436" t="s">
        <v>762</v>
      </c>
      <c r="AQ14" s="436" t="s">
        <v>762</v>
      </c>
      <c r="AR14" s="436" t="s">
        <v>762</v>
      </c>
      <c r="AS14" s="436" t="s">
        <v>762</v>
      </c>
      <c r="AT14" s="436" t="s">
        <v>762</v>
      </c>
      <c r="AU14" s="436" t="s">
        <v>762</v>
      </c>
      <c r="AV14" s="436" t="s">
        <v>762</v>
      </c>
      <c r="AW14" s="436" t="s">
        <v>762</v>
      </c>
      <c r="AX14" s="436" t="s">
        <v>762</v>
      </c>
      <c r="AY14" s="436" t="s">
        <v>762</v>
      </c>
      <c r="AZ14" s="436" t="s">
        <v>762</v>
      </c>
      <c r="BA14" s="436" t="s">
        <v>762</v>
      </c>
      <c r="BB14" s="436" t="s">
        <v>762</v>
      </c>
      <c r="BC14" s="436" t="s">
        <v>762</v>
      </c>
      <c r="BD14" s="436" t="s">
        <v>762</v>
      </c>
      <c r="BE14" s="436" t="s">
        <v>762</v>
      </c>
      <c r="BF14" s="436" t="s">
        <v>762</v>
      </c>
      <c r="BG14" s="436" t="s">
        <v>762</v>
      </c>
      <c r="BH14" s="436" t="s">
        <v>762</v>
      </c>
      <c r="BI14" s="436" t="s">
        <v>762</v>
      </c>
      <c r="BJ14" s="436" t="s">
        <v>762</v>
      </c>
      <c r="BK14" s="436" t="s">
        <v>762</v>
      </c>
      <c r="BL14" s="436" t="s">
        <v>762</v>
      </c>
      <c r="BM14" s="436" t="s">
        <v>762</v>
      </c>
      <c r="BN14" s="436" t="s">
        <v>762</v>
      </c>
      <c r="BO14" s="436" t="s">
        <v>762</v>
      </c>
      <c r="BP14" s="436" t="s">
        <v>762</v>
      </c>
      <c r="BQ14" s="436" t="s">
        <v>762</v>
      </c>
      <c r="BR14" s="436" t="s">
        <v>762</v>
      </c>
      <c r="BS14" s="436" t="s">
        <v>762</v>
      </c>
      <c r="BT14" s="436" t="s">
        <v>762</v>
      </c>
      <c r="BU14" s="436" t="s">
        <v>762</v>
      </c>
      <c r="BV14" s="436" t="s">
        <v>762</v>
      </c>
      <c r="BW14" s="436" t="s">
        <v>762</v>
      </c>
      <c r="BX14" s="436" t="s">
        <v>762</v>
      </c>
      <c r="BY14" s="436" t="s">
        <v>762</v>
      </c>
      <c r="BZ14" s="436" t="s">
        <v>762</v>
      </c>
      <c r="CA14" s="436" t="s">
        <v>762</v>
      </c>
      <c r="CB14" s="436" t="s">
        <v>762</v>
      </c>
      <c r="CC14" s="436" t="s">
        <v>762</v>
      </c>
      <c r="CD14" s="436" t="s">
        <v>762</v>
      </c>
      <c r="CE14" s="436" t="s">
        <v>762</v>
      </c>
      <c r="CF14" s="436" t="s">
        <v>762</v>
      </c>
      <c r="CG14" s="436" t="s">
        <v>762</v>
      </c>
      <c r="CH14" s="436" t="s">
        <v>762</v>
      </c>
      <c r="CI14" s="436" t="s">
        <v>762</v>
      </c>
      <c r="CJ14" s="436" t="s">
        <v>762</v>
      </c>
      <c r="CK14" s="436" t="s">
        <v>762</v>
      </c>
      <c r="CL14" s="436" t="s">
        <v>762</v>
      </c>
    </row>
    <row r="15" spans="1:102" s="437" customFormat="1">
      <c r="A15" s="435" t="s">
        <v>523</v>
      </c>
      <c r="B15" s="435" t="s">
        <v>90</v>
      </c>
      <c r="C15" s="436" cm="1">
        <f t="array" ref="C15">IF($B616=0, Vide, $B616)</f>
        <v>40.203999999999986</v>
      </c>
      <c r="D15" s="436" cm="1">
        <f t="array" ref="D15">IF($B616=0, Vide, $B616)</f>
        <v>40.203999999999986</v>
      </c>
      <c r="E15" s="436" cm="1">
        <f t="array" ref="E15">IF($B616=0, Vide, $B616)</f>
        <v>40.203999999999986</v>
      </c>
      <c r="F15" s="436" cm="1">
        <f t="array" ref="F15">IF($B616=0, Vide, $B616)</f>
        <v>40.203999999999986</v>
      </c>
      <c r="G15" s="436" cm="1">
        <f t="array" ref="G15">IF($B616=0, Vide, $B616)</f>
        <v>40.203999999999986</v>
      </c>
      <c r="H15" s="436" cm="1">
        <f t="array" ref="H15">IF($C616=0, Vide, $C616)</f>
        <v>47.477749999999993</v>
      </c>
      <c r="I15" s="436" cm="1">
        <f t="array" ref="I15">IF($C616=0, Vide, $C616)</f>
        <v>47.477749999999993</v>
      </c>
      <c r="J15" s="436" cm="1">
        <f t="array" ref="J15">IF($C616=0, Vide, $C616)</f>
        <v>47.477749999999993</v>
      </c>
      <c r="K15" s="436" cm="1">
        <f t="array" ref="K15">IF($C616=0, Vide, $C616)</f>
        <v>47.477749999999993</v>
      </c>
      <c r="L15" s="436" cm="1">
        <f t="array" ref="L15">IF($C616=0, Vide, $C616)</f>
        <v>47.477749999999993</v>
      </c>
      <c r="M15" s="436" t="s">
        <v>762</v>
      </c>
      <c r="N15" s="436" t="s">
        <v>762</v>
      </c>
      <c r="O15" s="436" t="s">
        <v>762</v>
      </c>
      <c r="P15" s="436" t="s">
        <v>762</v>
      </c>
      <c r="Q15" s="436" t="s">
        <v>762</v>
      </c>
      <c r="R15" s="436" t="s">
        <v>762</v>
      </c>
      <c r="S15" s="436" t="s">
        <v>762</v>
      </c>
      <c r="T15" s="436" t="s">
        <v>762</v>
      </c>
      <c r="U15" s="436" t="s">
        <v>762</v>
      </c>
      <c r="V15" s="436" cm="1">
        <f t="array" ref="V15">IF($D616=0, Vide, $D616)</f>
        <v>63.215499999999984</v>
      </c>
      <c r="W15" s="436" cm="1">
        <f t="array" ref="W15">IF($E616=0, Vide, $E616)</f>
        <v>75.871824999999987</v>
      </c>
      <c r="X15" s="436" cm="1">
        <f t="array" ref="X15">IF($F616=0, Vide, $F616)</f>
        <v>91.71537499999998</v>
      </c>
      <c r="Y15" s="436" cm="1">
        <f t="array" ref="Y15">IF($G616=0, Vide, $G616)</f>
        <v>107.50602499999999</v>
      </c>
      <c r="Z15" s="436" cm="1">
        <f t="array" ref="Z15">IF($H616=0, Vide, $H616)</f>
        <v>123.56117499999999</v>
      </c>
      <c r="AA15" s="436" cm="1">
        <f t="array" ref="AA15">IF($I616=0, Vide, $I616)</f>
        <v>140.2379</v>
      </c>
      <c r="AB15" s="436" cm="1">
        <f t="array" ref="AB15">IF($J616=0, Vide, $J616)</f>
        <v>157.16589999999999</v>
      </c>
      <c r="AC15" s="436" cm="1">
        <f t="array" ref="AC15">IF($K616=0, Vide, $K616)</f>
        <v>174.12034999999997</v>
      </c>
      <c r="AD15" s="436" cm="1">
        <f t="array" ref="AD15">IF($L616=0, Vide, $L616)</f>
        <v>196.81444999999997</v>
      </c>
      <c r="AE15" s="436">
        <f t="shared" ref="AE15:AN16" si="12">(AE$1/100)*$CG15</f>
        <v>216.49589499999999</v>
      </c>
      <c r="AF15" s="436">
        <f t="shared" si="12"/>
        <v>246.01806249999996</v>
      </c>
      <c r="AG15" s="436">
        <f t="shared" si="12"/>
        <v>295.22167499999995</v>
      </c>
      <c r="AH15" s="436">
        <f t="shared" si="12"/>
        <v>344.42528749999997</v>
      </c>
      <c r="AI15" s="436">
        <f t="shared" si="12"/>
        <v>395.59704449999987</v>
      </c>
      <c r="AJ15" s="436">
        <f t="shared" si="12"/>
        <v>442.83251249999989</v>
      </c>
      <c r="AK15" s="436">
        <f t="shared" si="12"/>
        <v>492.03612499999991</v>
      </c>
      <c r="AL15" s="436">
        <f t="shared" si="12"/>
        <v>592.41149449999989</v>
      </c>
      <c r="AM15" s="436">
        <f t="shared" si="12"/>
        <v>639.64696249999986</v>
      </c>
      <c r="AN15" s="436">
        <f t="shared" si="12"/>
        <v>688.85057499999994</v>
      </c>
      <c r="AO15" s="436">
        <f t="shared" ref="AO15:AX16" si="13">(AO$1/100)*$CG15</f>
        <v>738.0541874999999</v>
      </c>
      <c r="AP15" s="436">
        <f t="shared" si="13"/>
        <v>789.22594449999985</v>
      </c>
      <c r="AQ15" s="436">
        <f t="shared" si="13"/>
        <v>836.46141249999982</v>
      </c>
      <c r="AR15" s="436">
        <f t="shared" si="13"/>
        <v>885.66502499999979</v>
      </c>
      <c r="AS15" s="436">
        <f t="shared" si="13"/>
        <v>934.86863749999986</v>
      </c>
      <c r="AT15" s="436">
        <f t="shared" si="13"/>
        <v>984.07224999999983</v>
      </c>
      <c r="AU15" s="436">
        <f t="shared" si="13"/>
        <v>1033.2758624999999</v>
      </c>
      <c r="AV15" s="436">
        <f t="shared" si="13"/>
        <v>1082.4794749999999</v>
      </c>
      <c r="AW15" s="436">
        <f t="shared" si="13"/>
        <v>1131.6830874999998</v>
      </c>
      <c r="AX15" s="436">
        <f t="shared" si="13"/>
        <v>1180.8866999999998</v>
      </c>
      <c r="AY15" s="436">
        <f t="shared" ref="AY15:BH16" si="14">(AY$1/100)*$CG15</f>
        <v>1279.2939249999997</v>
      </c>
      <c r="AZ15" s="436">
        <f t="shared" si="14"/>
        <v>1377.7011499999999</v>
      </c>
      <c r="BA15" s="436">
        <f t="shared" si="14"/>
        <v>1476.1083749999998</v>
      </c>
      <c r="BB15" s="436">
        <f t="shared" si="14"/>
        <v>1574.5155999999997</v>
      </c>
      <c r="BC15" s="436">
        <f t="shared" si="14"/>
        <v>1672.9228249999996</v>
      </c>
      <c r="BD15" s="436">
        <f t="shared" si="14"/>
        <v>1771.3300499999996</v>
      </c>
      <c r="BE15" s="436">
        <f t="shared" si="14"/>
        <v>1869.7372749999997</v>
      </c>
      <c r="BF15" s="436">
        <f t="shared" si="14"/>
        <v>1968.1444999999997</v>
      </c>
      <c r="BG15" s="436">
        <f t="shared" si="14"/>
        <v>2164.9589499999997</v>
      </c>
      <c r="BH15" s="436">
        <f t="shared" si="14"/>
        <v>2361.7733999999996</v>
      </c>
      <c r="BI15" s="436">
        <f t="shared" ref="BI15:BR16" si="15">(BI$1/100)*$CG15</f>
        <v>2460.1806249999995</v>
      </c>
      <c r="BJ15" s="436">
        <f t="shared" si="15"/>
        <v>2558.5878499999994</v>
      </c>
      <c r="BK15" s="436">
        <f t="shared" si="15"/>
        <v>2755.4022999999997</v>
      </c>
      <c r="BL15" s="436">
        <f t="shared" si="15"/>
        <v>2952.2167499999996</v>
      </c>
      <c r="BM15" s="436">
        <f t="shared" si="15"/>
        <v>3149.0311999999994</v>
      </c>
      <c r="BN15" s="436">
        <f t="shared" si="15"/>
        <v>3345.8456499999993</v>
      </c>
      <c r="BO15" s="436">
        <f t="shared" si="15"/>
        <v>3444.2528749999992</v>
      </c>
      <c r="BP15" s="436">
        <f t="shared" si="15"/>
        <v>3542.6600999999991</v>
      </c>
      <c r="BQ15" s="436">
        <f t="shared" si="15"/>
        <v>3739.4745499999995</v>
      </c>
      <c r="BR15" s="436">
        <f t="shared" si="15"/>
        <v>3936.2889999999993</v>
      </c>
      <c r="BS15" s="436">
        <f t="shared" ref="BS15:CF16" si="16">(BS$1/100)*$CG15</f>
        <v>4428.3251249999994</v>
      </c>
      <c r="BT15" s="436">
        <f t="shared" si="16"/>
        <v>4920.361249999999</v>
      </c>
      <c r="BU15" s="436">
        <f t="shared" si="16"/>
        <v>5412.3973749999986</v>
      </c>
      <c r="BV15" s="436">
        <f t="shared" si="16"/>
        <v>5904.4334999999992</v>
      </c>
      <c r="BW15" s="436">
        <f t="shared" si="16"/>
        <v>6888.5057499999984</v>
      </c>
      <c r="BX15" s="436">
        <f t="shared" si="16"/>
        <v>7872.5779999999986</v>
      </c>
      <c r="BY15" s="436">
        <f t="shared" si="16"/>
        <v>8856.6502499999988</v>
      </c>
      <c r="BZ15" s="436">
        <f t="shared" si="16"/>
        <v>9840.722499999998</v>
      </c>
      <c r="CA15" s="436">
        <f t="shared" si="16"/>
        <v>10824.794749999997</v>
      </c>
      <c r="CB15" s="436">
        <f t="shared" si="16"/>
        <v>11808.866999999998</v>
      </c>
      <c r="CC15" s="436">
        <f t="shared" si="16"/>
        <v>13777.011499999997</v>
      </c>
      <c r="CD15" s="436">
        <f t="shared" si="16"/>
        <v>15745.155999999997</v>
      </c>
      <c r="CE15" s="436">
        <f t="shared" si="16"/>
        <v>17713.300499999998</v>
      </c>
      <c r="CF15" s="436">
        <f t="shared" si="16"/>
        <v>19681.444999999996</v>
      </c>
      <c r="CG15" s="436" cm="1">
        <f t="array" ref="CG15">IF($M616=0, Vide, $M616)</f>
        <v>196.81444999999997</v>
      </c>
      <c r="CH15" s="435" t="s">
        <v>762</v>
      </c>
      <c r="CI15" s="435" t="s">
        <v>762</v>
      </c>
      <c r="CJ15" s="435" t="s">
        <v>762</v>
      </c>
      <c r="CK15" s="435" t="s">
        <v>762</v>
      </c>
      <c r="CL15" s="435" t="s">
        <v>762</v>
      </c>
    </row>
    <row r="16" spans="1:102" s="437" customFormat="1">
      <c r="A16" s="435" t="s">
        <v>524</v>
      </c>
      <c r="B16" s="435" t="s">
        <v>90</v>
      </c>
      <c r="C16" s="436" cm="1">
        <f t="array" ref="C16">IF($B617=0, Vide, $B617)</f>
        <v>41.433924999999995</v>
      </c>
      <c r="D16" s="436" cm="1">
        <f t="array" ref="D16">IF($B617=0, Vide, $B617)</f>
        <v>41.433924999999995</v>
      </c>
      <c r="E16" s="436" cm="1">
        <f t="array" ref="E16">IF($B617=0, Vide, $B617)</f>
        <v>41.433924999999995</v>
      </c>
      <c r="F16" s="436" cm="1">
        <f t="array" ref="F16">IF($B617=0, Vide, $B617)</f>
        <v>41.433924999999995</v>
      </c>
      <c r="G16" s="436" cm="1">
        <f t="array" ref="G16">IF($B617=0, Vide, $B617)</f>
        <v>41.433924999999995</v>
      </c>
      <c r="H16" s="436" cm="1">
        <f t="array" ref="H16">IF($C617=0, Vide, $C617)</f>
        <v>48.879599999999996</v>
      </c>
      <c r="I16" s="436" cm="1">
        <f t="array" ref="I16">IF($C617=0, Vide, $C617)</f>
        <v>48.879599999999996</v>
      </c>
      <c r="J16" s="436" cm="1">
        <f t="array" ref="J16">IF($C617=0, Vide, $C617)</f>
        <v>48.879599999999996</v>
      </c>
      <c r="K16" s="436" cm="1">
        <f t="array" ref="K16">IF($C617=0, Vide, $C617)</f>
        <v>48.879599999999996</v>
      </c>
      <c r="L16" s="436" cm="1">
        <f t="array" ref="L16">IF($C617=0, Vide, $C617)</f>
        <v>48.879599999999996</v>
      </c>
      <c r="M16" s="436" t="s">
        <v>762</v>
      </c>
      <c r="N16" s="436" t="s">
        <v>762</v>
      </c>
      <c r="O16" s="436" t="s">
        <v>762</v>
      </c>
      <c r="P16" s="436" t="s">
        <v>762</v>
      </c>
      <c r="Q16" s="436" t="s">
        <v>762</v>
      </c>
      <c r="R16" s="436" t="s">
        <v>762</v>
      </c>
      <c r="S16" s="436" t="s">
        <v>762</v>
      </c>
      <c r="T16" s="436" t="s">
        <v>762</v>
      </c>
      <c r="U16" s="436" t="s">
        <v>762</v>
      </c>
      <c r="V16" s="436" cm="1">
        <f t="array" ref="V16">IF($D617=0, Vide, $D617)</f>
        <v>65.146349999999984</v>
      </c>
      <c r="W16" s="436" cm="1">
        <f t="array" ref="W16">IF($E617=0, Vide, $E617)</f>
        <v>78.159750000000003</v>
      </c>
      <c r="X16" s="436" cm="1">
        <f t="array" ref="X16">IF($F617=0, Vide, $F617)</f>
        <v>94.439724999999967</v>
      </c>
      <c r="Y16" s="436" cm="1">
        <f t="array" ref="Y16">IF($G617=0, Vide, $G617)</f>
        <v>110.75937499999998</v>
      </c>
      <c r="Z16" s="436" cm="1">
        <f t="array" ref="Z16">IF($H617=0, Vide, $H617)</f>
        <v>127.31707499999997</v>
      </c>
      <c r="AA16" s="436" cm="1">
        <f t="array" ref="AA16">IF($I617=0, Vide, $I617)</f>
        <v>144.43022499999998</v>
      </c>
      <c r="AB16" s="436" cm="1">
        <f t="array" ref="AB16">IF($J617=0, Vide, $J617)</f>
        <v>161.86077499999996</v>
      </c>
      <c r="AC16" s="436" cm="1">
        <f t="array" ref="AC16">IF($K617=0, Vide, $K617)</f>
        <v>179.29132499999997</v>
      </c>
      <c r="AD16" s="436" cm="1">
        <f t="array" ref="AD16">IF($L617=0, Vide, $L617)</f>
        <v>202.72602499999996</v>
      </c>
      <c r="AE16" s="436">
        <f t="shared" si="12"/>
        <v>222.99862749999997</v>
      </c>
      <c r="AF16" s="436">
        <f t="shared" si="12"/>
        <v>253.40753124999995</v>
      </c>
      <c r="AG16" s="436">
        <f t="shared" si="12"/>
        <v>304.08903749999996</v>
      </c>
      <c r="AH16" s="436">
        <f t="shared" si="12"/>
        <v>354.77054374999994</v>
      </c>
      <c r="AI16" s="436">
        <f t="shared" si="12"/>
        <v>407.47931024999991</v>
      </c>
      <c r="AJ16" s="436">
        <f t="shared" si="12"/>
        <v>456.13355624999991</v>
      </c>
      <c r="AK16" s="436">
        <f t="shared" si="12"/>
        <v>506.8150624999999</v>
      </c>
      <c r="AL16" s="436">
        <f t="shared" si="12"/>
        <v>610.20533524999985</v>
      </c>
      <c r="AM16" s="436">
        <f t="shared" si="12"/>
        <v>658.85958124999991</v>
      </c>
      <c r="AN16" s="436">
        <f t="shared" si="12"/>
        <v>709.54108749999989</v>
      </c>
      <c r="AO16" s="436">
        <f t="shared" si="13"/>
        <v>760.22259374999987</v>
      </c>
      <c r="AP16" s="436">
        <f t="shared" si="13"/>
        <v>812.93136024999978</v>
      </c>
      <c r="AQ16" s="436">
        <f t="shared" si="13"/>
        <v>861.58560624999984</v>
      </c>
      <c r="AR16" s="436">
        <f t="shared" si="13"/>
        <v>912.26711249999983</v>
      </c>
      <c r="AS16" s="436">
        <f t="shared" si="13"/>
        <v>962.94861874999981</v>
      </c>
      <c r="AT16" s="436">
        <f t="shared" si="13"/>
        <v>1013.6301249999998</v>
      </c>
      <c r="AU16" s="436">
        <f t="shared" si="13"/>
        <v>1064.3116312499999</v>
      </c>
      <c r="AV16" s="436">
        <f t="shared" si="13"/>
        <v>1114.9931374999999</v>
      </c>
      <c r="AW16" s="436">
        <f t="shared" si="13"/>
        <v>1165.6746437499999</v>
      </c>
      <c r="AX16" s="436">
        <f t="shared" si="13"/>
        <v>1216.3561499999998</v>
      </c>
      <c r="AY16" s="436">
        <f t="shared" si="14"/>
        <v>1317.7191624999998</v>
      </c>
      <c r="AZ16" s="436">
        <f t="shared" si="14"/>
        <v>1419.0821749999998</v>
      </c>
      <c r="BA16" s="436">
        <f t="shared" si="14"/>
        <v>1520.4451874999997</v>
      </c>
      <c r="BB16" s="436">
        <f t="shared" si="14"/>
        <v>1621.8081999999997</v>
      </c>
      <c r="BC16" s="436">
        <f t="shared" si="14"/>
        <v>1723.1712124999997</v>
      </c>
      <c r="BD16" s="436">
        <f t="shared" si="14"/>
        <v>1824.5342249999997</v>
      </c>
      <c r="BE16" s="436">
        <f t="shared" si="14"/>
        <v>1925.8972374999996</v>
      </c>
      <c r="BF16" s="436">
        <f t="shared" si="14"/>
        <v>2027.2602499999996</v>
      </c>
      <c r="BG16" s="436">
        <f t="shared" si="14"/>
        <v>2229.9862749999998</v>
      </c>
      <c r="BH16" s="436">
        <f t="shared" si="14"/>
        <v>2432.7122999999997</v>
      </c>
      <c r="BI16" s="436">
        <f t="shared" si="15"/>
        <v>2534.0753124999997</v>
      </c>
      <c r="BJ16" s="436">
        <f t="shared" si="15"/>
        <v>2635.4383249999996</v>
      </c>
      <c r="BK16" s="436">
        <f t="shared" si="15"/>
        <v>2838.1643499999996</v>
      </c>
      <c r="BL16" s="436">
        <f t="shared" si="15"/>
        <v>3040.8903749999995</v>
      </c>
      <c r="BM16" s="436">
        <f t="shared" si="15"/>
        <v>3243.6163999999994</v>
      </c>
      <c r="BN16" s="436">
        <f t="shared" si="15"/>
        <v>3446.3424249999994</v>
      </c>
      <c r="BO16" s="436">
        <f t="shared" si="15"/>
        <v>3547.7054374999993</v>
      </c>
      <c r="BP16" s="436">
        <f t="shared" si="15"/>
        <v>3649.0684499999993</v>
      </c>
      <c r="BQ16" s="436">
        <f t="shared" si="15"/>
        <v>3851.7944749999992</v>
      </c>
      <c r="BR16" s="436">
        <f t="shared" si="15"/>
        <v>4054.5204999999992</v>
      </c>
      <c r="BS16" s="436">
        <f t="shared" si="16"/>
        <v>4561.3355624999995</v>
      </c>
      <c r="BT16" s="436">
        <f t="shared" si="16"/>
        <v>5068.1506249999993</v>
      </c>
      <c r="BU16" s="436">
        <f t="shared" si="16"/>
        <v>5574.9656874999991</v>
      </c>
      <c r="BV16" s="436">
        <f t="shared" si="16"/>
        <v>6081.780749999999</v>
      </c>
      <c r="BW16" s="436">
        <f t="shared" si="16"/>
        <v>7095.4108749999987</v>
      </c>
      <c r="BX16" s="436">
        <f t="shared" si="16"/>
        <v>8109.0409999999983</v>
      </c>
      <c r="BY16" s="436">
        <f t="shared" si="16"/>
        <v>9122.6711249999989</v>
      </c>
      <c r="BZ16" s="436">
        <f t="shared" si="16"/>
        <v>10136.301249999999</v>
      </c>
      <c r="CA16" s="436">
        <f t="shared" si="16"/>
        <v>11149.931374999998</v>
      </c>
      <c r="CB16" s="436">
        <f t="shared" si="16"/>
        <v>12163.561499999998</v>
      </c>
      <c r="CC16" s="436">
        <f t="shared" si="16"/>
        <v>14190.821749999997</v>
      </c>
      <c r="CD16" s="436">
        <f t="shared" si="16"/>
        <v>16218.081999999997</v>
      </c>
      <c r="CE16" s="436">
        <f t="shared" si="16"/>
        <v>18245.342249999998</v>
      </c>
      <c r="CF16" s="436">
        <f t="shared" si="16"/>
        <v>20272.602499999997</v>
      </c>
      <c r="CG16" s="436" cm="1">
        <f t="array" ref="CG16">IF($M617=0, Vide, $M617)</f>
        <v>202.72602499999996</v>
      </c>
      <c r="CH16" s="435" t="s">
        <v>762</v>
      </c>
      <c r="CI16" s="435" t="s">
        <v>762</v>
      </c>
      <c r="CJ16" s="435" t="s">
        <v>762</v>
      </c>
      <c r="CK16" s="435" t="s">
        <v>762</v>
      </c>
      <c r="CL16" s="435" t="s">
        <v>762</v>
      </c>
    </row>
    <row r="17" spans="1:90" s="437" customFormat="1">
      <c r="A17" s="435" t="s">
        <v>525</v>
      </c>
      <c r="B17" s="435" t="s">
        <v>90</v>
      </c>
      <c r="C17" s="436" t="s">
        <v>762</v>
      </c>
      <c r="D17" s="436" t="s">
        <v>762</v>
      </c>
      <c r="E17" s="436" t="s">
        <v>762</v>
      </c>
      <c r="F17" s="436" t="s">
        <v>762</v>
      </c>
      <c r="G17" s="436" t="s">
        <v>762</v>
      </c>
      <c r="H17" s="436" t="s">
        <v>762</v>
      </c>
      <c r="I17" s="436" t="s">
        <v>762</v>
      </c>
      <c r="J17" s="436" t="s">
        <v>762</v>
      </c>
      <c r="K17" s="436" t="s">
        <v>762</v>
      </c>
      <c r="L17" s="436" t="s">
        <v>762</v>
      </c>
      <c r="M17" s="436" t="s">
        <v>762</v>
      </c>
      <c r="N17" s="436" t="s">
        <v>762</v>
      </c>
      <c r="O17" s="436" t="s">
        <v>762</v>
      </c>
      <c r="P17" s="436" t="s">
        <v>762</v>
      </c>
      <c r="Q17" s="436" t="s">
        <v>762</v>
      </c>
      <c r="R17" s="436" t="s">
        <v>762</v>
      </c>
      <c r="S17" s="436" t="s">
        <v>762</v>
      </c>
      <c r="T17" s="436" t="s">
        <v>762</v>
      </c>
      <c r="U17" s="436" t="s">
        <v>762</v>
      </c>
      <c r="V17" s="436" t="s">
        <v>762</v>
      </c>
      <c r="W17" s="436" t="s">
        <v>762</v>
      </c>
      <c r="X17" s="436" t="s">
        <v>762</v>
      </c>
      <c r="Y17" s="436" t="s">
        <v>762</v>
      </c>
      <c r="Z17" s="436" t="s">
        <v>762</v>
      </c>
      <c r="AA17" s="436" t="s">
        <v>762</v>
      </c>
      <c r="AB17" s="436" t="s">
        <v>762</v>
      </c>
      <c r="AC17" s="436" t="s">
        <v>762</v>
      </c>
      <c r="AD17" s="436" t="s">
        <v>762</v>
      </c>
      <c r="AE17" s="436" t="s">
        <v>762</v>
      </c>
      <c r="AF17" s="436" t="s">
        <v>762</v>
      </c>
      <c r="AG17" s="436" t="s">
        <v>762</v>
      </c>
      <c r="AH17" s="436" t="s">
        <v>762</v>
      </c>
      <c r="AI17" s="436" t="s">
        <v>762</v>
      </c>
      <c r="AJ17" s="436" t="s">
        <v>762</v>
      </c>
      <c r="AK17" s="436" t="s">
        <v>762</v>
      </c>
      <c r="AL17" s="436" t="s">
        <v>762</v>
      </c>
      <c r="AM17" s="436" t="s">
        <v>762</v>
      </c>
      <c r="AN17" s="436" t="s">
        <v>762</v>
      </c>
      <c r="AO17" s="436" t="s">
        <v>762</v>
      </c>
      <c r="AP17" s="436" t="s">
        <v>762</v>
      </c>
      <c r="AQ17" s="436" t="s">
        <v>762</v>
      </c>
      <c r="AR17" s="436" t="s">
        <v>762</v>
      </c>
      <c r="AS17" s="436" t="s">
        <v>762</v>
      </c>
      <c r="AT17" s="436" t="s">
        <v>762</v>
      </c>
      <c r="AU17" s="436" t="s">
        <v>762</v>
      </c>
      <c r="AV17" s="436" t="s">
        <v>762</v>
      </c>
      <c r="AW17" s="436" t="s">
        <v>762</v>
      </c>
      <c r="AX17" s="436" t="s">
        <v>762</v>
      </c>
      <c r="AY17" s="436" t="s">
        <v>762</v>
      </c>
      <c r="AZ17" s="436" t="s">
        <v>762</v>
      </c>
      <c r="BA17" s="436" t="s">
        <v>762</v>
      </c>
      <c r="BB17" s="436" t="s">
        <v>762</v>
      </c>
      <c r="BC17" s="436" t="s">
        <v>762</v>
      </c>
      <c r="BD17" s="436" t="s">
        <v>762</v>
      </c>
      <c r="BE17" s="436" t="s">
        <v>762</v>
      </c>
      <c r="BF17" s="436" t="s">
        <v>762</v>
      </c>
      <c r="BG17" s="436" t="s">
        <v>762</v>
      </c>
      <c r="BH17" s="436" t="s">
        <v>762</v>
      </c>
      <c r="BI17" s="436" t="s">
        <v>762</v>
      </c>
      <c r="BJ17" s="436" t="s">
        <v>762</v>
      </c>
      <c r="BK17" s="436" t="s">
        <v>762</v>
      </c>
      <c r="BL17" s="436" t="s">
        <v>762</v>
      </c>
      <c r="BM17" s="436" t="s">
        <v>762</v>
      </c>
      <c r="BN17" s="436" t="s">
        <v>762</v>
      </c>
      <c r="BO17" s="436" t="s">
        <v>762</v>
      </c>
      <c r="BP17" s="436" t="s">
        <v>762</v>
      </c>
      <c r="BQ17" s="436" t="s">
        <v>762</v>
      </c>
      <c r="BR17" s="436" t="s">
        <v>762</v>
      </c>
      <c r="BS17" s="436" t="s">
        <v>762</v>
      </c>
      <c r="BT17" s="436" t="s">
        <v>762</v>
      </c>
      <c r="BU17" s="436" t="s">
        <v>762</v>
      </c>
      <c r="BV17" s="436" t="s">
        <v>762</v>
      </c>
      <c r="BW17" s="436" t="s">
        <v>762</v>
      </c>
      <c r="BX17" s="436" t="s">
        <v>762</v>
      </c>
      <c r="BY17" s="436" t="s">
        <v>762</v>
      </c>
      <c r="BZ17" s="436" t="s">
        <v>762</v>
      </c>
      <c r="CA17" s="436" t="s">
        <v>762</v>
      </c>
      <c r="CB17" s="436" t="s">
        <v>762</v>
      </c>
      <c r="CC17" s="436" t="s">
        <v>762</v>
      </c>
      <c r="CD17" s="436" t="s">
        <v>762</v>
      </c>
      <c r="CE17" s="436" t="s">
        <v>762</v>
      </c>
      <c r="CF17" s="436" t="s">
        <v>762</v>
      </c>
      <c r="CG17" s="436" t="s">
        <v>762</v>
      </c>
      <c r="CH17" s="436" t="s">
        <v>762</v>
      </c>
      <c r="CI17" s="436" t="s">
        <v>762</v>
      </c>
      <c r="CJ17" s="436" t="s">
        <v>762</v>
      </c>
      <c r="CK17" s="436" t="s">
        <v>762</v>
      </c>
      <c r="CL17" s="436" t="s">
        <v>762</v>
      </c>
    </row>
    <row r="18" spans="1:90" s="437" customFormat="1">
      <c r="A18" s="435" t="s">
        <v>526</v>
      </c>
      <c r="B18" s="435" t="s">
        <v>90</v>
      </c>
      <c r="C18" s="436" cm="1">
        <f t="array" ref="C18">IF($B619=0, Vide, $B619)</f>
        <v>41.433924999999995</v>
      </c>
      <c r="D18" s="436" cm="1">
        <f t="array" ref="D18">IF($B619=0, Vide, $B619)</f>
        <v>41.433924999999995</v>
      </c>
      <c r="E18" s="436" cm="1">
        <f t="array" ref="E18">IF($B619=0, Vide, $B619)</f>
        <v>41.433924999999995</v>
      </c>
      <c r="F18" s="436" cm="1">
        <f t="array" ref="F18">IF($B619=0, Vide, $B619)</f>
        <v>41.433924999999995</v>
      </c>
      <c r="G18" s="436" cm="1">
        <f t="array" ref="G18">IF($B619=0, Vide, $B619)</f>
        <v>41.433924999999995</v>
      </c>
      <c r="H18" s="436" cm="1">
        <f t="array" ref="H18">IF($C619=0, Vide, $C619)</f>
        <v>48.879599999999996</v>
      </c>
      <c r="I18" s="436" cm="1">
        <f t="array" ref="I18">IF($C619=0, Vide, $C619)</f>
        <v>48.879599999999996</v>
      </c>
      <c r="J18" s="436" cm="1">
        <f t="array" ref="J18">IF($C619=0, Vide, $C619)</f>
        <v>48.879599999999996</v>
      </c>
      <c r="K18" s="436" cm="1">
        <f t="array" ref="K18">IF($C619=0, Vide, $C619)</f>
        <v>48.879599999999996</v>
      </c>
      <c r="L18" s="436" cm="1">
        <f t="array" ref="L18">IF($C619=0, Vide, $C619)</f>
        <v>48.879599999999996</v>
      </c>
      <c r="M18" s="436" t="s">
        <v>762</v>
      </c>
      <c r="N18" s="436" t="s">
        <v>762</v>
      </c>
      <c r="O18" s="436" t="s">
        <v>762</v>
      </c>
      <c r="P18" s="436" t="s">
        <v>762</v>
      </c>
      <c r="Q18" s="436" t="s">
        <v>762</v>
      </c>
      <c r="R18" s="436" t="s">
        <v>762</v>
      </c>
      <c r="S18" s="436" t="s">
        <v>762</v>
      </c>
      <c r="T18" s="436" t="s">
        <v>762</v>
      </c>
      <c r="U18" s="436" t="s">
        <v>762</v>
      </c>
      <c r="V18" s="436" cm="1">
        <f t="array" ref="V18">IF($D619=0, Vide, $D619)</f>
        <v>65.146349999999984</v>
      </c>
      <c r="W18" s="436" cm="1">
        <f t="array" ref="W18">IF($E619=0, Vide, $E619)</f>
        <v>78.159750000000003</v>
      </c>
      <c r="X18" s="436" cm="1">
        <f t="array" ref="X18">IF($F619=0, Vide, $F619)</f>
        <v>94.439724999999967</v>
      </c>
      <c r="Y18" s="436" cm="1">
        <f t="array" ref="Y18">IF($G619=0, Vide, $G619)</f>
        <v>110.75937499999998</v>
      </c>
      <c r="Z18" s="436" cm="1">
        <f t="array" ref="Z18">IF($H619=0, Vide, $H619)</f>
        <v>127.31707499999997</v>
      </c>
      <c r="AA18" s="436" cm="1">
        <f t="array" ref="AA18">IF($I619=0, Vide, $I619)</f>
        <v>144.43022499999998</v>
      </c>
      <c r="AB18" s="436" cm="1">
        <f t="array" ref="AB18">IF($J619=0, Vide, $J619)</f>
        <v>161.86077499999996</v>
      </c>
      <c r="AC18" s="436" cm="1">
        <f t="array" ref="AC18">IF($K619=0, Vide, $K619)</f>
        <v>179.29132499999997</v>
      </c>
      <c r="AD18" s="436" cm="1">
        <f t="array" ref="AD18">IF($L619=0, Vide, $L619)</f>
        <v>202.72602499999996</v>
      </c>
      <c r="AE18" s="436">
        <f t="shared" ref="AE18:AN23" si="17">(AE$1/100)*$CG18</f>
        <v>222.99862749999997</v>
      </c>
      <c r="AF18" s="436">
        <f t="shared" si="17"/>
        <v>253.40753124999995</v>
      </c>
      <c r="AG18" s="436">
        <f t="shared" si="17"/>
        <v>304.08903749999996</v>
      </c>
      <c r="AH18" s="436">
        <f t="shared" si="17"/>
        <v>354.77054374999994</v>
      </c>
      <c r="AI18" s="436">
        <f t="shared" si="17"/>
        <v>407.47931024999991</v>
      </c>
      <c r="AJ18" s="436">
        <f t="shared" si="17"/>
        <v>456.13355624999991</v>
      </c>
      <c r="AK18" s="436">
        <f t="shared" si="17"/>
        <v>506.8150624999999</v>
      </c>
      <c r="AL18" s="436">
        <f t="shared" si="17"/>
        <v>610.20533524999985</v>
      </c>
      <c r="AM18" s="436">
        <f t="shared" si="17"/>
        <v>658.85958124999991</v>
      </c>
      <c r="AN18" s="436">
        <f t="shared" si="17"/>
        <v>709.54108749999989</v>
      </c>
      <c r="AO18" s="436">
        <f t="shared" ref="AO18:AX23" si="18">(AO$1/100)*$CG18</f>
        <v>760.22259374999987</v>
      </c>
      <c r="AP18" s="436">
        <f t="shared" si="18"/>
        <v>812.93136024999978</v>
      </c>
      <c r="AQ18" s="436">
        <f t="shared" si="18"/>
        <v>861.58560624999984</v>
      </c>
      <c r="AR18" s="436">
        <f t="shared" si="18"/>
        <v>912.26711249999983</v>
      </c>
      <c r="AS18" s="436">
        <f t="shared" si="18"/>
        <v>962.94861874999981</v>
      </c>
      <c r="AT18" s="436">
        <f t="shared" si="18"/>
        <v>1013.6301249999998</v>
      </c>
      <c r="AU18" s="436">
        <f t="shared" si="18"/>
        <v>1064.3116312499999</v>
      </c>
      <c r="AV18" s="436">
        <f t="shared" si="18"/>
        <v>1114.9931374999999</v>
      </c>
      <c r="AW18" s="436">
        <f t="shared" si="18"/>
        <v>1165.6746437499999</v>
      </c>
      <c r="AX18" s="436">
        <f t="shared" si="18"/>
        <v>1216.3561499999998</v>
      </c>
      <c r="AY18" s="436">
        <f t="shared" ref="AY18:BH23" si="19">(AY$1/100)*$CG18</f>
        <v>1317.7191624999998</v>
      </c>
      <c r="AZ18" s="436">
        <f t="shared" si="19"/>
        <v>1419.0821749999998</v>
      </c>
      <c r="BA18" s="436">
        <f t="shared" si="19"/>
        <v>1520.4451874999997</v>
      </c>
      <c r="BB18" s="436">
        <f t="shared" si="19"/>
        <v>1621.8081999999997</v>
      </c>
      <c r="BC18" s="436">
        <f t="shared" si="19"/>
        <v>1723.1712124999997</v>
      </c>
      <c r="BD18" s="436">
        <f t="shared" si="19"/>
        <v>1824.5342249999997</v>
      </c>
      <c r="BE18" s="436">
        <f t="shared" si="19"/>
        <v>1925.8972374999996</v>
      </c>
      <c r="BF18" s="436">
        <f t="shared" si="19"/>
        <v>2027.2602499999996</v>
      </c>
      <c r="BG18" s="436">
        <f t="shared" si="19"/>
        <v>2229.9862749999998</v>
      </c>
      <c r="BH18" s="436">
        <f t="shared" si="19"/>
        <v>2432.7122999999997</v>
      </c>
      <c r="BI18" s="436">
        <f t="shared" ref="BI18:BR23" si="20">(BI$1/100)*$CG18</f>
        <v>2534.0753124999997</v>
      </c>
      <c r="BJ18" s="436">
        <f t="shared" si="20"/>
        <v>2635.4383249999996</v>
      </c>
      <c r="BK18" s="436">
        <f t="shared" si="20"/>
        <v>2838.1643499999996</v>
      </c>
      <c r="BL18" s="436">
        <f t="shared" si="20"/>
        <v>3040.8903749999995</v>
      </c>
      <c r="BM18" s="436">
        <f t="shared" si="20"/>
        <v>3243.6163999999994</v>
      </c>
      <c r="BN18" s="436">
        <f t="shared" si="20"/>
        <v>3446.3424249999994</v>
      </c>
      <c r="BO18" s="436">
        <f t="shared" si="20"/>
        <v>3547.7054374999993</v>
      </c>
      <c r="BP18" s="436">
        <f t="shared" si="20"/>
        <v>3649.0684499999993</v>
      </c>
      <c r="BQ18" s="436">
        <f t="shared" si="20"/>
        <v>3851.7944749999992</v>
      </c>
      <c r="BR18" s="436">
        <f t="shared" si="20"/>
        <v>4054.5204999999992</v>
      </c>
      <c r="BS18" s="436">
        <f t="shared" ref="BS18:CF23" si="21">(BS$1/100)*$CG18</f>
        <v>4561.3355624999995</v>
      </c>
      <c r="BT18" s="436">
        <f t="shared" si="21"/>
        <v>5068.1506249999993</v>
      </c>
      <c r="BU18" s="436">
        <f t="shared" si="21"/>
        <v>5574.9656874999991</v>
      </c>
      <c r="BV18" s="436">
        <f t="shared" si="21"/>
        <v>6081.780749999999</v>
      </c>
      <c r="BW18" s="436">
        <f t="shared" si="21"/>
        <v>7095.4108749999987</v>
      </c>
      <c r="BX18" s="436">
        <f t="shared" si="21"/>
        <v>8109.0409999999983</v>
      </c>
      <c r="BY18" s="436">
        <f t="shared" si="21"/>
        <v>9122.6711249999989</v>
      </c>
      <c r="BZ18" s="436">
        <f t="shared" si="21"/>
        <v>10136.301249999999</v>
      </c>
      <c r="CA18" s="436">
        <f t="shared" si="21"/>
        <v>11149.931374999998</v>
      </c>
      <c r="CB18" s="436">
        <f t="shared" si="21"/>
        <v>12163.561499999998</v>
      </c>
      <c r="CC18" s="436">
        <f t="shared" si="21"/>
        <v>14190.821749999997</v>
      </c>
      <c r="CD18" s="436">
        <f t="shared" si="21"/>
        <v>16218.081999999997</v>
      </c>
      <c r="CE18" s="436">
        <f t="shared" si="21"/>
        <v>18245.342249999998</v>
      </c>
      <c r="CF18" s="436">
        <f t="shared" si="21"/>
        <v>20272.602499999997</v>
      </c>
      <c r="CG18" s="436" cm="1">
        <f t="array" ref="CG18">IF($M619=0, Vide, $M619)</f>
        <v>202.72602499999996</v>
      </c>
      <c r="CH18" s="435" t="s">
        <v>762</v>
      </c>
      <c r="CI18" s="435" t="s">
        <v>762</v>
      </c>
      <c r="CJ18" s="435" t="s">
        <v>762</v>
      </c>
      <c r="CK18" s="435" t="s">
        <v>762</v>
      </c>
      <c r="CL18" s="435" t="s">
        <v>762</v>
      </c>
    </row>
    <row r="19" spans="1:90" s="437" customFormat="1">
      <c r="A19" s="435" t="s">
        <v>527</v>
      </c>
      <c r="B19" s="435" t="s">
        <v>90</v>
      </c>
      <c r="C19" s="436" cm="1">
        <f t="array" ref="C19">IF($B620=0, Vide, $B620)</f>
        <v>41.433924999999995</v>
      </c>
      <c r="D19" s="436" cm="1">
        <f t="array" ref="D19">IF($B620=0, Vide, $B620)</f>
        <v>41.433924999999995</v>
      </c>
      <c r="E19" s="436" cm="1">
        <f t="array" ref="E19">IF($B620=0, Vide, $B620)</f>
        <v>41.433924999999995</v>
      </c>
      <c r="F19" s="436" cm="1">
        <f t="array" ref="F19">IF($B620=0, Vide, $B620)</f>
        <v>41.433924999999995</v>
      </c>
      <c r="G19" s="436" cm="1">
        <f t="array" ref="G19">IF($B620=0, Vide, $B620)</f>
        <v>41.433924999999995</v>
      </c>
      <c r="H19" s="436" cm="1">
        <f t="array" ref="H19">IF($C620=0, Vide, $C620)</f>
        <v>48.879599999999996</v>
      </c>
      <c r="I19" s="436" cm="1">
        <f t="array" ref="I19">IF($C620=0, Vide, $C620)</f>
        <v>48.879599999999996</v>
      </c>
      <c r="J19" s="436" cm="1">
        <f t="array" ref="J19">IF($C620=0, Vide, $C620)</f>
        <v>48.879599999999996</v>
      </c>
      <c r="K19" s="436" cm="1">
        <f t="array" ref="K19">IF($C620=0, Vide, $C620)</f>
        <v>48.879599999999996</v>
      </c>
      <c r="L19" s="436" cm="1">
        <f t="array" ref="L19">IF($C620=0, Vide, $C620)</f>
        <v>48.879599999999996</v>
      </c>
      <c r="M19" s="436" t="s">
        <v>762</v>
      </c>
      <c r="N19" s="436" t="s">
        <v>762</v>
      </c>
      <c r="O19" s="436" t="s">
        <v>762</v>
      </c>
      <c r="P19" s="436" t="s">
        <v>762</v>
      </c>
      <c r="Q19" s="436" t="s">
        <v>762</v>
      </c>
      <c r="R19" s="436" t="s">
        <v>762</v>
      </c>
      <c r="S19" s="436" t="s">
        <v>762</v>
      </c>
      <c r="T19" s="436" t="s">
        <v>762</v>
      </c>
      <c r="U19" s="436" t="s">
        <v>762</v>
      </c>
      <c r="V19" s="436" cm="1">
        <f t="array" ref="V19">IF($D620=0, Vide, $D620)</f>
        <v>65.146349999999984</v>
      </c>
      <c r="W19" s="436" cm="1">
        <f t="array" ref="W19">IF($E620=0, Vide, $E620)</f>
        <v>78.159750000000003</v>
      </c>
      <c r="X19" s="436" cm="1">
        <f t="array" ref="X19">IF($F620=0, Vide, $F620)</f>
        <v>94.439724999999967</v>
      </c>
      <c r="Y19" s="436" cm="1">
        <f t="array" ref="Y19">IF($G620=0, Vide, $G620)</f>
        <v>110.75937499999998</v>
      </c>
      <c r="Z19" s="436" cm="1">
        <f t="array" ref="Z19">IF($H620=0, Vide, $H620)</f>
        <v>127.31707499999997</v>
      </c>
      <c r="AA19" s="436" cm="1">
        <f t="array" ref="AA19">IF($I620=0, Vide, $I620)</f>
        <v>144.43022499999998</v>
      </c>
      <c r="AB19" s="436" cm="1">
        <f t="array" ref="AB19">IF($J620=0, Vide, $J620)</f>
        <v>161.86077499999996</v>
      </c>
      <c r="AC19" s="436" cm="1">
        <f t="array" ref="AC19">IF($K620=0, Vide, $K620)</f>
        <v>179.29132499999997</v>
      </c>
      <c r="AD19" s="436" cm="1">
        <f t="array" ref="AD19">IF($L620=0, Vide, $L620)</f>
        <v>202.72602499999996</v>
      </c>
      <c r="AE19" s="436">
        <f t="shared" si="17"/>
        <v>222.99862749999997</v>
      </c>
      <c r="AF19" s="436">
        <f t="shared" si="17"/>
        <v>253.40753124999995</v>
      </c>
      <c r="AG19" s="436">
        <f t="shared" si="17"/>
        <v>304.08903749999996</v>
      </c>
      <c r="AH19" s="436">
        <f t="shared" si="17"/>
        <v>354.77054374999994</v>
      </c>
      <c r="AI19" s="436">
        <f t="shared" si="17"/>
        <v>407.47931024999991</v>
      </c>
      <c r="AJ19" s="436">
        <f t="shared" si="17"/>
        <v>456.13355624999991</v>
      </c>
      <c r="AK19" s="436">
        <f t="shared" si="17"/>
        <v>506.8150624999999</v>
      </c>
      <c r="AL19" s="436">
        <f t="shared" si="17"/>
        <v>610.20533524999985</v>
      </c>
      <c r="AM19" s="436">
        <f t="shared" si="17"/>
        <v>658.85958124999991</v>
      </c>
      <c r="AN19" s="436">
        <f t="shared" si="17"/>
        <v>709.54108749999989</v>
      </c>
      <c r="AO19" s="436">
        <f t="shared" si="18"/>
        <v>760.22259374999987</v>
      </c>
      <c r="AP19" s="436">
        <f t="shared" si="18"/>
        <v>812.93136024999978</v>
      </c>
      <c r="AQ19" s="436">
        <f t="shared" si="18"/>
        <v>861.58560624999984</v>
      </c>
      <c r="AR19" s="436">
        <f t="shared" si="18"/>
        <v>912.26711249999983</v>
      </c>
      <c r="AS19" s="436">
        <f t="shared" si="18"/>
        <v>962.94861874999981</v>
      </c>
      <c r="AT19" s="436">
        <f t="shared" si="18"/>
        <v>1013.6301249999998</v>
      </c>
      <c r="AU19" s="436">
        <f t="shared" si="18"/>
        <v>1064.3116312499999</v>
      </c>
      <c r="AV19" s="436">
        <f t="shared" si="18"/>
        <v>1114.9931374999999</v>
      </c>
      <c r="AW19" s="436">
        <f t="shared" si="18"/>
        <v>1165.6746437499999</v>
      </c>
      <c r="AX19" s="436">
        <f t="shared" si="18"/>
        <v>1216.3561499999998</v>
      </c>
      <c r="AY19" s="436">
        <f t="shared" si="19"/>
        <v>1317.7191624999998</v>
      </c>
      <c r="AZ19" s="436">
        <f t="shared" si="19"/>
        <v>1419.0821749999998</v>
      </c>
      <c r="BA19" s="436">
        <f t="shared" si="19"/>
        <v>1520.4451874999997</v>
      </c>
      <c r="BB19" s="436">
        <f t="shared" si="19"/>
        <v>1621.8081999999997</v>
      </c>
      <c r="BC19" s="436">
        <f t="shared" si="19"/>
        <v>1723.1712124999997</v>
      </c>
      <c r="BD19" s="436">
        <f t="shared" si="19"/>
        <v>1824.5342249999997</v>
      </c>
      <c r="BE19" s="436">
        <f t="shared" si="19"/>
        <v>1925.8972374999996</v>
      </c>
      <c r="BF19" s="436">
        <f t="shared" si="19"/>
        <v>2027.2602499999996</v>
      </c>
      <c r="BG19" s="436">
        <f t="shared" si="19"/>
        <v>2229.9862749999998</v>
      </c>
      <c r="BH19" s="436">
        <f t="shared" si="19"/>
        <v>2432.7122999999997</v>
      </c>
      <c r="BI19" s="436">
        <f t="shared" si="20"/>
        <v>2534.0753124999997</v>
      </c>
      <c r="BJ19" s="436">
        <f t="shared" si="20"/>
        <v>2635.4383249999996</v>
      </c>
      <c r="BK19" s="436">
        <f t="shared" si="20"/>
        <v>2838.1643499999996</v>
      </c>
      <c r="BL19" s="436">
        <f t="shared" si="20"/>
        <v>3040.8903749999995</v>
      </c>
      <c r="BM19" s="436">
        <f t="shared" si="20"/>
        <v>3243.6163999999994</v>
      </c>
      <c r="BN19" s="436">
        <f t="shared" si="20"/>
        <v>3446.3424249999994</v>
      </c>
      <c r="BO19" s="436">
        <f t="shared" si="20"/>
        <v>3547.7054374999993</v>
      </c>
      <c r="BP19" s="436">
        <f t="shared" si="20"/>
        <v>3649.0684499999993</v>
      </c>
      <c r="BQ19" s="436">
        <f t="shared" si="20"/>
        <v>3851.7944749999992</v>
      </c>
      <c r="BR19" s="436">
        <f t="shared" si="20"/>
        <v>4054.5204999999992</v>
      </c>
      <c r="BS19" s="436">
        <f t="shared" si="21"/>
        <v>4561.3355624999995</v>
      </c>
      <c r="BT19" s="436">
        <f t="shared" si="21"/>
        <v>5068.1506249999993</v>
      </c>
      <c r="BU19" s="436">
        <f t="shared" si="21"/>
        <v>5574.9656874999991</v>
      </c>
      <c r="BV19" s="436">
        <f t="shared" si="21"/>
        <v>6081.780749999999</v>
      </c>
      <c r="BW19" s="436">
        <f t="shared" si="21"/>
        <v>7095.4108749999987</v>
      </c>
      <c r="BX19" s="436">
        <f t="shared" si="21"/>
        <v>8109.0409999999983</v>
      </c>
      <c r="BY19" s="436">
        <f t="shared" si="21"/>
        <v>9122.6711249999989</v>
      </c>
      <c r="BZ19" s="436">
        <f t="shared" si="21"/>
        <v>10136.301249999999</v>
      </c>
      <c r="CA19" s="436">
        <f t="shared" si="21"/>
        <v>11149.931374999998</v>
      </c>
      <c r="CB19" s="436">
        <f t="shared" si="21"/>
        <v>12163.561499999998</v>
      </c>
      <c r="CC19" s="436">
        <f t="shared" si="21"/>
        <v>14190.821749999997</v>
      </c>
      <c r="CD19" s="436">
        <f t="shared" si="21"/>
        <v>16218.081999999997</v>
      </c>
      <c r="CE19" s="436">
        <f t="shared" si="21"/>
        <v>18245.342249999998</v>
      </c>
      <c r="CF19" s="436">
        <f t="shared" si="21"/>
        <v>20272.602499999997</v>
      </c>
      <c r="CG19" s="436" cm="1">
        <f t="array" ref="CG19">IF($M620=0, Vide, $M620)</f>
        <v>202.72602499999996</v>
      </c>
      <c r="CH19" s="435" t="s">
        <v>762</v>
      </c>
      <c r="CI19" s="435" t="s">
        <v>762</v>
      </c>
      <c r="CJ19" s="435" t="s">
        <v>762</v>
      </c>
      <c r="CK19" s="435" t="s">
        <v>762</v>
      </c>
      <c r="CL19" s="435" t="s">
        <v>762</v>
      </c>
    </row>
    <row r="20" spans="1:90" s="437" customFormat="1">
      <c r="A20" s="435" t="s">
        <v>528</v>
      </c>
      <c r="B20" s="435" t="s">
        <v>90</v>
      </c>
      <c r="C20" s="436" cm="1">
        <f t="array" ref="C20">IF($B621=0, Vide, $B621)</f>
        <v>16.544474999999995</v>
      </c>
      <c r="D20" s="436" cm="1">
        <f t="array" ref="D20">IF($B621=0, Vide, $B621)</f>
        <v>16.544474999999995</v>
      </c>
      <c r="E20" s="436" cm="1">
        <f t="array" ref="E20">IF($B621=0, Vide, $B621)</f>
        <v>16.544474999999995</v>
      </c>
      <c r="F20" s="436" cm="1">
        <f t="array" ref="F20">IF($B621=0, Vide, $B621)</f>
        <v>16.544474999999995</v>
      </c>
      <c r="G20" s="436" cm="1">
        <f t="array" ref="G20">IF($B621=0, Vide, $B621)</f>
        <v>16.544474999999995</v>
      </c>
      <c r="H20" s="436" cm="1">
        <f t="array" ref="H20">IF($C621=0, Vide, $C621)</f>
        <v>25.987124999999995</v>
      </c>
      <c r="I20" s="436" cm="1">
        <f t="array" ref="I20">IF($C621=0, Vide, $C621)</f>
        <v>25.987124999999995</v>
      </c>
      <c r="J20" s="436" cm="1">
        <f t="array" ref="J20">IF($C621=0, Vide, $C621)</f>
        <v>25.987124999999995</v>
      </c>
      <c r="K20" s="436" cm="1">
        <f t="array" ref="K20">IF($C621=0, Vide, $C621)</f>
        <v>25.987124999999995</v>
      </c>
      <c r="L20" s="436" cm="1">
        <f t="array" ref="L20">IF($C621=0, Vide, $C621)</f>
        <v>25.987124999999995</v>
      </c>
      <c r="M20" s="436" t="s">
        <v>762</v>
      </c>
      <c r="N20" s="436" t="s">
        <v>762</v>
      </c>
      <c r="O20" s="436" t="s">
        <v>762</v>
      </c>
      <c r="P20" s="436" t="s">
        <v>762</v>
      </c>
      <c r="Q20" s="436" t="s">
        <v>762</v>
      </c>
      <c r="R20" s="436" t="s">
        <v>762</v>
      </c>
      <c r="S20" s="436" t="s">
        <v>762</v>
      </c>
      <c r="T20" s="436" t="s">
        <v>762</v>
      </c>
      <c r="U20" s="436" t="s">
        <v>762</v>
      </c>
      <c r="V20" s="436" cm="1">
        <f t="array" ref="V20">IF($D621=0, Vide, $D621)</f>
        <v>25.987124999999995</v>
      </c>
      <c r="W20" s="436" cm="1">
        <f t="array" ref="W20">IF($E621=0, Vide, $E621)</f>
        <v>25.987124999999995</v>
      </c>
      <c r="X20" s="436" cm="1">
        <f t="array" ref="X20">IF($F621=0, Vide, $F621)</f>
        <v>25.987124999999995</v>
      </c>
      <c r="Y20" s="436" cm="1">
        <f t="array" ref="Y20">IF($G621=0, Vide, $G621)</f>
        <v>25.987124999999995</v>
      </c>
      <c r="Z20" s="436" cm="1">
        <f t="array" ref="Z20">IF($H621=0, Vide, $H621)</f>
        <v>25.987124999999995</v>
      </c>
      <c r="AA20" s="436" cm="1">
        <f t="array" ref="AA20">IF($I621=0, Vide, $I621)</f>
        <v>25.987124999999995</v>
      </c>
      <c r="AB20" s="436" cm="1">
        <f t="array" ref="AB20">IF($J621=0, Vide, $J621)</f>
        <v>25.987124999999995</v>
      </c>
      <c r="AC20" s="436" cm="1">
        <f t="array" ref="AC20">IF($K621=0, Vide, $K621)</f>
        <v>25.987124999999995</v>
      </c>
      <c r="AD20" s="436" cm="1">
        <f t="array" ref="AD20">IF($L621=0, Vide, $L621)</f>
        <v>25.987124999999995</v>
      </c>
      <c r="AE20" s="436">
        <f t="shared" si="17"/>
        <v>38.972752499999991</v>
      </c>
      <c r="AF20" s="436">
        <f t="shared" si="17"/>
        <v>44.287218749999994</v>
      </c>
      <c r="AG20" s="436">
        <f t="shared" si="17"/>
        <v>53.144662499999988</v>
      </c>
      <c r="AH20" s="436">
        <f t="shared" si="17"/>
        <v>62.002106249999983</v>
      </c>
      <c r="AI20" s="436">
        <f t="shared" si="17"/>
        <v>71.213847749999971</v>
      </c>
      <c r="AJ20" s="436">
        <f t="shared" si="17"/>
        <v>79.716993749999986</v>
      </c>
      <c r="AK20" s="436">
        <f t="shared" si="17"/>
        <v>88.574437499999988</v>
      </c>
      <c r="AL20" s="436">
        <f t="shared" si="17"/>
        <v>106.64362274999996</v>
      </c>
      <c r="AM20" s="436">
        <f t="shared" si="17"/>
        <v>115.14676874999998</v>
      </c>
      <c r="AN20" s="436">
        <f t="shared" si="17"/>
        <v>124.00421249999997</v>
      </c>
      <c r="AO20" s="436">
        <f t="shared" si="18"/>
        <v>132.86165624999998</v>
      </c>
      <c r="AP20" s="436">
        <f t="shared" si="18"/>
        <v>142.07339774999997</v>
      </c>
      <c r="AQ20" s="436">
        <f t="shared" si="18"/>
        <v>150.57654374999996</v>
      </c>
      <c r="AR20" s="436">
        <f t="shared" si="18"/>
        <v>159.43398749999997</v>
      </c>
      <c r="AS20" s="436">
        <f t="shared" si="18"/>
        <v>168.29143124999996</v>
      </c>
      <c r="AT20" s="436">
        <f t="shared" si="18"/>
        <v>177.14887499999998</v>
      </c>
      <c r="AU20" s="436">
        <f t="shared" si="18"/>
        <v>186.00631874999996</v>
      </c>
      <c r="AV20" s="436">
        <f t="shared" si="18"/>
        <v>194.86376249999995</v>
      </c>
      <c r="AW20" s="436">
        <f t="shared" si="18"/>
        <v>203.72120624999997</v>
      </c>
      <c r="AX20" s="436">
        <f t="shared" si="18"/>
        <v>212.57864999999995</v>
      </c>
      <c r="AY20" s="436">
        <f t="shared" si="19"/>
        <v>230.29353749999996</v>
      </c>
      <c r="AZ20" s="436">
        <f t="shared" si="19"/>
        <v>248.00842499999993</v>
      </c>
      <c r="BA20" s="436">
        <f t="shared" si="19"/>
        <v>265.72331249999996</v>
      </c>
      <c r="BB20" s="436">
        <f t="shared" si="19"/>
        <v>283.43819999999994</v>
      </c>
      <c r="BC20" s="436">
        <f t="shared" si="19"/>
        <v>301.15308749999991</v>
      </c>
      <c r="BD20" s="436">
        <f t="shared" si="19"/>
        <v>318.86797499999994</v>
      </c>
      <c r="BE20" s="436">
        <f t="shared" si="19"/>
        <v>336.58286249999992</v>
      </c>
      <c r="BF20" s="436">
        <f t="shared" si="19"/>
        <v>354.29774999999995</v>
      </c>
      <c r="BG20" s="436">
        <f t="shared" si="19"/>
        <v>389.7275249999999</v>
      </c>
      <c r="BH20" s="436">
        <f t="shared" si="19"/>
        <v>425.15729999999991</v>
      </c>
      <c r="BI20" s="436">
        <f t="shared" si="20"/>
        <v>442.87218749999988</v>
      </c>
      <c r="BJ20" s="436">
        <f t="shared" si="20"/>
        <v>460.58707499999991</v>
      </c>
      <c r="BK20" s="436">
        <f t="shared" si="20"/>
        <v>496.01684999999986</v>
      </c>
      <c r="BL20" s="436">
        <f t="shared" si="20"/>
        <v>531.44662499999993</v>
      </c>
      <c r="BM20" s="436">
        <f t="shared" si="20"/>
        <v>566.87639999999988</v>
      </c>
      <c r="BN20" s="436">
        <f t="shared" si="20"/>
        <v>602.30617499999983</v>
      </c>
      <c r="BO20" s="436">
        <f t="shared" si="20"/>
        <v>620.02106249999986</v>
      </c>
      <c r="BP20" s="436">
        <f t="shared" si="20"/>
        <v>637.73594999999989</v>
      </c>
      <c r="BQ20" s="436">
        <f t="shared" si="20"/>
        <v>673.16572499999984</v>
      </c>
      <c r="BR20" s="436">
        <f t="shared" si="20"/>
        <v>708.5954999999999</v>
      </c>
      <c r="BS20" s="436">
        <f t="shared" si="21"/>
        <v>797.16993749999983</v>
      </c>
      <c r="BT20" s="436">
        <f t="shared" si="21"/>
        <v>885.74437499999976</v>
      </c>
      <c r="BU20" s="436">
        <f t="shared" si="21"/>
        <v>974.31881249999981</v>
      </c>
      <c r="BV20" s="436">
        <f t="shared" si="21"/>
        <v>1062.8932499999999</v>
      </c>
      <c r="BW20" s="436">
        <f t="shared" si="21"/>
        <v>1240.0421249999997</v>
      </c>
      <c r="BX20" s="436">
        <f t="shared" si="21"/>
        <v>1417.1909999999998</v>
      </c>
      <c r="BY20" s="436">
        <f t="shared" si="21"/>
        <v>1594.3398749999997</v>
      </c>
      <c r="BZ20" s="436">
        <f t="shared" si="21"/>
        <v>1771.4887499999995</v>
      </c>
      <c r="CA20" s="436">
        <f t="shared" si="21"/>
        <v>1948.6376249999996</v>
      </c>
      <c r="CB20" s="436">
        <f t="shared" si="21"/>
        <v>2125.7864999999997</v>
      </c>
      <c r="CC20" s="436">
        <f t="shared" si="21"/>
        <v>2480.0842499999994</v>
      </c>
      <c r="CD20" s="436">
        <f t="shared" si="21"/>
        <v>2834.3819999999996</v>
      </c>
      <c r="CE20" s="436">
        <f t="shared" si="21"/>
        <v>3188.6797499999993</v>
      </c>
      <c r="CF20" s="436">
        <f t="shared" si="21"/>
        <v>3542.9774999999991</v>
      </c>
      <c r="CG20" s="436" cm="1">
        <f t="array" ref="CG20">IF($M621=0, Vide, $M621)</f>
        <v>35.429774999999992</v>
      </c>
      <c r="CH20" s="435" t="s">
        <v>762</v>
      </c>
      <c r="CI20" s="435" t="s">
        <v>762</v>
      </c>
      <c r="CJ20" s="435" t="s">
        <v>762</v>
      </c>
      <c r="CK20" s="435" t="s">
        <v>762</v>
      </c>
      <c r="CL20" s="435" t="s">
        <v>762</v>
      </c>
    </row>
    <row r="21" spans="1:90" s="437" customFormat="1">
      <c r="A21" s="435" t="s">
        <v>529</v>
      </c>
      <c r="B21" s="435" t="s">
        <v>90</v>
      </c>
      <c r="C21" s="436" cm="1">
        <f t="array" ref="C21">IF($B622=0, Vide, $B622)</f>
        <v>40.203999999999986</v>
      </c>
      <c r="D21" s="436" cm="1">
        <f t="array" ref="D21">IF($B622=0, Vide, $B622)</f>
        <v>40.203999999999986</v>
      </c>
      <c r="E21" s="436" cm="1">
        <f t="array" ref="E21">IF($B622=0, Vide, $B622)</f>
        <v>40.203999999999986</v>
      </c>
      <c r="F21" s="436" cm="1">
        <f t="array" ref="F21">IF($B622=0, Vide, $B622)</f>
        <v>40.203999999999986</v>
      </c>
      <c r="G21" s="436" cm="1">
        <f t="array" ref="G21">IF($B622=0, Vide, $B622)</f>
        <v>40.203999999999986</v>
      </c>
      <c r="H21" s="436" cm="1">
        <f t="array" ref="H21">IF($C622=0, Vide, $C622)</f>
        <v>47.477749999999993</v>
      </c>
      <c r="I21" s="436" cm="1">
        <f t="array" ref="I21">IF($C622=0, Vide, $C622)</f>
        <v>47.477749999999993</v>
      </c>
      <c r="J21" s="436" cm="1">
        <f t="array" ref="J21">IF($C622=0, Vide, $C622)</f>
        <v>47.477749999999993</v>
      </c>
      <c r="K21" s="436" cm="1">
        <f t="array" ref="K21">IF($C622=0, Vide, $C622)</f>
        <v>47.477749999999993</v>
      </c>
      <c r="L21" s="436" cm="1">
        <f t="array" ref="L21">IF($C622=0, Vide, $C622)</f>
        <v>47.477749999999993</v>
      </c>
      <c r="M21" s="436" t="s">
        <v>762</v>
      </c>
      <c r="N21" s="436" t="s">
        <v>762</v>
      </c>
      <c r="O21" s="436" t="s">
        <v>762</v>
      </c>
      <c r="P21" s="436" t="s">
        <v>762</v>
      </c>
      <c r="Q21" s="436" t="s">
        <v>762</v>
      </c>
      <c r="R21" s="436" t="s">
        <v>762</v>
      </c>
      <c r="S21" s="436" t="s">
        <v>762</v>
      </c>
      <c r="T21" s="436" t="s">
        <v>762</v>
      </c>
      <c r="U21" s="436" t="s">
        <v>762</v>
      </c>
      <c r="V21" s="436" cm="1">
        <f t="array" ref="V21">IF($D622=0, Vide, $D622)</f>
        <v>63.215499999999984</v>
      </c>
      <c r="W21" s="436" cm="1">
        <f t="array" ref="W21">IF($E622=0, Vide, $E622)</f>
        <v>75.871824999999987</v>
      </c>
      <c r="X21" s="436" cm="1">
        <f t="array" ref="X21">IF($F622=0, Vide, $F622)</f>
        <v>91.71537499999998</v>
      </c>
      <c r="Y21" s="436" cm="1">
        <f t="array" ref="Y21">IF($G622=0, Vide, $G622)</f>
        <v>107.50602499999999</v>
      </c>
      <c r="Z21" s="436" cm="1">
        <f t="array" ref="Z21">IF($H622=0, Vide, $H622)</f>
        <v>123.56117499999999</v>
      </c>
      <c r="AA21" s="436" cm="1">
        <f t="array" ref="AA21">IF($I622=0, Vide, $I622)</f>
        <v>140.2379</v>
      </c>
      <c r="AB21" s="436" cm="1">
        <f t="array" ref="AB21">IF($J622=0, Vide, $J622)</f>
        <v>157.16589999999999</v>
      </c>
      <c r="AC21" s="436" cm="1">
        <f t="array" ref="AC21">IF($K622=0, Vide, $K622)</f>
        <v>174.12034999999997</v>
      </c>
      <c r="AD21" s="436" cm="1">
        <f t="array" ref="AD21">IF($L622=0, Vide, $L622)</f>
        <v>196.81444999999997</v>
      </c>
      <c r="AE21" s="436">
        <f t="shared" si="17"/>
        <v>216.49589499999999</v>
      </c>
      <c r="AF21" s="436">
        <f t="shared" si="17"/>
        <v>246.01806249999996</v>
      </c>
      <c r="AG21" s="436">
        <f t="shared" si="17"/>
        <v>295.22167499999995</v>
      </c>
      <c r="AH21" s="436">
        <f t="shared" si="17"/>
        <v>344.42528749999997</v>
      </c>
      <c r="AI21" s="436">
        <f t="shared" si="17"/>
        <v>395.59704449999987</v>
      </c>
      <c r="AJ21" s="436">
        <f t="shared" si="17"/>
        <v>442.83251249999989</v>
      </c>
      <c r="AK21" s="436">
        <f t="shared" si="17"/>
        <v>492.03612499999991</v>
      </c>
      <c r="AL21" s="436">
        <f t="shared" si="17"/>
        <v>592.41149449999989</v>
      </c>
      <c r="AM21" s="436">
        <f t="shared" si="17"/>
        <v>639.64696249999986</v>
      </c>
      <c r="AN21" s="436">
        <f t="shared" si="17"/>
        <v>688.85057499999994</v>
      </c>
      <c r="AO21" s="436">
        <f t="shared" si="18"/>
        <v>738.0541874999999</v>
      </c>
      <c r="AP21" s="436">
        <f t="shared" si="18"/>
        <v>789.22594449999985</v>
      </c>
      <c r="AQ21" s="436">
        <f t="shared" si="18"/>
        <v>836.46141249999982</v>
      </c>
      <c r="AR21" s="436">
        <f t="shared" si="18"/>
        <v>885.66502499999979</v>
      </c>
      <c r="AS21" s="436">
        <f t="shared" si="18"/>
        <v>934.86863749999986</v>
      </c>
      <c r="AT21" s="436">
        <f t="shared" si="18"/>
        <v>984.07224999999983</v>
      </c>
      <c r="AU21" s="436">
        <f t="shared" si="18"/>
        <v>1033.2758624999999</v>
      </c>
      <c r="AV21" s="436">
        <f t="shared" si="18"/>
        <v>1082.4794749999999</v>
      </c>
      <c r="AW21" s="436">
        <f t="shared" si="18"/>
        <v>1131.6830874999998</v>
      </c>
      <c r="AX21" s="436">
        <f t="shared" si="18"/>
        <v>1180.8866999999998</v>
      </c>
      <c r="AY21" s="436">
        <f t="shared" si="19"/>
        <v>1279.2939249999997</v>
      </c>
      <c r="AZ21" s="436">
        <f t="shared" si="19"/>
        <v>1377.7011499999999</v>
      </c>
      <c r="BA21" s="436">
        <f t="shared" si="19"/>
        <v>1476.1083749999998</v>
      </c>
      <c r="BB21" s="436">
        <f t="shared" si="19"/>
        <v>1574.5155999999997</v>
      </c>
      <c r="BC21" s="436">
        <f t="shared" si="19"/>
        <v>1672.9228249999996</v>
      </c>
      <c r="BD21" s="436">
        <f t="shared" si="19"/>
        <v>1771.3300499999996</v>
      </c>
      <c r="BE21" s="436">
        <f t="shared" si="19"/>
        <v>1869.7372749999997</v>
      </c>
      <c r="BF21" s="436">
        <f t="shared" si="19"/>
        <v>1968.1444999999997</v>
      </c>
      <c r="BG21" s="436">
        <f t="shared" si="19"/>
        <v>2164.9589499999997</v>
      </c>
      <c r="BH21" s="436">
        <f t="shared" si="19"/>
        <v>2361.7733999999996</v>
      </c>
      <c r="BI21" s="436">
        <f t="shared" si="20"/>
        <v>2460.1806249999995</v>
      </c>
      <c r="BJ21" s="436">
        <f t="shared" si="20"/>
        <v>2558.5878499999994</v>
      </c>
      <c r="BK21" s="436">
        <f t="shared" si="20"/>
        <v>2755.4022999999997</v>
      </c>
      <c r="BL21" s="436">
        <f t="shared" si="20"/>
        <v>2952.2167499999996</v>
      </c>
      <c r="BM21" s="436">
        <f t="shared" si="20"/>
        <v>3149.0311999999994</v>
      </c>
      <c r="BN21" s="436">
        <f t="shared" si="20"/>
        <v>3345.8456499999993</v>
      </c>
      <c r="BO21" s="436">
        <f t="shared" si="20"/>
        <v>3444.2528749999992</v>
      </c>
      <c r="BP21" s="436">
        <f t="shared" si="20"/>
        <v>3542.6600999999991</v>
      </c>
      <c r="BQ21" s="436">
        <f t="shared" si="20"/>
        <v>3739.4745499999995</v>
      </c>
      <c r="BR21" s="436">
        <f t="shared" si="20"/>
        <v>3936.2889999999993</v>
      </c>
      <c r="BS21" s="436">
        <f t="shared" si="21"/>
        <v>4428.3251249999994</v>
      </c>
      <c r="BT21" s="436">
        <f t="shared" si="21"/>
        <v>4920.361249999999</v>
      </c>
      <c r="BU21" s="436">
        <f t="shared" si="21"/>
        <v>5412.3973749999986</v>
      </c>
      <c r="BV21" s="436">
        <f t="shared" si="21"/>
        <v>5904.4334999999992</v>
      </c>
      <c r="BW21" s="436">
        <f t="shared" si="21"/>
        <v>6888.5057499999984</v>
      </c>
      <c r="BX21" s="436">
        <f t="shared" si="21"/>
        <v>7872.5779999999986</v>
      </c>
      <c r="BY21" s="436">
        <f t="shared" si="21"/>
        <v>8856.6502499999988</v>
      </c>
      <c r="BZ21" s="436">
        <f t="shared" si="21"/>
        <v>9840.722499999998</v>
      </c>
      <c r="CA21" s="436">
        <f t="shared" si="21"/>
        <v>10824.794749999997</v>
      </c>
      <c r="CB21" s="436">
        <f t="shared" si="21"/>
        <v>11808.866999999998</v>
      </c>
      <c r="CC21" s="436">
        <f t="shared" si="21"/>
        <v>13777.011499999997</v>
      </c>
      <c r="CD21" s="436">
        <f t="shared" si="21"/>
        <v>15745.155999999997</v>
      </c>
      <c r="CE21" s="436">
        <f t="shared" si="21"/>
        <v>17713.300499999998</v>
      </c>
      <c r="CF21" s="436">
        <f t="shared" si="21"/>
        <v>19681.444999999996</v>
      </c>
      <c r="CG21" s="436" cm="1">
        <f t="array" ref="CG21">IF($M622=0, Vide, $M622)</f>
        <v>196.81444999999997</v>
      </c>
      <c r="CH21" s="435" t="s">
        <v>762</v>
      </c>
      <c r="CI21" s="435" t="s">
        <v>762</v>
      </c>
      <c r="CJ21" s="435" t="s">
        <v>762</v>
      </c>
      <c r="CK21" s="435" t="s">
        <v>762</v>
      </c>
      <c r="CL21" s="435" t="s">
        <v>762</v>
      </c>
    </row>
    <row r="22" spans="1:90" s="437" customFormat="1">
      <c r="A22" s="435" t="s">
        <v>530</v>
      </c>
      <c r="B22" s="435" t="s">
        <v>90</v>
      </c>
      <c r="C22" s="436" cm="1">
        <f t="array" ref="C22">IF($B623=0, Vide, $B623)</f>
        <v>40.203999999999986</v>
      </c>
      <c r="D22" s="436" cm="1">
        <f t="array" ref="D22">IF($B623=0, Vide, $B623)</f>
        <v>40.203999999999986</v>
      </c>
      <c r="E22" s="436" cm="1">
        <f t="array" ref="E22">IF($B623=0, Vide, $B623)</f>
        <v>40.203999999999986</v>
      </c>
      <c r="F22" s="436" cm="1">
        <f t="array" ref="F22">IF($B623=0, Vide, $B623)</f>
        <v>40.203999999999986</v>
      </c>
      <c r="G22" s="436" cm="1">
        <f t="array" ref="G22">IF($B623=0, Vide, $B623)</f>
        <v>40.203999999999986</v>
      </c>
      <c r="H22" s="436" cm="1">
        <f t="array" ref="H22">IF($C623=0, Vide, $C623)</f>
        <v>47.477749999999993</v>
      </c>
      <c r="I22" s="436" cm="1">
        <f t="array" ref="I22">IF($C623=0, Vide, $C623)</f>
        <v>47.477749999999993</v>
      </c>
      <c r="J22" s="436" cm="1">
        <f t="array" ref="J22">IF($C623=0, Vide, $C623)</f>
        <v>47.477749999999993</v>
      </c>
      <c r="K22" s="436" cm="1">
        <f t="array" ref="K22">IF($C623=0, Vide, $C623)</f>
        <v>47.477749999999993</v>
      </c>
      <c r="L22" s="436" cm="1">
        <f t="array" ref="L22">IF($C623=0, Vide, $C623)</f>
        <v>47.477749999999993</v>
      </c>
      <c r="M22" s="436" t="s">
        <v>762</v>
      </c>
      <c r="N22" s="436" t="s">
        <v>762</v>
      </c>
      <c r="O22" s="436" t="s">
        <v>762</v>
      </c>
      <c r="P22" s="436" t="s">
        <v>762</v>
      </c>
      <c r="Q22" s="436" t="s">
        <v>762</v>
      </c>
      <c r="R22" s="436" t="s">
        <v>762</v>
      </c>
      <c r="S22" s="436" t="s">
        <v>762</v>
      </c>
      <c r="T22" s="436" t="s">
        <v>762</v>
      </c>
      <c r="U22" s="436" t="s">
        <v>762</v>
      </c>
      <c r="V22" s="436" cm="1">
        <f t="array" ref="V22">IF($D623=0, Vide, $D623)</f>
        <v>63.215499999999984</v>
      </c>
      <c r="W22" s="436" cm="1">
        <f t="array" ref="W22">IF($E623=0, Vide, $E623)</f>
        <v>75.871824999999987</v>
      </c>
      <c r="X22" s="436" cm="1">
        <f t="array" ref="X22">IF($F623=0, Vide, $F623)</f>
        <v>91.71537499999998</v>
      </c>
      <c r="Y22" s="436" cm="1">
        <f t="array" ref="Y22">IF($G623=0, Vide, $G623)</f>
        <v>107.50602499999999</v>
      </c>
      <c r="Z22" s="436" cm="1">
        <f t="array" ref="Z22">IF($H623=0, Vide, $H623)</f>
        <v>123.56117499999999</v>
      </c>
      <c r="AA22" s="436" cm="1">
        <f t="array" ref="AA22">IF($I623=0, Vide, $I623)</f>
        <v>140.2379</v>
      </c>
      <c r="AB22" s="436" cm="1">
        <f t="array" ref="AB22">IF($J623=0, Vide, $J623)</f>
        <v>157.16589999999999</v>
      </c>
      <c r="AC22" s="436" cm="1">
        <f t="array" ref="AC22">IF($K623=0, Vide, $K623)</f>
        <v>174.12034999999997</v>
      </c>
      <c r="AD22" s="436" cm="1">
        <f t="array" ref="AD22">IF($L623=0, Vide, $L623)</f>
        <v>196.81444999999997</v>
      </c>
      <c r="AE22" s="436">
        <f t="shared" si="17"/>
        <v>216.49589499999999</v>
      </c>
      <c r="AF22" s="436">
        <f t="shared" si="17"/>
        <v>246.01806249999996</v>
      </c>
      <c r="AG22" s="436">
        <f t="shared" si="17"/>
        <v>295.22167499999995</v>
      </c>
      <c r="AH22" s="436">
        <f t="shared" si="17"/>
        <v>344.42528749999997</v>
      </c>
      <c r="AI22" s="436">
        <f t="shared" si="17"/>
        <v>395.59704449999987</v>
      </c>
      <c r="AJ22" s="436">
        <f t="shared" si="17"/>
        <v>442.83251249999989</v>
      </c>
      <c r="AK22" s="436">
        <f t="shared" si="17"/>
        <v>492.03612499999991</v>
      </c>
      <c r="AL22" s="436">
        <f t="shared" si="17"/>
        <v>592.41149449999989</v>
      </c>
      <c r="AM22" s="436">
        <f t="shared" si="17"/>
        <v>639.64696249999986</v>
      </c>
      <c r="AN22" s="436">
        <f t="shared" si="17"/>
        <v>688.85057499999994</v>
      </c>
      <c r="AO22" s="436">
        <f t="shared" si="18"/>
        <v>738.0541874999999</v>
      </c>
      <c r="AP22" s="436">
        <f t="shared" si="18"/>
        <v>789.22594449999985</v>
      </c>
      <c r="AQ22" s="436">
        <f t="shared" si="18"/>
        <v>836.46141249999982</v>
      </c>
      <c r="AR22" s="436">
        <f t="shared" si="18"/>
        <v>885.66502499999979</v>
      </c>
      <c r="AS22" s="436">
        <f t="shared" si="18"/>
        <v>934.86863749999986</v>
      </c>
      <c r="AT22" s="436">
        <f t="shared" si="18"/>
        <v>984.07224999999983</v>
      </c>
      <c r="AU22" s="436">
        <f t="shared" si="18"/>
        <v>1033.2758624999999</v>
      </c>
      <c r="AV22" s="436">
        <f t="shared" si="18"/>
        <v>1082.4794749999999</v>
      </c>
      <c r="AW22" s="436">
        <f t="shared" si="18"/>
        <v>1131.6830874999998</v>
      </c>
      <c r="AX22" s="436">
        <f t="shared" si="18"/>
        <v>1180.8866999999998</v>
      </c>
      <c r="AY22" s="436">
        <f t="shared" si="19"/>
        <v>1279.2939249999997</v>
      </c>
      <c r="AZ22" s="436">
        <f t="shared" si="19"/>
        <v>1377.7011499999999</v>
      </c>
      <c r="BA22" s="436">
        <f t="shared" si="19"/>
        <v>1476.1083749999998</v>
      </c>
      <c r="BB22" s="436">
        <f t="shared" si="19"/>
        <v>1574.5155999999997</v>
      </c>
      <c r="BC22" s="436">
        <f t="shared" si="19"/>
        <v>1672.9228249999996</v>
      </c>
      <c r="BD22" s="436">
        <f t="shared" si="19"/>
        <v>1771.3300499999996</v>
      </c>
      <c r="BE22" s="436">
        <f t="shared" si="19"/>
        <v>1869.7372749999997</v>
      </c>
      <c r="BF22" s="436">
        <f t="shared" si="19"/>
        <v>1968.1444999999997</v>
      </c>
      <c r="BG22" s="436">
        <f t="shared" si="19"/>
        <v>2164.9589499999997</v>
      </c>
      <c r="BH22" s="436">
        <f t="shared" si="19"/>
        <v>2361.7733999999996</v>
      </c>
      <c r="BI22" s="436">
        <f t="shared" si="20"/>
        <v>2460.1806249999995</v>
      </c>
      <c r="BJ22" s="436">
        <f t="shared" si="20"/>
        <v>2558.5878499999994</v>
      </c>
      <c r="BK22" s="436">
        <f t="shared" si="20"/>
        <v>2755.4022999999997</v>
      </c>
      <c r="BL22" s="436">
        <f t="shared" si="20"/>
        <v>2952.2167499999996</v>
      </c>
      <c r="BM22" s="436">
        <f t="shared" si="20"/>
        <v>3149.0311999999994</v>
      </c>
      <c r="BN22" s="436">
        <f t="shared" si="20"/>
        <v>3345.8456499999993</v>
      </c>
      <c r="BO22" s="436">
        <f t="shared" si="20"/>
        <v>3444.2528749999992</v>
      </c>
      <c r="BP22" s="436">
        <f t="shared" si="20"/>
        <v>3542.6600999999991</v>
      </c>
      <c r="BQ22" s="436">
        <f t="shared" si="20"/>
        <v>3739.4745499999995</v>
      </c>
      <c r="BR22" s="436">
        <f t="shared" si="20"/>
        <v>3936.2889999999993</v>
      </c>
      <c r="BS22" s="436">
        <f t="shared" si="21"/>
        <v>4428.3251249999994</v>
      </c>
      <c r="BT22" s="436">
        <f t="shared" si="21"/>
        <v>4920.361249999999</v>
      </c>
      <c r="BU22" s="436">
        <f t="shared" si="21"/>
        <v>5412.3973749999986</v>
      </c>
      <c r="BV22" s="436">
        <f t="shared" si="21"/>
        <v>5904.4334999999992</v>
      </c>
      <c r="BW22" s="436">
        <f t="shared" si="21"/>
        <v>6888.5057499999984</v>
      </c>
      <c r="BX22" s="436">
        <f t="shared" si="21"/>
        <v>7872.5779999999986</v>
      </c>
      <c r="BY22" s="436">
        <f t="shared" si="21"/>
        <v>8856.6502499999988</v>
      </c>
      <c r="BZ22" s="436">
        <f t="shared" si="21"/>
        <v>9840.722499999998</v>
      </c>
      <c r="CA22" s="436">
        <f t="shared" si="21"/>
        <v>10824.794749999997</v>
      </c>
      <c r="CB22" s="436">
        <f t="shared" si="21"/>
        <v>11808.866999999998</v>
      </c>
      <c r="CC22" s="436">
        <f t="shared" si="21"/>
        <v>13777.011499999997</v>
      </c>
      <c r="CD22" s="436">
        <f t="shared" si="21"/>
        <v>15745.155999999997</v>
      </c>
      <c r="CE22" s="436">
        <f t="shared" si="21"/>
        <v>17713.300499999998</v>
      </c>
      <c r="CF22" s="436">
        <f t="shared" si="21"/>
        <v>19681.444999999996</v>
      </c>
      <c r="CG22" s="436" cm="1">
        <f t="array" ref="CG22">IF($M623=0, Vide, $M623)</f>
        <v>196.81444999999997</v>
      </c>
      <c r="CH22" s="435" t="s">
        <v>762</v>
      </c>
      <c r="CI22" s="435" t="s">
        <v>762</v>
      </c>
      <c r="CJ22" s="435" t="s">
        <v>762</v>
      </c>
      <c r="CK22" s="435" t="s">
        <v>762</v>
      </c>
      <c r="CL22" s="435" t="s">
        <v>762</v>
      </c>
    </row>
    <row r="23" spans="1:90" s="437" customFormat="1">
      <c r="A23" s="435" t="s">
        <v>531</v>
      </c>
      <c r="B23" s="435" t="s">
        <v>90</v>
      </c>
      <c r="C23" s="436" cm="1">
        <f t="array" ref="C23">IF($B624=0, Vide, $B624)</f>
        <v>40.203999999999986</v>
      </c>
      <c r="D23" s="436" cm="1">
        <f t="array" ref="D23">IF($B624=0, Vide, $B624)</f>
        <v>40.203999999999986</v>
      </c>
      <c r="E23" s="436" cm="1">
        <f t="array" ref="E23">IF($B624=0, Vide, $B624)</f>
        <v>40.203999999999986</v>
      </c>
      <c r="F23" s="436" cm="1">
        <f t="array" ref="F23">IF($B624=0, Vide, $B624)</f>
        <v>40.203999999999986</v>
      </c>
      <c r="G23" s="436" cm="1">
        <f t="array" ref="G23">IF($B624=0, Vide, $B624)</f>
        <v>40.203999999999986</v>
      </c>
      <c r="H23" s="436" cm="1">
        <f t="array" ref="H23">IF($C624=0, Vide, $C624)</f>
        <v>47.477749999999993</v>
      </c>
      <c r="I23" s="436" cm="1">
        <f t="array" ref="I23">IF($C624=0, Vide, $C624)</f>
        <v>47.477749999999993</v>
      </c>
      <c r="J23" s="436" cm="1">
        <f t="array" ref="J23">IF($C624=0, Vide, $C624)</f>
        <v>47.477749999999993</v>
      </c>
      <c r="K23" s="436" cm="1">
        <f t="array" ref="K23">IF($C624=0, Vide, $C624)</f>
        <v>47.477749999999993</v>
      </c>
      <c r="L23" s="436" cm="1">
        <f t="array" ref="L23">IF($C624=0, Vide, $C624)</f>
        <v>47.477749999999993</v>
      </c>
      <c r="M23" s="436" t="s">
        <v>762</v>
      </c>
      <c r="N23" s="436" t="s">
        <v>762</v>
      </c>
      <c r="O23" s="436" t="s">
        <v>762</v>
      </c>
      <c r="P23" s="436" t="s">
        <v>762</v>
      </c>
      <c r="Q23" s="436" t="s">
        <v>762</v>
      </c>
      <c r="R23" s="436" t="s">
        <v>762</v>
      </c>
      <c r="S23" s="436" t="s">
        <v>762</v>
      </c>
      <c r="T23" s="436" t="s">
        <v>762</v>
      </c>
      <c r="U23" s="436" t="s">
        <v>762</v>
      </c>
      <c r="V23" s="436" cm="1">
        <f t="array" ref="V23">IF($D624=0, Vide, $D624)</f>
        <v>63.215499999999984</v>
      </c>
      <c r="W23" s="436" cm="1">
        <f t="array" ref="W23">IF($E624=0, Vide, $E624)</f>
        <v>75.871824999999987</v>
      </c>
      <c r="X23" s="436" cm="1">
        <f t="array" ref="X23">IF($F624=0, Vide, $F624)</f>
        <v>91.71537499999998</v>
      </c>
      <c r="Y23" s="436" cm="1">
        <f t="array" ref="Y23">IF($G624=0, Vide, $G624)</f>
        <v>107.50602499999999</v>
      </c>
      <c r="Z23" s="436" cm="1">
        <f t="array" ref="Z23">IF($H624=0, Vide, $H624)</f>
        <v>123.56117499999999</v>
      </c>
      <c r="AA23" s="436" cm="1">
        <f t="array" ref="AA23">IF($I624=0, Vide, $I624)</f>
        <v>140.2379</v>
      </c>
      <c r="AB23" s="436" cm="1">
        <f t="array" ref="AB23">IF($J624=0, Vide, $J624)</f>
        <v>157.16589999999999</v>
      </c>
      <c r="AC23" s="436" cm="1">
        <f t="array" ref="AC23">IF($K624=0, Vide, $K624)</f>
        <v>174.12034999999997</v>
      </c>
      <c r="AD23" s="436" cm="1">
        <f t="array" ref="AD23">IF($L624=0, Vide, $L624)</f>
        <v>196.81444999999997</v>
      </c>
      <c r="AE23" s="436">
        <f t="shared" si="17"/>
        <v>216.49589499999999</v>
      </c>
      <c r="AF23" s="436">
        <f t="shared" si="17"/>
        <v>246.01806249999996</v>
      </c>
      <c r="AG23" s="436">
        <f t="shared" si="17"/>
        <v>295.22167499999995</v>
      </c>
      <c r="AH23" s="436">
        <f t="shared" si="17"/>
        <v>344.42528749999997</v>
      </c>
      <c r="AI23" s="436">
        <f t="shared" si="17"/>
        <v>395.59704449999987</v>
      </c>
      <c r="AJ23" s="436">
        <f t="shared" si="17"/>
        <v>442.83251249999989</v>
      </c>
      <c r="AK23" s="436">
        <f t="shared" si="17"/>
        <v>492.03612499999991</v>
      </c>
      <c r="AL23" s="436">
        <f t="shared" si="17"/>
        <v>592.41149449999989</v>
      </c>
      <c r="AM23" s="436">
        <f t="shared" si="17"/>
        <v>639.64696249999986</v>
      </c>
      <c r="AN23" s="436">
        <f t="shared" si="17"/>
        <v>688.85057499999994</v>
      </c>
      <c r="AO23" s="436">
        <f t="shared" si="18"/>
        <v>738.0541874999999</v>
      </c>
      <c r="AP23" s="436">
        <f t="shared" si="18"/>
        <v>789.22594449999985</v>
      </c>
      <c r="AQ23" s="436">
        <f t="shared" si="18"/>
        <v>836.46141249999982</v>
      </c>
      <c r="AR23" s="436">
        <f t="shared" si="18"/>
        <v>885.66502499999979</v>
      </c>
      <c r="AS23" s="436">
        <f t="shared" si="18"/>
        <v>934.86863749999986</v>
      </c>
      <c r="AT23" s="436">
        <f t="shared" si="18"/>
        <v>984.07224999999983</v>
      </c>
      <c r="AU23" s="436">
        <f t="shared" si="18"/>
        <v>1033.2758624999999</v>
      </c>
      <c r="AV23" s="436">
        <f t="shared" si="18"/>
        <v>1082.4794749999999</v>
      </c>
      <c r="AW23" s="436">
        <f t="shared" si="18"/>
        <v>1131.6830874999998</v>
      </c>
      <c r="AX23" s="436">
        <f t="shared" si="18"/>
        <v>1180.8866999999998</v>
      </c>
      <c r="AY23" s="436">
        <f t="shared" si="19"/>
        <v>1279.2939249999997</v>
      </c>
      <c r="AZ23" s="436">
        <f t="shared" si="19"/>
        <v>1377.7011499999999</v>
      </c>
      <c r="BA23" s="436">
        <f t="shared" si="19"/>
        <v>1476.1083749999998</v>
      </c>
      <c r="BB23" s="436">
        <f t="shared" si="19"/>
        <v>1574.5155999999997</v>
      </c>
      <c r="BC23" s="436">
        <f t="shared" si="19"/>
        <v>1672.9228249999996</v>
      </c>
      <c r="BD23" s="436">
        <f t="shared" si="19"/>
        <v>1771.3300499999996</v>
      </c>
      <c r="BE23" s="436">
        <f t="shared" si="19"/>
        <v>1869.7372749999997</v>
      </c>
      <c r="BF23" s="436">
        <f t="shared" si="19"/>
        <v>1968.1444999999997</v>
      </c>
      <c r="BG23" s="436">
        <f t="shared" si="19"/>
        <v>2164.9589499999997</v>
      </c>
      <c r="BH23" s="436">
        <f t="shared" si="19"/>
        <v>2361.7733999999996</v>
      </c>
      <c r="BI23" s="436">
        <f t="shared" si="20"/>
        <v>2460.1806249999995</v>
      </c>
      <c r="BJ23" s="436">
        <f t="shared" si="20"/>
        <v>2558.5878499999994</v>
      </c>
      <c r="BK23" s="436">
        <f t="shared" si="20"/>
        <v>2755.4022999999997</v>
      </c>
      <c r="BL23" s="436">
        <f t="shared" si="20"/>
        <v>2952.2167499999996</v>
      </c>
      <c r="BM23" s="436">
        <f t="shared" si="20"/>
        <v>3149.0311999999994</v>
      </c>
      <c r="BN23" s="436">
        <f t="shared" si="20"/>
        <v>3345.8456499999993</v>
      </c>
      <c r="BO23" s="436">
        <f t="shared" si="20"/>
        <v>3444.2528749999992</v>
      </c>
      <c r="BP23" s="436">
        <f t="shared" si="20"/>
        <v>3542.6600999999991</v>
      </c>
      <c r="BQ23" s="436">
        <f t="shared" si="20"/>
        <v>3739.4745499999995</v>
      </c>
      <c r="BR23" s="436">
        <f t="shared" si="20"/>
        <v>3936.2889999999993</v>
      </c>
      <c r="BS23" s="436">
        <f t="shared" si="21"/>
        <v>4428.3251249999994</v>
      </c>
      <c r="BT23" s="436">
        <f t="shared" si="21"/>
        <v>4920.361249999999</v>
      </c>
      <c r="BU23" s="436">
        <f t="shared" si="21"/>
        <v>5412.3973749999986</v>
      </c>
      <c r="BV23" s="436">
        <f t="shared" si="21"/>
        <v>5904.4334999999992</v>
      </c>
      <c r="BW23" s="436">
        <f t="shared" si="21"/>
        <v>6888.5057499999984</v>
      </c>
      <c r="BX23" s="436">
        <f t="shared" si="21"/>
        <v>7872.5779999999986</v>
      </c>
      <c r="BY23" s="436">
        <f t="shared" si="21"/>
        <v>8856.6502499999988</v>
      </c>
      <c r="BZ23" s="436">
        <f t="shared" si="21"/>
        <v>9840.722499999998</v>
      </c>
      <c r="CA23" s="436">
        <f t="shared" si="21"/>
        <v>10824.794749999997</v>
      </c>
      <c r="CB23" s="436">
        <f t="shared" si="21"/>
        <v>11808.866999999998</v>
      </c>
      <c r="CC23" s="436">
        <f t="shared" si="21"/>
        <v>13777.011499999997</v>
      </c>
      <c r="CD23" s="436">
        <f t="shared" si="21"/>
        <v>15745.155999999997</v>
      </c>
      <c r="CE23" s="436">
        <f t="shared" si="21"/>
        <v>17713.300499999998</v>
      </c>
      <c r="CF23" s="436">
        <f t="shared" si="21"/>
        <v>19681.444999999996</v>
      </c>
      <c r="CG23" s="436" cm="1">
        <f t="array" ref="CG23">IF($M624=0, Vide, $M624)</f>
        <v>196.81444999999997</v>
      </c>
      <c r="CH23" s="435" t="s">
        <v>762</v>
      </c>
      <c r="CI23" s="435" t="s">
        <v>762</v>
      </c>
      <c r="CJ23" s="435" t="s">
        <v>762</v>
      </c>
      <c r="CK23" s="435" t="s">
        <v>762</v>
      </c>
      <c r="CL23" s="435" t="s">
        <v>762</v>
      </c>
    </row>
    <row r="24" spans="1:90" s="437" customFormat="1">
      <c r="A24" s="435" t="s">
        <v>532</v>
      </c>
      <c r="B24" s="435" t="s">
        <v>90</v>
      </c>
      <c r="C24" s="436" t="s">
        <v>762</v>
      </c>
      <c r="D24" s="436" t="s">
        <v>762</v>
      </c>
      <c r="E24" s="436" t="s">
        <v>762</v>
      </c>
      <c r="F24" s="436" t="s">
        <v>762</v>
      </c>
      <c r="G24" s="436" t="s">
        <v>762</v>
      </c>
      <c r="H24" s="436" t="s">
        <v>762</v>
      </c>
      <c r="I24" s="436" t="s">
        <v>762</v>
      </c>
      <c r="J24" s="436" t="s">
        <v>762</v>
      </c>
      <c r="K24" s="436" t="s">
        <v>762</v>
      </c>
      <c r="L24" s="436" t="s">
        <v>762</v>
      </c>
      <c r="M24" s="436" t="s">
        <v>762</v>
      </c>
      <c r="N24" s="436" t="s">
        <v>762</v>
      </c>
      <c r="O24" s="436" t="s">
        <v>762</v>
      </c>
      <c r="P24" s="436" t="s">
        <v>762</v>
      </c>
      <c r="Q24" s="436" t="s">
        <v>762</v>
      </c>
      <c r="R24" s="436" t="s">
        <v>762</v>
      </c>
      <c r="S24" s="436" t="s">
        <v>762</v>
      </c>
      <c r="T24" s="436" t="s">
        <v>762</v>
      </c>
      <c r="U24" s="436" t="s">
        <v>762</v>
      </c>
      <c r="V24" s="436" t="s">
        <v>762</v>
      </c>
      <c r="W24" s="436" t="s">
        <v>762</v>
      </c>
      <c r="X24" s="436" t="s">
        <v>762</v>
      </c>
      <c r="Y24" s="436" t="s">
        <v>762</v>
      </c>
      <c r="Z24" s="436" t="s">
        <v>762</v>
      </c>
      <c r="AA24" s="436" t="s">
        <v>762</v>
      </c>
      <c r="AB24" s="436" t="s">
        <v>762</v>
      </c>
      <c r="AC24" s="436" t="s">
        <v>762</v>
      </c>
      <c r="AD24" s="436" t="s">
        <v>762</v>
      </c>
      <c r="AE24" s="436" t="s">
        <v>762</v>
      </c>
      <c r="AF24" s="436" t="s">
        <v>762</v>
      </c>
      <c r="AG24" s="436" t="s">
        <v>762</v>
      </c>
      <c r="AH24" s="436" t="s">
        <v>762</v>
      </c>
      <c r="AI24" s="436" t="s">
        <v>762</v>
      </c>
      <c r="AJ24" s="436" t="s">
        <v>762</v>
      </c>
      <c r="AK24" s="436" t="s">
        <v>762</v>
      </c>
      <c r="AL24" s="436" t="s">
        <v>762</v>
      </c>
      <c r="AM24" s="436" t="s">
        <v>762</v>
      </c>
      <c r="AN24" s="436" t="s">
        <v>762</v>
      </c>
      <c r="AO24" s="436" t="s">
        <v>762</v>
      </c>
      <c r="AP24" s="436" t="s">
        <v>762</v>
      </c>
      <c r="AQ24" s="436" t="s">
        <v>762</v>
      </c>
      <c r="AR24" s="436" t="s">
        <v>762</v>
      </c>
      <c r="AS24" s="436" t="s">
        <v>762</v>
      </c>
      <c r="AT24" s="436" t="s">
        <v>762</v>
      </c>
      <c r="AU24" s="436" t="s">
        <v>762</v>
      </c>
      <c r="AV24" s="436" t="s">
        <v>762</v>
      </c>
      <c r="AW24" s="436" t="s">
        <v>762</v>
      </c>
      <c r="AX24" s="436" t="s">
        <v>762</v>
      </c>
      <c r="AY24" s="436" t="s">
        <v>762</v>
      </c>
      <c r="AZ24" s="436" t="s">
        <v>762</v>
      </c>
      <c r="BA24" s="436" t="s">
        <v>762</v>
      </c>
      <c r="BB24" s="436" t="s">
        <v>762</v>
      </c>
      <c r="BC24" s="436" t="s">
        <v>762</v>
      </c>
      <c r="BD24" s="436" t="s">
        <v>762</v>
      </c>
      <c r="BE24" s="436" t="s">
        <v>762</v>
      </c>
      <c r="BF24" s="436" t="s">
        <v>762</v>
      </c>
      <c r="BG24" s="436" t="s">
        <v>762</v>
      </c>
      <c r="BH24" s="436" t="s">
        <v>762</v>
      </c>
      <c r="BI24" s="436" t="s">
        <v>762</v>
      </c>
      <c r="BJ24" s="436" t="s">
        <v>762</v>
      </c>
      <c r="BK24" s="436" t="s">
        <v>762</v>
      </c>
      <c r="BL24" s="436" t="s">
        <v>762</v>
      </c>
      <c r="BM24" s="436" t="s">
        <v>762</v>
      </c>
      <c r="BN24" s="436" t="s">
        <v>762</v>
      </c>
      <c r="BO24" s="436" t="s">
        <v>762</v>
      </c>
      <c r="BP24" s="436" t="s">
        <v>762</v>
      </c>
      <c r="BQ24" s="436" t="s">
        <v>762</v>
      </c>
      <c r="BR24" s="436" t="s">
        <v>762</v>
      </c>
      <c r="BS24" s="436" t="s">
        <v>762</v>
      </c>
      <c r="BT24" s="436" t="s">
        <v>762</v>
      </c>
      <c r="BU24" s="436" t="s">
        <v>762</v>
      </c>
      <c r="BV24" s="436" t="s">
        <v>762</v>
      </c>
      <c r="BW24" s="436" t="s">
        <v>762</v>
      </c>
      <c r="BX24" s="436" t="s">
        <v>762</v>
      </c>
      <c r="BY24" s="436" t="s">
        <v>762</v>
      </c>
      <c r="BZ24" s="436" t="s">
        <v>762</v>
      </c>
      <c r="CA24" s="436" t="s">
        <v>762</v>
      </c>
      <c r="CB24" s="436" t="s">
        <v>762</v>
      </c>
      <c r="CC24" s="436" t="s">
        <v>762</v>
      </c>
      <c r="CD24" s="436" t="s">
        <v>762</v>
      </c>
      <c r="CE24" s="436" t="s">
        <v>762</v>
      </c>
      <c r="CF24" s="436" t="s">
        <v>762</v>
      </c>
      <c r="CG24" s="436" t="s">
        <v>762</v>
      </c>
      <c r="CH24" s="436" t="s">
        <v>762</v>
      </c>
      <c r="CI24" s="436" t="s">
        <v>762</v>
      </c>
      <c r="CJ24" s="436" t="s">
        <v>762</v>
      </c>
      <c r="CK24" s="436" t="s">
        <v>762</v>
      </c>
      <c r="CL24" s="436" t="s">
        <v>762</v>
      </c>
    </row>
    <row r="25" spans="1:90" s="437" customFormat="1">
      <c r="A25" s="435" t="s">
        <v>533</v>
      </c>
      <c r="B25" s="435" t="s">
        <v>90</v>
      </c>
      <c r="C25" s="436" cm="1">
        <f t="array" ref="C25">IF($B626=0, Vide, $B626)</f>
        <v>40.203999999999986</v>
      </c>
      <c r="D25" s="436" cm="1">
        <f t="array" ref="D25">IF($B626=0, Vide, $B626)</f>
        <v>40.203999999999986</v>
      </c>
      <c r="E25" s="436" cm="1">
        <f t="array" ref="E25">IF($B626=0, Vide, $B626)</f>
        <v>40.203999999999986</v>
      </c>
      <c r="F25" s="436" cm="1">
        <f t="array" ref="F25">IF($B626=0, Vide, $B626)</f>
        <v>40.203999999999986</v>
      </c>
      <c r="G25" s="436" cm="1">
        <f t="array" ref="G25">IF($B626=0, Vide, $B626)</f>
        <v>40.203999999999986</v>
      </c>
      <c r="H25" s="436" cm="1">
        <f t="array" ref="H25">IF($C626=0, Vide, $C626)</f>
        <v>47.477749999999993</v>
      </c>
      <c r="I25" s="436" cm="1">
        <f t="array" ref="I25">IF($C626=0, Vide, $C626)</f>
        <v>47.477749999999993</v>
      </c>
      <c r="J25" s="436" cm="1">
        <f t="array" ref="J25">IF($C626=0, Vide, $C626)</f>
        <v>47.477749999999993</v>
      </c>
      <c r="K25" s="436" cm="1">
        <f t="array" ref="K25">IF($C626=0, Vide, $C626)</f>
        <v>47.477749999999993</v>
      </c>
      <c r="L25" s="436" cm="1">
        <f t="array" ref="L25">IF($C626=0, Vide, $C626)</f>
        <v>47.477749999999993</v>
      </c>
      <c r="M25" s="436" t="s">
        <v>762</v>
      </c>
      <c r="N25" s="436" t="s">
        <v>762</v>
      </c>
      <c r="O25" s="436" t="s">
        <v>762</v>
      </c>
      <c r="P25" s="436" t="s">
        <v>762</v>
      </c>
      <c r="Q25" s="436" t="s">
        <v>762</v>
      </c>
      <c r="R25" s="436" t="s">
        <v>762</v>
      </c>
      <c r="S25" s="436" t="s">
        <v>762</v>
      </c>
      <c r="T25" s="436" t="s">
        <v>762</v>
      </c>
      <c r="U25" s="436" t="s">
        <v>762</v>
      </c>
      <c r="V25" s="436" cm="1">
        <f t="array" ref="V25">IF($D626=0, Vide, $D626)</f>
        <v>63.215499999999984</v>
      </c>
      <c r="W25" s="436" cm="1">
        <f t="array" ref="W25">IF($E626=0, Vide, $E626)</f>
        <v>75.871824999999987</v>
      </c>
      <c r="X25" s="436" cm="1">
        <f t="array" ref="X25">IF($F626=0, Vide, $F626)</f>
        <v>91.71537499999998</v>
      </c>
      <c r="Y25" s="436" cm="1">
        <f t="array" ref="Y25">IF($G626=0, Vide, $G626)</f>
        <v>107.50602499999999</v>
      </c>
      <c r="Z25" s="436" cm="1">
        <f t="array" ref="Z25">IF($H626=0, Vide, $H626)</f>
        <v>123.56117499999999</v>
      </c>
      <c r="AA25" s="436" cm="1">
        <f t="array" ref="AA25">IF($I626=0, Vide, $I626)</f>
        <v>140.2379</v>
      </c>
      <c r="AB25" s="436" cm="1">
        <f t="array" ref="AB25">IF($J626=0, Vide, $J626)</f>
        <v>157.16589999999999</v>
      </c>
      <c r="AC25" s="436" cm="1">
        <f t="array" ref="AC25">IF($K626=0, Vide, $K626)</f>
        <v>174.12034999999997</v>
      </c>
      <c r="AD25" s="436" cm="1">
        <f t="array" ref="AD25">IF($L626=0, Vide, $L626)</f>
        <v>196.81444999999997</v>
      </c>
      <c r="AE25" s="436">
        <f t="shared" ref="AE25:AN26" si="22">(AE$1/100)*$CG25</f>
        <v>216.49589499999999</v>
      </c>
      <c r="AF25" s="436">
        <f t="shared" si="22"/>
        <v>246.01806249999996</v>
      </c>
      <c r="AG25" s="436">
        <f t="shared" si="22"/>
        <v>295.22167499999995</v>
      </c>
      <c r="AH25" s="436">
        <f t="shared" si="22"/>
        <v>344.42528749999997</v>
      </c>
      <c r="AI25" s="436">
        <f t="shared" si="22"/>
        <v>395.59704449999987</v>
      </c>
      <c r="AJ25" s="436">
        <f t="shared" si="22"/>
        <v>442.83251249999989</v>
      </c>
      <c r="AK25" s="436">
        <f t="shared" si="22"/>
        <v>492.03612499999991</v>
      </c>
      <c r="AL25" s="436">
        <f t="shared" si="22"/>
        <v>592.41149449999989</v>
      </c>
      <c r="AM25" s="436">
        <f t="shared" si="22"/>
        <v>639.64696249999986</v>
      </c>
      <c r="AN25" s="436">
        <f t="shared" si="22"/>
        <v>688.85057499999994</v>
      </c>
      <c r="AO25" s="436">
        <f t="shared" ref="AO25:AX26" si="23">(AO$1/100)*$CG25</f>
        <v>738.0541874999999</v>
      </c>
      <c r="AP25" s="436">
        <f t="shared" si="23"/>
        <v>789.22594449999985</v>
      </c>
      <c r="AQ25" s="436">
        <f t="shared" si="23"/>
        <v>836.46141249999982</v>
      </c>
      <c r="AR25" s="436">
        <f t="shared" si="23"/>
        <v>885.66502499999979</v>
      </c>
      <c r="AS25" s="436">
        <f t="shared" si="23"/>
        <v>934.86863749999986</v>
      </c>
      <c r="AT25" s="436">
        <f t="shared" si="23"/>
        <v>984.07224999999983</v>
      </c>
      <c r="AU25" s="436">
        <f t="shared" si="23"/>
        <v>1033.2758624999999</v>
      </c>
      <c r="AV25" s="436">
        <f t="shared" si="23"/>
        <v>1082.4794749999999</v>
      </c>
      <c r="AW25" s="436">
        <f t="shared" si="23"/>
        <v>1131.6830874999998</v>
      </c>
      <c r="AX25" s="436">
        <f t="shared" si="23"/>
        <v>1180.8866999999998</v>
      </c>
      <c r="AY25" s="436">
        <f t="shared" ref="AY25:BH26" si="24">(AY$1/100)*$CG25</f>
        <v>1279.2939249999997</v>
      </c>
      <c r="AZ25" s="436">
        <f t="shared" si="24"/>
        <v>1377.7011499999999</v>
      </c>
      <c r="BA25" s="436">
        <f t="shared" si="24"/>
        <v>1476.1083749999998</v>
      </c>
      <c r="BB25" s="436">
        <f t="shared" si="24"/>
        <v>1574.5155999999997</v>
      </c>
      <c r="BC25" s="436">
        <f t="shared" si="24"/>
        <v>1672.9228249999996</v>
      </c>
      <c r="BD25" s="436">
        <f t="shared" si="24"/>
        <v>1771.3300499999996</v>
      </c>
      <c r="BE25" s="436">
        <f t="shared" si="24"/>
        <v>1869.7372749999997</v>
      </c>
      <c r="BF25" s="436">
        <f t="shared" si="24"/>
        <v>1968.1444999999997</v>
      </c>
      <c r="BG25" s="436">
        <f t="shared" si="24"/>
        <v>2164.9589499999997</v>
      </c>
      <c r="BH25" s="436">
        <f t="shared" si="24"/>
        <v>2361.7733999999996</v>
      </c>
      <c r="BI25" s="436">
        <f t="shared" ref="BI25:BR26" si="25">(BI$1/100)*$CG25</f>
        <v>2460.1806249999995</v>
      </c>
      <c r="BJ25" s="436">
        <f t="shared" si="25"/>
        <v>2558.5878499999994</v>
      </c>
      <c r="BK25" s="436">
        <f t="shared" si="25"/>
        <v>2755.4022999999997</v>
      </c>
      <c r="BL25" s="436">
        <f t="shared" si="25"/>
        <v>2952.2167499999996</v>
      </c>
      <c r="BM25" s="436">
        <f t="shared" si="25"/>
        <v>3149.0311999999994</v>
      </c>
      <c r="BN25" s="436">
        <f t="shared" si="25"/>
        <v>3345.8456499999993</v>
      </c>
      <c r="BO25" s="436">
        <f t="shared" si="25"/>
        <v>3444.2528749999992</v>
      </c>
      <c r="BP25" s="436">
        <f t="shared" si="25"/>
        <v>3542.6600999999991</v>
      </c>
      <c r="BQ25" s="436">
        <f t="shared" si="25"/>
        <v>3739.4745499999995</v>
      </c>
      <c r="BR25" s="436">
        <f t="shared" si="25"/>
        <v>3936.2889999999993</v>
      </c>
      <c r="BS25" s="436">
        <f t="shared" ref="BS25:CF26" si="26">(BS$1/100)*$CG25</f>
        <v>4428.3251249999994</v>
      </c>
      <c r="BT25" s="436">
        <f t="shared" si="26"/>
        <v>4920.361249999999</v>
      </c>
      <c r="BU25" s="436">
        <f t="shared" si="26"/>
        <v>5412.3973749999986</v>
      </c>
      <c r="BV25" s="436">
        <f t="shared" si="26"/>
        <v>5904.4334999999992</v>
      </c>
      <c r="BW25" s="436">
        <f t="shared" si="26"/>
        <v>6888.5057499999984</v>
      </c>
      <c r="BX25" s="436">
        <f t="shared" si="26"/>
        <v>7872.5779999999986</v>
      </c>
      <c r="BY25" s="436">
        <f t="shared" si="26"/>
        <v>8856.6502499999988</v>
      </c>
      <c r="BZ25" s="436">
        <f t="shared" si="26"/>
        <v>9840.722499999998</v>
      </c>
      <c r="CA25" s="436">
        <f t="shared" si="26"/>
        <v>10824.794749999997</v>
      </c>
      <c r="CB25" s="436">
        <f t="shared" si="26"/>
        <v>11808.866999999998</v>
      </c>
      <c r="CC25" s="436">
        <f t="shared" si="26"/>
        <v>13777.011499999997</v>
      </c>
      <c r="CD25" s="436">
        <f t="shared" si="26"/>
        <v>15745.155999999997</v>
      </c>
      <c r="CE25" s="436">
        <f t="shared" si="26"/>
        <v>17713.300499999998</v>
      </c>
      <c r="CF25" s="436">
        <f t="shared" si="26"/>
        <v>19681.444999999996</v>
      </c>
      <c r="CG25" s="436" cm="1">
        <f t="array" ref="CG25">IF($M626=0, Vide, $M626)</f>
        <v>196.81444999999997</v>
      </c>
      <c r="CH25" s="435" t="s">
        <v>762</v>
      </c>
      <c r="CI25" s="435" t="s">
        <v>762</v>
      </c>
      <c r="CJ25" s="435" t="s">
        <v>762</v>
      </c>
      <c r="CK25" s="435" t="s">
        <v>762</v>
      </c>
      <c r="CL25" s="435" t="s">
        <v>762</v>
      </c>
    </row>
    <row r="26" spans="1:90" s="437" customFormat="1">
      <c r="A26" s="435" t="s">
        <v>534</v>
      </c>
      <c r="B26" s="435" t="s">
        <v>90</v>
      </c>
      <c r="C26" s="436" cm="1">
        <f t="array" ref="C26">IF($B627=0, Vide, $B627)</f>
        <v>40.203999999999986</v>
      </c>
      <c r="D26" s="436" cm="1">
        <f t="array" ref="D26">IF($B627=0, Vide, $B627)</f>
        <v>40.203999999999986</v>
      </c>
      <c r="E26" s="436" cm="1">
        <f t="array" ref="E26">IF($B627=0, Vide, $B627)</f>
        <v>40.203999999999986</v>
      </c>
      <c r="F26" s="436" cm="1">
        <f t="array" ref="F26">IF($B627=0, Vide, $B627)</f>
        <v>40.203999999999986</v>
      </c>
      <c r="G26" s="436" cm="1">
        <f t="array" ref="G26">IF($B627=0, Vide, $B627)</f>
        <v>40.203999999999986</v>
      </c>
      <c r="H26" s="436" cm="1">
        <f t="array" ref="H26">IF($C627=0, Vide, $C627)</f>
        <v>47.477749999999993</v>
      </c>
      <c r="I26" s="436" cm="1">
        <f t="array" ref="I26">IF($C627=0, Vide, $C627)</f>
        <v>47.477749999999993</v>
      </c>
      <c r="J26" s="436" cm="1">
        <f t="array" ref="J26">IF($C627=0, Vide, $C627)</f>
        <v>47.477749999999993</v>
      </c>
      <c r="K26" s="436" cm="1">
        <f t="array" ref="K26">IF($C627=0, Vide, $C627)</f>
        <v>47.477749999999993</v>
      </c>
      <c r="L26" s="436" cm="1">
        <f t="array" ref="L26">IF($C627=0, Vide, $C627)</f>
        <v>47.477749999999993</v>
      </c>
      <c r="M26" s="436" t="s">
        <v>762</v>
      </c>
      <c r="N26" s="436" t="s">
        <v>762</v>
      </c>
      <c r="O26" s="436" t="s">
        <v>762</v>
      </c>
      <c r="P26" s="436" t="s">
        <v>762</v>
      </c>
      <c r="Q26" s="436" t="s">
        <v>762</v>
      </c>
      <c r="R26" s="436" t="s">
        <v>762</v>
      </c>
      <c r="S26" s="436" t="s">
        <v>762</v>
      </c>
      <c r="T26" s="436" t="s">
        <v>762</v>
      </c>
      <c r="U26" s="436" t="s">
        <v>762</v>
      </c>
      <c r="V26" s="436" cm="1">
        <f t="array" ref="V26">IF($D627=0, Vide, $D627)</f>
        <v>63.215499999999984</v>
      </c>
      <c r="W26" s="436" cm="1">
        <f t="array" ref="W26">IF($E627=0, Vide, $E627)</f>
        <v>75.871824999999987</v>
      </c>
      <c r="X26" s="436" cm="1">
        <f t="array" ref="X26">IF($F627=0, Vide, $F627)</f>
        <v>91.71537499999998</v>
      </c>
      <c r="Y26" s="436" cm="1">
        <f t="array" ref="Y26">IF($G627=0, Vide, $G627)</f>
        <v>107.50602499999999</v>
      </c>
      <c r="Z26" s="436" cm="1">
        <f t="array" ref="Z26">IF($H627=0, Vide, $H627)</f>
        <v>123.56117499999999</v>
      </c>
      <c r="AA26" s="436" cm="1">
        <f t="array" ref="AA26">IF($I627=0, Vide, $I627)</f>
        <v>140.2379</v>
      </c>
      <c r="AB26" s="436" cm="1">
        <f t="array" ref="AB26">IF($J627=0, Vide, $J627)</f>
        <v>157.16589999999999</v>
      </c>
      <c r="AC26" s="436" cm="1">
        <f t="array" ref="AC26">IF($K627=0, Vide, $K627)</f>
        <v>174.12034999999997</v>
      </c>
      <c r="AD26" s="436" cm="1">
        <f t="array" ref="AD26">IF($L627=0, Vide, $L627)</f>
        <v>196.81444999999997</v>
      </c>
      <c r="AE26" s="436">
        <f t="shared" si="22"/>
        <v>216.49589499999999</v>
      </c>
      <c r="AF26" s="436">
        <f t="shared" si="22"/>
        <v>246.01806249999996</v>
      </c>
      <c r="AG26" s="436">
        <f t="shared" si="22"/>
        <v>295.22167499999995</v>
      </c>
      <c r="AH26" s="436">
        <f t="shared" si="22"/>
        <v>344.42528749999997</v>
      </c>
      <c r="AI26" s="436">
        <f t="shared" si="22"/>
        <v>395.59704449999987</v>
      </c>
      <c r="AJ26" s="436">
        <f t="shared" si="22"/>
        <v>442.83251249999989</v>
      </c>
      <c r="AK26" s="436">
        <f t="shared" si="22"/>
        <v>492.03612499999991</v>
      </c>
      <c r="AL26" s="436">
        <f t="shared" si="22"/>
        <v>592.41149449999989</v>
      </c>
      <c r="AM26" s="436">
        <f t="shared" si="22"/>
        <v>639.64696249999986</v>
      </c>
      <c r="AN26" s="436">
        <f t="shared" si="22"/>
        <v>688.85057499999994</v>
      </c>
      <c r="AO26" s="436">
        <f t="shared" si="23"/>
        <v>738.0541874999999</v>
      </c>
      <c r="AP26" s="436">
        <f t="shared" si="23"/>
        <v>789.22594449999985</v>
      </c>
      <c r="AQ26" s="436">
        <f t="shared" si="23"/>
        <v>836.46141249999982</v>
      </c>
      <c r="AR26" s="436">
        <f t="shared" si="23"/>
        <v>885.66502499999979</v>
      </c>
      <c r="AS26" s="436">
        <f t="shared" si="23"/>
        <v>934.86863749999986</v>
      </c>
      <c r="AT26" s="436">
        <f t="shared" si="23"/>
        <v>984.07224999999983</v>
      </c>
      <c r="AU26" s="436">
        <f t="shared" si="23"/>
        <v>1033.2758624999999</v>
      </c>
      <c r="AV26" s="436">
        <f t="shared" si="23"/>
        <v>1082.4794749999999</v>
      </c>
      <c r="AW26" s="436">
        <f t="shared" si="23"/>
        <v>1131.6830874999998</v>
      </c>
      <c r="AX26" s="436">
        <f t="shared" si="23"/>
        <v>1180.8866999999998</v>
      </c>
      <c r="AY26" s="436">
        <f t="shared" si="24"/>
        <v>1279.2939249999997</v>
      </c>
      <c r="AZ26" s="436">
        <f t="shared" si="24"/>
        <v>1377.7011499999999</v>
      </c>
      <c r="BA26" s="436">
        <f t="shared" si="24"/>
        <v>1476.1083749999998</v>
      </c>
      <c r="BB26" s="436">
        <f t="shared" si="24"/>
        <v>1574.5155999999997</v>
      </c>
      <c r="BC26" s="436">
        <f t="shared" si="24"/>
        <v>1672.9228249999996</v>
      </c>
      <c r="BD26" s="436">
        <f t="shared" si="24"/>
        <v>1771.3300499999996</v>
      </c>
      <c r="BE26" s="436">
        <f t="shared" si="24"/>
        <v>1869.7372749999997</v>
      </c>
      <c r="BF26" s="436">
        <f t="shared" si="24"/>
        <v>1968.1444999999997</v>
      </c>
      <c r="BG26" s="436">
        <f t="shared" si="24"/>
        <v>2164.9589499999997</v>
      </c>
      <c r="BH26" s="436">
        <f t="shared" si="24"/>
        <v>2361.7733999999996</v>
      </c>
      <c r="BI26" s="436">
        <f t="shared" si="25"/>
        <v>2460.1806249999995</v>
      </c>
      <c r="BJ26" s="436">
        <f t="shared" si="25"/>
        <v>2558.5878499999994</v>
      </c>
      <c r="BK26" s="436">
        <f t="shared" si="25"/>
        <v>2755.4022999999997</v>
      </c>
      <c r="BL26" s="436">
        <f t="shared" si="25"/>
        <v>2952.2167499999996</v>
      </c>
      <c r="BM26" s="436">
        <f t="shared" si="25"/>
        <v>3149.0311999999994</v>
      </c>
      <c r="BN26" s="436">
        <f t="shared" si="25"/>
        <v>3345.8456499999993</v>
      </c>
      <c r="BO26" s="436">
        <f t="shared" si="25"/>
        <v>3444.2528749999992</v>
      </c>
      <c r="BP26" s="436">
        <f t="shared" si="25"/>
        <v>3542.6600999999991</v>
      </c>
      <c r="BQ26" s="436">
        <f t="shared" si="25"/>
        <v>3739.4745499999995</v>
      </c>
      <c r="BR26" s="436">
        <f t="shared" si="25"/>
        <v>3936.2889999999993</v>
      </c>
      <c r="BS26" s="436">
        <f t="shared" si="26"/>
        <v>4428.3251249999994</v>
      </c>
      <c r="BT26" s="436">
        <f t="shared" si="26"/>
        <v>4920.361249999999</v>
      </c>
      <c r="BU26" s="436">
        <f t="shared" si="26"/>
        <v>5412.3973749999986</v>
      </c>
      <c r="BV26" s="436">
        <f t="shared" si="26"/>
        <v>5904.4334999999992</v>
      </c>
      <c r="BW26" s="436">
        <f t="shared" si="26"/>
        <v>6888.5057499999984</v>
      </c>
      <c r="BX26" s="436">
        <f t="shared" si="26"/>
        <v>7872.5779999999986</v>
      </c>
      <c r="BY26" s="436">
        <f t="shared" si="26"/>
        <v>8856.6502499999988</v>
      </c>
      <c r="BZ26" s="436">
        <f t="shared" si="26"/>
        <v>9840.722499999998</v>
      </c>
      <c r="CA26" s="436">
        <f t="shared" si="26"/>
        <v>10824.794749999997</v>
      </c>
      <c r="CB26" s="436">
        <f t="shared" si="26"/>
        <v>11808.866999999998</v>
      </c>
      <c r="CC26" s="436">
        <f t="shared" si="26"/>
        <v>13777.011499999997</v>
      </c>
      <c r="CD26" s="436">
        <f t="shared" si="26"/>
        <v>15745.155999999997</v>
      </c>
      <c r="CE26" s="436">
        <f t="shared" si="26"/>
        <v>17713.300499999998</v>
      </c>
      <c r="CF26" s="436">
        <f t="shared" si="26"/>
        <v>19681.444999999996</v>
      </c>
      <c r="CG26" s="436" cm="1">
        <f t="array" ref="CG26">IF($M627=0, Vide, $M627)</f>
        <v>196.81444999999997</v>
      </c>
      <c r="CH26" s="435" t="s">
        <v>762</v>
      </c>
      <c r="CI26" s="435" t="s">
        <v>762</v>
      </c>
      <c r="CJ26" s="435" t="s">
        <v>762</v>
      </c>
      <c r="CK26" s="435" t="s">
        <v>762</v>
      </c>
      <c r="CL26" s="435" t="s">
        <v>762</v>
      </c>
    </row>
    <row r="27" spans="1:90" s="437" customFormat="1">
      <c r="A27" s="435" t="s">
        <v>535</v>
      </c>
      <c r="B27" s="435" t="s">
        <v>90</v>
      </c>
      <c r="C27" s="436" t="s">
        <v>762</v>
      </c>
      <c r="D27" s="436" t="s">
        <v>762</v>
      </c>
      <c r="E27" s="436" t="s">
        <v>762</v>
      </c>
      <c r="F27" s="436" t="s">
        <v>762</v>
      </c>
      <c r="G27" s="436" t="s">
        <v>762</v>
      </c>
      <c r="H27" s="436" t="s">
        <v>762</v>
      </c>
      <c r="I27" s="436" t="s">
        <v>762</v>
      </c>
      <c r="J27" s="436" t="s">
        <v>762</v>
      </c>
      <c r="K27" s="436" t="s">
        <v>762</v>
      </c>
      <c r="L27" s="436" t="s">
        <v>762</v>
      </c>
      <c r="M27" s="436" t="s">
        <v>762</v>
      </c>
      <c r="N27" s="436" t="s">
        <v>762</v>
      </c>
      <c r="O27" s="436" t="s">
        <v>762</v>
      </c>
      <c r="P27" s="436" t="s">
        <v>762</v>
      </c>
      <c r="Q27" s="436" t="s">
        <v>762</v>
      </c>
      <c r="R27" s="436" t="s">
        <v>762</v>
      </c>
      <c r="S27" s="436" t="s">
        <v>762</v>
      </c>
      <c r="T27" s="436" t="s">
        <v>762</v>
      </c>
      <c r="U27" s="436" t="s">
        <v>762</v>
      </c>
      <c r="V27" s="436" t="s">
        <v>762</v>
      </c>
      <c r="W27" s="436" t="s">
        <v>762</v>
      </c>
      <c r="X27" s="436" t="s">
        <v>762</v>
      </c>
      <c r="Y27" s="436" t="s">
        <v>762</v>
      </c>
      <c r="Z27" s="436" t="s">
        <v>762</v>
      </c>
      <c r="AA27" s="436" t="s">
        <v>762</v>
      </c>
      <c r="AB27" s="436" t="s">
        <v>762</v>
      </c>
      <c r="AC27" s="436" t="s">
        <v>762</v>
      </c>
      <c r="AD27" s="436" t="s">
        <v>762</v>
      </c>
      <c r="AE27" s="436" t="s">
        <v>762</v>
      </c>
      <c r="AF27" s="436" t="s">
        <v>762</v>
      </c>
      <c r="AG27" s="436" t="s">
        <v>762</v>
      </c>
      <c r="AH27" s="436" t="s">
        <v>762</v>
      </c>
      <c r="AI27" s="436" t="s">
        <v>762</v>
      </c>
      <c r="AJ27" s="436" t="s">
        <v>762</v>
      </c>
      <c r="AK27" s="436" t="s">
        <v>762</v>
      </c>
      <c r="AL27" s="436" t="s">
        <v>762</v>
      </c>
      <c r="AM27" s="436" t="s">
        <v>762</v>
      </c>
      <c r="AN27" s="436" t="s">
        <v>762</v>
      </c>
      <c r="AO27" s="436" t="s">
        <v>762</v>
      </c>
      <c r="AP27" s="436" t="s">
        <v>762</v>
      </c>
      <c r="AQ27" s="436" t="s">
        <v>762</v>
      </c>
      <c r="AR27" s="436" t="s">
        <v>762</v>
      </c>
      <c r="AS27" s="436" t="s">
        <v>762</v>
      </c>
      <c r="AT27" s="436" t="s">
        <v>762</v>
      </c>
      <c r="AU27" s="436" t="s">
        <v>762</v>
      </c>
      <c r="AV27" s="436" t="s">
        <v>762</v>
      </c>
      <c r="AW27" s="436" t="s">
        <v>762</v>
      </c>
      <c r="AX27" s="436" t="s">
        <v>762</v>
      </c>
      <c r="AY27" s="436" t="s">
        <v>762</v>
      </c>
      <c r="AZ27" s="436" t="s">
        <v>762</v>
      </c>
      <c r="BA27" s="436" t="s">
        <v>762</v>
      </c>
      <c r="BB27" s="436" t="s">
        <v>762</v>
      </c>
      <c r="BC27" s="436" t="s">
        <v>762</v>
      </c>
      <c r="BD27" s="436" t="s">
        <v>762</v>
      </c>
      <c r="BE27" s="436" t="s">
        <v>762</v>
      </c>
      <c r="BF27" s="436" t="s">
        <v>762</v>
      </c>
      <c r="BG27" s="436" t="s">
        <v>762</v>
      </c>
      <c r="BH27" s="436" t="s">
        <v>762</v>
      </c>
      <c r="BI27" s="436" t="s">
        <v>762</v>
      </c>
      <c r="BJ27" s="436" t="s">
        <v>762</v>
      </c>
      <c r="BK27" s="436" t="s">
        <v>762</v>
      </c>
      <c r="BL27" s="436" t="s">
        <v>762</v>
      </c>
      <c r="BM27" s="436" t="s">
        <v>762</v>
      </c>
      <c r="BN27" s="436" t="s">
        <v>762</v>
      </c>
      <c r="BO27" s="436" t="s">
        <v>762</v>
      </c>
      <c r="BP27" s="436" t="s">
        <v>762</v>
      </c>
      <c r="BQ27" s="436" t="s">
        <v>762</v>
      </c>
      <c r="BR27" s="436" t="s">
        <v>762</v>
      </c>
      <c r="BS27" s="436" t="s">
        <v>762</v>
      </c>
      <c r="BT27" s="436" t="s">
        <v>762</v>
      </c>
      <c r="BU27" s="436" t="s">
        <v>762</v>
      </c>
      <c r="BV27" s="436" t="s">
        <v>762</v>
      </c>
      <c r="BW27" s="436" t="s">
        <v>762</v>
      </c>
      <c r="BX27" s="436" t="s">
        <v>762</v>
      </c>
      <c r="BY27" s="436" t="s">
        <v>762</v>
      </c>
      <c r="BZ27" s="436" t="s">
        <v>762</v>
      </c>
      <c r="CA27" s="436" t="s">
        <v>762</v>
      </c>
      <c r="CB27" s="436" t="s">
        <v>762</v>
      </c>
      <c r="CC27" s="436" t="s">
        <v>762</v>
      </c>
      <c r="CD27" s="436" t="s">
        <v>762</v>
      </c>
      <c r="CE27" s="436" t="s">
        <v>762</v>
      </c>
      <c r="CF27" s="436" t="s">
        <v>762</v>
      </c>
      <c r="CG27" s="436" t="s">
        <v>762</v>
      </c>
      <c r="CH27" s="436" t="s">
        <v>762</v>
      </c>
      <c r="CI27" s="436" t="s">
        <v>762</v>
      </c>
      <c r="CJ27" s="436" t="s">
        <v>762</v>
      </c>
      <c r="CK27" s="436" t="s">
        <v>762</v>
      </c>
      <c r="CL27" s="436" t="s">
        <v>762</v>
      </c>
    </row>
    <row r="28" spans="1:90" s="437" customFormat="1">
      <c r="A28" s="435" t="s">
        <v>536</v>
      </c>
      <c r="B28" s="435" t="s">
        <v>90</v>
      </c>
      <c r="C28" s="436" cm="1">
        <f t="array" ref="C28">IF($B629=0, Vide, $B629)</f>
        <v>40.203999999999986</v>
      </c>
      <c r="D28" s="436" cm="1">
        <f t="array" ref="D28">IF($B629=0, Vide, $B629)</f>
        <v>40.203999999999986</v>
      </c>
      <c r="E28" s="436" cm="1">
        <f t="array" ref="E28">IF($B629=0, Vide, $B629)</f>
        <v>40.203999999999986</v>
      </c>
      <c r="F28" s="436" cm="1">
        <f t="array" ref="F28">IF($B629=0, Vide, $B629)</f>
        <v>40.203999999999986</v>
      </c>
      <c r="G28" s="436" cm="1">
        <f t="array" ref="G28">IF($B629=0, Vide, $B629)</f>
        <v>40.203999999999986</v>
      </c>
      <c r="H28" s="436" cm="1">
        <f t="array" ref="H28">IF($C629=0, Vide, $C629)</f>
        <v>47.477749999999993</v>
      </c>
      <c r="I28" s="436" cm="1">
        <f t="array" ref="I28">IF($C629=0, Vide, $C629)</f>
        <v>47.477749999999993</v>
      </c>
      <c r="J28" s="436" cm="1">
        <f t="array" ref="J28">IF($C629=0, Vide, $C629)</f>
        <v>47.477749999999993</v>
      </c>
      <c r="K28" s="436" cm="1">
        <f t="array" ref="K28">IF($C629=0, Vide, $C629)</f>
        <v>47.477749999999993</v>
      </c>
      <c r="L28" s="436" cm="1">
        <f t="array" ref="L28">IF($C629=0, Vide, $C629)</f>
        <v>47.477749999999993</v>
      </c>
      <c r="M28" s="436" t="s">
        <v>762</v>
      </c>
      <c r="N28" s="436" t="s">
        <v>762</v>
      </c>
      <c r="O28" s="436" t="s">
        <v>762</v>
      </c>
      <c r="P28" s="436" t="s">
        <v>762</v>
      </c>
      <c r="Q28" s="436" t="s">
        <v>762</v>
      </c>
      <c r="R28" s="436" t="s">
        <v>762</v>
      </c>
      <c r="S28" s="436" t="s">
        <v>762</v>
      </c>
      <c r="T28" s="436" t="s">
        <v>762</v>
      </c>
      <c r="U28" s="436" t="s">
        <v>762</v>
      </c>
      <c r="V28" s="436" cm="1">
        <f t="array" ref="V28">IF($D629=0, Vide, $D629)</f>
        <v>63.215499999999984</v>
      </c>
      <c r="W28" s="436" cm="1">
        <f t="array" ref="W28">IF($E629=0, Vide, $E629)</f>
        <v>75.871824999999987</v>
      </c>
      <c r="X28" s="436" cm="1">
        <f t="array" ref="X28">IF($F629=0, Vide, $F629)</f>
        <v>91.71537499999998</v>
      </c>
      <c r="Y28" s="436" cm="1">
        <f t="array" ref="Y28">IF($G629=0, Vide, $G629)</f>
        <v>107.50602499999999</v>
      </c>
      <c r="Z28" s="436" cm="1">
        <f t="array" ref="Z28">IF($H629=0, Vide, $H629)</f>
        <v>123.56117499999999</v>
      </c>
      <c r="AA28" s="436" cm="1">
        <f t="array" ref="AA28">IF($I629=0, Vide, $I629)</f>
        <v>140.2379</v>
      </c>
      <c r="AB28" s="436" cm="1">
        <f t="array" ref="AB28">IF($J629=0, Vide, $J629)</f>
        <v>157.16589999999999</v>
      </c>
      <c r="AC28" s="436" cm="1">
        <f t="array" ref="AC28">IF($K629=0, Vide, $K629)</f>
        <v>174.12034999999997</v>
      </c>
      <c r="AD28" s="436" cm="1">
        <f t="array" ref="AD28">IF($L629=0, Vide, $L629)</f>
        <v>196.81444999999997</v>
      </c>
      <c r="AE28" s="436">
        <f t="shared" ref="AE28:AN29" si="27">(AE$1/100)*$CG28</f>
        <v>216.49589499999999</v>
      </c>
      <c r="AF28" s="436">
        <f t="shared" si="27"/>
        <v>246.01806249999996</v>
      </c>
      <c r="AG28" s="436">
        <f t="shared" si="27"/>
        <v>295.22167499999995</v>
      </c>
      <c r="AH28" s="436">
        <f t="shared" si="27"/>
        <v>344.42528749999997</v>
      </c>
      <c r="AI28" s="436">
        <f t="shared" si="27"/>
        <v>395.59704449999987</v>
      </c>
      <c r="AJ28" s="436">
        <f t="shared" si="27"/>
        <v>442.83251249999989</v>
      </c>
      <c r="AK28" s="436">
        <f t="shared" si="27"/>
        <v>492.03612499999991</v>
      </c>
      <c r="AL28" s="436">
        <f t="shared" si="27"/>
        <v>592.41149449999989</v>
      </c>
      <c r="AM28" s="436">
        <f t="shared" si="27"/>
        <v>639.64696249999986</v>
      </c>
      <c r="AN28" s="436">
        <f t="shared" si="27"/>
        <v>688.85057499999994</v>
      </c>
      <c r="AO28" s="436">
        <f t="shared" ref="AO28:AX29" si="28">(AO$1/100)*$CG28</f>
        <v>738.0541874999999</v>
      </c>
      <c r="AP28" s="436">
        <f t="shared" si="28"/>
        <v>789.22594449999985</v>
      </c>
      <c r="AQ28" s="436">
        <f t="shared" si="28"/>
        <v>836.46141249999982</v>
      </c>
      <c r="AR28" s="436">
        <f t="shared" si="28"/>
        <v>885.66502499999979</v>
      </c>
      <c r="AS28" s="436">
        <f t="shared" si="28"/>
        <v>934.86863749999986</v>
      </c>
      <c r="AT28" s="436">
        <f t="shared" si="28"/>
        <v>984.07224999999983</v>
      </c>
      <c r="AU28" s="436">
        <f t="shared" si="28"/>
        <v>1033.2758624999999</v>
      </c>
      <c r="AV28" s="436">
        <f t="shared" si="28"/>
        <v>1082.4794749999999</v>
      </c>
      <c r="AW28" s="436">
        <f t="shared" si="28"/>
        <v>1131.6830874999998</v>
      </c>
      <c r="AX28" s="436">
        <f t="shared" si="28"/>
        <v>1180.8866999999998</v>
      </c>
      <c r="AY28" s="436">
        <f t="shared" ref="AY28:BH29" si="29">(AY$1/100)*$CG28</f>
        <v>1279.2939249999997</v>
      </c>
      <c r="AZ28" s="436">
        <f t="shared" si="29"/>
        <v>1377.7011499999999</v>
      </c>
      <c r="BA28" s="436">
        <f t="shared" si="29"/>
        <v>1476.1083749999998</v>
      </c>
      <c r="BB28" s="436">
        <f t="shared" si="29"/>
        <v>1574.5155999999997</v>
      </c>
      <c r="BC28" s="436">
        <f t="shared" si="29"/>
        <v>1672.9228249999996</v>
      </c>
      <c r="BD28" s="436">
        <f t="shared" si="29"/>
        <v>1771.3300499999996</v>
      </c>
      <c r="BE28" s="436">
        <f t="shared" si="29"/>
        <v>1869.7372749999997</v>
      </c>
      <c r="BF28" s="436">
        <f t="shared" si="29"/>
        <v>1968.1444999999997</v>
      </c>
      <c r="BG28" s="436">
        <f t="shared" si="29"/>
        <v>2164.9589499999997</v>
      </c>
      <c r="BH28" s="436">
        <f t="shared" si="29"/>
        <v>2361.7733999999996</v>
      </c>
      <c r="BI28" s="436">
        <f t="shared" ref="BI28:BR29" si="30">(BI$1/100)*$CG28</f>
        <v>2460.1806249999995</v>
      </c>
      <c r="BJ28" s="436">
        <f t="shared" si="30"/>
        <v>2558.5878499999994</v>
      </c>
      <c r="BK28" s="436">
        <f t="shared" si="30"/>
        <v>2755.4022999999997</v>
      </c>
      <c r="BL28" s="436">
        <f t="shared" si="30"/>
        <v>2952.2167499999996</v>
      </c>
      <c r="BM28" s="436">
        <f t="shared" si="30"/>
        <v>3149.0311999999994</v>
      </c>
      <c r="BN28" s="436">
        <f t="shared" si="30"/>
        <v>3345.8456499999993</v>
      </c>
      <c r="BO28" s="436">
        <f t="shared" si="30"/>
        <v>3444.2528749999992</v>
      </c>
      <c r="BP28" s="436">
        <f t="shared" si="30"/>
        <v>3542.6600999999991</v>
      </c>
      <c r="BQ28" s="436">
        <f t="shared" si="30"/>
        <v>3739.4745499999995</v>
      </c>
      <c r="BR28" s="436">
        <f t="shared" si="30"/>
        <v>3936.2889999999993</v>
      </c>
      <c r="BS28" s="436">
        <f t="shared" ref="BS28:CF29" si="31">(BS$1/100)*$CG28</f>
        <v>4428.3251249999994</v>
      </c>
      <c r="BT28" s="436">
        <f t="shared" si="31"/>
        <v>4920.361249999999</v>
      </c>
      <c r="BU28" s="436">
        <f t="shared" si="31"/>
        <v>5412.3973749999986</v>
      </c>
      <c r="BV28" s="436">
        <f t="shared" si="31"/>
        <v>5904.4334999999992</v>
      </c>
      <c r="BW28" s="436">
        <f t="shared" si="31"/>
        <v>6888.5057499999984</v>
      </c>
      <c r="BX28" s="436">
        <f t="shared" si="31"/>
        <v>7872.5779999999986</v>
      </c>
      <c r="BY28" s="436">
        <f t="shared" si="31"/>
        <v>8856.6502499999988</v>
      </c>
      <c r="BZ28" s="436">
        <f t="shared" si="31"/>
        <v>9840.722499999998</v>
      </c>
      <c r="CA28" s="436">
        <f t="shared" si="31"/>
        <v>10824.794749999997</v>
      </c>
      <c r="CB28" s="436">
        <f t="shared" si="31"/>
        <v>11808.866999999998</v>
      </c>
      <c r="CC28" s="436">
        <f t="shared" si="31"/>
        <v>13777.011499999997</v>
      </c>
      <c r="CD28" s="436">
        <f t="shared" si="31"/>
        <v>15745.155999999997</v>
      </c>
      <c r="CE28" s="436">
        <f t="shared" si="31"/>
        <v>17713.300499999998</v>
      </c>
      <c r="CF28" s="436">
        <f t="shared" si="31"/>
        <v>19681.444999999996</v>
      </c>
      <c r="CG28" s="436" cm="1">
        <f t="array" ref="CG28">IF($M629=0, Vide, $M629)</f>
        <v>196.81444999999997</v>
      </c>
      <c r="CH28" s="435" t="s">
        <v>762</v>
      </c>
      <c r="CI28" s="435" t="s">
        <v>762</v>
      </c>
      <c r="CJ28" s="435" t="s">
        <v>762</v>
      </c>
      <c r="CK28" s="435" t="s">
        <v>762</v>
      </c>
      <c r="CL28" s="435" t="s">
        <v>762</v>
      </c>
    </row>
    <row r="29" spans="1:90" s="437" customFormat="1">
      <c r="A29" s="435" t="s">
        <v>537</v>
      </c>
      <c r="B29" s="435" t="s">
        <v>90</v>
      </c>
      <c r="C29" s="436" cm="1">
        <f t="array" ref="C29">IF($B630=0, Vide, $B630)</f>
        <v>34.239524999999993</v>
      </c>
      <c r="D29" s="436" cm="1">
        <f t="array" ref="D29">IF($B630=0, Vide, $B630)</f>
        <v>34.239524999999993</v>
      </c>
      <c r="E29" s="436" cm="1">
        <f t="array" ref="E29">IF($B630=0, Vide, $B630)</f>
        <v>34.239524999999993</v>
      </c>
      <c r="F29" s="436" cm="1">
        <f t="array" ref="F29">IF($B630=0, Vide, $B630)</f>
        <v>34.239524999999993</v>
      </c>
      <c r="G29" s="436" cm="1">
        <f t="array" ref="G29">IF($B630=0, Vide, $B630)</f>
        <v>34.239524999999993</v>
      </c>
      <c r="H29" s="436" cm="1">
        <f t="array" ref="H29">IF($C630=0, Vide, $C630)</f>
        <v>36.500999999999998</v>
      </c>
      <c r="I29" s="436" cm="1">
        <f t="array" ref="I29">IF($C630=0, Vide, $C630)</f>
        <v>36.500999999999998</v>
      </c>
      <c r="J29" s="436" cm="1">
        <f t="array" ref="J29">IF($C630=0, Vide, $C630)</f>
        <v>36.500999999999998</v>
      </c>
      <c r="K29" s="436" cm="1">
        <f t="array" ref="K29">IF($C630=0, Vide, $C630)</f>
        <v>36.500999999999998</v>
      </c>
      <c r="L29" s="436" cm="1">
        <f t="array" ref="L29">IF($C630=0, Vide, $C630)</f>
        <v>36.500999999999998</v>
      </c>
      <c r="M29" s="436" t="s">
        <v>762</v>
      </c>
      <c r="N29" s="436" t="s">
        <v>762</v>
      </c>
      <c r="O29" s="436" t="s">
        <v>762</v>
      </c>
      <c r="P29" s="436" t="s">
        <v>762</v>
      </c>
      <c r="Q29" s="436" t="s">
        <v>762</v>
      </c>
      <c r="R29" s="436" t="s">
        <v>762</v>
      </c>
      <c r="S29" s="436" t="s">
        <v>762</v>
      </c>
      <c r="T29" s="436" t="s">
        <v>762</v>
      </c>
      <c r="U29" s="436" t="s">
        <v>762</v>
      </c>
      <c r="V29" s="436" cm="1">
        <f t="array" ref="V29">IF($D630=0, Vide, $D630)</f>
        <v>40.534624999999991</v>
      </c>
      <c r="W29" s="436" cm="1">
        <f t="array" ref="W29">IF($E630=0, Vide, $E630)</f>
        <v>44.303749999999994</v>
      </c>
      <c r="X29" s="436" cm="1">
        <f t="array" ref="X29">IF($F630=0, Vide, $F630)</f>
        <v>48.601874999999993</v>
      </c>
      <c r="Y29" s="436" cm="1">
        <f t="array" ref="Y29">IF($G630=0, Vide, $G630)</f>
        <v>52.860324999999996</v>
      </c>
      <c r="Z29" s="436" cm="1">
        <f t="array" ref="Z29">IF($H630=0, Vide, $H630)</f>
        <v>57.211349999999989</v>
      </c>
      <c r="AA29" s="436" cm="1">
        <f t="array" ref="AA29">IF($I630=0, Vide, $I630)</f>
        <v>61.535924999999992</v>
      </c>
      <c r="AB29" s="436" cm="1">
        <f t="array" ref="AB29">IF($J630=0, Vide, $J630)</f>
        <v>68.426149999999993</v>
      </c>
      <c r="AC29" s="436" cm="1">
        <f t="array" ref="AC29">IF($K630=0, Vide, $K630)</f>
        <v>75.012199999999993</v>
      </c>
      <c r="AD29" s="436" cm="1">
        <f t="array" ref="AD29">IF($L630=0, Vide, $L630)</f>
        <v>79.349999999999994</v>
      </c>
      <c r="AE29" s="436">
        <f t="shared" si="27"/>
        <v>87.284999999999997</v>
      </c>
      <c r="AF29" s="436">
        <f t="shared" si="27"/>
        <v>99.1875</v>
      </c>
      <c r="AG29" s="436">
        <f t="shared" si="27"/>
        <v>119.02499999999999</v>
      </c>
      <c r="AH29" s="436">
        <f t="shared" si="27"/>
        <v>138.86249999999998</v>
      </c>
      <c r="AI29" s="436">
        <f t="shared" si="27"/>
        <v>159.49349999999998</v>
      </c>
      <c r="AJ29" s="436">
        <f t="shared" si="27"/>
        <v>178.53749999999999</v>
      </c>
      <c r="AK29" s="436">
        <f t="shared" si="27"/>
        <v>198.375</v>
      </c>
      <c r="AL29" s="436">
        <f t="shared" si="27"/>
        <v>238.84349999999998</v>
      </c>
      <c r="AM29" s="436">
        <f t="shared" si="27"/>
        <v>257.88749999999999</v>
      </c>
      <c r="AN29" s="436">
        <f t="shared" si="27"/>
        <v>277.72499999999997</v>
      </c>
      <c r="AO29" s="436">
        <f t="shared" si="28"/>
        <v>297.5625</v>
      </c>
      <c r="AP29" s="436">
        <f t="shared" si="28"/>
        <v>318.19349999999997</v>
      </c>
      <c r="AQ29" s="436">
        <f t="shared" si="28"/>
        <v>337.23749999999995</v>
      </c>
      <c r="AR29" s="436">
        <f t="shared" si="28"/>
        <v>357.07499999999999</v>
      </c>
      <c r="AS29" s="436">
        <f t="shared" si="28"/>
        <v>376.91249999999997</v>
      </c>
      <c r="AT29" s="436">
        <f t="shared" si="28"/>
        <v>396.75</v>
      </c>
      <c r="AU29" s="436">
        <f t="shared" si="28"/>
        <v>416.58749999999998</v>
      </c>
      <c r="AV29" s="436">
        <f t="shared" si="28"/>
        <v>436.42499999999995</v>
      </c>
      <c r="AW29" s="436">
        <f t="shared" si="28"/>
        <v>456.26249999999999</v>
      </c>
      <c r="AX29" s="436">
        <f t="shared" si="28"/>
        <v>476.09999999999997</v>
      </c>
      <c r="AY29" s="436">
        <f t="shared" si="29"/>
        <v>515.77499999999998</v>
      </c>
      <c r="AZ29" s="436">
        <f t="shared" si="29"/>
        <v>555.44999999999993</v>
      </c>
      <c r="BA29" s="436">
        <f t="shared" si="29"/>
        <v>595.125</v>
      </c>
      <c r="BB29" s="436">
        <f t="shared" si="29"/>
        <v>634.79999999999995</v>
      </c>
      <c r="BC29" s="436">
        <f t="shared" si="29"/>
        <v>674.47499999999991</v>
      </c>
      <c r="BD29" s="436">
        <f t="shared" si="29"/>
        <v>714.15</v>
      </c>
      <c r="BE29" s="436">
        <f t="shared" si="29"/>
        <v>753.82499999999993</v>
      </c>
      <c r="BF29" s="436">
        <f t="shared" si="29"/>
        <v>793.5</v>
      </c>
      <c r="BG29" s="436">
        <f t="shared" si="29"/>
        <v>872.84999999999991</v>
      </c>
      <c r="BH29" s="436">
        <f t="shared" si="29"/>
        <v>952.19999999999993</v>
      </c>
      <c r="BI29" s="436">
        <f t="shared" si="30"/>
        <v>991.87499999999989</v>
      </c>
      <c r="BJ29" s="436">
        <f t="shared" si="30"/>
        <v>1031.55</v>
      </c>
      <c r="BK29" s="436">
        <f t="shared" si="30"/>
        <v>1110.8999999999999</v>
      </c>
      <c r="BL29" s="436">
        <f t="shared" si="30"/>
        <v>1190.25</v>
      </c>
      <c r="BM29" s="436">
        <f t="shared" si="30"/>
        <v>1269.5999999999999</v>
      </c>
      <c r="BN29" s="436">
        <f t="shared" si="30"/>
        <v>1348.9499999999998</v>
      </c>
      <c r="BO29" s="436">
        <f t="shared" si="30"/>
        <v>1388.625</v>
      </c>
      <c r="BP29" s="436">
        <f t="shared" si="30"/>
        <v>1428.3</v>
      </c>
      <c r="BQ29" s="436">
        <f t="shared" si="30"/>
        <v>1507.6499999999999</v>
      </c>
      <c r="BR29" s="436">
        <f t="shared" si="30"/>
        <v>1587</v>
      </c>
      <c r="BS29" s="436">
        <f t="shared" si="31"/>
        <v>1785.3749999999998</v>
      </c>
      <c r="BT29" s="436">
        <f t="shared" si="31"/>
        <v>1983.7499999999998</v>
      </c>
      <c r="BU29" s="436">
        <f t="shared" si="31"/>
        <v>2182.125</v>
      </c>
      <c r="BV29" s="436">
        <f t="shared" si="31"/>
        <v>2380.5</v>
      </c>
      <c r="BW29" s="436">
        <f t="shared" si="31"/>
        <v>2777.25</v>
      </c>
      <c r="BX29" s="436">
        <f t="shared" si="31"/>
        <v>3174</v>
      </c>
      <c r="BY29" s="436">
        <f t="shared" si="31"/>
        <v>3570.7499999999995</v>
      </c>
      <c r="BZ29" s="436">
        <f t="shared" si="31"/>
        <v>3967.4999999999995</v>
      </c>
      <c r="CA29" s="436">
        <f t="shared" si="31"/>
        <v>4364.25</v>
      </c>
      <c r="CB29" s="436">
        <f t="shared" si="31"/>
        <v>4761</v>
      </c>
      <c r="CC29" s="436">
        <f t="shared" si="31"/>
        <v>5554.5</v>
      </c>
      <c r="CD29" s="436">
        <f t="shared" si="31"/>
        <v>6348</v>
      </c>
      <c r="CE29" s="436">
        <f t="shared" si="31"/>
        <v>7141.4999999999991</v>
      </c>
      <c r="CF29" s="436">
        <f t="shared" si="31"/>
        <v>7934.9999999999991</v>
      </c>
      <c r="CG29" s="436" cm="1">
        <f t="array" ref="CG29">IF($M630=0, Vide, $M630)</f>
        <v>79.349999999999994</v>
      </c>
      <c r="CH29" s="435" t="s">
        <v>762</v>
      </c>
      <c r="CI29" s="435" t="s">
        <v>762</v>
      </c>
      <c r="CJ29" s="435" t="s">
        <v>762</v>
      </c>
      <c r="CK29" s="435" t="s">
        <v>762</v>
      </c>
      <c r="CL29" s="435" t="s">
        <v>762</v>
      </c>
    </row>
    <row r="30" spans="1:90" s="437" customFormat="1">
      <c r="A30" s="435" t="s">
        <v>538</v>
      </c>
      <c r="B30" s="435" t="s">
        <v>90</v>
      </c>
      <c r="C30" s="436" t="s">
        <v>762</v>
      </c>
      <c r="D30" s="436" t="s">
        <v>762</v>
      </c>
      <c r="E30" s="436" t="s">
        <v>762</v>
      </c>
      <c r="F30" s="436" t="s">
        <v>762</v>
      </c>
      <c r="G30" s="436" t="s">
        <v>762</v>
      </c>
      <c r="H30" s="436" t="s">
        <v>762</v>
      </c>
      <c r="I30" s="436" t="s">
        <v>762</v>
      </c>
      <c r="J30" s="436" t="s">
        <v>762</v>
      </c>
      <c r="K30" s="436" t="s">
        <v>762</v>
      </c>
      <c r="L30" s="436" t="s">
        <v>762</v>
      </c>
      <c r="M30" s="436" t="s">
        <v>762</v>
      </c>
      <c r="N30" s="436" t="s">
        <v>762</v>
      </c>
      <c r="O30" s="436" t="s">
        <v>762</v>
      </c>
      <c r="P30" s="436" t="s">
        <v>762</v>
      </c>
      <c r="Q30" s="436" t="s">
        <v>762</v>
      </c>
      <c r="R30" s="436" t="s">
        <v>762</v>
      </c>
      <c r="S30" s="436" t="s">
        <v>762</v>
      </c>
      <c r="T30" s="436" t="s">
        <v>762</v>
      </c>
      <c r="U30" s="436" t="s">
        <v>762</v>
      </c>
      <c r="V30" s="436" t="s">
        <v>762</v>
      </c>
      <c r="W30" s="436" t="s">
        <v>762</v>
      </c>
      <c r="X30" s="436" t="s">
        <v>762</v>
      </c>
      <c r="Y30" s="436" t="s">
        <v>762</v>
      </c>
      <c r="Z30" s="436" t="s">
        <v>762</v>
      </c>
      <c r="AA30" s="436" t="s">
        <v>762</v>
      </c>
      <c r="AB30" s="436" t="s">
        <v>762</v>
      </c>
      <c r="AC30" s="436" t="s">
        <v>762</v>
      </c>
      <c r="AD30" s="436" t="s">
        <v>762</v>
      </c>
      <c r="AE30" s="436" t="s">
        <v>762</v>
      </c>
      <c r="AF30" s="436" t="s">
        <v>762</v>
      </c>
      <c r="AG30" s="436" t="s">
        <v>762</v>
      </c>
      <c r="AH30" s="436" t="s">
        <v>762</v>
      </c>
      <c r="AI30" s="436" t="s">
        <v>762</v>
      </c>
      <c r="AJ30" s="436" t="s">
        <v>762</v>
      </c>
      <c r="AK30" s="436" t="s">
        <v>762</v>
      </c>
      <c r="AL30" s="436" t="s">
        <v>762</v>
      </c>
      <c r="AM30" s="436" t="s">
        <v>762</v>
      </c>
      <c r="AN30" s="436" t="s">
        <v>762</v>
      </c>
      <c r="AO30" s="436" t="s">
        <v>762</v>
      </c>
      <c r="AP30" s="436" t="s">
        <v>762</v>
      </c>
      <c r="AQ30" s="436" t="s">
        <v>762</v>
      </c>
      <c r="AR30" s="436" t="s">
        <v>762</v>
      </c>
      <c r="AS30" s="436" t="s">
        <v>762</v>
      </c>
      <c r="AT30" s="436" t="s">
        <v>762</v>
      </c>
      <c r="AU30" s="436" t="s">
        <v>762</v>
      </c>
      <c r="AV30" s="436" t="s">
        <v>762</v>
      </c>
      <c r="AW30" s="436" t="s">
        <v>762</v>
      </c>
      <c r="AX30" s="436" t="s">
        <v>762</v>
      </c>
      <c r="AY30" s="436" t="s">
        <v>762</v>
      </c>
      <c r="AZ30" s="436" t="s">
        <v>762</v>
      </c>
      <c r="BA30" s="436" t="s">
        <v>762</v>
      </c>
      <c r="BB30" s="436" t="s">
        <v>762</v>
      </c>
      <c r="BC30" s="436" t="s">
        <v>762</v>
      </c>
      <c r="BD30" s="436" t="s">
        <v>762</v>
      </c>
      <c r="BE30" s="436" t="s">
        <v>762</v>
      </c>
      <c r="BF30" s="436" t="s">
        <v>762</v>
      </c>
      <c r="BG30" s="436" t="s">
        <v>762</v>
      </c>
      <c r="BH30" s="436" t="s">
        <v>762</v>
      </c>
      <c r="BI30" s="436" t="s">
        <v>762</v>
      </c>
      <c r="BJ30" s="436" t="s">
        <v>762</v>
      </c>
      <c r="BK30" s="436" t="s">
        <v>762</v>
      </c>
      <c r="BL30" s="436" t="s">
        <v>762</v>
      </c>
      <c r="BM30" s="436" t="s">
        <v>762</v>
      </c>
      <c r="BN30" s="436" t="s">
        <v>762</v>
      </c>
      <c r="BO30" s="436" t="s">
        <v>762</v>
      </c>
      <c r="BP30" s="436" t="s">
        <v>762</v>
      </c>
      <c r="BQ30" s="436" t="s">
        <v>762</v>
      </c>
      <c r="BR30" s="436" t="s">
        <v>762</v>
      </c>
      <c r="BS30" s="436" t="s">
        <v>762</v>
      </c>
      <c r="BT30" s="436" t="s">
        <v>762</v>
      </c>
      <c r="BU30" s="436" t="s">
        <v>762</v>
      </c>
      <c r="BV30" s="436" t="s">
        <v>762</v>
      </c>
      <c r="BW30" s="436" t="s">
        <v>762</v>
      </c>
      <c r="BX30" s="436" t="s">
        <v>762</v>
      </c>
      <c r="BY30" s="436" t="s">
        <v>762</v>
      </c>
      <c r="BZ30" s="436" t="s">
        <v>762</v>
      </c>
      <c r="CA30" s="436" t="s">
        <v>762</v>
      </c>
      <c r="CB30" s="436" t="s">
        <v>762</v>
      </c>
      <c r="CC30" s="436" t="s">
        <v>762</v>
      </c>
      <c r="CD30" s="436" t="s">
        <v>762</v>
      </c>
      <c r="CE30" s="436" t="s">
        <v>762</v>
      </c>
      <c r="CF30" s="436" t="s">
        <v>762</v>
      </c>
      <c r="CG30" s="436" t="s">
        <v>762</v>
      </c>
      <c r="CH30" s="436" t="s">
        <v>762</v>
      </c>
      <c r="CI30" s="436" t="s">
        <v>762</v>
      </c>
      <c r="CJ30" s="436" t="s">
        <v>762</v>
      </c>
      <c r="CK30" s="436" t="s">
        <v>762</v>
      </c>
      <c r="CL30" s="436" t="s">
        <v>762</v>
      </c>
    </row>
    <row r="31" spans="1:90" s="437" customFormat="1">
      <c r="A31" s="435" t="s">
        <v>539</v>
      </c>
      <c r="B31" s="435" t="s">
        <v>90</v>
      </c>
      <c r="C31" s="436" cm="1">
        <f t="array" ref="C31">IF($B632=0, Vide, $B632)</f>
        <v>40.203999999999986</v>
      </c>
      <c r="D31" s="436" cm="1">
        <f t="array" ref="D31">IF($B632=0, Vide, $B632)</f>
        <v>40.203999999999986</v>
      </c>
      <c r="E31" s="436" cm="1">
        <f t="array" ref="E31">IF($B632=0, Vide, $B632)</f>
        <v>40.203999999999986</v>
      </c>
      <c r="F31" s="436" cm="1">
        <f t="array" ref="F31">IF($B632=0, Vide, $B632)</f>
        <v>40.203999999999986</v>
      </c>
      <c r="G31" s="436" cm="1">
        <f t="array" ref="G31">IF($B632=0, Vide, $B632)</f>
        <v>40.203999999999986</v>
      </c>
      <c r="H31" s="436" cm="1">
        <f t="array" ref="H31">IF($C632=0, Vide, $C632)</f>
        <v>47.477749999999993</v>
      </c>
      <c r="I31" s="436" cm="1">
        <f t="array" ref="I31">IF($C632=0, Vide, $C632)</f>
        <v>47.477749999999993</v>
      </c>
      <c r="J31" s="436" cm="1">
        <f t="array" ref="J31">IF($C632=0, Vide, $C632)</f>
        <v>47.477749999999993</v>
      </c>
      <c r="K31" s="436" cm="1">
        <f t="array" ref="K31">IF($C632=0, Vide, $C632)</f>
        <v>47.477749999999993</v>
      </c>
      <c r="L31" s="436" cm="1">
        <f t="array" ref="L31">IF($C632=0, Vide, $C632)</f>
        <v>47.477749999999993</v>
      </c>
      <c r="M31" s="436" t="s">
        <v>762</v>
      </c>
      <c r="N31" s="436" t="s">
        <v>762</v>
      </c>
      <c r="O31" s="436" t="s">
        <v>762</v>
      </c>
      <c r="P31" s="436" t="s">
        <v>762</v>
      </c>
      <c r="Q31" s="436" t="s">
        <v>762</v>
      </c>
      <c r="R31" s="436" t="s">
        <v>762</v>
      </c>
      <c r="S31" s="436" t="s">
        <v>762</v>
      </c>
      <c r="T31" s="436" t="s">
        <v>762</v>
      </c>
      <c r="U31" s="436" t="s">
        <v>762</v>
      </c>
      <c r="V31" s="436" cm="1">
        <f t="array" ref="V31">IF($D632=0, Vide, $D632)</f>
        <v>63.215499999999984</v>
      </c>
      <c r="W31" s="436" cm="1">
        <f t="array" ref="W31">IF($E632=0, Vide, $E632)</f>
        <v>75.871824999999987</v>
      </c>
      <c r="X31" s="436" cm="1">
        <f t="array" ref="X31">IF($F632=0, Vide, $F632)</f>
        <v>91.71537499999998</v>
      </c>
      <c r="Y31" s="436" cm="1">
        <f t="array" ref="Y31">IF($G632=0, Vide, $G632)</f>
        <v>107.50602499999999</v>
      </c>
      <c r="Z31" s="436" cm="1">
        <f t="array" ref="Z31">IF($H632=0, Vide, $H632)</f>
        <v>123.56117499999999</v>
      </c>
      <c r="AA31" s="436" cm="1">
        <f t="array" ref="AA31">IF($I632=0, Vide, $I632)</f>
        <v>140.2379</v>
      </c>
      <c r="AB31" s="436" cm="1">
        <f t="array" ref="AB31">IF($J632=0, Vide, $J632)</f>
        <v>157.16589999999999</v>
      </c>
      <c r="AC31" s="436" cm="1">
        <f t="array" ref="AC31">IF($K632=0, Vide, $K632)</f>
        <v>174.12034999999997</v>
      </c>
      <c r="AD31" s="436" cm="1">
        <f t="array" ref="AD31">IF($L632=0, Vide, $L632)</f>
        <v>196.81444999999997</v>
      </c>
      <c r="AE31" s="436">
        <f t="shared" ref="AE31:AN37" si="32">(AE$1/100)*$CG31</f>
        <v>216.49589499999999</v>
      </c>
      <c r="AF31" s="436">
        <f t="shared" si="32"/>
        <v>246.01806249999996</v>
      </c>
      <c r="AG31" s="436">
        <f t="shared" si="32"/>
        <v>295.22167499999995</v>
      </c>
      <c r="AH31" s="436">
        <f t="shared" si="32"/>
        <v>344.42528749999997</v>
      </c>
      <c r="AI31" s="436">
        <f t="shared" si="32"/>
        <v>395.59704449999987</v>
      </c>
      <c r="AJ31" s="436">
        <f t="shared" si="32"/>
        <v>442.83251249999989</v>
      </c>
      <c r="AK31" s="436">
        <f t="shared" si="32"/>
        <v>492.03612499999991</v>
      </c>
      <c r="AL31" s="436">
        <f t="shared" si="32"/>
        <v>592.41149449999989</v>
      </c>
      <c r="AM31" s="436">
        <f t="shared" si="32"/>
        <v>639.64696249999986</v>
      </c>
      <c r="AN31" s="436">
        <f t="shared" si="32"/>
        <v>688.85057499999994</v>
      </c>
      <c r="AO31" s="436">
        <f t="shared" ref="AO31:AX37" si="33">(AO$1/100)*$CG31</f>
        <v>738.0541874999999</v>
      </c>
      <c r="AP31" s="436">
        <f t="shared" si="33"/>
        <v>789.22594449999985</v>
      </c>
      <c r="AQ31" s="436">
        <f t="shared" si="33"/>
        <v>836.46141249999982</v>
      </c>
      <c r="AR31" s="436">
        <f t="shared" si="33"/>
        <v>885.66502499999979</v>
      </c>
      <c r="AS31" s="436">
        <f t="shared" si="33"/>
        <v>934.86863749999986</v>
      </c>
      <c r="AT31" s="436">
        <f t="shared" si="33"/>
        <v>984.07224999999983</v>
      </c>
      <c r="AU31" s="436">
        <f t="shared" si="33"/>
        <v>1033.2758624999999</v>
      </c>
      <c r="AV31" s="436">
        <f t="shared" si="33"/>
        <v>1082.4794749999999</v>
      </c>
      <c r="AW31" s="436">
        <f t="shared" si="33"/>
        <v>1131.6830874999998</v>
      </c>
      <c r="AX31" s="436">
        <f t="shared" si="33"/>
        <v>1180.8866999999998</v>
      </c>
      <c r="AY31" s="436">
        <f t="shared" ref="AY31:BH37" si="34">(AY$1/100)*$CG31</f>
        <v>1279.2939249999997</v>
      </c>
      <c r="AZ31" s="436">
        <f t="shared" si="34"/>
        <v>1377.7011499999999</v>
      </c>
      <c r="BA31" s="436">
        <f t="shared" si="34"/>
        <v>1476.1083749999998</v>
      </c>
      <c r="BB31" s="436">
        <f t="shared" si="34"/>
        <v>1574.5155999999997</v>
      </c>
      <c r="BC31" s="436">
        <f t="shared" si="34"/>
        <v>1672.9228249999996</v>
      </c>
      <c r="BD31" s="436">
        <f t="shared" si="34"/>
        <v>1771.3300499999996</v>
      </c>
      <c r="BE31" s="436">
        <f t="shared" si="34"/>
        <v>1869.7372749999997</v>
      </c>
      <c r="BF31" s="436">
        <f t="shared" si="34"/>
        <v>1968.1444999999997</v>
      </c>
      <c r="BG31" s="436">
        <f t="shared" si="34"/>
        <v>2164.9589499999997</v>
      </c>
      <c r="BH31" s="436">
        <f t="shared" si="34"/>
        <v>2361.7733999999996</v>
      </c>
      <c r="BI31" s="436">
        <f t="shared" ref="BI31:BR37" si="35">(BI$1/100)*$CG31</f>
        <v>2460.1806249999995</v>
      </c>
      <c r="BJ31" s="436">
        <f t="shared" si="35"/>
        <v>2558.5878499999994</v>
      </c>
      <c r="BK31" s="436">
        <f t="shared" si="35"/>
        <v>2755.4022999999997</v>
      </c>
      <c r="BL31" s="436">
        <f t="shared" si="35"/>
        <v>2952.2167499999996</v>
      </c>
      <c r="BM31" s="436">
        <f t="shared" si="35"/>
        <v>3149.0311999999994</v>
      </c>
      <c r="BN31" s="436">
        <f t="shared" si="35"/>
        <v>3345.8456499999993</v>
      </c>
      <c r="BO31" s="436">
        <f t="shared" si="35"/>
        <v>3444.2528749999992</v>
      </c>
      <c r="BP31" s="436">
        <f t="shared" si="35"/>
        <v>3542.6600999999991</v>
      </c>
      <c r="BQ31" s="436">
        <f t="shared" si="35"/>
        <v>3739.4745499999995</v>
      </c>
      <c r="BR31" s="436">
        <f t="shared" si="35"/>
        <v>3936.2889999999993</v>
      </c>
      <c r="BS31" s="436">
        <f t="shared" ref="BS31:CF37" si="36">(BS$1/100)*$CG31</f>
        <v>4428.3251249999994</v>
      </c>
      <c r="BT31" s="436">
        <f t="shared" si="36"/>
        <v>4920.361249999999</v>
      </c>
      <c r="BU31" s="436">
        <f t="shared" si="36"/>
        <v>5412.3973749999986</v>
      </c>
      <c r="BV31" s="436">
        <f t="shared" si="36"/>
        <v>5904.4334999999992</v>
      </c>
      <c r="BW31" s="436">
        <f t="shared" si="36"/>
        <v>6888.5057499999984</v>
      </c>
      <c r="BX31" s="436">
        <f t="shared" si="36"/>
        <v>7872.5779999999986</v>
      </c>
      <c r="BY31" s="436">
        <f t="shared" si="36"/>
        <v>8856.6502499999988</v>
      </c>
      <c r="BZ31" s="436">
        <f t="shared" si="36"/>
        <v>9840.722499999998</v>
      </c>
      <c r="CA31" s="436">
        <f t="shared" si="36"/>
        <v>10824.794749999997</v>
      </c>
      <c r="CB31" s="436">
        <f t="shared" si="36"/>
        <v>11808.866999999998</v>
      </c>
      <c r="CC31" s="436">
        <f t="shared" si="36"/>
        <v>13777.011499999997</v>
      </c>
      <c r="CD31" s="436">
        <f t="shared" si="36"/>
        <v>15745.155999999997</v>
      </c>
      <c r="CE31" s="436">
        <f t="shared" si="36"/>
        <v>17713.300499999998</v>
      </c>
      <c r="CF31" s="436">
        <f t="shared" si="36"/>
        <v>19681.444999999996</v>
      </c>
      <c r="CG31" s="436" cm="1">
        <f t="array" ref="CG31">IF($M632=0, Vide, $M632)</f>
        <v>196.81444999999997</v>
      </c>
      <c r="CH31" s="435" t="s">
        <v>762</v>
      </c>
      <c r="CI31" s="435" t="s">
        <v>762</v>
      </c>
      <c r="CJ31" s="435" t="s">
        <v>762</v>
      </c>
      <c r="CK31" s="435" t="s">
        <v>762</v>
      </c>
      <c r="CL31" s="435" t="s">
        <v>762</v>
      </c>
    </row>
    <row r="32" spans="1:90" s="437" customFormat="1">
      <c r="A32" s="435" t="s">
        <v>540</v>
      </c>
      <c r="B32" s="435" t="s">
        <v>90</v>
      </c>
      <c r="C32" s="436" cm="1">
        <f t="array" ref="C32">IF($B633=0, Vide, $B633)</f>
        <v>40.203999999999986</v>
      </c>
      <c r="D32" s="436" cm="1">
        <f t="array" ref="D32">IF($B633=0, Vide, $B633)</f>
        <v>40.203999999999986</v>
      </c>
      <c r="E32" s="436" cm="1">
        <f t="array" ref="E32">IF($B633=0, Vide, $B633)</f>
        <v>40.203999999999986</v>
      </c>
      <c r="F32" s="436" cm="1">
        <f t="array" ref="F32">IF($B633=0, Vide, $B633)</f>
        <v>40.203999999999986</v>
      </c>
      <c r="G32" s="436" cm="1">
        <f t="array" ref="G32">IF($B633=0, Vide, $B633)</f>
        <v>40.203999999999986</v>
      </c>
      <c r="H32" s="436" cm="1">
        <f t="array" ref="H32">IF($C633=0, Vide, $C633)</f>
        <v>47.477749999999993</v>
      </c>
      <c r="I32" s="436" cm="1">
        <f t="array" ref="I32">IF($C633=0, Vide, $C633)</f>
        <v>47.477749999999993</v>
      </c>
      <c r="J32" s="436" cm="1">
        <f t="array" ref="J32">IF($C633=0, Vide, $C633)</f>
        <v>47.477749999999993</v>
      </c>
      <c r="K32" s="436" cm="1">
        <f t="array" ref="K32">IF($C633=0, Vide, $C633)</f>
        <v>47.477749999999993</v>
      </c>
      <c r="L32" s="436" cm="1">
        <f t="array" ref="L32">IF($C633=0, Vide, $C633)</f>
        <v>47.477749999999993</v>
      </c>
      <c r="M32" s="436" t="s">
        <v>762</v>
      </c>
      <c r="N32" s="436" t="s">
        <v>762</v>
      </c>
      <c r="O32" s="436" t="s">
        <v>762</v>
      </c>
      <c r="P32" s="436" t="s">
        <v>762</v>
      </c>
      <c r="Q32" s="436" t="s">
        <v>762</v>
      </c>
      <c r="R32" s="436" t="s">
        <v>762</v>
      </c>
      <c r="S32" s="436" t="s">
        <v>762</v>
      </c>
      <c r="T32" s="436" t="s">
        <v>762</v>
      </c>
      <c r="U32" s="436" t="s">
        <v>762</v>
      </c>
      <c r="V32" s="436" cm="1">
        <f t="array" ref="V32">IF($D633=0, Vide, $D633)</f>
        <v>63.215499999999984</v>
      </c>
      <c r="W32" s="436" cm="1">
        <f t="array" ref="W32">IF($E633=0, Vide, $E633)</f>
        <v>75.871824999999987</v>
      </c>
      <c r="X32" s="436" cm="1">
        <f t="array" ref="X32">IF($F633=0, Vide, $F633)</f>
        <v>91.71537499999998</v>
      </c>
      <c r="Y32" s="436" cm="1">
        <f t="array" ref="Y32">IF($G633=0, Vide, $G633)</f>
        <v>107.50602499999999</v>
      </c>
      <c r="Z32" s="436" cm="1">
        <f t="array" ref="Z32">IF($H633=0, Vide, $H633)</f>
        <v>123.56117499999999</v>
      </c>
      <c r="AA32" s="436" cm="1">
        <f t="array" ref="AA32">IF($I633=0, Vide, $I633)</f>
        <v>140.2379</v>
      </c>
      <c r="AB32" s="436" cm="1">
        <f t="array" ref="AB32">IF($J633=0, Vide, $J633)</f>
        <v>157.16589999999999</v>
      </c>
      <c r="AC32" s="436" cm="1">
        <f t="array" ref="AC32">IF($K633=0, Vide, $K633)</f>
        <v>174.12034999999997</v>
      </c>
      <c r="AD32" s="436" cm="1">
        <f t="array" ref="AD32">IF($L633=0, Vide, $L633)</f>
        <v>196.81444999999997</v>
      </c>
      <c r="AE32" s="436">
        <f t="shared" si="32"/>
        <v>216.49589499999999</v>
      </c>
      <c r="AF32" s="436">
        <f t="shared" si="32"/>
        <v>246.01806249999996</v>
      </c>
      <c r="AG32" s="436">
        <f t="shared" si="32"/>
        <v>295.22167499999995</v>
      </c>
      <c r="AH32" s="436">
        <f t="shared" si="32"/>
        <v>344.42528749999997</v>
      </c>
      <c r="AI32" s="436">
        <f t="shared" si="32"/>
        <v>395.59704449999987</v>
      </c>
      <c r="AJ32" s="436">
        <f t="shared" si="32"/>
        <v>442.83251249999989</v>
      </c>
      <c r="AK32" s="436">
        <f t="shared" si="32"/>
        <v>492.03612499999991</v>
      </c>
      <c r="AL32" s="436">
        <f t="shared" si="32"/>
        <v>592.41149449999989</v>
      </c>
      <c r="AM32" s="436">
        <f t="shared" si="32"/>
        <v>639.64696249999986</v>
      </c>
      <c r="AN32" s="436">
        <f t="shared" si="32"/>
        <v>688.85057499999994</v>
      </c>
      <c r="AO32" s="436">
        <f t="shared" si="33"/>
        <v>738.0541874999999</v>
      </c>
      <c r="AP32" s="436">
        <f t="shared" si="33"/>
        <v>789.22594449999985</v>
      </c>
      <c r="AQ32" s="436">
        <f t="shared" si="33"/>
        <v>836.46141249999982</v>
      </c>
      <c r="AR32" s="436">
        <f t="shared" si="33"/>
        <v>885.66502499999979</v>
      </c>
      <c r="AS32" s="436">
        <f t="shared" si="33"/>
        <v>934.86863749999986</v>
      </c>
      <c r="AT32" s="436">
        <f t="shared" si="33"/>
        <v>984.07224999999983</v>
      </c>
      <c r="AU32" s="436">
        <f t="shared" si="33"/>
        <v>1033.2758624999999</v>
      </c>
      <c r="AV32" s="436">
        <f t="shared" si="33"/>
        <v>1082.4794749999999</v>
      </c>
      <c r="AW32" s="436">
        <f t="shared" si="33"/>
        <v>1131.6830874999998</v>
      </c>
      <c r="AX32" s="436">
        <f t="shared" si="33"/>
        <v>1180.8866999999998</v>
      </c>
      <c r="AY32" s="436">
        <f t="shared" si="34"/>
        <v>1279.2939249999997</v>
      </c>
      <c r="AZ32" s="436">
        <f t="shared" si="34"/>
        <v>1377.7011499999999</v>
      </c>
      <c r="BA32" s="436">
        <f t="shared" si="34"/>
        <v>1476.1083749999998</v>
      </c>
      <c r="BB32" s="436">
        <f t="shared" si="34"/>
        <v>1574.5155999999997</v>
      </c>
      <c r="BC32" s="436">
        <f t="shared" si="34"/>
        <v>1672.9228249999996</v>
      </c>
      <c r="BD32" s="436">
        <f t="shared" si="34"/>
        <v>1771.3300499999996</v>
      </c>
      <c r="BE32" s="436">
        <f t="shared" si="34"/>
        <v>1869.7372749999997</v>
      </c>
      <c r="BF32" s="436">
        <f t="shared" si="34"/>
        <v>1968.1444999999997</v>
      </c>
      <c r="BG32" s="436">
        <f t="shared" si="34"/>
        <v>2164.9589499999997</v>
      </c>
      <c r="BH32" s="436">
        <f t="shared" si="34"/>
        <v>2361.7733999999996</v>
      </c>
      <c r="BI32" s="436">
        <f t="shared" si="35"/>
        <v>2460.1806249999995</v>
      </c>
      <c r="BJ32" s="436">
        <f t="shared" si="35"/>
        <v>2558.5878499999994</v>
      </c>
      <c r="BK32" s="436">
        <f t="shared" si="35"/>
        <v>2755.4022999999997</v>
      </c>
      <c r="BL32" s="436">
        <f t="shared" si="35"/>
        <v>2952.2167499999996</v>
      </c>
      <c r="BM32" s="436">
        <f t="shared" si="35"/>
        <v>3149.0311999999994</v>
      </c>
      <c r="BN32" s="436">
        <f t="shared" si="35"/>
        <v>3345.8456499999993</v>
      </c>
      <c r="BO32" s="436">
        <f t="shared" si="35"/>
        <v>3444.2528749999992</v>
      </c>
      <c r="BP32" s="436">
        <f t="shared" si="35"/>
        <v>3542.6600999999991</v>
      </c>
      <c r="BQ32" s="436">
        <f t="shared" si="35"/>
        <v>3739.4745499999995</v>
      </c>
      <c r="BR32" s="436">
        <f t="shared" si="35"/>
        <v>3936.2889999999993</v>
      </c>
      <c r="BS32" s="436">
        <f t="shared" si="36"/>
        <v>4428.3251249999994</v>
      </c>
      <c r="BT32" s="436">
        <f t="shared" si="36"/>
        <v>4920.361249999999</v>
      </c>
      <c r="BU32" s="436">
        <f t="shared" si="36"/>
        <v>5412.3973749999986</v>
      </c>
      <c r="BV32" s="436">
        <f t="shared" si="36"/>
        <v>5904.4334999999992</v>
      </c>
      <c r="BW32" s="436">
        <f t="shared" si="36"/>
        <v>6888.5057499999984</v>
      </c>
      <c r="BX32" s="436">
        <f t="shared" si="36"/>
        <v>7872.5779999999986</v>
      </c>
      <c r="BY32" s="436">
        <f t="shared" si="36"/>
        <v>8856.6502499999988</v>
      </c>
      <c r="BZ32" s="436">
        <f t="shared" si="36"/>
        <v>9840.722499999998</v>
      </c>
      <c r="CA32" s="436">
        <f t="shared" si="36"/>
        <v>10824.794749999997</v>
      </c>
      <c r="CB32" s="436">
        <f t="shared" si="36"/>
        <v>11808.866999999998</v>
      </c>
      <c r="CC32" s="436">
        <f t="shared" si="36"/>
        <v>13777.011499999997</v>
      </c>
      <c r="CD32" s="436">
        <f t="shared" si="36"/>
        <v>15745.155999999997</v>
      </c>
      <c r="CE32" s="436">
        <f t="shared" si="36"/>
        <v>17713.300499999998</v>
      </c>
      <c r="CF32" s="436">
        <f t="shared" si="36"/>
        <v>19681.444999999996</v>
      </c>
      <c r="CG32" s="436" cm="1">
        <f t="array" ref="CG32">IF($M633=0, Vide, $M633)</f>
        <v>196.81444999999997</v>
      </c>
      <c r="CH32" s="435" t="s">
        <v>762</v>
      </c>
      <c r="CI32" s="435" t="s">
        <v>762</v>
      </c>
      <c r="CJ32" s="435" t="s">
        <v>762</v>
      </c>
      <c r="CK32" s="435" t="s">
        <v>762</v>
      </c>
      <c r="CL32" s="435" t="s">
        <v>762</v>
      </c>
    </row>
    <row r="33" spans="1:90" s="437" customFormat="1">
      <c r="A33" s="435" t="s">
        <v>541</v>
      </c>
      <c r="B33" s="435" t="s">
        <v>90</v>
      </c>
      <c r="C33" s="436" cm="1">
        <f t="array" ref="C33">IF($B634=0, Vide, $B634)</f>
        <v>40.203999999999986</v>
      </c>
      <c r="D33" s="436" cm="1">
        <f t="array" ref="D33">IF($B634=0, Vide, $B634)</f>
        <v>40.203999999999986</v>
      </c>
      <c r="E33" s="436" cm="1">
        <f t="array" ref="E33">IF($B634=0, Vide, $B634)</f>
        <v>40.203999999999986</v>
      </c>
      <c r="F33" s="436" cm="1">
        <f t="array" ref="F33">IF($B634=0, Vide, $B634)</f>
        <v>40.203999999999986</v>
      </c>
      <c r="G33" s="436" cm="1">
        <f t="array" ref="G33">IF($B634=0, Vide, $B634)</f>
        <v>40.203999999999986</v>
      </c>
      <c r="H33" s="436" cm="1">
        <f t="array" ref="H33">IF($C634=0, Vide, $C634)</f>
        <v>47.477749999999993</v>
      </c>
      <c r="I33" s="436" cm="1">
        <f t="array" ref="I33">IF($C634=0, Vide, $C634)</f>
        <v>47.477749999999993</v>
      </c>
      <c r="J33" s="436" cm="1">
        <f t="array" ref="J33">IF($C634=0, Vide, $C634)</f>
        <v>47.477749999999993</v>
      </c>
      <c r="K33" s="436" cm="1">
        <f t="array" ref="K33">IF($C634=0, Vide, $C634)</f>
        <v>47.477749999999993</v>
      </c>
      <c r="L33" s="436" cm="1">
        <f t="array" ref="L33">IF($C634=0, Vide, $C634)</f>
        <v>47.477749999999993</v>
      </c>
      <c r="M33" s="436" t="s">
        <v>762</v>
      </c>
      <c r="N33" s="436" t="s">
        <v>762</v>
      </c>
      <c r="O33" s="436" t="s">
        <v>762</v>
      </c>
      <c r="P33" s="436" t="s">
        <v>762</v>
      </c>
      <c r="Q33" s="436" t="s">
        <v>762</v>
      </c>
      <c r="R33" s="436" t="s">
        <v>762</v>
      </c>
      <c r="S33" s="436" t="s">
        <v>762</v>
      </c>
      <c r="T33" s="436" t="s">
        <v>762</v>
      </c>
      <c r="U33" s="436" t="s">
        <v>762</v>
      </c>
      <c r="V33" s="436" cm="1">
        <f t="array" ref="V33">IF($D634=0, Vide, $D634)</f>
        <v>63.215499999999984</v>
      </c>
      <c r="W33" s="436" cm="1">
        <f t="array" ref="W33">IF($E634=0, Vide, $E634)</f>
        <v>75.871824999999987</v>
      </c>
      <c r="X33" s="436" cm="1">
        <f t="array" ref="X33">IF($F634=0, Vide, $F634)</f>
        <v>91.71537499999998</v>
      </c>
      <c r="Y33" s="436" cm="1">
        <f t="array" ref="Y33">IF($G634=0, Vide, $G634)</f>
        <v>107.50602499999999</v>
      </c>
      <c r="Z33" s="436" cm="1">
        <f t="array" ref="Z33">IF($H634=0, Vide, $H634)</f>
        <v>123.56117499999999</v>
      </c>
      <c r="AA33" s="436" cm="1">
        <f t="array" ref="AA33">IF($I634=0, Vide, $I634)</f>
        <v>140.2379</v>
      </c>
      <c r="AB33" s="436" cm="1">
        <f t="array" ref="AB33">IF($J634=0, Vide, $J634)</f>
        <v>157.16589999999999</v>
      </c>
      <c r="AC33" s="436" cm="1">
        <f t="array" ref="AC33">IF($K634=0, Vide, $K634)</f>
        <v>174.12034999999997</v>
      </c>
      <c r="AD33" s="436" cm="1">
        <f t="array" ref="AD33">IF($L634=0, Vide, $L634)</f>
        <v>196.81444999999997</v>
      </c>
      <c r="AE33" s="436">
        <f t="shared" si="32"/>
        <v>216.49589499999999</v>
      </c>
      <c r="AF33" s="436">
        <f t="shared" si="32"/>
        <v>246.01806249999996</v>
      </c>
      <c r="AG33" s="436">
        <f t="shared" si="32"/>
        <v>295.22167499999995</v>
      </c>
      <c r="AH33" s="436">
        <f t="shared" si="32"/>
        <v>344.42528749999997</v>
      </c>
      <c r="AI33" s="436">
        <f t="shared" si="32"/>
        <v>395.59704449999987</v>
      </c>
      <c r="AJ33" s="436">
        <f t="shared" si="32"/>
        <v>442.83251249999989</v>
      </c>
      <c r="AK33" s="436">
        <f t="shared" si="32"/>
        <v>492.03612499999991</v>
      </c>
      <c r="AL33" s="436">
        <f t="shared" si="32"/>
        <v>592.41149449999989</v>
      </c>
      <c r="AM33" s="436">
        <f t="shared" si="32"/>
        <v>639.64696249999986</v>
      </c>
      <c r="AN33" s="436">
        <f t="shared" si="32"/>
        <v>688.85057499999994</v>
      </c>
      <c r="AO33" s="436">
        <f t="shared" si="33"/>
        <v>738.0541874999999</v>
      </c>
      <c r="AP33" s="436">
        <f t="shared" si="33"/>
        <v>789.22594449999985</v>
      </c>
      <c r="AQ33" s="436">
        <f t="shared" si="33"/>
        <v>836.46141249999982</v>
      </c>
      <c r="AR33" s="436">
        <f t="shared" si="33"/>
        <v>885.66502499999979</v>
      </c>
      <c r="AS33" s="436">
        <f t="shared" si="33"/>
        <v>934.86863749999986</v>
      </c>
      <c r="AT33" s="436">
        <f t="shared" si="33"/>
        <v>984.07224999999983</v>
      </c>
      <c r="AU33" s="436">
        <f t="shared" si="33"/>
        <v>1033.2758624999999</v>
      </c>
      <c r="AV33" s="436">
        <f t="shared" si="33"/>
        <v>1082.4794749999999</v>
      </c>
      <c r="AW33" s="436">
        <f t="shared" si="33"/>
        <v>1131.6830874999998</v>
      </c>
      <c r="AX33" s="436">
        <f t="shared" si="33"/>
        <v>1180.8866999999998</v>
      </c>
      <c r="AY33" s="436">
        <f t="shared" si="34"/>
        <v>1279.2939249999997</v>
      </c>
      <c r="AZ33" s="436">
        <f t="shared" si="34"/>
        <v>1377.7011499999999</v>
      </c>
      <c r="BA33" s="436">
        <f t="shared" si="34"/>
        <v>1476.1083749999998</v>
      </c>
      <c r="BB33" s="436">
        <f t="shared" si="34"/>
        <v>1574.5155999999997</v>
      </c>
      <c r="BC33" s="436">
        <f t="shared" si="34"/>
        <v>1672.9228249999996</v>
      </c>
      <c r="BD33" s="436">
        <f t="shared" si="34"/>
        <v>1771.3300499999996</v>
      </c>
      <c r="BE33" s="436">
        <f t="shared" si="34"/>
        <v>1869.7372749999997</v>
      </c>
      <c r="BF33" s="436">
        <f t="shared" si="34"/>
        <v>1968.1444999999997</v>
      </c>
      <c r="BG33" s="436">
        <f t="shared" si="34"/>
        <v>2164.9589499999997</v>
      </c>
      <c r="BH33" s="436">
        <f t="shared" si="34"/>
        <v>2361.7733999999996</v>
      </c>
      <c r="BI33" s="436">
        <f t="shared" si="35"/>
        <v>2460.1806249999995</v>
      </c>
      <c r="BJ33" s="436">
        <f t="shared" si="35"/>
        <v>2558.5878499999994</v>
      </c>
      <c r="BK33" s="436">
        <f t="shared" si="35"/>
        <v>2755.4022999999997</v>
      </c>
      <c r="BL33" s="436">
        <f t="shared" si="35"/>
        <v>2952.2167499999996</v>
      </c>
      <c r="BM33" s="436">
        <f t="shared" si="35"/>
        <v>3149.0311999999994</v>
      </c>
      <c r="BN33" s="436">
        <f t="shared" si="35"/>
        <v>3345.8456499999993</v>
      </c>
      <c r="BO33" s="436">
        <f t="shared" si="35"/>
        <v>3444.2528749999992</v>
      </c>
      <c r="BP33" s="436">
        <f t="shared" si="35"/>
        <v>3542.6600999999991</v>
      </c>
      <c r="BQ33" s="436">
        <f t="shared" si="35"/>
        <v>3739.4745499999995</v>
      </c>
      <c r="BR33" s="436">
        <f t="shared" si="35"/>
        <v>3936.2889999999993</v>
      </c>
      <c r="BS33" s="436">
        <f t="shared" si="36"/>
        <v>4428.3251249999994</v>
      </c>
      <c r="BT33" s="436">
        <f t="shared" si="36"/>
        <v>4920.361249999999</v>
      </c>
      <c r="BU33" s="436">
        <f t="shared" si="36"/>
        <v>5412.3973749999986</v>
      </c>
      <c r="BV33" s="436">
        <f t="shared" si="36"/>
        <v>5904.4334999999992</v>
      </c>
      <c r="BW33" s="436">
        <f t="shared" si="36"/>
        <v>6888.5057499999984</v>
      </c>
      <c r="BX33" s="436">
        <f t="shared" si="36"/>
        <v>7872.5779999999986</v>
      </c>
      <c r="BY33" s="436">
        <f t="shared" si="36"/>
        <v>8856.6502499999988</v>
      </c>
      <c r="BZ33" s="436">
        <f t="shared" si="36"/>
        <v>9840.722499999998</v>
      </c>
      <c r="CA33" s="436">
        <f t="shared" si="36"/>
        <v>10824.794749999997</v>
      </c>
      <c r="CB33" s="436">
        <f t="shared" si="36"/>
        <v>11808.866999999998</v>
      </c>
      <c r="CC33" s="436">
        <f t="shared" si="36"/>
        <v>13777.011499999997</v>
      </c>
      <c r="CD33" s="436">
        <f t="shared" si="36"/>
        <v>15745.155999999997</v>
      </c>
      <c r="CE33" s="436">
        <f t="shared" si="36"/>
        <v>17713.300499999998</v>
      </c>
      <c r="CF33" s="436">
        <f t="shared" si="36"/>
        <v>19681.444999999996</v>
      </c>
      <c r="CG33" s="436" cm="1">
        <f t="array" ref="CG33">IF($M634=0, Vide, $M634)</f>
        <v>196.81444999999997</v>
      </c>
      <c r="CH33" s="435" t="s">
        <v>762</v>
      </c>
      <c r="CI33" s="435" t="s">
        <v>762</v>
      </c>
      <c r="CJ33" s="435" t="s">
        <v>762</v>
      </c>
      <c r="CK33" s="435" t="s">
        <v>762</v>
      </c>
      <c r="CL33" s="435" t="s">
        <v>762</v>
      </c>
    </row>
    <row r="34" spans="1:90" s="437" customFormat="1">
      <c r="A34" s="435" t="s">
        <v>542</v>
      </c>
      <c r="B34" s="435" t="s">
        <v>90</v>
      </c>
      <c r="C34" s="436" cm="1">
        <f t="array" ref="C34">IF($B635=0, Vide, $B635)</f>
        <v>41.433924999999995</v>
      </c>
      <c r="D34" s="436" cm="1">
        <f t="array" ref="D34">IF($B635=0, Vide, $B635)</f>
        <v>41.433924999999995</v>
      </c>
      <c r="E34" s="436" cm="1">
        <f t="array" ref="E34">IF($B635=0, Vide, $B635)</f>
        <v>41.433924999999995</v>
      </c>
      <c r="F34" s="436" cm="1">
        <f t="array" ref="F34">IF($B635=0, Vide, $B635)</f>
        <v>41.433924999999995</v>
      </c>
      <c r="G34" s="436" cm="1">
        <f t="array" ref="G34">IF($B635=0, Vide, $B635)</f>
        <v>41.433924999999995</v>
      </c>
      <c r="H34" s="436" cm="1">
        <f t="array" ref="H34">IF($C635=0, Vide, $C635)</f>
        <v>48.879599999999996</v>
      </c>
      <c r="I34" s="436" cm="1">
        <f t="array" ref="I34">IF($C635=0, Vide, $C635)</f>
        <v>48.879599999999996</v>
      </c>
      <c r="J34" s="436" cm="1">
        <f t="array" ref="J34">IF($C635=0, Vide, $C635)</f>
        <v>48.879599999999996</v>
      </c>
      <c r="K34" s="436" cm="1">
        <f t="array" ref="K34">IF($C635=0, Vide, $C635)</f>
        <v>48.879599999999996</v>
      </c>
      <c r="L34" s="436" cm="1">
        <f t="array" ref="L34">IF($C635=0, Vide, $C635)</f>
        <v>48.879599999999996</v>
      </c>
      <c r="M34" s="436" t="s">
        <v>762</v>
      </c>
      <c r="N34" s="436" t="s">
        <v>762</v>
      </c>
      <c r="O34" s="436" t="s">
        <v>762</v>
      </c>
      <c r="P34" s="436" t="s">
        <v>762</v>
      </c>
      <c r="Q34" s="436" t="s">
        <v>762</v>
      </c>
      <c r="R34" s="436" t="s">
        <v>762</v>
      </c>
      <c r="S34" s="436" t="s">
        <v>762</v>
      </c>
      <c r="T34" s="436" t="s">
        <v>762</v>
      </c>
      <c r="U34" s="436" t="s">
        <v>762</v>
      </c>
      <c r="V34" s="436" cm="1">
        <f t="array" ref="V34">IF($D635=0, Vide, $D635)</f>
        <v>65.146349999999984</v>
      </c>
      <c r="W34" s="436" cm="1">
        <f t="array" ref="W34">IF($E635=0, Vide, $E635)</f>
        <v>78.159750000000003</v>
      </c>
      <c r="X34" s="436" cm="1">
        <f t="array" ref="X34">IF($F635=0, Vide, $F635)</f>
        <v>94.439724999999967</v>
      </c>
      <c r="Y34" s="436" cm="1">
        <f t="array" ref="Y34">IF($G635=0, Vide, $G635)</f>
        <v>110.75937499999998</v>
      </c>
      <c r="Z34" s="436" cm="1">
        <f t="array" ref="Z34">IF($H635=0, Vide, $H635)</f>
        <v>127.31707499999997</v>
      </c>
      <c r="AA34" s="436" cm="1">
        <f t="array" ref="AA34">IF($I635=0, Vide, $I635)</f>
        <v>144.43022499999998</v>
      </c>
      <c r="AB34" s="436" cm="1">
        <f t="array" ref="AB34">IF($J635=0, Vide, $J635)</f>
        <v>161.86077499999996</v>
      </c>
      <c r="AC34" s="436" cm="1">
        <f t="array" ref="AC34">IF($K635=0, Vide, $K635)</f>
        <v>179.29132499999997</v>
      </c>
      <c r="AD34" s="436" cm="1">
        <f t="array" ref="AD34">IF($L635=0, Vide, $L635)</f>
        <v>202.72602499999996</v>
      </c>
      <c r="AE34" s="436">
        <f t="shared" si="32"/>
        <v>222.99862749999997</v>
      </c>
      <c r="AF34" s="436">
        <f t="shared" si="32"/>
        <v>253.40753124999995</v>
      </c>
      <c r="AG34" s="436">
        <f t="shared" si="32"/>
        <v>304.08903749999996</v>
      </c>
      <c r="AH34" s="436">
        <f t="shared" si="32"/>
        <v>354.77054374999994</v>
      </c>
      <c r="AI34" s="436">
        <f t="shared" si="32"/>
        <v>407.47931024999991</v>
      </c>
      <c r="AJ34" s="436">
        <f t="shared" si="32"/>
        <v>456.13355624999991</v>
      </c>
      <c r="AK34" s="436">
        <f t="shared" si="32"/>
        <v>506.8150624999999</v>
      </c>
      <c r="AL34" s="436">
        <f t="shared" si="32"/>
        <v>610.20533524999985</v>
      </c>
      <c r="AM34" s="436">
        <f t="shared" si="32"/>
        <v>658.85958124999991</v>
      </c>
      <c r="AN34" s="436">
        <f t="shared" si="32"/>
        <v>709.54108749999989</v>
      </c>
      <c r="AO34" s="436">
        <f t="shared" si="33"/>
        <v>760.22259374999987</v>
      </c>
      <c r="AP34" s="436">
        <f t="shared" si="33"/>
        <v>812.93136024999978</v>
      </c>
      <c r="AQ34" s="436">
        <f t="shared" si="33"/>
        <v>861.58560624999984</v>
      </c>
      <c r="AR34" s="436">
        <f t="shared" si="33"/>
        <v>912.26711249999983</v>
      </c>
      <c r="AS34" s="436">
        <f t="shared" si="33"/>
        <v>962.94861874999981</v>
      </c>
      <c r="AT34" s="436">
        <f t="shared" si="33"/>
        <v>1013.6301249999998</v>
      </c>
      <c r="AU34" s="436">
        <f t="shared" si="33"/>
        <v>1064.3116312499999</v>
      </c>
      <c r="AV34" s="436">
        <f t="shared" si="33"/>
        <v>1114.9931374999999</v>
      </c>
      <c r="AW34" s="436">
        <f t="shared" si="33"/>
        <v>1165.6746437499999</v>
      </c>
      <c r="AX34" s="436">
        <f t="shared" si="33"/>
        <v>1216.3561499999998</v>
      </c>
      <c r="AY34" s="436">
        <f t="shared" si="34"/>
        <v>1317.7191624999998</v>
      </c>
      <c r="AZ34" s="436">
        <f t="shared" si="34"/>
        <v>1419.0821749999998</v>
      </c>
      <c r="BA34" s="436">
        <f t="shared" si="34"/>
        <v>1520.4451874999997</v>
      </c>
      <c r="BB34" s="436">
        <f t="shared" si="34"/>
        <v>1621.8081999999997</v>
      </c>
      <c r="BC34" s="436">
        <f t="shared" si="34"/>
        <v>1723.1712124999997</v>
      </c>
      <c r="BD34" s="436">
        <f t="shared" si="34"/>
        <v>1824.5342249999997</v>
      </c>
      <c r="BE34" s="436">
        <f t="shared" si="34"/>
        <v>1925.8972374999996</v>
      </c>
      <c r="BF34" s="436">
        <f t="shared" si="34"/>
        <v>2027.2602499999996</v>
      </c>
      <c r="BG34" s="436">
        <f t="shared" si="34"/>
        <v>2229.9862749999998</v>
      </c>
      <c r="BH34" s="436">
        <f t="shared" si="34"/>
        <v>2432.7122999999997</v>
      </c>
      <c r="BI34" s="436">
        <f t="shared" si="35"/>
        <v>2534.0753124999997</v>
      </c>
      <c r="BJ34" s="436">
        <f t="shared" si="35"/>
        <v>2635.4383249999996</v>
      </c>
      <c r="BK34" s="436">
        <f t="shared" si="35"/>
        <v>2838.1643499999996</v>
      </c>
      <c r="BL34" s="436">
        <f t="shared" si="35"/>
        <v>3040.8903749999995</v>
      </c>
      <c r="BM34" s="436">
        <f t="shared" si="35"/>
        <v>3243.6163999999994</v>
      </c>
      <c r="BN34" s="436">
        <f t="shared" si="35"/>
        <v>3446.3424249999994</v>
      </c>
      <c r="BO34" s="436">
        <f t="shared" si="35"/>
        <v>3547.7054374999993</v>
      </c>
      <c r="BP34" s="436">
        <f t="shared" si="35"/>
        <v>3649.0684499999993</v>
      </c>
      <c r="BQ34" s="436">
        <f t="shared" si="35"/>
        <v>3851.7944749999992</v>
      </c>
      <c r="BR34" s="436">
        <f t="shared" si="35"/>
        <v>4054.5204999999992</v>
      </c>
      <c r="BS34" s="436">
        <f t="shared" si="36"/>
        <v>4561.3355624999995</v>
      </c>
      <c r="BT34" s="436">
        <f t="shared" si="36"/>
        <v>5068.1506249999993</v>
      </c>
      <c r="BU34" s="436">
        <f t="shared" si="36"/>
        <v>5574.9656874999991</v>
      </c>
      <c r="BV34" s="436">
        <f t="shared" si="36"/>
        <v>6081.780749999999</v>
      </c>
      <c r="BW34" s="436">
        <f t="shared" si="36"/>
        <v>7095.4108749999987</v>
      </c>
      <c r="BX34" s="436">
        <f t="shared" si="36"/>
        <v>8109.0409999999983</v>
      </c>
      <c r="BY34" s="436">
        <f t="shared" si="36"/>
        <v>9122.6711249999989</v>
      </c>
      <c r="BZ34" s="436">
        <f t="shared" si="36"/>
        <v>10136.301249999999</v>
      </c>
      <c r="CA34" s="436">
        <f t="shared" si="36"/>
        <v>11149.931374999998</v>
      </c>
      <c r="CB34" s="436">
        <f t="shared" si="36"/>
        <v>12163.561499999998</v>
      </c>
      <c r="CC34" s="436">
        <f t="shared" si="36"/>
        <v>14190.821749999997</v>
      </c>
      <c r="CD34" s="436">
        <f t="shared" si="36"/>
        <v>16218.081999999997</v>
      </c>
      <c r="CE34" s="436">
        <f t="shared" si="36"/>
        <v>18245.342249999998</v>
      </c>
      <c r="CF34" s="436">
        <f t="shared" si="36"/>
        <v>20272.602499999997</v>
      </c>
      <c r="CG34" s="436" cm="1">
        <f t="array" ref="CG34">IF($M635=0, Vide, $M635)</f>
        <v>202.72602499999996</v>
      </c>
      <c r="CH34" s="435" t="s">
        <v>762</v>
      </c>
      <c r="CI34" s="435" t="s">
        <v>762</v>
      </c>
      <c r="CJ34" s="435" t="s">
        <v>762</v>
      </c>
      <c r="CK34" s="435" t="s">
        <v>762</v>
      </c>
      <c r="CL34" s="435" t="s">
        <v>762</v>
      </c>
    </row>
    <row r="35" spans="1:90" s="437" customFormat="1">
      <c r="A35" s="435" t="s">
        <v>543</v>
      </c>
      <c r="B35" s="435" t="s">
        <v>90</v>
      </c>
      <c r="C35" s="436" cm="1">
        <f t="array" ref="C35">IF($B636=0, Vide, $B636)</f>
        <v>27.388974999999995</v>
      </c>
      <c r="D35" s="436" cm="1">
        <f t="array" ref="D35">IF($B636=0, Vide, $B636)</f>
        <v>27.388974999999995</v>
      </c>
      <c r="E35" s="436" cm="1">
        <f t="array" ref="E35">IF($B636=0, Vide, $B636)</f>
        <v>27.388974999999995</v>
      </c>
      <c r="F35" s="436" cm="1">
        <f t="array" ref="F35">IF($B636=0, Vide, $B636)</f>
        <v>27.388974999999995</v>
      </c>
      <c r="G35" s="436" cm="1">
        <f t="array" ref="G35">IF($B636=0, Vide, $B636)</f>
        <v>27.388974999999995</v>
      </c>
      <c r="H35" s="436" cm="1">
        <f t="array" ref="H35">IF($C636=0, Vide, $C636)</f>
        <v>28.989199999999997</v>
      </c>
      <c r="I35" s="436" cm="1">
        <f t="array" ref="I35">IF($C636=0, Vide, $C636)</f>
        <v>28.989199999999997</v>
      </c>
      <c r="J35" s="436" cm="1">
        <f t="array" ref="J35">IF($C636=0, Vide, $C636)</f>
        <v>28.989199999999997</v>
      </c>
      <c r="K35" s="436" cm="1">
        <f t="array" ref="K35">IF($C636=0, Vide, $C636)</f>
        <v>28.989199999999997</v>
      </c>
      <c r="L35" s="436" cm="1">
        <f t="array" ref="L35">IF($C636=0, Vide, $C636)</f>
        <v>28.989199999999997</v>
      </c>
      <c r="M35" s="436" t="s">
        <v>762</v>
      </c>
      <c r="N35" s="436" t="s">
        <v>762</v>
      </c>
      <c r="O35" s="436" t="s">
        <v>762</v>
      </c>
      <c r="P35" s="436" t="s">
        <v>762</v>
      </c>
      <c r="Q35" s="436" t="s">
        <v>762</v>
      </c>
      <c r="R35" s="436" t="s">
        <v>762</v>
      </c>
      <c r="S35" s="436" t="s">
        <v>762</v>
      </c>
      <c r="T35" s="436" t="s">
        <v>762</v>
      </c>
      <c r="U35" s="436" t="s">
        <v>762</v>
      </c>
      <c r="V35" s="436" cm="1">
        <f t="array" ref="V35">IF($D636=0, Vide, $D636)</f>
        <v>28.989199999999997</v>
      </c>
      <c r="W35" s="436" cm="1">
        <f t="array" ref="W35">IF($E636=0, Vide, $E636)</f>
        <v>28.989199999999997</v>
      </c>
      <c r="X35" s="436" cm="1">
        <f t="array" ref="X35">IF($F636=0, Vide, $F636)</f>
        <v>28.989199999999997</v>
      </c>
      <c r="Y35" s="436" cm="1">
        <f t="array" ref="Y35">IF($G636=0, Vide, $G636)</f>
        <v>28.989199999999997</v>
      </c>
      <c r="Z35" s="436" cm="1">
        <f t="array" ref="Z35">IF($H636=0, Vide, $H636)</f>
        <v>51.947799999999994</v>
      </c>
      <c r="AA35" s="436" cm="1">
        <f t="array" ref="AA35">IF($I636=0, Vide, $I636)</f>
        <v>51.947799999999994</v>
      </c>
      <c r="AB35" s="436" cm="1">
        <f t="array" ref="AB35">IF($J636=0, Vide, $J636)</f>
        <v>51.947799999999994</v>
      </c>
      <c r="AC35" s="436" cm="1">
        <f t="array" ref="AC35">IF($K636=0, Vide, $K636)</f>
        <v>51.947799999999994</v>
      </c>
      <c r="AD35" s="436" cm="1">
        <f t="array" ref="AD35">IF($L636=0, Vide, $L636)</f>
        <v>51.947799999999994</v>
      </c>
      <c r="AE35" s="436">
        <f t="shared" si="32"/>
        <v>75.108742499999991</v>
      </c>
      <c r="AF35" s="436">
        <f t="shared" si="32"/>
        <v>85.350843749999981</v>
      </c>
      <c r="AG35" s="436">
        <f t="shared" si="32"/>
        <v>102.42101249999999</v>
      </c>
      <c r="AH35" s="436">
        <f t="shared" si="32"/>
        <v>119.49118124999998</v>
      </c>
      <c r="AI35" s="436">
        <f t="shared" si="32"/>
        <v>137.24415674999997</v>
      </c>
      <c r="AJ35" s="436">
        <f t="shared" si="32"/>
        <v>153.63151874999997</v>
      </c>
      <c r="AK35" s="436">
        <f t="shared" si="32"/>
        <v>170.70168749999996</v>
      </c>
      <c r="AL35" s="436">
        <f t="shared" si="32"/>
        <v>205.52483174999995</v>
      </c>
      <c r="AM35" s="436">
        <f t="shared" si="32"/>
        <v>221.91219374999997</v>
      </c>
      <c r="AN35" s="436">
        <f t="shared" si="32"/>
        <v>238.98236249999997</v>
      </c>
      <c r="AO35" s="436">
        <f t="shared" si="33"/>
        <v>256.05253124999996</v>
      </c>
      <c r="AP35" s="436">
        <f t="shared" si="33"/>
        <v>273.80550674999995</v>
      </c>
      <c r="AQ35" s="436">
        <f t="shared" si="33"/>
        <v>290.19286874999995</v>
      </c>
      <c r="AR35" s="436">
        <f t="shared" si="33"/>
        <v>307.26303749999994</v>
      </c>
      <c r="AS35" s="436">
        <f t="shared" si="33"/>
        <v>324.33320624999993</v>
      </c>
      <c r="AT35" s="436">
        <f t="shared" si="33"/>
        <v>341.40337499999993</v>
      </c>
      <c r="AU35" s="436">
        <f t="shared" si="33"/>
        <v>358.47354374999992</v>
      </c>
      <c r="AV35" s="436">
        <f t="shared" si="33"/>
        <v>375.54371249999991</v>
      </c>
      <c r="AW35" s="436">
        <f t="shared" si="33"/>
        <v>392.61388124999991</v>
      </c>
      <c r="AX35" s="436">
        <f t="shared" si="33"/>
        <v>409.68404999999996</v>
      </c>
      <c r="AY35" s="436">
        <f t="shared" si="34"/>
        <v>443.82438749999994</v>
      </c>
      <c r="AZ35" s="436">
        <f t="shared" si="34"/>
        <v>477.96472499999993</v>
      </c>
      <c r="BA35" s="436">
        <f t="shared" si="34"/>
        <v>512.10506249999992</v>
      </c>
      <c r="BB35" s="436">
        <f t="shared" si="34"/>
        <v>546.2453999999999</v>
      </c>
      <c r="BC35" s="436">
        <f t="shared" si="34"/>
        <v>580.38573749999989</v>
      </c>
      <c r="BD35" s="436">
        <f t="shared" si="34"/>
        <v>614.52607499999988</v>
      </c>
      <c r="BE35" s="436">
        <f t="shared" si="34"/>
        <v>648.66641249999986</v>
      </c>
      <c r="BF35" s="436">
        <f t="shared" si="34"/>
        <v>682.80674999999985</v>
      </c>
      <c r="BG35" s="436">
        <f t="shared" si="34"/>
        <v>751.08742499999983</v>
      </c>
      <c r="BH35" s="436">
        <f t="shared" si="34"/>
        <v>819.36809999999991</v>
      </c>
      <c r="BI35" s="436">
        <f t="shared" si="35"/>
        <v>853.5084374999999</v>
      </c>
      <c r="BJ35" s="436">
        <f t="shared" si="35"/>
        <v>887.64877499999989</v>
      </c>
      <c r="BK35" s="436">
        <f t="shared" si="35"/>
        <v>955.92944999999986</v>
      </c>
      <c r="BL35" s="436">
        <f t="shared" si="35"/>
        <v>1024.2101249999998</v>
      </c>
      <c r="BM35" s="436">
        <f t="shared" si="35"/>
        <v>1092.4907999999998</v>
      </c>
      <c r="BN35" s="436">
        <f t="shared" si="35"/>
        <v>1160.7714749999998</v>
      </c>
      <c r="BO35" s="436">
        <f t="shared" si="35"/>
        <v>1194.9118124999998</v>
      </c>
      <c r="BP35" s="436">
        <f t="shared" si="35"/>
        <v>1229.0521499999998</v>
      </c>
      <c r="BQ35" s="436">
        <f t="shared" si="35"/>
        <v>1297.3328249999997</v>
      </c>
      <c r="BR35" s="436">
        <f t="shared" si="35"/>
        <v>1365.6134999999997</v>
      </c>
      <c r="BS35" s="436">
        <f t="shared" si="36"/>
        <v>1536.3151874999996</v>
      </c>
      <c r="BT35" s="436">
        <f t="shared" si="36"/>
        <v>1707.0168749999998</v>
      </c>
      <c r="BU35" s="436">
        <f t="shared" si="36"/>
        <v>1877.7185624999997</v>
      </c>
      <c r="BV35" s="436">
        <f t="shared" si="36"/>
        <v>2048.4202499999997</v>
      </c>
      <c r="BW35" s="436">
        <f t="shared" si="36"/>
        <v>2389.8236249999995</v>
      </c>
      <c r="BX35" s="436">
        <f t="shared" si="36"/>
        <v>2731.2269999999994</v>
      </c>
      <c r="BY35" s="436">
        <f t="shared" si="36"/>
        <v>3072.6303749999993</v>
      </c>
      <c r="BZ35" s="436">
        <f t="shared" si="36"/>
        <v>3414.0337499999996</v>
      </c>
      <c r="CA35" s="436">
        <f t="shared" si="36"/>
        <v>3755.4371249999995</v>
      </c>
      <c r="CB35" s="436">
        <f t="shared" si="36"/>
        <v>4096.8404999999993</v>
      </c>
      <c r="CC35" s="436">
        <f t="shared" si="36"/>
        <v>4779.6472499999991</v>
      </c>
      <c r="CD35" s="436">
        <f t="shared" si="36"/>
        <v>5462.4539999999988</v>
      </c>
      <c r="CE35" s="436">
        <f t="shared" si="36"/>
        <v>6145.2607499999986</v>
      </c>
      <c r="CF35" s="436">
        <f t="shared" si="36"/>
        <v>6828.0674999999992</v>
      </c>
      <c r="CG35" s="436" cm="1">
        <f t="array" ref="CG35">IF($M636=0, Vide, $M636)</f>
        <v>68.280674999999988</v>
      </c>
      <c r="CH35" s="435" t="s">
        <v>762</v>
      </c>
      <c r="CI35" s="435" t="s">
        <v>762</v>
      </c>
      <c r="CJ35" s="435" t="s">
        <v>762</v>
      </c>
      <c r="CK35" s="435" t="s">
        <v>762</v>
      </c>
      <c r="CL35" s="435" t="s">
        <v>762</v>
      </c>
    </row>
    <row r="36" spans="1:90" s="437" customFormat="1">
      <c r="A36" s="435" t="s">
        <v>544</v>
      </c>
      <c r="B36" s="435" t="s">
        <v>90</v>
      </c>
      <c r="C36" s="436" cm="1">
        <f t="array" ref="C36">IF($B637=0, Vide, $B637)</f>
        <v>34.239524999999993</v>
      </c>
      <c r="D36" s="436" cm="1">
        <f t="array" ref="D36">IF($B637=0, Vide, $B637)</f>
        <v>34.239524999999993</v>
      </c>
      <c r="E36" s="436" cm="1">
        <f t="array" ref="E36">IF($B637=0, Vide, $B637)</f>
        <v>34.239524999999993</v>
      </c>
      <c r="F36" s="436" cm="1">
        <f t="array" ref="F36">IF($B637=0, Vide, $B637)</f>
        <v>34.239524999999993</v>
      </c>
      <c r="G36" s="436" cm="1">
        <f t="array" ref="G36">IF($B637=0, Vide, $B637)</f>
        <v>34.239524999999993</v>
      </c>
      <c r="H36" s="436" cm="1">
        <f t="array" ref="H36">IF($C637=0, Vide, $C637)</f>
        <v>36.500999999999998</v>
      </c>
      <c r="I36" s="436" cm="1">
        <f t="array" ref="I36">IF($C637=0, Vide, $C637)</f>
        <v>36.500999999999998</v>
      </c>
      <c r="J36" s="436" cm="1">
        <f t="array" ref="J36">IF($C637=0, Vide, $C637)</f>
        <v>36.500999999999998</v>
      </c>
      <c r="K36" s="436" cm="1">
        <f t="array" ref="K36">IF($C637=0, Vide, $C637)</f>
        <v>36.500999999999998</v>
      </c>
      <c r="L36" s="436" cm="1">
        <f t="array" ref="L36">IF($C637=0, Vide, $C637)</f>
        <v>36.500999999999998</v>
      </c>
      <c r="M36" s="436" t="s">
        <v>762</v>
      </c>
      <c r="N36" s="436" t="s">
        <v>762</v>
      </c>
      <c r="O36" s="436" t="s">
        <v>762</v>
      </c>
      <c r="P36" s="436" t="s">
        <v>762</v>
      </c>
      <c r="Q36" s="436" t="s">
        <v>762</v>
      </c>
      <c r="R36" s="436" t="s">
        <v>762</v>
      </c>
      <c r="S36" s="436" t="s">
        <v>762</v>
      </c>
      <c r="T36" s="436" t="s">
        <v>762</v>
      </c>
      <c r="U36" s="436" t="s">
        <v>762</v>
      </c>
      <c r="V36" s="436" cm="1">
        <f t="array" ref="V36">IF($D637=0, Vide, $D637)</f>
        <v>40.534624999999991</v>
      </c>
      <c r="W36" s="436" cm="1">
        <f t="array" ref="W36">IF($E637=0, Vide, $E637)</f>
        <v>44.303749999999994</v>
      </c>
      <c r="X36" s="436" cm="1">
        <f t="array" ref="X36">IF($F637=0, Vide, $F637)</f>
        <v>48.601874999999993</v>
      </c>
      <c r="Y36" s="436" cm="1">
        <f t="array" ref="Y36">IF($G637=0, Vide, $G637)</f>
        <v>52.860324999999996</v>
      </c>
      <c r="Z36" s="436" cm="1">
        <f t="array" ref="Z36">IF($H637=0, Vide, $H637)</f>
        <v>57.211349999999989</v>
      </c>
      <c r="AA36" s="436" cm="1">
        <f t="array" ref="AA36">IF($I637=0, Vide, $I637)</f>
        <v>61.535924999999992</v>
      </c>
      <c r="AB36" s="436" cm="1">
        <f t="array" ref="AB36">IF($J637=0, Vide, $J637)</f>
        <v>68.426149999999993</v>
      </c>
      <c r="AC36" s="436" cm="1">
        <f t="array" ref="AC36">IF($K637=0, Vide, $K637)</f>
        <v>75.012199999999993</v>
      </c>
      <c r="AD36" s="436" cm="1">
        <f t="array" ref="AD36">IF($L637=0, Vide, $L637)</f>
        <v>79.349999999999994</v>
      </c>
      <c r="AE36" s="436">
        <f t="shared" si="32"/>
        <v>87.284999999999997</v>
      </c>
      <c r="AF36" s="436">
        <f t="shared" si="32"/>
        <v>99.1875</v>
      </c>
      <c r="AG36" s="436">
        <f t="shared" si="32"/>
        <v>119.02499999999999</v>
      </c>
      <c r="AH36" s="436">
        <f t="shared" si="32"/>
        <v>138.86249999999998</v>
      </c>
      <c r="AI36" s="436">
        <f t="shared" si="32"/>
        <v>159.49349999999998</v>
      </c>
      <c r="AJ36" s="436">
        <f t="shared" si="32"/>
        <v>178.53749999999999</v>
      </c>
      <c r="AK36" s="436">
        <f t="shared" si="32"/>
        <v>198.375</v>
      </c>
      <c r="AL36" s="436">
        <f t="shared" si="32"/>
        <v>238.84349999999998</v>
      </c>
      <c r="AM36" s="436">
        <f t="shared" si="32"/>
        <v>257.88749999999999</v>
      </c>
      <c r="AN36" s="436">
        <f t="shared" si="32"/>
        <v>277.72499999999997</v>
      </c>
      <c r="AO36" s="436">
        <f t="shared" si="33"/>
        <v>297.5625</v>
      </c>
      <c r="AP36" s="436">
        <f t="shared" si="33"/>
        <v>318.19349999999997</v>
      </c>
      <c r="AQ36" s="436">
        <f t="shared" si="33"/>
        <v>337.23749999999995</v>
      </c>
      <c r="AR36" s="436">
        <f t="shared" si="33"/>
        <v>357.07499999999999</v>
      </c>
      <c r="AS36" s="436">
        <f t="shared" si="33"/>
        <v>376.91249999999997</v>
      </c>
      <c r="AT36" s="436">
        <f t="shared" si="33"/>
        <v>396.75</v>
      </c>
      <c r="AU36" s="436">
        <f t="shared" si="33"/>
        <v>416.58749999999998</v>
      </c>
      <c r="AV36" s="436">
        <f t="shared" si="33"/>
        <v>436.42499999999995</v>
      </c>
      <c r="AW36" s="436">
        <f t="shared" si="33"/>
        <v>456.26249999999999</v>
      </c>
      <c r="AX36" s="436">
        <f t="shared" si="33"/>
        <v>476.09999999999997</v>
      </c>
      <c r="AY36" s="436">
        <f t="shared" si="34"/>
        <v>515.77499999999998</v>
      </c>
      <c r="AZ36" s="436">
        <f t="shared" si="34"/>
        <v>555.44999999999993</v>
      </c>
      <c r="BA36" s="436">
        <f t="shared" si="34"/>
        <v>595.125</v>
      </c>
      <c r="BB36" s="436">
        <f t="shared" si="34"/>
        <v>634.79999999999995</v>
      </c>
      <c r="BC36" s="436">
        <f t="shared" si="34"/>
        <v>674.47499999999991</v>
      </c>
      <c r="BD36" s="436">
        <f t="shared" si="34"/>
        <v>714.15</v>
      </c>
      <c r="BE36" s="436">
        <f t="shared" si="34"/>
        <v>753.82499999999993</v>
      </c>
      <c r="BF36" s="436">
        <f t="shared" si="34"/>
        <v>793.5</v>
      </c>
      <c r="BG36" s="436">
        <f t="shared" si="34"/>
        <v>872.84999999999991</v>
      </c>
      <c r="BH36" s="436">
        <f t="shared" si="34"/>
        <v>952.19999999999993</v>
      </c>
      <c r="BI36" s="436">
        <f t="shared" si="35"/>
        <v>991.87499999999989</v>
      </c>
      <c r="BJ36" s="436">
        <f t="shared" si="35"/>
        <v>1031.55</v>
      </c>
      <c r="BK36" s="436">
        <f t="shared" si="35"/>
        <v>1110.8999999999999</v>
      </c>
      <c r="BL36" s="436">
        <f t="shared" si="35"/>
        <v>1190.25</v>
      </c>
      <c r="BM36" s="436">
        <f t="shared" si="35"/>
        <v>1269.5999999999999</v>
      </c>
      <c r="BN36" s="436">
        <f t="shared" si="35"/>
        <v>1348.9499999999998</v>
      </c>
      <c r="BO36" s="436">
        <f t="shared" si="35"/>
        <v>1388.625</v>
      </c>
      <c r="BP36" s="436">
        <f t="shared" si="35"/>
        <v>1428.3</v>
      </c>
      <c r="BQ36" s="436">
        <f t="shared" si="35"/>
        <v>1507.6499999999999</v>
      </c>
      <c r="BR36" s="436">
        <f t="shared" si="35"/>
        <v>1587</v>
      </c>
      <c r="BS36" s="436">
        <f t="shared" si="36"/>
        <v>1785.3749999999998</v>
      </c>
      <c r="BT36" s="436">
        <f t="shared" si="36"/>
        <v>1983.7499999999998</v>
      </c>
      <c r="BU36" s="436">
        <f t="shared" si="36"/>
        <v>2182.125</v>
      </c>
      <c r="BV36" s="436">
        <f t="shared" si="36"/>
        <v>2380.5</v>
      </c>
      <c r="BW36" s="436">
        <f t="shared" si="36"/>
        <v>2777.25</v>
      </c>
      <c r="BX36" s="436">
        <f t="shared" si="36"/>
        <v>3174</v>
      </c>
      <c r="BY36" s="436">
        <f t="shared" si="36"/>
        <v>3570.7499999999995</v>
      </c>
      <c r="BZ36" s="436">
        <f t="shared" si="36"/>
        <v>3967.4999999999995</v>
      </c>
      <c r="CA36" s="436">
        <f t="shared" si="36"/>
        <v>4364.25</v>
      </c>
      <c r="CB36" s="436">
        <f t="shared" si="36"/>
        <v>4761</v>
      </c>
      <c r="CC36" s="436">
        <f t="shared" si="36"/>
        <v>5554.5</v>
      </c>
      <c r="CD36" s="436">
        <f t="shared" si="36"/>
        <v>6348</v>
      </c>
      <c r="CE36" s="436">
        <f t="shared" si="36"/>
        <v>7141.4999999999991</v>
      </c>
      <c r="CF36" s="436">
        <f t="shared" si="36"/>
        <v>7934.9999999999991</v>
      </c>
      <c r="CG36" s="436" cm="1">
        <f t="array" ref="CG36">IF($M637=0, Vide, $M637)</f>
        <v>79.349999999999994</v>
      </c>
      <c r="CH36" s="435" t="s">
        <v>762</v>
      </c>
      <c r="CI36" s="435" t="s">
        <v>762</v>
      </c>
      <c r="CJ36" s="435" t="s">
        <v>762</v>
      </c>
      <c r="CK36" s="435" t="s">
        <v>762</v>
      </c>
      <c r="CL36" s="435" t="s">
        <v>762</v>
      </c>
    </row>
    <row r="37" spans="1:90" s="437" customFormat="1">
      <c r="A37" s="435" t="s">
        <v>545</v>
      </c>
      <c r="B37" s="435" t="s">
        <v>90</v>
      </c>
      <c r="C37" s="436" cm="1">
        <f t="array" ref="C37">IF($B638=0, Vide, $B638)</f>
        <v>34.239524999999993</v>
      </c>
      <c r="D37" s="436" cm="1">
        <f t="array" ref="D37">IF($B638=0, Vide, $B638)</f>
        <v>34.239524999999993</v>
      </c>
      <c r="E37" s="436" cm="1">
        <f t="array" ref="E37">IF($B638=0, Vide, $B638)</f>
        <v>34.239524999999993</v>
      </c>
      <c r="F37" s="436" cm="1">
        <f t="array" ref="F37">IF($B638=0, Vide, $B638)</f>
        <v>34.239524999999993</v>
      </c>
      <c r="G37" s="436" cm="1">
        <f t="array" ref="G37">IF($B638=0, Vide, $B638)</f>
        <v>34.239524999999993</v>
      </c>
      <c r="H37" s="436" cm="1">
        <f t="array" ref="H37">IF($C638=0, Vide, $C638)</f>
        <v>36.500999999999998</v>
      </c>
      <c r="I37" s="436" cm="1">
        <f t="array" ref="I37">IF($C638=0, Vide, $C638)</f>
        <v>36.500999999999998</v>
      </c>
      <c r="J37" s="436" cm="1">
        <f t="array" ref="J37">IF($C638=0, Vide, $C638)</f>
        <v>36.500999999999998</v>
      </c>
      <c r="K37" s="436" cm="1">
        <f t="array" ref="K37">IF($C638=0, Vide, $C638)</f>
        <v>36.500999999999998</v>
      </c>
      <c r="L37" s="436" cm="1">
        <f t="array" ref="L37">IF($C638=0, Vide, $C638)</f>
        <v>36.500999999999998</v>
      </c>
      <c r="M37" s="436" t="s">
        <v>762</v>
      </c>
      <c r="N37" s="436" t="s">
        <v>762</v>
      </c>
      <c r="O37" s="436" t="s">
        <v>762</v>
      </c>
      <c r="P37" s="436" t="s">
        <v>762</v>
      </c>
      <c r="Q37" s="436" t="s">
        <v>762</v>
      </c>
      <c r="R37" s="436" t="s">
        <v>762</v>
      </c>
      <c r="S37" s="436" t="s">
        <v>762</v>
      </c>
      <c r="T37" s="436" t="s">
        <v>762</v>
      </c>
      <c r="U37" s="436" t="s">
        <v>762</v>
      </c>
      <c r="V37" s="436" cm="1">
        <f t="array" ref="V37">IF($D638=0, Vide, $D638)</f>
        <v>40.534624999999991</v>
      </c>
      <c r="W37" s="436" cm="1">
        <f t="array" ref="W37">IF($E638=0, Vide, $E638)</f>
        <v>44.303749999999994</v>
      </c>
      <c r="X37" s="436" cm="1">
        <f t="array" ref="X37">IF($F638=0, Vide, $F638)</f>
        <v>48.601874999999993</v>
      </c>
      <c r="Y37" s="436" cm="1">
        <f t="array" ref="Y37">IF($G638=0, Vide, $G638)</f>
        <v>52.860324999999996</v>
      </c>
      <c r="Z37" s="436" cm="1">
        <f t="array" ref="Z37">IF($H638=0, Vide, $H638)</f>
        <v>57.211349999999989</v>
      </c>
      <c r="AA37" s="436" cm="1">
        <f t="array" ref="AA37">IF($I638=0, Vide, $I638)</f>
        <v>61.535924999999992</v>
      </c>
      <c r="AB37" s="436" cm="1">
        <f t="array" ref="AB37">IF($J638=0, Vide, $J638)</f>
        <v>68.426149999999993</v>
      </c>
      <c r="AC37" s="436" cm="1">
        <f t="array" ref="AC37">IF($K638=0, Vide, $K638)</f>
        <v>75.012199999999993</v>
      </c>
      <c r="AD37" s="436" cm="1">
        <f t="array" ref="AD37">IF($L638=0, Vide, $L638)</f>
        <v>79.349999999999994</v>
      </c>
      <c r="AE37" s="436">
        <f t="shared" si="32"/>
        <v>87.284999999999997</v>
      </c>
      <c r="AF37" s="436">
        <f t="shared" si="32"/>
        <v>99.1875</v>
      </c>
      <c r="AG37" s="436">
        <f t="shared" si="32"/>
        <v>119.02499999999999</v>
      </c>
      <c r="AH37" s="436">
        <f t="shared" si="32"/>
        <v>138.86249999999998</v>
      </c>
      <c r="AI37" s="436">
        <f t="shared" si="32"/>
        <v>159.49349999999998</v>
      </c>
      <c r="AJ37" s="436">
        <f t="shared" si="32"/>
        <v>178.53749999999999</v>
      </c>
      <c r="AK37" s="436">
        <f t="shared" si="32"/>
        <v>198.375</v>
      </c>
      <c r="AL37" s="436">
        <f t="shared" si="32"/>
        <v>238.84349999999998</v>
      </c>
      <c r="AM37" s="436">
        <f t="shared" si="32"/>
        <v>257.88749999999999</v>
      </c>
      <c r="AN37" s="436">
        <f t="shared" si="32"/>
        <v>277.72499999999997</v>
      </c>
      <c r="AO37" s="436">
        <f t="shared" si="33"/>
        <v>297.5625</v>
      </c>
      <c r="AP37" s="436">
        <f t="shared" si="33"/>
        <v>318.19349999999997</v>
      </c>
      <c r="AQ37" s="436">
        <f t="shared" si="33"/>
        <v>337.23749999999995</v>
      </c>
      <c r="AR37" s="436">
        <f t="shared" si="33"/>
        <v>357.07499999999999</v>
      </c>
      <c r="AS37" s="436">
        <f t="shared" si="33"/>
        <v>376.91249999999997</v>
      </c>
      <c r="AT37" s="436">
        <f t="shared" si="33"/>
        <v>396.75</v>
      </c>
      <c r="AU37" s="436">
        <f t="shared" si="33"/>
        <v>416.58749999999998</v>
      </c>
      <c r="AV37" s="436">
        <f t="shared" si="33"/>
        <v>436.42499999999995</v>
      </c>
      <c r="AW37" s="436">
        <f t="shared" si="33"/>
        <v>456.26249999999999</v>
      </c>
      <c r="AX37" s="436">
        <f t="shared" si="33"/>
        <v>476.09999999999997</v>
      </c>
      <c r="AY37" s="436">
        <f t="shared" si="34"/>
        <v>515.77499999999998</v>
      </c>
      <c r="AZ37" s="436">
        <f t="shared" si="34"/>
        <v>555.44999999999993</v>
      </c>
      <c r="BA37" s="436">
        <f t="shared" si="34"/>
        <v>595.125</v>
      </c>
      <c r="BB37" s="436">
        <f t="shared" si="34"/>
        <v>634.79999999999995</v>
      </c>
      <c r="BC37" s="436">
        <f t="shared" si="34"/>
        <v>674.47499999999991</v>
      </c>
      <c r="BD37" s="436">
        <f t="shared" si="34"/>
        <v>714.15</v>
      </c>
      <c r="BE37" s="436">
        <f t="shared" si="34"/>
        <v>753.82499999999993</v>
      </c>
      <c r="BF37" s="436">
        <f t="shared" si="34"/>
        <v>793.5</v>
      </c>
      <c r="BG37" s="436">
        <f t="shared" si="34"/>
        <v>872.84999999999991</v>
      </c>
      <c r="BH37" s="436">
        <f t="shared" si="34"/>
        <v>952.19999999999993</v>
      </c>
      <c r="BI37" s="436">
        <f t="shared" si="35"/>
        <v>991.87499999999989</v>
      </c>
      <c r="BJ37" s="436">
        <f t="shared" si="35"/>
        <v>1031.55</v>
      </c>
      <c r="BK37" s="436">
        <f t="shared" si="35"/>
        <v>1110.8999999999999</v>
      </c>
      <c r="BL37" s="436">
        <f t="shared" si="35"/>
        <v>1190.25</v>
      </c>
      <c r="BM37" s="436">
        <f t="shared" si="35"/>
        <v>1269.5999999999999</v>
      </c>
      <c r="BN37" s="436">
        <f t="shared" si="35"/>
        <v>1348.9499999999998</v>
      </c>
      <c r="BO37" s="436">
        <f t="shared" si="35"/>
        <v>1388.625</v>
      </c>
      <c r="BP37" s="436">
        <f t="shared" si="35"/>
        <v>1428.3</v>
      </c>
      <c r="BQ37" s="436">
        <f t="shared" si="35"/>
        <v>1507.6499999999999</v>
      </c>
      <c r="BR37" s="436">
        <f t="shared" si="35"/>
        <v>1587</v>
      </c>
      <c r="BS37" s="436">
        <f t="shared" si="36"/>
        <v>1785.3749999999998</v>
      </c>
      <c r="BT37" s="436">
        <f t="shared" si="36"/>
        <v>1983.7499999999998</v>
      </c>
      <c r="BU37" s="436">
        <f t="shared" si="36"/>
        <v>2182.125</v>
      </c>
      <c r="BV37" s="436">
        <f t="shared" si="36"/>
        <v>2380.5</v>
      </c>
      <c r="BW37" s="436">
        <f t="shared" si="36"/>
        <v>2777.25</v>
      </c>
      <c r="BX37" s="436">
        <f t="shared" si="36"/>
        <v>3174</v>
      </c>
      <c r="BY37" s="436">
        <f t="shared" si="36"/>
        <v>3570.7499999999995</v>
      </c>
      <c r="BZ37" s="436">
        <f t="shared" si="36"/>
        <v>3967.4999999999995</v>
      </c>
      <c r="CA37" s="436">
        <f t="shared" si="36"/>
        <v>4364.25</v>
      </c>
      <c r="CB37" s="436">
        <f t="shared" si="36"/>
        <v>4761</v>
      </c>
      <c r="CC37" s="436">
        <f t="shared" si="36"/>
        <v>5554.5</v>
      </c>
      <c r="CD37" s="436">
        <f t="shared" si="36"/>
        <v>6348</v>
      </c>
      <c r="CE37" s="436">
        <f t="shared" si="36"/>
        <v>7141.4999999999991</v>
      </c>
      <c r="CF37" s="436">
        <f t="shared" si="36"/>
        <v>7934.9999999999991</v>
      </c>
      <c r="CG37" s="436" cm="1">
        <f t="array" ref="CG37">IF($M638=0, Vide, $M638)</f>
        <v>79.349999999999994</v>
      </c>
      <c r="CH37" s="435" t="s">
        <v>762</v>
      </c>
      <c r="CI37" s="435" t="s">
        <v>762</v>
      </c>
      <c r="CJ37" s="435" t="s">
        <v>762</v>
      </c>
      <c r="CK37" s="435" t="s">
        <v>762</v>
      </c>
      <c r="CL37" s="435" t="s">
        <v>762</v>
      </c>
    </row>
    <row r="38" spans="1:90" s="437" customFormat="1">
      <c r="A38" s="435" t="s">
        <v>546</v>
      </c>
      <c r="B38" s="435" t="s">
        <v>90</v>
      </c>
      <c r="C38" s="436" t="s">
        <v>762</v>
      </c>
      <c r="D38" s="436" t="s">
        <v>762</v>
      </c>
      <c r="E38" s="436" t="s">
        <v>762</v>
      </c>
      <c r="F38" s="436" t="s">
        <v>762</v>
      </c>
      <c r="G38" s="436" t="s">
        <v>762</v>
      </c>
      <c r="H38" s="436" t="s">
        <v>762</v>
      </c>
      <c r="I38" s="436" t="s">
        <v>762</v>
      </c>
      <c r="J38" s="436" t="s">
        <v>762</v>
      </c>
      <c r="K38" s="436" t="s">
        <v>762</v>
      </c>
      <c r="L38" s="436" t="s">
        <v>762</v>
      </c>
      <c r="M38" s="436" t="s">
        <v>762</v>
      </c>
      <c r="N38" s="436" t="s">
        <v>762</v>
      </c>
      <c r="O38" s="436" t="s">
        <v>762</v>
      </c>
      <c r="P38" s="436" t="s">
        <v>762</v>
      </c>
      <c r="Q38" s="436" t="s">
        <v>762</v>
      </c>
      <c r="R38" s="436" t="s">
        <v>762</v>
      </c>
      <c r="S38" s="436" t="s">
        <v>762</v>
      </c>
      <c r="T38" s="436" t="s">
        <v>762</v>
      </c>
      <c r="U38" s="436" t="s">
        <v>762</v>
      </c>
      <c r="V38" s="436" t="s">
        <v>762</v>
      </c>
      <c r="W38" s="436" t="s">
        <v>762</v>
      </c>
      <c r="X38" s="436" t="s">
        <v>762</v>
      </c>
      <c r="Y38" s="436" t="s">
        <v>762</v>
      </c>
      <c r="Z38" s="436" t="s">
        <v>762</v>
      </c>
      <c r="AA38" s="436" t="s">
        <v>762</v>
      </c>
      <c r="AB38" s="436" t="s">
        <v>762</v>
      </c>
      <c r="AC38" s="436" t="s">
        <v>762</v>
      </c>
      <c r="AD38" s="436" t="s">
        <v>762</v>
      </c>
      <c r="AE38" s="436" t="s">
        <v>762</v>
      </c>
      <c r="AF38" s="436" t="s">
        <v>762</v>
      </c>
      <c r="AG38" s="436" t="s">
        <v>762</v>
      </c>
      <c r="AH38" s="436" t="s">
        <v>762</v>
      </c>
      <c r="AI38" s="436" t="s">
        <v>762</v>
      </c>
      <c r="AJ38" s="436" t="s">
        <v>762</v>
      </c>
      <c r="AK38" s="436" t="s">
        <v>762</v>
      </c>
      <c r="AL38" s="436" t="s">
        <v>762</v>
      </c>
      <c r="AM38" s="436" t="s">
        <v>762</v>
      </c>
      <c r="AN38" s="436" t="s">
        <v>762</v>
      </c>
      <c r="AO38" s="436" t="s">
        <v>762</v>
      </c>
      <c r="AP38" s="436" t="s">
        <v>762</v>
      </c>
      <c r="AQ38" s="436" t="s">
        <v>762</v>
      </c>
      <c r="AR38" s="436" t="s">
        <v>762</v>
      </c>
      <c r="AS38" s="436" t="s">
        <v>762</v>
      </c>
      <c r="AT38" s="436" t="s">
        <v>762</v>
      </c>
      <c r="AU38" s="436" t="s">
        <v>762</v>
      </c>
      <c r="AV38" s="436" t="s">
        <v>762</v>
      </c>
      <c r="AW38" s="436" t="s">
        <v>762</v>
      </c>
      <c r="AX38" s="436" t="s">
        <v>762</v>
      </c>
      <c r="AY38" s="436" t="s">
        <v>762</v>
      </c>
      <c r="AZ38" s="436" t="s">
        <v>762</v>
      </c>
      <c r="BA38" s="436" t="s">
        <v>762</v>
      </c>
      <c r="BB38" s="436" t="s">
        <v>762</v>
      </c>
      <c r="BC38" s="436" t="s">
        <v>762</v>
      </c>
      <c r="BD38" s="436" t="s">
        <v>762</v>
      </c>
      <c r="BE38" s="436" t="s">
        <v>762</v>
      </c>
      <c r="BF38" s="436" t="s">
        <v>762</v>
      </c>
      <c r="BG38" s="436" t="s">
        <v>762</v>
      </c>
      <c r="BH38" s="436" t="s">
        <v>762</v>
      </c>
      <c r="BI38" s="436" t="s">
        <v>762</v>
      </c>
      <c r="BJ38" s="436" t="s">
        <v>762</v>
      </c>
      <c r="BK38" s="436" t="s">
        <v>762</v>
      </c>
      <c r="BL38" s="436" t="s">
        <v>762</v>
      </c>
      <c r="BM38" s="436" t="s">
        <v>762</v>
      </c>
      <c r="BN38" s="436" t="s">
        <v>762</v>
      </c>
      <c r="BO38" s="436" t="s">
        <v>762</v>
      </c>
      <c r="BP38" s="436" t="s">
        <v>762</v>
      </c>
      <c r="BQ38" s="436" t="s">
        <v>762</v>
      </c>
      <c r="BR38" s="436" t="s">
        <v>762</v>
      </c>
      <c r="BS38" s="436" t="s">
        <v>762</v>
      </c>
      <c r="BT38" s="436" t="s">
        <v>762</v>
      </c>
      <c r="BU38" s="436" t="s">
        <v>762</v>
      </c>
      <c r="BV38" s="436" t="s">
        <v>762</v>
      </c>
      <c r="BW38" s="436" t="s">
        <v>762</v>
      </c>
      <c r="BX38" s="436" t="s">
        <v>762</v>
      </c>
      <c r="BY38" s="436" t="s">
        <v>762</v>
      </c>
      <c r="BZ38" s="436" t="s">
        <v>762</v>
      </c>
      <c r="CA38" s="436" t="s">
        <v>762</v>
      </c>
      <c r="CB38" s="436" t="s">
        <v>762</v>
      </c>
      <c r="CC38" s="436" t="s">
        <v>762</v>
      </c>
      <c r="CD38" s="436" t="s">
        <v>762</v>
      </c>
      <c r="CE38" s="436" t="s">
        <v>762</v>
      </c>
      <c r="CF38" s="436" t="s">
        <v>762</v>
      </c>
      <c r="CG38" s="436" t="s">
        <v>762</v>
      </c>
      <c r="CH38" s="436" t="s">
        <v>762</v>
      </c>
      <c r="CI38" s="436" t="s">
        <v>762</v>
      </c>
      <c r="CJ38" s="436" t="s">
        <v>762</v>
      </c>
      <c r="CK38" s="436" t="s">
        <v>762</v>
      </c>
      <c r="CL38" s="436" t="s">
        <v>762</v>
      </c>
    </row>
    <row r="39" spans="1:90" s="437" customFormat="1">
      <c r="A39" s="435" t="s">
        <v>547</v>
      </c>
      <c r="B39" s="435" t="s">
        <v>90</v>
      </c>
      <c r="C39" s="436" cm="1">
        <f t="array" ref="C39">IF($B640=0, Vide, $B640)</f>
        <v>41.433924999999995</v>
      </c>
      <c r="D39" s="436" cm="1">
        <f t="array" ref="D39">IF($B640=0, Vide, $B640)</f>
        <v>41.433924999999995</v>
      </c>
      <c r="E39" s="436" cm="1">
        <f t="array" ref="E39">IF($B640=0, Vide, $B640)</f>
        <v>41.433924999999995</v>
      </c>
      <c r="F39" s="436" cm="1">
        <f t="array" ref="F39">IF($B640=0, Vide, $B640)</f>
        <v>41.433924999999995</v>
      </c>
      <c r="G39" s="436" cm="1">
        <f t="array" ref="G39">IF($B640=0, Vide, $B640)</f>
        <v>41.433924999999995</v>
      </c>
      <c r="H39" s="436" cm="1">
        <f t="array" ref="H39">IF($C640=0, Vide, $C640)</f>
        <v>48.879599999999996</v>
      </c>
      <c r="I39" s="436" cm="1">
        <f t="array" ref="I39">IF($C640=0, Vide, $C640)</f>
        <v>48.879599999999996</v>
      </c>
      <c r="J39" s="436" cm="1">
        <f t="array" ref="J39">IF($C640=0, Vide, $C640)</f>
        <v>48.879599999999996</v>
      </c>
      <c r="K39" s="436" cm="1">
        <f t="array" ref="K39">IF($C640=0, Vide, $C640)</f>
        <v>48.879599999999996</v>
      </c>
      <c r="L39" s="436" cm="1">
        <f t="array" ref="L39">IF($C640=0, Vide, $C640)</f>
        <v>48.879599999999996</v>
      </c>
      <c r="M39" s="436" t="s">
        <v>762</v>
      </c>
      <c r="N39" s="436" t="s">
        <v>762</v>
      </c>
      <c r="O39" s="436" t="s">
        <v>762</v>
      </c>
      <c r="P39" s="436" t="s">
        <v>762</v>
      </c>
      <c r="Q39" s="436" t="s">
        <v>762</v>
      </c>
      <c r="R39" s="436" t="s">
        <v>762</v>
      </c>
      <c r="S39" s="436" t="s">
        <v>762</v>
      </c>
      <c r="T39" s="436" t="s">
        <v>762</v>
      </c>
      <c r="U39" s="436" t="s">
        <v>762</v>
      </c>
      <c r="V39" s="436" cm="1">
        <f t="array" ref="V39">IF($D640=0, Vide, $D640)</f>
        <v>65.146349999999984</v>
      </c>
      <c r="W39" s="436" cm="1">
        <f t="array" ref="W39">IF($E640=0, Vide, $E640)</f>
        <v>78.159750000000003</v>
      </c>
      <c r="X39" s="436" cm="1">
        <f t="array" ref="X39">IF($F640=0, Vide, $F640)</f>
        <v>94.439724999999967</v>
      </c>
      <c r="Y39" s="436" cm="1">
        <f t="array" ref="Y39">IF($G640=0, Vide, $G640)</f>
        <v>110.75937499999998</v>
      </c>
      <c r="Z39" s="436" cm="1">
        <f t="array" ref="Z39">IF($H640=0, Vide, $H640)</f>
        <v>127.31707499999997</v>
      </c>
      <c r="AA39" s="436" cm="1">
        <f t="array" ref="AA39">IF($I640=0, Vide, $I640)</f>
        <v>144.43022499999998</v>
      </c>
      <c r="AB39" s="436" cm="1">
        <f t="array" ref="AB39">IF($J640=0, Vide, $J640)</f>
        <v>161.86077499999996</v>
      </c>
      <c r="AC39" s="436" cm="1">
        <f t="array" ref="AC39">IF($K640=0, Vide, $K640)</f>
        <v>179.29132499999997</v>
      </c>
      <c r="AD39" s="436" cm="1">
        <f t="array" ref="AD39">IF($L640=0, Vide, $L640)</f>
        <v>202.72602499999996</v>
      </c>
      <c r="AE39" s="436">
        <f t="shared" ref="AE39:BJ39" si="37">(AE$1/100)*$CG39</f>
        <v>222.99862749999997</v>
      </c>
      <c r="AF39" s="436">
        <f t="shared" si="37"/>
        <v>253.40753124999995</v>
      </c>
      <c r="AG39" s="436">
        <f t="shared" si="37"/>
        <v>304.08903749999996</v>
      </c>
      <c r="AH39" s="436">
        <f t="shared" si="37"/>
        <v>354.77054374999994</v>
      </c>
      <c r="AI39" s="436">
        <f t="shared" si="37"/>
        <v>407.47931024999991</v>
      </c>
      <c r="AJ39" s="436">
        <f t="shared" si="37"/>
        <v>456.13355624999991</v>
      </c>
      <c r="AK39" s="436">
        <f t="shared" si="37"/>
        <v>506.8150624999999</v>
      </c>
      <c r="AL39" s="436">
        <f t="shared" si="37"/>
        <v>610.20533524999985</v>
      </c>
      <c r="AM39" s="436">
        <f t="shared" si="37"/>
        <v>658.85958124999991</v>
      </c>
      <c r="AN39" s="436">
        <f t="shared" si="37"/>
        <v>709.54108749999989</v>
      </c>
      <c r="AO39" s="436">
        <f t="shared" si="37"/>
        <v>760.22259374999987</v>
      </c>
      <c r="AP39" s="436">
        <f t="shared" si="37"/>
        <v>812.93136024999978</v>
      </c>
      <c r="AQ39" s="436">
        <f t="shared" si="37"/>
        <v>861.58560624999984</v>
      </c>
      <c r="AR39" s="436">
        <f t="shared" si="37"/>
        <v>912.26711249999983</v>
      </c>
      <c r="AS39" s="436">
        <f t="shared" si="37"/>
        <v>962.94861874999981</v>
      </c>
      <c r="AT39" s="436">
        <f t="shared" si="37"/>
        <v>1013.6301249999998</v>
      </c>
      <c r="AU39" s="436">
        <f t="shared" si="37"/>
        <v>1064.3116312499999</v>
      </c>
      <c r="AV39" s="436">
        <f t="shared" si="37"/>
        <v>1114.9931374999999</v>
      </c>
      <c r="AW39" s="436">
        <f t="shared" si="37"/>
        <v>1165.6746437499999</v>
      </c>
      <c r="AX39" s="436">
        <f t="shared" si="37"/>
        <v>1216.3561499999998</v>
      </c>
      <c r="AY39" s="436">
        <f t="shared" si="37"/>
        <v>1317.7191624999998</v>
      </c>
      <c r="AZ39" s="436">
        <f t="shared" si="37"/>
        <v>1419.0821749999998</v>
      </c>
      <c r="BA39" s="436">
        <f t="shared" si="37"/>
        <v>1520.4451874999997</v>
      </c>
      <c r="BB39" s="436">
        <f t="shared" si="37"/>
        <v>1621.8081999999997</v>
      </c>
      <c r="BC39" s="436">
        <f t="shared" si="37"/>
        <v>1723.1712124999997</v>
      </c>
      <c r="BD39" s="436">
        <f t="shared" si="37"/>
        <v>1824.5342249999997</v>
      </c>
      <c r="BE39" s="436">
        <f t="shared" si="37"/>
        <v>1925.8972374999996</v>
      </c>
      <c r="BF39" s="436">
        <f t="shared" si="37"/>
        <v>2027.2602499999996</v>
      </c>
      <c r="BG39" s="436">
        <f t="shared" si="37"/>
        <v>2229.9862749999998</v>
      </c>
      <c r="BH39" s="436">
        <f t="shared" si="37"/>
        <v>2432.7122999999997</v>
      </c>
      <c r="BI39" s="436">
        <f t="shared" si="37"/>
        <v>2534.0753124999997</v>
      </c>
      <c r="BJ39" s="436">
        <f t="shared" si="37"/>
        <v>2635.4383249999996</v>
      </c>
      <c r="BK39" s="436">
        <f t="shared" ref="BK39:CF39" si="38">(BK$1/100)*$CG39</f>
        <v>2838.1643499999996</v>
      </c>
      <c r="BL39" s="436">
        <f t="shared" si="38"/>
        <v>3040.8903749999995</v>
      </c>
      <c r="BM39" s="436">
        <f t="shared" si="38"/>
        <v>3243.6163999999994</v>
      </c>
      <c r="BN39" s="436">
        <f t="shared" si="38"/>
        <v>3446.3424249999994</v>
      </c>
      <c r="BO39" s="436">
        <f t="shared" si="38"/>
        <v>3547.7054374999993</v>
      </c>
      <c r="BP39" s="436">
        <f t="shared" si="38"/>
        <v>3649.0684499999993</v>
      </c>
      <c r="BQ39" s="436">
        <f t="shared" si="38"/>
        <v>3851.7944749999992</v>
      </c>
      <c r="BR39" s="436">
        <f t="shared" si="38"/>
        <v>4054.5204999999992</v>
      </c>
      <c r="BS39" s="436">
        <f t="shared" si="38"/>
        <v>4561.3355624999995</v>
      </c>
      <c r="BT39" s="436">
        <f t="shared" si="38"/>
        <v>5068.1506249999993</v>
      </c>
      <c r="BU39" s="436">
        <f t="shared" si="38"/>
        <v>5574.9656874999991</v>
      </c>
      <c r="BV39" s="436">
        <f t="shared" si="38"/>
        <v>6081.780749999999</v>
      </c>
      <c r="BW39" s="436">
        <f t="shared" si="38"/>
        <v>7095.4108749999987</v>
      </c>
      <c r="BX39" s="436">
        <f t="shared" si="38"/>
        <v>8109.0409999999983</v>
      </c>
      <c r="BY39" s="436">
        <f t="shared" si="38"/>
        <v>9122.6711249999989</v>
      </c>
      <c r="BZ39" s="436">
        <f t="shared" si="38"/>
        <v>10136.301249999999</v>
      </c>
      <c r="CA39" s="436">
        <f t="shared" si="38"/>
        <v>11149.931374999998</v>
      </c>
      <c r="CB39" s="436">
        <f t="shared" si="38"/>
        <v>12163.561499999998</v>
      </c>
      <c r="CC39" s="436">
        <f t="shared" si="38"/>
        <v>14190.821749999997</v>
      </c>
      <c r="CD39" s="436">
        <f t="shared" si="38"/>
        <v>16218.081999999997</v>
      </c>
      <c r="CE39" s="436">
        <f t="shared" si="38"/>
        <v>18245.342249999998</v>
      </c>
      <c r="CF39" s="436">
        <f t="shared" si="38"/>
        <v>20272.602499999997</v>
      </c>
      <c r="CG39" s="436" cm="1">
        <f t="array" ref="CG39">IF($M640=0, Vide, $M640)</f>
        <v>202.72602499999996</v>
      </c>
      <c r="CH39" s="435" t="s">
        <v>762</v>
      </c>
      <c r="CI39" s="435" t="s">
        <v>762</v>
      </c>
      <c r="CJ39" s="435" t="s">
        <v>762</v>
      </c>
      <c r="CK39" s="435" t="s">
        <v>762</v>
      </c>
      <c r="CL39" s="435" t="s">
        <v>762</v>
      </c>
    </row>
    <row r="40" spans="1:90" s="437" customFormat="1">
      <c r="A40" s="435" t="s">
        <v>548</v>
      </c>
      <c r="B40" s="435" t="s">
        <v>90</v>
      </c>
      <c r="C40" s="436" t="s">
        <v>762</v>
      </c>
      <c r="D40" s="436" t="s">
        <v>762</v>
      </c>
      <c r="E40" s="436" t="s">
        <v>762</v>
      </c>
      <c r="F40" s="436" t="s">
        <v>762</v>
      </c>
      <c r="G40" s="436" t="s">
        <v>762</v>
      </c>
      <c r="H40" s="436" t="s">
        <v>762</v>
      </c>
      <c r="I40" s="436" t="s">
        <v>762</v>
      </c>
      <c r="J40" s="436" t="s">
        <v>762</v>
      </c>
      <c r="K40" s="436" t="s">
        <v>762</v>
      </c>
      <c r="L40" s="436" t="s">
        <v>762</v>
      </c>
      <c r="M40" s="436" t="s">
        <v>762</v>
      </c>
      <c r="N40" s="436" t="s">
        <v>762</v>
      </c>
      <c r="O40" s="436" t="s">
        <v>762</v>
      </c>
      <c r="P40" s="436" t="s">
        <v>762</v>
      </c>
      <c r="Q40" s="436" t="s">
        <v>762</v>
      </c>
      <c r="R40" s="436" t="s">
        <v>762</v>
      </c>
      <c r="S40" s="436" t="s">
        <v>762</v>
      </c>
      <c r="T40" s="436" t="s">
        <v>762</v>
      </c>
      <c r="U40" s="436" t="s">
        <v>762</v>
      </c>
      <c r="V40" s="436" t="s">
        <v>762</v>
      </c>
      <c r="W40" s="436" t="s">
        <v>762</v>
      </c>
      <c r="X40" s="436" t="s">
        <v>762</v>
      </c>
      <c r="Y40" s="436" t="s">
        <v>762</v>
      </c>
      <c r="Z40" s="436" t="s">
        <v>762</v>
      </c>
      <c r="AA40" s="436" t="s">
        <v>762</v>
      </c>
      <c r="AB40" s="436" t="s">
        <v>762</v>
      </c>
      <c r="AC40" s="436" t="s">
        <v>762</v>
      </c>
      <c r="AD40" s="436" t="s">
        <v>762</v>
      </c>
      <c r="AE40" s="436" t="s">
        <v>762</v>
      </c>
      <c r="AF40" s="436" t="s">
        <v>762</v>
      </c>
      <c r="AG40" s="436" t="s">
        <v>762</v>
      </c>
      <c r="AH40" s="436" t="s">
        <v>762</v>
      </c>
      <c r="AI40" s="436" t="s">
        <v>762</v>
      </c>
      <c r="AJ40" s="436" t="s">
        <v>762</v>
      </c>
      <c r="AK40" s="436" t="s">
        <v>762</v>
      </c>
      <c r="AL40" s="436" t="s">
        <v>762</v>
      </c>
      <c r="AM40" s="436" t="s">
        <v>762</v>
      </c>
      <c r="AN40" s="436" t="s">
        <v>762</v>
      </c>
      <c r="AO40" s="436" t="s">
        <v>762</v>
      </c>
      <c r="AP40" s="436" t="s">
        <v>762</v>
      </c>
      <c r="AQ40" s="436" t="s">
        <v>762</v>
      </c>
      <c r="AR40" s="436" t="s">
        <v>762</v>
      </c>
      <c r="AS40" s="436" t="s">
        <v>762</v>
      </c>
      <c r="AT40" s="436" t="s">
        <v>762</v>
      </c>
      <c r="AU40" s="436" t="s">
        <v>762</v>
      </c>
      <c r="AV40" s="436" t="s">
        <v>762</v>
      </c>
      <c r="AW40" s="436" t="s">
        <v>762</v>
      </c>
      <c r="AX40" s="436" t="s">
        <v>762</v>
      </c>
      <c r="AY40" s="436" t="s">
        <v>762</v>
      </c>
      <c r="AZ40" s="436" t="s">
        <v>762</v>
      </c>
      <c r="BA40" s="436" t="s">
        <v>762</v>
      </c>
      <c r="BB40" s="436" t="s">
        <v>762</v>
      </c>
      <c r="BC40" s="436" t="s">
        <v>762</v>
      </c>
      <c r="BD40" s="436" t="s">
        <v>762</v>
      </c>
      <c r="BE40" s="436" t="s">
        <v>762</v>
      </c>
      <c r="BF40" s="436" t="s">
        <v>762</v>
      </c>
      <c r="BG40" s="436" t="s">
        <v>762</v>
      </c>
      <c r="BH40" s="436" t="s">
        <v>762</v>
      </c>
      <c r="BI40" s="436" t="s">
        <v>762</v>
      </c>
      <c r="BJ40" s="436" t="s">
        <v>762</v>
      </c>
      <c r="BK40" s="436" t="s">
        <v>762</v>
      </c>
      <c r="BL40" s="436" t="s">
        <v>762</v>
      </c>
      <c r="BM40" s="436" t="s">
        <v>762</v>
      </c>
      <c r="BN40" s="436" t="s">
        <v>762</v>
      </c>
      <c r="BO40" s="436" t="s">
        <v>762</v>
      </c>
      <c r="BP40" s="436" t="s">
        <v>762</v>
      </c>
      <c r="BQ40" s="436" t="s">
        <v>762</v>
      </c>
      <c r="BR40" s="436" t="s">
        <v>762</v>
      </c>
      <c r="BS40" s="436" t="s">
        <v>762</v>
      </c>
      <c r="BT40" s="436" t="s">
        <v>762</v>
      </c>
      <c r="BU40" s="436" t="s">
        <v>762</v>
      </c>
      <c r="BV40" s="436" t="s">
        <v>762</v>
      </c>
      <c r="BW40" s="436" t="s">
        <v>762</v>
      </c>
      <c r="BX40" s="436" t="s">
        <v>762</v>
      </c>
      <c r="BY40" s="436" t="s">
        <v>762</v>
      </c>
      <c r="BZ40" s="436" t="s">
        <v>762</v>
      </c>
      <c r="CA40" s="436" t="s">
        <v>762</v>
      </c>
      <c r="CB40" s="436" t="s">
        <v>762</v>
      </c>
      <c r="CC40" s="436" t="s">
        <v>762</v>
      </c>
      <c r="CD40" s="436" t="s">
        <v>762</v>
      </c>
      <c r="CE40" s="436" t="s">
        <v>762</v>
      </c>
      <c r="CF40" s="436" t="s">
        <v>762</v>
      </c>
      <c r="CG40" s="436" t="s">
        <v>762</v>
      </c>
      <c r="CH40" s="436" t="s">
        <v>762</v>
      </c>
      <c r="CI40" s="436" t="s">
        <v>762</v>
      </c>
      <c r="CJ40" s="436" t="s">
        <v>762</v>
      </c>
      <c r="CK40" s="436" t="s">
        <v>762</v>
      </c>
      <c r="CL40" s="436" t="s">
        <v>762</v>
      </c>
    </row>
    <row r="41" spans="1:90" s="437" customFormat="1">
      <c r="A41" s="435" t="s">
        <v>549</v>
      </c>
      <c r="B41" s="435" t="s">
        <v>90</v>
      </c>
      <c r="C41" s="436" cm="1">
        <f t="array" ref="C41">IF($B642=0, Vide, $B642)</f>
        <v>41.433924999999995</v>
      </c>
      <c r="D41" s="436" cm="1">
        <f t="array" ref="D41">IF($B642=0, Vide, $B642)</f>
        <v>41.433924999999995</v>
      </c>
      <c r="E41" s="436" cm="1">
        <f t="array" ref="E41">IF($B642=0, Vide, $B642)</f>
        <v>41.433924999999995</v>
      </c>
      <c r="F41" s="436" cm="1">
        <f t="array" ref="F41">IF($B642=0, Vide, $B642)</f>
        <v>41.433924999999995</v>
      </c>
      <c r="G41" s="436" cm="1">
        <f t="array" ref="G41">IF($B642=0, Vide, $B642)</f>
        <v>41.433924999999995</v>
      </c>
      <c r="H41" s="436" cm="1">
        <f t="array" ref="H41">IF($C642=0, Vide, $C642)</f>
        <v>48.879599999999996</v>
      </c>
      <c r="I41" s="436" cm="1">
        <f t="array" ref="I41">IF($C642=0, Vide, $C642)</f>
        <v>48.879599999999996</v>
      </c>
      <c r="J41" s="436" cm="1">
        <f t="array" ref="J41">IF($C642=0, Vide, $C642)</f>
        <v>48.879599999999996</v>
      </c>
      <c r="K41" s="436" cm="1">
        <f t="array" ref="K41">IF($C642=0, Vide, $C642)</f>
        <v>48.879599999999996</v>
      </c>
      <c r="L41" s="436" cm="1">
        <f t="array" ref="L41">IF($C642=0, Vide, $C642)</f>
        <v>48.879599999999996</v>
      </c>
      <c r="M41" s="436" t="s">
        <v>762</v>
      </c>
      <c r="N41" s="436" t="s">
        <v>762</v>
      </c>
      <c r="O41" s="436" t="s">
        <v>762</v>
      </c>
      <c r="P41" s="436" t="s">
        <v>762</v>
      </c>
      <c r="Q41" s="436" t="s">
        <v>762</v>
      </c>
      <c r="R41" s="436" t="s">
        <v>762</v>
      </c>
      <c r="S41" s="436" t="s">
        <v>762</v>
      </c>
      <c r="T41" s="436" t="s">
        <v>762</v>
      </c>
      <c r="U41" s="436" t="s">
        <v>762</v>
      </c>
      <c r="V41" s="436" cm="1">
        <f t="array" ref="V41">IF($D642=0, Vide, $D642)</f>
        <v>65.146349999999984</v>
      </c>
      <c r="W41" s="436" cm="1">
        <f t="array" ref="W41">IF($E642=0, Vide, $E642)</f>
        <v>78.159750000000003</v>
      </c>
      <c r="X41" s="436" cm="1">
        <f t="array" ref="X41">IF($F642=0, Vide, $F642)</f>
        <v>94.439724999999967</v>
      </c>
      <c r="Y41" s="436" cm="1">
        <f t="array" ref="Y41">IF($G642=0, Vide, $G642)</f>
        <v>110.75937499999998</v>
      </c>
      <c r="Z41" s="436" cm="1">
        <f t="array" ref="Z41">IF($H642=0, Vide, $H642)</f>
        <v>127.31707499999997</v>
      </c>
      <c r="AA41" s="436" cm="1">
        <f t="array" ref="AA41">IF($I642=0, Vide, $I642)</f>
        <v>144.43022499999998</v>
      </c>
      <c r="AB41" s="436" cm="1">
        <f t="array" ref="AB41">IF($J642=0, Vide, $J642)</f>
        <v>161.86077499999996</v>
      </c>
      <c r="AC41" s="436" cm="1">
        <f t="array" ref="AC41">IF($K642=0, Vide, $K642)</f>
        <v>179.29132499999997</v>
      </c>
      <c r="AD41" s="436" cm="1">
        <f t="array" ref="AD41">IF($L642=0, Vide, $L642)</f>
        <v>202.72602499999996</v>
      </c>
      <c r="AE41" s="436">
        <f t="shared" ref="AE41:BJ41" si="39">(AE$1/100)*$CG41</f>
        <v>222.99862749999997</v>
      </c>
      <c r="AF41" s="436">
        <f t="shared" si="39"/>
        <v>253.40753124999995</v>
      </c>
      <c r="AG41" s="436">
        <f t="shared" si="39"/>
        <v>304.08903749999996</v>
      </c>
      <c r="AH41" s="436">
        <f t="shared" si="39"/>
        <v>354.77054374999994</v>
      </c>
      <c r="AI41" s="436">
        <f t="shared" si="39"/>
        <v>407.47931024999991</v>
      </c>
      <c r="AJ41" s="436">
        <f t="shared" si="39"/>
        <v>456.13355624999991</v>
      </c>
      <c r="AK41" s="436">
        <f t="shared" si="39"/>
        <v>506.8150624999999</v>
      </c>
      <c r="AL41" s="436">
        <f t="shared" si="39"/>
        <v>610.20533524999985</v>
      </c>
      <c r="AM41" s="436">
        <f t="shared" si="39"/>
        <v>658.85958124999991</v>
      </c>
      <c r="AN41" s="436">
        <f t="shared" si="39"/>
        <v>709.54108749999989</v>
      </c>
      <c r="AO41" s="436">
        <f t="shared" si="39"/>
        <v>760.22259374999987</v>
      </c>
      <c r="AP41" s="436">
        <f t="shared" si="39"/>
        <v>812.93136024999978</v>
      </c>
      <c r="AQ41" s="436">
        <f t="shared" si="39"/>
        <v>861.58560624999984</v>
      </c>
      <c r="AR41" s="436">
        <f t="shared" si="39"/>
        <v>912.26711249999983</v>
      </c>
      <c r="AS41" s="436">
        <f t="shared" si="39"/>
        <v>962.94861874999981</v>
      </c>
      <c r="AT41" s="436">
        <f t="shared" si="39"/>
        <v>1013.6301249999998</v>
      </c>
      <c r="AU41" s="436">
        <f t="shared" si="39"/>
        <v>1064.3116312499999</v>
      </c>
      <c r="AV41" s="436">
        <f t="shared" si="39"/>
        <v>1114.9931374999999</v>
      </c>
      <c r="AW41" s="436">
        <f t="shared" si="39"/>
        <v>1165.6746437499999</v>
      </c>
      <c r="AX41" s="436">
        <f t="shared" si="39"/>
        <v>1216.3561499999998</v>
      </c>
      <c r="AY41" s="436">
        <f t="shared" si="39"/>
        <v>1317.7191624999998</v>
      </c>
      <c r="AZ41" s="436">
        <f t="shared" si="39"/>
        <v>1419.0821749999998</v>
      </c>
      <c r="BA41" s="436">
        <f t="shared" si="39"/>
        <v>1520.4451874999997</v>
      </c>
      <c r="BB41" s="436">
        <f t="shared" si="39"/>
        <v>1621.8081999999997</v>
      </c>
      <c r="BC41" s="436">
        <f t="shared" si="39"/>
        <v>1723.1712124999997</v>
      </c>
      <c r="BD41" s="436">
        <f t="shared" si="39"/>
        <v>1824.5342249999997</v>
      </c>
      <c r="BE41" s="436">
        <f t="shared" si="39"/>
        <v>1925.8972374999996</v>
      </c>
      <c r="BF41" s="436">
        <f t="shared" si="39"/>
        <v>2027.2602499999996</v>
      </c>
      <c r="BG41" s="436">
        <f t="shared" si="39"/>
        <v>2229.9862749999998</v>
      </c>
      <c r="BH41" s="436">
        <f t="shared" si="39"/>
        <v>2432.7122999999997</v>
      </c>
      <c r="BI41" s="436">
        <f t="shared" si="39"/>
        <v>2534.0753124999997</v>
      </c>
      <c r="BJ41" s="436">
        <f t="shared" si="39"/>
        <v>2635.4383249999996</v>
      </c>
      <c r="BK41" s="436">
        <f t="shared" ref="BK41:CF41" si="40">(BK$1/100)*$CG41</f>
        <v>2838.1643499999996</v>
      </c>
      <c r="BL41" s="436">
        <f t="shared" si="40"/>
        <v>3040.8903749999995</v>
      </c>
      <c r="BM41" s="436">
        <f t="shared" si="40"/>
        <v>3243.6163999999994</v>
      </c>
      <c r="BN41" s="436">
        <f t="shared" si="40"/>
        <v>3446.3424249999994</v>
      </c>
      <c r="BO41" s="436">
        <f t="shared" si="40"/>
        <v>3547.7054374999993</v>
      </c>
      <c r="BP41" s="436">
        <f t="shared" si="40"/>
        <v>3649.0684499999993</v>
      </c>
      <c r="BQ41" s="436">
        <f t="shared" si="40"/>
        <v>3851.7944749999992</v>
      </c>
      <c r="BR41" s="436">
        <f t="shared" si="40"/>
        <v>4054.5204999999992</v>
      </c>
      <c r="BS41" s="436">
        <f t="shared" si="40"/>
        <v>4561.3355624999995</v>
      </c>
      <c r="BT41" s="436">
        <f t="shared" si="40"/>
        <v>5068.1506249999993</v>
      </c>
      <c r="BU41" s="436">
        <f t="shared" si="40"/>
        <v>5574.9656874999991</v>
      </c>
      <c r="BV41" s="436">
        <f t="shared" si="40"/>
        <v>6081.780749999999</v>
      </c>
      <c r="BW41" s="436">
        <f t="shared" si="40"/>
        <v>7095.4108749999987</v>
      </c>
      <c r="BX41" s="436">
        <f t="shared" si="40"/>
        <v>8109.0409999999983</v>
      </c>
      <c r="BY41" s="436">
        <f t="shared" si="40"/>
        <v>9122.6711249999989</v>
      </c>
      <c r="BZ41" s="436">
        <f t="shared" si="40"/>
        <v>10136.301249999999</v>
      </c>
      <c r="CA41" s="436">
        <f t="shared" si="40"/>
        <v>11149.931374999998</v>
      </c>
      <c r="CB41" s="436">
        <f t="shared" si="40"/>
        <v>12163.561499999998</v>
      </c>
      <c r="CC41" s="436">
        <f t="shared" si="40"/>
        <v>14190.821749999997</v>
      </c>
      <c r="CD41" s="436">
        <f t="shared" si="40"/>
        <v>16218.081999999997</v>
      </c>
      <c r="CE41" s="436">
        <f t="shared" si="40"/>
        <v>18245.342249999998</v>
      </c>
      <c r="CF41" s="436">
        <f t="shared" si="40"/>
        <v>20272.602499999997</v>
      </c>
      <c r="CG41" s="436" cm="1">
        <f t="array" ref="CG41">IF($M642=0, Vide, $M642)</f>
        <v>202.72602499999996</v>
      </c>
      <c r="CH41" s="435" t="s">
        <v>762</v>
      </c>
      <c r="CI41" s="435" t="s">
        <v>762</v>
      </c>
      <c r="CJ41" s="435" t="s">
        <v>762</v>
      </c>
      <c r="CK41" s="435" t="s">
        <v>762</v>
      </c>
      <c r="CL41" s="435" t="s">
        <v>762</v>
      </c>
    </row>
    <row r="42" spans="1:90" s="437" customFormat="1">
      <c r="A42" s="435" t="s">
        <v>550</v>
      </c>
      <c r="B42" s="435" t="s">
        <v>90</v>
      </c>
      <c r="C42" s="436" t="s">
        <v>762</v>
      </c>
      <c r="D42" s="436" t="s">
        <v>762</v>
      </c>
      <c r="E42" s="436" t="s">
        <v>762</v>
      </c>
      <c r="F42" s="436" t="s">
        <v>762</v>
      </c>
      <c r="G42" s="436" t="s">
        <v>762</v>
      </c>
      <c r="H42" s="436" t="s">
        <v>762</v>
      </c>
      <c r="I42" s="436" t="s">
        <v>762</v>
      </c>
      <c r="J42" s="436" t="s">
        <v>762</v>
      </c>
      <c r="K42" s="436" t="s">
        <v>762</v>
      </c>
      <c r="L42" s="436" t="s">
        <v>762</v>
      </c>
      <c r="M42" s="436" t="s">
        <v>762</v>
      </c>
      <c r="N42" s="436" t="s">
        <v>762</v>
      </c>
      <c r="O42" s="436" t="s">
        <v>762</v>
      </c>
      <c r="P42" s="436" t="s">
        <v>762</v>
      </c>
      <c r="Q42" s="436" t="s">
        <v>762</v>
      </c>
      <c r="R42" s="436" t="s">
        <v>762</v>
      </c>
      <c r="S42" s="436" t="s">
        <v>762</v>
      </c>
      <c r="T42" s="436" t="s">
        <v>762</v>
      </c>
      <c r="U42" s="436" t="s">
        <v>762</v>
      </c>
      <c r="V42" s="436" t="s">
        <v>762</v>
      </c>
      <c r="W42" s="436" t="s">
        <v>762</v>
      </c>
      <c r="X42" s="436" t="s">
        <v>762</v>
      </c>
      <c r="Y42" s="436" t="s">
        <v>762</v>
      </c>
      <c r="Z42" s="436" t="s">
        <v>762</v>
      </c>
      <c r="AA42" s="436" t="s">
        <v>762</v>
      </c>
      <c r="AB42" s="436" t="s">
        <v>762</v>
      </c>
      <c r="AC42" s="436" t="s">
        <v>762</v>
      </c>
      <c r="AD42" s="436" t="s">
        <v>762</v>
      </c>
      <c r="AE42" s="436" t="s">
        <v>762</v>
      </c>
      <c r="AF42" s="436" t="s">
        <v>762</v>
      </c>
      <c r="AG42" s="436" t="s">
        <v>762</v>
      </c>
      <c r="AH42" s="436" t="s">
        <v>762</v>
      </c>
      <c r="AI42" s="436" t="s">
        <v>762</v>
      </c>
      <c r="AJ42" s="436" t="s">
        <v>762</v>
      </c>
      <c r="AK42" s="436" t="s">
        <v>762</v>
      </c>
      <c r="AL42" s="436" t="s">
        <v>762</v>
      </c>
      <c r="AM42" s="436" t="s">
        <v>762</v>
      </c>
      <c r="AN42" s="436" t="s">
        <v>762</v>
      </c>
      <c r="AO42" s="436" t="s">
        <v>762</v>
      </c>
      <c r="AP42" s="436" t="s">
        <v>762</v>
      </c>
      <c r="AQ42" s="436" t="s">
        <v>762</v>
      </c>
      <c r="AR42" s="436" t="s">
        <v>762</v>
      </c>
      <c r="AS42" s="436" t="s">
        <v>762</v>
      </c>
      <c r="AT42" s="436" t="s">
        <v>762</v>
      </c>
      <c r="AU42" s="436" t="s">
        <v>762</v>
      </c>
      <c r="AV42" s="436" t="s">
        <v>762</v>
      </c>
      <c r="AW42" s="436" t="s">
        <v>762</v>
      </c>
      <c r="AX42" s="436" t="s">
        <v>762</v>
      </c>
      <c r="AY42" s="436" t="s">
        <v>762</v>
      </c>
      <c r="AZ42" s="436" t="s">
        <v>762</v>
      </c>
      <c r="BA42" s="436" t="s">
        <v>762</v>
      </c>
      <c r="BB42" s="436" t="s">
        <v>762</v>
      </c>
      <c r="BC42" s="436" t="s">
        <v>762</v>
      </c>
      <c r="BD42" s="436" t="s">
        <v>762</v>
      </c>
      <c r="BE42" s="436" t="s">
        <v>762</v>
      </c>
      <c r="BF42" s="436" t="s">
        <v>762</v>
      </c>
      <c r="BG42" s="436" t="s">
        <v>762</v>
      </c>
      <c r="BH42" s="436" t="s">
        <v>762</v>
      </c>
      <c r="BI42" s="436" t="s">
        <v>762</v>
      </c>
      <c r="BJ42" s="436" t="s">
        <v>762</v>
      </c>
      <c r="BK42" s="436" t="s">
        <v>762</v>
      </c>
      <c r="BL42" s="436" t="s">
        <v>762</v>
      </c>
      <c r="BM42" s="436" t="s">
        <v>762</v>
      </c>
      <c r="BN42" s="436" t="s">
        <v>762</v>
      </c>
      <c r="BO42" s="436" t="s">
        <v>762</v>
      </c>
      <c r="BP42" s="436" t="s">
        <v>762</v>
      </c>
      <c r="BQ42" s="436" t="s">
        <v>762</v>
      </c>
      <c r="BR42" s="436" t="s">
        <v>762</v>
      </c>
      <c r="BS42" s="436" t="s">
        <v>762</v>
      </c>
      <c r="BT42" s="436" t="s">
        <v>762</v>
      </c>
      <c r="BU42" s="436" t="s">
        <v>762</v>
      </c>
      <c r="BV42" s="436" t="s">
        <v>762</v>
      </c>
      <c r="BW42" s="436" t="s">
        <v>762</v>
      </c>
      <c r="BX42" s="436" t="s">
        <v>762</v>
      </c>
      <c r="BY42" s="436" t="s">
        <v>762</v>
      </c>
      <c r="BZ42" s="436" t="s">
        <v>762</v>
      </c>
      <c r="CA42" s="436" t="s">
        <v>762</v>
      </c>
      <c r="CB42" s="436" t="s">
        <v>762</v>
      </c>
      <c r="CC42" s="436" t="s">
        <v>762</v>
      </c>
      <c r="CD42" s="436" t="s">
        <v>762</v>
      </c>
      <c r="CE42" s="436" t="s">
        <v>762</v>
      </c>
      <c r="CF42" s="436" t="s">
        <v>762</v>
      </c>
      <c r="CG42" s="436" t="s">
        <v>762</v>
      </c>
      <c r="CH42" s="436" t="s">
        <v>762</v>
      </c>
      <c r="CI42" s="436" t="s">
        <v>762</v>
      </c>
      <c r="CJ42" s="436" t="s">
        <v>762</v>
      </c>
      <c r="CK42" s="436" t="s">
        <v>762</v>
      </c>
      <c r="CL42" s="436" t="s">
        <v>762</v>
      </c>
    </row>
    <row r="43" spans="1:90" s="437" customFormat="1">
      <c r="A43" s="435" t="s">
        <v>551</v>
      </c>
      <c r="B43" s="435" t="s">
        <v>90</v>
      </c>
      <c r="C43" s="436" cm="1">
        <f t="array" ref="C43">IF($B644=0, Vide, $B644)</f>
        <v>41.433924999999995</v>
      </c>
      <c r="D43" s="436" cm="1">
        <f t="array" ref="D43">IF($B644=0, Vide, $B644)</f>
        <v>41.433924999999995</v>
      </c>
      <c r="E43" s="436" cm="1">
        <f t="array" ref="E43">IF($B644=0, Vide, $B644)</f>
        <v>41.433924999999995</v>
      </c>
      <c r="F43" s="436" cm="1">
        <f t="array" ref="F43">IF($B644=0, Vide, $B644)</f>
        <v>41.433924999999995</v>
      </c>
      <c r="G43" s="436" cm="1">
        <f t="array" ref="G43">IF($B644=0, Vide, $B644)</f>
        <v>41.433924999999995</v>
      </c>
      <c r="H43" s="436" cm="1">
        <f t="array" ref="H43">IF($C644=0, Vide, $C644)</f>
        <v>48.879599999999996</v>
      </c>
      <c r="I43" s="436" cm="1">
        <f t="array" ref="I43">IF($C644=0, Vide, $C644)</f>
        <v>48.879599999999996</v>
      </c>
      <c r="J43" s="436" cm="1">
        <f t="array" ref="J43">IF($C644=0, Vide, $C644)</f>
        <v>48.879599999999996</v>
      </c>
      <c r="K43" s="436" cm="1">
        <f t="array" ref="K43">IF($C644=0, Vide, $C644)</f>
        <v>48.879599999999996</v>
      </c>
      <c r="L43" s="436" cm="1">
        <f t="array" ref="L43">IF($C644=0, Vide, $C644)</f>
        <v>48.879599999999996</v>
      </c>
      <c r="M43" s="436" t="s">
        <v>762</v>
      </c>
      <c r="N43" s="436" t="s">
        <v>762</v>
      </c>
      <c r="O43" s="436" t="s">
        <v>762</v>
      </c>
      <c r="P43" s="436" t="s">
        <v>762</v>
      </c>
      <c r="Q43" s="436" t="s">
        <v>762</v>
      </c>
      <c r="R43" s="436" t="s">
        <v>762</v>
      </c>
      <c r="S43" s="436" t="s">
        <v>762</v>
      </c>
      <c r="T43" s="436" t="s">
        <v>762</v>
      </c>
      <c r="U43" s="436" t="s">
        <v>762</v>
      </c>
      <c r="V43" s="436" cm="1">
        <f t="array" ref="V43">IF($D644=0, Vide, $D644)</f>
        <v>65.146349999999984</v>
      </c>
      <c r="W43" s="436" cm="1">
        <f t="array" ref="W43">IF($E644=0, Vide, $E644)</f>
        <v>78.159750000000003</v>
      </c>
      <c r="X43" s="436" cm="1">
        <f t="array" ref="X43">IF($F644=0, Vide, $F644)</f>
        <v>94.439724999999967</v>
      </c>
      <c r="Y43" s="436" cm="1">
        <f t="array" ref="Y43">IF($G644=0, Vide, $G644)</f>
        <v>110.75937499999998</v>
      </c>
      <c r="Z43" s="436" cm="1">
        <f t="array" ref="Z43">IF($H644=0, Vide, $H644)</f>
        <v>127.31707499999997</v>
      </c>
      <c r="AA43" s="436" cm="1">
        <f t="array" ref="AA43">IF($I644=0, Vide, $I644)</f>
        <v>144.43022499999998</v>
      </c>
      <c r="AB43" s="436" cm="1">
        <f t="array" ref="AB43">IF($J644=0, Vide, $J644)</f>
        <v>161.86077499999996</v>
      </c>
      <c r="AC43" s="436" cm="1">
        <f t="array" ref="AC43">IF($K644=0, Vide, $K644)</f>
        <v>179.29132499999997</v>
      </c>
      <c r="AD43" s="436" cm="1">
        <f t="array" ref="AD43">IF($L644=0, Vide, $L644)</f>
        <v>202.72602499999996</v>
      </c>
      <c r="AE43" s="436">
        <f t="shared" ref="AE43:AN49" si="41">(AE$1/100)*$CG43</f>
        <v>222.99862749999997</v>
      </c>
      <c r="AF43" s="436">
        <f t="shared" si="41"/>
        <v>253.40753124999995</v>
      </c>
      <c r="AG43" s="436">
        <f t="shared" si="41"/>
        <v>304.08903749999996</v>
      </c>
      <c r="AH43" s="436">
        <f t="shared" si="41"/>
        <v>354.77054374999994</v>
      </c>
      <c r="AI43" s="436">
        <f t="shared" si="41"/>
        <v>407.47931024999991</v>
      </c>
      <c r="AJ43" s="436">
        <f t="shared" si="41"/>
        <v>456.13355624999991</v>
      </c>
      <c r="AK43" s="436">
        <f t="shared" si="41"/>
        <v>506.8150624999999</v>
      </c>
      <c r="AL43" s="436">
        <f t="shared" si="41"/>
        <v>610.20533524999985</v>
      </c>
      <c r="AM43" s="436">
        <f t="shared" si="41"/>
        <v>658.85958124999991</v>
      </c>
      <c r="AN43" s="436">
        <f t="shared" si="41"/>
        <v>709.54108749999989</v>
      </c>
      <c r="AO43" s="436">
        <f t="shared" ref="AO43:AX49" si="42">(AO$1/100)*$CG43</f>
        <v>760.22259374999987</v>
      </c>
      <c r="AP43" s="436">
        <f t="shared" si="42"/>
        <v>812.93136024999978</v>
      </c>
      <c r="AQ43" s="436">
        <f t="shared" si="42"/>
        <v>861.58560624999984</v>
      </c>
      <c r="AR43" s="436">
        <f t="shared" si="42"/>
        <v>912.26711249999983</v>
      </c>
      <c r="AS43" s="436">
        <f t="shared" si="42"/>
        <v>962.94861874999981</v>
      </c>
      <c r="AT43" s="436">
        <f t="shared" si="42"/>
        <v>1013.6301249999998</v>
      </c>
      <c r="AU43" s="436">
        <f t="shared" si="42"/>
        <v>1064.3116312499999</v>
      </c>
      <c r="AV43" s="436">
        <f t="shared" si="42"/>
        <v>1114.9931374999999</v>
      </c>
      <c r="AW43" s="436">
        <f t="shared" si="42"/>
        <v>1165.6746437499999</v>
      </c>
      <c r="AX43" s="436">
        <f t="shared" si="42"/>
        <v>1216.3561499999998</v>
      </c>
      <c r="AY43" s="436">
        <f t="shared" ref="AY43:BH49" si="43">(AY$1/100)*$CG43</f>
        <v>1317.7191624999998</v>
      </c>
      <c r="AZ43" s="436">
        <f t="shared" si="43"/>
        <v>1419.0821749999998</v>
      </c>
      <c r="BA43" s="436">
        <f t="shared" si="43"/>
        <v>1520.4451874999997</v>
      </c>
      <c r="BB43" s="436">
        <f t="shared" si="43"/>
        <v>1621.8081999999997</v>
      </c>
      <c r="BC43" s="436">
        <f t="shared" si="43"/>
        <v>1723.1712124999997</v>
      </c>
      <c r="BD43" s="436">
        <f t="shared" si="43"/>
        <v>1824.5342249999997</v>
      </c>
      <c r="BE43" s="436">
        <f t="shared" si="43"/>
        <v>1925.8972374999996</v>
      </c>
      <c r="BF43" s="436">
        <f t="shared" si="43"/>
        <v>2027.2602499999996</v>
      </c>
      <c r="BG43" s="436">
        <f t="shared" si="43"/>
        <v>2229.9862749999998</v>
      </c>
      <c r="BH43" s="436">
        <f t="shared" si="43"/>
        <v>2432.7122999999997</v>
      </c>
      <c r="BI43" s="436">
        <f t="shared" ref="BI43:BR49" si="44">(BI$1/100)*$CG43</f>
        <v>2534.0753124999997</v>
      </c>
      <c r="BJ43" s="436">
        <f t="shared" si="44"/>
        <v>2635.4383249999996</v>
      </c>
      <c r="BK43" s="436">
        <f t="shared" si="44"/>
        <v>2838.1643499999996</v>
      </c>
      <c r="BL43" s="436">
        <f t="shared" si="44"/>
        <v>3040.8903749999995</v>
      </c>
      <c r="BM43" s="436">
        <f t="shared" si="44"/>
        <v>3243.6163999999994</v>
      </c>
      <c r="BN43" s="436">
        <f t="shared" si="44"/>
        <v>3446.3424249999994</v>
      </c>
      <c r="BO43" s="436">
        <f t="shared" si="44"/>
        <v>3547.7054374999993</v>
      </c>
      <c r="BP43" s="436">
        <f t="shared" si="44"/>
        <v>3649.0684499999993</v>
      </c>
      <c r="BQ43" s="436">
        <f t="shared" si="44"/>
        <v>3851.7944749999992</v>
      </c>
      <c r="BR43" s="436">
        <f t="shared" si="44"/>
        <v>4054.5204999999992</v>
      </c>
      <c r="BS43" s="436">
        <f t="shared" ref="BS43:CF49" si="45">(BS$1/100)*$CG43</f>
        <v>4561.3355624999995</v>
      </c>
      <c r="BT43" s="436">
        <f t="shared" si="45"/>
        <v>5068.1506249999993</v>
      </c>
      <c r="BU43" s="436">
        <f t="shared" si="45"/>
        <v>5574.9656874999991</v>
      </c>
      <c r="BV43" s="436">
        <f t="shared" si="45"/>
        <v>6081.780749999999</v>
      </c>
      <c r="BW43" s="436">
        <f t="shared" si="45"/>
        <v>7095.4108749999987</v>
      </c>
      <c r="BX43" s="436">
        <f t="shared" si="45"/>
        <v>8109.0409999999983</v>
      </c>
      <c r="BY43" s="436">
        <f t="shared" si="45"/>
        <v>9122.6711249999989</v>
      </c>
      <c r="BZ43" s="436">
        <f t="shared" si="45"/>
        <v>10136.301249999999</v>
      </c>
      <c r="CA43" s="436">
        <f t="shared" si="45"/>
        <v>11149.931374999998</v>
      </c>
      <c r="CB43" s="436">
        <f t="shared" si="45"/>
        <v>12163.561499999998</v>
      </c>
      <c r="CC43" s="436">
        <f t="shared" si="45"/>
        <v>14190.821749999997</v>
      </c>
      <c r="CD43" s="436">
        <f t="shared" si="45"/>
        <v>16218.081999999997</v>
      </c>
      <c r="CE43" s="436">
        <f t="shared" si="45"/>
        <v>18245.342249999998</v>
      </c>
      <c r="CF43" s="436">
        <f t="shared" si="45"/>
        <v>20272.602499999997</v>
      </c>
      <c r="CG43" s="436" cm="1">
        <f t="array" ref="CG43">IF($M644=0, Vide, $M644)</f>
        <v>202.72602499999996</v>
      </c>
      <c r="CH43" s="435" t="s">
        <v>762</v>
      </c>
      <c r="CI43" s="435" t="s">
        <v>762</v>
      </c>
      <c r="CJ43" s="435" t="s">
        <v>762</v>
      </c>
      <c r="CK43" s="435" t="s">
        <v>762</v>
      </c>
      <c r="CL43" s="435" t="s">
        <v>762</v>
      </c>
    </row>
    <row r="44" spans="1:90" s="437" customFormat="1">
      <c r="A44" s="435" t="s">
        <v>552</v>
      </c>
      <c r="B44" s="435" t="s">
        <v>90</v>
      </c>
      <c r="C44" s="436" cm="1">
        <f t="array" ref="C44">IF($B645=0, Vide, $B645)</f>
        <v>41.433924999999995</v>
      </c>
      <c r="D44" s="436" cm="1">
        <f t="array" ref="D44">IF($B645=0, Vide, $B645)</f>
        <v>41.433924999999995</v>
      </c>
      <c r="E44" s="436" cm="1">
        <f t="array" ref="E44">IF($B645=0, Vide, $B645)</f>
        <v>41.433924999999995</v>
      </c>
      <c r="F44" s="436" cm="1">
        <f t="array" ref="F44">IF($B645=0, Vide, $B645)</f>
        <v>41.433924999999995</v>
      </c>
      <c r="G44" s="436" cm="1">
        <f t="array" ref="G44">IF($B645=0, Vide, $B645)</f>
        <v>41.433924999999995</v>
      </c>
      <c r="H44" s="436" cm="1">
        <f t="array" ref="H44">IF($C645=0, Vide, $C645)</f>
        <v>48.879599999999996</v>
      </c>
      <c r="I44" s="436" cm="1">
        <f t="array" ref="I44">IF($C645=0, Vide, $C645)</f>
        <v>48.879599999999996</v>
      </c>
      <c r="J44" s="436" cm="1">
        <f t="array" ref="J44">IF($C645=0, Vide, $C645)</f>
        <v>48.879599999999996</v>
      </c>
      <c r="K44" s="436" cm="1">
        <f t="array" ref="K44">IF($C645=0, Vide, $C645)</f>
        <v>48.879599999999996</v>
      </c>
      <c r="L44" s="436" cm="1">
        <f t="array" ref="L44">IF($C645=0, Vide, $C645)</f>
        <v>48.879599999999996</v>
      </c>
      <c r="M44" s="436" t="s">
        <v>762</v>
      </c>
      <c r="N44" s="436" t="s">
        <v>762</v>
      </c>
      <c r="O44" s="436" t="s">
        <v>762</v>
      </c>
      <c r="P44" s="436" t="s">
        <v>762</v>
      </c>
      <c r="Q44" s="436" t="s">
        <v>762</v>
      </c>
      <c r="R44" s="436" t="s">
        <v>762</v>
      </c>
      <c r="S44" s="436" t="s">
        <v>762</v>
      </c>
      <c r="T44" s="436" t="s">
        <v>762</v>
      </c>
      <c r="U44" s="436" t="s">
        <v>762</v>
      </c>
      <c r="V44" s="436" cm="1">
        <f t="array" ref="V44">IF($D645=0, Vide, $D645)</f>
        <v>65.146349999999984</v>
      </c>
      <c r="W44" s="436" cm="1">
        <f t="array" ref="W44">IF($E645=0, Vide, $E645)</f>
        <v>78.159750000000003</v>
      </c>
      <c r="X44" s="436" cm="1">
        <f t="array" ref="X44">IF($F645=0, Vide, $F645)</f>
        <v>94.439724999999967</v>
      </c>
      <c r="Y44" s="436" cm="1">
        <f t="array" ref="Y44">IF($G645=0, Vide, $G645)</f>
        <v>110.75937499999998</v>
      </c>
      <c r="Z44" s="436" cm="1">
        <f t="array" ref="Z44">IF($H645=0, Vide, $H645)</f>
        <v>127.31707499999997</v>
      </c>
      <c r="AA44" s="436" cm="1">
        <f t="array" ref="AA44">IF($I645=0, Vide, $I645)</f>
        <v>144.43022499999998</v>
      </c>
      <c r="AB44" s="436" cm="1">
        <f t="array" ref="AB44">IF($J645=0, Vide, $J645)</f>
        <v>161.86077499999996</v>
      </c>
      <c r="AC44" s="436" cm="1">
        <f t="array" ref="AC44">IF($K645=0, Vide, $K645)</f>
        <v>179.29132499999997</v>
      </c>
      <c r="AD44" s="436" cm="1">
        <f t="array" ref="AD44">IF($L645=0, Vide, $L645)</f>
        <v>202.72602499999996</v>
      </c>
      <c r="AE44" s="436">
        <f t="shared" si="41"/>
        <v>222.99862749999997</v>
      </c>
      <c r="AF44" s="436">
        <f t="shared" si="41"/>
        <v>253.40753124999995</v>
      </c>
      <c r="AG44" s="436">
        <f t="shared" si="41"/>
        <v>304.08903749999996</v>
      </c>
      <c r="AH44" s="436">
        <f t="shared" si="41"/>
        <v>354.77054374999994</v>
      </c>
      <c r="AI44" s="436">
        <f t="shared" si="41"/>
        <v>407.47931024999991</v>
      </c>
      <c r="AJ44" s="436">
        <f t="shared" si="41"/>
        <v>456.13355624999991</v>
      </c>
      <c r="AK44" s="436">
        <f t="shared" si="41"/>
        <v>506.8150624999999</v>
      </c>
      <c r="AL44" s="436">
        <f t="shared" si="41"/>
        <v>610.20533524999985</v>
      </c>
      <c r="AM44" s="436">
        <f t="shared" si="41"/>
        <v>658.85958124999991</v>
      </c>
      <c r="AN44" s="436">
        <f t="shared" si="41"/>
        <v>709.54108749999989</v>
      </c>
      <c r="AO44" s="436">
        <f t="shared" si="42"/>
        <v>760.22259374999987</v>
      </c>
      <c r="AP44" s="436">
        <f t="shared" si="42"/>
        <v>812.93136024999978</v>
      </c>
      <c r="AQ44" s="436">
        <f t="shared" si="42"/>
        <v>861.58560624999984</v>
      </c>
      <c r="AR44" s="436">
        <f t="shared" si="42"/>
        <v>912.26711249999983</v>
      </c>
      <c r="AS44" s="436">
        <f t="shared" si="42"/>
        <v>962.94861874999981</v>
      </c>
      <c r="AT44" s="436">
        <f t="shared" si="42"/>
        <v>1013.6301249999998</v>
      </c>
      <c r="AU44" s="436">
        <f t="shared" si="42"/>
        <v>1064.3116312499999</v>
      </c>
      <c r="AV44" s="436">
        <f t="shared" si="42"/>
        <v>1114.9931374999999</v>
      </c>
      <c r="AW44" s="436">
        <f t="shared" si="42"/>
        <v>1165.6746437499999</v>
      </c>
      <c r="AX44" s="436">
        <f t="shared" si="42"/>
        <v>1216.3561499999998</v>
      </c>
      <c r="AY44" s="436">
        <f t="shared" si="43"/>
        <v>1317.7191624999998</v>
      </c>
      <c r="AZ44" s="436">
        <f t="shared" si="43"/>
        <v>1419.0821749999998</v>
      </c>
      <c r="BA44" s="436">
        <f t="shared" si="43"/>
        <v>1520.4451874999997</v>
      </c>
      <c r="BB44" s="436">
        <f t="shared" si="43"/>
        <v>1621.8081999999997</v>
      </c>
      <c r="BC44" s="436">
        <f t="shared" si="43"/>
        <v>1723.1712124999997</v>
      </c>
      <c r="BD44" s="436">
        <f t="shared" si="43"/>
        <v>1824.5342249999997</v>
      </c>
      <c r="BE44" s="436">
        <f t="shared" si="43"/>
        <v>1925.8972374999996</v>
      </c>
      <c r="BF44" s="436">
        <f t="shared" si="43"/>
        <v>2027.2602499999996</v>
      </c>
      <c r="BG44" s="436">
        <f t="shared" si="43"/>
        <v>2229.9862749999998</v>
      </c>
      <c r="BH44" s="436">
        <f t="shared" si="43"/>
        <v>2432.7122999999997</v>
      </c>
      <c r="BI44" s="436">
        <f t="shared" si="44"/>
        <v>2534.0753124999997</v>
      </c>
      <c r="BJ44" s="436">
        <f t="shared" si="44"/>
        <v>2635.4383249999996</v>
      </c>
      <c r="BK44" s="436">
        <f t="shared" si="44"/>
        <v>2838.1643499999996</v>
      </c>
      <c r="BL44" s="436">
        <f t="shared" si="44"/>
        <v>3040.8903749999995</v>
      </c>
      <c r="BM44" s="436">
        <f t="shared" si="44"/>
        <v>3243.6163999999994</v>
      </c>
      <c r="BN44" s="436">
        <f t="shared" si="44"/>
        <v>3446.3424249999994</v>
      </c>
      <c r="BO44" s="436">
        <f t="shared" si="44"/>
        <v>3547.7054374999993</v>
      </c>
      <c r="BP44" s="436">
        <f t="shared" si="44"/>
        <v>3649.0684499999993</v>
      </c>
      <c r="BQ44" s="436">
        <f t="shared" si="44"/>
        <v>3851.7944749999992</v>
      </c>
      <c r="BR44" s="436">
        <f t="shared" si="44"/>
        <v>4054.5204999999992</v>
      </c>
      <c r="BS44" s="436">
        <f t="shared" si="45"/>
        <v>4561.3355624999995</v>
      </c>
      <c r="BT44" s="436">
        <f t="shared" si="45"/>
        <v>5068.1506249999993</v>
      </c>
      <c r="BU44" s="436">
        <f t="shared" si="45"/>
        <v>5574.9656874999991</v>
      </c>
      <c r="BV44" s="436">
        <f t="shared" si="45"/>
        <v>6081.780749999999</v>
      </c>
      <c r="BW44" s="436">
        <f t="shared" si="45"/>
        <v>7095.4108749999987</v>
      </c>
      <c r="BX44" s="436">
        <f t="shared" si="45"/>
        <v>8109.0409999999983</v>
      </c>
      <c r="BY44" s="436">
        <f t="shared" si="45"/>
        <v>9122.6711249999989</v>
      </c>
      <c r="BZ44" s="436">
        <f t="shared" si="45"/>
        <v>10136.301249999999</v>
      </c>
      <c r="CA44" s="436">
        <f t="shared" si="45"/>
        <v>11149.931374999998</v>
      </c>
      <c r="CB44" s="436">
        <f t="shared" si="45"/>
        <v>12163.561499999998</v>
      </c>
      <c r="CC44" s="436">
        <f t="shared" si="45"/>
        <v>14190.821749999997</v>
      </c>
      <c r="CD44" s="436">
        <f t="shared" si="45"/>
        <v>16218.081999999997</v>
      </c>
      <c r="CE44" s="436">
        <f t="shared" si="45"/>
        <v>18245.342249999998</v>
      </c>
      <c r="CF44" s="436">
        <f t="shared" si="45"/>
        <v>20272.602499999997</v>
      </c>
      <c r="CG44" s="436" cm="1">
        <f t="array" ref="CG44">IF($M645=0, Vide, $M645)</f>
        <v>202.72602499999996</v>
      </c>
      <c r="CH44" s="435" t="s">
        <v>762</v>
      </c>
      <c r="CI44" s="435" t="s">
        <v>762</v>
      </c>
      <c r="CJ44" s="435" t="s">
        <v>762</v>
      </c>
      <c r="CK44" s="435" t="s">
        <v>762</v>
      </c>
      <c r="CL44" s="435" t="s">
        <v>762</v>
      </c>
    </row>
    <row r="45" spans="1:90" s="437" customFormat="1">
      <c r="A45" s="435" t="s">
        <v>553</v>
      </c>
      <c r="B45" s="435" t="s">
        <v>90</v>
      </c>
      <c r="C45" s="436" cm="1">
        <f t="array" ref="C45">IF($B646=0, Vide, $B646)</f>
        <v>41.433924999999995</v>
      </c>
      <c r="D45" s="436" cm="1">
        <f t="array" ref="D45">IF($B646=0, Vide, $B646)</f>
        <v>41.433924999999995</v>
      </c>
      <c r="E45" s="436" cm="1">
        <f t="array" ref="E45">IF($B646=0, Vide, $B646)</f>
        <v>41.433924999999995</v>
      </c>
      <c r="F45" s="436" cm="1">
        <f t="array" ref="F45">IF($B646=0, Vide, $B646)</f>
        <v>41.433924999999995</v>
      </c>
      <c r="G45" s="436" cm="1">
        <f t="array" ref="G45">IF($B646=0, Vide, $B646)</f>
        <v>41.433924999999995</v>
      </c>
      <c r="H45" s="436" cm="1">
        <f t="array" ref="H45">IF($C646=0, Vide, $C646)</f>
        <v>48.879599999999996</v>
      </c>
      <c r="I45" s="436" cm="1">
        <f t="array" ref="I45">IF($C646=0, Vide, $C646)</f>
        <v>48.879599999999996</v>
      </c>
      <c r="J45" s="436" cm="1">
        <f t="array" ref="J45">IF($C646=0, Vide, $C646)</f>
        <v>48.879599999999996</v>
      </c>
      <c r="K45" s="436" cm="1">
        <f t="array" ref="K45">IF($C646=0, Vide, $C646)</f>
        <v>48.879599999999996</v>
      </c>
      <c r="L45" s="436" cm="1">
        <f t="array" ref="L45">IF($C646=0, Vide, $C646)</f>
        <v>48.879599999999996</v>
      </c>
      <c r="M45" s="436" t="s">
        <v>762</v>
      </c>
      <c r="N45" s="436" t="s">
        <v>762</v>
      </c>
      <c r="O45" s="436" t="s">
        <v>762</v>
      </c>
      <c r="P45" s="436" t="s">
        <v>762</v>
      </c>
      <c r="Q45" s="436" t="s">
        <v>762</v>
      </c>
      <c r="R45" s="436" t="s">
        <v>762</v>
      </c>
      <c r="S45" s="436" t="s">
        <v>762</v>
      </c>
      <c r="T45" s="436" t="s">
        <v>762</v>
      </c>
      <c r="U45" s="436" t="s">
        <v>762</v>
      </c>
      <c r="V45" s="436" cm="1">
        <f t="array" ref="V45">IF($D646=0, Vide, $D646)</f>
        <v>65.146349999999984</v>
      </c>
      <c r="W45" s="436" cm="1">
        <f t="array" ref="W45">IF($E646=0, Vide, $E646)</f>
        <v>78.159750000000003</v>
      </c>
      <c r="X45" s="436" cm="1">
        <f t="array" ref="X45">IF($F646=0, Vide, $F646)</f>
        <v>94.439724999999967</v>
      </c>
      <c r="Y45" s="436" cm="1">
        <f t="array" ref="Y45">IF($G646=0, Vide, $G646)</f>
        <v>110.75937499999998</v>
      </c>
      <c r="Z45" s="436" cm="1">
        <f t="array" ref="Z45">IF($H646=0, Vide, $H646)</f>
        <v>127.31707499999997</v>
      </c>
      <c r="AA45" s="436" cm="1">
        <f t="array" ref="AA45">IF($I646=0, Vide, $I646)</f>
        <v>144.43022499999998</v>
      </c>
      <c r="AB45" s="436" cm="1">
        <f t="array" ref="AB45">IF($J646=0, Vide, $J646)</f>
        <v>161.86077499999996</v>
      </c>
      <c r="AC45" s="436" cm="1">
        <f t="array" ref="AC45">IF($K646=0, Vide, $K646)</f>
        <v>179.29132499999997</v>
      </c>
      <c r="AD45" s="436" cm="1">
        <f t="array" ref="AD45">IF($L646=0, Vide, $L646)</f>
        <v>202.72602499999996</v>
      </c>
      <c r="AE45" s="436">
        <f t="shared" si="41"/>
        <v>222.99862749999997</v>
      </c>
      <c r="AF45" s="436">
        <f t="shared" si="41"/>
        <v>253.40753124999995</v>
      </c>
      <c r="AG45" s="436">
        <f t="shared" si="41"/>
        <v>304.08903749999996</v>
      </c>
      <c r="AH45" s="436">
        <f t="shared" si="41"/>
        <v>354.77054374999994</v>
      </c>
      <c r="AI45" s="436">
        <f t="shared" si="41"/>
        <v>407.47931024999991</v>
      </c>
      <c r="AJ45" s="436">
        <f t="shared" si="41"/>
        <v>456.13355624999991</v>
      </c>
      <c r="AK45" s="436">
        <f t="shared" si="41"/>
        <v>506.8150624999999</v>
      </c>
      <c r="AL45" s="436">
        <f t="shared" si="41"/>
        <v>610.20533524999985</v>
      </c>
      <c r="AM45" s="436">
        <f t="shared" si="41"/>
        <v>658.85958124999991</v>
      </c>
      <c r="AN45" s="436">
        <f t="shared" si="41"/>
        <v>709.54108749999989</v>
      </c>
      <c r="AO45" s="436">
        <f t="shared" si="42"/>
        <v>760.22259374999987</v>
      </c>
      <c r="AP45" s="436">
        <f t="shared" si="42"/>
        <v>812.93136024999978</v>
      </c>
      <c r="AQ45" s="436">
        <f t="shared" si="42"/>
        <v>861.58560624999984</v>
      </c>
      <c r="AR45" s="436">
        <f t="shared" si="42"/>
        <v>912.26711249999983</v>
      </c>
      <c r="AS45" s="436">
        <f t="shared" si="42"/>
        <v>962.94861874999981</v>
      </c>
      <c r="AT45" s="436">
        <f t="shared" si="42"/>
        <v>1013.6301249999998</v>
      </c>
      <c r="AU45" s="436">
        <f t="shared" si="42"/>
        <v>1064.3116312499999</v>
      </c>
      <c r="AV45" s="436">
        <f t="shared" si="42"/>
        <v>1114.9931374999999</v>
      </c>
      <c r="AW45" s="436">
        <f t="shared" si="42"/>
        <v>1165.6746437499999</v>
      </c>
      <c r="AX45" s="436">
        <f t="shared" si="42"/>
        <v>1216.3561499999998</v>
      </c>
      <c r="AY45" s="436">
        <f t="shared" si="43"/>
        <v>1317.7191624999998</v>
      </c>
      <c r="AZ45" s="436">
        <f t="shared" si="43"/>
        <v>1419.0821749999998</v>
      </c>
      <c r="BA45" s="436">
        <f t="shared" si="43"/>
        <v>1520.4451874999997</v>
      </c>
      <c r="BB45" s="436">
        <f t="shared" si="43"/>
        <v>1621.8081999999997</v>
      </c>
      <c r="BC45" s="436">
        <f t="shared" si="43"/>
        <v>1723.1712124999997</v>
      </c>
      <c r="BD45" s="436">
        <f t="shared" si="43"/>
        <v>1824.5342249999997</v>
      </c>
      <c r="BE45" s="436">
        <f t="shared" si="43"/>
        <v>1925.8972374999996</v>
      </c>
      <c r="BF45" s="436">
        <f t="shared" si="43"/>
        <v>2027.2602499999996</v>
      </c>
      <c r="BG45" s="436">
        <f t="shared" si="43"/>
        <v>2229.9862749999998</v>
      </c>
      <c r="BH45" s="436">
        <f t="shared" si="43"/>
        <v>2432.7122999999997</v>
      </c>
      <c r="BI45" s="436">
        <f t="shared" si="44"/>
        <v>2534.0753124999997</v>
      </c>
      <c r="BJ45" s="436">
        <f t="shared" si="44"/>
        <v>2635.4383249999996</v>
      </c>
      <c r="BK45" s="436">
        <f t="shared" si="44"/>
        <v>2838.1643499999996</v>
      </c>
      <c r="BL45" s="436">
        <f t="shared" si="44"/>
        <v>3040.8903749999995</v>
      </c>
      <c r="BM45" s="436">
        <f t="shared" si="44"/>
        <v>3243.6163999999994</v>
      </c>
      <c r="BN45" s="436">
        <f t="shared" si="44"/>
        <v>3446.3424249999994</v>
      </c>
      <c r="BO45" s="436">
        <f t="shared" si="44"/>
        <v>3547.7054374999993</v>
      </c>
      <c r="BP45" s="436">
        <f t="shared" si="44"/>
        <v>3649.0684499999993</v>
      </c>
      <c r="BQ45" s="436">
        <f t="shared" si="44"/>
        <v>3851.7944749999992</v>
      </c>
      <c r="BR45" s="436">
        <f t="shared" si="44"/>
        <v>4054.5204999999992</v>
      </c>
      <c r="BS45" s="436">
        <f t="shared" si="45"/>
        <v>4561.3355624999995</v>
      </c>
      <c r="BT45" s="436">
        <f t="shared" si="45"/>
        <v>5068.1506249999993</v>
      </c>
      <c r="BU45" s="436">
        <f t="shared" si="45"/>
        <v>5574.9656874999991</v>
      </c>
      <c r="BV45" s="436">
        <f t="shared" si="45"/>
        <v>6081.780749999999</v>
      </c>
      <c r="BW45" s="436">
        <f t="shared" si="45"/>
        <v>7095.4108749999987</v>
      </c>
      <c r="BX45" s="436">
        <f t="shared" si="45"/>
        <v>8109.0409999999983</v>
      </c>
      <c r="BY45" s="436">
        <f t="shared" si="45"/>
        <v>9122.6711249999989</v>
      </c>
      <c r="BZ45" s="436">
        <f t="shared" si="45"/>
        <v>10136.301249999999</v>
      </c>
      <c r="CA45" s="436">
        <f t="shared" si="45"/>
        <v>11149.931374999998</v>
      </c>
      <c r="CB45" s="436">
        <f t="shared" si="45"/>
        <v>12163.561499999998</v>
      </c>
      <c r="CC45" s="436">
        <f t="shared" si="45"/>
        <v>14190.821749999997</v>
      </c>
      <c r="CD45" s="436">
        <f t="shared" si="45"/>
        <v>16218.081999999997</v>
      </c>
      <c r="CE45" s="436">
        <f t="shared" si="45"/>
        <v>18245.342249999998</v>
      </c>
      <c r="CF45" s="436">
        <f t="shared" si="45"/>
        <v>20272.602499999997</v>
      </c>
      <c r="CG45" s="436" cm="1">
        <f t="array" ref="CG45">IF($M646=0, Vide, $M646)</f>
        <v>202.72602499999996</v>
      </c>
      <c r="CH45" s="435" t="s">
        <v>762</v>
      </c>
      <c r="CI45" s="435" t="s">
        <v>762</v>
      </c>
      <c r="CJ45" s="435" t="s">
        <v>762</v>
      </c>
      <c r="CK45" s="435" t="s">
        <v>762</v>
      </c>
      <c r="CL45" s="435" t="s">
        <v>762</v>
      </c>
    </row>
    <row r="46" spans="1:90" s="437" customFormat="1">
      <c r="A46" s="435" t="s">
        <v>554</v>
      </c>
      <c r="B46" s="435" t="s">
        <v>90</v>
      </c>
      <c r="C46" s="436" cm="1">
        <f t="array" ref="C46">IF($B647=0, Vide, $B647)</f>
        <v>34.239524999999993</v>
      </c>
      <c r="D46" s="436" cm="1">
        <f t="array" ref="D46">IF($B647=0, Vide, $B647)</f>
        <v>34.239524999999993</v>
      </c>
      <c r="E46" s="436" cm="1">
        <f t="array" ref="E46">IF($B647=0, Vide, $B647)</f>
        <v>34.239524999999993</v>
      </c>
      <c r="F46" s="436" cm="1">
        <f t="array" ref="F46">IF($B647=0, Vide, $B647)</f>
        <v>34.239524999999993</v>
      </c>
      <c r="G46" s="436" cm="1">
        <f t="array" ref="G46">IF($B647=0, Vide, $B647)</f>
        <v>34.239524999999993</v>
      </c>
      <c r="H46" s="436" cm="1">
        <f t="array" ref="H46">IF($C647=0, Vide, $C647)</f>
        <v>36.500999999999998</v>
      </c>
      <c r="I46" s="436" cm="1">
        <f t="array" ref="I46">IF($C647=0, Vide, $C647)</f>
        <v>36.500999999999998</v>
      </c>
      <c r="J46" s="436" cm="1">
        <f t="array" ref="J46">IF($C647=0, Vide, $C647)</f>
        <v>36.500999999999998</v>
      </c>
      <c r="K46" s="436" cm="1">
        <f t="array" ref="K46">IF($C647=0, Vide, $C647)</f>
        <v>36.500999999999998</v>
      </c>
      <c r="L46" s="436" cm="1">
        <f t="array" ref="L46">IF($C647=0, Vide, $C647)</f>
        <v>36.500999999999998</v>
      </c>
      <c r="M46" s="436" t="s">
        <v>762</v>
      </c>
      <c r="N46" s="436" t="s">
        <v>762</v>
      </c>
      <c r="O46" s="436" t="s">
        <v>762</v>
      </c>
      <c r="P46" s="436" t="s">
        <v>762</v>
      </c>
      <c r="Q46" s="436" t="s">
        <v>762</v>
      </c>
      <c r="R46" s="436" t="s">
        <v>762</v>
      </c>
      <c r="S46" s="436" t="s">
        <v>762</v>
      </c>
      <c r="T46" s="436" t="s">
        <v>762</v>
      </c>
      <c r="U46" s="436" t="s">
        <v>762</v>
      </c>
      <c r="V46" s="436" cm="1">
        <f t="array" ref="V46">IF($D647=0, Vide, $D647)</f>
        <v>40.534624999999991</v>
      </c>
      <c r="W46" s="436" cm="1">
        <f t="array" ref="W46">IF($E647=0, Vide, $E647)</f>
        <v>44.303749999999994</v>
      </c>
      <c r="X46" s="436" cm="1">
        <f t="array" ref="X46">IF($F647=0, Vide, $F647)</f>
        <v>48.601874999999993</v>
      </c>
      <c r="Y46" s="436" cm="1">
        <f t="array" ref="Y46">IF($G647=0, Vide, $G647)</f>
        <v>52.860324999999996</v>
      </c>
      <c r="Z46" s="436" cm="1">
        <f t="array" ref="Z46">IF($H647=0, Vide, $H647)</f>
        <v>57.211349999999989</v>
      </c>
      <c r="AA46" s="436" cm="1">
        <f t="array" ref="AA46">IF($I647=0, Vide, $I647)</f>
        <v>61.535924999999992</v>
      </c>
      <c r="AB46" s="436" cm="1">
        <f t="array" ref="AB46">IF($J647=0, Vide, $J647)</f>
        <v>68.426149999999993</v>
      </c>
      <c r="AC46" s="436" cm="1">
        <f t="array" ref="AC46">IF($K647=0, Vide, $K647)</f>
        <v>75.012199999999993</v>
      </c>
      <c r="AD46" s="436" cm="1">
        <f t="array" ref="AD46">IF($L647=0, Vide, $L647)</f>
        <v>79.349999999999994</v>
      </c>
      <c r="AE46" s="436">
        <f t="shared" si="41"/>
        <v>87.284999999999997</v>
      </c>
      <c r="AF46" s="436">
        <f t="shared" si="41"/>
        <v>99.1875</v>
      </c>
      <c r="AG46" s="436">
        <f t="shared" si="41"/>
        <v>119.02499999999999</v>
      </c>
      <c r="AH46" s="436">
        <f t="shared" si="41"/>
        <v>138.86249999999998</v>
      </c>
      <c r="AI46" s="436">
        <f t="shared" si="41"/>
        <v>159.49349999999998</v>
      </c>
      <c r="AJ46" s="436">
        <f t="shared" si="41"/>
        <v>178.53749999999999</v>
      </c>
      <c r="AK46" s="436">
        <f t="shared" si="41"/>
        <v>198.375</v>
      </c>
      <c r="AL46" s="436">
        <f t="shared" si="41"/>
        <v>238.84349999999998</v>
      </c>
      <c r="AM46" s="436">
        <f t="shared" si="41"/>
        <v>257.88749999999999</v>
      </c>
      <c r="AN46" s="436">
        <f t="shared" si="41"/>
        <v>277.72499999999997</v>
      </c>
      <c r="AO46" s="436">
        <f t="shared" si="42"/>
        <v>297.5625</v>
      </c>
      <c r="AP46" s="436">
        <f t="shared" si="42"/>
        <v>318.19349999999997</v>
      </c>
      <c r="AQ46" s="436">
        <f t="shared" si="42"/>
        <v>337.23749999999995</v>
      </c>
      <c r="AR46" s="436">
        <f t="shared" si="42"/>
        <v>357.07499999999999</v>
      </c>
      <c r="AS46" s="436">
        <f t="shared" si="42"/>
        <v>376.91249999999997</v>
      </c>
      <c r="AT46" s="436">
        <f t="shared" si="42"/>
        <v>396.75</v>
      </c>
      <c r="AU46" s="436">
        <f t="shared" si="42"/>
        <v>416.58749999999998</v>
      </c>
      <c r="AV46" s="436">
        <f t="shared" si="42"/>
        <v>436.42499999999995</v>
      </c>
      <c r="AW46" s="436">
        <f t="shared" si="42"/>
        <v>456.26249999999999</v>
      </c>
      <c r="AX46" s="436">
        <f t="shared" si="42"/>
        <v>476.09999999999997</v>
      </c>
      <c r="AY46" s="436">
        <f t="shared" si="43"/>
        <v>515.77499999999998</v>
      </c>
      <c r="AZ46" s="436">
        <f t="shared" si="43"/>
        <v>555.44999999999993</v>
      </c>
      <c r="BA46" s="436">
        <f t="shared" si="43"/>
        <v>595.125</v>
      </c>
      <c r="BB46" s="436">
        <f t="shared" si="43"/>
        <v>634.79999999999995</v>
      </c>
      <c r="BC46" s="436">
        <f t="shared" si="43"/>
        <v>674.47499999999991</v>
      </c>
      <c r="BD46" s="436">
        <f t="shared" si="43"/>
        <v>714.15</v>
      </c>
      <c r="BE46" s="436">
        <f t="shared" si="43"/>
        <v>753.82499999999993</v>
      </c>
      <c r="BF46" s="436">
        <f t="shared" si="43"/>
        <v>793.5</v>
      </c>
      <c r="BG46" s="436">
        <f t="shared" si="43"/>
        <v>872.84999999999991</v>
      </c>
      <c r="BH46" s="436">
        <f t="shared" si="43"/>
        <v>952.19999999999993</v>
      </c>
      <c r="BI46" s="436">
        <f t="shared" si="44"/>
        <v>991.87499999999989</v>
      </c>
      <c r="BJ46" s="436">
        <f t="shared" si="44"/>
        <v>1031.55</v>
      </c>
      <c r="BK46" s="436">
        <f t="shared" si="44"/>
        <v>1110.8999999999999</v>
      </c>
      <c r="BL46" s="436">
        <f t="shared" si="44"/>
        <v>1190.25</v>
      </c>
      <c r="BM46" s="436">
        <f t="shared" si="44"/>
        <v>1269.5999999999999</v>
      </c>
      <c r="BN46" s="436">
        <f t="shared" si="44"/>
        <v>1348.9499999999998</v>
      </c>
      <c r="BO46" s="436">
        <f t="shared" si="44"/>
        <v>1388.625</v>
      </c>
      <c r="BP46" s="436">
        <f t="shared" si="44"/>
        <v>1428.3</v>
      </c>
      <c r="BQ46" s="436">
        <f t="shared" si="44"/>
        <v>1507.6499999999999</v>
      </c>
      <c r="BR46" s="436">
        <f t="shared" si="44"/>
        <v>1587</v>
      </c>
      <c r="BS46" s="436">
        <f t="shared" si="45"/>
        <v>1785.3749999999998</v>
      </c>
      <c r="BT46" s="436">
        <f t="shared" si="45"/>
        <v>1983.7499999999998</v>
      </c>
      <c r="BU46" s="436">
        <f t="shared" si="45"/>
        <v>2182.125</v>
      </c>
      <c r="BV46" s="436">
        <f t="shared" si="45"/>
        <v>2380.5</v>
      </c>
      <c r="BW46" s="436">
        <f t="shared" si="45"/>
        <v>2777.25</v>
      </c>
      <c r="BX46" s="436">
        <f t="shared" si="45"/>
        <v>3174</v>
      </c>
      <c r="BY46" s="436">
        <f t="shared" si="45"/>
        <v>3570.7499999999995</v>
      </c>
      <c r="BZ46" s="436">
        <f t="shared" si="45"/>
        <v>3967.4999999999995</v>
      </c>
      <c r="CA46" s="436">
        <f t="shared" si="45"/>
        <v>4364.25</v>
      </c>
      <c r="CB46" s="436">
        <f t="shared" si="45"/>
        <v>4761</v>
      </c>
      <c r="CC46" s="436">
        <f t="shared" si="45"/>
        <v>5554.5</v>
      </c>
      <c r="CD46" s="436">
        <f t="shared" si="45"/>
        <v>6348</v>
      </c>
      <c r="CE46" s="436">
        <f t="shared" si="45"/>
        <v>7141.4999999999991</v>
      </c>
      <c r="CF46" s="436">
        <f t="shared" si="45"/>
        <v>7934.9999999999991</v>
      </c>
      <c r="CG46" s="436" cm="1">
        <f t="array" ref="CG46">IF($M647=0, Vide, $M647)</f>
        <v>79.349999999999994</v>
      </c>
      <c r="CH46" s="435" t="s">
        <v>762</v>
      </c>
      <c r="CI46" s="435" t="s">
        <v>762</v>
      </c>
      <c r="CJ46" s="435" t="s">
        <v>762</v>
      </c>
      <c r="CK46" s="435" t="s">
        <v>762</v>
      </c>
      <c r="CL46" s="435" t="s">
        <v>762</v>
      </c>
    </row>
    <row r="47" spans="1:90" s="437" customFormat="1">
      <c r="A47" s="435" t="s">
        <v>555</v>
      </c>
      <c r="B47" s="435" t="s">
        <v>90</v>
      </c>
      <c r="C47" s="436" cm="1">
        <f t="array" ref="C47">IF($B648=0, Vide, $B648)</f>
        <v>40.203999999999986</v>
      </c>
      <c r="D47" s="436" cm="1">
        <f t="array" ref="D47">IF($B648=0, Vide, $B648)</f>
        <v>40.203999999999986</v>
      </c>
      <c r="E47" s="436" cm="1">
        <f t="array" ref="E47">IF($B648=0, Vide, $B648)</f>
        <v>40.203999999999986</v>
      </c>
      <c r="F47" s="436" cm="1">
        <f t="array" ref="F47">IF($B648=0, Vide, $B648)</f>
        <v>40.203999999999986</v>
      </c>
      <c r="G47" s="436" cm="1">
        <f t="array" ref="G47">IF($B648=0, Vide, $B648)</f>
        <v>40.203999999999986</v>
      </c>
      <c r="H47" s="436" cm="1">
        <f t="array" ref="H47">IF($C648=0, Vide, $C648)</f>
        <v>47.477749999999993</v>
      </c>
      <c r="I47" s="436" cm="1">
        <f t="array" ref="I47">IF($C648=0, Vide, $C648)</f>
        <v>47.477749999999993</v>
      </c>
      <c r="J47" s="436" cm="1">
        <f t="array" ref="J47">IF($C648=0, Vide, $C648)</f>
        <v>47.477749999999993</v>
      </c>
      <c r="K47" s="436" cm="1">
        <f t="array" ref="K47">IF($C648=0, Vide, $C648)</f>
        <v>47.477749999999993</v>
      </c>
      <c r="L47" s="436" cm="1">
        <f t="array" ref="L47">IF($C648=0, Vide, $C648)</f>
        <v>47.477749999999993</v>
      </c>
      <c r="M47" s="436" t="s">
        <v>762</v>
      </c>
      <c r="N47" s="436" t="s">
        <v>762</v>
      </c>
      <c r="O47" s="436" t="s">
        <v>762</v>
      </c>
      <c r="P47" s="436" t="s">
        <v>762</v>
      </c>
      <c r="Q47" s="436" t="s">
        <v>762</v>
      </c>
      <c r="R47" s="436" t="s">
        <v>762</v>
      </c>
      <c r="S47" s="436" t="s">
        <v>762</v>
      </c>
      <c r="T47" s="436" t="s">
        <v>762</v>
      </c>
      <c r="U47" s="436" t="s">
        <v>762</v>
      </c>
      <c r="V47" s="436" cm="1">
        <f t="array" ref="V47">IF($D648=0, Vide, $D648)</f>
        <v>63.215499999999984</v>
      </c>
      <c r="W47" s="436" cm="1">
        <f t="array" ref="W47">IF($E648=0, Vide, $E648)</f>
        <v>75.871824999999987</v>
      </c>
      <c r="X47" s="436" cm="1">
        <f t="array" ref="X47">IF($F648=0, Vide, $F648)</f>
        <v>91.71537499999998</v>
      </c>
      <c r="Y47" s="436" cm="1">
        <f t="array" ref="Y47">IF($G648=0, Vide, $G648)</f>
        <v>107.50602499999999</v>
      </c>
      <c r="Z47" s="436" cm="1">
        <f t="array" ref="Z47">IF($H648=0, Vide, $H648)</f>
        <v>123.56117499999999</v>
      </c>
      <c r="AA47" s="436" cm="1">
        <f t="array" ref="AA47">IF($I648=0, Vide, $I648)</f>
        <v>140.2379</v>
      </c>
      <c r="AB47" s="436" cm="1">
        <f t="array" ref="AB47">IF($J648=0, Vide, $J648)</f>
        <v>157.16589999999999</v>
      </c>
      <c r="AC47" s="436" cm="1">
        <f t="array" ref="AC47">IF($K648=0, Vide, $K648)</f>
        <v>174.12034999999997</v>
      </c>
      <c r="AD47" s="436" cm="1">
        <f t="array" ref="AD47">IF($L648=0, Vide, $L648)</f>
        <v>196.81444999999997</v>
      </c>
      <c r="AE47" s="436">
        <f t="shared" si="41"/>
        <v>216.49589499999999</v>
      </c>
      <c r="AF47" s="436">
        <f t="shared" si="41"/>
        <v>246.01806249999996</v>
      </c>
      <c r="AG47" s="436">
        <f t="shared" si="41"/>
        <v>295.22167499999995</v>
      </c>
      <c r="AH47" s="436">
        <f t="shared" si="41"/>
        <v>344.42528749999997</v>
      </c>
      <c r="AI47" s="436">
        <f t="shared" si="41"/>
        <v>395.59704449999987</v>
      </c>
      <c r="AJ47" s="436">
        <f t="shared" si="41"/>
        <v>442.83251249999989</v>
      </c>
      <c r="AK47" s="436">
        <f t="shared" si="41"/>
        <v>492.03612499999991</v>
      </c>
      <c r="AL47" s="436">
        <f t="shared" si="41"/>
        <v>592.41149449999989</v>
      </c>
      <c r="AM47" s="436">
        <f t="shared" si="41"/>
        <v>639.64696249999986</v>
      </c>
      <c r="AN47" s="436">
        <f t="shared" si="41"/>
        <v>688.85057499999994</v>
      </c>
      <c r="AO47" s="436">
        <f t="shared" si="42"/>
        <v>738.0541874999999</v>
      </c>
      <c r="AP47" s="436">
        <f t="shared" si="42"/>
        <v>789.22594449999985</v>
      </c>
      <c r="AQ47" s="436">
        <f t="shared" si="42"/>
        <v>836.46141249999982</v>
      </c>
      <c r="AR47" s="436">
        <f t="shared" si="42"/>
        <v>885.66502499999979</v>
      </c>
      <c r="AS47" s="436">
        <f t="shared" si="42"/>
        <v>934.86863749999986</v>
      </c>
      <c r="AT47" s="436">
        <f t="shared" si="42"/>
        <v>984.07224999999983</v>
      </c>
      <c r="AU47" s="436">
        <f t="shared" si="42"/>
        <v>1033.2758624999999</v>
      </c>
      <c r="AV47" s="436">
        <f t="shared" si="42"/>
        <v>1082.4794749999999</v>
      </c>
      <c r="AW47" s="436">
        <f t="shared" si="42"/>
        <v>1131.6830874999998</v>
      </c>
      <c r="AX47" s="436">
        <f t="shared" si="42"/>
        <v>1180.8866999999998</v>
      </c>
      <c r="AY47" s="436">
        <f t="shared" si="43"/>
        <v>1279.2939249999997</v>
      </c>
      <c r="AZ47" s="436">
        <f t="shared" si="43"/>
        <v>1377.7011499999999</v>
      </c>
      <c r="BA47" s="436">
        <f t="shared" si="43"/>
        <v>1476.1083749999998</v>
      </c>
      <c r="BB47" s="436">
        <f t="shared" si="43"/>
        <v>1574.5155999999997</v>
      </c>
      <c r="BC47" s="436">
        <f t="shared" si="43"/>
        <v>1672.9228249999996</v>
      </c>
      <c r="BD47" s="436">
        <f t="shared" si="43"/>
        <v>1771.3300499999996</v>
      </c>
      <c r="BE47" s="436">
        <f t="shared" si="43"/>
        <v>1869.7372749999997</v>
      </c>
      <c r="BF47" s="436">
        <f t="shared" si="43"/>
        <v>1968.1444999999997</v>
      </c>
      <c r="BG47" s="436">
        <f t="shared" si="43"/>
        <v>2164.9589499999997</v>
      </c>
      <c r="BH47" s="436">
        <f t="shared" si="43"/>
        <v>2361.7733999999996</v>
      </c>
      <c r="BI47" s="436">
        <f t="shared" si="44"/>
        <v>2460.1806249999995</v>
      </c>
      <c r="BJ47" s="436">
        <f t="shared" si="44"/>
        <v>2558.5878499999994</v>
      </c>
      <c r="BK47" s="436">
        <f t="shared" si="44"/>
        <v>2755.4022999999997</v>
      </c>
      <c r="BL47" s="436">
        <f t="shared" si="44"/>
        <v>2952.2167499999996</v>
      </c>
      <c r="BM47" s="436">
        <f t="shared" si="44"/>
        <v>3149.0311999999994</v>
      </c>
      <c r="BN47" s="436">
        <f t="shared" si="44"/>
        <v>3345.8456499999993</v>
      </c>
      <c r="BO47" s="436">
        <f t="shared" si="44"/>
        <v>3444.2528749999992</v>
      </c>
      <c r="BP47" s="436">
        <f t="shared" si="44"/>
        <v>3542.6600999999991</v>
      </c>
      <c r="BQ47" s="436">
        <f t="shared" si="44"/>
        <v>3739.4745499999995</v>
      </c>
      <c r="BR47" s="436">
        <f t="shared" si="44"/>
        <v>3936.2889999999993</v>
      </c>
      <c r="BS47" s="436">
        <f t="shared" si="45"/>
        <v>4428.3251249999994</v>
      </c>
      <c r="BT47" s="436">
        <f t="shared" si="45"/>
        <v>4920.361249999999</v>
      </c>
      <c r="BU47" s="436">
        <f t="shared" si="45"/>
        <v>5412.3973749999986</v>
      </c>
      <c r="BV47" s="436">
        <f t="shared" si="45"/>
        <v>5904.4334999999992</v>
      </c>
      <c r="BW47" s="436">
        <f t="shared" si="45"/>
        <v>6888.5057499999984</v>
      </c>
      <c r="BX47" s="436">
        <f t="shared" si="45"/>
        <v>7872.5779999999986</v>
      </c>
      <c r="BY47" s="436">
        <f t="shared" si="45"/>
        <v>8856.6502499999988</v>
      </c>
      <c r="BZ47" s="436">
        <f t="shared" si="45"/>
        <v>9840.722499999998</v>
      </c>
      <c r="CA47" s="436">
        <f t="shared" si="45"/>
        <v>10824.794749999997</v>
      </c>
      <c r="CB47" s="436">
        <f t="shared" si="45"/>
        <v>11808.866999999998</v>
      </c>
      <c r="CC47" s="436">
        <f t="shared" si="45"/>
        <v>13777.011499999997</v>
      </c>
      <c r="CD47" s="436">
        <f t="shared" si="45"/>
        <v>15745.155999999997</v>
      </c>
      <c r="CE47" s="436">
        <f t="shared" si="45"/>
        <v>17713.300499999998</v>
      </c>
      <c r="CF47" s="436">
        <f t="shared" si="45"/>
        <v>19681.444999999996</v>
      </c>
      <c r="CG47" s="436" cm="1">
        <f t="array" ref="CG47">IF($M648=0, Vide, $M648)</f>
        <v>196.81444999999997</v>
      </c>
      <c r="CH47" s="436" t="s">
        <v>762</v>
      </c>
      <c r="CI47" s="435" t="s">
        <v>762</v>
      </c>
      <c r="CJ47" s="435" t="s">
        <v>762</v>
      </c>
      <c r="CK47" s="435" t="s">
        <v>762</v>
      </c>
      <c r="CL47" s="435" t="s">
        <v>762</v>
      </c>
    </row>
    <row r="48" spans="1:90" s="437" customFormat="1">
      <c r="A48" s="435" t="s">
        <v>556</v>
      </c>
      <c r="B48" s="435" t="s">
        <v>90</v>
      </c>
      <c r="C48" s="436" cm="1">
        <f t="array" ref="C48">IF($B649=0, Vide, $B649)</f>
        <v>34.239524999999993</v>
      </c>
      <c r="D48" s="436" cm="1">
        <f t="array" ref="D48">IF($B649=0, Vide, $B649)</f>
        <v>34.239524999999993</v>
      </c>
      <c r="E48" s="436" cm="1">
        <f t="array" ref="E48">IF($B649=0, Vide, $B649)</f>
        <v>34.239524999999993</v>
      </c>
      <c r="F48" s="436" cm="1">
        <f t="array" ref="F48">IF($B649=0, Vide, $B649)</f>
        <v>34.239524999999993</v>
      </c>
      <c r="G48" s="436" cm="1">
        <f t="array" ref="G48">IF($B649=0, Vide, $B649)</f>
        <v>34.239524999999993</v>
      </c>
      <c r="H48" s="436" cm="1">
        <f t="array" ref="H48">IF($C649=0, Vide, $C649)</f>
        <v>36.500999999999998</v>
      </c>
      <c r="I48" s="436" cm="1">
        <f t="array" ref="I48">IF($C649=0, Vide, $C649)</f>
        <v>36.500999999999998</v>
      </c>
      <c r="J48" s="436" cm="1">
        <f t="array" ref="J48">IF($C649=0, Vide, $C649)</f>
        <v>36.500999999999998</v>
      </c>
      <c r="K48" s="436" cm="1">
        <f t="array" ref="K48">IF($C649=0, Vide, $C649)</f>
        <v>36.500999999999998</v>
      </c>
      <c r="L48" s="436" cm="1">
        <f t="array" ref="L48">IF($C649=0, Vide, $C649)</f>
        <v>36.500999999999998</v>
      </c>
      <c r="M48" s="436" t="s">
        <v>762</v>
      </c>
      <c r="N48" s="436" t="s">
        <v>762</v>
      </c>
      <c r="O48" s="436" t="s">
        <v>762</v>
      </c>
      <c r="P48" s="436" t="s">
        <v>762</v>
      </c>
      <c r="Q48" s="436" t="s">
        <v>762</v>
      </c>
      <c r="R48" s="436" t="s">
        <v>762</v>
      </c>
      <c r="S48" s="436" t="s">
        <v>762</v>
      </c>
      <c r="T48" s="436" t="s">
        <v>762</v>
      </c>
      <c r="U48" s="436" t="s">
        <v>762</v>
      </c>
      <c r="V48" s="436" cm="1">
        <f t="array" ref="V48">IF($D649=0, Vide, $D649)</f>
        <v>40.534624999999991</v>
      </c>
      <c r="W48" s="436" cm="1">
        <f t="array" ref="W48">IF($E649=0, Vide, $E649)</f>
        <v>44.303749999999994</v>
      </c>
      <c r="X48" s="436" cm="1">
        <f t="array" ref="X48">IF($F649=0, Vide, $F649)</f>
        <v>48.601874999999993</v>
      </c>
      <c r="Y48" s="436" cm="1">
        <f t="array" ref="Y48">IF($G649=0, Vide, $G649)</f>
        <v>52.860324999999996</v>
      </c>
      <c r="Z48" s="436" cm="1">
        <f t="array" ref="Z48">IF($H649=0, Vide, $H649)</f>
        <v>57.211349999999989</v>
      </c>
      <c r="AA48" s="436" cm="1">
        <f t="array" ref="AA48">IF($I649=0, Vide, $I649)</f>
        <v>61.535924999999992</v>
      </c>
      <c r="AB48" s="436" cm="1">
        <f t="array" ref="AB48">IF($J649=0, Vide, $J649)</f>
        <v>68.426149999999993</v>
      </c>
      <c r="AC48" s="436" cm="1">
        <f t="array" ref="AC48">IF($K649=0, Vide, $K649)</f>
        <v>75.012199999999993</v>
      </c>
      <c r="AD48" s="436" cm="1">
        <f t="array" ref="AD48">IF($L649=0, Vide, $L649)</f>
        <v>79.349999999999994</v>
      </c>
      <c r="AE48" s="436">
        <f t="shared" si="41"/>
        <v>87.284999999999997</v>
      </c>
      <c r="AF48" s="436">
        <f t="shared" si="41"/>
        <v>99.1875</v>
      </c>
      <c r="AG48" s="436">
        <f t="shared" si="41"/>
        <v>119.02499999999999</v>
      </c>
      <c r="AH48" s="436">
        <f t="shared" si="41"/>
        <v>138.86249999999998</v>
      </c>
      <c r="AI48" s="436">
        <f t="shared" si="41"/>
        <v>159.49349999999998</v>
      </c>
      <c r="AJ48" s="436">
        <f t="shared" si="41"/>
        <v>178.53749999999999</v>
      </c>
      <c r="AK48" s="436">
        <f t="shared" si="41"/>
        <v>198.375</v>
      </c>
      <c r="AL48" s="436">
        <f t="shared" si="41"/>
        <v>238.84349999999998</v>
      </c>
      <c r="AM48" s="436">
        <f t="shared" si="41"/>
        <v>257.88749999999999</v>
      </c>
      <c r="AN48" s="436">
        <f t="shared" si="41"/>
        <v>277.72499999999997</v>
      </c>
      <c r="AO48" s="436">
        <f t="shared" si="42"/>
        <v>297.5625</v>
      </c>
      <c r="AP48" s="436">
        <f t="shared" si="42"/>
        <v>318.19349999999997</v>
      </c>
      <c r="AQ48" s="436">
        <f t="shared" si="42"/>
        <v>337.23749999999995</v>
      </c>
      <c r="AR48" s="436">
        <f t="shared" si="42"/>
        <v>357.07499999999999</v>
      </c>
      <c r="AS48" s="436">
        <f t="shared" si="42"/>
        <v>376.91249999999997</v>
      </c>
      <c r="AT48" s="436">
        <f t="shared" si="42"/>
        <v>396.75</v>
      </c>
      <c r="AU48" s="436">
        <f t="shared" si="42"/>
        <v>416.58749999999998</v>
      </c>
      <c r="AV48" s="436">
        <f t="shared" si="42"/>
        <v>436.42499999999995</v>
      </c>
      <c r="AW48" s="436">
        <f t="shared" si="42"/>
        <v>456.26249999999999</v>
      </c>
      <c r="AX48" s="436">
        <f t="shared" si="42"/>
        <v>476.09999999999997</v>
      </c>
      <c r="AY48" s="436">
        <f t="shared" si="43"/>
        <v>515.77499999999998</v>
      </c>
      <c r="AZ48" s="436">
        <f t="shared" si="43"/>
        <v>555.44999999999993</v>
      </c>
      <c r="BA48" s="436">
        <f t="shared" si="43"/>
        <v>595.125</v>
      </c>
      <c r="BB48" s="436">
        <f t="shared" si="43"/>
        <v>634.79999999999995</v>
      </c>
      <c r="BC48" s="436">
        <f t="shared" si="43"/>
        <v>674.47499999999991</v>
      </c>
      <c r="BD48" s="436">
        <f t="shared" si="43"/>
        <v>714.15</v>
      </c>
      <c r="BE48" s="436">
        <f t="shared" si="43"/>
        <v>753.82499999999993</v>
      </c>
      <c r="BF48" s="436">
        <f t="shared" si="43"/>
        <v>793.5</v>
      </c>
      <c r="BG48" s="436">
        <f t="shared" si="43"/>
        <v>872.84999999999991</v>
      </c>
      <c r="BH48" s="436">
        <f t="shared" si="43"/>
        <v>952.19999999999993</v>
      </c>
      <c r="BI48" s="436">
        <f t="shared" si="44"/>
        <v>991.87499999999989</v>
      </c>
      <c r="BJ48" s="436">
        <f t="shared" si="44"/>
        <v>1031.55</v>
      </c>
      <c r="BK48" s="436">
        <f t="shared" si="44"/>
        <v>1110.8999999999999</v>
      </c>
      <c r="BL48" s="436">
        <f t="shared" si="44"/>
        <v>1190.25</v>
      </c>
      <c r="BM48" s="436">
        <f t="shared" si="44"/>
        <v>1269.5999999999999</v>
      </c>
      <c r="BN48" s="436">
        <f t="shared" si="44"/>
        <v>1348.9499999999998</v>
      </c>
      <c r="BO48" s="436">
        <f t="shared" si="44"/>
        <v>1388.625</v>
      </c>
      <c r="BP48" s="436">
        <f t="shared" si="44"/>
        <v>1428.3</v>
      </c>
      <c r="BQ48" s="436">
        <f t="shared" si="44"/>
        <v>1507.6499999999999</v>
      </c>
      <c r="BR48" s="436">
        <f t="shared" si="44"/>
        <v>1587</v>
      </c>
      <c r="BS48" s="436">
        <f t="shared" si="45"/>
        <v>1785.3749999999998</v>
      </c>
      <c r="BT48" s="436">
        <f t="shared" si="45"/>
        <v>1983.7499999999998</v>
      </c>
      <c r="BU48" s="436">
        <f t="shared" si="45"/>
        <v>2182.125</v>
      </c>
      <c r="BV48" s="436">
        <f t="shared" si="45"/>
        <v>2380.5</v>
      </c>
      <c r="BW48" s="436">
        <f t="shared" si="45"/>
        <v>2777.25</v>
      </c>
      <c r="BX48" s="436">
        <f t="shared" si="45"/>
        <v>3174</v>
      </c>
      <c r="BY48" s="436">
        <f t="shared" si="45"/>
        <v>3570.7499999999995</v>
      </c>
      <c r="BZ48" s="436">
        <f t="shared" si="45"/>
        <v>3967.4999999999995</v>
      </c>
      <c r="CA48" s="436">
        <f t="shared" si="45"/>
        <v>4364.25</v>
      </c>
      <c r="CB48" s="436">
        <f t="shared" si="45"/>
        <v>4761</v>
      </c>
      <c r="CC48" s="436">
        <f t="shared" si="45"/>
        <v>5554.5</v>
      </c>
      <c r="CD48" s="436">
        <f t="shared" si="45"/>
        <v>6348</v>
      </c>
      <c r="CE48" s="436">
        <f t="shared" si="45"/>
        <v>7141.4999999999991</v>
      </c>
      <c r="CF48" s="436">
        <f t="shared" si="45"/>
        <v>7934.9999999999991</v>
      </c>
      <c r="CG48" s="436" cm="1">
        <f t="array" ref="CG48">IF($M649=0, Vide, $M649)</f>
        <v>79.349999999999994</v>
      </c>
      <c r="CH48" s="435" t="s">
        <v>762</v>
      </c>
      <c r="CI48" s="435" t="s">
        <v>762</v>
      </c>
      <c r="CJ48" s="435" t="s">
        <v>762</v>
      </c>
      <c r="CK48" s="435" t="s">
        <v>762</v>
      </c>
      <c r="CL48" s="435" t="s">
        <v>762</v>
      </c>
    </row>
    <row r="49" spans="1:90" s="437" customFormat="1">
      <c r="A49" s="435" t="s">
        <v>557</v>
      </c>
      <c r="B49" s="435" t="s">
        <v>90</v>
      </c>
      <c r="C49" s="436" cm="1">
        <f t="array" ref="C49">IF($B650=0, Vide, $B650)</f>
        <v>41.433924999999995</v>
      </c>
      <c r="D49" s="436" cm="1">
        <f t="array" ref="D49">IF($B650=0, Vide, $B650)</f>
        <v>41.433924999999995</v>
      </c>
      <c r="E49" s="436" cm="1">
        <f t="array" ref="E49">IF($B650=0, Vide, $B650)</f>
        <v>41.433924999999995</v>
      </c>
      <c r="F49" s="436" cm="1">
        <f t="array" ref="F49">IF($B650=0, Vide, $B650)</f>
        <v>41.433924999999995</v>
      </c>
      <c r="G49" s="436" cm="1">
        <f t="array" ref="G49">IF($B650=0, Vide, $B650)</f>
        <v>41.433924999999995</v>
      </c>
      <c r="H49" s="436" cm="1">
        <f t="array" ref="H49">IF($C650=0, Vide, $C650)</f>
        <v>48.879599999999996</v>
      </c>
      <c r="I49" s="436" cm="1">
        <f t="array" ref="I49">IF($C650=0, Vide, $C650)</f>
        <v>48.879599999999996</v>
      </c>
      <c r="J49" s="436" cm="1">
        <f t="array" ref="J49">IF($C650=0, Vide, $C650)</f>
        <v>48.879599999999996</v>
      </c>
      <c r="K49" s="436" cm="1">
        <f t="array" ref="K49">IF($C650=0, Vide, $C650)</f>
        <v>48.879599999999996</v>
      </c>
      <c r="L49" s="436" cm="1">
        <f t="array" ref="L49">IF($C650=0, Vide, $C650)</f>
        <v>48.879599999999996</v>
      </c>
      <c r="M49" s="436" t="s">
        <v>762</v>
      </c>
      <c r="N49" s="436" t="s">
        <v>762</v>
      </c>
      <c r="O49" s="436" t="s">
        <v>762</v>
      </c>
      <c r="P49" s="436" t="s">
        <v>762</v>
      </c>
      <c r="Q49" s="436" t="s">
        <v>762</v>
      </c>
      <c r="R49" s="436" t="s">
        <v>762</v>
      </c>
      <c r="S49" s="436" t="s">
        <v>762</v>
      </c>
      <c r="T49" s="436" t="s">
        <v>762</v>
      </c>
      <c r="U49" s="436" t="s">
        <v>762</v>
      </c>
      <c r="V49" s="436" cm="1">
        <f t="array" ref="V49">IF($D650=0, Vide, $D650)</f>
        <v>65.146349999999984</v>
      </c>
      <c r="W49" s="436" cm="1">
        <f t="array" ref="W49">IF($E650=0, Vide, $E650)</f>
        <v>78.159750000000003</v>
      </c>
      <c r="X49" s="436" cm="1">
        <f t="array" ref="X49">IF($F650=0, Vide, $F650)</f>
        <v>94.439724999999967</v>
      </c>
      <c r="Y49" s="436" cm="1">
        <f t="array" ref="Y49">IF($G650=0, Vide, $G650)</f>
        <v>110.75937499999998</v>
      </c>
      <c r="Z49" s="436" cm="1">
        <f t="array" ref="Z49">IF($H650=0, Vide, $H650)</f>
        <v>127.31707499999997</v>
      </c>
      <c r="AA49" s="436" cm="1">
        <f t="array" ref="AA49">IF($I650=0, Vide, $I650)</f>
        <v>144.43022499999998</v>
      </c>
      <c r="AB49" s="436" cm="1">
        <f t="array" ref="AB49">IF($J650=0, Vide, $J650)</f>
        <v>161.86077499999996</v>
      </c>
      <c r="AC49" s="436" cm="1">
        <f t="array" ref="AC49">IF($K650=0, Vide, $K650)</f>
        <v>179.29132499999997</v>
      </c>
      <c r="AD49" s="436" cm="1">
        <f t="array" ref="AD49">IF($L650=0, Vide, $L650)</f>
        <v>202.72602499999996</v>
      </c>
      <c r="AE49" s="436">
        <f t="shared" si="41"/>
        <v>222.99862749999997</v>
      </c>
      <c r="AF49" s="436">
        <f t="shared" si="41"/>
        <v>253.40753124999995</v>
      </c>
      <c r="AG49" s="436">
        <f t="shared" si="41"/>
        <v>304.08903749999996</v>
      </c>
      <c r="AH49" s="436">
        <f t="shared" si="41"/>
        <v>354.77054374999994</v>
      </c>
      <c r="AI49" s="436">
        <f t="shared" si="41"/>
        <v>407.47931024999991</v>
      </c>
      <c r="AJ49" s="436">
        <f t="shared" si="41"/>
        <v>456.13355624999991</v>
      </c>
      <c r="AK49" s="436">
        <f t="shared" si="41"/>
        <v>506.8150624999999</v>
      </c>
      <c r="AL49" s="436">
        <f t="shared" si="41"/>
        <v>610.20533524999985</v>
      </c>
      <c r="AM49" s="436">
        <f t="shared" si="41"/>
        <v>658.85958124999991</v>
      </c>
      <c r="AN49" s="436">
        <f t="shared" si="41"/>
        <v>709.54108749999989</v>
      </c>
      <c r="AO49" s="436">
        <f t="shared" si="42"/>
        <v>760.22259374999987</v>
      </c>
      <c r="AP49" s="436">
        <f t="shared" si="42"/>
        <v>812.93136024999978</v>
      </c>
      <c r="AQ49" s="436">
        <f t="shared" si="42"/>
        <v>861.58560624999984</v>
      </c>
      <c r="AR49" s="436">
        <f t="shared" si="42"/>
        <v>912.26711249999983</v>
      </c>
      <c r="AS49" s="436">
        <f t="shared" si="42"/>
        <v>962.94861874999981</v>
      </c>
      <c r="AT49" s="436">
        <f t="shared" si="42"/>
        <v>1013.6301249999998</v>
      </c>
      <c r="AU49" s="436">
        <f t="shared" si="42"/>
        <v>1064.3116312499999</v>
      </c>
      <c r="AV49" s="436">
        <f t="shared" si="42"/>
        <v>1114.9931374999999</v>
      </c>
      <c r="AW49" s="436">
        <f t="shared" si="42"/>
        <v>1165.6746437499999</v>
      </c>
      <c r="AX49" s="436">
        <f t="shared" si="42"/>
        <v>1216.3561499999998</v>
      </c>
      <c r="AY49" s="436">
        <f t="shared" si="43"/>
        <v>1317.7191624999998</v>
      </c>
      <c r="AZ49" s="436">
        <f t="shared" si="43"/>
        <v>1419.0821749999998</v>
      </c>
      <c r="BA49" s="436">
        <f t="shared" si="43"/>
        <v>1520.4451874999997</v>
      </c>
      <c r="BB49" s="436">
        <f t="shared" si="43"/>
        <v>1621.8081999999997</v>
      </c>
      <c r="BC49" s="436">
        <f t="shared" si="43"/>
        <v>1723.1712124999997</v>
      </c>
      <c r="BD49" s="436">
        <f t="shared" si="43"/>
        <v>1824.5342249999997</v>
      </c>
      <c r="BE49" s="436">
        <f t="shared" si="43"/>
        <v>1925.8972374999996</v>
      </c>
      <c r="BF49" s="436">
        <f t="shared" si="43"/>
        <v>2027.2602499999996</v>
      </c>
      <c r="BG49" s="436">
        <f t="shared" si="43"/>
        <v>2229.9862749999998</v>
      </c>
      <c r="BH49" s="436">
        <f t="shared" si="43"/>
        <v>2432.7122999999997</v>
      </c>
      <c r="BI49" s="436">
        <f t="shared" si="44"/>
        <v>2534.0753124999997</v>
      </c>
      <c r="BJ49" s="436">
        <f t="shared" si="44"/>
        <v>2635.4383249999996</v>
      </c>
      <c r="BK49" s="436">
        <f t="shared" si="44"/>
        <v>2838.1643499999996</v>
      </c>
      <c r="BL49" s="436">
        <f t="shared" si="44"/>
        <v>3040.8903749999995</v>
      </c>
      <c r="BM49" s="436">
        <f t="shared" si="44"/>
        <v>3243.6163999999994</v>
      </c>
      <c r="BN49" s="436">
        <f t="shared" si="44"/>
        <v>3446.3424249999994</v>
      </c>
      <c r="BO49" s="436">
        <f t="shared" si="44"/>
        <v>3547.7054374999993</v>
      </c>
      <c r="BP49" s="436">
        <f t="shared" si="44"/>
        <v>3649.0684499999993</v>
      </c>
      <c r="BQ49" s="436">
        <f t="shared" si="44"/>
        <v>3851.7944749999992</v>
      </c>
      <c r="BR49" s="436">
        <f t="shared" si="44"/>
        <v>4054.5204999999992</v>
      </c>
      <c r="BS49" s="436">
        <f t="shared" si="45"/>
        <v>4561.3355624999995</v>
      </c>
      <c r="BT49" s="436">
        <f t="shared" si="45"/>
        <v>5068.1506249999993</v>
      </c>
      <c r="BU49" s="436">
        <f t="shared" si="45"/>
        <v>5574.9656874999991</v>
      </c>
      <c r="BV49" s="436">
        <f t="shared" si="45"/>
        <v>6081.780749999999</v>
      </c>
      <c r="BW49" s="436">
        <f t="shared" si="45"/>
        <v>7095.4108749999987</v>
      </c>
      <c r="BX49" s="436">
        <f t="shared" si="45"/>
        <v>8109.0409999999983</v>
      </c>
      <c r="BY49" s="436">
        <f t="shared" si="45"/>
        <v>9122.6711249999989</v>
      </c>
      <c r="BZ49" s="436">
        <f t="shared" si="45"/>
        <v>10136.301249999999</v>
      </c>
      <c r="CA49" s="436">
        <f t="shared" si="45"/>
        <v>11149.931374999998</v>
      </c>
      <c r="CB49" s="436">
        <f t="shared" si="45"/>
        <v>12163.561499999998</v>
      </c>
      <c r="CC49" s="436">
        <f t="shared" si="45"/>
        <v>14190.821749999997</v>
      </c>
      <c r="CD49" s="436">
        <f t="shared" si="45"/>
        <v>16218.081999999997</v>
      </c>
      <c r="CE49" s="436">
        <f t="shared" si="45"/>
        <v>18245.342249999998</v>
      </c>
      <c r="CF49" s="436">
        <f t="shared" si="45"/>
        <v>20272.602499999997</v>
      </c>
      <c r="CG49" s="436" cm="1">
        <f t="array" ref="CG49">IF($M650=0, Vide, $M650)</f>
        <v>202.72602499999996</v>
      </c>
      <c r="CH49" s="435" t="s">
        <v>762</v>
      </c>
      <c r="CI49" s="435" t="s">
        <v>762</v>
      </c>
      <c r="CJ49" s="435" t="s">
        <v>762</v>
      </c>
      <c r="CK49" s="435" t="s">
        <v>762</v>
      </c>
      <c r="CL49" s="435" t="s">
        <v>762</v>
      </c>
    </row>
    <row r="50" spans="1:90" s="437" customFormat="1">
      <c r="A50" s="435" t="s">
        <v>558</v>
      </c>
      <c r="B50" s="435" t="s">
        <v>90</v>
      </c>
      <c r="C50" s="436" t="s">
        <v>762</v>
      </c>
      <c r="D50" s="436" t="s">
        <v>762</v>
      </c>
      <c r="E50" s="436" t="s">
        <v>762</v>
      </c>
      <c r="F50" s="436" t="s">
        <v>762</v>
      </c>
      <c r="G50" s="436" t="s">
        <v>762</v>
      </c>
      <c r="H50" s="436" t="s">
        <v>762</v>
      </c>
      <c r="I50" s="436" t="s">
        <v>762</v>
      </c>
      <c r="J50" s="436" t="s">
        <v>762</v>
      </c>
      <c r="K50" s="436" t="s">
        <v>762</v>
      </c>
      <c r="L50" s="436" t="s">
        <v>762</v>
      </c>
      <c r="M50" s="436" t="s">
        <v>762</v>
      </c>
      <c r="N50" s="436" t="s">
        <v>762</v>
      </c>
      <c r="O50" s="436" t="s">
        <v>762</v>
      </c>
      <c r="P50" s="436" t="s">
        <v>762</v>
      </c>
      <c r="Q50" s="436" t="s">
        <v>762</v>
      </c>
      <c r="R50" s="436" t="s">
        <v>762</v>
      </c>
      <c r="S50" s="436" t="s">
        <v>762</v>
      </c>
      <c r="T50" s="436" t="s">
        <v>762</v>
      </c>
      <c r="U50" s="436" t="s">
        <v>762</v>
      </c>
      <c r="V50" s="436" t="s">
        <v>762</v>
      </c>
      <c r="W50" s="436" t="s">
        <v>762</v>
      </c>
      <c r="X50" s="436" t="s">
        <v>762</v>
      </c>
      <c r="Y50" s="436" t="s">
        <v>762</v>
      </c>
      <c r="Z50" s="436" t="s">
        <v>762</v>
      </c>
      <c r="AA50" s="436" t="s">
        <v>762</v>
      </c>
      <c r="AB50" s="436" t="s">
        <v>762</v>
      </c>
      <c r="AC50" s="436" t="s">
        <v>762</v>
      </c>
      <c r="AD50" s="436" t="s">
        <v>762</v>
      </c>
      <c r="AE50" s="436" t="s">
        <v>762</v>
      </c>
      <c r="AF50" s="436" t="s">
        <v>762</v>
      </c>
      <c r="AG50" s="436" t="s">
        <v>762</v>
      </c>
      <c r="AH50" s="436" t="s">
        <v>762</v>
      </c>
      <c r="AI50" s="436" t="s">
        <v>762</v>
      </c>
      <c r="AJ50" s="436" t="s">
        <v>762</v>
      </c>
      <c r="AK50" s="436" t="s">
        <v>762</v>
      </c>
      <c r="AL50" s="436" t="s">
        <v>762</v>
      </c>
      <c r="AM50" s="436" t="s">
        <v>762</v>
      </c>
      <c r="AN50" s="436" t="s">
        <v>762</v>
      </c>
      <c r="AO50" s="436" t="s">
        <v>762</v>
      </c>
      <c r="AP50" s="436" t="s">
        <v>762</v>
      </c>
      <c r="AQ50" s="436" t="s">
        <v>762</v>
      </c>
      <c r="AR50" s="436" t="s">
        <v>762</v>
      </c>
      <c r="AS50" s="436" t="s">
        <v>762</v>
      </c>
      <c r="AT50" s="436" t="s">
        <v>762</v>
      </c>
      <c r="AU50" s="436" t="s">
        <v>762</v>
      </c>
      <c r="AV50" s="436" t="s">
        <v>762</v>
      </c>
      <c r="AW50" s="436" t="s">
        <v>762</v>
      </c>
      <c r="AX50" s="436" t="s">
        <v>762</v>
      </c>
      <c r="AY50" s="436" t="s">
        <v>762</v>
      </c>
      <c r="AZ50" s="436" t="s">
        <v>762</v>
      </c>
      <c r="BA50" s="436" t="s">
        <v>762</v>
      </c>
      <c r="BB50" s="436" t="s">
        <v>762</v>
      </c>
      <c r="BC50" s="436" t="s">
        <v>762</v>
      </c>
      <c r="BD50" s="436" t="s">
        <v>762</v>
      </c>
      <c r="BE50" s="436" t="s">
        <v>762</v>
      </c>
      <c r="BF50" s="436" t="s">
        <v>762</v>
      </c>
      <c r="BG50" s="436" t="s">
        <v>762</v>
      </c>
      <c r="BH50" s="436" t="s">
        <v>762</v>
      </c>
      <c r="BI50" s="436" t="s">
        <v>762</v>
      </c>
      <c r="BJ50" s="436" t="s">
        <v>762</v>
      </c>
      <c r="BK50" s="436" t="s">
        <v>762</v>
      </c>
      <c r="BL50" s="436" t="s">
        <v>762</v>
      </c>
      <c r="BM50" s="436" t="s">
        <v>762</v>
      </c>
      <c r="BN50" s="436" t="s">
        <v>762</v>
      </c>
      <c r="BO50" s="436" t="s">
        <v>762</v>
      </c>
      <c r="BP50" s="436" t="s">
        <v>762</v>
      </c>
      <c r="BQ50" s="436" t="s">
        <v>762</v>
      </c>
      <c r="BR50" s="436" t="s">
        <v>762</v>
      </c>
      <c r="BS50" s="436" t="s">
        <v>762</v>
      </c>
      <c r="BT50" s="436" t="s">
        <v>762</v>
      </c>
      <c r="BU50" s="436" t="s">
        <v>762</v>
      </c>
      <c r="BV50" s="436" t="s">
        <v>762</v>
      </c>
      <c r="BW50" s="436" t="s">
        <v>762</v>
      </c>
      <c r="BX50" s="436" t="s">
        <v>762</v>
      </c>
      <c r="BY50" s="436" t="s">
        <v>762</v>
      </c>
      <c r="BZ50" s="436" t="s">
        <v>762</v>
      </c>
      <c r="CA50" s="436" t="s">
        <v>762</v>
      </c>
      <c r="CB50" s="436" t="s">
        <v>762</v>
      </c>
      <c r="CC50" s="436" t="s">
        <v>762</v>
      </c>
      <c r="CD50" s="436" t="s">
        <v>762</v>
      </c>
      <c r="CE50" s="436" t="s">
        <v>762</v>
      </c>
      <c r="CF50" s="436" t="s">
        <v>762</v>
      </c>
      <c r="CG50" s="436" t="s">
        <v>762</v>
      </c>
      <c r="CH50" s="436" t="s">
        <v>762</v>
      </c>
      <c r="CI50" s="436" t="s">
        <v>762</v>
      </c>
      <c r="CJ50" s="436" t="s">
        <v>762</v>
      </c>
      <c r="CK50" s="436" t="s">
        <v>762</v>
      </c>
      <c r="CL50" s="436" t="s">
        <v>762</v>
      </c>
    </row>
    <row r="51" spans="1:90" s="437" customFormat="1">
      <c r="A51" s="435" t="s">
        <v>559</v>
      </c>
      <c r="B51" s="435" t="s">
        <v>90</v>
      </c>
      <c r="C51" s="436" cm="1">
        <f t="array" ref="C51">IF($B652=0, Vide, $B652)</f>
        <v>40.203999999999986</v>
      </c>
      <c r="D51" s="436" cm="1">
        <f t="array" ref="D51">IF($B652=0, Vide, $B652)</f>
        <v>40.203999999999986</v>
      </c>
      <c r="E51" s="436" cm="1">
        <f t="array" ref="E51">IF($B652=0, Vide, $B652)</f>
        <v>40.203999999999986</v>
      </c>
      <c r="F51" s="436" cm="1">
        <f t="array" ref="F51">IF($B652=0, Vide, $B652)</f>
        <v>40.203999999999986</v>
      </c>
      <c r="G51" s="436" cm="1">
        <f t="array" ref="G51">IF($B652=0, Vide, $B652)</f>
        <v>40.203999999999986</v>
      </c>
      <c r="H51" s="436" cm="1">
        <f t="array" ref="H51">IF($C652=0, Vide, $C652)</f>
        <v>47.477749999999993</v>
      </c>
      <c r="I51" s="436" cm="1">
        <f t="array" ref="I51">IF($C652=0, Vide, $C652)</f>
        <v>47.477749999999993</v>
      </c>
      <c r="J51" s="436" cm="1">
        <f t="array" ref="J51">IF($C652=0, Vide, $C652)</f>
        <v>47.477749999999993</v>
      </c>
      <c r="K51" s="436" cm="1">
        <f t="array" ref="K51">IF($C652=0, Vide, $C652)</f>
        <v>47.477749999999993</v>
      </c>
      <c r="L51" s="436" cm="1">
        <f t="array" ref="L51">IF($C652=0, Vide, $C652)</f>
        <v>47.477749999999993</v>
      </c>
      <c r="M51" s="436" t="s">
        <v>762</v>
      </c>
      <c r="N51" s="436" t="s">
        <v>762</v>
      </c>
      <c r="O51" s="436" t="s">
        <v>762</v>
      </c>
      <c r="P51" s="436" t="s">
        <v>762</v>
      </c>
      <c r="Q51" s="436" t="s">
        <v>762</v>
      </c>
      <c r="R51" s="436" t="s">
        <v>762</v>
      </c>
      <c r="S51" s="436" t="s">
        <v>762</v>
      </c>
      <c r="T51" s="436" t="s">
        <v>762</v>
      </c>
      <c r="U51" s="436" t="s">
        <v>762</v>
      </c>
      <c r="V51" s="436" cm="1">
        <f t="array" ref="V51">IF($D652=0, Vide, $D652)</f>
        <v>63.215499999999984</v>
      </c>
      <c r="W51" s="436" cm="1">
        <f t="array" ref="W51">IF($E652=0, Vide, $E652)</f>
        <v>75.871824999999987</v>
      </c>
      <c r="X51" s="436" cm="1">
        <f t="array" ref="X51">IF($F652=0, Vide, $F652)</f>
        <v>91.71537499999998</v>
      </c>
      <c r="Y51" s="436" cm="1">
        <f t="array" ref="Y51">IF($G652=0, Vide, $G652)</f>
        <v>107.50602499999999</v>
      </c>
      <c r="Z51" s="436" cm="1">
        <f t="array" ref="Z51">IF($H652=0, Vide, $H652)</f>
        <v>123.56117499999999</v>
      </c>
      <c r="AA51" s="436" cm="1">
        <f t="array" ref="AA51">IF($I652=0, Vide, $I652)</f>
        <v>140.2379</v>
      </c>
      <c r="AB51" s="436" cm="1">
        <f t="array" ref="AB51">IF($J652=0, Vide, $J652)</f>
        <v>157.16589999999999</v>
      </c>
      <c r="AC51" s="436" cm="1">
        <f t="array" ref="AC51">IF($K652=0, Vide, $K652)</f>
        <v>174.12034999999997</v>
      </c>
      <c r="AD51" s="436" cm="1">
        <f t="array" ref="AD51">IF($L652=0, Vide, $L652)</f>
        <v>196.81444999999997</v>
      </c>
      <c r="AE51" s="436">
        <f t="shared" ref="AE51:AN60" si="46">(AE$1/100)*$CG51</f>
        <v>216.49589499999999</v>
      </c>
      <c r="AF51" s="436">
        <f t="shared" si="46"/>
        <v>246.01806249999996</v>
      </c>
      <c r="AG51" s="436">
        <f t="shared" si="46"/>
        <v>295.22167499999995</v>
      </c>
      <c r="AH51" s="436">
        <f t="shared" si="46"/>
        <v>344.42528749999997</v>
      </c>
      <c r="AI51" s="436">
        <f t="shared" si="46"/>
        <v>395.59704449999987</v>
      </c>
      <c r="AJ51" s="436">
        <f t="shared" si="46"/>
        <v>442.83251249999989</v>
      </c>
      <c r="AK51" s="436">
        <f t="shared" si="46"/>
        <v>492.03612499999991</v>
      </c>
      <c r="AL51" s="436">
        <f t="shared" si="46"/>
        <v>592.41149449999989</v>
      </c>
      <c r="AM51" s="436">
        <f t="shared" si="46"/>
        <v>639.64696249999986</v>
      </c>
      <c r="AN51" s="436">
        <f t="shared" si="46"/>
        <v>688.85057499999994</v>
      </c>
      <c r="AO51" s="436">
        <f t="shared" ref="AO51:AX60" si="47">(AO$1/100)*$CG51</f>
        <v>738.0541874999999</v>
      </c>
      <c r="AP51" s="436">
        <f t="shared" si="47"/>
        <v>789.22594449999985</v>
      </c>
      <c r="AQ51" s="436">
        <f t="shared" si="47"/>
        <v>836.46141249999982</v>
      </c>
      <c r="AR51" s="436">
        <f t="shared" si="47"/>
        <v>885.66502499999979</v>
      </c>
      <c r="AS51" s="436">
        <f t="shared" si="47"/>
        <v>934.86863749999986</v>
      </c>
      <c r="AT51" s="436">
        <f t="shared" si="47"/>
        <v>984.07224999999983</v>
      </c>
      <c r="AU51" s="436">
        <f t="shared" si="47"/>
        <v>1033.2758624999999</v>
      </c>
      <c r="AV51" s="436">
        <f t="shared" si="47"/>
        <v>1082.4794749999999</v>
      </c>
      <c r="AW51" s="436">
        <f t="shared" si="47"/>
        <v>1131.6830874999998</v>
      </c>
      <c r="AX51" s="436">
        <f t="shared" si="47"/>
        <v>1180.8866999999998</v>
      </c>
      <c r="AY51" s="436">
        <f t="shared" ref="AY51:BH60" si="48">(AY$1/100)*$CG51</f>
        <v>1279.2939249999997</v>
      </c>
      <c r="AZ51" s="436">
        <f t="shared" si="48"/>
        <v>1377.7011499999999</v>
      </c>
      <c r="BA51" s="436">
        <f t="shared" si="48"/>
        <v>1476.1083749999998</v>
      </c>
      <c r="BB51" s="436">
        <f t="shared" si="48"/>
        <v>1574.5155999999997</v>
      </c>
      <c r="BC51" s="436">
        <f t="shared" si="48"/>
        <v>1672.9228249999996</v>
      </c>
      <c r="BD51" s="436">
        <f t="shared" si="48"/>
        <v>1771.3300499999996</v>
      </c>
      <c r="BE51" s="436">
        <f t="shared" si="48"/>
        <v>1869.7372749999997</v>
      </c>
      <c r="BF51" s="436">
        <f t="shared" si="48"/>
        <v>1968.1444999999997</v>
      </c>
      <c r="BG51" s="436">
        <f t="shared" si="48"/>
        <v>2164.9589499999997</v>
      </c>
      <c r="BH51" s="436">
        <f t="shared" si="48"/>
        <v>2361.7733999999996</v>
      </c>
      <c r="BI51" s="436">
        <f t="shared" ref="BI51:BR60" si="49">(BI$1/100)*$CG51</f>
        <v>2460.1806249999995</v>
      </c>
      <c r="BJ51" s="436">
        <f t="shared" si="49"/>
        <v>2558.5878499999994</v>
      </c>
      <c r="BK51" s="436">
        <f t="shared" si="49"/>
        <v>2755.4022999999997</v>
      </c>
      <c r="BL51" s="436">
        <f t="shared" si="49"/>
        <v>2952.2167499999996</v>
      </c>
      <c r="BM51" s="436">
        <f t="shared" si="49"/>
        <v>3149.0311999999994</v>
      </c>
      <c r="BN51" s="436">
        <f t="shared" si="49"/>
        <v>3345.8456499999993</v>
      </c>
      <c r="BO51" s="436">
        <f t="shared" si="49"/>
        <v>3444.2528749999992</v>
      </c>
      <c r="BP51" s="436">
        <f t="shared" si="49"/>
        <v>3542.6600999999991</v>
      </c>
      <c r="BQ51" s="436">
        <f t="shared" si="49"/>
        <v>3739.4745499999995</v>
      </c>
      <c r="BR51" s="436">
        <f t="shared" si="49"/>
        <v>3936.2889999999993</v>
      </c>
      <c r="BS51" s="436">
        <f t="shared" ref="BS51:CF60" si="50">(BS$1/100)*$CG51</f>
        <v>4428.3251249999994</v>
      </c>
      <c r="BT51" s="436">
        <f t="shared" si="50"/>
        <v>4920.361249999999</v>
      </c>
      <c r="BU51" s="436">
        <f t="shared" si="50"/>
        <v>5412.3973749999986</v>
      </c>
      <c r="BV51" s="436">
        <f t="shared" si="50"/>
        <v>5904.4334999999992</v>
      </c>
      <c r="BW51" s="436">
        <f t="shared" si="50"/>
        <v>6888.5057499999984</v>
      </c>
      <c r="BX51" s="436">
        <f t="shared" si="50"/>
        <v>7872.5779999999986</v>
      </c>
      <c r="BY51" s="436">
        <f t="shared" si="50"/>
        <v>8856.6502499999988</v>
      </c>
      <c r="BZ51" s="436">
        <f t="shared" si="50"/>
        <v>9840.722499999998</v>
      </c>
      <c r="CA51" s="436">
        <f t="shared" si="50"/>
        <v>10824.794749999997</v>
      </c>
      <c r="CB51" s="436">
        <f t="shared" si="50"/>
        <v>11808.866999999998</v>
      </c>
      <c r="CC51" s="436">
        <f t="shared" si="50"/>
        <v>13777.011499999997</v>
      </c>
      <c r="CD51" s="436">
        <f t="shared" si="50"/>
        <v>15745.155999999997</v>
      </c>
      <c r="CE51" s="436">
        <f t="shared" si="50"/>
        <v>17713.300499999998</v>
      </c>
      <c r="CF51" s="436">
        <f t="shared" si="50"/>
        <v>19681.444999999996</v>
      </c>
      <c r="CG51" s="436" cm="1">
        <f t="array" ref="CG51">IF($M652=0, Vide, $M652)</f>
        <v>196.81444999999997</v>
      </c>
      <c r="CH51" s="435" t="s">
        <v>762</v>
      </c>
      <c r="CI51" s="435" t="s">
        <v>762</v>
      </c>
      <c r="CJ51" s="435" t="s">
        <v>762</v>
      </c>
      <c r="CK51" s="435" t="s">
        <v>762</v>
      </c>
      <c r="CL51" s="435" t="s">
        <v>762</v>
      </c>
    </row>
    <row r="52" spans="1:90" s="437" customFormat="1">
      <c r="A52" s="435" t="s">
        <v>560</v>
      </c>
      <c r="B52" s="435" t="s">
        <v>90</v>
      </c>
      <c r="C52" s="436" cm="1">
        <f t="array" ref="C52">IF($B653=0, Vide, $B653)</f>
        <v>41.433924999999995</v>
      </c>
      <c r="D52" s="436" cm="1">
        <f t="array" ref="D52">IF($B653=0, Vide, $B653)</f>
        <v>41.433924999999995</v>
      </c>
      <c r="E52" s="436" cm="1">
        <f t="array" ref="E52">IF($B653=0, Vide, $B653)</f>
        <v>41.433924999999995</v>
      </c>
      <c r="F52" s="436" cm="1">
        <f t="array" ref="F52">IF($B653=0, Vide, $B653)</f>
        <v>41.433924999999995</v>
      </c>
      <c r="G52" s="436" cm="1">
        <f t="array" ref="G52">IF($B653=0, Vide, $B653)</f>
        <v>41.433924999999995</v>
      </c>
      <c r="H52" s="436" cm="1">
        <f t="array" ref="H52">IF($C653=0, Vide, $C653)</f>
        <v>48.879599999999996</v>
      </c>
      <c r="I52" s="436" cm="1">
        <f t="array" ref="I52">IF($C653=0, Vide, $C653)</f>
        <v>48.879599999999996</v>
      </c>
      <c r="J52" s="436" cm="1">
        <f t="array" ref="J52">IF($C653=0, Vide, $C653)</f>
        <v>48.879599999999996</v>
      </c>
      <c r="K52" s="436" cm="1">
        <f t="array" ref="K52">IF($C653=0, Vide, $C653)</f>
        <v>48.879599999999996</v>
      </c>
      <c r="L52" s="436" cm="1">
        <f t="array" ref="L52">IF($C653=0, Vide, $C653)</f>
        <v>48.879599999999996</v>
      </c>
      <c r="M52" s="436" t="s">
        <v>762</v>
      </c>
      <c r="N52" s="436" t="s">
        <v>762</v>
      </c>
      <c r="O52" s="436" t="s">
        <v>762</v>
      </c>
      <c r="P52" s="436" t="s">
        <v>762</v>
      </c>
      <c r="Q52" s="436" t="s">
        <v>762</v>
      </c>
      <c r="R52" s="436" t="s">
        <v>762</v>
      </c>
      <c r="S52" s="436" t="s">
        <v>762</v>
      </c>
      <c r="T52" s="436" t="s">
        <v>762</v>
      </c>
      <c r="U52" s="436" t="s">
        <v>762</v>
      </c>
      <c r="V52" s="436" cm="1">
        <f t="array" ref="V52">IF($D653=0, Vide, $D653)</f>
        <v>65.146349999999984</v>
      </c>
      <c r="W52" s="436" cm="1">
        <f t="array" ref="W52">IF($E653=0, Vide, $E653)</f>
        <v>78.159750000000003</v>
      </c>
      <c r="X52" s="436" cm="1">
        <f t="array" ref="X52">IF($F653=0, Vide, $F653)</f>
        <v>94.439724999999967</v>
      </c>
      <c r="Y52" s="436" cm="1">
        <f t="array" ref="Y52">IF($G653=0, Vide, $G653)</f>
        <v>110.75937499999998</v>
      </c>
      <c r="Z52" s="436" cm="1">
        <f t="array" ref="Z52">IF($H653=0, Vide, $H653)</f>
        <v>127.31707499999997</v>
      </c>
      <c r="AA52" s="436" cm="1">
        <f t="array" ref="AA52">IF($I653=0, Vide, $I653)</f>
        <v>144.43022499999998</v>
      </c>
      <c r="AB52" s="436" cm="1">
        <f t="array" ref="AB52">IF($J653=0, Vide, $J653)</f>
        <v>161.86077499999996</v>
      </c>
      <c r="AC52" s="436" cm="1">
        <f t="array" ref="AC52">IF($K653=0, Vide, $K653)</f>
        <v>179.29132499999997</v>
      </c>
      <c r="AD52" s="436" cm="1">
        <f t="array" ref="AD52">IF($L653=0, Vide, $L653)</f>
        <v>202.72602499999996</v>
      </c>
      <c r="AE52" s="436">
        <f t="shared" si="46"/>
        <v>222.99862749999997</v>
      </c>
      <c r="AF52" s="436">
        <f t="shared" si="46"/>
        <v>253.40753124999995</v>
      </c>
      <c r="AG52" s="436">
        <f t="shared" si="46"/>
        <v>304.08903749999996</v>
      </c>
      <c r="AH52" s="436">
        <f t="shared" si="46"/>
        <v>354.77054374999994</v>
      </c>
      <c r="AI52" s="436">
        <f t="shared" si="46"/>
        <v>407.47931024999991</v>
      </c>
      <c r="AJ52" s="436">
        <f t="shared" si="46"/>
        <v>456.13355624999991</v>
      </c>
      <c r="AK52" s="436">
        <f t="shared" si="46"/>
        <v>506.8150624999999</v>
      </c>
      <c r="AL52" s="436">
        <f t="shared" si="46"/>
        <v>610.20533524999985</v>
      </c>
      <c r="AM52" s="436">
        <f t="shared" si="46"/>
        <v>658.85958124999991</v>
      </c>
      <c r="AN52" s="436">
        <f t="shared" si="46"/>
        <v>709.54108749999989</v>
      </c>
      <c r="AO52" s="436">
        <f t="shared" si="47"/>
        <v>760.22259374999987</v>
      </c>
      <c r="AP52" s="436">
        <f t="shared" si="47"/>
        <v>812.93136024999978</v>
      </c>
      <c r="AQ52" s="436">
        <f t="shared" si="47"/>
        <v>861.58560624999984</v>
      </c>
      <c r="AR52" s="436">
        <f t="shared" si="47"/>
        <v>912.26711249999983</v>
      </c>
      <c r="AS52" s="436">
        <f t="shared" si="47"/>
        <v>962.94861874999981</v>
      </c>
      <c r="AT52" s="436">
        <f t="shared" si="47"/>
        <v>1013.6301249999998</v>
      </c>
      <c r="AU52" s="436">
        <f t="shared" si="47"/>
        <v>1064.3116312499999</v>
      </c>
      <c r="AV52" s="436">
        <f t="shared" si="47"/>
        <v>1114.9931374999999</v>
      </c>
      <c r="AW52" s="436">
        <f t="shared" si="47"/>
        <v>1165.6746437499999</v>
      </c>
      <c r="AX52" s="436">
        <f t="shared" si="47"/>
        <v>1216.3561499999998</v>
      </c>
      <c r="AY52" s="436">
        <f t="shared" si="48"/>
        <v>1317.7191624999998</v>
      </c>
      <c r="AZ52" s="436">
        <f t="shared" si="48"/>
        <v>1419.0821749999998</v>
      </c>
      <c r="BA52" s="436">
        <f t="shared" si="48"/>
        <v>1520.4451874999997</v>
      </c>
      <c r="BB52" s="436">
        <f t="shared" si="48"/>
        <v>1621.8081999999997</v>
      </c>
      <c r="BC52" s="436">
        <f t="shared" si="48"/>
        <v>1723.1712124999997</v>
      </c>
      <c r="BD52" s="436">
        <f t="shared" si="48"/>
        <v>1824.5342249999997</v>
      </c>
      <c r="BE52" s="436">
        <f t="shared" si="48"/>
        <v>1925.8972374999996</v>
      </c>
      <c r="BF52" s="436">
        <f t="shared" si="48"/>
        <v>2027.2602499999996</v>
      </c>
      <c r="BG52" s="436">
        <f t="shared" si="48"/>
        <v>2229.9862749999998</v>
      </c>
      <c r="BH52" s="436">
        <f t="shared" si="48"/>
        <v>2432.7122999999997</v>
      </c>
      <c r="BI52" s="436">
        <f t="shared" si="49"/>
        <v>2534.0753124999997</v>
      </c>
      <c r="BJ52" s="436">
        <f t="shared" si="49"/>
        <v>2635.4383249999996</v>
      </c>
      <c r="BK52" s="436">
        <f t="shared" si="49"/>
        <v>2838.1643499999996</v>
      </c>
      <c r="BL52" s="436">
        <f t="shared" si="49"/>
        <v>3040.8903749999995</v>
      </c>
      <c r="BM52" s="436">
        <f t="shared" si="49"/>
        <v>3243.6163999999994</v>
      </c>
      <c r="BN52" s="436">
        <f t="shared" si="49"/>
        <v>3446.3424249999994</v>
      </c>
      <c r="BO52" s="436">
        <f t="shared" si="49"/>
        <v>3547.7054374999993</v>
      </c>
      <c r="BP52" s="436">
        <f t="shared" si="49"/>
        <v>3649.0684499999993</v>
      </c>
      <c r="BQ52" s="436">
        <f t="shared" si="49"/>
        <v>3851.7944749999992</v>
      </c>
      <c r="BR52" s="436">
        <f t="shared" si="49"/>
        <v>4054.5204999999992</v>
      </c>
      <c r="BS52" s="436">
        <f t="shared" si="50"/>
        <v>4561.3355624999995</v>
      </c>
      <c r="BT52" s="436">
        <f t="shared" si="50"/>
        <v>5068.1506249999993</v>
      </c>
      <c r="BU52" s="436">
        <f t="shared" si="50"/>
        <v>5574.9656874999991</v>
      </c>
      <c r="BV52" s="436">
        <f t="shared" si="50"/>
        <v>6081.780749999999</v>
      </c>
      <c r="BW52" s="436">
        <f t="shared" si="50"/>
        <v>7095.4108749999987</v>
      </c>
      <c r="BX52" s="436">
        <f t="shared" si="50"/>
        <v>8109.0409999999983</v>
      </c>
      <c r="BY52" s="436">
        <f t="shared" si="50"/>
        <v>9122.6711249999989</v>
      </c>
      <c r="BZ52" s="436">
        <f t="shared" si="50"/>
        <v>10136.301249999999</v>
      </c>
      <c r="CA52" s="436">
        <f t="shared" si="50"/>
        <v>11149.931374999998</v>
      </c>
      <c r="CB52" s="436">
        <f t="shared" si="50"/>
        <v>12163.561499999998</v>
      </c>
      <c r="CC52" s="436">
        <f t="shared" si="50"/>
        <v>14190.821749999997</v>
      </c>
      <c r="CD52" s="436">
        <f t="shared" si="50"/>
        <v>16218.081999999997</v>
      </c>
      <c r="CE52" s="436">
        <f t="shared" si="50"/>
        <v>18245.342249999998</v>
      </c>
      <c r="CF52" s="436">
        <f t="shared" si="50"/>
        <v>20272.602499999997</v>
      </c>
      <c r="CG52" s="436" cm="1">
        <f t="array" ref="CG52">IF($M653=0, Vide, $M653)</f>
        <v>202.72602499999996</v>
      </c>
      <c r="CH52" s="435" t="s">
        <v>762</v>
      </c>
      <c r="CI52" s="435" t="s">
        <v>762</v>
      </c>
      <c r="CJ52" s="435" t="s">
        <v>762</v>
      </c>
      <c r="CK52" s="435" t="s">
        <v>762</v>
      </c>
      <c r="CL52" s="435" t="s">
        <v>762</v>
      </c>
    </row>
    <row r="53" spans="1:90" s="437" customFormat="1">
      <c r="A53" s="435" t="s">
        <v>561</v>
      </c>
      <c r="B53" s="435" t="s">
        <v>90</v>
      </c>
      <c r="C53" s="436" cm="1">
        <f t="array" ref="C53">IF($B654=0, Vide, $B654)</f>
        <v>34.239524999999993</v>
      </c>
      <c r="D53" s="436" cm="1">
        <f t="array" ref="D53">IF($B654=0, Vide, $B654)</f>
        <v>34.239524999999993</v>
      </c>
      <c r="E53" s="436" cm="1">
        <f t="array" ref="E53">IF($B654=0, Vide, $B654)</f>
        <v>34.239524999999993</v>
      </c>
      <c r="F53" s="436" cm="1">
        <f t="array" ref="F53">IF($B654=0, Vide, $B654)</f>
        <v>34.239524999999993</v>
      </c>
      <c r="G53" s="436" cm="1">
        <f t="array" ref="G53">IF($B654=0, Vide, $B654)</f>
        <v>34.239524999999993</v>
      </c>
      <c r="H53" s="436" cm="1">
        <f t="array" ref="H53">IF($C654=0, Vide, $C654)</f>
        <v>36.500999999999998</v>
      </c>
      <c r="I53" s="436" cm="1">
        <f t="array" ref="I53">IF($C654=0, Vide, $C654)</f>
        <v>36.500999999999998</v>
      </c>
      <c r="J53" s="436" cm="1">
        <f t="array" ref="J53">IF($C654=0, Vide, $C654)</f>
        <v>36.500999999999998</v>
      </c>
      <c r="K53" s="436" cm="1">
        <f t="array" ref="K53">IF($C654=0, Vide, $C654)</f>
        <v>36.500999999999998</v>
      </c>
      <c r="L53" s="436" cm="1">
        <f t="array" ref="L53">IF($C654=0, Vide, $C654)</f>
        <v>36.500999999999998</v>
      </c>
      <c r="M53" s="436" t="s">
        <v>762</v>
      </c>
      <c r="N53" s="436" t="s">
        <v>762</v>
      </c>
      <c r="O53" s="436" t="s">
        <v>762</v>
      </c>
      <c r="P53" s="436" t="s">
        <v>762</v>
      </c>
      <c r="Q53" s="436" t="s">
        <v>762</v>
      </c>
      <c r="R53" s="436" t="s">
        <v>762</v>
      </c>
      <c r="S53" s="436" t="s">
        <v>762</v>
      </c>
      <c r="T53" s="436" t="s">
        <v>762</v>
      </c>
      <c r="U53" s="436" t="s">
        <v>762</v>
      </c>
      <c r="V53" s="436" cm="1">
        <f t="array" ref="V53">IF($D654=0, Vide, $D654)</f>
        <v>40.534624999999991</v>
      </c>
      <c r="W53" s="436" cm="1">
        <f t="array" ref="W53">IF($E654=0, Vide, $E654)</f>
        <v>44.303749999999994</v>
      </c>
      <c r="X53" s="436" cm="1">
        <f t="array" ref="X53">IF($F654=0, Vide, $F654)</f>
        <v>48.601874999999993</v>
      </c>
      <c r="Y53" s="436" cm="1">
        <f t="array" ref="Y53">IF($G654=0, Vide, $G654)</f>
        <v>52.860324999999996</v>
      </c>
      <c r="Z53" s="436" cm="1">
        <f t="array" ref="Z53">IF($H654=0, Vide, $H654)</f>
        <v>57.211349999999989</v>
      </c>
      <c r="AA53" s="436" cm="1">
        <f t="array" ref="AA53">IF($I654=0, Vide, $I654)</f>
        <v>61.535924999999992</v>
      </c>
      <c r="AB53" s="436" cm="1">
        <f t="array" ref="AB53">IF($J654=0, Vide, $J654)</f>
        <v>68.426149999999993</v>
      </c>
      <c r="AC53" s="436" cm="1">
        <f t="array" ref="AC53">IF($K654=0, Vide, $K654)</f>
        <v>75.012199999999993</v>
      </c>
      <c r="AD53" s="436" cm="1">
        <f t="array" ref="AD53">IF($L654=0, Vide, $L654)</f>
        <v>79.349999999999994</v>
      </c>
      <c r="AE53" s="436">
        <f t="shared" si="46"/>
        <v>87.284999999999997</v>
      </c>
      <c r="AF53" s="436">
        <f t="shared" si="46"/>
        <v>99.1875</v>
      </c>
      <c r="AG53" s="436">
        <f t="shared" si="46"/>
        <v>119.02499999999999</v>
      </c>
      <c r="AH53" s="436">
        <f t="shared" si="46"/>
        <v>138.86249999999998</v>
      </c>
      <c r="AI53" s="436">
        <f t="shared" si="46"/>
        <v>159.49349999999998</v>
      </c>
      <c r="AJ53" s="436">
        <f t="shared" si="46"/>
        <v>178.53749999999999</v>
      </c>
      <c r="AK53" s="436">
        <f t="shared" si="46"/>
        <v>198.375</v>
      </c>
      <c r="AL53" s="436">
        <f t="shared" si="46"/>
        <v>238.84349999999998</v>
      </c>
      <c r="AM53" s="436">
        <f t="shared" si="46"/>
        <v>257.88749999999999</v>
      </c>
      <c r="AN53" s="436">
        <f t="shared" si="46"/>
        <v>277.72499999999997</v>
      </c>
      <c r="AO53" s="436">
        <f t="shared" si="47"/>
        <v>297.5625</v>
      </c>
      <c r="AP53" s="436">
        <f t="shared" si="47"/>
        <v>318.19349999999997</v>
      </c>
      <c r="AQ53" s="436">
        <f t="shared" si="47"/>
        <v>337.23749999999995</v>
      </c>
      <c r="AR53" s="436">
        <f t="shared" si="47"/>
        <v>357.07499999999999</v>
      </c>
      <c r="AS53" s="436">
        <f t="shared" si="47"/>
        <v>376.91249999999997</v>
      </c>
      <c r="AT53" s="436">
        <f t="shared" si="47"/>
        <v>396.75</v>
      </c>
      <c r="AU53" s="436">
        <f t="shared" si="47"/>
        <v>416.58749999999998</v>
      </c>
      <c r="AV53" s="436">
        <f t="shared" si="47"/>
        <v>436.42499999999995</v>
      </c>
      <c r="AW53" s="436">
        <f t="shared" si="47"/>
        <v>456.26249999999999</v>
      </c>
      <c r="AX53" s="436">
        <f t="shared" si="47"/>
        <v>476.09999999999997</v>
      </c>
      <c r="AY53" s="436">
        <f t="shared" si="48"/>
        <v>515.77499999999998</v>
      </c>
      <c r="AZ53" s="436">
        <f t="shared" si="48"/>
        <v>555.44999999999993</v>
      </c>
      <c r="BA53" s="436">
        <f t="shared" si="48"/>
        <v>595.125</v>
      </c>
      <c r="BB53" s="436">
        <f t="shared" si="48"/>
        <v>634.79999999999995</v>
      </c>
      <c r="BC53" s="436">
        <f t="shared" si="48"/>
        <v>674.47499999999991</v>
      </c>
      <c r="BD53" s="436">
        <f t="shared" si="48"/>
        <v>714.15</v>
      </c>
      <c r="BE53" s="436">
        <f t="shared" si="48"/>
        <v>753.82499999999993</v>
      </c>
      <c r="BF53" s="436">
        <f t="shared" si="48"/>
        <v>793.5</v>
      </c>
      <c r="BG53" s="436">
        <f t="shared" si="48"/>
        <v>872.84999999999991</v>
      </c>
      <c r="BH53" s="436">
        <f t="shared" si="48"/>
        <v>952.19999999999993</v>
      </c>
      <c r="BI53" s="436">
        <f t="shared" si="49"/>
        <v>991.87499999999989</v>
      </c>
      <c r="BJ53" s="436">
        <f t="shared" si="49"/>
        <v>1031.55</v>
      </c>
      <c r="BK53" s="436">
        <f t="shared" si="49"/>
        <v>1110.8999999999999</v>
      </c>
      <c r="BL53" s="436">
        <f t="shared" si="49"/>
        <v>1190.25</v>
      </c>
      <c r="BM53" s="436">
        <f t="shared" si="49"/>
        <v>1269.5999999999999</v>
      </c>
      <c r="BN53" s="436">
        <f t="shared" si="49"/>
        <v>1348.9499999999998</v>
      </c>
      <c r="BO53" s="436">
        <f t="shared" si="49"/>
        <v>1388.625</v>
      </c>
      <c r="BP53" s="436">
        <f t="shared" si="49"/>
        <v>1428.3</v>
      </c>
      <c r="BQ53" s="436">
        <f t="shared" si="49"/>
        <v>1507.6499999999999</v>
      </c>
      <c r="BR53" s="436">
        <f t="shared" si="49"/>
        <v>1587</v>
      </c>
      <c r="BS53" s="436">
        <f t="shared" si="50"/>
        <v>1785.3749999999998</v>
      </c>
      <c r="BT53" s="436">
        <f t="shared" si="50"/>
        <v>1983.7499999999998</v>
      </c>
      <c r="BU53" s="436">
        <f t="shared" si="50"/>
        <v>2182.125</v>
      </c>
      <c r="BV53" s="436">
        <f t="shared" si="50"/>
        <v>2380.5</v>
      </c>
      <c r="BW53" s="436">
        <f t="shared" si="50"/>
        <v>2777.25</v>
      </c>
      <c r="BX53" s="436">
        <f t="shared" si="50"/>
        <v>3174</v>
      </c>
      <c r="BY53" s="436">
        <f t="shared" si="50"/>
        <v>3570.7499999999995</v>
      </c>
      <c r="BZ53" s="436">
        <f t="shared" si="50"/>
        <v>3967.4999999999995</v>
      </c>
      <c r="CA53" s="436">
        <f t="shared" si="50"/>
        <v>4364.25</v>
      </c>
      <c r="CB53" s="436">
        <f t="shared" si="50"/>
        <v>4761</v>
      </c>
      <c r="CC53" s="436">
        <f t="shared" si="50"/>
        <v>5554.5</v>
      </c>
      <c r="CD53" s="436">
        <f t="shared" si="50"/>
        <v>6348</v>
      </c>
      <c r="CE53" s="436">
        <f t="shared" si="50"/>
        <v>7141.4999999999991</v>
      </c>
      <c r="CF53" s="436">
        <f t="shared" si="50"/>
        <v>7934.9999999999991</v>
      </c>
      <c r="CG53" s="436" cm="1">
        <f t="array" ref="CG53">IF($M654=0, Vide, $M654)</f>
        <v>79.349999999999994</v>
      </c>
      <c r="CH53" s="435" t="s">
        <v>762</v>
      </c>
      <c r="CI53" s="435" t="s">
        <v>762</v>
      </c>
      <c r="CJ53" s="435" t="s">
        <v>762</v>
      </c>
      <c r="CK53" s="435" t="s">
        <v>762</v>
      </c>
      <c r="CL53" s="435" t="s">
        <v>762</v>
      </c>
    </row>
    <row r="54" spans="1:90" s="437" customFormat="1">
      <c r="A54" s="435" t="s">
        <v>562</v>
      </c>
      <c r="B54" s="435" t="s">
        <v>90</v>
      </c>
      <c r="C54" s="436" cm="1">
        <f t="array" ref="C54">IF($B655=0, Vide, $B655)</f>
        <v>40.203999999999986</v>
      </c>
      <c r="D54" s="436" cm="1">
        <f t="array" ref="D54">IF($B655=0, Vide, $B655)</f>
        <v>40.203999999999986</v>
      </c>
      <c r="E54" s="436" cm="1">
        <f t="array" ref="E54">IF($B655=0, Vide, $B655)</f>
        <v>40.203999999999986</v>
      </c>
      <c r="F54" s="436" cm="1">
        <f t="array" ref="F54">IF($B655=0, Vide, $B655)</f>
        <v>40.203999999999986</v>
      </c>
      <c r="G54" s="436" cm="1">
        <f t="array" ref="G54">IF($B655=0, Vide, $B655)</f>
        <v>40.203999999999986</v>
      </c>
      <c r="H54" s="436" cm="1">
        <f t="array" ref="H54">IF($C655=0, Vide, $C655)</f>
        <v>47.477749999999993</v>
      </c>
      <c r="I54" s="436" cm="1">
        <f t="array" ref="I54">IF($C655=0, Vide, $C655)</f>
        <v>47.477749999999993</v>
      </c>
      <c r="J54" s="436" cm="1">
        <f t="array" ref="J54">IF($C655=0, Vide, $C655)</f>
        <v>47.477749999999993</v>
      </c>
      <c r="K54" s="436" cm="1">
        <f t="array" ref="K54">IF($C655=0, Vide, $C655)</f>
        <v>47.477749999999993</v>
      </c>
      <c r="L54" s="436" cm="1">
        <f t="array" ref="L54">IF($C655=0, Vide, $C655)</f>
        <v>47.477749999999993</v>
      </c>
      <c r="M54" s="436" t="s">
        <v>762</v>
      </c>
      <c r="N54" s="436" t="s">
        <v>762</v>
      </c>
      <c r="O54" s="436" t="s">
        <v>762</v>
      </c>
      <c r="P54" s="436" t="s">
        <v>762</v>
      </c>
      <c r="Q54" s="436" t="s">
        <v>762</v>
      </c>
      <c r="R54" s="436" t="s">
        <v>762</v>
      </c>
      <c r="S54" s="436" t="s">
        <v>762</v>
      </c>
      <c r="T54" s="436" t="s">
        <v>762</v>
      </c>
      <c r="U54" s="436" t="s">
        <v>762</v>
      </c>
      <c r="V54" s="436" cm="1">
        <f t="array" ref="V54">IF($D655=0, Vide, $D655)</f>
        <v>63.215499999999984</v>
      </c>
      <c r="W54" s="436" cm="1">
        <f t="array" ref="W54">IF($E655=0, Vide, $E655)</f>
        <v>75.871824999999987</v>
      </c>
      <c r="X54" s="436" cm="1">
        <f t="array" ref="X54">IF($F655=0, Vide, $F655)</f>
        <v>91.71537499999998</v>
      </c>
      <c r="Y54" s="436" cm="1">
        <f t="array" ref="Y54">IF($G655=0, Vide, $G655)</f>
        <v>107.50602499999999</v>
      </c>
      <c r="Z54" s="436" cm="1">
        <f t="array" ref="Z54">IF($H655=0, Vide, $H655)</f>
        <v>123.56117499999999</v>
      </c>
      <c r="AA54" s="436" cm="1">
        <f t="array" ref="AA54">IF($I655=0, Vide, $I655)</f>
        <v>140.2379</v>
      </c>
      <c r="AB54" s="436" cm="1">
        <f t="array" ref="AB54">IF($J655=0, Vide, $J655)</f>
        <v>157.16589999999999</v>
      </c>
      <c r="AC54" s="436" cm="1">
        <f t="array" ref="AC54">IF($K655=0, Vide, $K655)</f>
        <v>174.12034999999997</v>
      </c>
      <c r="AD54" s="436" cm="1">
        <f t="array" ref="AD54">IF($L655=0, Vide, $L655)</f>
        <v>196.81444999999997</v>
      </c>
      <c r="AE54" s="436">
        <f t="shared" si="46"/>
        <v>216.49589499999999</v>
      </c>
      <c r="AF54" s="436">
        <f t="shared" si="46"/>
        <v>246.01806249999996</v>
      </c>
      <c r="AG54" s="436">
        <f t="shared" si="46"/>
        <v>295.22167499999995</v>
      </c>
      <c r="AH54" s="436">
        <f t="shared" si="46"/>
        <v>344.42528749999997</v>
      </c>
      <c r="AI54" s="436">
        <f t="shared" si="46"/>
        <v>395.59704449999987</v>
      </c>
      <c r="AJ54" s="436">
        <f t="shared" si="46"/>
        <v>442.83251249999989</v>
      </c>
      <c r="AK54" s="436">
        <f t="shared" si="46"/>
        <v>492.03612499999991</v>
      </c>
      <c r="AL54" s="436">
        <f t="shared" si="46"/>
        <v>592.41149449999989</v>
      </c>
      <c r="AM54" s="436">
        <f t="shared" si="46"/>
        <v>639.64696249999986</v>
      </c>
      <c r="AN54" s="436">
        <f t="shared" si="46"/>
        <v>688.85057499999994</v>
      </c>
      <c r="AO54" s="436">
        <f t="shared" si="47"/>
        <v>738.0541874999999</v>
      </c>
      <c r="AP54" s="436">
        <f t="shared" si="47"/>
        <v>789.22594449999985</v>
      </c>
      <c r="AQ54" s="436">
        <f t="shared" si="47"/>
        <v>836.46141249999982</v>
      </c>
      <c r="AR54" s="436">
        <f t="shared" si="47"/>
        <v>885.66502499999979</v>
      </c>
      <c r="AS54" s="436">
        <f t="shared" si="47"/>
        <v>934.86863749999986</v>
      </c>
      <c r="AT54" s="436">
        <f t="shared" si="47"/>
        <v>984.07224999999983</v>
      </c>
      <c r="AU54" s="436">
        <f t="shared" si="47"/>
        <v>1033.2758624999999</v>
      </c>
      <c r="AV54" s="436">
        <f t="shared" si="47"/>
        <v>1082.4794749999999</v>
      </c>
      <c r="AW54" s="436">
        <f t="shared" si="47"/>
        <v>1131.6830874999998</v>
      </c>
      <c r="AX54" s="436">
        <f t="shared" si="47"/>
        <v>1180.8866999999998</v>
      </c>
      <c r="AY54" s="436">
        <f t="shared" si="48"/>
        <v>1279.2939249999997</v>
      </c>
      <c r="AZ54" s="436">
        <f t="shared" si="48"/>
        <v>1377.7011499999999</v>
      </c>
      <c r="BA54" s="436">
        <f t="shared" si="48"/>
        <v>1476.1083749999998</v>
      </c>
      <c r="BB54" s="436">
        <f t="shared" si="48"/>
        <v>1574.5155999999997</v>
      </c>
      <c r="BC54" s="436">
        <f t="shared" si="48"/>
        <v>1672.9228249999996</v>
      </c>
      <c r="BD54" s="436">
        <f t="shared" si="48"/>
        <v>1771.3300499999996</v>
      </c>
      <c r="BE54" s="436">
        <f t="shared" si="48"/>
        <v>1869.7372749999997</v>
      </c>
      <c r="BF54" s="436">
        <f t="shared" si="48"/>
        <v>1968.1444999999997</v>
      </c>
      <c r="BG54" s="436">
        <f t="shared" si="48"/>
        <v>2164.9589499999997</v>
      </c>
      <c r="BH54" s="436">
        <f t="shared" si="48"/>
        <v>2361.7733999999996</v>
      </c>
      <c r="BI54" s="436">
        <f t="shared" si="49"/>
        <v>2460.1806249999995</v>
      </c>
      <c r="BJ54" s="436">
        <f t="shared" si="49"/>
        <v>2558.5878499999994</v>
      </c>
      <c r="BK54" s="436">
        <f t="shared" si="49"/>
        <v>2755.4022999999997</v>
      </c>
      <c r="BL54" s="436">
        <f t="shared" si="49"/>
        <v>2952.2167499999996</v>
      </c>
      <c r="BM54" s="436">
        <f t="shared" si="49"/>
        <v>3149.0311999999994</v>
      </c>
      <c r="BN54" s="436">
        <f t="shared" si="49"/>
        <v>3345.8456499999993</v>
      </c>
      <c r="BO54" s="436">
        <f t="shared" si="49"/>
        <v>3444.2528749999992</v>
      </c>
      <c r="BP54" s="436">
        <f t="shared" si="49"/>
        <v>3542.6600999999991</v>
      </c>
      <c r="BQ54" s="436">
        <f t="shared" si="49"/>
        <v>3739.4745499999995</v>
      </c>
      <c r="BR54" s="436">
        <f t="shared" si="49"/>
        <v>3936.2889999999993</v>
      </c>
      <c r="BS54" s="436">
        <f t="shared" si="50"/>
        <v>4428.3251249999994</v>
      </c>
      <c r="BT54" s="436">
        <f t="shared" si="50"/>
        <v>4920.361249999999</v>
      </c>
      <c r="BU54" s="436">
        <f t="shared" si="50"/>
        <v>5412.3973749999986</v>
      </c>
      <c r="BV54" s="436">
        <f t="shared" si="50"/>
        <v>5904.4334999999992</v>
      </c>
      <c r="BW54" s="436">
        <f t="shared" si="50"/>
        <v>6888.5057499999984</v>
      </c>
      <c r="BX54" s="436">
        <f t="shared" si="50"/>
        <v>7872.5779999999986</v>
      </c>
      <c r="BY54" s="436">
        <f t="shared" si="50"/>
        <v>8856.6502499999988</v>
      </c>
      <c r="BZ54" s="436">
        <f t="shared" si="50"/>
        <v>9840.722499999998</v>
      </c>
      <c r="CA54" s="436">
        <f t="shared" si="50"/>
        <v>10824.794749999997</v>
      </c>
      <c r="CB54" s="436">
        <f t="shared" si="50"/>
        <v>11808.866999999998</v>
      </c>
      <c r="CC54" s="436">
        <f t="shared" si="50"/>
        <v>13777.011499999997</v>
      </c>
      <c r="CD54" s="436">
        <f t="shared" si="50"/>
        <v>15745.155999999997</v>
      </c>
      <c r="CE54" s="436">
        <f t="shared" si="50"/>
        <v>17713.300499999998</v>
      </c>
      <c r="CF54" s="436">
        <f t="shared" si="50"/>
        <v>19681.444999999996</v>
      </c>
      <c r="CG54" s="436" cm="1">
        <f t="array" ref="CG54">IF($M655=0, Vide, $M655)</f>
        <v>196.81444999999997</v>
      </c>
      <c r="CH54" s="435" t="s">
        <v>762</v>
      </c>
      <c r="CI54" s="435" t="s">
        <v>762</v>
      </c>
      <c r="CJ54" s="435" t="s">
        <v>762</v>
      </c>
      <c r="CK54" s="435" t="s">
        <v>762</v>
      </c>
      <c r="CL54" s="435" t="s">
        <v>762</v>
      </c>
    </row>
    <row r="55" spans="1:90" s="437" customFormat="1">
      <c r="A55" s="435" t="s">
        <v>563</v>
      </c>
      <c r="B55" s="435" t="s">
        <v>90</v>
      </c>
      <c r="C55" s="436" cm="1">
        <f t="array" ref="C55">IF($B656=0, Vide, $B656)</f>
        <v>40.203999999999986</v>
      </c>
      <c r="D55" s="436" cm="1">
        <f t="array" ref="D55">IF($B656=0, Vide, $B656)</f>
        <v>40.203999999999986</v>
      </c>
      <c r="E55" s="436" cm="1">
        <f t="array" ref="E55">IF($B656=0, Vide, $B656)</f>
        <v>40.203999999999986</v>
      </c>
      <c r="F55" s="436" cm="1">
        <f t="array" ref="F55">IF($B656=0, Vide, $B656)</f>
        <v>40.203999999999986</v>
      </c>
      <c r="G55" s="436" cm="1">
        <f t="array" ref="G55">IF($B656=0, Vide, $B656)</f>
        <v>40.203999999999986</v>
      </c>
      <c r="H55" s="436" cm="1">
        <f t="array" ref="H55">IF($C656=0, Vide, $C656)</f>
        <v>47.477749999999993</v>
      </c>
      <c r="I55" s="436" cm="1">
        <f t="array" ref="I55">IF($C656=0, Vide, $C656)</f>
        <v>47.477749999999993</v>
      </c>
      <c r="J55" s="436" cm="1">
        <f t="array" ref="J55">IF($C656=0, Vide, $C656)</f>
        <v>47.477749999999993</v>
      </c>
      <c r="K55" s="436" cm="1">
        <f t="array" ref="K55">IF($C656=0, Vide, $C656)</f>
        <v>47.477749999999993</v>
      </c>
      <c r="L55" s="436" cm="1">
        <f t="array" ref="L55">IF($C656=0, Vide, $C656)</f>
        <v>47.477749999999993</v>
      </c>
      <c r="M55" s="436" t="s">
        <v>762</v>
      </c>
      <c r="N55" s="436" t="s">
        <v>762</v>
      </c>
      <c r="O55" s="436" t="s">
        <v>762</v>
      </c>
      <c r="P55" s="436" t="s">
        <v>762</v>
      </c>
      <c r="Q55" s="436" t="s">
        <v>762</v>
      </c>
      <c r="R55" s="436" t="s">
        <v>762</v>
      </c>
      <c r="S55" s="436" t="s">
        <v>762</v>
      </c>
      <c r="T55" s="436" t="s">
        <v>762</v>
      </c>
      <c r="U55" s="436" t="s">
        <v>762</v>
      </c>
      <c r="V55" s="436" cm="1">
        <f t="array" ref="V55">IF($D656=0, Vide, $D656)</f>
        <v>63.215499999999984</v>
      </c>
      <c r="W55" s="436" cm="1">
        <f t="array" ref="W55">IF($E656=0, Vide, $E656)</f>
        <v>75.871824999999987</v>
      </c>
      <c r="X55" s="436" cm="1">
        <f t="array" ref="X55">IF($F656=0, Vide, $F656)</f>
        <v>91.71537499999998</v>
      </c>
      <c r="Y55" s="436" cm="1">
        <f t="array" ref="Y55">IF($G656=0, Vide, $G656)</f>
        <v>107.50602499999999</v>
      </c>
      <c r="Z55" s="436" cm="1">
        <f t="array" ref="Z55">IF($H656=0, Vide, $H656)</f>
        <v>123.56117499999999</v>
      </c>
      <c r="AA55" s="436" cm="1">
        <f t="array" ref="AA55">IF($I656=0, Vide, $I656)</f>
        <v>140.2379</v>
      </c>
      <c r="AB55" s="436" cm="1">
        <f t="array" ref="AB55">IF($J656=0, Vide, $J656)</f>
        <v>157.16589999999999</v>
      </c>
      <c r="AC55" s="436" cm="1">
        <f t="array" ref="AC55">IF($K656=0, Vide, $K656)</f>
        <v>174.12034999999997</v>
      </c>
      <c r="AD55" s="436" cm="1">
        <f t="array" ref="AD55">IF($L656=0, Vide, $L656)</f>
        <v>196.81444999999997</v>
      </c>
      <c r="AE55" s="436">
        <f t="shared" si="46"/>
        <v>216.49589499999999</v>
      </c>
      <c r="AF55" s="436">
        <f t="shared" si="46"/>
        <v>246.01806249999996</v>
      </c>
      <c r="AG55" s="436">
        <f t="shared" si="46"/>
        <v>295.22167499999995</v>
      </c>
      <c r="AH55" s="436">
        <f t="shared" si="46"/>
        <v>344.42528749999997</v>
      </c>
      <c r="AI55" s="436">
        <f t="shared" si="46"/>
        <v>395.59704449999987</v>
      </c>
      <c r="AJ55" s="436">
        <f t="shared" si="46"/>
        <v>442.83251249999989</v>
      </c>
      <c r="AK55" s="436">
        <f t="shared" si="46"/>
        <v>492.03612499999991</v>
      </c>
      <c r="AL55" s="436">
        <f t="shared" si="46"/>
        <v>592.41149449999989</v>
      </c>
      <c r="AM55" s="436">
        <f t="shared" si="46"/>
        <v>639.64696249999986</v>
      </c>
      <c r="AN55" s="436">
        <f t="shared" si="46"/>
        <v>688.85057499999994</v>
      </c>
      <c r="AO55" s="436">
        <f t="shared" si="47"/>
        <v>738.0541874999999</v>
      </c>
      <c r="AP55" s="436">
        <f t="shared" si="47"/>
        <v>789.22594449999985</v>
      </c>
      <c r="AQ55" s="436">
        <f t="shared" si="47"/>
        <v>836.46141249999982</v>
      </c>
      <c r="AR55" s="436">
        <f t="shared" si="47"/>
        <v>885.66502499999979</v>
      </c>
      <c r="AS55" s="436">
        <f t="shared" si="47"/>
        <v>934.86863749999986</v>
      </c>
      <c r="AT55" s="436">
        <f t="shared" si="47"/>
        <v>984.07224999999983</v>
      </c>
      <c r="AU55" s="436">
        <f t="shared" si="47"/>
        <v>1033.2758624999999</v>
      </c>
      <c r="AV55" s="436">
        <f t="shared" si="47"/>
        <v>1082.4794749999999</v>
      </c>
      <c r="AW55" s="436">
        <f t="shared" si="47"/>
        <v>1131.6830874999998</v>
      </c>
      <c r="AX55" s="436">
        <f t="shared" si="47"/>
        <v>1180.8866999999998</v>
      </c>
      <c r="AY55" s="436">
        <f t="shared" si="48"/>
        <v>1279.2939249999997</v>
      </c>
      <c r="AZ55" s="436">
        <f t="shared" si="48"/>
        <v>1377.7011499999999</v>
      </c>
      <c r="BA55" s="436">
        <f t="shared" si="48"/>
        <v>1476.1083749999998</v>
      </c>
      <c r="BB55" s="436">
        <f t="shared" si="48"/>
        <v>1574.5155999999997</v>
      </c>
      <c r="BC55" s="436">
        <f t="shared" si="48"/>
        <v>1672.9228249999996</v>
      </c>
      <c r="BD55" s="436">
        <f t="shared" si="48"/>
        <v>1771.3300499999996</v>
      </c>
      <c r="BE55" s="436">
        <f t="shared" si="48"/>
        <v>1869.7372749999997</v>
      </c>
      <c r="BF55" s="436">
        <f t="shared" si="48"/>
        <v>1968.1444999999997</v>
      </c>
      <c r="BG55" s="436">
        <f t="shared" si="48"/>
        <v>2164.9589499999997</v>
      </c>
      <c r="BH55" s="436">
        <f t="shared" si="48"/>
        <v>2361.7733999999996</v>
      </c>
      <c r="BI55" s="436">
        <f t="shared" si="49"/>
        <v>2460.1806249999995</v>
      </c>
      <c r="BJ55" s="436">
        <f t="shared" si="49"/>
        <v>2558.5878499999994</v>
      </c>
      <c r="BK55" s="436">
        <f t="shared" si="49"/>
        <v>2755.4022999999997</v>
      </c>
      <c r="BL55" s="436">
        <f t="shared" si="49"/>
        <v>2952.2167499999996</v>
      </c>
      <c r="BM55" s="436">
        <f t="shared" si="49"/>
        <v>3149.0311999999994</v>
      </c>
      <c r="BN55" s="436">
        <f t="shared" si="49"/>
        <v>3345.8456499999993</v>
      </c>
      <c r="BO55" s="436">
        <f t="shared" si="49"/>
        <v>3444.2528749999992</v>
      </c>
      <c r="BP55" s="436">
        <f t="shared" si="49"/>
        <v>3542.6600999999991</v>
      </c>
      <c r="BQ55" s="436">
        <f t="shared" si="49"/>
        <v>3739.4745499999995</v>
      </c>
      <c r="BR55" s="436">
        <f t="shared" si="49"/>
        <v>3936.2889999999993</v>
      </c>
      <c r="BS55" s="436">
        <f t="shared" si="50"/>
        <v>4428.3251249999994</v>
      </c>
      <c r="BT55" s="436">
        <f t="shared" si="50"/>
        <v>4920.361249999999</v>
      </c>
      <c r="BU55" s="436">
        <f t="shared" si="50"/>
        <v>5412.3973749999986</v>
      </c>
      <c r="BV55" s="436">
        <f t="shared" si="50"/>
        <v>5904.4334999999992</v>
      </c>
      <c r="BW55" s="436">
        <f t="shared" si="50"/>
        <v>6888.5057499999984</v>
      </c>
      <c r="BX55" s="436">
        <f t="shared" si="50"/>
        <v>7872.5779999999986</v>
      </c>
      <c r="BY55" s="436">
        <f t="shared" si="50"/>
        <v>8856.6502499999988</v>
      </c>
      <c r="BZ55" s="436">
        <f t="shared" si="50"/>
        <v>9840.722499999998</v>
      </c>
      <c r="CA55" s="436">
        <f t="shared" si="50"/>
        <v>10824.794749999997</v>
      </c>
      <c r="CB55" s="436">
        <f t="shared" si="50"/>
        <v>11808.866999999998</v>
      </c>
      <c r="CC55" s="436">
        <f t="shared" si="50"/>
        <v>13777.011499999997</v>
      </c>
      <c r="CD55" s="436">
        <f t="shared" si="50"/>
        <v>15745.155999999997</v>
      </c>
      <c r="CE55" s="436">
        <f t="shared" si="50"/>
        <v>17713.300499999998</v>
      </c>
      <c r="CF55" s="436">
        <f t="shared" si="50"/>
        <v>19681.444999999996</v>
      </c>
      <c r="CG55" s="436" cm="1">
        <f t="array" ref="CG55">IF($M656=0, Vide, $M656)</f>
        <v>196.81444999999997</v>
      </c>
      <c r="CH55" s="435" t="s">
        <v>762</v>
      </c>
      <c r="CI55" s="435" t="s">
        <v>762</v>
      </c>
      <c r="CJ55" s="435" t="s">
        <v>762</v>
      </c>
      <c r="CK55" s="435" t="s">
        <v>762</v>
      </c>
      <c r="CL55" s="435" t="s">
        <v>762</v>
      </c>
    </row>
    <row r="56" spans="1:90" s="437" customFormat="1">
      <c r="A56" s="435" t="s">
        <v>564</v>
      </c>
      <c r="B56" s="435" t="s">
        <v>90</v>
      </c>
      <c r="C56" s="436" cm="1">
        <f t="array" ref="C56">IF($B657=0, Vide, $B657)</f>
        <v>34.239524999999993</v>
      </c>
      <c r="D56" s="436" cm="1">
        <f t="array" ref="D56">IF($B657=0, Vide, $B657)</f>
        <v>34.239524999999993</v>
      </c>
      <c r="E56" s="436" cm="1">
        <f t="array" ref="E56">IF($B657=0, Vide, $B657)</f>
        <v>34.239524999999993</v>
      </c>
      <c r="F56" s="436" cm="1">
        <f t="array" ref="F56">IF($B657=0, Vide, $B657)</f>
        <v>34.239524999999993</v>
      </c>
      <c r="G56" s="436" cm="1">
        <f t="array" ref="G56">IF($B657=0, Vide, $B657)</f>
        <v>34.239524999999993</v>
      </c>
      <c r="H56" s="436" cm="1">
        <f t="array" ref="H56">IF($C657=0, Vide, $C657)</f>
        <v>36.500999999999998</v>
      </c>
      <c r="I56" s="436" cm="1">
        <f t="array" ref="I56">IF($C657=0, Vide, $C657)</f>
        <v>36.500999999999998</v>
      </c>
      <c r="J56" s="436" cm="1">
        <f t="array" ref="J56">IF($C657=0, Vide, $C657)</f>
        <v>36.500999999999998</v>
      </c>
      <c r="K56" s="436" cm="1">
        <f t="array" ref="K56">IF($C657=0, Vide, $C657)</f>
        <v>36.500999999999998</v>
      </c>
      <c r="L56" s="436" cm="1">
        <f t="array" ref="L56">IF($C657=0, Vide, $C657)</f>
        <v>36.500999999999998</v>
      </c>
      <c r="M56" s="436" t="s">
        <v>762</v>
      </c>
      <c r="N56" s="436" t="s">
        <v>762</v>
      </c>
      <c r="O56" s="436" t="s">
        <v>762</v>
      </c>
      <c r="P56" s="436" t="s">
        <v>762</v>
      </c>
      <c r="Q56" s="436" t="s">
        <v>762</v>
      </c>
      <c r="R56" s="436" t="s">
        <v>762</v>
      </c>
      <c r="S56" s="436" t="s">
        <v>762</v>
      </c>
      <c r="T56" s="436" t="s">
        <v>762</v>
      </c>
      <c r="U56" s="436" t="s">
        <v>762</v>
      </c>
      <c r="V56" s="436" cm="1">
        <f t="array" ref="V56">IF($D657=0, Vide, $D657)</f>
        <v>40.534624999999991</v>
      </c>
      <c r="W56" s="436" cm="1">
        <f t="array" ref="W56">IF($E657=0, Vide, $E657)</f>
        <v>44.303749999999994</v>
      </c>
      <c r="X56" s="436" cm="1">
        <f t="array" ref="X56">IF($F657=0, Vide, $F657)</f>
        <v>48.601874999999993</v>
      </c>
      <c r="Y56" s="436" cm="1">
        <f t="array" ref="Y56">IF($G657=0, Vide, $G657)</f>
        <v>52.860324999999996</v>
      </c>
      <c r="Z56" s="436" cm="1">
        <f t="array" ref="Z56">IF($H657=0, Vide, $H657)</f>
        <v>57.211349999999989</v>
      </c>
      <c r="AA56" s="436" cm="1">
        <f t="array" ref="AA56">IF($I657=0, Vide, $I657)</f>
        <v>61.535924999999992</v>
      </c>
      <c r="AB56" s="436" cm="1">
        <f t="array" ref="AB56">IF($J657=0, Vide, $J657)</f>
        <v>68.426149999999993</v>
      </c>
      <c r="AC56" s="436" cm="1">
        <f t="array" ref="AC56">IF($K657=0, Vide, $K657)</f>
        <v>75.012199999999993</v>
      </c>
      <c r="AD56" s="436" cm="1">
        <f t="array" ref="AD56">IF($L657=0, Vide, $L657)</f>
        <v>79.349999999999994</v>
      </c>
      <c r="AE56" s="436">
        <f t="shared" si="46"/>
        <v>87.284999999999997</v>
      </c>
      <c r="AF56" s="436">
        <f t="shared" si="46"/>
        <v>99.1875</v>
      </c>
      <c r="AG56" s="436">
        <f t="shared" si="46"/>
        <v>119.02499999999999</v>
      </c>
      <c r="AH56" s="436">
        <f t="shared" si="46"/>
        <v>138.86249999999998</v>
      </c>
      <c r="AI56" s="436">
        <f t="shared" si="46"/>
        <v>159.49349999999998</v>
      </c>
      <c r="AJ56" s="436">
        <f t="shared" si="46"/>
        <v>178.53749999999999</v>
      </c>
      <c r="AK56" s="436">
        <f t="shared" si="46"/>
        <v>198.375</v>
      </c>
      <c r="AL56" s="436">
        <f t="shared" si="46"/>
        <v>238.84349999999998</v>
      </c>
      <c r="AM56" s="436">
        <f t="shared" si="46"/>
        <v>257.88749999999999</v>
      </c>
      <c r="AN56" s="436">
        <f t="shared" si="46"/>
        <v>277.72499999999997</v>
      </c>
      <c r="AO56" s="436">
        <f t="shared" si="47"/>
        <v>297.5625</v>
      </c>
      <c r="AP56" s="436">
        <f t="shared" si="47"/>
        <v>318.19349999999997</v>
      </c>
      <c r="AQ56" s="436">
        <f t="shared" si="47"/>
        <v>337.23749999999995</v>
      </c>
      <c r="AR56" s="436">
        <f t="shared" si="47"/>
        <v>357.07499999999999</v>
      </c>
      <c r="AS56" s="436">
        <f t="shared" si="47"/>
        <v>376.91249999999997</v>
      </c>
      <c r="AT56" s="436">
        <f t="shared" si="47"/>
        <v>396.75</v>
      </c>
      <c r="AU56" s="436">
        <f t="shared" si="47"/>
        <v>416.58749999999998</v>
      </c>
      <c r="AV56" s="436">
        <f t="shared" si="47"/>
        <v>436.42499999999995</v>
      </c>
      <c r="AW56" s="436">
        <f t="shared" si="47"/>
        <v>456.26249999999999</v>
      </c>
      <c r="AX56" s="436">
        <f t="shared" si="47"/>
        <v>476.09999999999997</v>
      </c>
      <c r="AY56" s="436">
        <f t="shared" si="48"/>
        <v>515.77499999999998</v>
      </c>
      <c r="AZ56" s="436">
        <f t="shared" si="48"/>
        <v>555.44999999999993</v>
      </c>
      <c r="BA56" s="436">
        <f t="shared" si="48"/>
        <v>595.125</v>
      </c>
      <c r="BB56" s="436">
        <f t="shared" si="48"/>
        <v>634.79999999999995</v>
      </c>
      <c r="BC56" s="436">
        <f t="shared" si="48"/>
        <v>674.47499999999991</v>
      </c>
      <c r="BD56" s="436">
        <f t="shared" si="48"/>
        <v>714.15</v>
      </c>
      <c r="BE56" s="436">
        <f t="shared" si="48"/>
        <v>753.82499999999993</v>
      </c>
      <c r="BF56" s="436">
        <f t="shared" si="48"/>
        <v>793.5</v>
      </c>
      <c r="BG56" s="436">
        <f t="shared" si="48"/>
        <v>872.84999999999991</v>
      </c>
      <c r="BH56" s="436">
        <f t="shared" si="48"/>
        <v>952.19999999999993</v>
      </c>
      <c r="BI56" s="436">
        <f t="shared" si="49"/>
        <v>991.87499999999989</v>
      </c>
      <c r="BJ56" s="436">
        <f t="shared" si="49"/>
        <v>1031.55</v>
      </c>
      <c r="BK56" s="436">
        <f t="shared" si="49"/>
        <v>1110.8999999999999</v>
      </c>
      <c r="BL56" s="436">
        <f t="shared" si="49"/>
        <v>1190.25</v>
      </c>
      <c r="BM56" s="436">
        <f t="shared" si="49"/>
        <v>1269.5999999999999</v>
      </c>
      <c r="BN56" s="436">
        <f t="shared" si="49"/>
        <v>1348.9499999999998</v>
      </c>
      <c r="BO56" s="436">
        <f t="shared" si="49"/>
        <v>1388.625</v>
      </c>
      <c r="BP56" s="436">
        <f t="shared" si="49"/>
        <v>1428.3</v>
      </c>
      <c r="BQ56" s="436">
        <f t="shared" si="49"/>
        <v>1507.6499999999999</v>
      </c>
      <c r="BR56" s="436">
        <f t="shared" si="49"/>
        <v>1587</v>
      </c>
      <c r="BS56" s="436">
        <f t="shared" si="50"/>
        <v>1785.3749999999998</v>
      </c>
      <c r="BT56" s="436">
        <f t="shared" si="50"/>
        <v>1983.7499999999998</v>
      </c>
      <c r="BU56" s="436">
        <f t="shared" si="50"/>
        <v>2182.125</v>
      </c>
      <c r="BV56" s="436">
        <f t="shared" si="50"/>
        <v>2380.5</v>
      </c>
      <c r="BW56" s="436">
        <f t="shared" si="50"/>
        <v>2777.25</v>
      </c>
      <c r="BX56" s="436">
        <f t="shared" si="50"/>
        <v>3174</v>
      </c>
      <c r="BY56" s="436">
        <f t="shared" si="50"/>
        <v>3570.7499999999995</v>
      </c>
      <c r="BZ56" s="436">
        <f t="shared" si="50"/>
        <v>3967.4999999999995</v>
      </c>
      <c r="CA56" s="436">
        <f t="shared" si="50"/>
        <v>4364.25</v>
      </c>
      <c r="CB56" s="436">
        <f t="shared" si="50"/>
        <v>4761</v>
      </c>
      <c r="CC56" s="436">
        <f t="shared" si="50"/>
        <v>5554.5</v>
      </c>
      <c r="CD56" s="436">
        <f t="shared" si="50"/>
        <v>6348</v>
      </c>
      <c r="CE56" s="436">
        <f t="shared" si="50"/>
        <v>7141.4999999999991</v>
      </c>
      <c r="CF56" s="436">
        <f t="shared" si="50"/>
        <v>7934.9999999999991</v>
      </c>
      <c r="CG56" s="436" cm="1">
        <f t="array" ref="CG56">IF($M657=0, Vide, $M657)</f>
        <v>79.349999999999994</v>
      </c>
      <c r="CH56" s="435" t="s">
        <v>762</v>
      </c>
      <c r="CI56" s="435" t="s">
        <v>762</v>
      </c>
      <c r="CJ56" s="435" t="s">
        <v>762</v>
      </c>
      <c r="CK56" s="435" t="s">
        <v>762</v>
      </c>
      <c r="CL56" s="435" t="s">
        <v>762</v>
      </c>
    </row>
    <row r="57" spans="1:90" s="437" customFormat="1">
      <c r="A57" s="435" t="s">
        <v>565</v>
      </c>
      <c r="B57" s="435" t="s">
        <v>90</v>
      </c>
      <c r="C57" s="436" cm="1">
        <f t="array" ref="C57">IF($B658=0, Vide, $B658)</f>
        <v>34.239524999999993</v>
      </c>
      <c r="D57" s="436" cm="1">
        <f t="array" ref="D57">IF($B658=0, Vide, $B658)</f>
        <v>34.239524999999993</v>
      </c>
      <c r="E57" s="436" cm="1">
        <f t="array" ref="E57">IF($B658=0, Vide, $B658)</f>
        <v>34.239524999999993</v>
      </c>
      <c r="F57" s="436" cm="1">
        <f t="array" ref="F57">IF($B658=0, Vide, $B658)</f>
        <v>34.239524999999993</v>
      </c>
      <c r="G57" s="436" cm="1">
        <f t="array" ref="G57">IF($B658=0, Vide, $B658)</f>
        <v>34.239524999999993</v>
      </c>
      <c r="H57" s="436" cm="1">
        <f t="array" ref="H57">IF($C658=0, Vide, $C658)</f>
        <v>36.500999999999998</v>
      </c>
      <c r="I57" s="436" cm="1">
        <f t="array" ref="I57">IF($C658=0, Vide, $C658)</f>
        <v>36.500999999999998</v>
      </c>
      <c r="J57" s="436" cm="1">
        <f t="array" ref="J57">IF($C658=0, Vide, $C658)</f>
        <v>36.500999999999998</v>
      </c>
      <c r="K57" s="436" cm="1">
        <f t="array" ref="K57">IF($C658=0, Vide, $C658)</f>
        <v>36.500999999999998</v>
      </c>
      <c r="L57" s="436" cm="1">
        <f t="array" ref="L57">IF($C658=0, Vide, $C658)</f>
        <v>36.500999999999998</v>
      </c>
      <c r="M57" s="436" t="s">
        <v>762</v>
      </c>
      <c r="N57" s="436" t="s">
        <v>762</v>
      </c>
      <c r="O57" s="436" t="s">
        <v>762</v>
      </c>
      <c r="P57" s="436" t="s">
        <v>762</v>
      </c>
      <c r="Q57" s="436" t="s">
        <v>762</v>
      </c>
      <c r="R57" s="436" t="s">
        <v>762</v>
      </c>
      <c r="S57" s="436" t="s">
        <v>762</v>
      </c>
      <c r="T57" s="436" t="s">
        <v>762</v>
      </c>
      <c r="U57" s="436" t="s">
        <v>762</v>
      </c>
      <c r="V57" s="436" cm="1">
        <f t="array" ref="V57">IF($D658=0, Vide, $D658)</f>
        <v>40.534624999999991</v>
      </c>
      <c r="W57" s="436" cm="1">
        <f t="array" ref="W57">IF($E658=0, Vide, $E658)</f>
        <v>44.303749999999994</v>
      </c>
      <c r="X57" s="436" cm="1">
        <f t="array" ref="X57">IF($F658=0, Vide, $F658)</f>
        <v>48.601874999999993</v>
      </c>
      <c r="Y57" s="436" cm="1">
        <f t="array" ref="Y57">IF($G658=0, Vide, $G658)</f>
        <v>52.860324999999996</v>
      </c>
      <c r="Z57" s="436" cm="1">
        <f t="array" ref="Z57">IF($H658=0, Vide, $H658)</f>
        <v>57.211349999999989</v>
      </c>
      <c r="AA57" s="436" cm="1">
        <f t="array" ref="AA57">IF($I658=0, Vide, $I658)</f>
        <v>61.535924999999992</v>
      </c>
      <c r="AB57" s="436" cm="1">
        <f t="array" ref="AB57">IF($J658=0, Vide, $J658)</f>
        <v>68.426149999999993</v>
      </c>
      <c r="AC57" s="436" cm="1">
        <f t="array" ref="AC57">IF($K658=0, Vide, $K658)</f>
        <v>75.012199999999993</v>
      </c>
      <c r="AD57" s="436" cm="1">
        <f t="array" ref="AD57">IF($L658=0, Vide, $L658)</f>
        <v>79.349999999999994</v>
      </c>
      <c r="AE57" s="436">
        <f t="shared" si="46"/>
        <v>87.284999999999997</v>
      </c>
      <c r="AF57" s="436">
        <f t="shared" si="46"/>
        <v>99.1875</v>
      </c>
      <c r="AG57" s="436">
        <f t="shared" si="46"/>
        <v>119.02499999999999</v>
      </c>
      <c r="AH57" s="436">
        <f t="shared" si="46"/>
        <v>138.86249999999998</v>
      </c>
      <c r="AI57" s="436">
        <f t="shared" si="46"/>
        <v>159.49349999999998</v>
      </c>
      <c r="AJ57" s="436">
        <f t="shared" si="46"/>
        <v>178.53749999999999</v>
      </c>
      <c r="AK57" s="436">
        <f t="shared" si="46"/>
        <v>198.375</v>
      </c>
      <c r="AL57" s="436">
        <f t="shared" si="46"/>
        <v>238.84349999999998</v>
      </c>
      <c r="AM57" s="436">
        <f t="shared" si="46"/>
        <v>257.88749999999999</v>
      </c>
      <c r="AN57" s="436">
        <f t="shared" si="46"/>
        <v>277.72499999999997</v>
      </c>
      <c r="AO57" s="436">
        <f t="shared" si="47"/>
        <v>297.5625</v>
      </c>
      <c r="AP57" s="436">
        <f t="shared" si="47"/>
        <v>318.19349999999997</v>
      </c>
      <c r="AQ57" s="436">
        <f t="shared" si="47"/>
        <v>337.23749999999995</v>
      </c>
      <c r="AR57" s="436">
        <f t="shared" si="47"/>
        <v>357.07499999999999</v>
      </c>
      <c r="AS57" s="436">
        <f t="shared" si="47"/>
        <v>376.91249999999997</v>
      </c>
      <c r="AT57" s="436">
        <f t="shared" si="47"/>
        <v>396.75</v>
      </c>
      <c r="AU57" s="436">
        <f t="shared" si="47"/>
        <v>416.58749999999998</v>
      </c>
      <c r="AV57" s="436">
        <f t="shared" si="47"/>
        <v>436.42499999999995</v>
      </c>
      <c r="AW57" s="436">
        <f t="shared" si="47"/>
        <v>456.26249999999999</v>
      </c>
      <c r="AX57" s="436">
        <f t="shared" si="47"/>
        <v>476.09999999999997</v>
      </c>
      <c r="AY57" s="436">
        <f t="shared" si="48"/>
        <v>515.77499999999998</v>
      </c>
      <c r="AZ57" s="436">
        <f t="shared" si="48"/>
        <v>555.44999999999993</v>
      </c>
      <c r="BA57" s="436">
        <f t="shared" si="48"/>
        <v>595.125</v>
      </c>
      <c r="BB57" s="436">
        <f t="shared" si="48"/>
        <v>634.79999999999995</v>
      </c>
      <c r="BC57" s="436">
        <f t="shared" si="48"/>
        <v>674.47499999999991</v>
      </c>
      <c r="BD57" s="436">
        <f t="shared" si="48"/>
        <v>714.15</v>
      </c>
      <c r="BE57" s="436">
        <f t="shared" si="48"/>
        <v>753.82499999999993</v>
      </c>
      <c r="BF57" s="436">
        <f t="shared" si="48"/>
        <v>793.5</v>
      </c>
      <c r="BG57" s="436">
        <f t="shared" si="48"/>
        <v>872.84999999999991</v>
      </c>
      <c r="BH57" s="436">
        <f t="shared" si="48"/>
        <v>952.19999999999993</v>
      </c>
      <c r="BI57" s="436">
        <f t="shared" si="49"/>
        <v>991.87499999999989</v>
      </c>
      <c r="BJ57" s="436">
        <f t="shared" si="49"/>
        <v>1031.55</v>
      </c>
      <c r="BK57" s="436">
        <f t="shared" si="49"/>
        <v>1110.8999999999999</v>
      </c>
      <c r="BL57" s="436">
        <f t="shared" si="49"/>
        <v>1190.25</v>
      </c>
      <c r="BM57" s="436">
        <f t="shared" si="49"/>
        <v>1269.5999999999999</v>
      </c>
      <c r="BN57" s="436">
        <f t="shared" si="49"/>
        <v>1348.9499999999998</v>
      </c>
      <c r="BO57" s="436">
        <f t="shared" si="49"/>
        <v>1388.625</v>
      </c>
      <c r="BP57" s="436">
        <f t="shared" si="49"/>
        <v>1428.3</v>
      </c>
      <c r="BQ57" s="436">
        <f t="shared" si="49"/>
        <v>1507.6499999999999</v>
      </c>
      <c r="BR57" s="436">
        <f t="shared" si="49"/>
        <v>1587</v>
      </c>
      <c r="BS57" s="436">
        <f t="shared" si="50"/>
        <v>1785.3749999999998</v>
      </c>
      <c r="BT57" s="436">
        <f t="shared" si="50"/>
        <v>1983.7499999999998</v>
      </c>
      <c r="BU57" s="436">
        <f t="shared" si="50"/>
        <v>2182.125</v>
      </c>
      <c r="BV57" s="436">
        <f t="shared" si="50"/>
        <v>2380.5</v>
      </c>
      <c r="BW57" s="436">
        <f t="shared" si="50"/>
        <v>2777.25</v>
      </c>
      <c r="BX57" s="436">
        <f t="shared" si="50"/>
        <v>3174</v>
      </c>
      <c r="BY57" s="436">
        <f t="shared" si="50"/>
        <v>3570.7499999999995</v>
      </c>
      <c r="BZ57" s="436">
        <f t="shared" si="50"/>
        <v>3967.4999999999995</v>
      </c>
      <c r="CA57" s="436">
        <f t="shared" si="50"/>
        <v>4364.25</v>
      </c>
      <c r="CB57" s="436">
        <f t="shared" si="50"/>
        <v>4761</v>
      </c>
      <c r="CC57" s="436">
        <f t="shared" si="50"/>
        <v>5554.5</v>
      </c>
      <c r="CD57" s="436">
        <f t="shared" si="50"/>
        <v>6348</v>
      </c>
      <c r="CE57" s="436">
        <f t="shared" si="50"/>
        <v>7141.4999999999991</v>
      </c>
      <c r="CF57" s="436">
        <f t="shared" si="50"/>
        <v>7934.9999999999991</v>
      </c>
      <c r="CG57" s="436" cm="1">
        <f t="array" ref="CG57">IF($M658=0, Vide, $M658)</f>
        <v>79.349999999999994</v>
      </c>
      <c r="CH57" s="435" t="s">
        <v>762</v>
      </c>
      <c r="CI57" s="435" t="s">
        <v>762</v>
      </c>
      <c r="CJ57" s="435" t="s">
        <v>762</v>
      </c>
      <c r="CK57" s="435" t="s">
        <v>762</v>
      </c>
      <c r="CL57" s="435" t="s">
        <v>762</v>
      </c>
    </row>
    <row r="58" spans="1:90" s="437" customFormat="1">
      <c r="A58" s="435" t="s">
        <v>566</v>
      </c>
      <c r="B58" s="435" t="s">
        <v>90</v>
      </c>
      <c r="C58" s="436" cm="1">
        <f t="array" ref="C58">IF($B659=0, Vide, $B659)</f>
        <v>40.203999999999986</v>
      </c>
      <c r="D58" s="436" cm="1">
        <f t="array" ref="D58">IF($B659=0, Vide, $B659)</f>
        <v>40.203999999999986</v>
      </c>
      <c r="E58" s="436" cm="1">
        <f t="array" ref="E58">IF($B659=0, Vide, $B659)</f>
        <v>40.203999999999986</v>
      </c>
      <c r="F58" s="436" cm="1">
        <f t="array" ref="F58">IF($B659=0, Vide, $B659)</f>
        <v>40.203999999999986</v>
      </c>
      <c r="G58" s="436" cm="1">
        <f t="array" ref="G58">IF($B659=0, Vide, $B659)</f>
        <v>40.203999999999986</v>
      </c>
      <c r="H58" s="436" cm="1">
        <f t="array" ref="H58">IF($C659=0, Vide, $C659)</f>
        <v>47.477749999999993</v>
      </c>
      <c r="I58" s="436" cm="1">
        <f t="array" ref="I58">IF($C659=0, Vide, $C659)</f>
        <v>47.477749999999993</v>
      </c>
      <c r="J58" s="436" cm="1">
        <f t="array" ref="J58">IF($C659=0, Vide, $C659)</f>
        <v>47.477749999999993</v>
      </c>
      <c r="K58" s="436" cm="1">
        <f t="array" ref="K58">IF($C659=0, Vide, $C659)</f>
        <v>47.477749999999993</v>
      </c>
      <c r="L58" s="436" cm="1">
        <f t="array" ref="L58">IF($C659=0, Vide, $C659)</f>
        <v>47.477749999999993</v>
      </c>
      <c r="M58" s="436" t="s">
        <v>762</v>
      </c>
      <c r="N58" s="436" t="s">
        <v>762</v>
      </c>
      <c r="O58" s="436" t="s">
        <v>762</v>
      </c>
      <c r="P58" s="436" t="s">
        <v>762</v>
      </c>
      <c r="Q58" s="436" t="s">
        <v>762</v>
      </c>
      <c r="R58" s="436" t="s">
        <v>762</v>
      </c>
      <c r="S58" s="436" t="s">
        <v>762</v>
      </c>
      <c r="T58" s="436" t="s">
        <v>762</v>
      </c>
      <c r="U58" s="436" t="s">
        <v>762</v>
      </c>
      <c r="V58" s="436" cm="1">
        <f t="array" ref="V58">IF($D659=0, Vide, $D659)</f>
        <v>63.215499999999984</v>
      </c>
      <c r="W58" s="436" cm="1">
        <f t="array" ref="W58">IF($E659=0, Vide, $E659)</f>
        <v>75.871824999999987</v>
      </c>
      <c r="X58" s="436" cm="1">
        <f t="array" ref="X58">IF($F659=0, Vide, $F659)</f>
        <v>91.71537499999998</v>
      </c>
      <c r="Y58" s="436" cm="1">
        <f t="array" ref="Y58">IF($G659=0, Vide, $G659)</f>
        <v>107.50602499999999</v>
      </c>
      <c r="Z58" s="436" cm="1">
        <f t="array" ref="Z58">IF($H659=0, Vide, $H659)</f>
        <v>123.56117499999999</v>
      </c>
      <c r="AA58" s="436" cm="1">
        <f t="array" ref="AA58">IF($I659=0, Vide, $I659)</f>
        <v>140.2379</v>
      </c>
      <c r="AB58" s="436" cm="1">
        <f t="array" ref="AB58">IF($J659=0, Vide, $J659)</f>
        <v>157.16589999999999</v>
      </c>
      <c r="AC58" s="436" cm="1">
        <f t="array" ref="AC58">IF($K659=0, Vide, $K659)</f>
        <v>174.12034999999997</v>
      </c>
      <c r="AD58" s="436" cm="1">
        <f t="array" ref="AD58">IF($L659=0, Vide, $L659)</f>
        <v>196.81444999999997</v>
      </c>
      <c r="AE58" s="436">
        <f t="shared" si="46"/>
        <v>216.49589499999999</v>
      </c>
      <c r="AF58" s="436">
        <f t="shared" si="46"/>
        <v>246.01806249999996</v>
      </c>
      <c r="AG58" s="436">
        <f t="shared" si="46"/>
        <v>295.22167499999995</v>
      </c>
      <c r="AH58" s="436">
        <f t="shared" si="46"/>
        <v>344.42528749999997</v>
      </c>
      <c r="AI58" s="436">
        <f t="shared" si="46"/>
        <v>395.59704449999987</v>
      </c>
      <c r="AJ58" s="436">
        <f t="shared" si="46"/>
        <v>442.83251249999989</v>
      </c>
      <c r="AK58" s="436">
        <f t="shared" si="46"/>
        <v>492.03612499999991</v>
      </c>
      <c r="AL58" s="436">
        <f t="shared" si="46"/>
        <v>592.41149449999989</v>
      </c>
      <c r="AM58" s="436">
        <f t="shared" si="46"/>
        <v>639.64696249999986</v>
      </c>
      <c r="AN58" s="436">
        <f t="shared" si="46"/>
        <v>688.85057499999994</v>
      </c>
      <c r="AO58" s="436">
        <f t="shared" si="47"/>
        <v>738.0541874999999</v>
      </c>
      <c r="AP58" s="436">
        <f t="shared" si="47"/>
        <v>789.22594449999985</v>
      </c>
      <c r="AQ58" s="436">
        <f t="shared" si="47"/>
        <v>836.46141249999982</v>
      </c>
      <c r="AR58" s="436">
        <f t="shared" si="47"/>
        <v>885.66502499999979</v>
      </c>
      <c r="AS58" s="436">
        <f t="shared" si="47"/>
        <v>934.86863749999986</v>
      </c>
      <c r="AT58" s="436">
        <f t="shared" si="47"/>
        <v>984.07224999999983</v>
      </c>
      <c r="AU58" s="436">
        <f t="shared" si="47"/>
        <v>1033.2758624999999</v>
      </c>
      <c r="AV58" s="436">
        <f t="shared" si="47"/>
        <v>1082.4794749999999</v>
      </c>
      <c r="AW58" s="436">
        <f t="shared" si="47"/>
        <v>1131.6830874999998</v>
      </c>
      <c r="AX58" s="436">
        <f t="shared" si="47"/>
        <v>1180.8866999999998</v>
      </c>
      <c r="AY58" s="436">
        <f t="shared" si="48"/>
        <v>1279.2939249999997</v>
      </c>
      <c r="AZ58" s="436">
        <f t="shared" si="48"/>
        <v>1377.7011499999999</v>
      </c>
      <c r="BA58" s="436">
        <f t="shared" si="48"/>
        <v>1476.1083749999998</v>
      </c>
      <c r="BB58" s="436">
        <f t="shared" si="48"/>
        <v>1574.5155999999997</v>
      </c>
      <c r="BC58" s="436">
        <f t="shared" si="48"/>
        <v>1672.9228249999996</v>
      </c>
      <c r="BD58" s="436">
        <f t="shared" si="48"/>
        <v>1771.3300499999996</v>
      </c>
      <c r="BE58" s="436">
        <f t="shared" si="48"/>
        <v>1869.7372749999997</v>
      </c>
      <c r="BF58" s="436">
        <f t="shared" si="48"/>
        <v>1968.1444999999997</v>
      </c>
      <c r="BG58" s="436">
        <f t="shared" si="48"/>
        <v>2164.9589499999997</v>
      </c>
      <c r="BH58" s="436">
        <f t="shared" si="48"/>
        <v>2361.7733999999996</v>
      </c>
      <c r="BI58" s="436">
        <f t="shared" si="49"/>
        <v>2460.1806249999995</v>
      </c>
      <c r="BJ58" s="436">
        <f t="shared" si="49"/>
        <v>2558.5878499999994</v>
      </c>
      <c r="BK58" s="436">
        <f t="shared" si="49"/>
        <v>2755.4022999999997</v>
      </c>
      <c r="BL58" s="436">
        <f t="shared" si="49"/>
        <v>2952.2167499999996</v>
      </c>
      <c r="BM58" s="436">
        <f t="shared" si="49"/>
        <v>3149.0311999999994</v>
      </c>
      <c r="BN58" s="436">
        <f t="shared" si="49"/>
        <v>3345.8456499999993</v>
      </c>
      <c r="BO58" s="436">
        <f t="shared" si="49"/>
        <v>3444.2528749999992</v>
      </c>
      <c r="BP58" s="436">
        <f t="shared" si="49"/>
        <v>3542.6600999999991</v>
      </c>
      <c r="BQ58" s="436">
        <f t="shared" si="49"/>
        <v>3739.4745499999995</v>
      </c>
      <c r="BR58" s="436">
        <f t="shared" si="49"/>
        <v>3936.2889999999993</v>
      </c>
      <c r="BS58" s="436">
        <f t="shared" si="50"/>
        <v>4428.3251249999994</v>
      </c>
      <c r="BT58" s="436">
        <f t="shared" si="50"/>
        <v>4920.361249999999</v>
      </c>
      <c r="BU58" s="436">
        <f t="shared" si="50"/>
        <v>5412.3973749999986</v>
      </c>
      <c r="BV58" s="436">
        <f t="shared" si="50"/>
        <v>5904.4334999999992</v>
      </c>
      <c r="BW58" s="436">
        <f t="shared" si="50"/>
        <v>6888.5057499999984</v>
      </c>
      <c r="BX58" s="436">
        <f t="shared" si="50"/>
        <v>7872.5779999999986</v>
      </c>
      <c r="BY58" s="436">
        <f t="shared" si="50"/>
        <v>8856.6502499999988</v>
      </c>
      <c r="BZ58" s="436">
        <f t="shared" si="50"/>
        <v>9840.722499999998</v>
      </c>
      <c r="CA58" s="436">
        <f t="shared" si="50"/>
        <v>10824.794749999997</v>
      </c>
      <c r="CB58" s="436">
        <f t="shared" si="50"/>
        <v>11808.866999999998</v>
      </c>
      <c r="CC58" s="436">
        <f t="shared" si="50"/>
        <v>13777.011499999997</v>
      </c>
      <c r="CD58" s="436">
        <f t="shared" si="50"/>
        <v>15745.155999999997</v>
      </c>
      <c r="CE58" s="436">
        <f t="shared" si="50"/>
        <v>17713.300499999998</v>
      </c>
      <c r="CF58" s="436">
        <f t="shared" si="50"/>
        <v>19681.444999999996</v>
      </c>
      <c r="CG58" s="436" cm="1">
        <f t="array" ref="CG58">IF($M659=0, Vide, $M659)</f>
        <v>196.81444999999997</v>
      </c>
      <c r="CH58" s="435" t="s">
        <v>762</v>
      </c>
      <c r="CI58" s="435" t="s">
        <v>762</v>
      </c>
      <c r="CJ58" s="435" t="s">
        <v>762</v>
      </c>
      <c r="CK58" s="435" t="s">
        <v>762</v>
      </c>
      <c r="CL58" s="435" t="s">
        <v>762</v>
      </c>
    </row>
    <row r="59" spans="1:90" s="437" customFormat="1">
      <c r="A59" s="435" t="s">
        <v>567</v>
      </c>
      <c r="B59" s="435" t="s">
        <v>90</v>
      </c>
      <c r="C59" s="436" cm="1">
        <f t="array" ref="C59">IF($B660=0, Vide, $B660)</f>
        <v>41.433924999999995</v>
      </c>
      <c r="D59" s="436" cm="1">
        <f t="array" ref="D59">IF($B660=0, Vide, $B660)</f>
        <v>41.433924999999995</v>
      </c>
      <c r="E59" s="436" cm="1">
        <f t="array" ref="E59">IF($B660=0, Vide, $B660)</f>
        <v>41.433924999999995</v>
      </c>
      <c r="F59" s="436" cm="1">
        <f t="array" ref="F59">IF($B660=0, Vide, $B660)</f>
        <v>41.433924999999995</v>
      </c>
      <c r="G59" s="436" cm="1">
        <f t="array" ref="G59">IF($B660=0, Vide, $B660)</f>
        <v>41.433924999999995</v>
      </c>
      <c r="H59" s="436" cm="1">
        <f t="array" ref="H59">IF($C660=0, Vide, $C660)</f>
        <v>48.879599999999996</v>
      </c>
      <c r="I59" s="436" cm="1">
        <f t="array" ref="I59">IF($C660=0, Vide, $C660)</f>
        <v>48.879599999999996</v>
      </c>
      <c r="J59" s="436" cm="1">
        <f t="array" ref="J59">IF($C660=0, Vide, $C660)</f>
        <v>48.879599999999996</v>
      </c>
      <c r="K59" s="436" cm="1">
        <f t="array" ref="K59">IF($C660=0, Vide, $C660)</f>
        <v>48.879599999999996</v>
      </c>
      <c r="L59" s="436" cm="1">
        <f t="array" ref="L59">IF($C660=0, Vide, $C660)</f>
        <v>48.879599999999996</v>
      </c>
      <c r="M59" s="436" t="s">
        <v>762</v>
      </c>
      <c r="N59" s="436" t="s">
        <v>762</v>
      </c>
      <c r="O59" s="436" t="s">
        <v>762</v>
      </c>
      <c r="P59" s="436" t="s">
        <v>762</v>
      </c>
      <c r="Q59" s="436" t="s">
        <v>762</v>
      </c>
      <c r="R59" s="436" t="s">
        <v>762</v>
      </c>
      <c r="S59" s="436" t="s">
        <v>762</v>
      </c>
      <c r="T59" s="436" t="s">
        <v>762</v>
      </c>
      <c r="U59" s="436" t="s">
        <v>762</v>
      </c>
      <c r="V59" s="436" cm="1">
        <f t="array" ref="V59">IF($D660=0, Vide, $D660)</f>
        <v>65.146349999999984</v>
      </c>
      <c r="W59" s="436" cm="1">
        <f t="array" ref="W59">IF($E660=0, Vide, $E660)</f>
        <v>78.159750000000003</v>
      </c>
      <c r="X59" s="436" cm="1">
        <f t="array" ref="X59">IF($F660=0, Vide, $F660)</f>
        <v>94.439724999999967</v>
      </c>
      <c r="Y59" s="436" cm="1">
        <f t="array" ref="Y59">IF($G660=0, Vide, $G660)</f>
        <v>110.75937499999998</v>
      </c>
      <c r="Z59" s="436" cm="1">
        <f t="array" ref="Z59">IF($H660=0, Vide, $H660)</f>
        <v>127.31707499999997</v>
      </c>
      <c r="AA59" s="436" cm="1">
        <f t="array" ref="AA59">IF($I660=0, Vide, $I660)</f>
        <v>144.43022499999998</v>
      </c>
      <c r="AB59" s="436" cm="1">
        <f t="array" ref="AB59">IF($J660=0, Vide, $J660)</f>
        <v>161.86077499999996</v>
      </c>
      <c r="AC59" s="436" cm="1">
        <f t="array" ref="AC59">IF($K660=0, Vide, $K660)</f>
        <v>179.29132499999997</v>
      </c>
      <c r="AD59" s="436" cm="1">
        <f t="array" ref="AD59">IF($L660=0, Vide, $L660)</f>
        <v>202.72602499999996</v>
      </c>
      <c r="AE59" s="436">
        <f t="shared" si="46"/>
        <v>222.99862749999997</v>
      </c>
      <c r="AF59" s="436">
        <f t="shared" si="46"/>
        <v>253.40753124999995</v>
      </c>
      <c r="AG59" s="436">
        <f t="shared" si="46"/>
        <v>304.08903749999996</v>
      </c>
      <c r="AH59" s="436">
        <f t="shared" si="46"/>
        <v>354.77054374999994</v>
      </c>
      <c r="AI59" s="436">
        <f t="shared" si="46"/>
        <v>407.47931024999991</v>
      </c>
      <c r="AJ59" s="436">
        <f t="shared" si="46"/>
        <v>456.13355624999991</v>
      </c>
      <c r="AK59" s="436">
        <f t="shared" si="46"/>
        <v>506.8150624999999</v>
      </c>
      <c r="AL59" s="436">
        <f t="shared" si="46"/>
        <v>610.20533524999985</v>
      </c>
      <c r="AM59" s="436">
        <f t="shared" si="46"/>
        <v>658.85958124999991</v>
      </c>
      <c r="AN59" s="436">
        <f t="shared" si="46"/>
        <v>709.54108749999989</v>
      </c>
      <c r="AO59" s="436">
        <f t="shared" si="47"/>
        <v>760.22259374999987</v>
      </c>
      <c r="AP59" s="436">
        <f t="shared" si="47"/>
        <v>812.93136024999978</v>
      </c>
      <c r="AQ59" s="436">
        <f t="shared" si="47"/>
        <v>861.58560624999984</v>
      </c>
      <c r="AR59" s="436">
        <f t="shared" si="47"/>
        <v>912.26711249999983</v>
      </c>
      <c r="AS59" s="436">
        <f t="shared" si="47"/>
        <v>962.94861874999981</v>
      </c>
      <c r="AT59" s="436">
        <f t="shared" si="47"/>
        <v>1013.6301249999998</v>
      </c>
      <c r="AU59" s="436">
        <f t="shared" si="47"/>
        <v>1064.3116312499999</v>
      </c>
      <c r="AV59" s="436">
        <f t="shared" si="47"/>
        <v>1114.9931374999999</v>
      </c>
      <c r="AW59" s="436">
        <f t="shared" si="47"/>
        <v>1165.6746437499999</v>
      </c>
      <c r="AX59" s="436">
        <f t="shared" si="47"/>
        <v>1216.3561499999998</v>
      </c>
      <c r="AY59" s="436">
        <f t="shared" si="48"/>
        <v>1317.7191624999998</v>
      </c>
      <c r="AZ59" s="436">
        <f t="shared" si="48"/>
        <v>1419.0821749999998</v>
      </c>
      <c r="BA59" s="436">
        <f t="shared" si="48"/>
        <v>1520.4451874999997</v>
      </c>
      <c r="BB59" s="436">
        <f t="shared" si="48"/>
        <v>1621.8081999999997</v>
      </c>
      <c r="BC59" s="436">
        <f t="shared" si="48"/>
        <v>1723.1712124999997</v>
      </c>
      <c r="BD59" s="436">
        <f t="shared" si="48"/>
        <v>1824.5342249999997</v>
      </c>
      <c r="BE59" s="436">
        <f t="shared" si="48"/>
        <v>1925.8972374999996</v>
      </c>
      <c r="BF59" s="436">
        <f t="shared" si="48"/>
        <v>2027.2602499999996</v>
      </c>
      <c r="BG59" s="436">
        <f t="shared" si="48"/>
        <v>2229.9862749999998</v>
      </c>
      <c r="BH59" s="436">
        <f t="shared" si="48"/>
        <v>2432.7122999999997</v>
      </c>
      <c r="BI59" s="436">
        <f t="shared" si="49"/>
        <v>2534.0753124999997</v>
      </c>
      <c r="BJ59" s="436">
        <f t="shared" si="49"/>
        <v>2635.4383249999996</v>
      </c>
      <c r="BK59" s="436">
        <f t="shared" si="49"/>
        <v>2838.1643499999996</v>
      </c>
      <c r="BL59" s="436">
        <f t="shared" si="49"/>
        <v>3040.8903749999995</v>
      </c>
      <c r="BM59" s="436">
        <f t="shared" si="49"/>
        <v>3243.6163999999994</v>
      </c>
      <c r="BN59" s="436">
        <f t="shared" si="49"/>
        <v>3446.3424249999994</v>
      </c>
      <c r="BO59" s="436">
        <f t="shared" si="49"/>
        <v>3547.7054374999993</v>
      </c>
      <c r="BP59" s="436">
        <f t="shared" si="49"/>
        <v>3649.0684499999993</v>
      </c>
      <c r="BQ59" s="436">
        <f t="shared" si="49"/>
        <v>3851.7944749999992</v>
      </c>
      <c r="BR59" s="436">
        <f t="shared" si="49"/>
        <v>4054.5204999999992</v>
      </c>
      <c r="BS59" s="436">
        <f t="shared" si="50"/>
        <v>4561.3355624999995</v>
      </c>
      <c r="BT59" s="436">
        <f t="shared" si="50"/>
        <v>5068.1506249999993</v>
      </c>
      <c r="BU59" s="436">
        <f t="shared" si="50"/>
        <v>5574.9656874999991</v>
      </c>
      <c r="BV59" s="436">
        <f t="shared" si="50"/>
        <v>6081.780749999999</v>
      </c>
      <c r="BW59" s="436">
        <f t="shared" si="50"/>
        <v>7095.4108749999987</v>
      </c>
      <c r="BX59" s="436">
        <f t="shared" si="50"/>
        <v>8109.0409999999983</v>
      </c>
      <c r="BY59" s="436">
        <f t="shared" si="50"/>
        <v>9122.6711249999989</v>
      </c>
      <c r="BZ59" s="436">
        <f t="shared" si="50"/>
        <v>10136.301249999999</v>
      </c>
      <c r="CA59" s="436">
        <f t="shared" si="50"/>
        <v>11149.931374999998</v>
      </c>
      <c r="CB59" s="436">
        <f t="shared" si="50"/>
        <v>12163.561499999998</v>
      </c>
      <c r="CC59" s="436">
        <f t="shared" si="50"/>
        <v>14190.821749999997</v>
      </c>
      <c r="CD59" s="436">
        <f t="shared" si="50"/>
        <v>16218.081999999997</v>
      </c>
      <c r="CE59" s="436">
        <f t="shared" si="50"/>
        <v>18245.342249999998</v>
      </c>
      <c r="CF59" s="436">
        <f t="shared" si="50"/>
        <v>20272.602499999997</v>
      </c>
      <c r="CG59" s="436" cm="1">
        <f t="array" ref="CG59">IF($M660=0, Vide, $M660)</f>
        <v>202.72602499999996</v>
      </c>
      <c r="CH59" s="435" t="s">
        <v>762</v>
      </c>
      <c r="CI59" s="435" t="s">
        <v>762</v>
      </c>
      <c r="CJ59" s="435" t="s">
        <v>762</v>
      </c>
      <c r="CK59" s="435" t="s">
        <v>762</v>
      </c>
      <c r="CL59" s="435" t="s">
        <v>762</v>
      </c>
    </row>
    <row r="60" spans="1:90" s="437" customFormat="1">
      <c r="A60" s="435" t="s">
        <v>568</v>
      </c>
      <c r="B60" s="435" t="s">
        <v>90</v>
      </c>
      <c r="C60" s="436" cm="1">
        <f t="array" ref="C60">IF($B661=0, Vide, $B661)</f>
        <v>41.433924999999995</v>
      </c>
      <c r="D60" s="436" cm="1">
        <f t="array" ref="D60">IF($B661=0, Vide, $B661)</f>
        <v>41.433924999999995</v>
      </c>
      <c r="E60" s="436" cm="1">
        <f t="array" ref="E60">IF($B661=0, Vide, $B661)</f>
        <v>41.433924999999995</v>
      </c>
      <c r="F60" s="436" cm="1">
        <f t="array" ref="F60">IF($B661=0, Vide, $B661)</f>
        <v>41.433924999999995</v>
      </c>
      <c r="G60" s="436" cm="1">
        <f t="array" ref="G60">IF($B661=0, Vide, $B661)</f>
        <v>41.433924999999995</v>
      </c>
      <c r="H60" s="436" cm="1">
        <f t="array" ref="H60">IF($C661=0, Vide, $C661)</f>
        <v>48.879599999999996</v>
      </c>
      <c r="I60" s="436" cm="1">
        <f t="array" ref="I60">IF($C661=0, Vide, $C661)</f>
        <v>48.879599999999996</v>
      </c>
      <c r="J60" s="436" cm="1">
        <f t="array" ref="J60">IF($C661=0, Vide, $C661)</f>
        <v>48.879599999999996</v>
      </c>
      <c r="K60" s="436" cm="1">
        <f t="array" ref="K60">IF($C661=0, Vide, $C661)</f>
        <v>48.879599999999996</v>
      </c>
      <c r="L60" s="436" cm="1">
        <f t="array" ref="L60">IF($C661=0, Vide, $C661)</f>
        <v>48.879599999999996</v>
      </c>
      <c r="M60" s="436" t="s">
        <v>762</v>
      </c>
      <c r="N60" s="436" t="s">
        <v>762</v>
      </c>
      <c r="O60" s="436" t="s">
        <v>762</v>
      </c>
      <c r="P60" s="436" t="s">
        <v>762</v>
      </c>
      <c r="Q60" s="436" t="s">
        <v>762</v>
      </c>
      <c r="R60" s="436" t="s">
        <v>762</v>
      </c>
      <c r="S60" s="436" t="s">
        <v>762</v>
      </c>
      <c r="T60" s="436" t="s">
        <v>762</v>
      </c>
      <c r="U60" s="436" t="s">
        <v>762</v>
      </c>
      <c r="V60" s="436" cm="1">
        <f t="array" ref="V60">IF($D661=0, Vide, $D661)</f>
        <v>65.146349999999984</v>
      </c>
      <c r="W60" s="436" cm="1">
        <f t="array" ref="W60">IF($E661=0, Vide, $E661)</f>
        <v>78.159750000000003</v>
      </c>
      <c r="X60" s="436" cm="1">
        <f t="array" ref="X60">IF($F661=0, Vide, $F661)</f>
        <v>94.439724999999967</v>
      </c>
      <c r="Y60" s="436" cm="1">
        <f t="array" ref="Y60">IF($G661=0, Vide, $G661)</f>
        <v>110.75937499999998</v>
      </c>
      <c r="Z60" s="436" cm="1">
        <f t="array" ref="Z60">IF($H661=0, Vide, $H661)</f>
        <v>127.31707499999997</v>
      </c>
      <c r="AA60" s="436" cm="1">
        <f t="array" ref="AA60">IF($I661=0, Vide, $I661)</f>
        <v>144.43022499999998</v>
      </c>
      <c r="AB60" s="436" cm="1">
        <f t="array" ref="AB60">IF($J661=0, Vide, $J661)</f>
        <v>161.86077499999996</v>
      </c>
      <c r="AC60" s="436" cm="1">
        <f t="array" ref="AC60">IF($K661=0, Vide, $K661)</f>
        <v>179.29132499999997</v>
      </c>
      <c r="AD60" s="436" cm="1">
        <f t="array" ref="AD60">IF($L661=0, Vide, $L661)</f>
        <v>202.72602499999996</v>
      </c>
      <c r="AE60" s="436">
        <f t="shared" si="46"/>
        <v>222.99862749999997</v>
      </c>
      <c r="AF60" s="436">
        <f t="shared" si="46"/>
        <v>253.40753124999995</v>
      </c>
      <c r="AG60" s="436">
        <f t="shared" si="46"/>
        <v>304.08903749999996</v>
      </c>
      <c r="AH60" s="436">
        <f t="shared" si="46"/>
        <v>354.77054374999994</v>
      </c>
      <c r="AI60" s="436">
        <f t="shared" si="46"/>
        <v>407.47931024999991</v>
      </c>
      <c r="AJ60" s="436">
        <f t="shared" si="46"/>
        <v>456.13355624999991</v>
      </c>
      <c r="AK60" s="436">
        <f t="shared" si="46"/>
        <v>506.8150624999999</v>
      </c>
      <c r="AL60" s="436">
        <f t="shared" si="46"/>
        <v>610.20533524999985</v>
      </c>
      <c r="AM60" s="436">
        <f t="shared" si="46"/>
        <v>658.85958124999991</v>
      </c>
      <c r="AN60" s="436">
        <f t="shared" si="46"/>
        <v>709.54108749999989</v>
      </c>
      <c r="AO60" s="436">
        <f t="shared" si="47"/>
        <v>760.22259374999987</v>
      </c>
      <c r="AP60" s="436">
        <f t="shared" si="47"/>
        <v>812.93136024999978</v>
      </c>
      <c r="AQ60" s="436">
        <f t="shared" si="47"/>
        <v>861.58560624999984</v>
      </c>
      <c r="AR60" s="436">
        <f t="shared" si="47"/>
        <v>912.26711249999983</v>
      </c>
      <c r="AS60" s="436">
        <f t="shared" si="47"/>
        <v>962.94861874999981</v>
      </c>
      <c r="AT60" s="436">
        <f t="shared" si="47"/>
        <v>1013.6301249999998</v>
      </c>
      <c r="AU60" s="436">
        <f t="shared" si="47"/>
        <v>1064.3116312499999</v>
      </c>
      <c r="AV60" s="436">
        <f t="shared" si="47"/>
        <v>1114.9931374999999</v>
      </c>
      <c r="AW60" s="436">
        <f t="shared" si="47"/>
        <v>1165.6746437499999</v>
      </c>
      <c r="AX60" s="436">
        <f t="shared" si="47"/>
        <v>1216.3561499999998</v>
      </c>
      <c r="AY60" s="436">
        <f t="shared" si="48"/>
        <v>1317.7191624999998</v>
      </c>
      <c r="AZ60" s="436">
        <f t="shared" si="48"/>
        <v>1419.0821749999998</v>
      </c>
      <c r="BA60" s="436">
        <f t="shared" si="48"/>
        <v>1520.4451874999997</v>
      </c>
      <c r="BB60" s="436">
        <f t="shared" si="48"/>
        <v>1621.8081999999997</v>
      </c>
      <c r="BC60" s="436">
        <f t="shared" si="48"/>
        <v>1723.1712124999997</v>
      </c>
      <c r="BD60" s="436">
        <f t="shared" si="48"/>
        <v>1824.5342249999997</v>
      </c>
      <c r="BE60" s="436">
        <f t="shared" si="48"/>
        <v>1925.8972374999996</v>
      </c>
      <c r="BF60" s="436">
        <f t="shared" si="48"/>
        <v>2027.2602499999996</v>
      </c>
      <c r="BG60" s="436">
        <f t="shared" si="48"/>
        <v>2229.9862749999998</v>
      </c>
      <c r="BH60" s="436">
        <f t="shared" si="48"/>
        <v>2432.7122999999997</v>
      </c>
      <c r="BI60" s="436">
        <f t="shared" si="49"/>
        <v>2534.0753124999997</v>
      </c>
      <c r="BJ60" s="436">
        <f t="shared" si="49"/>
        <v>2635.4383249999996</v>
      </c>
      <c r="BK60" s="436">
        <f t="shared" si="49"/>
        <v>2838.1643499999996</v>
      </c>
      <c r="BL60" s="436">
        <f t="shared" si="49"/>
        <v>3040.8903749999995</v>
      </c>
      <c r="BM60" s="436">
        <f t="shared" si="49"/>
        <v>3243.6163999999994</v>
      </c>
      <c r="BN60" s="436">
        <f t="shared" si="49"/>
        <v>3446.3424249999994</v>
      </c>
      <c r="BO60" s="436">
        <f t="shared" si="49"/>
        <v>3547.7054374999993</v>
      </c>
      <c r="BP60" s="436">
        <f t="shared" si="49"/>
        <v>3649.0684499999993</v>
      </c>
      <c r="BQ60" s="436">
        <f t="shared" si="49"/>
        <v>3851.7944749999992</v>
      </c>
      <c r="BR60" s="436">
        <f t="shared" si="49"/>
        <v>4054.5204999999992</v>
      </c>
      <c r="BS60" s="436">
        <f t="shared" si="50"/>
        <v>4561.3355624999995</v>
      </c>
      <c r="BT60" s="436">
        <f t="shared" si="50"/>
        <v>5068.1506249999993</v>
      </c>
      <c r="BU60" s="436">
        <f t="shared" si="50"/>
        <v>5574.9656874999991</v>
      </c>
      <c r="BV60" s="436">
        <f t="shared" si="50"/>
        <v>6081.780749999999</v>
      </c>
      <c r="BW60" s="436">
        <f t="shared" si="50"/>
        <v>7095.4108749999987</v>
      </c>
      <c r="BX60" s="436">
        <f t="shared" si="50"/>
        <v>8109.0409999999983</v>
      </c>
      <c r="BY60" s="436">
        <f t="shared" si="50"/>
        <v>9122.6711249999989</v>
      </c>
      <c r="BZ60" s="436">
        <f t="shared" si="50"/>
        <v>10136.301249999999</v>
      </c>
      <c r="CA60" s="436">
        <f t="shared" si="50"/>
        <v>11149.931374999998</v>
      </c>
      <c r="CB60" s="436">
        <f t="shared" si="50"/>
        <v>12163.561499999998</v>
      </c>
      <c r="CC60" s="436">
        <f t="shared" si="50"/>
        <v>14190.821749999997</v>
      </c>
      <c r="CD60" s="436">
        <f t="shared" si="50"/>
        <v>16218.081999999997</v>
      </c>
      <c r="CE60" s="436">
        <f t="shared" si="50"/>
        <v>18245.342249999998</v>
      </c>
      <c r="CF60" s="436">
        <f t="shared" si="50"/>
        <v>20272.602499999997</v>
      </c>
      <c r="CG60" s="436" cm="1">
        <f t="array" ref="CG60">IF($M661=0, Vide, $M661)</f>
        <v>202.72602499999996</v>
      </c>
      <c r="CH60" s="435" t="s">
        <v>762</v>
      </c>
      <c r="CI60" s="435" t="s">
        <v>762</v>
      </c>
      <c r="CJ60" s="435" t="s">
        <v>762</v>
      </c>
      <c r="CK60" s="435" t="s">
        <v>762</v>
      </c>
      <c r="CL60" s="435" t="s">
        <v>762</v>
      </c>
    </row>
    <row r="61" spans="1:90" s="437" customFormat="1">
      <c r="A61" s="435" t="s">
        <v>569</v>
      </c>
      <c r="B61" s="435" t="s">
        <v>90</v>
      </c>
      <c r="C61" s="436" cm="1">
        <f t="array" ref="C61">IF($B662=0, Vide, $B662)</f>
        <v>34.239524999999993</v>
      </c>
      <c r="D61" s="436" cm="1">
        <f t="array" ref="D61">IF($B662=0, Vide, $B662)</f>
        <v>34.239524999999993</v>
      </c>
      <c r="E61" s="436" cm="1">
        <f t="array" ref="E61">IF($B662=0, Vide, $B662)</f>
        <v>34.239524999999993</v>
      </c>
      <c r="F61" s="436" cm="1">
        <f t="array" ref="F61">IF($B662=0, Vide, $B662)</f>
        <v>34.239524999999993</v>
      </c>
      <c r="G61" s="436" cm="1">
        <f t="array" ref="G61">IF($B662=0, Vide, $B662)</f>
        <v>34.239524999999993</v>
      </c>
      <c r="H61" s="436" cm="1">
        <f t="array" ref="H61">IF($C662=0, Vide, $C662)</f>
        <v>36.500999999999998</v>
      </c>
      <c r="I61" s="436" cm="1">
        <f t="array" ref="I61">IF($C662=0, Vide, $C662)</f>
        <v>36.500999999999998</v>
      </c>
      <c r="J61" s="436" cm="1">
        <f t="array" ref="J61">IF($C662=0, Vide, $C662)</f>
        <v>36.500999999999998</v>
      </c>
      <c r="K61" s="436" cm="1">
        <f t="array" ref="K61">IF($C662=0, Vide, $C662)</f>
        <v>36.500999999999998</v>
      </c>
      <c r="L61" s="436" cm="1">
        <f t="array" ref="L61">IF($C662=0, Vide, $C662)</f>
        <v>36.500999999999998</v>
      </c>
      <c r="M61" s="436" t="s">
        <v>762</v>
      </c>
      <c r="N61" s="436" t="s">
        <v>762</v>
      </c>
      <c r="O61" s="436" t="s">
        <v>762</v>
      </c>
      <c r="P61" s="436" t="s">
        <v>762</v>
      </c>
      <c r="Q61" s="436" t="s">
        <v>762</v>
      </c>
      <c r="R61" s="436" t="s">
        <v>762</v>
      </c>
      <c r="S61" s="436" t="s">
        <v>762</v>
      </c>
      <c r="T61" s="436" t="s">
        <v>762</v>
      </c>
      <c r="U61" s="436" t="s">
        <v>762</v>
      </c>
      <c r="V61" s="436" cm="1">
        <f t="array" ref="V61">IF($D662=0, Vide, $D662)</f>
        <v>40.534624999999991</v>
      </c>
      <c r="W61" s="436" cm="1">
        <f t="array" ref="W61">IF($E662=0, Vide, $E662)</f>
        <v>44.303749999999994</v>
      </c>
      <c r="X61" s="436" cm="1">
        <f t="array" ref="X61">IF($F662=0, Vide, $F662)</f>
        <v>48.601874999999993</v>
      </c>
      <c r="Y61" s="436" cm="1">
        <f t="array" ref="Y61">IF($G662=0, Vide, $G662)</f>
        <v>52.860324999999996</v>
      </c>
      <c r="Z61" s="436" cm="1">
        <f t="array" ref="Z61">IF($H662=0, Vide, $H662)</f>
        <v>57.211349999999989</v>
      </c>
      <c r="AA61" s="436" cm="1">
        <f t="array" ref="AA61">IF($I662=0, Vide, $I662)</f>
        <v>61.535924999999992</v>
      </c>
      <c r="AB61" s="436" cm="1">
        <f t="array" ref="AB61">IF($J662=0, Vide, $J662)</f>
        <v>68.426149999999993</v>
      </c>
      <c r="AC61" s="436" cm="1">
        <f t="array" ref="AC61">IF($K662=0, Vide, $K662)</f>
        <v>75.012199999999993</v>
      </c>
      <c r="AD61" s="436" cm="1">
        <f t="array" ref="AD61">IF($L662=0, Vide, $L662)</f>
        <v>79.349999999999994</v>
      </c>
      <c r="AE61" s="436">
        <f t="shared" ref="AE61:AN68" si="51">(AE$1/100)*$CG61</f>
        <v>87.284999999999997</v>
      </c>
      <c r="AF61" s="436">
        <f t="shared" si="51"/>
        <v>99.1875</v>
      </c>
      <c r="AG61" s="436">
        <f t="shared" si="51"/>
        <v>119.02499999999999</v>
      </c>
      <c r="AH61" s="436">
        <f t="shared" si="51"/>
        <v>138.86249999999998</v>
      </c>
      <c r="AI61" s="436">
        <f t="shared" si="51"/>
        <v>159.49349999999998</v>
      </c>
      <c r="AJ61" s="436">
        <f t="shared" si="51"/>
        <v>178.53749999999999</v>
      </c>
      <c r="AK61" s="436">
        <f t="shared" si="51"/>
        <v>198.375</v>
      </c>
      <c r="AL61" s="436">
        <f t="shared" si="51"/>
        <v>238.84349999999998</v>
      </c>
      <c r="AM61" s="436">
        <f t="shared" si="51"/>
        <v>257.88749999999999</v>
      </c>
      <c r="AN61" s="436">
        <f t="shared" si="51"/>
        <v>277.72499999999997</v>
      </c>
      <c r="AO61" s="436">
        <f t="shared" ref="AO61:AX68" si="52">(AO$1/100)*$CG61</f>
        <v>297.5625</v>
      </c>
      <c r="AP61" s="436">
        <f t="shared" si="52"/>
        <v>318.19349999999997</v>
      </c>
      <c r="AQ61" s="436">
        <f t="shared" si="52"/>
        <v>337.23749999999995</v>
      </c>
      <c r="AR61" s="436">
        <f t="shared" si="52"/>
        <v>357.07499999999999</v>
      </c>
      <c r="AS61" s="436">
        <f t="shared" si="52"/>
        <v>376.91249999999997</v>
      </c>
      <c r="AT61" s="436">
        <f t="shared" si="52"/>
        <v>396.75</v>
      </c>
      <c r="AU61" s="436">
        <f t="shared" si="52"/>
        <v>416.58749999999998</v>
      </c>
      <c r="AV61" s="436">
        <f t="shared" si="52"/>
        <v>436.42499999999995</v>
      </c>
      <c r="AW61" s="436">
        <f t="shared" si="52"/>
        <v>456.26249999999999</v>
      </c>
      <c r="AX61" s="436">
        <f t="shared" si="52"/>
        <v>476.09999999999997</v>
      </c>
      <c r="AY61" s="436">
        <f t="shared" ref="AY61:BH68" si="53">(AY$1/100)*$CG61</f>
        <v>515.77499999999998</v>
      </c>
      <c r="AZ61" s="436">
        <f t="shared" si="53"/>
        <v>555.44999999999993</v>
      </c>
      <c r="BA61" s="436">
        <f t="shared" si="53"/>
        <v>595.125</v>
      </c>
      <c r="BB61" s="436">
        <f t="shared" si="53"/>
        <v>634.79999999999995</v>
      </c>
      <c r="BC61" s="436">
        <f t="shared" si="53"/>
        <v>674.47499999999991</v>
      </c>
      <c r="BD61" s="436">
        <f t="shared" si="53"/>
        <v>714.15</v>
      </c>
      <c r="BE61" s="436">
        <f t="shared" si="53"/>
        <v>753.82499999999993</v>
      </c>
      <c r="BF61" s="436">
        <f t="shared" si="53"/>
        <v>793.5</v>
      </c>
      <c r="BG61" s="436">
        <f t="shared" si="53"/>
        <v>872.84999999999991</v>
      </c>
      <c r="BH61" s="436">
        <f t="shared" si="53"/>
        <v>952.19999999999993</v>
      </c>
      <c r="BI61" s="436">
        <f t="shared" ref="BI61:BR68" si="54">(BI$1/100)*$CG61</f>
        <v>991.87499999999989</v>
      </c>
      <c r="BJ61" s="436">
        <f t="shared" si="54"/>
        <v>1031.55</v>
      </c>
      <c r="BK61" s="436">
        <f t="shared" si="54"/>
        <v>1110.8999999999999</v>
      </c>
      <c r="BL61" s="436">
        <f t="shared" si="54"/>
        <v>1190.25</v>
      </c>
      <c r="BM61" s="436">
        <f t="shared" si="54"/>
        <v>1269.5999999999999</v>
      </c>
      <c r="BN61" s="436">
        <f t="shared" si="54"/>
        <v>1348.9499999999998</v>
      </c>
      <c r="BO61" s="436">
        <f t="shared" si="54"/>
        <v>1388.625</v>
      </c>
      <c r="BP61" s="436">
        <f t="shared" si="54"/>
        <v>1428.3</v>
      </c>
      <c r="BQ61" s="436">
        <f t="shared" si="54"/>
        <v>1507.6499999999999</v>
      </c>
      <c r="BR61" s="436">
        <f t="shared" si="54"/>
        <v>1587</v>
      </c>
      <c r="BS61" s="436">
        <f t="shared" ref="BS61:CF68" si="55">(BS$1/100)*$CG61</f>
        <v>1785.3749999999998</v>
      </c>
      <c r="BT61" s="436">
        <f t="shared" si="55"/>
        <v>1983.7499999999998</v>
      </c>
      <c r="BU61" s="436">
        <f t="shared" si="55"/>
        <v>2182.125</v>
      </c>
      <c r="BV61" s="436">
        <f t="shared" si="55"/>
        <v>2380.5</v>
      </c>
      <c r="BW61" s="436">
        <f t="shared" si="55"/>
        <v>2777.25</v>
      </c>
      <c r="BX61" s="436">
        <f t="shared" si="55"/>
        <v>3174</v>
      </c>
      <c r="BY61" s="436">
        <f t="shared" si="55"/>
        <v>3570.7499999999995</v>
      </c>
      <c r="BZ61" s="436">
        <f t="shared" si="55"/>
        <v>3967.4999999999995</v>
      </c>
      <c r="CA61" s="436">
        <f t="shared" si="55"/>
        <v>4364.25</v>
      </c>
      <c r="CB61" s="436">
        <f t="shared" si="55"/>
        <v>4761</v>
      </c>
      <c r="CC61" s="436">
        <f t="shared" si="55"/>
        <v>5554.5</v>
      </c>
      <c r="CD61" s="436">
        <f t="shared" si="55"/>
        <v>6348</v>
      </c>
      <c r="CE61" s="436">
        <f t="shared" si="55"/>
        <v>7141.4999999999991</v>
      </c>
      <c r="CF61" s="436">
        <f t="shared" si="55"/>
        <v>7934.9999999999991</v>
      </c>
      <c r="CG61" s="436" cm="1">
        <f t="array" ref="CG61">IF($M662=0, Vide, $M662)</f>
        <v>79.349999999999994</v>
      </c>
      <c r="CH61" s="435" t="s">
        <v>762</v>
      </c>
      <c r="CI61" s="435" t="s">
        <v>762</v>
      </c>
      <c r="CJ61" s="435" t="s">
        <v>762</v>
      </c>
      <c r="CK61" s="435" t="s">
        <v>762</v>
      </c>
      <c r="CL61" s="435" t="s">
        <v>762</v>
      </c>
    </row>
    <row r="62" spans="1:90" s="437" customFormat="1">
      <c r="A62" s="435" t="s">
        <v>570</v>
      </c>
      <c r="B62" s="435" t="s">
        <v>90</v>
      </c>
      <c r="C62" s="436" cm="1">
        <f t="array" ref="C62">IF($B663=0, Vide, $B663)</f>
        <v>27.388974999999995</v>
      </c>
      <c r="D62" s="436" cm="1">
        <f t="array" ref="D62">IF($B663=0, Vide, $B663)</f>
        <v>27.388974999999995</v>
      </c>
      <c r="E62" s="436" cm="1">
        <f t="array" ref="E62">IF($B663=0, Vide, $B663)</f>
        <v>27.388974999999995</v>
      </c>
      <c r="F62" s="436" cm="1">
        <f t="array" ref="F62">IF($B663=0, Vide, $B663)</f>
        <v>27.388974999999995</v>
      </c>
      <c r="G62" s="436" cm="1">
        <f t="array" ref="G62">IF($B663=0, Vide, $B663)</f>
        <v>27.388974999999995</v>
      </c>
      <c r="H62" s="436" cm="1">
        <f t="array" ref="H62">IF($C663=0, Vide, $C663)</f>
        <v>28.989199999999997</v>
      </c>
      <c r="I62" s="436" cm="1">
        <f t="array" ref="I62">IF($C663=0, Vide, $C663)</f>
        <v>28.989199999999997</v>
      </c>
      <c r="J62" s="436" cm="1">
        <f t="array" ref="J62">IF($C663=0, Vide, $C663)</f>
        <v>28.989199999999997</v>
      </c>
      <c r="K62" s="436" cm="1">
        <f t="array" ref="K62">IF($C663=0, Vide, $C663)</f>
        <v>28.989199999999997</v>
      </c>
      <c r="L62" s="436" cm="1">
        <f t="array" ref="L62">IF($C663=0, Vide, $C663)</f>
        <v>28.989199999999997</v>
      </c>
      <c r="M62" s="436" t="s">
        <v>762</v>
      </c>
      <c r="N62" s="436" t="s">
        <v>762</v>
      </c>
      <c r="O62" s="436" t="s">
        <v>762</v>
      </c>
      <c r="P62" s="436" t="s">
        <v>762</v>
      </c>
      <c r="Q62" s="436" t="s">
        <v>762</v>
      </c>
      <c r="R62" s="436" t="s">
        <v>762</v>
      </c>
      <c r="S62" s="436" t="s">
        <v>762</v>
      </c>
      <c r="T62" s="436" t="s">
        <v>762</v>
      </c>
      <c r="U62" s="436" t="s">
        <v>762</v>
      </c>
      <c r="V62" s="436" cm="1">
        <f t="array" ref="V62">IF($D663=0, Vide, $D663)</f>
        <v>28.989199999999997</v>
      </c>
      <c r="W62" s="436" cm="1">
        <f t="array" ref="W62">IF($E663=0, Vide, $E663)</f>
        <v>28.989199999999997</v>
      </c>
      <c r="X62" s="436" cm="1">
        <f t="array" ref="X62">IF($F663=0, Vide, $F663)</f>
        <v>28.989199999999997</v>
      </c>
      <c r="Y62" s="436" cm="1">
        <f t="array" ref="Y62">IF($G663=0, Vide, $G663)</f>
        <v>28.989199999999997</v>
      </c>
      <c r="Z62" s="436" cm="1">
        <f t="array" ref="Z62">IF($H663=0, Vide, $H663)</f>
        <v>51.947799999999994</v>
      </c>
      <c r="AA62" s="436" cm="1">
        <f t="array" ref="AA62">IF($I663=0, Vide, $I663)</f>
        <v>51.947799999999994</v>
      </c>
      <c r="AB62" s="436" cm="1">
        <f t="array" ref="AB62">IF($J663=0, Vide, $J663)</f>
        <v>51.947799999999994</v>
      </c>
      <c r="AC62" s="436" cm="1">
        <f t="array" ref="AC62">IF($K663=0, Vide, $K663)</f>
        <v>51.947799999999994</v>
      </c>
      <c r="AD62" s="436" cm="1">
        <f t="array" ref="AD62">IF($L663=0, Vide, $L663)</f>
        <v>51.947799999999994</v>
      </c>
      <c r="AE62" s="436">
        <f t="shared" si="51"/>
        <v>75.108742499999991</v>
      </c>
      <c r="AF62" s="436">
        <f t="shared" si="51"/>
        <v>85.350843749999981</v>
      </c>
      <c r="AG62" s="436">
        <f t="shared" si="51"/>
        <v>102.42101249999999</v>
      </c>
      <c r="AH62" s="436">
        <f t="shared" si="51"/>
        <v>119.49118124999998</v>
      </c>
      <c r="AI62" s="436">
        <f t="shared" si="51"/>
        <v>137.24415674999997</v>
      </c>
      <c r="AJ62" s="436">
        <f t="shared" si="51"/>
        <v>153.63151874999997</v>
      </c>
      <c r="AK62" s="436">
        <f t="shared" si="51"/>
        <v>170.70168749999996</v>
      </c>
      <c r="AL62" s="436">
        <f t="shared" si="51"/>
        <v>205.52483174999995</v>
      </c>
      <c r="AM62" s="436">
        <f t="shared" si="51"/>
        <v>221.91219374999997</v>
      </c>
      <c r="AN62" s="436">
        <f t="shared" si="51"/>
        <v>238.98236249999997</v>
      </c>
      <c r="AO62" s="436">
        <f t="shared" si="52"/>
        <v>256.05253124999996</v>
      </c>
      <c r="AP62" s="436">
        <f t="shared" si="52"/>
        <v>273.80550674999995</v>
      </c>
      <c r="AQ62" s="436">
        <f t="shared" si="52"/>
        <v>290.19286874999995</v>
      </c>
      <c r="AR62" s="436">
        <f t="shared" si="52"/>
        <v>307.26303749999994</v>
      </c>
      <c r="AS62" s="436">
        <f t="shared" si="52"/>
        <v>324.33320624999993</v>
      </c>
      <c r="AT62" s="436">
        <f t="shared" si="52"/>
        <v>341.40337499999993</v>
      </c>
      <c r="AU62" s="436">
        <f t="shared" si="52"/>
        <v>358.47354374999992</v>
      </c>
      <c r="AV62" s="436">
        <f t="shared" si="52"/>
        <v>375.54371249999991</v>
      </c>
      <c r="AW62" s="436">
        <f t="shared" si="52"/>
        <v>392.61388124999991</v>
      </c>
      <c r="AX62" s="436">
        <f t="shared" si="52"/>
        <v>409.68404999999996</v>
      </c>
      <c r="AY62" s="436">
        <f t="shared" si="53"/>
        <v>443.82438749999994</v>
      </c>
      <c r="AZ62" s="436">
        <f t="shared" si="53"/>
        <v>477.96472499999993</v>
      </c>
      <c r="BA62" s="436">
        <f t="shared" si="53"/>
        <v>512.10506249999992</v>
      </c>
      <c r="BB62" s="436">
        <f t="shared" si="53"/>
        <v>546.2453999999999</v>
      </c>
      <c r="BC62" s="436">
        <f t="shared" si="53"/>
        <v>580.38573749999989</v>
      </c>
      <c r="BD62" s="436">
        <f t="shared" si="53"/>
        <v>614.52607499999988</v>
      </c>
      <c r="BE62" s="436">
        <f t="shared" si="53"/>
        <v>648.66641249999986</v>
      </c>
      <c r="BF62" s="436">
        <f t="shared" si="53"/>
        <v>682.80674999999985</v>
      </c>
      <c r="BG62" s="436">
        <f t="shared" si="53"/>
        <v>751.08742499999983</v>
      </c>
      <c r="BH62" s="436">
        <f t="shared" si="53"/>
        <v>819.36809999999991</v>
      </c>
      <c r="BI62" s="436">
        <f t="shared" si="54"/>
        <v>853.5084374999999</v>
      </c>
      <c r="BJ62" s="436">
        <f t="shared" si="54"/>
        <v>887.64877499999989</v>
      </c>
      <c r="BK62" s="436">
        <f t="shared" si="54"/>
        <v>955.92944999999986</v>
      </c>
      <c r="BL62" s="436">
        <f t="shared" si="54"/>
        <v>1024.2101249999998</v>
      </c>
      <c r="BM62" s="436">
        <f t="shared" si="54"/>
        <v>1092.4907999999998</v>
      </c>
      <c r="BN62" s="436">
        <f t="shared" si="54"/>
        <v>1160.7714749999998</v>
      </c>
      <c r="BO62" s="436">
        <f t="shared" si="54"/>
        <v>1194.9118124999998</v>
      </c>
      <c r="BP62" s="436">
        <f t="shared" si="54"/>
        <v>1229.0521499999998</v>
      </c>
      <c r="BQ62" s="436">
        <f t="shared" si="54"/>
        <v>1297.3328249999997</v>
      </c>
      <c r="BR62" s="436">
        <f t="shared" si="54"/>
        <v>1365.6134999999997</v>
      </c>
      <c r="BS62" s="436">
        <f t="shared" si="55"/>
        <v>1536.3151874999996</v>
      </c>
      <c r="BT62" s="436">
        <f t="shared" si="55"/>
        <v>1707.0168749999998</v>
      </c>
      <c r="BU62" s="436">
        <f t="shared" si="55"/>
        <v>1877.7185624999997</v>
      </c>
      <c r="BV62" s="436">
        <f t="shared" si="55"/>
        <v>2048.4202499999997</v>
      </c>
      <c r="BW62" s="436">
        <f t="shared" si="55"/>
        <v>2389.8236249999995</v>
      </c>
      <c r="BX62" s="436">
        <f t="shared" si="55"/>
        <v>2731.2269999999994</v>
      </c>
      <c r="BY62" s="436">
        <f t="shared" si="55"/>
        <v>3072.6303749999993</v>
      </c>
      <c r="BZ62" s="436">
        <f t="shared" si="55"/>
        <v>3414.0337499999996</v>
      </c>
      <c r="CA62" s="436">
        <f t="shared" si="55"/>
        <v>3755.4371249999995</v>
      </c>
      <c r="CB62" s="436">
        <f t="shared" si="55"/>
        <v>4096.8404999999993</v>
      </c>
      <c r="CC62" s="436">
        <f t="shared" si="55"/>
        <v>4779.6472499999991</v>
      </c>
      <c r="CD62" s="436">
        <f t="shared" si="55"/>
        <v>5462.4539999999988</v>
      </c>
      <c r="CE62" s="436">
        <f t="shared" si="55"/>
        <v>6145.2607499999986</v>
      </c>
      <c r="CF62" s="436">
        <f t="shared" si="55"/>
        <v>6828.0674999999992</v>
      </c>
      <c r="CG62" s="436" cm="1">
        <f t="array" ref="CG62">IF($M663=0, Vide, $M663)</f>
        <v>68.280674999999988</v>
      </c>
      <c r="CH62" s="435" t="s">
        <v>762</v>
      </c>
      <c r="CI62" s="435" t="s">
        <v>762</v>
      </c>
      <c r="CJ62" s="435" t="s">
        <v>762</v>
      </c>
      <c r="CK62" s="435" t="s">
        <v>762</v>
      </c>
      <c r="CL62" s="435" t="s">
        <v>762</v>
      </c>
    </row>
    <row r="63" spans="1:90" s="437" customFormat="1">
      <c r="A63" s="435" t="s">
        <v>571</v>
      </c>
      <c r="B63" s="435" t="s">
        <v>90</v>
      </c>
      <c r="C63" s="436" cm="1">
        <f t="array" ref="C63">IF($B664=0, Vide, $B664)</f>
        <v>40.203999999999986</v>
      </c>
      <c r="D63" s="436" cm="1">
        <f t="array" ref="D63">IF($B664=0, Vide, $B664)</f>
        <v>40.203999999999986</v>
      </c>
      <c r="E63" s="436" cm="1">
        <f t="array" ref="E63">IF($B664=0, Vide, $B664)</f>
        <v>40.203999999999986</v>
      </c>
      <c r="F63" s="436" cm="1">
        <f t="array" ref="F63">IF($B664=0, Vide, $B664)</f>
        <v>40.203999999999986</v>
      </c>
      <c r="G63" s="436" cm="1">
        <f t="array" ref="G63">IF($B664=0, Vide, $B664)</f>
        <v>40.203999999999986</v>
      </c>
      <c r="H63" s="436" cm="1">
        <f t="array" ref="H63">IF($C664=0, Vide, $C664)</f>
        <v>47.477749999999993</v>
      </c>
      <c r="I63" s="436" cm="1">
        <f t="array" ref="I63">IF($C664=0, Vide, $C664)</f>
        <v>47.477749999999993</v>
      </c>
      <c r="J63" s="436" cm="1">
        <f t="array" ref="J63">IF($C664=0, Vide, $C664)</f>
        <v>47.477749999999993</v>
      </c>
      <c r="K63" s="436" cm="1">
        <f t="array" ref="K63">IF($C664=0, Vide, $C664)</f>
        <v>47.477749999999993</v>
      </c>
      <c r="L63" s="436" cm="1">
        <f t="array" ref="L63">IF($C664=0, Vide, $C664)</f>
        <v>47.477749999999993</v>
      </c>
      <c r="M63" s="436" t="s">
        <v>762</v>
      </c>
      <c r="N63" s="436" t="s">
        <v>762</v>
      </c>
      <c r="O63" s="436" t="s">
        <v>762</v>
      </c>
      <c r="P63" s="436" t="s">
        <v>762</v>
      </c>
      <c r="Q63" s="436" t="s">
        <v>762</v>
      </c>
      <c r="R63" s="436" t="s">
        <v>762</v>
      </c>
      <c r="S63" s="436" t="s">
        <v>762</v>
      </c>
      <c r="T63" s="436" t="s">
        <v>762</v>
      </c>
      <c r="U63" s="436" t="s">
        <v>762</v>
      </c>
      <c r="V63" s="436" cm="1">
        <f t="array" ref="V63">IF($D664=0, Vide, $D664)</f>
        <v>63.215499999999984</v>
      </c>
      <c r="W63" s="436" cm="1">
        <f t="array" ref="W63">IF($E664=0, Vide, $E664)</f>
        <v>75.871824999999987</v>
      </c>
      <c r="X63" s="436" cm="1">
        <f t="array" ref="X63">IF($F664=0, Vide, $F664)</f>
        <v>91.71537499999998</v>
      </c>
      <c r="Y63" s="436" cm="1">
        <f t="array" ref="Y63">IF($G664=0, Vide, $G664)</f>
        <v>107.50602499999999</v>
      </c>
      <c r="Z63" s="436" cm="1">
        <f t="array" ref="Z63">IF($H664=0, Vide, $H664)</f>
        <v>123.56117499999999</v>
      </c>
      <c r="AA63" s="436" cm="1">
        <f t="array" ref="AA63">IF($I664=0, Vide, $I664)</f>
        <v>140.2379</v>
      </c>
      <c r="AB63" s="436" cm="1">
        <f t="array" ref="AB63">IF($J664=0, Vide, $J664)</f>
        <v>157.16589999999999</v>
      </c>
      <c r="AC63" s="436" cm="1">
        <f t="array" ref="AC63">IF($K664=0, Vide, $K664)</f>
        <v>174.12034999999997</v>
      </c>
      <c r="AD63" s="436" cm="1">
        <f t="array" ref="AD63">IF($L664=0, Vide, $L664)</f>
        <v>196.81444999999997</v>
      </c>
      <c r="AE63" s="436">
        <f t="shared" si="51"/>
        <v>216.49589499999999</v>
      </c>
      <c r="AF63" s="436">
        <f t="shared" si="51"/>
        <v>246.01806249999996</v>
      </c>
      <c r="AG63" s="436">
        <f t="shared" si="51"/>
        <v>295.22167499999995</v>
      </c>
      <c r="AH63" s="436">
        <f t="shared" si="51"/>
        <v>344.42528749999997</v>
      </c>
      <c r="AI63" s="436">
        <f t="shared" si="51"/>
        <v>395.59704449999987</v>
      </c>
      <c r="AJ63" s="436">
        <f t="shared" si="51"/>
        <v>442.83251249999989</v>
      </c>
      <c r="AK63" s="436">
        <f t="shared" si="51"/>
        <v>492.03612499999991</v>
      </c>
      <c r="AL63" s="436">
        <f t="shared" si="51"/>
        <v>592.41149449999989</v>
      </c>
      <c r="AM63" s="436">
        <f t="shared" si="51"/>
        <v>639.64696249999986</v>
      </c>
      <c r="AN63" s="436">
        <f t="shared" si="51"/>
        <v>688.85057499999994</v>
      </c>
      <c r="AO63" s="436">
        <f t="shared" si="52"/>
        <v>738.0541874999999</v>
      </c>
      <c r="AP63" s="436">
        <f t="shared" si="52"/>
        <v>789.22594449999985</v>
      </c>
      <c r="AQ63" s="436">
        <f t="shared" si="52"/>
        <v>836.46141249999982</v>
      </c>
      <c r="AR63" s="436">
        <f t="shared" si="52"/>
        <v>885.66502499999979</v>
      </c>
      <c r="AS63" s="436">
        <f t="shared" si="52"/>
        <v>934.86863749999986</v>
      </c>
      <c r="AT63" s="436">
        <f t="shared" si="52"/>
        <v>984.07224999999983</v>
      </c>
      <c r="AU63" s="436">
        <f t="shared" si="52"/>
        <v>1033.2758624999999</v>
      </c>
      <c r="AV63" s="436">
        <f t="shared" si="52"/>
        <v>1082.4794749999999</v>
      </c>
      <c r="AW63" s="436">
        <f t="shared" si="52"/>
        <v>1131.6830874999998</v>
      </c>
      <c r="AX63" s="436">
        <f t="shared" si="52"/>
        <v>1180.8866999999998</v>
      </c>
      <c r="AY63" s="436">
        <f t="shared" si="53"/>
        <v>1279.2939249999997</v>
      </c>
      <c r="AZ63" s="436">
        <f t="shared" si="53"/>
        <v>1377.7011499999999</v>
      </c>
      <c r="BA63" s="436">
        <f t="shared" si="53"/>
        <v>1476.1083749999998</v>
      </c>
      <c r="BB63" s="436">
        <f t="shared" si="53"/>
        <v>1574.5155999999997</v>
      </c>
      <c r="BC63" s="436">
        <f t="shared" si="53"/>
        <v>1672.9228249999996</v>
      </c>
      <c r="BD63" s="436">
        <f t="shared" si="53"/>
        <v>1771.3300499999996</v>
      </c>
      <c r="BE63" s="436">
        <f t="shared" si="53"/>
        <v>1869.7372749999997</v>
      </c>
      <c r="BF63" s="436">
        <f t="shared" si="53"/>
        <v>1968.1444999999997</v>
      </c>
      <c r="BG63" s="436">
        <f t="shared" si="53"/>
        <v>2164.9589499999997</v>
      </c>
      <c r="BH63" s="436">
        <f t="shared" si="53"/>
        <v>2361.7733999999996</v>
      </c>
      <c r="BI63" s="436">
        <f t="shared" si="54"/>
        <v>2460.1806249999995</v>
      </c>
      <c r="BJ63" s="436">
        <f t="shared" si="54"/>
        <v>2558.5878499999994</v>
      </c>
      <c r="BK63" s="436">
        <f t="shared" si="54"/>
        <v>2755.4022999999997</v>
      </c>
      <c r="BL63" s="436">
        <f t="shared" si="54"/>
        <v>2952.2167499999996</v>
      </c>
      <c r="BM63" s="436">
        <f t="shared" si="54"/>
        <v>3149.0311999999994</v>
      </c>
      <c r="BN63" s="436">
        <f t="shared" si="54"/>
        <v>3345.8456499999993</v>
      </c>
      <c r="BO63" s="436">
        <f t="shared" si="54"/>
        <v>3444.2528749999992</v>
      </c>
      <c r="BP63" s="436">
        <f t="shared" si="54"/>
        <v>3542.6600999999991</v>
      </c>
      <c r="BQ63" s="436">
        <f t="shared" si="54"/>
        <v>3739.4745499999995</v>
      </c>
      <c r="BR63" s="436">
        <f t="shared" si="54"/>
        <v>3936.2889999999993</v>
      </c>
      <c r="BS63" s="436">
        <f t="shared" si="55"/>
        <v>4428.3251249999994</v>
      </c>
      <c r="BT63" s="436">
        <f t="shared" si="55"/>
        <v>4920.361249999999</v>
      </c>
      <c r="BU63" s="436">
        <f t="shared" si="55"/>
        <v>5412.3973749999986</v>
      </c>
      <c r="BV63" s="436">
        <f t="shared" si="55"/>
        <v>5904.4334999999992</v>
      </c>
      <c r="BW63" s="436">
        <f t="shared" si="55"/>
        <v>6888.5057499999984</v>
      </c>
      <c r="BX63" s="436">
        <f t="shared" si="55"/>
        <v>7872.5779999999986</v>
      </c>
      <c r="BY63" s="436">
        <f t="shared" si="55"/>
        <v>8856.6502499999988</v>
      </c>
      <c r="BZ63" s="436">
        <f t="shared" si="55"/>
        <v>9840.722499999998</v>
      </c>
      <c r="CA63" s="436">
        <f t="shared" si="55"/>
        <v>10824.794749999997</v>
      </c>
      <c r="CB63" s="436">
        <f t="shared" si="55"/>
        <v>11808.866999999998</v>
      </c>
      <c r="CC63" s="436">
        <f t="shared" si="55"/>
        <v>13777.011499999997</v>
      </c>
      <c r="CD63" s="436">
        <f t="shared" si="55"/>
        <v>15745.155999999997</v>
      </c>
      <c r="CE63" s="436">
        <f t="shared" si="55"/>
        <v>17713.300499999998</v>
      </c>
      <c r="CF63" s="436">
        <f t="shared" si="55"/>
        <v>19681.444999999996</v>
      </c>
      <c r="CG63" s="436" cm="1">
        <f t="array" ref="CG63">IF($M664=0, Vide, $M664)</f>
        <v>196.81444999999997</v>
      </c>
      <c r="CH63" s="435" t="s">
        <v>762</v>
      </c>
      <c r="CI63" s="435" t="s">
        <v>762</v>
      </c>
      <c r="CJ63" s="435" t="s">
        <v>762</v>
      </c>
      <c r="CK63" s="435" t="s">
        <v>762</v>
      </c>
      <c r="CL63" s="435" t="s">
        <v>762</v>
      </c>
    </row>
    <row r="64" spans="1:90" s="437" customFormat="1">
      <c r="A64" s="435" t="s">
        <v>572</v>
      </c>
      <c r="B64" s="435" t="s">
        <v>90</v>
      </c>
      <c r="C64" s="436" cm="1">
        <f t="array" ref="C64">IF($B665=0, Vide, $B665)</f>
        <v>40.203999999999986</v>
      </c>
      <c r="D64" s="436" cm="1">
        <f t="array" ref="D64">IF($B665=0, Vide, $B665)</f>
        <v>40.203999999999986</v>
      </c>
      <c r="E64" s="436" cm="1">
        <f t="array" ref="E64">IF($B665=0, Vide, $B665)</f>
        <v>40.203999999999986</v>
      </c>
      <c r="F64" s="436" cm="1">
        <f t="array" ref="F64">IF($B665=0, Vide, $B665)</f>
        <v>40.203999999999986</v>
      </c>
      <c r="G64" s="436" cm="1">
        <f t="array" ref="G64">IF($B665=0, Vide, $B665)</f>
        <v>40.203999999999986</v>
      </c>
      <c r="H64" s="436" cm="1">
        <f t="array" ref="H64">IF($C665=0, Vide, $C665)</f>
        <v>47.477749999999993</v>
      </c>
      <c r="I64" s="436" cm="1">
        <f t="array" ref="I64">IF($C665=0, Vide, $C665)</f>
        <v>47.477749999999993</v>
      </c>
      <c r="J64" s="436" cm="1">
        <f t="array" ref="J64">IF($C665=0, Vide, $C665)</f>
        <v>47.477749999999993</v>
      </c>
      <c r="K64" s="436" cm="1">
        <f t="array" ref="K64">IF($C665=0, Vide, $C665)</f>
        <v>47.477749999999993</v>
      </c>
      <c r="L64" s="436" cm="1">
        <f t="array" ref="L64">IF($C665=0, Vide, $C665)</f>
        <v>47.477749999999993</v>
      </c>
      <c r="M64" s="436" t="s">
        <v>762</v>
      </c>
      <c r="N64" s="436" t="s">
        <v>762</v>
      </c>
      <c r="O64" s="436" t="s">
        <v>762</v>
      </c>
      <c r="P64" s="436" t="s">
        <v>762</v>
      </c>
      <c r="Q64" s="436" t="s">
        <v>762</v>
      </c>
      <c r="R64" s="436" t="s">
        <v>762</v>
      </c>
      <c r="S64" s="436" t="s">
        <v>762</v>
      </c>
      <c r="T64" s="436" t="s">
        <v>762</v>
      </c>
      <c r="U64" s="436" t="s">
        <v>762</v>
      </c>
      <c r="V64" s="436" cm="1">
        <f t="array" ref="V64">IF($D665=0, Vide, $D665)</f>
        <v>63.215499999999984</v>
      </c>
      <c r="W64" s="436" cm="1">
        <f t="array" ref="W64">IF($E665=0, Vide, $E665)</f>
        <v>75.871824999999987</v>
      </c>
      <c r="X64" s="436" cm="1">
        <f t="array" ref="X64">IF($F665=0, Vide, $F665)</f>
        <v>91.71537499999998</v>
      </c>
      <c r="Y64" s="436" cm="1">
        <f t="array" ref="Y64">IF($G665=0, Vide, $G665)</f>
        <v>107.50602499999999</v>
      </c>
      <c r="Z64" s="436" cm="1">
        <f t="array" ref="Z64">IF($H665=0, Vide, $H665)</f>
        <v>123.56117499999999</v>
      </c>
      <c r="AA64" s="436" cm="1">
        <f t="array" ref="AA64">IF($I665=0, Vide, $I665)</f>
        <v>140.2379</v>
      </c>
      <c r="AB64" s="436" cm="1">
        <f t="array" ref="AB64">IF($J665=0, Vide, $J665)</f>
        <v>157.16589999999999</v>
      </c>
      <c r="AC64" s="436" cm="1">
        <f t="array" ref="AC64">IF($K665=0, Vide, $K665)</f>
        <v>174.12034999999997</v>
      </c>
      <c r="AD64" s="436" cm="1">
        <f t="array" ref="AD64">IF($L665=0, Vide, $L665)</f>
        <v>196.81444999999997</v>
      </c>
      <c r="AE64" s="436">
        <f t="shared" si="51"/>
        <v>216.49589499999999</v>
      </c>
      <c r="AF64" s="436">
        <f t="shared" si="51"/>
        <v>246.01806249999996</v>
      </c>
      <c r="AG64" s="436">
        <f t="shared" si="51"/>
        <v>295.22167499999995</v>
      </c>
      <c r="AH64" s="436">
        <f t="shared" si="51"/>
        <v>344.42528749999997</v>
      </c>
      <c r="AI64" s="436">
        <f t="shared" si="51"/>
        <v>395.59704449999987</v>
      </c>
      <c r="AJ64" s="436">
        <f t="shared" si="51"/>
        <v>442.83251249999989</v>
      </c>
      <c r="AK64" s="436">
        <f t="shared" si="51"/>
        <v>492.03612499999991</v>
      </c>
      <c r="AL64" s="436">
        <f t="shared" si="51"/>
        <v>592.41149449999989</v>
      </c>
      <c r="AM64" s="436">
        <f t="shared" si="51"/>
        <v>639.64696249999986</v>
      </c>
      <c r="AN64" s="436">
        <f t="shared" si="51"/>
        <v>688.85057499999994</v>
      </c>
      <c r="AO64" s="436">
        <f t="shared" si="52"/>
        <v>738.0541874999999</v>
      </c>
      <c r="AP64" s="436">
        <f t="shared" si="52"/>
        <v>789.22594449999985</v>
      </c>
      <c r="AQ64" s="436">
        <f t="shared" si="52"/>
        <v>836.46141249999982</v>
      </c>
      <c r="AR64" s="436">
        <f t="shared" si="52"/>
        <v>885.66502499999979</v>
      </c>
      <c r="AS64" s="436">
        <f t="shared" si="52"/>
        <v>934.86863749999986</v>
      </c>
      <c r="AT64" s="436">
        <f t="shared" si="52"/>
        <v>984.07224999999983</v>
      </c>
      <c r="AU64" s="436">
        <f t="shared" si="52"/>
        <v>1033.2758624999999</v>
      </c>
      <c r="AV64" s="436">
        <f t="shared" si="52"/>
        <v>1082.4794749999999</v>
      </c>
      <c r="AW64" s="436">
        <f t="shared" si="52"/>
        <v>1131.6830874999998</v>
      </c>
      <c r="AX64" s="436">
        <f t="shared" si="52"/>
        <v>1180.8866999999998</v>
      </c>
      <c r="AY64" s="436">
        <f t="shared" si="53"/>
        <v>1279.2939249999997</v>
      </c>
      <c r="AZ64" s="436">
        <f t="shared" si="53"/>
        <v>1377.7011499999999</v>
      </c>
      <c r="BA64" s="436">
        <f t="shared" si="53"/>
        <v>1476.1083749999998</v>
      </c>
      <c r="BB64" s="436">
        <f t="shared" si="53"/>
        <v>1574.5155999999997</v>
      </c>
      <c r="BC64" s="436">
        <f t="shared" si="53"/>
        <v>1672.9228249999996</v>
      </c>
      <c r="BD64" s="436">
        <f t="shared" si="53"/>
        <v>1771.3300499999996</v>
      </c>
      <c r="BE64" s="436">
        <f t="shared" si="53"/>
        <v>1869.7372749999997</v>
      </c>
      <c r="BF64" s="436">
        <f t="shared" si="53"/>
        <v>1968.1444999999997</v>
      </c>
      <c r="BG64" s="436">
        <f t="shared" si="53"/>
        <v>2164.9589499999997</v>
      </c>
      <c r="BH64" s="436">
        <f t="shared" si="53"/>
        <v>2361.7733999999996</v>
      </c>
      <c r="BI64" s="436">
        <f t="shared" si="54"/>
        <v>2460.1806249999995</v>
      </c>
      <c r="BJ64" s="436">
        <f t="shared" si="54"/>
        <v>2558.5878499999994</v>
      </c>
      <c r="BK64" s="436">
        <f t="shared" si="54"/>
        <v>2755.4022999999997</v>
      </c>
      <c r="BL64" s="436">
        <f t="shared" si="54"/>
        <v>2952.2167499999996</v>
      </c>
      <c r="BM64" s="436">
        <f t="shared" si="54"/>
        <v>3149.0311999999994</v>
      </c>
      <c r="BN64" s="436">
        <f t="shared" si="54"/>
        <v>3345.8456499999993</v>
      </c>
      <c r="BO64" s="436">
        <f t="shared" si="54"/>
        <v>3444.2528749999992</v>
      </c>
      <c r="BP64" s="436">
        <f t="shared" si="54"/>
        <v>3542.6600999999991</v>
      </c>
      <c r="BQ64" s="436">
        <f t="shared" si="54"/>
        <v>3739.4745499999995</v>
      </c>
      <c r="BR64" s="436">
        <f t="shared" si="54"/>
        <v>3936.2889999999993</v>
      </c>
      <c r="BS64" s="436">
        <f t="shared" si="55"/>
        <v>4428.3251249999994</v>
      </c>
      <c r="BT64" s="436">
        <f t="shared" si="55"/>
        <v>4920.361249999999</v>
      </c>
      <c r="BU64" s="436">
        <f t="shared" si="55"/>
        <v>5412.3973749999986</v>
      </c>
      <c r="BV64" s="436">
        <f t="shared" si="55"/>
        <v>5904.4334999999992</v>
      </c>
      <c r="BW64" s="436">
        <f t="shared" si="55"/>
        <v>6888.5057499999984</v>
      </c>
      <c r="BX64" s="436">
        <f t="shared" si="55"/>
        <v>7872.5779999999986</v>
      </c>
      <c r="BY64" s="436">
        <f t="shared" si="55"/>
        <v>8856.6502499999988</v>
      </c>
      <c r="BZ64" s="436">
        <f t="shared" si="55"/>
        <v>9840.722499999998</v>
      </c>
      <c r="CA64" s="436">
        <f t="shared" si="55"/>
        <v>10824.794749999997</v>
      </c>
      <c r="CB64" s="436">
        <f t="shared" si="55"/>
        <v>11808.866999999998</v>
      </c>
      <c r="CC64" s="436">
        <f t="shared" si="55"/>
        <v>13777.011499999997</v>
      </c>
      <c r="CD64" s="436">
        <f t="shared" si="55"/>
        <v>15745.155999999997</v>
      </c>
      <c r="CE64" s="436">
        <f t="shared" si="55"/>
        <v>17713.300499999998</v>
      </c>
      <c r="CF64" s="436">
        <f t="shared" si="55"/>
        <v>19681.444999999996</v>
      </c>
      <c r="CG64" s="436" cm="1">
        <f t="array" ref="CG64">IF($M665=0, Vide, $M665)</f>
        <v>196.81444999999997</v>
      </c>
      <c r="CH64" s="435" t="s">
        <v>762</v>
      </c>
      <c r="CI64" s="435" t="s">
        <v>762</v>
      </c>
      <c r="CJ64" s="435" t="s">
        <v>762</v>
      </c>
      <c r="CK64" s="435" t="s">
        <v>762</v>
      </c>
      <c r="CL64" s="435" t="s">
        <v>762</v>
      </c>
    </row>
    <row r="65" spans="1:90" s="437" customFormat="1">
      <c r="A65" s="435" t="s">
        <v>573</v>
      </c>
      <c r="B65" s="435" t="s">
        <v>90</v>
      </c>
      <c r="C65" s="436" cm="1">
        <f t="array" ref="C65">IF($B666=0, Vide, $B666)</f>
        <v>34.239524999999993</v>
      </c>
      <c r="D65" s="436" cm="1">
        <f t="array" ref="D65">IF($B666=0, Vide, $B666)</f>
        <v>34.239524999999993</v>
      </c>
      <c r="E65" s="436" cm="1">
        <f t="array" ref="E65">IF($B666=0, Vide, $B666)</f>
        <v>34.239524999999993</v>
      </c>
      <c r="F65" s="436" cm="1">
        <f t="array" ref="F65">IF($B666=0, Vide, $B666)</f>
        <v>34.239524999999993</v>
      </c>
      <c r="G65" s="436" cm="1">
        <f t="array" ref="G65">IF($B666=0, Vide, $B666)</f>
        <v>34.239524999999993</v>
      </c>
      <c r="H65" s="436" cm="1">
        <f t="array" ref="H65">IF($C666=0, Vide, $C666)</f>
        <v>36.500999999999998</v>
      </c>
      <c r="I65" s="436" cm="1">
        <f t="array" ref="I65">IF($C666=0, Vide, $C666)</f>
        <v>36.500999999999998</v>
      </c>
      <c r="J65" s="436" cm="1">
        <f t="array" ref="J65">IF($C666=0, Vide, $C666)</f>
        <v>36.500999999999998</v>
      </c>
      <c r="K65" s="436" cm="1">
        <f t="array" ref="K65">IF($C666=0, Vide, $C666)</f>
        <v>36.500999999999998</v>
      </c>
      <c r="L65" s="436" cm="1">
        <f t="array" ref="L65">IF($C666=0, Vide, $C666)</f>
        <v>36.500999999999998</v>
      </c>
      <c r="M65" s="436" t="s">
        <v>762</v>
      </c>
      <c r="N65" s="436" t="s">
        <v>762</v>
      </c>
      <c r="O65" s="436" t="s">
        <v>762</v>
      </c>
      <c r="P65" s="436" t="s">
        <v>762</v>
      </c>
      <c r="Q65" s="436" t="s">
        <v>762</v>
      </c>
      <c r="R65" s="436" t="s">
        <v>762</v>
      </c>
      <c r="S65" s="436" t="s">
        <v>762</v>
      </c>
      <c r="T65" s="436" t="s">
        <v>762</v>
      </c>
      <c r="U65" s="436" t="s">
        <v>762</v>
      </c>
      <c r="V65" s="436" cm="1">
        <f t="array" ref="V65">IF($D666=0, Vide, $D666)</f>
        <v>40.534624999999991</v>
      </c>
      <c r="W65" s="436" cm="1">
        <f t="array" ref="W65">IF($E666=0, Vide, $E666)</f>
        <v>44.303749999999994</v>
      </c>
      <c r="X65" s="436" cm="1">
        <f t="array" ref="X65">IF($F666=0, Vide, $F666)</f>
        <v>48.601874999999993</v>
      </c>
      <c r="Y65" s="436" cm="1">
        <f t="array" ref="Y65">IF($G666=0, Vide, $G666)</f>
        <v>52.860324999999996</v>
      </c>
      <c r="Z65" s="436" cm="1">
        <f t="array" ref="Z65">IF($H666=0, Vide, $H666)</f>
        <v>57.211349999999989</v>
      </c>
      <c r="AA65" s="436" cm="1">
        <f t="array" ref="AA65">IF($I666=0, Vide, $I666)</f>
        <v>61.535924999999992</v>
      </c>
      <c r="AB65" s="436" cm="1">
        <f t="array" ref="AB65">IF($J666=0, Vide, $J666)</f>
        <v>68.426149999999993</v>
      </c>
      <c r="AC65" s="436" cm="1">
        <f t="array" ref="AC65">IF($K666=0, Vide, $K666)</f>
        <v>75.012199999999993</v>
      </c>
      <c r="AD65" s="436" cm="1">
        <f t="array" ref="AD65">IF($L666=0, Vide, $L666)</f>
        <v>79.349999999999994</v>
      </c>
      <c r="AE65" s="436">
        <f t="shared" si="51"/>
        <v>87.284999999999997</v>
      </c>
      <c r="AF65" s="436">
        <f t="shared" si="51"/>
        <v>99.1875</v>
      </c>
      <c r="AG65" s="436">
        <f t="shared" si="51"/>
        <v>119.02499999999999</v>
      </c>
      <c r="AH65" s="436">
        <f t="shared" si="51"/>
        <v>138.86249999999998</v>
      </c>
      <c r="AI65" s="436">
        <f t="shared" si="51"/>
        <v>159.49349999999998</v>
      </c>
      <c r="AJ65" s="436">
        <f t="shared" si="51"/>
        <v>178.53749999999999</v>
      </c>
      <c r="AK65" s="436">
        <f t="shared" si="51"/>
        <v>198.375</v>
      </c>
      <c r="AL65" s="436">
        <f t="shared" si="51"/>
        <v>238.84349999999998</v>
      </c>
      <c r="AM65" s="436">
        <f t="shared" si="51"/>
        <v>257.88749999999999</v>
      </c>
      <c r="AN65" s="436">
        <f t="shared" si="51"/>
        <v>277.72499999999997</v>
      </c>
      <c r="AO65" s="436">
        <f t="shared" si="52"/>
        <v>297.5625</v>
      </c>
      <c r="AP65" s="436">
        <f t="shared" si="52"/>
        <v>318.19349999999997</v>
      </c>
      <c r="AQ65" s="436">
        <f t="shared" si="52"/>
        <v>337.23749999999995</v>
      </c>
      <c r="AR65" s="436">
        <f t="shared" si="52"/>
        <v>357.07499999999999</v>
      </c>
      <c r="AS65" s="436">
        <f t="shared" si="52"/>
        <v>376.91249999999997</v>
      </c>
      <c r="AT65" s="436">
        <f t="shared" si="52"/>
        <v>396.75</v>
      </c>
      <c r="AU65" s="436">
        <f t="shared" si="52"/>
        <v>416.58749999999998</v>
      </c>
      <c r="AV65" s="436">
        <f t="shared" si="52"/>
        <v>436.42499999999995</v>
      </c>
      <c r="AW65" s="436">
        <f t="shared" si="52"/>
        <v>456.26249999999999</v>
      </c>
      <c r="AX65" s="436">
        <f t="shared" si="52"/>
        <v>476.09999999999997</v>
      </c>
      <c r="AY65" s="436">
        <f t="shared" si="53"/>
        <v>515.77499999999998</v>
      </c>
      <c r="AZ65" s="436">
        <f t="shared" si="53"/>
        <v>555.44999999999993</v>
      </c>
      <c r="BA65" s="436">
        <f t="shared" si="53"/>
        <v>595.125</v>
      </c>
      <c r="BB65" s="436">
        <f t="shared" si="53"/>
        <v>634.79999999999995</v>
      </c>
      <c r="BC65" s="436">
        <f t="shared" si="53"/>
        <v>674.47499999999991</v>
      </c>
      <c r="BD65" s="436">
        <f t="shared" si="53"/>
        <v>714.15</v>
      </c>
      <c r="BE65" s="436">
        <f t="shared" si="53"/>
        <v>753.82499999999993</v>
      </c>
      <c r="BF65" s="436">
        <f t="shared" si="53"/>
        <v>793.5</v>
      </c>
      <c r="BG65" s="436">
        <f t="shared" si="53"/>
        <v>872.84999999999991</v>
      </c>
      <c r="BH65" s="436">
        <f t="shared" si="53"/>
        <v>952.19999999999993</v>
      </c>
      <c r="BI65" s="436">
        <f t="shared" si="54"/>
        <v>991.87499999999989</v>
      </c>
      <c r="BJ65" s="436">
        <f t="shared" si="54"/>
        <v>1031.55</v>
      </c>
      <c r="BK65" s="436">
        <f t="shared" si="54"/>
        <v>1110.8999999999999</v>
      </c>
      <c r="BL65" s="436">
        <f t="shared" si="54"/>
        <v>1190.25</v>
      </c>
      <c r="BM65" s="436">
        <f t="shared" si="54"/>
        <v>1269.5999999999999</v>
      </c>
      <c r="BN65" s="436">
        <f t="shared" si="54"/>
        <v>1348.9499999999998</v>
      </c>
      <c r="BO65" s="436">
        <f t="shared" si="54"/>
        <v>1388.625</v>
      </c>
      <c r="BP65" s="436">
        <f t="shared" si="54"/>
        <v>1428.3</v>
      </c>
      <c r="BQ65" s="436">
        <f t="shared" si="54"/>
        <v>1507.6499999999999</v>
      </c>
      <c r="BR65" s="436">
        <f t="shared" si="54"/>
        <v>1587</v>
      </c>
      <c r="BS65" s="436">
        <f t="shared" si="55"/>
        <v>1785.3749999999998</v>
      </c>
      <c r="BT65" s="436">
        <f t="shared" si="55"/>
        <v>1983.7499999999998</v>
      </c>
      <c r="BU65" s="436">
        <f t="shared" si="55"/>
        <v>2182.125</v>
      </c>
      <c r="BV65" s="436">
        <f t="shared" si="55"/>
        <v>2380.5</v>
      </c>
      <c r="BW65" s="436">
        <f t="shared" si="55"/>
        <v>2777.25</v>
      </c>
      <c r="BX65" s="436">
        <f t="shared" si="55"/>
        <v>3174</v>
      </c>
      <c r="BY65" s="436">
        <f t="shared" si="55"/>
        <v>3570.7499999999995</v>
      </c>
      <c r="BZ65" s="436">
        <f t="shared" si="55"/>
        <v>3967.4999999999995</v>
      </c>
      <c r="CA65" s="436">
        <f t="shared" si="55"/>
        <v>4364.25</v>
      </c>
      <c r="CB65" s="436">
        <f t="shared" si="55"/>
        <v>4761</v>
      </c>
      <c r="CC65" s="436">
        <f t="shared" si="55"/>
        <v>5554.5</v>
      </c>
      <c r="CD65" s="436">
        <f t="shared" si="55"/>
        <v>6348</v>
      </c>
      <c r="CE65" s="436">
        <f t="shared" si="55"/>
        <v>7141.4999999999991</v>
      </c>
      <c r="CF65" s="436">
        <f t="shared" si="55"/>
        <v>7934.9999999999991</v>
      </c>
      <c r="CG65" s="436" cm="1">
        <f t="array" ref="CG65">IF($M666=0, Vide, $M666)</f>
        <v>79.349999999999994</v>
      </c>
      <c r="CH65" s="435" t="s">
        <v>762</v>
      </c>
      <c r="CI65" s="435" t="s">
        <v>762</v>
      </c>
      <c r="CJ65" s="435" t="s">
        <v>762</v>
      </c>
      <c r="CK65" s="435" t="s">
        <v>762</v>
      </c>
      <c r="CL65" s="435" t="s">
        <v>762</v>
      </c>
    </row>
    <row r="66" spans="1:90" s="437" customFormat="1">
      <c r="A66" s="435" t="s">
        <v>574</v>
      </c>
      <c r="B66" s="435" t="s">
        <v>90</v>
      </c>
      <c r="C66" s="436" cm="1">
        <f t="array" ref="C66">IF($B667=0, Vide, $B667)</f>
        <v>40.203999999999986</v>
      </c>
      <c r="D66" s="436" cm="1">
        <f t="array" ref="D66">IF($B667=0, Vide, $B667)</f>
        <v>40.203999999999986</v>
      </c>
      <c r="E66" s="436" cm="1">
        <f t="array" ref="E66">IF($B667=0, Vide, $B667)</f>
        <v>40.203999999999986</v>
      </c>
      <c r="F66" s="436" cm="1">
        <f t="array" ref="F66">IF($B667=0, Vide, $B667)</f>
        <v>40.203999999999986</v>
      </c>
      <c r="G66" s="436" cm="1">
        <f t="array" ref="G66">IF($B667=0, Vide, $B667)</f>
        <v>40.203999999999986</v>
      </c>
      <c r="H66" s="436" cm="1">
        <f t="array" ref="H66">IF($C667=0, Vide, $C667)</f>
        <v>47.477749999999993</v>
      </c>
      <c r="I66" s="436" cm="1">
        <f t="array" ref="I66">IF($C667=0, Vide, $C667)</f>
        <v>47.477749999999993</v>
      </c>
      <c r="J66" s="436" cm="1">
        <f t="array" ref="J66">IF($C667=0, Vide, $C667)</f>
        <v>47.477749999999993</v>
      </c>
      <c r="K66" s="436" cm="1">
        <f t="array" ref="K66">IF($C667=0, Vide, $C667)</f>
        <v>47.477749999999993</v>
      </c>
      <c r="L66" s="436" cm="1">
        <f t="array" ref="L66">IF($C667=0, Vide, $C667)</f>
        <v>47.477749999999993</v>
      </c>
      <c r="M66" s="436" t="s">
        <v>762</v>
      </c>
      <c r="N66" s="436" t="s">
        <v>762</v>
      </c>
      <c r="O66" s="436" t="s">
        <v>762</v>
      </c>
      <c r="P66" s="436" t="s">
        <v>762</v>
      </c>
      <c r="Q66" s="436" t="s">
        <v>762</v>
      </c>
      <c r="R66" s="436" t="s">
        <v>762</v>
      </c>
      <c r="S66" s="436" t="s">
        <v>762</v>
      </c>
      <c r="T66" s="436" t="s">
        <v>762</v>
      </c>
      <c r="U66" s="436" t="s">
        <v>762</v>
      </c>
      <c r="V66" s="436" cm="1">
        <f t="array" ref="V66">IF($D667=0, Vide, $D667)</f>
        <v>63.215499999999984</v>
      </c>
      <c r="W66" s="436" cm="1">
        <f t="array" ref="W66">IF($E667=0, Vide, $E667)</f>
        <v>75.871824999999987</v>
      </c>
      <c r="X66" s="436" cm="1">
        <f t="array" ref="X66">IF($F667=0, Vide, $F667)</f>
        <v>91.71537499999998</v>
      </c>
      <c r="Y66" s="436" cm="1">
        <f t="array" ref="Y66">IF($G667=0, Vide, $G667)</f>
        <v>107.50602499999999</v>
      </c>
      <c r="Z66" s="436" cm="1">
        <f t="array" ref="Z66">IF($H667=0, Vide, $H667)</f>
        <v>123.56117499999999</v>
      </c>
      <c r="AA66" s="436" cm="1">
        <f t="array" ref="AA66">IF($I667=0, Vide, $I667)</f>
        <v>140.2379</v>
      </c>
      <c r="AB66" s="436" cm="1">
        <f t="array" ref="AB66">IF($J667=0, Vide, $J667)</f>
        <v>157.16589999999999</v>
      </c>
      <c r="AC66" s="436" cm="1">
        <f t="array" ref="AC66">IF($K667=0, Vide, $K667)</f>
        <v>174.12034999999997</v>
      </c>
      <c r="AD66" s="436" cm="1">
        <f t="array" ref="AD66">IF($L667=0, Vide, $L667)</f>
        <v>196.81444999999997</v>
      </c>
      <c r="AE66" s="436">
        <f t="shared" si="51"/>
        <v>216.49589499999999</v>
      </c>
      <c r="AF66" s="436">
        <f t="shared" si="51"/>
        <v>246.01806249999996</v>
      </c>
      <c r="AG66" s="436">
        <f t="shared" si="51"/>
        <v>295.22167499999995</v>
      </c>
      <c r="AH66" s="436">
        <f t="shared" si="51"/>
        <v>344.42528749999997</v>
      </c>
      <c r="AI66" s="436">
        <f t="shared" si="51"/>
        <v>395.59704449999987</v>
      </c>
      <c r="AJ66" s="436">
        <f t="shared" si="51"/>
        <v>442.83251249999989</v>
      </c>
      <c r="AK66" s="436">
        <f t="shared" si="51"/>
        <v>492.03612499999991</v>
      </c>
      <c r="AL66" s="436">
        <f t="shared" si="51"/>
        <v>592.41149449999989</v>
      </c>
      <c r="AM66" s="436">
        <f t="shared" si="51"/>
        <v>639.64696249999986</v>
      </c>
      <c r="AN66" s="436">
        <f t="shared" si="51"/>
        <v>688.85057499999994</v>
      </c>
      <c r="AO66" s="436">
        <f t="shared" si="52"/>
        <v>738.0541874999999</v>
      </c>
      <c r="AP66" s="436">
        <f t="shared" si="52"/>
        <v>789.22594449999985</v>
      </c>
      <c r="AQ66" s="436">
        <f t="shared" si="52"/>
        <v>836.46141249999982</v>
      </c>
      <c r="AR66" s="436">
        <f t="shared" si="52"/>
        <v>885.66502499999979</v>
      </c>
      <c r="AS66" s="436">
        <f t="shared" si="52"/>
        <v>934.86863749999986</v>
      </c>
      <c r="AT66" s="436">
        <f t="shared" si="52"/>
        <v>984.07224999999983</v>
      </c>
      <c r="AU66" s="436">
        <f t="shared" si="52"/>
        <v>1033.2758624999999</v>
      </c>
      <c r="AV66" s="436">
        <f t="shared" si="52"/>
        <v>1082.4794749999999</v>
      </c>
      <c r="AW66" s="436">
        <f t="shared" si="52"/>
        <v>1131.6830874999998</v>
      </c>
      <c r="AX66" s="436">
        <f t="shared" si="52"/>
        <v>1180.8866999999998</v>
      </c>
      <c r="AY66" s="436">
        <f t="shared" si="53"/>
        <v>1279.2939249999997</v>
      </c>
      <c r="AZ66" s="436">
        <f t="shared" si="53"/>
        <v>1377.7011499999999</v>
      </c>
      <c r="BA66" s="436">
        <f t="shared" si="53"/>
        <v>1476.1083749999998</v>
      </c>
      <c r="BB66" s="436">
        <f t="shared" si="53"/>
        <v>1574.5155999999997</v>
      </c>
      <c r="BC66" s="436">
        <f t="shared" si="53"/>
        <v>1672.9228249999996</v>
      </c>
      <c r="BD66" s="436">
        <f t="shared" si="53"/>
        <v>1771.3300499999996</v>
      </c>
      <c r="BE66" s="436">
        <f t="shared" si="53"/>
        <v>1869.7372749999997</v>
      </c>
      <c r="BF66" s="436">
        <f t="shared" si="53"/>
        <v>1968.1444999999997</v>
      </c>
      <c r="BG66" s="436">
        <f t="shared" si="53"/>
        <v>2164.9589499999997</v>
      </c>
      <c r="BH66" s="436">
        <f t="shared" si="53"/>
        <v>2361.7733999999996</v>
      </c>
      <c r="BI66" s="436">
        <f t="shared" si="54"/>
        <v>2460.1806249999995</v>
      </c>
      <c r="BJ66" s="436">
        <f t="shared" si="54"/>
        <v>2558.5878499999994</v>
      </c>
      <c r="BK66" s="436">
        <f t="shared" si="54"/>
        <v>2755.4022999999997</v>
      </c>
      <c r="BL66" s="436">
        <f t="shared" si="54"/>
        <v>2952.2167499999996</v>
      </c>
      <c r="BM66" s="436">
        <f t="shared" si="54"/>
        <v>3149.0311999999994</v>
      </c>
      <c r="BN66" s="436">
        <f t="shared" si="54"/>
        <v>3345.8456499999993</v>
      </c>
      <c r="BO66" s="436">
        <f t="shared" si="54"/>
        <v>3444.2528749999992</v>
      </c>
      <c r="BP66" s="436">
        <f t="shared" si="54"/>
        <v>3542.6600999999991</v>
      </c>
      <c r="BQ66" s="436">
        <f t="shared" si="54"/>
        <v>3739.4745499999995</v>
      </c>
      <c r="BR66" s="436">
        <f t="shared" si="54"/>
        <v>3936.2889999999993</v>
      </c>
      <c r="BS66" s="436">
        <f t="shared" si="55"/>
        <v>4428.3251249999994</v>
      </c>
      <c r="BT66" s="436">
        <f t="shared" si="55"/>
        <v>4920.361249999999</v>
      </c>
      <c r="BU66" s="436">
        <f t="shared" si="55"/>
        <v>5412.3973749999986</v>
      </c>
      <c r="BV66" s="436">
        <f t="shared" si="55"/>
        <v>5904.4334999999992</v>
      </c>
      <c r="BW66" s="436">
        <f t="shared" si="55"/>
        <v>6888.5057499999984</v>
      </c>
      <c r="BX66" s="436">
        <f t="shared" si="55"/>
        <v>7872.5779999999986</v>
      </c>
      <c r="BY66" s="436">
        <f t="shared" si="55"/>
        <v>8856.6502499999988</v>
      </c>
      <c r="BZ66" s="436">
        <f t="shared" si="55"/>
        <v>9840.722499999998</v>
      </c>
      <c r="CA66" s="436">
        <f t="shared" si="55"/>
        <v>10824.794749999997</v>
      </c>
      <c r="CB66" s="436">
        <f t="shared" si="55"/>
        <v>11808.866999999998</v>
      </c>
      <c r="CC66" s="436">
        <f t="shared" si="55"/>
        <v>13777.011499999997</v>
      </c>
      <c r="CD66" s="436">
        <f t="shared" si="55"/>
        <v>15745.155999999997</v>
      </c>
      <c r="CE66" s="436">
        <f t="shared" si="55"/>
        <v>17713.300499999998</v>
      </c>
      <c r="CF66" s="436">
        <f t="shared" si="55"/>
        <v>19681.444999999996</v>
      </c>
      <c r="CG66" s="436" cm="1">
        <f t="array" ref="CG66">IF($M667=0, Vide, $M667)</f>
        <v>196.81444999999997</v>
      </c>
      <c r="CH66" s="435" t="s">
        <v>762</v>
      </c>
      <c r="CI66" s="435" t="s">
        <v>762</v>
      </c>
      <c r="CJ66" s="435" t="s">
        <v>762</v>
      </c>
      <c r="CK66" s="435" t="s">
        <v>762</v>
      </c>
      <c r="CL66" s="435" t="s">
        <v>762</v>
      </c>
    </row>
    <row r="67" spans="1:90" s="437" customFormat="1">
      <c r="A67" s="435" t="s">
        <v>575</v>
      </c>
      <c r="B67" s="435" t="s">
        <v>90</v>
      </c>
      <c r="C67" s="436" cm="1">
        <f t="array" ref="C67">IF($B668=0, Vide, $B668)</f>
        <v>40.203999999999986</v>
      </c>
      <c r="D67" s="436" cm="1">
        <f t="array" ref="D67">IF($B668=0, Vide, $B668)</f>
        <v>40.203999999999986</v>
      </c>
      <c r="E67" s="436" cm="1">
        <f t="array" ref="E67">IF($B668=0, Vide, $B668)</f>
        <v>40.203999999999986</v>
      </c>
      <c r="F67" s="436" cm="1">
        <f t="array" ref="F67">IF($B668=0, Vide, $B668)</f>
        <v>40.203999999999986</v>
      </c>
      <c r="G67" s="436" cm="1">
        <f t="array" ref="G67">IF($B668=0, Vide, $B668)</f>
        <v>40.203999999999986</v>
      </c>
      <c r="H67" s="436" cm="1">
        <f t="array" ref="H67">IF($C668=0, Vide, $C668)</f>
        <v>47.477749999999993</v>
      </c>
      <c r="I67" s="436" cm="1">
        <f t="array" ref="I67">IF($C668=0, Vide, $C668)</f>
        <v>47.477749999999993</v>
      </c>
      <c r="J67" s="436" cm="1">
        <f t="array" ref="J67">IF($C668=0, Vide, $C668)</f>
        <v>47.477749999999993</v>
      </c>
      <c r="K67" s="436" cm="1">
        <f t="array" ref="K67">IF($C668=0, Vide, $C668)</f>
        <v>47.477749999999993</v>
      </c>
      <c r="L67" s="436" cm="1">
        <f t="array" ref="L67">IF($C668=0, Vide, $C668)</f>
        <v>47.477749999999993</v>
      </c>
      <c r="M67" s="436" t="s">
        <v>762</v>
      </c>
      <c r="N67" s="436" t="s">
        <v>762</v>
      </c>
      <c r="O67" s="436" t="s">
        <v>762</v>
      </c>
      <c r="P67" s="436" t="s">
        <v>762</v>
      </c>
      <c r="Q67" s="436" t="s">
        <v>762</v>
      </c>
      <c r="R67" s="436" t="s">
        <v>762</v>
      </c>
      <c r="S67" s="436" t="s">
        <v>762</v>
      </c>
      <c r="T67" s="436" t="s">
        <v>762</v>
      </c>
      <c r="U67" s="436" t="s">
        <v>762</v>
      </c>
      <c r="V67" s="436" cm="1">
        <f t="array" ref="V67">IF($D668=0, Vide, $D668)</f>
        <v>63.215499999999984</v>
      </c>
      <c r="W67" s="436" cm="1">
        <f t="array" ref="W67">IF($E668=0, Vide, $E668)</f>
        <v>75.871824999999987</v>
      </c>
      <c r="X67" s="436" cm="1">
        <f t="array" ref="X67">IF($F668=0, Vide, $F668)</f>
        <v>91.71537499999998</v>
      </c>
      <c r="Y67" s="436" cm="1">
        <f t="array" ref="Y67">IF($G668=0, Vide, $G668)</f>
        <v>107.50602499999999</v>
      </c>
      <c r="Z67" s="436" cm="1">
        <f t="array" ref="Z67">IF($H668=0, Vide, $H668)</f>
        <v>123.56117499999999</v>
      </c>
      <c r="AA67" s="436" cm="1">
        <f t="array" ref="AA67">IF($I668=0, Vide, $I668)</f>
        <v>140.2379</v>
      </c>
      <c r="AB67" s="436" cm="1">
        <f t="array" ref="AB67">IF($J668=0, Vide, $J668)</f>
        <v>157.16589999999999</v>
      </c>
      <c r="AC67" s="436" cm="1">
        <f t="array" ref="AC67">IF($K668=0, Vide, $K668)</f>
        <v>174.12034999999997</v>
      </c>
      <c r="AD67" s="436" cm="1">
        <f t="array" ref="AD67">IF($L668=0, Vide, $L668)</f>
        <v>196.81444999999997</v>
      </c>
      <c r="AE67" s="436">
        <f t="shared" si="51"/>
        <v>216.49589499999999</v>
      </c>
      <c r="AF67" s="436">
        <f t="shared" si="51"/>
        <v>246.01806249999996</v>
      </c>
      <c r="AG67" s="436">
        <f t="shared" si="51"/>
        <v>295.22167499999995</v>
      </c>
      <c r="AH67" s="436">
        <f t="shared" si="51"/>
        <v>344.42528749999997</v>
      </c>
      <c r="AI67" s="436">
        <f t="shared" si="51"/>
        <v>395.59704449999987</v>
      </c>
      <c r="AJ67" s="436">
        <f t="shared" si="51"/>
        <v>442.83251249999989</v>
      </c>
      <c r="AK67" s="436">
        <f t="shared" si="51"/>
        <v>492.03612499999991</v>
      </c>
      <c r="AL67" s="436">
        <f t="shared" si="51"/>
        <v>592.41149449999989</v>
      </c>
      <c r="AM67" s="436">
        <f t="shared" si="51"/>
        <v>639.64696249999986</v>
      </c>
      <c r="AN67" s="436">
        <f t="shared" si="51"/>
        <v>688.85057499999994</v>
      </c>
      <c r="AO67" s="436">
        <f t="shared" si="52"/>
        <v>738.0541874999999</v>
      </c>
      <c r="AP67" s="436">
        <f t="shared" si="52"/>
        <v>789.22594449999985</v>
      </c>
      <c r="AQ67" s="436">
        <f t="shared" si="52"/>
        <v>836.46141249999982</v>
      </c>
      <c r="AR67" s="436">
        <f t="shared" si="52"/>
        <v>885.66502499999979</v>
      </c>
      <c r="AS67" s="436">
        <f t="shared" si="52"/>
        <v>934.86863749999986</v>
      </c>
      <c r="AT67" s="436">
        <f t="shared" si="52"/>
        <v>984.07224999999983</v>
      </c>
      <c r="AU67" s="436">
        <f t="shared" si="52"/>
        <v>1033.2758624999999</v>
      </c>
      <c r="AV67" s="436">
        <f t="shared" si="52"/>
        <v>1082.4794749999999</v>
      </c>
      <c r="AW67" s="436">
        <f t="shared" si="52"/>
        <v>1131.6830874999998</v>
      </c>
      <c r="AX67" s="436">
        <f t="shared" si="52"/>
        <v>1180.8866999999998</v>
      </c>
      <c r="AY67" s="436">
        <f t="shared" si="53"/>
        <v>1279.2939249999997</v>
      </c>
      <c r="AZ67" s="436">
        <f t="shared" si="53"/>
        <v>1377.7011499999999</v>
      </c>
      <c r="BA67" s="436">
        <f t="shared" si="53"/>
        <v>1476.1083749999998</v>
      </c>
      <c r="BB67" s="436">
        <f t="shared" si="53"/>
        <v>1574.5155999999997</v>
      </c>
      <c r="BC67" s="436">
        <f t="shared" si="53"/>
        <v>1672.9228249999996</v>
      </c>
      <c r="BD67" s="436">
        <f t="shared" si="53"/>
        <v>1771.3300499999996</v>
      </c>
      <c r="BE67" s="436">
        <f t="shared" si="53"/>
        <v>1869.7372749999997</v>
      </c>
      <c r="BF67" s="436">
        <f t="shared" si="53"/>
        <v>1968.1444999999997</v>
      </c>
      <c r="BG67" s="436">
        <f t="shared" si="53"/>
        <v>2164.9589499999997</v>
      </c>
      <c r="BH67" s="436">
        <f t="shared" si="53"/>
        <v>2361.7733999999996</v>
      </c>
      <c r="BI67" s="436">
        <f t="shared" si="54"/>
        <v>2460.1806249999995</v>
      </c>
      <c r="BJ67" s="436">
        <f t="shared" si="54"/>
        <v>2558.5878499999994</v>
      </c>
      <c r="BK67" s="436">
        <f t="shared" si="54"/>
        <v>2755.4022999999997</v>
      </c>
      <c r="BL67" s="436">
        <f t="shared" si="54"/>
        <v>2952.2167499999996</v>
      </c>
      <c r="BM67" s="436">
        <f t="shared" si="54"/>
        <v>3149.0311999999994</v>
      </c>
      <c r="BN67" s="436">
        <f t="shared" si="54"/>
        <v>3345.8456499999993</v>
      </c>
      <c r="BO67" s="436">
        <f t="shared" si="54"/>
        <v>3444.2528749999992</v>
      </c>
      <c r="BP67" s="436">
        <f t="shared" si="54"/>
        <v>3542.6600999999991</v>
      </c>
      <c r="BQ67" s="436">
        <f t="shared" si="54"/>
        <v>3739.4745499999995</v>
      </c>
      <c r="BR67" s="436">
        <f t="shared" si="54"/>
        <v>3936.2889999999993</v>
      </c>
      <c r="BS67" s="436">
        <f t="shared" si="55"/>
        <v>4428.3251249999994</v>
      </c>
      <c r="BT67" s="436">
        <f t="shared" si="55"/>
        <v>4920.361249999999</v>
      </c>
      <c r="BU67" s="436">
        <f t="shared" si="55"/>
        <v>5412.3973749999986</v>
      </c>
      <c r="BV67" s="436">
        <f t="shared" si="55"/>
        <v>5904.4334999999992</v>
      </c>
      <c r="BW67" s="436">
        <f t="shared" si="55"/>
        <v>6888.5057499999984</v>
      </c>
      <c r="BX67" s="436">
        <f t="shared" si="55"/>
        <v>7872.5779999999986</v>
      </c>
      <c r="BY67" s="436">
        <f t="shared" si="55"/>
        <v>8856.6502499999988</v>
      </c>
      <c r="BZ67" s="436">
        <f t="shared" si="55"/>
        <v>9840.722499999998</v>
      </c>
      <c r="CA67" s="436">
        <f t="shared" si="55"/>
        <v>10824.794749999997</v>
      </c>
      <c r="CB67" s="436">
        <f t="shared" si="55"/>
        <v>11808.866999999998</v>
      </c>
      <c r="CC67" s="436">
        <f t="shared" si="55"/>
        <v>13777.011499999997</v>
      </c>
      <c r="CD67" s="436">
        <f t="shared" si="55"/>
        <v>15745.155999999997</v>
      </c>
      <c r="CE67" s="436">
        <f t="shared" si="55"/>
        <v>17713.300499999998</v>
      </c>
      <c r="CF67" s="436">
        <f t="shared" si="55"/>
        <v>19681.444999999996</v>
      </c>
      <c r="CG67" s="436" cm="1">
        <f t="array" ref="CG67">IF($M668=0, Vide, $M668)</f>
        <v>196.81444999999997</v>
      </c>
      <c r="CH67" s="435" t="s">
        <v>762</v>
      </c>
      <c r="CI67" s="435" t="s">
        <v>762</v>
      </c>
      <c r="CJ67" s="435" t="s">
        <v>762</v>
      </c>
      <c r="CK67" s="435" t="s">
        <v>762</v>
      </c>
      <c r="CL67" s="435" t="s">
        <v>762</v>
      </c>
    </row>
    <row r="68" spans="1:90" s="437" customFormat="1">
      <c r="A68" s="435" t="s">
        <v>576</v>
      </c>
      <c r="B68" s="435" t="s">
        <v>90</v>
      </c>
      <c r="C68" s="436" cm="1">
        <f t="array" ref="C68">IF($B669=0, Vide, $B669)</f>
        <v>34.239524999999993</v>
      </c>
      <c r="D68" s="436" cm="1">
        <f t="array" ref="D68">IF($B669=0, Vide, $B669)</f>
        <v>34.239524999999993</v>
      </c>
      <c r="E68" s="436" cm="1">
        <f t="array" ref="E68">IF($B669=0, Vide, $B669)</f>
        <v>34.239524999999993</v>
      </c>
      <c r="F68" s="436" cm="1">
        <f t="array" ref="F68">IF($B669=0, Vide, $B669)</f>
        <v>34.239524999999993</v>
      </c>
      <c r="G68" s="436" cm="1">
        <f t="array" ref="G68">IF($B669=0, Vide, $B669)</f>
        <v>34.239524999999993</v>
      </c>
      <c r="H68" s="436" cm="1">
        <f t="array" ref="H68">IF($C669=0, Vide, $C669)</f>
        <v>36.500999999999998</v>
      </c>
      <c r="I68" s="436" cm="1">
        <f t="array" ref="I68">IF($C669=0, Vide, $C669)</f>
        <v>36.500999999999998</v>
      </c>
      <c r="J68" s="436" cm="1">
        <f t="array" ref="J68">IF($C669=0, Vide, $C669)</f>
        <v>36.500999999999998</v>
      </c>
      <c r="K68" s="436" cm="1">
        <f t="array" ref="K68">IF($C669=0, Vide, $C669)</f>
        <v>36.500999999999998</v>
      </c>
      <c r="L68" s="436" cm="1">
        <f t="array" ref="L68">IF($C669=0, Vide, $C669)</f>
        <v>36.500999999999998</v>
      </c>
      <c r="M68" s="436" t="s">
        <v>762</v>
      </c>
      <c r="N68" s="436" t="s">
        <v>762</v>
      </c>
      <c r="O68" s="436" t="s">
        <v>762</v>
      </c>
      <c r="P68" s="436" t="s">
        <v>762</v>
      </c>
      <c r="Q68" s="436" t="s">
        <v>762</v>
      </c>
      <c r="R68" s="436" t="s">
        <v>762</v>
      </c>
      <c r="S68" s="436" t="s">
        <v>762</v>
      </c>
      <c r="T68" s="436" t="s">
        <v>762</v>
      </c>
      <c r="U68" s="436" t="s">
        <v>762</v>
      </c>
      <c r="V68" s="436" cm="1">
        <f t="array" ref="V68">IF($D669=0, Vide, $D669)</f>
        <v>40.534624999999991</v>
      </c>
      <c r="W68" s="436" cm="1">
        <f t="array" ref="W68">IF($E669=0, Vide, $E669)</f>
        <v>44.303749999999994</v>
      </c>
      <c r="X68" s="436" cm="1">
        <f t="array" ref="X68">IF($F669=0, Vide, $F669)</f>
        <v>48.601874999999993</v>
      </c>
      <c r="Y68" s="436" cm="1">
        <f t="array" ref="Y68">IF($G669=0, Vide, $G669)</f>
        <v>52.860324999999996</v>
      </c>
      <c r="Z68" s="436" cm="1">
        <f t="array" ref="Z68">IF($H669=0, Vide, $H669)</f>
        <v>57.211349999999989</v>
      </c>
      <c r="AA68" s="436" cm="1">
        <f t="array" ref="AA68">IF($I669=0, Vide, $I669)</f>
        <v>61.535924999999992</v>
      </c>
      <c r="AB68" s="436" cm="1">
        <f t="array" ref="AB68">IF($J669=0, Vide, $J669)</f>
        <v>68.426149999999993</v>
      </c>
      <c r="AC68" s="436" cm="1">
        <f t="array" ref="AC68">IF($K669=0, Vide, $K669)</f>
        <v>75.012199999999993</v>
      </c>
      <c r="AD68" s="436" cm="1">
        <f t="array" ref="AD68">IF($L669=0, Vide, $L669)</f>
        <v>79.349999999999994</v>
      </c>
      <c r="AE68" s="436">
        <f t="shared" si="51"/>
        <v>87.284999999999997</v>
      </c>
      <c r="AF68" s="436">
        <f t="shared" si="51"/>
        <v>99.1875</v>
      </c>
      <c r="AG68" s="436">
        <f t="shared" si="51"/>
        <v>119.02499999999999</v>
      </c>
      <c r="AH68" s="436">
        <f t="shared" si="51"/>
        <v>138.86249999999998</v>
      </c>
      <c r="AI68" s="436">
        <f t="shared" si="51"/>
        <v>159.49349999999998</v>
      </c>
      <c r="AJ68" s="436">
        <f t="shared" si="51"/>
        <v>178.53749999999999</v>
      </c>
      <c r="AK68" s="436">
        <f t="shared" si="51"/>
        <v>198.375</v>
      </c>
      <c r="AL68" s="436">
        <f t="shared" si="51"/>
        <v>238.84349999999998</v>
      </c>
      <c r="AM68" s="436">
        <f t="shared" si="51"/>
        <v>257.88749999999999</v>
      </c>
      <c r="AN68" s="436">
        <f t="shared" si="51"/>
        <v>277.72499999999997</v>
      </c>
      <c r="AO68" s="436">
        <f t="shared" si="52"/>
        <v>297.5625</v>
      </c>
      <c r="AP68" s="436">
        <f t="shared" si="52"/>
        <v>318.19349999999997</v>
      </c>
      <c r="AQ68" s="436">
        <f t="shared" si="52"/>
        <v>337.23749999999995</v>
      </c>
      <c r="AR68" s="436">
        <f t="shared" si="52"/>
        <v>357.07499999999999</v>
      </c>
      <c r="AS68" s="436">
        <f t="shared" si="52"/>
        <v>376.91249999999997</v>
      </c>
      <c r="AT68" s="436">
        <f t="shared" si="52"/>
        <v>396.75</v>
      </c>
      <c r="AU68" s="436">
        <f t="shared" si="52"/>
        <v>416.58749999999998</v>
      </c>
      <c r="AV68" s="436">
        <f t="shared" si="52"/>
        <v>436.42499999999995</v>
      </c>
      <c r="AW68" s="436">
        <f t="shared" si="52"/>
        <v>456.26249999999999</v>
      </c>
      <c r="AX68" s="436">
        <f t="shared" si="52"/>
        <v>476.09999999999997</v>
      </c>
      <c r="AY68" s="436">
        <f t="shared" si="53"/>
        <v>515.77499999999998</v>
      </c>
      <c r="AZ68" s="436">
        <f t="shared" si="53"/>
        <v>555.44999999999993</v>
      </c>
      <c r="BA68" s="436">
        <f t="shared" si="53"/>
        <v>595.125</v>
      </c>
      <c r="BB68" s="436">
        <f t="shared" si="53"/>
        <v>634.79999999999995</v>
      </c>
      <c r="BC68" s="436">
        <f t="shared" si="53"/>
        <v>674.47499999999991</v>
      </c>
      <c r="BD68" s="436">
        <f t="shared" si="53"/>
        <v>714.15</v>
      </c>
      <c r="BE68" s="436">
        <f t="shared" si="53"/>
        <v>753.82499999999993</v>
      </c>
      <c r="BF68" s="436">
        <f t="shared" si="53"/>
        <v>793.5</v>
      </c>
      <c r="BG68" s="436">
        <f t="shared" si="53"/>
        <v>872.84999999999991</v>
      </c>
      <c r="BH68" s="436">
        <f t="shared" si="53"/>
        <v>952.19999999999993</v>
      </c>
      <c r="BI68" s="436">
        <f t="shared" si="54"/>
        <v>991.87499999999989</v>
      </c>
      <c r="BJ68" s="436">
        <f t="shared" si="54"/>
        <v>1031.55</v>
      </c>
      <c r="BK68" s="436">
        <f t="shared" si="54"/>
        <v>1110.8999999999999</v>
      </c>
      <c r="BL68" s="436">
        <f t="shared" si="54"/>
        <v>1190.25</v>
      </c>
      <c r="BM68" s="436">
        <f t="shared" si="54"/>
        <v>1269.5999999999999</v>
      </c>
      <c r="BN68" s="436">
        <f t="shared" si="54"/>
        <v>1348.9499999999998</v>
      </c>
      <c r="BO68" s="436">
        <f t="shared" si="54"/>
        <v>1388.625</v>
      </c>
      <c r="BP68" s="436">
        <f t="shared" si="54"/>
        <v>1428.3</v>
      </c>
      <c r="BQ68" s="436">
        <f t="shared" si="54"/>
        <v>1507.6499999999999</v>
      </c>
      <c r="BR68" s="436">
        <f t="shared" si="54"/>
        <v>1587</v>
      </c>
      <c r="BS68" s="436">
        <f t="shared" si="55"/>
        <v>1785.3749999999998</v>
      </c>
      <c r="BT68" s="436">
        <f t="shared" si="55"/>
        <v>1983.7499999999998</v>
      </c>
      <c r="BU68" s="436">
        <f t="shared" si="55"/>
        <v>2182.125</v>
      </c>
      <c r="BV68" s="436">
        <f t="shared" si="55"/>
        <v>2380.5</v>
      </c>
      <c r="BW68" s="436">
        <f t="shared" si="55"/>
        <v>2777.25</v>
      </c>
      <c r="BX68" s="436">
        <f t="shared" si="55"/>
        <v>3174</v>
      </c>
      <c r="BY68" s="436">
        <f t="shared" si="55"/>
        <v>3570.7499999999995</v>
      </c>
      <c r="BZ68" s="436">
        <f t="shared" si="55"/>
        <v>3967.4999999999995</v>
      </c>
      <c r="CA68" s="436">
        <f t="shared" si="55"/>
        <v>4364.25</v>
      </c>
      <c r="CB68" s="436">
        <f t="shared" si="55"/>
        <v>4761</v>
      </c>
      <c r="CC68" s="436">
        <f t="shared" si="55"/>
        <v>5554.5</v>
      </c>
      <c r="CD68" s="436">
        <f t="shared" si="55"/>
        <v>6348</v>
      </c>
      <c r="CE68" s="436">
        <f t="shared" si="55"/>
        <v>7141.4999999999991</v>
      </c>
      <c r="CF68" s="436">
        <f t="shared" si="55"/>
        <v>7934.9999999999991</v>
      </c>
      <c r="CG68" s="436" cm="1">
        <f t="array" ref="CG68">IF($M669=0, Vide, $M669)</f>
        <v>79.349999999999994</v>
      </c>
      <c r="CH68" s="435" t="s">
        <v>762</v>
      </c>
      <c r="CI68" s="435" t="s">
        <v>762</v>
      </c>
      <c r="CJ68" s="435" t="s">
        <v>762</v>
      </c>
      <c r="CK68" s="435" t="s">
        <v>762</v>
      </c>
      <c r="CL68" s="435" t="s">
        <v>762</v>
      </c>
    </row>
    <row r="69" spans="1:90" s="437" customFormat="1">
      <c r="A69" s="435" t="s">
        <v>577</v>
      </c>
      <c r="B69" s="435" t="s">
        <v>90</v>
      </c>
      <c r="C69" s="436" t="s">
        <v>762</v>
      </c>
      <c r="D69" s="436" t="s">
        <v>762</v>
      </c>
      <c r="E69" s="436" t="s">
        <v>762</v>
      </c>
      <c r="F69" s="436" t="s">
        <v>762</v>
      </c>
      <c r="G69" s="436" t="s">
        <v>762</v>
      </c>
      <c r="H69" s="436" t="s">
        <v>762</v>
      </c>
      <c r="I69" s="436" t="s">
        <v>762</v>
      </c>
      <c r="J69" s="436" t="s">
        <v>762</v>
      </c>
      <c r="K69" s="436" t="s">
        <v>762</v>
      </c>
      <c r="L69" s="436" t="s">
        <v>762</v>
      </c>
      <c r="M69" s="436" t="s">
        <v>762</v>
      </c>
      <c r="N69" s="436" t="s">
        <v>762</v>
      </c>
      <c r="O69" s="436" t="s">
        <v>762</v>
      </c>
      <c r="P69" s="436" t="s">
        <v>762</v>
      </c>
      <c r="Q69" s="436" t="s">
        <v>762</v>
      </c>
      <c r="R69" s="436" t="s">
        <v>762</v>
      </c>
      <c r="S69" s="436" t="s">
        <v>762</v>
      </c>
      <c r="T69" s="436" t="s">
        <v>762</v>
      </c>
      <c r="U69" s="436" t="s">
        <v>762</v>
      </c>
      <c r="V69" s="436" t="s">
        <v>762</v>
      </c>
      <c r="W69" s="436" t="s">
        <v>762</v>
      </c>
      <c r="X69" s="436" t="s">
        <v>762</v>
      </c>
      <c r="Y69" s="436" t="s">
        <v>762</v>
      </c>
      <c r="Z69" s="436" t="s">
        <v>762</v>
      </c>
      <c r="AA69" s="436" t="s">
        <v>762</v>
      </c>
      <c r="AB69" s="436" t="s">
        <v>762</v>
      </c>
      <c r="AC69" s="436" t="s">
        <v>762</v>
      </c>
      <c r="AD69" s="436" t="s">
        <v>762</v>
      </c>
      <c r="AE69" s="436" t="s">
        <v>762</v>
      </c>
      <c r="AF69" s="436" t="s">
        <v>762</v>
      </c>
      <c r="AG69" s="436" t="s">
        <v>762</v>
      </c>
      <c r="AH69" s="436" t="s">
        <v>762</v>
      </c>
      <c r="AI69" s="436" t="s">
        <v>762</v>
      </c>
      <c r="AJ69" s="436" t="s">
        <v>762</v>
      </c>
      <c r="AK69" s="436" t="s">
        <v>762</v>
      </c>
      <c r="AL69" s="436" t="s">
        <v>762</v>
      </c>
      <c r="AM69" s="436" t="s">
        <v>762</v>
      </c>
      <c r="AN69" s="436" t="s">
        <v>762</v>
      </c>
      <c r="AO69" s="436" t="s">
        <v>762</v>
      </c>
      <c r="AP69" s="436" t="s">
        <v>762</v>
      </c>
      <c r="AQ69" s="436" t="s">
        <v>762</v>
      </c>
      <c r="AR69" s="436" t="s">
        <v>762</v>
      </c>
      <c r="AS69" s="436" t="s">
        <v>762</v>
      </c>
      <c r="AT69" s="436" t="s">
        <v>762</v>
      </c>
      <c r="AU69" s="436" t="s">
        <v>762</v>
      </c>
      <c r="AV69" s="436" t="s">
        <v>762</v>
      </c>
      <c r="AW69" s="436" t="s">
        <v>762</v>
      </c>
      <c r="AX69" s="436" t="s">
        <v>762</v>
      </c>
      <c r="AY69" s="436" t="s">
        <v>762</v>
      </c>
      <c r="AZ69" s="436" t="s">
        <v>762</v>
      </c>
      <c r="BA69" s="436" t="s">
        <v>762</v>
      </c>
      <c r="BB69" s="436" t="s">
        <v>762</v>
      </c>
      <c r="BC69" s="436" t="s">
        <v>762</v>
      </c>
      <c r="BD69" s="436" t="s">
        <v>762</v>
      </c>
      <c r="BE69" s="436" t="s">
        <v>762</v>
      </c>
      <c r="BF69" s="436" t="s">
        <v>762</v>
      </c>
      <c r="BG69" s="436" t="s">
        <v>762</v>
      </c>
      <c r="BH69" s="436" t="s">
        <v>762</v>
      </c>
      <c r="BI69" s="436" t="s">
        <v>762</v>
      </c>
      <c r="BJ69" s="436" t="s">
        <v>762</v>
      </c>
      <c r="BK69" s="436" t="s">
        <v>762</v>
      </c>
      <c r="BL69" s="436" t="s">
        <v>762</v>
      </c>
      <c r="BM69" s="436" t="s">
        <v>762</v>
      </c>
      <c r="BN69" s="436" t="s">
        <v>762</v>
      </c>
      <c r="BO69" s="436" t="s">
        <v>762</v>
      </c>
      <c r="BP69" s="436" t="s">
        <v>762</v>
      </c>
      <c r="BQ69" s="436" t="s">
        <v>762</v>
      </c>
      <c r="BR69" s="436" t="s">
        <v>762</v>
      </c>
      <c r="BS69" s="436" t="s">
        <v>762</v>
      </c>
      <c r="BT69" s="436" t="s">
        <v>762</v>
      </c>
      <c r="BU69" s="436" t="s">
        <v>762</v>
      </c>
      <c r="BV69" s="436" t="s">
        <v>762</v>
      </c>
      <c r="BW69" s="436" t="s">
        <v>762</v>
      </c>
      <c r="BX69" s="436" t="s">
        <v>762</v>
      </c>
      <c r="BY69" s="436" t="s">
        <v>762</v>
      </c>
      <c r="BZ69" s="436" t="s">
        <v>762</v>
      </c>
      <c r="CA69" s="436" t="s">
        <v>762</v>
      </c>
      <c r="CB69" s="436" t="s">
        <v>762</v>
      </c>
      <c r="CC69" s="436" t="s">
        <v>762</v>
      </c>
      <c r="CD69" s="436" t="s">
        <v>762</v>
      </c>
      <c r="CE69" s="436" t="s">
        <v>762</v>
      </c>
      <c r="CF69" s="436" t="s">
        <v>762</v>
      </c>
      <c r="CG69" s="436" t="s">
        <v>762</v>
      </c>
      <c r="CH69" s="436" t="s">
        <v>762</v>
      </c>
      <c r="CI69" s="436" t="s">
        <v>762</v>
      </c>
      <c r="CJ69" s="436" t="s">
        <v>762</v>
      </c>
      <c r="CK69" s="436" t="s">
        <v>762</v>
      </c>
      <c r="CL69" s="436" t="s">
        <v>762</v>
      </c>
    </row>
    <row r="70" spans="1:90" s="437" customFormat="1">
      <c r="A70" s="435" t="s">
        <v>578</v>
      </c>
      <c r="B70" s="435" t="s">
        <v>90</v>
      </c>
      <c r="C70" s="436" cm="1">
        <f t="array" ref="C70">IF($B671=0, Vide, $B671)</f>
        <v>40.203999999999986</v>
      </c>
      <c r="D70" s="436" cm="1">
        <f t="array" ref="D70">IF($B671=0, Vide, $B671)</f>
        <v>40.203999999999986</v>
      </c>
      <c r="E70" s="436" cm="1">
        <f t="array" ref="E70">IF($B671=0, Vide, $B671)</f>
        <v>40.203999999999986</v>
      </c>
      <c r="F70" s="436" cm="1">
        <f t="array" ref="F70">IF($B671=0, Vide, $B671)</f>
        <v>40.203999999999986</v>
      </c>
      <c r="G70" s="436" cm="1">
        <f t="array" ref="G70">IF($B671=0, Vide, $B671)</f>
        <v>40.203999999999986</v>
      </c>
      <c r="H70" s="436" cm="1">
        <f t="array" ref="H70">IF($C671=0, Vide, $C671)</f>
        <v>47.477749999999993</v>
      </c>
      <c r="I70" s="436" cm="1">
        <f t="array" ref="I70">IF($C671=0, Vide, $C671)</f>
        <v>47.477749999999993</v>
      </c>
      <c r="J70" s="436" cm="1">
        <f t="array" ref="J70">IF($C671=0, Vide, $C671)</f>
        <v>47.477749999999993</v>
      </c>
      <c r="K70" s="436" cm="1">
        <f t="array" ref="K70">IF($C671=0, Vide, $C671)</f>
        <v>47.477749999999993</v>
      </c>
      <c r="L70" s="436" cm="1">
        <f t="array" ref="L70">IF($C671=0, Vide, $C671)</f>
        <v>47.477749999999993</v>
      </c>
      <c r="M70" s="436" t="s">
        <v>762</v>
      </c>
      <c r="N70" s="436" t="s">
        <v>762</v>
      </c>
      <c r="O70" s="436" t="s">
        <v>762</v>
      </c>
      <c r="P70" s="436" t="s">
        <v>762</v>
      </c>
      <c r="Q70" s="436" t="s">
        <v>762</v>
      </c>
      <c r="R70" s="436" t="s">
        <v>762</v>
      </c>
      <c r="S70" s="436" t="s">
        <v>762</v>
      </c>
      <c r="T70" s="436" t="s">
        <v>762</v>
      </c>
      <c r="U70" s="436" t="s">
        <v>762</v>
      </c>
      <c r="V70" s="436" cm="1">
        <f t="array" ref="V70">IF($D671=0, Vide, $D671)</f>
        <v>63.215499999999984</v>
      </c>
      <c r="W70" s="436" cm="1">
        <f t="array" ref="W70">IF($E671=0, Vide, $E671)</f>
        <v>75.871824999999987</v>
      </c>
      <c r="X70" s="436" cm="1">
        <f t="array" ref="X70">IF($F671=0, Vide, $F671)</f>
        <v>91.71537499999998</v>
      </c>
      <c r="Y70" s="436" cm="1">
        <f t="array" ref="Y70">IF($G671=0, Vide, $G671)</f>
        <v>107.50602499999999</v>
      </c>
      <c r="Z70" s="436" cm="1">
        <f t="array" ref="Z70">IF($H671=0, Vide, $H671)</f>
        <v>123.56117499999999</v>
      </c>
      <c r="AA70" s="436" cm="1">
        <f t="array" ref="AA70">IF($I671=0, Vide, $I671)</f>
        <v>140.2379</v>
      </c>
      <c r="AB70" s="436" cm="1">
        <f t="array" ref="AB70">IF($J671=0, Vide, $J671)</f>
        <v>157.16589999999999</v>
      </c>
      <c r="AC70" s="436" cm="1">
        <f t="array" ref="AC70">IF($K671=0, Vide, $K671)</f>
        <v>174.12034999999997</v>
      </c>
      <c r="AD70" s="436" cm="1">
        <f t="array" ref="AD70">IF($L671=0, Vide, $L671)</f>
        <v>196.81444999999997</v>
      </c>
      <c r="AE70" s="436">
        <f t="shared" ref="AE70:AN77" si="56">(AE$1/100)*$CG70</f>
        <v>216.49589499999999</v>
      </c>
      <c r="AF70" s="436">
        <f t="shared" si="56"/>
        <v>246.01806249999996</v>
      </c>
      <c r="AG70" s="436">
        <f t="shared" si="56"/>
        <v>295.22167499999995</v>
      </c>
      <c r="AH70" s="436">
        <f t="shared" si="56"/>
        <v>344.42528749999997</v>
      </c>
      <c r="AI70" s="436">
        <f t="shared" si="56"/>
        <v>395.59704449999987</v>
      </c>
      <c r="AJ70" s="436">
        <f t="shared" si="56"/>
        <v>442.83251249999989</v>
      </c>
      <c r="AK70" s="436">
        <f t="shared" si="56"/>
        <v>492.03612499999991</v>
      </c>
      <c r="AL70" s="436">
        <f t="shared" si="56"/>
        <v>592.41149449999989</v>
      </c>
      <c r="AM70" s="436">
        <f t="shared" si="56"/>
        <v>639.64696249999986</v>
      </c>
      <c r="AN70" s="436">
        <f t="shared" si="56"/>
        <v>688.85057499999994</v>
      </c>
      <c r="AO70" s="436">
        <f t="shared" ref="AO70:AX77" si="57">(AO$1/100)*$CG70</f>
        <v>738.0541874999999</v>
      </c>
      <c r="AP70" s="436">
        <f t="shared" si="57"/>
        <v>789.22594449999985</v>
      </c>
      <c r="AQ70" s="436">
        <f t="shared" si="57"/>
        <v>836.46141249999982</v>
      </c>
      <c r="AR70" s="436">
        <f t="shared" si="57"/>
        <v>885.66502499999979</v>
      </c>
      <c r="AS70" s="436">
        <f t="shared" si="57"/>
        <v>934.86863749999986</v>
      </c>
      <c r="AT70" s="436">
        <f t="shared" si="57"/>
        <v>984.07224999999983</v>
      </c>
      <c r="AU70" s="436">
        <f t="shared" si="57"/>
        <v>1033.2758624999999</v>
      </c>
      <c r="AV70" s="436">
        <f t="shared" si="57"/>
        <v>1082.4794749999999</v>
      </c>
      <c r="AW70" s="436">
        <f t="shared" si="57"/>
        <v>1131.6830874999998</v>
      </c>
      <c r="AX70" s="436">
        <f t="shared" si="57"/>
        <v>1180.8866999999998</v>
      </c>
      <c r="AY70" s="436">
        <f t="shared" ref="AY70:BH77" si="58">(AY$1/100)*$CG70</f>
        <v>1279.2939249999997</v>
      </c>
      <c r="AZ70" s="436">
        <f t="shared" si="58"/>
        <v>1377.7011499999999</v>
      </c>
      <c r="BA70" s="436">
        <f t="shared" si="58"/>
        <v>1476.1083749999998</v>
      </c>
      <c r="BB70" s="436">
        <f t="shared" si="58"/>
        <v>1574.5155999999997</v>
      </c>
      <c r="BC70" s="436">
        <f t="shared" si="58"/>
        <v>1672.9228249999996</v>
      </c>
      <c r="BD70" s="436">
        <f t="shared" si="58"/>
        <v>1771.3300499999996</v>
      </c>
      <c r="BE70" s="436">
        <f t="shared" si="58"/>
        <v>1869.7372749999997</v>
      </c>
      <c r="BF70" s="436">
        <f t="shared" si="58"/>
        <v>1968.1444999999997</v>
      </c>
      <c r="BG70" s="436">
        <f t="shared" si="58"/>
        <v>2164.9589499999997</v>
      </c>
      <c r="BH70" s="436">
        <f t="shared" si="58"/>
        <v>2361.7733999999996</v>
      </c>
      <c r="BI70" s="436">
        <f t="shared" ref="BI70:BR77" si="59">(BI$1/100)*$CG70</f>
        <v>2460.1806249999995</v>
      </c>
      <c r="BJ70" s="436">
        <f t="shared" si="59"/>
        <v>2558.5878499999994</v>
      </c>
      <c r="BK70" s="436">
        <f t="shared" si="59"/>
        <v>2755.4022999999997</v>
      </c>
      <c r="BL70" s="436">
        <f t="shared" si="59"/>
        <v>2952.2167499999996</v>
      </c>
      <c r="BM70" s="436">
        <f t="shared" si="59"/>
        <v>3149.0311999999994</v>
      </c>
      <c r="BN70" s="436">
        <f t="shared" si="59"/>
        <v>3345.8456499999993</v>
      </c>
      <c r="BO70" s="436">
        <f t="shared" si="59"/>
        <v>3444.2528749999992</v>
      </c>
      <c r="BP70" s="436">
        <f t="shared" si="59"/>
        <v>3542.6600999999991</v>
      </c>
      <c r="BQ70" s="436">
        <f t="shared" si="59"/>
        <v>3739.4745499999995</v>
      </c>
      <c r="BR70" s="436">
        <f t="shared" si="59"/>
        <v>3936.2889999999993</v>
      </c>
      <c r="BS70" s="436">
        <f t="shared" ref="BS70:CF77" si="60">(BS$1/100)*$CG70</f>
        <v>4428.3251249999994</v>
      </c>
      <c r="BT70" s="436">
        <f t="shared" si="60"/>
        <v>4920.361249999999</v>
      </c>
      <c r="BU70" s="436">
        <f t="shared" si="60"/>
        <v>5412.3973749999986</v>
      </c>
      <c r="BV70" s="436">
        <f t="shared" si="60"/>
        <v>5904.4334999999992</v>
      </c>
      <c r="BW70" s="436">
        <f t="shared" si="60"/>
        <v>6888.5057499999984</v>
      </c>
      <c r="BX70" s="436">
        <f t="shared" si="60"/>
        <v>7872.5779999999986</v>
      </c>
      <c r="BY70" s="436">
        <f t="shared" si="60"/>
        <v>8856.6502499999988</v>
      </c>
      <c r="BZ70" s="436">
        <f t="shared" si="60"/>
        <v>9840.722499999998</v>
      </c>
      <c r="CA70" s="436">
        <f t="shared" si="60"/>
        <v>10824.794749999997</v>
      </c>
      <c r="CB70" s="436">
        <f t="shared" si="60"/>
        <v>11808.866999999998</v>
      </c>
      <c r="CC70" s="436">
        <f t="shared" si="60"/>
        <v>13777.011499999997</v>
      </c>
      <c r="CD70" s="436">
        <f t="shared" si="60"/>
        <v>15745.155999999997</v>
      </c>
      <c r="CE70" s="436">
        <f t="shared" si="60"/>
        <v>17713.300499999998</v>
      </c>
      <c r="CF70" s="436">
        <f t="shared" si="60"/>
        <v>19681.444999999996</v>
      </c>
      <c r="CG70" s="436" cm="1">
        <f t="array" ref="CG70">IF($M671=0, Vide, $M671)</f>
        <v>196.81444999999997</v>
      </c>
      <c r="CH70" s="435" t="s">
        <v>762</v>
      </c>
      <c r="CI70" s="435" t="s">
        <v>762</v>
      </c>
      <c r="CJ70" s="435" t="s">
        <v>762</v>
      </c>
      <c r="CK70" s="435" t="s">
        <v>762</v>
      </c>
      <c r="CL70" s="435" t="s">
        <v>762</v>
      </c>
    </row>
    <row r="71" spans="1:90" s="437" customFormat="1">
      <c r="A71" s="435" t="s">
        <v>579</v>
      </c>
      <c r="B71" s="435" t="s">
        <v>90</v>
      </c>
      <c r="C71" s="436" cm="1">
        <f t="array" ref="C71">IF($B672=0, Vide, $B672)</f>
        <v>40.203999999999986</v>
      </c>
      <c r="D71" s="436" cm="1">
        <f t="array" ref="D71">IF($B672=0, Vide, $B672)</f>
        <v>40.203999999999986</v>
      </c>
      <c r="E71" s="436" cm="1">
        <f t="array" ref="E71">IF($B672=0, Vide, $B672)</f>
        <v>40.203999999999986</v>
      </c>
      <c r="F71" s="436" cm="1">
        <f t="array" ref="F71">IF($B672=0, Vide, $B672)</f>
        <v>40.203999999999986</v>
      </c>
      <c r="G71" s="436" cm="1">
        <f t="array" ref="G71">IF($B672=0, Vide, $B672)</f>
        <v>40.203999999999986</v>
      </c>
      <c r="H71" s="436" cm="1">
        <f t="array" ref="H71">IF($C672=0, Vide, $C672)</f>
        <v>47.477749999999993</v>
      </c>
      <c r="I71" s="436" cm="1">
        <f t="array" ref="I71">IF($C672=0, Vide, $C672)</f>
        <v>47.477749999999993</v>
      </c>
      <c r="J71" s="436" cm="1">
        <f t="array" ref="J71">IF($C672=0, Vide, $C672)</f>
        <v>47.477749999999993</v>
      </c>
      <c r="K71" s="436" cm="1">
        <f t="array" ref="K71">IF($C672=0, Vide, $C672)</f>
        <v>47.477749999999993</v>
      </c>
      <c r="L71" s="436" cm="1">
        <f t="array" ref="L71">IF($C672=0, Vide, $C672)</f>
        <v>47.477749999999993</v>
      </c>
      <c r="M71" s="436" t="s">
        <v>762</v>
      </c>
      <c r="N71" s="436" t="s">
        <v>762</v>
      </c>
      <c r="O71" s="436" t="s">
        <v>762</v>
      </c>
      <c r="P71" s="436" t="s">
        <v>762</v>
      </c>
      <c r="Q71" s="436" t="s">
        <v>762</v>
      </c>
      <c r="R71" s="436" t="s">
        <v>762</v>
      </c>
      <c r="S71" s="436" t="s">
        <v>762</v>
      </c>
      <c r="T71" s="436" t="s">
        <v>762</v>
      </c>
      <c r="U71" s="436" t="s">
        <v>762</v>
      </c>
      <c r="V71" s="436" cm="1">
        <f t="array" ref="V71">IF($D672=0, Vide, $D672)</f>
        <v>63.215499999999984</v>
      </c>
      <c r="W71" s="436" cm="1">
        <f t="array" ref="W71">IF($E672=0, Vide, $E672)</f>
        <v>75.871824999999987</v>
      </c>
      <c r="X71" s="436" cm="1">
        <f t="array" ref="X71">IF($F672=0, Vide, $F672)</f>
        <v>91.71537499999998</v>
      </c>
      <c r="Y71" s="436" cm="1">
        <f t="array" ref="Y71">IF($G672=0, Vide, $G672)</f>
        <v>107.50602499999999</v>
      </c>
      <c r="Z71" s="436" cm="1">
        <f t="array" ref="Z71">IF($H672=0, Vide, $H672)</f>
        <v>123.56117499999999</v>
      </c>
      <c r="AA71" s="436" cm="1">
        <f t="array" ref="AA71">IF($I672=0, Vide, $I672)</f>
        <v>140.2379</v>
      </c>
      <c r="AB71" s="436" cm="1">
        <f t="array" ref="AB71">IF($J672=0, Vide, $J672)</f>
        <v>157.16589999999999</v>
      </c>
      <c r="AC71" s="436" cm="1">
        <f t="array" ref="AC71">IF($K672=0, Vide, $K672)</f>
        <v>174.12034999999997</v>
      </c>
      <c r="AD71" s="436" cm="1">
        <f t="array" ref="AD71">IF($L672=0, Vide, $L672)</f>
        <v>196.81444999999997</v>
      </c>
      <c r="AE71" s="436">
        <f t="shared" si="56"/>
        <v>216.49589499999999</v>
      </c>
      <c r="AF71" s="436">
        <f t="shared" si="56"/>
        <v>246.01806249999996</v>
      </c>
      <c r="AG71" s="436">
        <f t="shared" si="56"/>
        <v>295.22167499999995</v>
      </c>
      <c r="AH71" s="436">
        <f t="shared" si="56"/>
        <v>344.42528749999997</v>
      </c>
      <c r="AI71" s="436">
        <f t="shared" si="56"/>
        <v>395.59704449999987</v>
      </c>
      <c r="AJ71" s="436">
        <f t="shared" si="56"/>
        <v>442.83251249999989</v>
      </c>
      <c r="AK71" s="436">
        <f t="shared" si="56"/>
        <v>492.03612499999991</v>
      </c>
      <c r="AL71" s="436">
        <f t="shared" si="56"/>
        <v>592.41149449999989</v>
      </c>
      <c r="AM71" s="436">
        <f t="shared" si="56"/>
        <v>639.64696249999986</v>
      </c>
      <c r="AN71" s="436">
        <f t="shared" si="56"/>
        <v>688.85057499999994</v>
      </c>
      <c r="AO71" s="436">
        <f t="shared" si="57"/>
        <v>738.0541874999999</v>
      </c>
      <c r="AP71" s="436">
        <f t="shared" si="57"/>
        <v>789.22594449999985</v>
      </c>
      <c r="AQ71" s="436">
        <f t="shared" si="57"/>
        <v>836.46141249999982</v>
      </c>
      <c r="AR71" s="436">
        <f t="shared" si="57"/>
        <v>885.66502499999979</v>
      </c>
      <c r="AS71" s="436">
        <f t="shared" si="57"/>
        <v>934.86863749999986</v>
      </c>
      <c r="AT71" s="436">
        <f t="shared" si="57"/>
        <v>984.07224999999983</v>
      </c>
      <c r="AU71" s="436">
        <f t="shared" si="57"/>
        <v>1033.2758624999999</v>
      </c>
      <c r="AV71" s="436">
        <f t="shared" si="57"/>
        <v>1082.4794749999999</v>
      </c>
      <c r="AW71" s="436">
        <f t="shared" si="57"/>
        <v>1131.6830874999998</v>
      </c>
      <c r="AX71" s="436">
        <f t="shared" si="57"/>
        <v>1180.8866999999998</v>
      </c>
      <c r="AY71" s="436">
        <f t="shared" si="58"/>
        <v>1279.2939249999997</v>
      </c>
      <c r="AZ71" s="436">
        <f t="shared" si="58"/>
        <v>1377.7011499999999</v>
      </c>
      <c r="BA71" s="436">
        <f t="shared" si="58"/>
        <v>1476.1083749999998</v>
      </c>
      <c r="BB71" s="436">
        <f t="shared" si="58"/>
        <v>1574.5155999999997</v>
      </c>
      <c r="BC71" s="436">
        <f t="shared" si="58"/>
        <v>1672.9228249999996</v>
      </c>
      <c r="BD71" s="436">
        <f t="shared" si="58"/>
        <v>1771.3300499999996</v>
      </c>
      <c r="BE71" s="436">
        <f t="shared" si="58"/>
        <v>1869.7372749999997</v>
      </c>
      <c r="BF71" s="436">
        <f t="shared" si="58"/>
        <v>1968.1444999999997</v>
      </c>
      <c r="BG71" s="436">
        <f t="shared" si="58"/>
        <v>2164.9589499999997</v>
      </c>
      <c r="BH71" s="436">
        <f t="shared" si="58"/>
        <v>2361.7733999999996</v>
      </c>
      <c r="BI71" s="436">
        <f t="shared" si="59"/>
        <v>2460.1806249999995</v>
      </c>
      <c r="BJ71" s="436">
        <f t="shared" si="59"/>
        <v>2558.5878499999994</v>
      </c>
      <c r="BK71" s="436">
        <f t="shared" si="59"/>
        <v>2755.4022999999997</v>
      </c>
      <c r="BL71" s="436">
        <f t="shared" si="59"/>
        <v>2952.2167499999996</v>
      </c>
      <c r="BM71" s="436">
        <f t="shared" si="59"/>
        <v>3149.0311999999994</v>
      </c>
      <c r="BN71" s="436">
        <f t="shared" si="59"/>
        <v>3345.8456499999993</v>
      </c>
      <c r="BO71" s="436">
        <f t="shared" si="59"/>
        <v>3444.2528749999992</v>
      </c>
      <c r="BP71" s="436">
        <f t="shared" si="59"/>
        <v>3542.6600999999991</v>
      </c>
      <c r="BQ71" s="436">
        <f t="shared" si="59"/>
        <v>3739.4745499999995</v>
      </c>
      <c r="BR71" s="436">
        <f t="shared" si="59"/>
        <v>3936.2889999999993</v>
      </c>
      <c r="BS71" s="436">
        <f t="shared" si="60"/>
        <v>4428.3251249999994</v>
      </c>
      <c r="BT71" s="436">
        <f t="shared" si="60"/>
        <v>4920.361249999999</v>
      </c>
      <c r="BU71" s="436">
        <f t="shared" si="60"/>
        <v>5412.3973749999986</v>
      </c>
      <c r="BV71" s="436">
        <f t="shared" si="60"/>
        <v>5904.4334999999992</v>
      </c>
      <c r="BW71" s="436">
        <f t="shared" si="60"/>
        <v>6888.5057499999984</v>
      </c>
      <c r="BX71" s="436">
        <f t="shared" si="60"/>
        <v>7872.5779999999986</v>
      </c>
      <c r="BY71" s="436">
        <f t="shared" si="60"/>
        <v>8856.6502499999988</v>
      </c>
      <c r="BZ71" s="436">
        <f t="shared" si="60"/>
        <v>9840.722499999998</v>
      </c>
      <c r="CA71" s="436">
        <f t="shared" si="60"/>
        <v>10824.794749999997</v>
      </c>
      <c r="CB71" s="436">
        <f t="shared" si="60"/>
        <v>11808.866999999998</v>
      </c>
      <c r="CC71" s="436">
        <f t="shared" si="60"/>
        <v>13777.011499999997</v>
      </c>
      <c r="CD71" s="436">
        <f t="shared" si="60"/>
        <v>15745.155999999997</v>
      </c>
      <c r="CE71" s="436">
        <f t="shared" si="60"/>
        <v>17713.300499999998</v>
      </c>
      <c r="CF71" s="436">
        <f t="shared" si="60"/>
        <v>19681.444999999996</v>
      </c>
      <c r="CG71" s="436" cm="1">
        <f t="array" ref="CG71">IF($M672=0, Vide, $M672)</f>
        <v>196.81444999999997</v>
      </c>
      <c r="CH71" s="435" t="s">
        <v>762</v>
      </c>
      <c r="CI71" s="435" t="s">
        <v>762</v>
      </c>
      <c r="CJ71" s="435" t="s">
        <v>762</v>
      </c>
      <c r="CK71" s="435" t="s">
        <v>762</v>
      </c>
      <c r="CL71" s="435" t="s">
        <v>762</v>
      </c>
    </row>
    <row r="72" spans="1:90" s="437" customFormat="1">
      <c r="A72" s="435" t="s">
        <v>580</v>
      </c>
      <c r="B72" s="435" t="s">
        <v>90</v>
      </c>
      <c r="C72" s="436" cm="1">
        <f t="array" ref="C72">IF($B673=0, Vide, $B673)</f>
        <v>34.239524999999993</v>
      </c>
      <c r="D72" s="436" cm="1">
        <f t="array" ref="D72">IF($B673=0, Vide, $B673)</f>
        <v>34.239524999999993</v>
      </c>
      <c r="E72" s="436" cm="1">
        <f t="array" ref="E72">IF($B673=0, Vide, $B673)</f>
        <v>34.239524999999993</v>
      </c>
      <c r="F72" s="436" cm="1">
        <f t="array" ref="F72">IF($B673=0, Vide, $B673)</f>
        <v>34.239524999999993</v>
      </c>
      <c r="G72" s="436" cm="1">
        <f t="array" ref="G72">IF($B673=0, Vide, $B673)</f>
        <v>34.239524999999993</v>
      </c>
      <c r="H72" s="436" cm="1">
        <f t="array" ref="H72">IF($C673=0, Vide, $C673)</f>
        <v>36.500999999999998</v>
      </c>
      <c r="I72" s="436" cm="1">
        <f t="array" ref="I72">IF($C673=0, Vide, $C673)</f>
        <v>36.500999999999998</v>
      </c>
      <c r="J72" s="436" cm="1">
        <f t="array" ref="J72">IF($C673=0, Vide, $C673)</f>
        <v>36.500999999999998</v>
      </c>
      <c r="K72" s="436" cm="1">
        <f t="array" ref="K72">IF($C673=0, Vide, $C673)</f>
        <v>36.500999999999998</v>
      </c>
      <c r="L72" s="436" cm="1">
        <f t="array" ref="L72">IF($C673=0, Vide, $C673)</f>
        <v>36.500999999999998</v>
      </c>
      <c r="M72" s="436" t="s">
        <v>762</v>
      </c>
      <c r="N72" s="436" t="s">
        <v>762</v>
      </c>
      <c r="O72" s="436" t="s">
        <v>762</v>
      </c>
      <c r="P72" s="436" t="s">
        <v>762</v>
      </c>
      <c r="Q72" s="436" t="s">
        <v>762</v>
      </c>
      <c r="R72" s="436" t="s">
        <v>762</v>
      </c>
      <c r="S72" s="436" t="s">
        <v>762</v>
      </c>
      <c r="T72" s="436" t="s">
        <v>762</v>
      </c>
      <c r="U72" s="436" t="s">
        <v>762</v>
      </c>
      <c r="V72" s="436" cm="1">
        <f t="array" ref="V72">IF($D673=0, Vide, $D673)</f>
        <v>40.534624999999991</v>
      </c>
      <c r="W72" s="436" cm="1">
        <f t="array" ref="W72">IF($E673=0, Vide, $E673)</f>
        <v>44.303749999999994</v>
      </c>
      <c r="X72" s="436" cm="1">
        <f t="array" ref="X72">IF($F673=0, Vide, $F673)</f>
        <v>48.601874999999993</v>
      </c>
      <c r="Y72" s="436" cm="1">
        <f t="array" ref="Y72">IF($G673=0, Vide, $G673)</f>
        <v>52.860324999999996</v>
      </c>
      <c r="Z72" s="436" cm="1">
        <f t="array" ref="Z72">IF($H673=0, Vide, $H673)</f>
        <v>57.211349999999989</v>
      </c>
      <c r="AA72" s="436" cm="1">
        <f t="array" ref="AA72">IF($I673=0, Vide, $I673)</f>
        <v>61.535924999999992</v>
      </c>
      <c r="AB72" s="436" cm="1">
        <f t="array" ref="AB72">IF($J673=0, Vide, $J673)</f>
        <v>68.426149999999993</v>
      </c>
      <c r="AC72" s="436" cm="1">
        <f t="array" ref="AC72">IF($K673=0, Vide, $K673)</f>
        <v>75.012199999999993</v>
      </c>
      <c r="AD72" s="436" cm="1">
        <f t="array" ref="AD72">IF($L673=0, Vide, $L673)</f>
        <v>79.349999999999994</v>
      </c>
      <c r="AE72" s="436">
        <f t="shared" si="56"/>
        <v>87.284999999999997</v>
      </c>
      <c r="AF72" s="436">
        <f t="shared" si="56"/>
        <v>99.1875</v>
      </c>
      <c r="AG72" s="436">
        <f t="shared" si="56"/>
        <v>119.02499999999999</v>
      </c>
      <c r="AH72" s="436">
        <f t="shared" si="56"/>
        <v>138.86249999999998</v>
      </c>
      <c r="AI72" s="436">
        <f t="shared" si="56"/>
        <v>159.49349999999998</v>
      </c>
      <c r="AJ72" s="436">
        <f t="shared" si="56"/>
        <v>178.53749999999999</v>
      </c>
      <c r="AK72" s="436">
        <f t="shared" si="56"/>
        <v>198.375</v>
      </c>
      <c r="AL72" s="436">
        <f t="shared" si="56"/>
        <v>238.84349999999998</v>
      </c>
      <c r="AM72" s="436">
        <f t="shared" si="56"/>
        <v>257.88749999999999</v>
      </c>
      <c r="AN72" s="436">
        <f t="shared" si="56"/>
        <v>277.72499999999997</v>
      </c>
      <c r="AO72" s="436">
        <f t="shared" si="57"/>
        <v>297.5625</v>
      </c>
      <c r="AP72" s="436">
        <f t="shared" si="57"/>
        <v>318.19349999999997</v>
      </c>
      <c r="AQ72" s="436">
        <f t="shared" si="57"/>
        <v>337.23749999999995</v>
      </c>
      <c r="AR72" s="436">
        <f t="shared" si="57"/>
        <v>357.07499999999999</v>
      </c>
      <c r="AS72" s="436">
        <f t="shared" si="57"/>
        <v>376.91249999999997</v>
      </c>
      <c r="AT72" s="436">
        <f t="shared" si="57"/>
        <v>396.75</v>
      </c>
      <c r="AU72" s="436">
        <f t="shared" si="57"/>
        <v>416.58749999999998</v>
      </c>
      <c r="AV72" s="436">
        <f t="shared" si="57"/>
        <v>436.42499999999995</v>
      </c>
      <c r="AW72" s="436">
        <f t="shared" si="57"/>
        <v>456.26249999999999</v>
      </c>
      <c r="AX72" s="436">
        <f t="shared" si="57"/>
        <v>476.09999999999997</v>
      </c>
      <c r="AY72" s="436">
        <f t="shared" si="58"/>
        <v>515.77499999999998</v>
      </c>
      <c r="AZ72" s="436">
        <f t="shared" si="58"/>
        <v>555.44999999999993</v>
      </c>
      <c r="BA72" s="436">
        <f t="shared" si="58"/>
        <v>595.125</v>
      </c>
      <c r="BB72" s="436">
        <f t="shared" si="58"/>
        <v>634.79999999999995</v>
      </c>
      <c r="BC72" s="436">
        <f t="shared" si="58"/>
        <v>674.47499999999991</v>
      </c>
      <c r="BD72" s="436">
        <f t="shared" si="58"/>
        <v>714.15</v>
      </c>
      <c r="BE72" s="436">
        <f t="shared" si="58"/>
        <v>753.82499999999993</v>
      </c>
      <c r="BF72" s="436">
        <f t="shared" si="58"/>
        <v>793.5</v>
      </c>
      <c r="BG72" s="436">
        <f t="shared" si="58"/>
        <v>872.84999999999991</v>
      </c>
      <c r="BH72" s="436">
        <f t="shared" si="58"/>
        <v>952.19999999999993</v>
      </c>
      <c r="BI72" s="436">
        <f t="shared" si="59"/>
        <v>991.87499999999989</v>
      </c>
      <c r="BJ72" s="436">
        <f t="shared" si="59"/>
        <v>1031.55</v>
      </c>
      <c r="BK72" s="436">
        <f t="shared" si="59"/>
        <v>1110.8999999999999</v>
      </c>
      <c r="BL72" s="436">
        <f t="shared" si="59"/>
        <v>1190.25</v>
      </c>
      <c r="BM72" s="436">
        <f t="shared" si="59"/>
        <v>1269.5999999999999</v>
      </c>
      <c r="BN72" s="436">
        <f t="shared" si="59"/>
        <v>1348.9499999999998</v>
      </c>
      <c r="BO72" s="436">
        <f t="shared" si="59"/>
        <v>1388.625</v>
      </c>
      <c r="BP72" s="436">
        <f t="shared" si="59"/>
        <v>1428.3</v>
      </c>
      <c r="BQ72" s="436">
        <f t="shared" si="59"/>
        <v>1507.6499999999999</v>
      </c>
      <c r="BR72" s="436">
        <f t="shared" si="59"/>
        <v>1587</v>
      </c>
      <c r="BS72" s="436">
        <f t="shared" si="60"/>
        <v>1785.3749999999998</v>
      </c>
      <c r="BT72" s="436">
        <f t="shared" si="60"/>
        <v>1983.7499999999998</v>
      </c>
      <c r="BU72" s="436">
        <f t="shared" si="60"/>
        <v>2182.125</v>
      </c>
      <c r="BV72" s="436">
        <f t="shared" si="60"/>
        <v>2380.5</v>
      </c>
      <c r="BW72" s="436">
        <f t="shared" si="60"/>
        <v>2777.25</v>
      </c>
      <c r="BX72" s="436">
        <f t="shared" si="60"/>
        <v>3174</v>
      </c>
      <c r="BY72" s="436">
        <f t="shared" si="60"/>
        <v>3570.7499999999995</v>
      </c>
      <c r="BZ72" s="436">
        <f t="shared" si="60"/>
        <v>3967.4999999999995</v>
      </c>
      <c r="CA72" s="436">
        <f t="shared" si="60"/>
        <v>4364.25</v>
      </c>
      <c r="CB72" s="436">
        <f t="shared" si="60"/>
        <v>4761</v>
      </c>
      <c r="CC72" s="436">
        <f t="shared" si="60"/>
        <v>5554.5</v>
      </c>
      <c r="CD72" s="436">
        <f t="shared" si="60"/>
        <v>6348</v>
      </c>
      <c r="CE72" s="436">
        <f t="shared" si="60"/>
        <v>7141.4999999999991</v>
      </c>
      <c r="CF72" s="436">
        <f t="shared" si="60"/>
        <v>7934.9999999999991</v>
      </c>
      <c r="CG72" s="436" cm="1">
        <f t="array" ref="CG72">IF($M673=0, Vide, $M673)</f>
        <v>79.349999999999994</v>
      </c>
      <c r="CH72" s="435" t="s">
        <v>762</v>
      </c>
      <c r="CI72" s="435" t="s">
        <v>762</v>
      </c>
      <c r="CJ72" s="435" t="s">
        <v>762</v>
      </c>
      <c r="CK72" s="435" t="s">
        <v>762</v>
      </c>
      <c r="CL72" s="435" t="s">
        <v>762</v>
      </c>
    </row>
    <row r="73" spans="1:90" s="437" customFormat="1">
      <c r="A73" s="435" t="s">
        <v>581</v>
      </c>
      <c r="B73" s="435" t="s">
        <v>90</v>
      </c>
      <c r="C73" s="436" cm="1">
        <f t="array" ref="C73">IF($B674=0, Vide, $B674)</f>
        <v>34.239524999999993</v>
      </c>
      <c r="D73" s="436" cm="1">
        <f t="array" ref="D73">IF($B674=0, Vide, $B674)</f>
        <v>34.239524999999993</v>
      </c>
      <c r="E73" s="436" cm="1">
        <f t="array" ref="E73">IF($B674=0, Vide, $B674)</f>
        <v>34.239524999999993</v>
      </c>
      <c r="F73" s="436" cm="1">
        <f t="array" ref="F73">IF($B674=0, Vide, $B674)</f>
        <v>34.239524999999993</v>
      </c>
      <c r="G73" s="436" cm="1">
        <f t="array" ref="G73">IF($B674=0, Vide, $B674)</f>
        <v>34.239524999999993</v>
      </c>
      <c r="H73" s="436" cm="1">
        <f t="array" ref="H73">IF($C674=0, Vide, $C674)</f>
        <v>36.500999999999998</v>
      </c>
      <c r="I73" s="436" cm="1">
        <f t="array" ref="I73">IF($C674=0, Vide, $C674)</f>
        <v>36.500999999999998</v>
      </c>
      <c r="J73" s="436" cm="1">
        <f t="array" ref="J73">IF($C674=0, Vide, $C674)</f>
        <v>36.500999999999998</v>
      </c>
      <c r="K73" s="436" cm="1">
        <f t="array" ref="K73">IF($C674=0, Vide, $C674)</f>
        <v>36.500999999999998</v>
      </c>
      <c r="L73" s="436" cm="1">
        <f t="array" ref="L73">IF($C674=0, Vide, $C674)</f>
        <v>36.500999999999998</v>
      </c>
      <c r="M73" s="436" t="s">
        <v>762</v>
      </c>
      <c r="N73" s="436" t="s">
        <v>762</v>
      </c>
      <c r="O73" s="436" t="s">
        <v>762</v>
      </c>
      <c r="P73" s="436" t="s">
        <v>762</v>
      </c>
      <c r="Q73" s="436" t="s">
        <v>762</v>
      </c>
      <c r="R73" s="436" t="s">
        <v>762</v>
      </c>
      <c r="S73" s="436" t="s">
        <v>762</v>
      </c>
      <c r="T73" s="436" t="s">
        <v>762</v>
      </c>
      <c r="U73" s="436" t="s">
        <v>762</v>
      </c>
      <c r="V73" s="436" cm="1">
        <f t="array" ref="V73">IF($D674=0, Vide, $D674)</f>
        <v>40.534624999999991</v>
      </c>
      <c r="W73" s="436" cm="1">
        <f t="array" ref="W73">IF($E674=0, Vide, $E674)</f>
        <v>44.303749999999994</v>
      </c>
      <c r="X73" s="436" cm="1">
        <f t="array" ref="X73">IF($F674=0, Vide, $F674)</f>
        <v>48.601874999999993</v>
      </c>
      <c r="Y73" s="436" cm="1">
        <f t="array" ref="Y73">IF($G674=0, Vide, $G674)</f>
        <v>52.860324999999996</v>
      </c>
      <c r="Z73" s="436" cm="1">
        <f t="array" ref="Z73">IF($H674=0, Vide, $H674)</f>
        <v>57.211349999999989</v>
      </c>
      <c r="AA73" s="436" cm="1">
        <f t="array" ref="AA73">IF($I674=0, Vide, $I674)</f>
        <v>61.535924999999992</v>
      </c>
      <c r="AB73" s="436" cm="1">
        <f t="array" ref="AB73">IF($J674=0, Vide, $J674)</f>
        <v>68.426149999999993</v>
      </c>
      <c r="AC73" s="436" cm="1">
        <f t="array" ref="AC73">IF($K674=0, Vide, $K674)</f>
        <v>75.012199999999993</v>
      </c>
      <c r="AD73" s="436" cm="1">
        <f t="array" ref="AD73">IF($L674=0, Vide, $L674)</f>
        <v>79.349999999999994</v>
      </c>
      <c r="AE73" s="436">
        <f t="shared" si="56"/>
        <v>87.284999999999997</v>
      </c>
      <c r="AF73" s="436">
        <f t="shared" si="56"/>
        <v>99.1875</v>
      </c>
      <c r="AG73" s="436">
        <f t="shared" si="56"/>
        <v>119.02499999999999</v>
      </c>
      <c r="AH73" s="436">
        <f t="shared" si="56"/>
        <v>138.86249999999998</v>
      </c>
      <c r="AI73" s="436">
        <f t="shared" si="56"/>
        <v>159.49349999999998</v>
      </c>
      <c r="AJ73" s="436">
        <f t="shared" si="56"/>
        <v>178.53749999999999</v>
      </c>
      <c r="AK73" s="436">
        <f t="shared" si="56"/>
        <v>198.375</v>
      </c>
      <c r="AL73" s="436">
        <f t="shared" si="56"/>
        <v>238.84349999999998</v>
      </c>
      <c r="AM73" s="436">
        <f t="shared" si="56"/>
        <v>257.88749999999999</v>
      </c>
      <c r="AN73" s="436">
        <f t="shared" si="56"/>
        <v>277.72499999999997</v>
      </c>
      <c r="AO73" s="436">
        <f t="shared" si="57"/>
        <v>297.5625</v>
      </c>
      <c r="AP73" s="436">
        <f t="shared" si="57"/>
        <v>318.19349999999997</v>
      </c>
      <c r="AQ73" s="436">
        <f t="shared" si="57"/>
        <v>337.23749999999995</v>
      </c>
      <c r="AR73" s="436">
        <f t="shared" si="57"/>
        <v>357.07499999999999</v>
      </c>
      <c r="AS73" s="436">
        <f t="shared" si="57"/>
        <v>376.91249999999997</v>
      </c>
      <c r="AT73" s="436">
        <f t="shared" si="57"/>
        <v>396.75</v>
      </c>
      <c r="AU73" s="436">
        <f t="shared" si="57"/>
        <v>416.58749999999998</v>
      </c>
      <c r="AV73" s="436">
        <f t="shared" si="57"/>
        <v>436.42499999999995</v>
      </c>
      <c r="AW73" s="436">
        <f t="shared" si="57"/>
        <v>456.26249999999999</v>
      </c>
      <c r="AX73" s="436">
        <f t="shared" si="57"/>
        <v>476.09999999999997</v>
      </c>
      <c r="AY73" s="436">
        <f t="shared" si="58"/>
        <v>515.77499999999998</v>
      </c>
      <c r="AZ73" s="436">
        <f t="shared" si="58"/>
        <v>555.44999999999993</v>
      </c>
      <c r="BA73" s="436">
        <f t="shared" si="58"/>
        <v>595.125</v>
      </c>
      <c r="BB73" s="436">
        <f t="shared" si="58"/>
        <v>634.79999999999995</v>
      </c>
      <c r="BC73" s="436">
        <f t="shared" si="58"/>
        <v>674.47499999999991</v>
      </c>
      <c r="BD73" s="436">
        <f t="shared" si="58"/>
        <v>714.15</v>
      </c>
      <c r="BE73" s="436">
        <f t="shared" si="58"/>
        <v>753.82499999999993</v>
      </c>
      <c r="BF73" s="436">
        <f t="shared" si="58"/>
        <v>793.5</v>
      </c>
      <c r="BG73" s="436">
        <f t="shared" si="58"/>
        <v>872.84999999999991</v>
      </c>
      <c r="BH73" s="436">
        <f t="shared" si="58"/>
        <v>952.19999999999993</v>
      </c>
      <c r="BI73" s="436">
        <f t="shared" si="59"/>
        <v>991.87499999999989</v>
      </c>
      <c r="BJ73" s="436">
        <f t="shared" si="59"/>
        <v>1031.55</v>
      </c>
      <c r="BK73" s="436">
        <f t="shared" si="59"/>
        <v>1110.8999999999999</v>
      </c>
      <c r="BL73" s="436">
        <f t="shared" si="59"/>
        <v>1190.25</v>
      </c>
      <c r="BM73" s="436">
        <f t="shared" si="59"/>
        <v>1269.5999999999999</v>
      </c>
      <c r="BN73" s="436">
        <f t="shared" si="59"/>
        <v>1348.9499999999998</v>
      </c>
      <c r="BO73" s="436">
        <f t="shared" si="59"/>
        <v>1388.625</v>
      </c>
      <c r="BP73" s="436">
        <f t="shared" si="59"/>
        <v>1428.3</v>
      </c>
      <c r="BQ73" s="436">
        <f t="shared" si="59"/>
        <v>1507.6499999999999</v>
      </c>
      <c r="BR73" s="436">
        <f t="shared" si="59"/>
        <v>1587</v>
      </c>
      <c r="BS73" s="436">
        <f t="shared" si="60"/>
        <v>1785.3749999999998</v>
      </c>
      <c r="BT73" s="436">
        <f t="shared" si="60"/>
        <v>1983.7499999999998</v>
      </c>
      <c r="BU73" s="436">
        <f t="shared" si="60"/>
        <v>2182.125</v>
      </c>
      <c r="BV73" s="436">
        <f t="shared" si="60"/>
        <v>2380.5</v>
      </c>
      <c r="BW73" s="436">
        <f t="shared" si="60"/>
        <v>2777.25</v>
      </c>
      <c r="BX73" s="436">
        <f t="shared" si="60"/>
        <v>3174</v>
      </c>
      <c r="BY73" s="436">
        <f t="shared" si="60"/>
        <v>3570.7499999999995</v>
      </c>
      <c r="BZ73" s="436">
        <f t="shared" si="60"/>
        <v>3967.4999999999995</v>
      </c>
      <c r="CA73" s="436">
        <f t="shared" si="60"/>
        <v>4364.25</v>
      </c>
      <c r="CB73" s="436">
        <f t="shared" si="60"/>
        <v>4761</v>
      </c>
      <c r="CC73" s="436">
        <f t="shared" si="60"/>
        <v>5554.5</v>
      </c>
      <c r="CD73" s="436">
        <f t="shared" si="60"/>
        <v>6348</v>
      </c>
      <c r="CE73" s="436">
        <f t="shared" si="60"/>
        <v>7141.4999999999991</v>
      </c>
      <c r="CF73" s="436">
        <f t="shared" si="60"/>
        <v>7934.9999999999991</v>
      </c>
      <c r="CG73" s="436" cm="1">
        <f t="array" ref="CG73">IF($M674=0, Vide, $M674)</f>
        <v>79.349999999999994</v>
      </c>
      <c r="CH73" s="435" t="s">
        <v>762</v>
      </c>
      <c r="CI73" s="435" t="s">
        <v>762</v>
      </c>
      <c r="CJ73" s="435" t="s">
        <v>762</v>
      </c>
      <c r="CK73" s="435" t="s">
        <v>762</v>
      </c>
      <c r="CL73" s="435" t="s">
        <v>762</v>
      </c>
    </row>
    <row r="74" spans="1:90" s="437" customFormat="1">
      <c r="A74" s="435" t="s">
        <v>582</v>
      </c>
      <c r="B74" s="435" t="s">
        <v>90</v>
      </c>
      <c r="C74" s="436" cm="1">
        <f t="array" ref="C74">IF($B675=0, Vide, $B675)</f>
        <v>27.388974999999995</v>
      </c>
      <c r="D74" s="436" cm="1">
        <f t="array" ref="D74">IF($B675=0, Vide, $B675)</f>
        <v>27.388974999999995</v>
      </c>
      <c r="E74" s="436" cm="1">
        <f t="array" ref="E74">IF($B675=0, Vide, $B675)</f>
        <v>27.388974999999995</v>
      </c>
      <c r="F74" s="436" cm="1">
        <f t="array" ref="F74">IF($B675=0, Vide, $B675)</f>
        <v>27.388974999999995</v>
      </c>
      <c r="G74" s="436" cm="1">
        <f t="array" ref="G74">IF($B675=0, Vide, $B675)</f>
        <v>27.388974999999995</v>
      </c>
      <c r="H74" s="436" cm="1">
        <f t="array" ref="H74">IF($C675=0, Vide, $C675)</f>
        <v>28.989199999999997</v>
      </c>
      <c r="I74" s="436" cm="1">
        <f t="array" ref="I74">IF($C675=0, Vide, $C675)</f>
        <v>28.989199999999997</v>
      </c>
      <c r="J74" s="436" cm="1">
        <f t="array" ref="J74">IF($C675=0, Vide, $C675)</f>
        <v>28.989199999999997</v>
      </c>
      <c r="K74" s="436" cm="1">
        <f t="array" ref="K74">IF($C675=0, Vide, $C675)</f>
        <v>28.989199999999997</v>
      </c>
      <c r="L74" s="436" cm="1">
        <f t="array" ref="L74">IF($C675=0, Vide, $C675)</f>
        <v>28.989199999999997</v>
      </c>
      <c r="M74" s="436" t="s">
        <v>762</v>
      </c>
      <c r="N74" s="436" t="s">
        <v>762</v>
      </c>
      <c r="O74" s="436" t="s">
        <v>762</v>
      </c>
      <c r="P74" s="436" t="s">
        <v>762</v>
      </c>
      <c r="Q74" s="436" t="s">
        <v>762</v>
      </c>
      <c r="R74" s="436" t="s">
        <v>762</v>
      </c>
      <c r="S74" s="436" t="s">
        <v>762</v>
      </c>
      <c r="T74" s="436" t="s">
        <v>762</v>
      </c>
      <c r="U74" s="436" t="s">
        <v>762</v>
      </c>
      <c r="V74" s="436" cm="1">
        <f t="array" ref="V74">IF($D675=0, Vide, $D675)</f>
        <v>28.989199999999997</v>
      </c>
      <c r="W74" s="436" cm="1">
        <f t="array" ref="W74">IF($E675=0, Vide, $E675)</f>
        <v>28.989199999999997</v>
      </c>
      <c r="X74" s="436" cm="1">
        <f t="array" ref="X74">IF($F675=0, Vide, $F675)</f>
        <v>28.989199999999997</v>
      </c>
      <c r="Y74" s="436" cm="1">
        <f t="array" ref="Y74">IF($G675=0, Vide, $G675)</f>
        <v>28.989199999999997</v>
      </c>
      <c r="Z74" s="436" cm="1">
        <f t="array" ref="Z74">IF($H675=0, Vide, $H675)</f>
        <v>51.947799999999994</v>
      </c>
      <c r="AA74" s="436" cm="1">
        <f t="array" ref="AA74">IF($I675=0, Vide, $I675)</f>
        <v>51.947799999999994</v>
      </c>
      <c r="AB74" s="436" cm="1">
        <f t="array" ref="AB74">IF($J675=0, Vide, $J675)</f>
        <v>51.947799999999994</v>
      </c>
      <c r="AC74" s="436" cm="1">
        <f t="array" ref="AC74">IF($K675=0, Vide, $K675)</f>
        <v>51.947799999999994</v>
      </c>
      <c r="AD74" s="436" cm="1">
        <f t="array" ref="AD74">IF($L675=0, Vide, $L675)</f>
        <v>51.947799999999994</v>
      </c>
      <c r="AE74" s="436">
        <f t="shared" si="56"/>
        <v>75.108742499999991</v>
      </c>
      <c r="AF74" s="436">
        <f t="shared" si="56"/>
        <v>85.350843749999981</v>
      </c>
      <c r="AG74" s="436">
        <f t="shared" si="56"/>
        <v>102.42101249999999</v>
      </c>
      <c r="AH74" s="436">
        <f t="shared" si="56"/>
        <v>119.49118124999998</v>
      </c>
      <c r="AI74" s="436">
        <f t="shared" si="56"/>
        <v>137.24415674999997</v>
      </c>
      <c r="AJ74" s="436">
        <f t="shared" si="56"/>
        <v>153.63151874999997</v>
      </c>
      <c r="AK74" s="436">
        <f t="shared" si="56"/>
        <v>170.70168749999996</v>
      </c>
      <c r="AL74" s="436">
        <f t="shared" si="56"/>
        <v>205.52483174999995</v>
      </c>
      <c r="AM74" s="436">
        <f t="shared" si="56"/>
        <v>221.91219374999997</v>
      </c>
      <c r="AN74" s="436">
        <f t="shared" si="56"/>
        <v>238.98236249999997</v>
      </c>
      <c r="AO74" s="436">
        <f t="shared" si="57"/>
        <v>256.05253124999996</v>
      </c>
      <c r="AP74" s="436">
        <f t="shared" si="57"/>
        <v>273.80550674999995</v>
      </c>
      <c r="AQ74" s="436">
        <f t="shared" si="57"/>
        <v>290.19286874999995</v>
      </c>
      <c r="AR74" s="436">
        <f t="shared" si="57"/>
        <v>307.26303749999994</v>
      </c>
      <c r="AS74" s="436">
        <f t="shared" si="57"/>
        <v>324.33320624999993</v>
      </c>
      <c r="AT74" s="436">
        <f t="shared" si="57"/>
        <v>341.40337499999993</v>
      </c>
      <c r="AU74" s="436">
        <f t="shared" si="57"/>
        <v>358.47354374999992</v>
      </c>
      <c r="AV74" s="436">
        <f t="shared" si="57"/>
        <v>375.54371249999991</v>
      </c>
      <c r="AW74" s="436">
        <f t="shared" si="57"/>
        <v>392.61388124999991</v>
      </c>
      <c r="AX74" s="436">
        <f t="shared" si="57"/>
        <v>409.68404999999996</v>
      </c>
      <c r="AY74" s="436">
        <f t="shared" si="58"/>
        <v>443.82438749999994</v>
      </c>
      <c r="AZ74" s="436">
        <f t="shared" si="58"/>
        <v>477.96472499999993</v>
      </c>
      <c r="BA74" s="436">
        <f t="shared" si="58"/>
        <v>512.10506249999992</v>
      </c>
      <c r="BB74" s="436">
        <f t="shared" si="58"/>
        <v>546.2453999999999</v>
      </c>
      <c r="BC74" s="436">
        <f t="shared" si="58"/>
        <v>580.38573749999989</v>
      </c>
      <c r="BD74" s="436">
        <f t="shared" si="58"/>
        <v>614.52607499999988</v>
      </c>
      <c r="BE74" s="436">
        <f t="shared" si="58"/>
        <v>648.66641249999986</v>
      </c>
      <c r="BF74" s="436">
        <f t="shared" si="58"/>
        <v>682.80674999999985</v>
      </c>
      <c r="BG74" s="436">
        <f t="shared" si="58"/>
        <v>751.08742499999983</v>
      </c>
      <c r="BH74" s="436">
        <f t="shared" si="58"/>
        <v>819.36809999999991</v>
      </c>
      <c r="BI74" s="436">
        <f t="shared" si="59"/>
        <v>853.5084374999999</v>
      </c>
      <c r="BJ74" s="436">
        <f t="shared" si="59"/>
        <v>887.64877499999989</v>
      </c>
      <c r="BK74" s="436">
        <f t="shared" si="59"/>
        <v>955.92944999999986</v>
      </c>
      <c r="BL74" s="436">
        <f t="shared" si="59"/>
        <v>1024.2101249999998</v>
      </c>
      <c r="BM74" s="436">
        <f t="shared" si="59"/>
        <v>1092.4907999999998</v>
      </c>
      <c r="BN74" s="436">
        <f t="shared" si="59"/>
        <v>1160.7714749999998</v>
      </c>
      <c r="BO74" s="436">
        <f t="shared" si="59"/>
        <v>1194.9118124999998</v>
      </c>
      <c r="BP74" s="436">
        <f t="shared" si="59"/>
        <v>1229.0521499999998</v>
      </c>
      <c r="BQ74" s="436">
        <f t="shared" si="59"/>
        <v>1297.3328249999997</v>
      </c>
      <c r="BR74" s="436">
        <f t="shared" si="59"/>
        <v>1365.6134999999997</v>
      </c>
      <c r="BS74" s="436">
        <f t="shared" si="60"/>
        <v>1536.3151874999996</v>
      </c>
      <c r="BT74" s="436">
        <f t="shared" si="60"/>
        <v>1707.0168749999998</v>
      </c>
      <c r="BU74" s="436">
        <f t="shared" si="60"/>
        <v>1877.7185624999997</v>
      </c>
      <c r="BV74" s="436">
        <f t="shared" si="60"/>
        <v>2048.4202499999997</v>
      </c>
      <c r="BW74" s="436">
        <f t="shared" si="60"/>
        <v>2389.8236249999995</v>
      </c>
      <c r="BX74" s="436">
        <f t="shared" si="60"/>
        <v>2731.2269999999994</v>
      </c>
      <c r="BY74" s="436">
        <f t="shared" si="60"/>
        <v>3072.6303749999993</v>
      </c>
      <c r="BZ74" s="436">
        <f t="shared" si="60"/>
        <v>3414.0337499999996</v>
      </c>
      <c r="CA74" s="436">
        <f t="shared" si="60"/>
        <v>3755.4371249999995</v>
      </c>
      <c r="CB74" s="436">
        <f t="shared" si="60"/>
        <v>4096.8404999999993</v>
      </c>
      <c r="CC74" s="436">
        <f t="shared" si="60"/>
        <v>4779.6472499999991</v>
      </c>
      <c r="CD74" s="436">
        <f t="shared" si="60"/>
        <v>5462.4539999999988</v>
      </c>
      <c r="CE74" s="436">
        <f t="shared" si="60"/>
        <v>6145.2607499999986</v>
      </c>
      <c r="CF74" s="436">
        <f t="shared" si="60"/>
        <v>6828.0674999999992</v>
      </c>
      <c r="CG74" s="436" cm="1">
        <f t="array" ref="CG74">IF($M675=0, Vide, $M675)</f>
        <v>68.280674999999988</v>
      </c>
      <c r="CH74" s="435" t="s">
        <v>762</v>
      </c>
      <c r="CI74" s="435" t="s">
        <v>762</v>
      </c>
      <c r="CJ74" s="435" t="s">
        <v>762</v>
      </c>
      <c r="CK74" s="435" t="s">
        <v>762</v>
      </c>
      <c r="CL74" s="435" t="s">
        <v>762</v>
      </c>
    </row>
    <row r="75" spans="1:90" s="437" customFormat="1">
      <c r="A75" s="435" t="s">
        <v>583</v>
      </c>
      <c r="B75" s="435" t="s">
        <v>90</v>
      </c>
      <c r="C75" s="436" cm="1">
        <f t="array" ref="C75">IF($B676=0, Vide, $B676)</f>
        <v>34.239524999999993</v>
      </c>
      <c r="D75" s="436" cm="1">
        <f t="array" ref="D75">IF($B676=0, Vide, $B676)</f>
        <v>34.239524999999993</v>
      </c>
      <c r="E75" s="436" cm="1">
        <f t="array" ref="E75">IF($B676=0, Vide, $B676)</f>
        <v>34.239524999999993</v>
      </c>
      <c r="F75" s="436" cm="1">
        <f t="array" ref="F75">IF($B676=0, Vide, $B676)</f>
        <v>34.239524999999993</v>
      </c>
      <c r="G75" s="436" cm="1">
        <f t="array" ref="G75">IF($B676=0, Vide, $B676)</f>
        <v>34.239524999999993</v>
      </c>
      <c r="H75" s="436" cm="1">
        <f t="array" ref="H75">IF($C676=0, Vide, $C676)</f>
        <v>36.500999999999998</v>
      </c>
      <c r="I75" s="436" cm="1">
        <f t="array" ref="I75">IF($C676=0, Vide, $C676)</f>
        <v>36.500999999999998</v>
      </c>
      <c r="J75" s="436" cm="1">
        <f t="array" ref="J75">IF($C676=0, Vide, $C676)</f>
        <v>36.500999999999998</v>
      </c>
      <c r="K75" s="436" cm="1">
        <f t="array" ref="K75">IF($C676=0, Vide, $C676)</f>
        <v>36.500999999999998</v>
      </c>
      <c r="L75" s="436" cm="1">
        <f t="array" ref="L75">IF($C676=0, Vide, $C676)</f>
        <v>36.500999999999998</v>
      </c>
      <c r="M75" s="436" t="s">
        <v>762</v>
      </c>
      <c r="N75" s="436" t="s">
        <v>762</v>
      </c>
      <c r="O75" s="436" t="s">
        <v>762</v>
      </c>
      <c r="P75" s="436" t="s">
        <v>762</v>
      </c>
      <c r="Q75" s="436" t="s">
        <v>762</v>
      </c>
      <c r="R75" s="436" t="s">
        <v>762</v>
      </c>
      <c r="S75" s="436" t="s">
        <v>762</v>
      </c>
      <c r="T75" s="436" t="s">
        <v>762</v>
      </c>
      <c r="U75" s="436" t="s">
        <v>762</v>
      </c>
      <c r="V75" s="436" cm="1">
        <f t="array" ref="V75">IF($D676=0, Vide, $D676)</f>
        <v>40.534624999999991</v>
      </c>
      <c r="W75" s="436" cm="1">
        <f t="array" ref="W75">IF($E676=0, Vide, $E676)</f>
        <v>44.303749999999994</v>
      </c>
      <c r="X75" s="436" cm="1">
        <f t="array" ref="X75">IF($F676=0, Vide, $F676)</f>
        <v>48.601874999999993</v>
      </c>
      <c r="Y75" s="436" cm="1">
        <f t="array" ref="Y75">IF($G676=0, Vide, $G676)</f>
        <v>52.860324999999996</v>
      </c>
      <c r="Z75" s="436" cm="1">
        <f t="array" ref="Z75">IF($H676=0, Vide, $H676)</f>
        <v>57.211349999999989</v>
      </c>
      <c r="AA75" s="436" cm="1">
        <f t="array" ref="AA75">IF($I676=0, Vide, $I676)</f>
        <v>61.535924999999992</v>
      </c>
      <c r="AB75" s="436" cm="1">
        <f t="array" ref="AB75">IF($J676=0, Vide, $J676)</f>
        <v>68.426149999999993</v>
      </c>
      <c r="AC75" s="436" cm="1">
        <f t="array" ref="AC75">IF($K676=0, Vide, $K676)</f>
        <v>75.012199999999993</v>
      </c>
      <c r="AD75" s="436" cm="1">
        <f t="array" ref="AD75">IF($L676=0, Vide, $L676)</f>
        <v>79.349999999999994</v>
      </c>
      <c r="AE75" s="436">
        <f t="shared" si="56"/>
        <v>87.284999999999997</v>
      </c>
      <c r="AF75" s="436">
        <f t="shared" si="56"/>
        <v>99.1875</v>
      </c>
      <c r="AG75" s="436">
        <f t="shared" si="56"/>
        <v>119.02499999999999</v>
      </c>
      <c r="AH75" s="436">
        <f t="shared" si="56"/>
        <v>138.86249999999998</v>
      </c>
      <c r="AI75" s="436">
        <f t="shared" si="56"/>
        <v>159.49349999999998</v>
      </c>
      <c r="AJ75" s="436">
        <f t="shared" si="56"/>
        <v>178.53749999999999</v>
      </c>
      <c r="AK75" s="436">
        <f t="shared" si="56"/>
        <v>198.375</v>
      </c>
      <c r="AL75" s="436">
        <f t="shared" si="56"/>
        <v>238.84349999999998</v>
      </c>
      <c r="AM75" s="436">
        <f t="shared" si="56"/>
        <v>257.88749999999999</v>
      </c>
      <c r="AN75" s="436">
        <f t="shared" si="56"/>
        <v>277.72499999999997</v>
      </c>
      <c r="AO75" s="436">
        <f t="shared" si="57"/>
        <v>297.5625</v>
      </c>
      <c r="AP75" s="436">
        <f t="shared" si="57"/>
        <v>318.19349999999997</v>
      </c>
      <c r="AQ75" s="436">
        <f t="shared" si="57"/>
        <v>337.23749999999995</v>
      </c>
      <c r="AR75" s="436">
        <f t="shared" si="57"/>
        <v>357.07499999999999</v>
      </c>
      <c r="AS75" s="436">
        <f t="shared" si="57"/>
        <v>376.91249999999997</v>
      </c>
      <c r="AT75" s="436">
        <f t="shared" si="57"/>
        <v>396.75</v>
      </c>
      <c r="AU75" s="436">
        <f t="shared" si="57"/>
        <v>416.58749999999998</v>
      </c>
      <c r="AV75" s="436">
        <f t="shared" si="57"/>
        <v>436.42499999999995</v>
      </c>
      <c r="AW75" s="436">
        <f t="shared" si="57"/>
        <v>456.26249999999999</v>
      </c>
      <c r="AX75" s="436">
        <f t="shared" si="57"/>
        <v>476.09999999999997</v>
      </c>
      <c r="AY75" s="436">
        <f t="shared" si="58"/>
        <v>515.77499999999998</v>
      </c>
      <c r="AZ75" s="436">
        <f t="shared" si="58"/>
        <v>555.44999999999993</v>
      </c>
      <c r="BA75" s="436">
        <f t="shared" si="58"/>
        <v>595.125</v>
      </c>
      <c r="BB75" s="436">
        <f t="shared" si="58"/>
        <v>634.79999999999995</v>
      </c>
      <c r="BC75" s="436">
        <f t="shared" si="58"/>
        <v>674.47499999999991</v>
      </c>
      <c r="BD75" s="436">
        <f t="shared" si="58"/>
        <v>714.15</v>
      </c>
      <c r="BE75" s="436">
        <f t="shared" si="58"/>
        <v>753.82499999999993</v>
      </c>
      <c r="BF75" s="436">
        <f t="shared" si="58"/>
        <v>793.5</v>
      </c>
      <c r="BG75" s="436">
        <f t="shared" si="58"/>
        <v>872.84999999999991</v>
      </c>
      <c r="BH75" s="436">
        <f t="shared" si="58"/>
        <v>952.19999999999993</v>
      </c>
      <c r="BI75" s="436">
        <f t="shared" si="59"/>
        <v>991.87499999999989</v>
      </c>
      <c r="BJ75" s="436">
        <f t="shared" si="59"/>
        <v>1031.55</v>
      </c>
      <c r="BK75" s="436">
        <f t="shared" si="59"/>
        <v>1110.8999999999999</v>
      </c>
      <c r="BL75" s="436">
        <f t="shared" si="59"/>
        <v>1190.25</v>
      </c>
      <c r="BM75" s="436">
        <f t="shared" si="59"/>
        <v>1269.5999999999999</v>
      </c>
      <c r="BN75" s="436">
        <f t="shared" si="59"/>
        <v>1348.9499999999998</v>
      </c>
      <c r="BO75" s="436">
        <f t="shared" si="59"/>
        <v>1388.625</v>
      </c>
      <c r="BP75" s="436">
        <f t="shared" si="59"/>
        <v>1428.3</v>
      </c>
      <c r="BQ75" s="436">
        <f t="shared" si="59"/>
        <v>1507.6499999999999</v>
      </c>
      <c r="BR75" s="436">
        <f t="shared" si="59"/>
        <v>1587</v>
      </c>
      <c r="BS75" s="436">
        <f t="shared" si="60"/>
        <v>1785.3749999999998</v>
      </c>
      <c r="BT75" s="436">
        <f t="shared" si="60"/>
        <v>1983.7499999999998</v>
      </c>
      <c r="BU75" s="436">
        <f t="shared" si="60"/>
        <v>2182.125</v>
      </c>
      <c r="BV75" s="436">
        <f t="shared" si="60"/>
        <v>2380.5</v>
      </c>
      <c r="BW75" s="436">
        <f t="shared" si="60"/>
        <v>2777.25</v>
      </c>
      <c r="BX75" s="436">
        <f t="shared" si="60"/>
        <v>3174</v>
      </c>
      <c r="BY75" s="436">
        <f t="shared" si="60"/>
        <v>3570.7499999999995</v>
      </c>
      <c r="BZ75" s="436">
        <f t="shared" si="60"/>
        <v>3967.4999999999995</v>
      </c>
      <c r="CA75" s="436">
        <f t="shared" si="60"/>
        <v>4364.25</v>
      </c>
      <c r="CB75" s="436">
        <f t="shared" si="60"/>
        <v>4761</v>
      </c>
      <c r="CC75" s="436">
        <f t="shared" si="60"/>
        <v>5554.5</v>
      </c>
      <c r="CD75" s="436">
        <f t="shared" si="60"/>
        <v>6348</v>
      </c>
      <c r="CE75" s="436">
        <f t="shared" si="60"/>
        <v>7141.4999999999991</v>
      </c>
      <c r="CF75" s="436">
        <f t="shared" si="60"/>
        <v>7934.9999999999991</v>
      </c>
      <c r="CG75" s="436" cm="1">
        <f t="array" ref="CG75">IF($M676=0, Vide, $M676)</f>
        <v>79.349999999999994</v>
      </c>
      <c r="CH75" s="435" t="s">
        <v>762</v>
      </c>
      <c r="CI75" s="435" t="s">
        <v>762</v>
      </c>
      <c r="CJ75" s="435" t="s">
        <v>762</v>
      </c>
      <c r="CK75" s="435" t="s">
        <v>762</v>
      </c>
      <c r="CL75" s="435" t="s">
        <v>762</v>
      </c>
    </row>
    <row r="76" spans="1:90" s="437" customFormat="1">
      <c r="A76" s="435" t="s">
        <v>584</v>
      </c>
      <c r="B76" s="435" t="s">
        <v>90</v>
      </c>
      <c r="C76" s="436" cm="1">
        <f t="array" ref="C76">IF($B677=0, Vide, $B677)</f>
        <v>40.203999999999986</v>
      </c>
      <c r="D76" s="436" cm="1">
        <f t="array" ref="D76">IF($B677=0, Vide, $B677)</f>
        <v>40.203999999999986</v>
      </c>
      <c r="E76" s="436" cm="1">
        <f t="array" ref="E76">IF($B677=0, Vide, $B677)</f>
        <v>40.203999999999986</v>
      </c>
      <c r="F76" s="436" cm="1">
        <f t="array" ref="F76">IF($B677=0, Vide, $B677)</f>
        <v>40.203999999999986</v>
      </c>
      <c r="G76" s="436" cm="1">
        <f t="array" ref="G76">IF($B677=0, Vide, $B677)</f>
        <v>40.203999999999986</v>
      </c>
      <c r="H76" s="436" cm="1">
        <f t="array" ref="H76">IF($C677=0, Vide, $C677)</f>
        <v>47.477749999999993</v>
      </c>
      <c r="I76" s="436" cm="1">
        <f t="array" ref="I76">IF($C677=0, Vide, $C677)</f>
        <v>47.477749999999993</v>
      </c>
      <c r="J76" s="436" cm="1">
        <f t="array" ref="J76">IF($C677=0, Vide, $C677)</f>
        <v>47.477749999999993</v>
      </c>
      <c r="K76" s="436" cm="1">
        <f t="array" ref="K76">IF($C677=0, Vide, $C677)</f>
        <v>47.477749999999993</v>
      </c>
      <c r="L76" s="436" cm="1">
        <f t="array" ref="L76">IF($C677=0, Vide, $C677)</f>
        <v>47.477749999999993</v>
      </c>
      <c r="M76" s="436" t="s">
        <v>762</v>
      </c>
      <c r="N76" s="436" t="s">
        <v>762</v>
      </c>
      <c r="O76" s="436" t="s">
        <v>762</v>
      </c>
      <c r="P76" s="436" t="s">
        <v>762</v>
      </c>
      <c r="Q76" s="436" t="s">
        <v>762</v>
      </c>
      <c r="R76" s="436" t="s">
        <v>762</v>
      </c>
      <c r="S76" s="436" t="s">
        <v>762</v>
      </c>
      <c r="T76" s="436" t="s">
        <v>762</v>
      </c>
      <c r="U76" s="436" t="s">
        <v>762</v>
      </c>
      <c r="V76" s="436" cm="1">
        <f t="array" ref="V76">IF($D677=0, Vide, $D677)</f>
        <v>63.215499999999984</v>
      </c>
      <c r="W76" s="436" cm="1">
        <f t="array" ref="W76">IF($E677=0, Vide, $E677)</f>
        <v>75.871824999999987</v>
      </c>
      <c r="X76" s="436" cm="1">
        <f t="array" ref="X76">IF($F677=0, Vide, $F677)</f>
        <v>91.71537499999998</v>
      </c>
      <c r="Y76" s="436" cm="1">
        <f t="array" ref="Y76">IF($G677=0, Vide, $G677)</f>
        <v>107.50602499999999</v>
      </c>
      <c r="Z76" s="436" cm="1">
        <f t="array" ref="Z76">IF($H677=0, Vide, $H677)</f>
        <v>123.56117499999999</v>
      </c>
      <c r="AA76" s="436" cm="1">
        <f t="array" ref="AA76">IF($I677=0, Vide, $I677)</f>
        <v>140.2379</v>
      </c>
      <c r="AB76" s="436" cm="1">
        <f t="array" ref="AB76">IF($J677=0, Vide, $J677)</f>
        <v>157.16589999999999</v>
      </c>
      <c r="AC76" s="436" cm="1">
        <f t="array" ref="AC76">IF($K677=0, Vide, $K677)</f>
        <v>174.12034999999997</v>
      </c>
      <c r="AD76" s="436" cm="1">
        <f t="array" ref="AD76">IF($L677=0, Vide, $L677)</f>
        <v>196.81444999999997</v>
      </c>
      <c r="AE76" s="436">
        <f t="shared" si="56"/>
        <v>216.49589499999999</v>
      </c>
      <c r="AF76" s="436">
        <f t="shared" si="56"/>
        <v>246.01806249999996</v>
      </c>
      <c r="AG76" s="436">
        <f t="shared" si="56"/>
        <v>295.22167499999995</v>
      </c>
      <c r="AH76" s="436">
        <f t="shared" si="56"/>
        <v>344.42528749999997</v>
      </c>
      <c r="AI76" s="436">
        <f t="shared" si="56"/>
        <v>395.59704449999987</v>
      </c>
      <c r="AJ76" s="436">
        <f t="shared" si="56"/>
        <v>442.83251249999989</v>
      </c>
      <c r="AK76" s="436">
        <f t="shared" si="56"/>
        <v>492.03612499999991</v>
      </c>
      <c r="AL76" s="436">
        <f t="shared" si="56"/>
        <v>592.41149449999989</v>
      </c>
      <c r="AM76" s="436">
        <f t="shared" si="56"/>
        <v>639.64696249999986</v>
      </c>
      <c r="AN76" s="436">
        <f t="shared" si="56"/>
        <v>688.85057499999994</v>
      </c>
      <c r="AO76" s="436">
        <f t="shared" si="57"/>
        <v>738.0541874999999</v>
      </c>
      <c r="AP76" s="436">
        <f t="shared" si="57"/>
        <v>789.22594449999985</v>
      </c>
      <c r="AQ76" s="436">
        <f t="shared" si="57"/>
        <v>836.46141249999982</v>
      </c>
      <c r="AR76" s="436">
        <f t="shared" si="57"/>
        <v>885.66502499999979</v>
      </c>
      <c r="AS76" s="436">
        <f t="shared" si="57"/>
        <v>934.86863749999986</v>
      </c>
      <c r="AT76" s="436">
        <f t="shared" si="57"/>
        <v>984.07224999999983</v>
      </c>
      <c r="AU76" s="436">
        <f t="shared" si="57"/>
        <v>1033.2758624999999</v>
      </c>
      <c r="AV76" s="436">
        <f t="shared" si="57"/>
        <v>1082.4794749999999</v>
      </c>
      <c r="AW76" s="436">
        <f t="shared" si="57"/>
        <v>1131.6830874999998</v>
      </c>
      <c r="AX76" s="436">
        <f t="shared" si="57"/>
        <v>1180.8866999999998</v>
      </c>
      <c r="AY76" s="436">
        <f t="shared" si="58"/>
        <v>1279.2939249999997</v>
      </c>
      <c r="AZ76" s="436">
        <f t="shared" si="58"/>
        <v>1377.7011499999999</v>
      </c>
      <c r="BA76" s="436">
        <f t="shared" si="58"/>
        <v>1476.1083749999998</v>
      </c>
      <c r="BB76" s="436">
        <f t="shared" si="58"/>
        <v>1574.5155999999997</v>
      </c>
      <c r="BC76" s="436">
        <f t="shared" si="58"/>
        <v>1672.9228249999996</v>
      </c>
      <c r="BD76" s="436">
        <f t="shared" si="58"/>
        <v>1771.3300499999996</v>
      </c>
      <c r="BE76" s="436">
        <f t="shared" si="58"/>
        <v>1869.7372749999997</v>
      </c>
      <c r="BF76" s="436">
        <f t="shared" si="58"/>
        <v>1968.1444999999997</v>
      </c>
      <c r="BG76" s="436">
        <f t="shared" si="58"/>
        <v>2164.9589499999997</v>
      </c>
      <c r="BH76" s="436">
        <f t="shared" si="58"/>
        <v>2361.7733999999996</v>
      </c>
      <c r="BI76" s="436">
        <f t="shared" si="59"/>
        <v>2460.1806249999995</v>
      </c>
      <c r="BJ76" s="436">
        <f t="shared" si="59"/>
        <v>2558.5878499999994</v>
      </c>
      <c r="BK76" s="436">
        <f t="shared" si="59"/>
        <v>2755.4022999999997</v>
      </c>
      <c r="BL76" s="436">
        <f t="shared" si="59"/>
        <v>2952.2167499999996</v>
      </c>
      <c r="BM76" s="436">
        <f t="shared" si="59"/>
        <v>3149.0311999999994</v>
      </c>
      <c r="BN76" s="436">
        <f t="shared" si="59"/>
        <v>3345.8456499999993</v>
      </c>
      <c r="BO76" s="436">
        <f t="shared" si="59"/>
        <v>3444.2528749999992</v>
      </c>
      <c r="BP76" s="436">
        <f t="shared" si="59"/>
        <v>3542.6600999999991</v>
      </c>
      <c r="BQ76" s="436">
        <f t="shared" si="59"/>
        <v>3739.4745499999995</v>
      </c>
      <c r="BR76" s="436">
        <f t="shared" si="59"/>
        <v>3936.2889999999993</v>
      </c>
      <c r="BS76" s="436">
        <f t="shared" si="60"/>
        <v>4428.3251249999994</v>
      </c>
      <c r="BT76" s="436">
        <f t="shared" si="60"/>
        <v>4920.361249999999</v>
      </c>
      <c r="BU76" s="436">
        <f t="shared" si="60"/>
        <v>5412.3973749999986</v>
      </c>
      <c r="BV76" s="436">
        <f t="shared" si="60"/>
        <v>5904.4334999999992</v>
      </c>
      <c r="BW76" s="436">
        <f t="shared" si="60"/>
        <v>6888.5057499999984</v>
      </c>
      <c r="BX76" s="436">
        <f t="shared" si="60"/>
        <v>7872.5779999999986</v>
      </c>
      <c r="BY76" s="436">
        <f t="shared" si="60"/>
        <v>8856.6502499999988</v>
      </c>
      <c r="BZ76" s="436">
        <f t="shared" si="60"/>
        <v>9840.722499999998</v>
      </c>
      <c r="CA76" s="436">
        <f t="shared" si="60"/>
        <v>10824.794749999997</v>
      </c>
      <c r="CB76" s="436">
        <f t="shared" si="60"/>
        <v>11808.866999999998</v>
      </c>
      <c r="CC76" s="436">
        <f t="shared" si="60"/>
        <v>13777.011499999997</v>
      </c>
      <c r="CD76" s="436">
        <f t="shared" si="60"/>
        <v>15745.155999999997</v>
      </c>
      <c r="CE76" s="436">
        <f t="shared" si="60"/>
        <v>17713.300499999998</v>
      </c>
      <c r="CF76" s="436">
        <f t="shared" si="60"/>
        <v>19681.444999999996</v>
      </c>
      <c r="CG76" s="436" cm="1">
        <f t="array" ref="CG76">IF($M677=0, Vide, $M677)</f>
        <v>196.81444999999997</v>
      </c>
      <c r="CH76" s="435" t="s">
        <v>762</v>
      </c>
      <c r="CI76" s="435" t="s">
        <v>762</v>
      </c>
      <c r="CJ76" s="435" t="s">
        <v>762</v>
      </c>
      <c r="CK76" s="435" t="s">
        <v>762</v>
      </c>
      <c r="CL76" s="435" t="s">
        <v>762</v>
      </c>
    </row>
    <row r="77" spans="1:90" s="437" customFormat="1">
      <c r="A77" s="435" t="s">
        <v>585</v>
      </c>
      <c r="B77" s="435" t="s">
        <v>90</v>
      </c>
      <c r="C77" s="436" cm="1">
        <f t="array" ref="C77">IF($B678=0, Vide, $B678)</f>
        <v>41.433924999999995</v>
      </c>
      <c r="D77" s="436" cm="1">
        <f t="array" ref="D77">IF($B678=0, Vide, $B678)</f>
        <v>41.433924999999995</v>
      </c>
      <c r="E77" s="436" cm="1">
        <f t="array" ref="E77">IF($B678=0, Vide, $B678)</f>
        <v>41.433924999999995</v>
      </c>
      <c r="F77" s="436" cm="1">
        <f t="array" ref="F77">IF($B678=0, Vide, $B678)</f>
        <v>41.433924999999995</v>
      </c>
      <c r="G77" s="436" cm="1">
        <f t="array" ref="G77">IF($B678=0, Vide, $B678)</f>
        <v>41.433924999999995</v>
      </c>
      <c r="H77" s="436" cm="1">
        <f t="array" ref="H77">IF($C678=0, Vide, $C678)</f>
        <v>48.879599999999996</v>
      </c>
      <c r="I77" s="436" cm="1">
        <f t="array" ref="I77">IF($C678=0, Vide, $C678)</f>
        <v>48.879599999999996</v>
      </c>
      <c r="J77" s="436" cm="1">
        <f t="array" ref="J77">IF($C678=0, Vide, $C678)</f>
        <v>48.879599999999996</v>
      </c>
      <c r="K77" s="436" cm="1">
        <f t="array" ref="K77">IF($C678=0, Vide, $C678)</f>
        <v>48.879599999999996</v>
      </c>
      <c r="L77" s="436" cm="1">
        <f t="array" ref="L77">IF($C678=0, Vide, $C678)</f>
        <v>48.879599999999996</v>
      </c>
      <c r="M77" s="436" t="s">
        <v>762</v>
      </c>
      <c r="N77" s="436" t="s">
        <v>762</v>
      </c>
      <c r="O77" s="436" t="s">
        <v>762</v>
      </c>
      <c r="P77" s="436" t="s">
        <v>762</v>
      </c>
      <c r="Q77" s="436" t="s">
        <v>762</v>
      </c>
      <c r="R77" s="436" t="s">
        <v>762</v>
      </c>
      <c r="S77" s="436" t="s">
        <v>762</v>
      </c>
      <c r="T77" s="436" t="s">
        <v>762</v>
      </c>
      <c r="U77" s="436" t="s">
        <v>762</v>
      </c>
      <c r="V77" s="436" cm="1">
        <f t="array" ref="V77">IF($D678=0, Vide, $D678)</f>
        <v>65.146349999999984</v>
      </c>
      <c r="W77" s="436" cm="1">
        <f t="array" ref="W77">IF($E678=0, Vide, $E678)</f>
        <v>78.159750000000003</v>
      </c>
      <c r="X77" s="436" cm="1">
        <f t="array" ref="X77">IF($F678=0, Vide, $F678)</f>
        <v>94.439724999999967</v>
      </c>
      <c r="Y77" s="436" cm="1">
        <f t="array" ref="Y77">IF($G678=0, Vide, $G678)</f>
        <v>110.75937499999998</v>
      </c>
      <c r="Z77" s="436" cm="1">
        <f t="array" ref="Z77">IF($H678=0, Vide, $H678)</f>
        <v>127.31707499999997</v>
      </c>
      <c r="AA77" s="436" cm="1">
        <f t="array" ref="AA77">IF($I678=0, Vide, $I678)</f>
        <v>144.43022499999998</v>
      </c>
      <c r="AB77" s="436" cm="1">
        <f t="array" ref="AB77">IF($J678=0, Vide, $J678)</f>
        <v>161.86077499999996</v>
      </c>
      <c r="AC77" s="436" cm="1">
        <f t="array" ref="AC77">IF($K678=0, Vide, $K678)</f>
        <v>179.29132499999997</v>
      </c>
      <c r="AD77" s="436" cm="1">
        <f t="array" ref="AD77">IF($L678=0, Vide, $L678)</f>
        <v>202.72602499999996</v>
      </c>
      <c r="AE77" s="436">
        <f t="shared" si="56"/>
        <v>222.99862749999997</v>
      </c>
      <c r="AF77" s="436">
        <f t="shared" si="56"/>
        <v>253.40753124999995</v>
      </c>
      <c r="AG77" s="436">
        <f t="shared" si="56"/>
        <v>304.08903749999996</v>
      </c>
      <c r="AH77" s="436">
        <f t="shared" si="56"/>
        <v>354.77054374999994</v>
      </c>
      <c r="AI77" s="436">
        <f t="shared" si="56"/>
        <v>407.47931024999991</v>
      </c>
      <c r="AJ77" s="436">
        <f t="shared" si="56"/>
        <v>456.13355624999991</v>
      </c>
      <c r="AK77" s="436">
        <f t="shared" si="56"/>
        <v>506.8150624999999</v>
      </c>
      <c r="AL77" s="436">
        <f t="shared" si="56"/>
        <v>610.20533524999985</v>
      </c>
      <c r="AM77" s="436">
        <f t="shared" si="56"/>
        <v>658.85958124999991</v>
      </c>
      <c r="AN77" s="436">
        <f t="shared" si="56"/>
        <v>709.54108749999989</v>
      </c>
      <c r="AO77" s="436">
        <f t="shared" si="57"/>
        <v>760.22259374999987</v>
      </c>
      <c r="AP77" s="436">
        <f t="shared" si="57"/>
        <v>812.93136024999978</v>
      </c>
      <c r="AQ77" s="436">
        <f t="shared" si="57"/>
        <v>861.58560624999984</v>
      </c>
      <c r="AR77" s="436">
        <f t="shared" si="57"/>
        <v>912.26711249999983</v>
      </c>
      <c r="AS77" s="436">
        <f t="shared" si="57"/>
        <v>962.94861874999981</v>
      </c>
      <c r="AT77" s="436">
        <f t="shared" si="57"/>
        <v>1013.6301249999998</v>
      </c>
      <c r="AU77" s="436">
        <f t="shared" si="57"/>
        <v>1064.3116312499999</v>
      </c>
      <c r="AV77" s="436">
        <f t="shared" si="57"/>
        <v>1114.9931374999999</v>
      </c>
      <c r="AW77" s="436">
        <f t="shared" si="57"/>
        <v>1165.6746437499999</v>
      </c>
      <c r="AX77" s="436">
        <f t="shared" si="57"/>
        <v>1216.3561499999998</v>
      </c>
      <c r="AY77" s="436">
        <f t="shared" si="58"/>
        <v>1317.7191624999998</v>
      </c>
      <c r="AZ77" s="436">
        <f t="shared" si="58"/>
        <v>1419.0821749999998</v>
      </c>
      <c r="BA77" s="436">
        <f t="shared" si="58"/>
        <v>1520.4451874999997</v>
      </c>
      <c r="BB77" s="436">
        <f t="shared" si="58"/>
        <v>1621.8081999999997</v>
      </c>
      <c r="BC77" s="436">
        <f t="shared" si="58"/>
        <v>1723.1712124999997</v>
      </c>
      <c r="BD77" s="436">
        <f t="shared" si="58"/>
        <v>1824.5342249999997</v>
      </c>
      <c r="BE77" s="436">
        <f t="shared" si="58"/>
        <v>1925.8972374999996</v>
      </c>
      <c r="BF77" s="436">
        <f t="shared" si="58"/>
        <v>2027.2602499999996</v>
      </c>
      <c r="BG77" s="436">
        <f t="shared" si="58"/>
        <v>2229.9862749999998</v>
      </c>
      <c r="BH77" s="436">
        <f t="shared" si="58"/>
        <v>2432.7122999999997</v>
      </c>
      <c r="BI77" s="436">
        <f t="shared" si="59"/>
        <v>2534.0753124999997</v>
      </c>
      <c r="BJ77" s="436">
        <f t="shared" si="59"/>
        <v>2635.4383249999996</v>
      </c>
      <c r="BK77" s="436">
        <f t="shared" si="59"/>
        <v>2838.1643499999996</v>
      </c>
      <c r="BL77" s="436">
        <f t="shared" si="59"/>
        <v>3040.8903749999995</v>
      </c>
      <c r="BM77" s="436">
        <f t="shared" si="59"/>
        <v>3243.6163999999994</v>
      </c>
      <c r="BN77" s="436">
        <f t="shared" si="59"/>
        <v>3446.3424249999994</v>
      </c>
      <c r="BO77" s="436">
        <f t="shared" si="59"/>
        <v>3547.7054374999993</v>
      </c>
      <c r="BP77" s="436">
        <f t="shared" si="59"/>
        <v>3649.0684499999993</v>
      </c>
      <c r="BQ77" s="436">
        <f t="shared" si="59"/>
        <v>3851.7944749999992</v>
      </c>
      <c r="BR77" s="436">
        <f t="shared" si="59"/>
        <v>4054.5204999999992</v>
      </c>
      <c r="BS77" s="436">
        <f t="shared" si="60"/>
        <v>4561.3355624999995</v>
      </c>
      <c r="BT77" s="436">
        <f t="shared" si="60"/>
        <v>5068.1506249999993</v>
      </c>
      <c r="BU77" s="436">
        <f t="shared" si="60"/>
        <v>5574.9656874999991</v>
      </c>
      <c r="BV77" s="436">
        <f t="shared" si="60"/>
        <v>6081.780749999999</v>
      </c>
      <c r="BW77" s="436">
        <f t="shared" si="60"/>
        <v>7095.4108749999987</v>
      </c>
      <c r="BX77" s="436">
        <f t="shared" si="60"/>
        <v>8109.0409999999983</v>
      </c>
      <c r="BY77" s="436">
        <f t="shared" si="60"/>
        <v>9122.6711249999989</v>
      </c>
      <c r="BZ77" s="436">
        <f t="shared" si="60"/>
        <v>10136.301249999999</v>
      </c>
      <c r="CA77" s="436">
        <f t="shared" si="60"/>
        <v>11149.931374999998</v>
      </c>
      <c r="CB77" s="436">
        <f t="shared" si="60"/>
        <v>12163.561499999998</v>
      </c>
      <c r="CC77" s="436">
        <f t="shared" si="60"/>
        <v>14190.821749999997</v>
      </c>
      <c r="CD77" s="436">
        <f t="shared" si="60"/>
        <v>16218.081999999997</v>
      </c>
      <c r="CE77" s="436">
        <f t="shared" si="60"/>
        <v>18245.342249999998</v>
      </c>
      <c r="CF77" s="436">
        <f t="shared" si="60"/>
        <v>20272.602499999997</v>
      </c>
      <c r="CG77" s="436" cm="1">
        <f t="array" ref="CG77">IF($M678=0, Vide, $M678)</f>
        <v>202.72602499999996</v>
      </c>
      <c r="CH77" s="435" t="s">
        <v>762</v>
      </c>
      <c r="CI77" s="435" t="s">
        <v>762</v>
      </c>
      <c r="CJ77" s="435" t="s">
        <v>762</v>
      </c>
      <c r="CK77" s="435" t="s">
        <v>762</v>
      </c>
      <c r="CL77" s="435" t="s">
        <v>762</v>
      </c>
    </row>
    <row r="78" spans="1:90" s="437" customFormat="1">
      <c r="A78" s="435" t="s">
        <v>586</v>
      </c>
      <c r="B78" s="435" t="s">
        <v>90</v>
      </c>
      <c r="C78" s="436" t="s">
        <v>762</v>
      </c>
      <c r="D78" s="436" t="s">
        <v>762</v>
      </c>
      <c r="E78" s="436" t="s">
        <v>762</v>
      </c>
      <c r="F78" s="436" t="s">
        <v>762</v>
      </c>
      <c r="G78" s="436" t="s">
        <v>762</v>
      </c>
      <c r="H78" s="436" t="s">
        <v>762</v>
      </c>
      <c r="I78" s="436" t="s">
        <v>762</v>
      </c>
      <c r="J78" s="436" t="s">
        <v>762</v>
      </c>
      <c r="K78" s="436" t="s">
        <v>762</v>
      </c>
      <c r="L78" s="436" t="s">
        <v>762</v>
      </c>
      <c r="M78" s="436" t="s">
        <v>762</v>
      </c>
      <c r="N78" s="436" t="s">
        <v>762</v>
      </c>
      <c r="O78" s="436" t="s">
        <v>762</v>
      </c>
      <c r="P78" s="436" t="s">
        <v>762</v>
      </c>
      <c r="Q78" s="436" t="s">
        <v>762</v>
      </c>
      <c r="R78" s="436" t="s">
        <v>762</v>
      </c>
      <c r="S78" s="436" t="s">
        <v>762</v>
      </c>
      <c r="T78" s="436" t="s">
        <v>762</v>
      </c>
      <c r="U78" s="436" t="s">
        <v>762</v>
      </c>
      <c r="V78" s="436" t="s">
        <v>762</v>
      </c>
      <c r="W78" s="436" t="s">
        <v>762</v>
      </c>
      <c r="X78" s="436" t="s">
        <v>762</v>
      </c>
      <c r="Y78" s="436" t="s">
        <v>762</v>
      </c>
      <c r="Z78" s="436" t="s">
        <v>762</v>
      </c>
      <c r="AA78" s="436" t="s">
        <v>762</v>
      </c>
      <c r="AB78" s="436" t="s">
        <v>762</v>
      </c>
      <c r="AC78" s="436" t="s">
        <v>762</v>
      </c>
      <c r="AD78" s="436" t="s">
        <v>762</v>
      </c>
      <c r="AE78" s="436" t="s">
        <v>762</v>
      </c>
      <c r="AF78" s="436" t="s">
        <v>762</v>
      </c>
      <c r="AG78" s="436" t="s">
        <v>762</v>
      </c>
      <c r="AH78" s="436" t="s">
        <v>762</v>
      </c>
      <c r="AI78" s="436" t="s">
        <v>762</v>
      </c>
      <c r="AJ78" s="436" t="s">
        <v>762</v>
      </c>
      <c r="AK78" s="436" t="s">
        <v>762</v>
      </c>
      <c r="AL78" s="436" t="s">
        <v>762</v>
      </c>
      <c r="AM78" s="436" t="s">
        <v>762</v>
      </c>
      <c r="AN78" s="436" t="s">
        <v>762</v>
      </c>
      <c r="AO78" s="436" t="s">
        <v>762</v>
      </c>
      <c r="AP78" s="436" t="s">
        <v>762</v>
      </c>
      <c r="AQ78" s="436" t="s">
        <v>762</v>
      </c>
      <c r="AR78" s="436" t="s">
        <v>762</v>
      </c>
      <c r="AS78" s="436" t="s">
        <v>762</v>
      </c>
      <c r="AT78" s="436" t="s">
        <v>762</v>
      </c>
      <c r="AU78" s="436" t="s">
        <v>762</v>
      </c>
      <c r="AV78" s="436" t="s">
        <v>762</v>
      </c>
      <c r="AW78" s="436" t="s">
        <v>762</v>
      </c>
      <c r="AX78" s="436" t="s">
        <v>762</v>
      </c>
      <c r="AY78" s="436" t="s">
        <v>762</v>
      </c>
      <c r="AZ78" s="436" t="s">
        <v>762</v>
      </c>
      <c r="BA78" s="436" t="s">
        <v>762</v>
      </c>
      <c r="BB78" s="436" t="s">
        <v>762</v>
      </c>
      <c r="BC78" s="436" t="s">
        <v>762</v>
      </c>
      <c r="BD78" s="436" t="s">
        <v>762</v>
      </c>
      <c r="BE78" s="436" t="s">
        <v>762</v>
      </c>
      <c r="BF78" s="436" t="s">
        <v>762</v>
      </c>
      <c r="BG78" s="436" t="s">
        <v>762</v>
      </c>
      <c r="BH78" s="436" t="s">
        <v>762</v>
      </c>
      <c r="BI78" s="436" t="s">
        <v>762</v>
      </c>
      <c r="BJ78" s="436" t="s">
        <v>762</v>
      </c>
      <c r="BK78" s="436" t="s">
        <v>762</v>
      </c>
      <c r="BL78" s="436" t="s">
        <v>762</v>
      </c>
      <c r="BM78" s="436" t="s">
        <v>762</v>
      </c>
      <c r="BN78" s="436" t="s">
        <v>762</v>
      </c>
      <c r="BO78" s="436" t="s">
        <v>762</v>
      </c>
      <c r="BP78" s="436" t="s">
        <v>762</v>
      </c>
      <c r="BQ78" s="436" t="s">
        <v>762</v>
      </c>
      <c r="BR78" s="436" t="s">
        <v>762</v>
      </c>
      <c r="BS78" s="436" t="s">
        <v>762</v>
      </c>
      <c r="BT78" s="436" t="s">
        <v>762</v>
      </c>
      <c r="BU78" s="436" t="s">
        <v>762</v>
      </c>
      <c r="BV78" s="436" t="s">
        <v>762</v>
      </c>
      <c r="BW78" s="436" t="s">
        <v>762</v>
      </c>
      <c r="BX78" s="436" t="s">
        <v>762</v>
      </c>
      <c r="BY78" s="436" t="s">
        <v>762</v>
      </c>
      <c r="BZ78" s="436" t="s">
        <v>762</v>
      </c>
      <c r="CA78" s="436" t="s">
        <v>762</v>
      </c>
      <c r="CB78" s="436" t="s">
        <v>762</v>
      </c>
      <c r="CC78" s="436" t="s">
        <v>762</v>
      </c>
      <c r="CD78" s="436" t="s">
        <v>762</v>
      </c>
      <c r="CE78" s="436" t="s">
        <v>762</v>
      </c>
      <c r="CF78" s="436" t="s">
        <v>762</v>
      </c>
      <c r="CG78" s="436" t="s">
        <v>762</v>
      </c>
      <c r="CH78" s="436" t="s">
        <v>762</v>
      </c>
      <c r="CI78" s="436" t="s">
        <v>762</v>
      </c>
      <c r="CJ78" s="436" t="s">
        <v>762</v>
      </c>
      <c r="CK78" s="436" t="s">
        <v>762</v>
      </c>
      <c r="CL78" s="436" t="s">
        <v>762</v>
      </c>
    </row>
    <row r="79" spans="1:90" s="437" customFormat="1">
      <c r="A79" s="435" t="s">
        <v>587</v>
      </c>
      <c r="B79" s="435" t="s">
        <v>90</v>
      </c>
      <c r="C79" s="436" cm="1">
        <f t="array" ref="C79">IF($B680=0, Vide, $B680)</f>
        <v>41.433924999999995</v>
      </c>
      <c r="D79" s="436" cm="1">
        <f t="array" ref="D79">IF($B680=0, Vide, $B680)</f>
        <v>41.433924999999995</v>
      </c>
      <c r="E79" s="436" cm="1">
        <f t="array" ref="E79">IF($B680=0, Vide, $B680)</f>
        <v>41.433924999999995</v>
      </c>
      <c r="F79" s="436" cm="1">
        <f t="array" ref="F79">IF($B680=0, Vide, $B680)</f>
        <v>41.433924999999995</v>
      </c>
      <c r="G79" s="436" cm="1">
        <f t="array" ref="G79">IF($B680=0, Vide, $B680)</f>
        <v>41.433924999999995</v>
      </c>
      <c r="H79" s="436" cm="1">
        <f t="array" ref="H79">IF($C680=0, Vide, $C680)</f>
        <v>48.879599999999996</v>
      </c>
      <c r="I79" s="436" cm="1">
        <f t="array" ref="I79">IF($C680=0, Vide, $C680)</f>
        <v>48.879599999999996</v>
      </c>
      <c r="J79" s="436" cm="1">
        <f t="array" ref="J79">IF($C680=0, Vide, $C680)</f>
        <v>48.879599999999996</v>
      </c>
      <c r="K79" s="436" cm="1">
        <f t="array" ref="K79">IF($C680=0, Vide, $C680)</f>
        <v>48.879599999999996</v>
      </c>
      <c r="L79" s="436" cm="1">
        <f t="array" ref="L79">IF($C680=0, Vide, $C680)</f>
        <v>48.879599999999996</v>
      </c>
      <c r="M79" s="436" t="s">
        <v>762</v>
      </c>
      <c r="N79" s="436" t="s">
        <v>762</v>
      </c>
      <c r="O79" s="436" t="s">
        <v>762</v>
      </c>
      <c r="P79" s="436" t="s">
        <v>762</v>
      </c>
      <c r="Q79" s="436" t="s">
        <v>762</v>
      </c>
      <c r="R79" s="436" t="s">
        <v>762</v>
      </c>
      <c r="S79" s="436" t="s">
        <v>762</v>
      </c>
      <c r="T79" s="436" t="s">
        <v>762</v>
      </c>
      <c r="U79" s="436" t="s">
        <v>762</v>
      </c>
      <c r="V79" s="436" cm="1">
        <f t="array" ref="V79">IF($D680=0, Vide, $D680)</f>
        <v>65.146349999999984</v>
      </c>
      <c r="W79" s="436" cm="1">
        <f t="array" ref="W79">IF($E680=0, Vide, $E680)</f>
        <v>78.159750000000003</v>
      </c>
      <c r="X79" s="436" cm="1">
        <f t="array" ref="X79">IF($F680=0, Vide, $F680)</f>
        <v>94.439724999999967</v>
      </c>
      <c r="Y79" s="436" cm="1">
        <f t="array" ref="Y79">IF($G680=0, Vide, $G680)</f>
        <v>110.75937499999998</v>
      </c>
      <c r="Z79" s="436" cm="1">
        <f t="array" ref="Z79">IF($H680=0, Vide, $H680)</f>
        <v>127.31707499999997</v>
      </c>
      <c r="AA79" s="436" cm="1">
        <f t="array" ref="AA79">IF($I680=0, Vide, $I680)</f>
        <v>144.43022499999998</v>
      </c>
      <c r="AB79" s="436" cm="1">
        <f t="array" ref="AB79">IF($J680=0, Vide, $J680)</f>
        <v>161.86077499999996</v>
      </c>
      <c r="AC79" s="436" cm="1">
        <f t="array" ref="AC79">IF($K680=0, Vide, $K680)</f>
        <v>179.29132499999997</v>
      </c>
      <c r="AD79" s="436" cm="1">
        <f t="array" ref="AD79">IF($L680=0, Vide, $L680)</f>
        <v>202.72602499999996</v>
      </c>
      <c r="AE79" s="436">
        <f t="shared" ref="AE79:BJ79" si="61">(AE$1/100)*$CG79</f>
        <v>222.99862749999997</v>
      </c>
      <c r="AF79" s="436">
        <f t="shared" si="61"/>
        <v>253.40753124999995</v>
      </c>
      <c r="AG79" s="436">
        <f t="shared" si="61"/>
        <v>304.08903749999996</v>
      </c>
      <c r="AH79" s="436">
        <f t="shared" si="61"/>
        <v>354.77054374999994</v>
      </c>
      <c r="AI79" s="436">
        <f t="shared" si="61"/>
        <v>407.47931024999991</v>
      </c>
      <c r="AJ79" s="436">
        <f t="shared" si="61"/>
        <v>456.13355624999991</v>
      </c>
      <c r="AK79" s="436">
        <f t="shared" si="61"/>
        <v>506.8150624999999</v>
      </c>
      <c r="AL79" s="436">
        <f t="shared" si="61"/>
        <v>610.20533524999985</v>
      </c>
      <c r="AM79" s="436">
        <f t="shared" si="61"/>
        <v>658.85958124999991</v>
      </c>
      <c r="AN79" s="436">
        <f t="shared" si="61"/>
        <v>709.54108749999989</v>
      </c>
      <c r="AO79" s="436">
        <f t="shared" si="61"/>
        <v>760.22259374999987</v>
      </c>
      <c r="AP79" s="436">
        <f t="shared" si="61"/>
        <v>812.93136024999978</v>
      </c>
      <c r="AQ79" s="436">
        <f t="shared" si="61"/>
        <v>861.58560624999984</v>
      </c>
      <c r="AR79" s="436">
        <f t="shared" si="61"/>
        <v>912.26711249999983</v>
      </c>
      <c r="AS79" s="436">
        <f t="shared" si="61"/>
        <v>962.94861874999981</v>
      </c>
      <c r="AT79" s="436">
        <f t="shared" si="61"/>
        <v>1013.6301249999998</v>
      </c>
      <c r="AU79" s="436">
        <f t="shared" si="61"/>
        <v>1064.3116312499999</v>
      </c>
      <c r="AV79" s="436">
        <f t="shared" si="61"/>
        <v>1114.9931374999999</v>
      </c>
      <c r="AW79" s="436">
        <f t="shared" si="61"/>
        <v>1165.6746437499999</v>
      </c>
      <c r="AX79" s="436">
        <f t="shared" si="61"/>
        <v>1216.3561499999998</v>
      </c>
      <c r="AY79" s="436">
        <f t="shared" si="61"/>
        <v>1317.7191624999998</v>
      </c>
      <c r="AZ79" s="436">
        <f t="shared" si="61"/>
        <v>1419.0821749999998</v>
      </c>
      <c r="BA79" s="436">
        <f t="shared" si="61"/>
        <v>1520.4451874999997</v>
      </c>
      <c r="BB79" s="436">
        <f t="shared" si="61"/>
        <v>1621.8081999999997</v>
      </c>
      <c r="BC79" s="436">
        <f t="shared" si="61"/>
        <v>1723.1712124999997</v>
      </c>
      <c r="BD79" s="436">
        <f t="shared" si="61"/>
        <v>1824.5342249999997</v>
      </c>
      <c r="BE79" s="436">
        <f t="shared" si="61"/>
        <v>1925.8972374999996</v>
      </c>
      <c r="BF79" s="436">
        <f t="shared" si="61"/>
        <v>2027.2602499999996</v>
      </c>
      <c r="BG79" s="436">
        <f t="shared" si="61"/>
        <v>2229.9862749999998</v>
      </c>
      <c r="BH79" s="436">
        <f t="shared" si="61"/>
        <v>2432.7122999999997</v>
      </c>
      <c r="BI79" s="436">
        <f t="shared" si="61"/>
        <v>2534.0753124999997</v>
      </c>
      <c r="BJ79" s="436">
        <f t="shared" si="61"/>
        <v>2635.4383249999996</v>
      </c>
      <c r="BK79" s="436">
        <f t="shared" ref="BK79:CF79" si="62">(BK$1/100)*$CG79</f>
        <v>2838.1643499999996</v>
      </c>
      <c r="BL79" s="436">
        <f t="shared" si="62"/>
        <v>3040.8903749999995</v>
      </c>
      <c r="BM79" s="436">
        <f t="shared" si="62"/>
        <v>3243.6163999999994</v>
      </c>
      <c r="BN79" s="436">
        <f t="shared" si="62"/>
        <v>3446.3424249999994</v>
      </c>
      <c r="BO79" s="436">
        <f t="shared" si="62"/>
        <v>3547.7054374999993</v>
      </c>
      <c r="BP79" s="436">
        <f t="shared" si="62"/>
        <v>3649.0684499999993</v>
      </c>
      <c r="BQ79" s="436">
        <f t="shared" si="62"/>
        <v>3851.7944749999992</v>
      </c>
      <c r="BR79" s="436">
        <f t="shared" si="62"/>
        <v>4054.5204999999992</v>
      </c>
      <c r="BS79" s="436">
        <f t="shared" si="62"/>
        <v>4561.3355624999995</v>
      </c>
      <c r="BT79" s="436">
        <f t="shared" si="62"/>
        <v>5068.1506249999993</v>
      </c>
      <c r="BU79" s="436">
        <f t="shared" si="62"/>
        <v>5574.9656874999991</v>
      </c>
      <c r="BV79" s="436">
        <f t="shared" si="62"/>
        <v>6081.780749999999</v>
      </c>
      <c r="BW79" s="436">
        <f t="shared" si="62"/>
        <v>7095.4108749999987</v>
      </c>
      <c r="BX79" s="436">
        <f t="shared" si="62"/>
        <v>8109.0409999999983</v>
      </c>
      <c r="BY79" s="436">
        <f t="shared" si="62"/>
        <v>9122.6711249999989</v>
      </c>
      <c r="BZ79" s="436">
        <f t="shared" si="62"/>
        <v>10136.301249999999</v>
      </c>
      <c r="CA79" s="436">
        <f t="shared" si="62"/>
        <v>11149.931374999998</v>
      </c>
      <c r="CB79" s="436">
        <f t="shared" si="62"/>
        <v>12163.561499999998</v>
      </c>
      <c r="CC79" s="436">
        <f t="shared" si="62"/>
        <v>14190.821749999997</v>
      </c>
      <c r="CD79" s="436">
        <f t="shared" si="62"/>
        <v>16218.081999999997</v>
      </c>
      <c r="CE79" s="436">
        <f t="shared" si="62"/>
        <v>18245.342249999998</v>
      </c>
      <c r="CF79" s="436">
        <f t="shared" si="62"/>
        <v>20272.602499999997</v>
      </c>
      <c r="CG79" s="436" cm="1">
        <f t="array" ref="CG79">IF($M680=0, Vide, $M680)</f>
        <v>202.72602499999996</v>
      </c>
      <c r="CH79" s="435" t="s">
        <v>762</v>
      </c>
      <c r="CI79" s="435" t="s">
        <v>762</v>
      </c>
      <c r="CJ79" s="435" t="s">
        <v>762</v>
      </c>
      <c r="CK79" s="435" t="s">
        <v>762</v>
      </c>
      <c r="CL79" s="435" t="s">
        <v>762</v>
      </c>
    </row>
    <row r="80" spans="1:90" s="437" customFormat="1">
      <c r="A80" s="435" t="s">
        <v>588</v>
      </c>
      <c r="B80" s="435" t="s">
        <v>90</v>
      </c>
      <c r="C80" s="436" t="s">
        <v>762</v>
      </c>
      <c r="D80" s="436" t="s">
        <v>762</v>
      </c>
      <c r="E80" s="436" t="s">
        <v>762</v>
      </c>
      <c r="F80" s="436" t="s">
        <v>762</v>
      </c>
      <c r="G80" s="436" t="s">
        <v>762</v>
      </c>
      <c r="H80" s="436" t="s">
        <v>762</v>
      </c>
      <c r="I80" s="436" t="s">
        <v>762</v>
      </c>
      <c r="J80" s="436" t="s">
        <v>762</v>
      </c>
      <c r="K80" s="436" t="s">
        <v>762</v>
      </c>
      <c r="L80" s="436" t="s">
        <v>762</v>
      </c>
      <c r="M80" s="436" t="s">
        <v>762</v>
      </c>
      <c r="N80" s="436" t="s">
        <v>762</v>
      </c>
      <c r="O80" s="436" t="s">
        <v>762</v>
      </c>
      <c r="P80" s="436" t="s">
        <v>762</v>
      </c>
      <c r="Q80" s="436" t="s">
        <v>762</v>
      </c>
      <c r="R80" s="436" t="s">
        <v>762</v>
      </c>
      <c r="S80" s="436" t="s">
        <v>762</v>
      </c>
      <c r="T80" s="436" t="s">
        <v>762</v>
      </c>
      <c r="U80" s="436" t="s">
        <v>762</v>
      </c>
      <c r="V80" s="436" t="s">
        <v>762</v>
      </c>
      <c r="W80" s="436" t="s">
        <v>762</v>
      </c>
      <c r="X80" s="436" t="s">
        <v>762</v>
      </c>
      <c r="Y80" s="436" t="s">
        <v>762</v>
      </c>
      <c r="Z80" s="436" t="s">
        <v>762</v>
      </c>
      <c r="AA80" s="436" t="s">
        <v>762</v>
      </c>
      <c r="AB80" s="436" t="s">
        <v>762</v>
      </c>
      <c r="AC80" s="436" t="s">
        <v>762</v>
      </c>
      <c r="AD80" s="436" t="s">
        <v>762</v>
      </c>
      <c r="AE80" s="436" t="s">
        <v>762</v>
      </c>
      <c r="AF80" s="436" t="s">
        <v>762</v>
      </c>
      <c r="AG80" s="436" t="s">
        <v>762</v>
      </c>
      <c r="AH80" s="436" t="s">
        <v>762</v>
      </c>
      <c r="AI80" s="436" t="s">
        <v>762</v>
      </c>
      <c r="AJ80" s="436" t="s">
        <v>762</v>
      </c>
      <c r="AK80" s="436" t="s">
        <v>762</v>
      </c>
      <c r="AL80" s="436" t="s">
        <v>762</v>
      </c>
      <c r="AM80" s="436" t="s">
        <v>762</v>
      </c>
      <c r="AN80" s="436" t="s">
        <v>762</v>
      </c>
      <c r="AO80" s="436" t="s">
        <v>762</v>
      </c>
      <c r="AP80" s="436" t="s">
        <v>762</v>
      </c>
      <c r="AQ80" s="436" t="s">
        <v>762</v>
      </c>
      <c r="AR80" s="436" t="s">
        <v>762</v>
      </c>
      <c r="AS80" s="436" t="s">
        <v>762</v>
      </c>
      <c r="AT80" s="436" t="s">
        <v>762</v>
      </c>
      <c r="AU80" s="436" t="s">
        <v>762</v>
      </c>
      <c r="AV80" s="436" t="s">
        <v>762</v>
      </c>
      <c r="AW80" s="436" t="s">
        <v>762</v>
      </c>
      <c r="AX80" s="436" t="s">
        <v>762</v>
      </c>
      <c r="AY80" s="436" t="s">
        <v>762</v>
      </c>
      <c r="AZ80" s="436" t="s">
        <v>762</v>
      </c>
      <c r="BA80" s="436" t="s">
        <v>762</v>
      </c>
      <c r="BB80" s="436" t="s">
        <v>762</v>
      </c>
      <c r="BC80" s="436" t="s">
        <v>762</v>
      </c>
      <c r="BD80" s="436" t="s">
        <v>762</v>
      </c>
      <c r="BE80" s="436" t="s">
        <v>762</v>
      </c>
      <c r="BF80" s="436" t="s">
        <v>762</v>
      </c>
      <c r="BG80" s="436" t="s">
        <v>762</v>
      </c>
      <c r="BH80" s="436" t="s">
        <v>762</v>
      </c>
      <c r="BI80" s="436" t="s">
        <v>762</v>
      </c>
      <c r="BJ80" s="436" t="s">
        <v>762</v>
      </c>
      <c r="BK80" s="436" t="s">
        <v>762</v>
      </c>
      <c r="BL80" s="436" t="s">
        <v>762</v>
      </c>
      <c r="BM80" s="436" t="s">
        <v>762</v>
      </c>
      <c r="BN80" s="436" t="s">
        <v>762</v>
      </c>
      <c r="BO80" s="436" t="s">
        <v>762</v>
      </c>
      <c r="BP80" s="436" t="s">
        <v>762</v>
      </c>
      <c r="BQ80" s="436" t="s">
        <v>762</v>
      </c>
      <c r="BR80" s="436" t="s">
        <v>762</v>
      </c>
      <c r="BS80" s="436" t="s">
        <v>762</v>
      </c>
      <c r="BT80" s="436" t="s">
        <v>762</v>
      </c>
      <c r="BU80" s="436" t="s">
        <v>762</v>
      </c>
      <c r="BV80" s="436" t="s">
        <v>762</v>
      </c>
      <c r="BW80" s="436" t="s">
        <v>762</v>
      </c>
      <c r="BX80" s="436" t="s">
        <v>762</v>
      </c>
      <c r="BY80" s="436" t="s">
        <v>762</v>
      </c>
      <c r="BZ80" s="436" t="s">
        <v>762</v>
      </c>
      <c r="CA80" s="436" t="s">
        <v>762</v>
      </c>
      <c r="CB80" s="436" t="s">
        <v>762</v>
      </c>
      <c r="CC80" s="436" t="s">
        <v>762</v>
      </c>
      <c r="CD80" s="436" t="s">
        <v>762</v>
      </c>
      <c r="CE80" s="436" t="s">
        <v>762</v>
      </c>
      <c r="CF80" s="436" t="s">
        <v>762</v>
      </c>
      <c r="CG80" s="436" t="s">
        <v>762</v>
      </c>
      <c r="CH80" s="436" t="s">
        <v>762</v>
      </c>
      <c r="CI80" s="436" t="s">
        <v>762</v>
      </c>
      <c r="CJ80" s="436" t="s">
        <v>762</v>
      </c>
      <c r="CK80" s="436" t="s">
        <v>762</v>
      </c>
      <c r="CL80" s="436" t="s">
        <v>762</v>
      </c>
    </row>
    <row r="81" spans="1:90" s="437" customFormat="1">
      <c r="A81" s="435" t="s">
        <v>589</v>
      </c>
      <c r="B81" s="435" t="s">
        <v>90</v>
      </c>
      <c r="C81" s="436" cm="1">
        <f t="array" ref="C81">IF($B682=0, Vide, $B682)</f>
        <v>41.433924999999995</v>
      </c>
      <c r="D81" s="436" cm="1">
        <f t="array" ref="D81">IF($B682=0, Vide, $B682)</f>
        <v>41.433924999999995</v>
      </c>
      <c r="E81" s="436" cm="1">
        <f t="array" ref="E81">IF($B682=0, Vide, $B682)</f>
        <v>41.433924999999995</v>
      </c>
      <c r="F81" s="436" cm="1">
        <f t="array" ref="F81">IF($B682=0, Vide, $B682)</f>
        <v>41.433924999999995</v>
      </c>
      <c r="G81" s="436" cm="1">
        <f t="array" ref="G81">IF($B682=0, Vide, $B682)</f>
        <v>41.433924999999995</v>
      </c>
      <c r="H81" s="436" cm="1">
        <f t="array" ref="H81">IF($C682=0, Vide, $C682)</f>
        <v>48.879599999999996</v>
      </c>
      <c r="I81" s="436" cm="1">
        <f t="array" ref="I81">IF($C682=0, Vide, $C682)</f>
        <v>48.879599999999996</v>
      </c>
      <c r="J81" s="436" cm="1">
        <f t="array" ref="J81">IF($C682=0, Vide, $C682)</f>
        <v>48.879599999999996</v>
      </c>
      <c r="K81" s="436" cm="1">
        <f t="array" ref="K81">IF($C682=0, Vide, $C682)</f>
        <v>48.879599999999996</v>
      </c>
      <c r="L81" s="436" cm="1">
        <f t="array" ref="L81">IF($C682=0, Vide, $C682)</f>
        <v>48.879599999999996</v>
      </c>
      <c r="M81" s="436" t="s">
        <v>762</v>
      </c>
      <c r="N81" s="436" t="s">
        <v>762</v>
      </c>
      <c r="O81" s="436" t="s">
        <v>762</v>
      </c>
      <c r="P81" s="436" t="s">
        <v>762</v>
      </c>
      <c r="Q81" s="436" t="s">
        <v>762</v>
      </c>
      <c r="R81" s="436" t="s">
        <v>762</v>
      </c>
      <c r="S81" s="436" t="s">
        <v>762</v>
      </c>
      <c r="T81" s="436" t="s">
        <v>762</v>
      </c>
      <c r="U81" s="436" t="s">
        <v>762</v>
      </c>
      <c r="V81" s="436" cm="1">
        <f t="array" ref="V81">IF($D682=0, Vide, $D682)</f>
        <v>65.146349999999984</v>
      </c>
      <c r="W81" s="436" cm="1">
        <f t="array" ref="W81">IF($E682=0, Vide, $E682)</f>
        <v>78.159750000000003</v>
      </c>
      <c r="X81" s="436" cm="1">
        <f t="array" ref="X81">IF($F682=0, Vide, $F682)</f>
        <v>94.439724999999967</v>
      </c>
      <c r="Y81" s="436" cm="1">
        <f t="array" ref="Y81">IF($G682=0, Vide, $G682)</f>
        <v>110.75937499999998</v>
      </c>
      <c r="Z81" s="436" cm="1">
        <f t="array" ref="Z81">IF($H682=0, Vide, $H682)</f>
        <v>127.31707499999997</v>
      </c>
      <c r="AA81" s="436" cm="1">
        <f t="array" ref="AA81">IF($I682=0, Vide, $I682)</f>
        <v>144.43022499999998</v>
      </c>
      <c r="AB81" s="436" cm="1">
        <f t="array" ref="AB81">IF($J682=0, Vide, $J682)</f>
        <v>161.86077499999996</v>
      </c>
      <c r="AC81" s="436" cm="1">
        <f t="array" ref="AC81">IF($K682=0, Vide, $K682)</f>
        <v>179.29132499999997</v>
      </c>
      <c r="AD81" s="436" cm="1">
        <f t="array" ref="AD81">IF($L682=0, Vide, $L682)</f>
        <v>202.72602499999996</v>
      </c>
      <c r="AE81" s="436">
        <f t="shared" ref="AE81:BJ81" si="63">(AE$1/100)*$CG81</f>
        <v>222.99862749999997</v>
      </c>
      <c r="AF81" s="436">
        <f t="shared" si="63"/>
        <v>253.40753124999995</v>
      </c>
      <c r="AG81" s="436">
        <f t="shared" si="63"/>
        <v>304.08903749999996</v>
      </c>
      <c r="AH81" s="436">
        <f t="shared" si="63"/>
        <v>354.77054374999994</v>
      </c>
      <c r="AI81" s="436">
        <f t="shared" si="63"/>
        <v>407.47931024999991</v>
      </c>
      <c r="AJ81" s="436">
        <f t="shared" si="63"/>
        <v>456.13355624999991</v>
      </c>
      <c r="AK81" s="436">
        <f t="shared" si="63"/>
        <v>506.8150624999999</v>
      </c>
      <c r="AL81" s="436">
        <f t="shared" si="63"/>
        <v>610.20533524999985</v>
      </c>
      <c r="AM81" s="436">
        <f t="shared" si="63"/>
        <v>658.85958124999991</v>
      </c>
      <c r="AN81" s="436">
        <f t="shared" si="63"/>
        <v>709.54108749999989</v>
      </c>
      <c r="AO81" s="436">
        <f t="shared" si="63"/>
        <v>760.22259374999987</v>
      </c>
      <c r="AP81" s="436">
        <f t="shared" si="63"/>
        <v>812.93136024999978</v>
      </c>
      <c r="AQ81" s="436">
        <f t="shared" si="63"/>
        <v>861.58560624999984</v>
      </c>
      <c r="AR81" s="436">
        <f t="shared" si="63"/>
        <v>912.26711249999983</v>
      </c>
      <c r="AS81" s="436">
        <f t="shared" si="63"/>
        <v>962.94861874999981</v>
      </c>
      <c r="AT81" s="436">
        <f t="shared" si="63"/>
        <v>1013.6301249999998</v>
      </c>
      <c r="AU81" s="436">
        <f t="shared" si="63"/>
        <v>1064.3116312499999</v>
      </c>
      <c r="AV81" s="436">
        <f t="shared" si="63"/>
        <v>1114.9931374999999</v>
      </c>
      <c r="AW81" s="436">
        <f t="shared" si="63"/>
        <v>1165.6746437499999</v>
      </c>
      <c r="AX81" s="436">
        <f t="shared" si="63"/>
        <v>1216.3561499999998</v>
      </c>
      <c r="AY81" s="436">
        <f t="shared" si="63"/>
        <v>1317.7191624999998</v>
      </c>
      <c r="AZ81" s="436">
        <f t="shared" si="63"/>
        <v>1419.0821749999998</v>
      </c>
      <c r="BA81" s="436">
        <f t="shared" si="63"/>
        <v>1520.4451874999997</v>
      </c>
      <c r="BB81" s="436">
        <f t="shared" si="63"/>
        <v>1621.8081999999997</v>
      </c>
      <c r="BC81" s="436">
        <f t="shared" si="63"/>
        <v>1723.1712124999997</v>
      </c>
      <c r="BD81" s="436">
        <f t="shared" si="63"/>
        <v>1824.5342249999997</v>
      </c>
      <c r="BE81" s="436">
        <f t="shared" si="63"/>
        <v>1925.8972374999996</v>
      </c>
      <c r="BF81" s="436">
        <f t="shared" si="63"/>
        <v>2027.2602499999996</v>
      </c>
      <c r="BG81" s="436">
        <f t="shared" si="63"/>
        <v>2229.9862749999998</v>
      </c>
      <c r="BH81" s="436">
        <f t="shared" si="63"/>
        <v>2432.7122999999997</v>
      </c>
      <c r="BI81" s="436">
        <f t="shared" si="63"/>
        <v>2534.0753124999997</v>
      </c>
      <c r="BJ81" s="436">
        <f t="shared" si="63"/>
        <v>2635.4383249999996</v>
      </c>
      <c r="BK81" s="436">
        <f t="shared" ref="BK81:CF81" si="64">(BK$1/100)*$CG81</f>
        <v>2838.1643499999996</v>
      </c>
      <c r="BL81" s="436">
        <f t="shared" si="64"/>
        <v>3040.8903749999995</v>
      </c>
      <c r="BM81" s="436">
        <f t="shared" si="64"/>
        <v>3243.6163999999994</v>
      </c>
      <c r="BN81" s="436">
        <f t="shared" si="64"/>
        <v>3446.3424249999994</v>
      </c>
      <c r="BO81" s="436">
        <f t="shared" si="64"/>
        <v>3547.7054374999993</v>
      </c>
      <c r="BP81" s="436">
        <f t="shared" si="64"/>
        <v>3649.0684499999993</v>
      </c>
      <c r="BQ81" s="436">
        <f t="shared" si="64"/>
        <v>3851.7944749999992</v>
      </c>
      <c r="BR81" s="436">
        <f t="shared" si="64"/>
        <v>4054.5204999999992</v>
      </c>
      <c r="BS81" s="436">
        <f t="shared" si="64"/>
        <v>4561.3355624999995</v>
      </c>
      <c r="BT81" s="436">
        <f t="shared" si="64"/>
        <v>5068.1506249999993</v>
      </c>
      <c r="BU81" s="436">
        <f t="shared" si="64"/>
        <v>5574.9656874999991</v>
      </c>
      <c r="BV81" s="436">
        <f t="shared" si="64"/>
        <v>6081.780749999999</v>
      </c>
      <c r="BW81" s="436">
        <f t="shared" si="64"/>
        <v>7095.4108749999987</v>
      </c>
      <c r="BX81" s="436">
        <f t="shared" si="64"/>
        <v>8109.0409999999983</v>
      </c>
      <c r="BY81" s="436">
        <f t="shared" si="64"/>
        <v>9122.6711249999989</v>
      </c>
      <c r="BZ81" s="436">
        <f t="shared" si="64"/>
        <v>10136.301249999999</v>
      </c>
      <c r="CA81" s="436">
        <f t="shared" si="64"/>
        <v>11149.931374999998</v>
      </c>
      <c r="CB81" s="436">
        <f t="shared" si="64"/>
        <v>12163.561499999998</v>
      </c>
      <c r="CC81" s="436">
        <f t="shared" si="64"/>
        <v>14190.821749999997</v>
      </c>
      <c r="CD81" s="436">
        <f t="shared" si="64"/>
        <v>16218.081999999997</v>
      </c>
      <c r="CE81" s="436">
        <f t="shared" si="64"/>
        <v>18245.342249999998</v>
      </c>
      <c r="CF81" s="436">
        <f t="shared" si="64"/>
        <v>20272.602499999997</v>
      </c>
      <c r="CG81" s="436" cm="1">
        <f t="array" ref="CG81">IF($M682=0, Vide, $M682)</f>
        <v>202.72602499999996</v>
      </c>
      <c r="CH81" s="435" t="s">
        <v>762</v>
      </c>
      <c r="CI81" s="435" t="s">
        <v>762</v>
      </c>
      <c r="CJ81" s="435" t="s">
        <v>762</v>
      </c>
      <c r="CK81" s="435" t="s">
        <v>762</v>
      </c>
      <c r="CL81" s="435" t="s">
        <v>762</v>
      </c>
    </row>
    <row r="82" spans="1:90" s="437" customFormat="1">
      <c r="A82" s="435" t="s">
        <v>590</v>
      </c>
      <c r="B82" s="435" t="s">
        <v>90</v>
      </c>
      <c r="C82" s="436" t="s">
        <v>762</v>
      </c>
      <c r="D82" s="436" t="s">
        <v>762</v>
      </c>
      <c r="E82" s="436" t="s">
        <v>762</v>
      </c>
      <c r="F82" s="436" t="s">
        <v>762</v>
      </c>
      <c r="G82" s="436" t="s">
        <v>762</v>
      </c>
      <c r="H82" s="436" t="s">
        <v>762</v>
      </c>
      <c r="I82" s="436" t="s">
        <v>762</v>
      </c>
      <c r="J82" s="436" t="s">
        <v>762</v>
      </c>
      <c r="K82" s="436" t="s">
        <v>762</v>
      </c>
      <c r="L82" s="436" t="s">
        <v>762</v>
      </c>
      <c r="M82" s="436" t="s">
        <v>762</v>
      </c>
      <c r="N82" s="436" t="s">
        <v>762</v>
      </c>
      <c r="O82" s="436" t="s">
        <v>762</v>
      </c>
      <c r="P82" s="436" t="s">
        <v>762</v>
      </c>
      <c r="Q82" s="436" t="s">
        <v>762</v>
      </c>
      <c r="R82" s="436" t="s">
        <v>762</v>
      </c>
      <c r="S82" s="436" t="s">
        <v>762</v>
      </c>
      <c r="T82" s="436" t="s">
        <v>762</v>
      </c>
      <c r="U82" s="436" t="s">
        <v>762</v>
      </c>
      <c r="V82" s="436" t="s">
        <v>762</v>
      </c>
      <c r="W82" s="436" t="s">
        <v>762</v>
      </c>
      <c r="X82" s="436" t="s">
        <v>762</v>
      </c>
      <c r="Y82" s="436" t="s">
        <v>762</v>
      </c>
      <c r="Z82" s="436" t="s">
        <v>762</v>
      </c>
      <c r="AA82" s="436" t="s">
        <v>762</v>
      </c>
      <c r="AB82" s="436" t="s">
        <v>762</v>
      </c>
      <c r="AC82" s="436" t="s">
        <v>762</v>
      </c>
      <c r="AD82" s="436" t="s">
        <v>762</v>
      </c>
      <c r="AE82" s="436" t="s">
        <v>762</v>
      </c>
      <c r="AF82" s="436" t="s">
        <v>762</v>
      </c>
      <c r="AG82" s="436" t="s">
        <v>762</v>
      </c>
      <c r="AH82" s="436" t="s">
        <v>762</v>
      </c>
      <c r="AI82" s="436" t="s">
        <v>762</v>
      </c>
      <c r="AJ82" s="436" t="s">
        <v>762</v>
      </c>
      <c r="AK82" s="436" t="s">
        <v>762</v>
      </c>
      <c r="AL82" s="436" t="s">
        <v>762</v>
      </c>
      <c r="AM82" s="436" t="s">
        <v>762</v>
      </c>
      <c r="AN82" s="436" t="s">
        <v>762</v>
      </c>
      <c r="AO82" s="436" t="s">
        <v>762</v>
      </c>
      <c r="AP82" s="436" t="s">
        <v>762</v>
      </c>
      <c r="AQ82" s="436" t="s">
        <v>762</v>
      </c>
      <c r="AR82" s="436" t="s">
        <v>762</v>
      </c>
      <c r="AS82" s="436" t="s">
        <v>762</v>
      </c>
      <c r="AT82" s="436" t="s">
        <v>762</v>
      </c>
      <c r="AU82" s="436" t="s">
        <v>762</v>
      </c>
      <c r="AV82" s="436" t="s">
        <v>762</v>
      </c>
      <c r="AW82" s="436" t="s">
        <v>762</v>
      </c>
      <c r="AX82" s="436" t="s">
        <v>762</v>
      </c>
      <c r="AY82" s="436" t="s">
        <v>762</v>
      </c>
      <c r="AZ82" s="436" t="s">
        <v>762</v>
      </c>
      <c r="BA82" s="436" t="s">
        <v>762</v>
      </c>
      <c r="BB82" s="436" t="s">
        <v>762</v>
      </c>
      <c r="BC82" s="436" t="s">
        <v>762</v>
      </c>
      <c r="BD82" s="436" t="s">
        <v>762</v>
      </c>
      <c r="BE82" s="436" t="s">
        <v>762</v>
      </c>
      <c r="BF82" s="436" t="s">
        <v>762</v>
      </c>
      <c r="BG82" s="436" t="s">
        <v>762</v>
      </c>
      <c r="BH82" s="436" t="s">
        <v>762</v>
      </c>
      <c r="BI82" s="436" t="s">
        <v>762</v>
      </c>
      <c r="BJ82" s="436" t="s">
        <v>762</v>
      </c>
      <c r="BK82" s="436" t="s">
        <v>762</v>
      </c>
      <c r="BL82" s="436" t="s">
        <v>762</v>
      </c>
      <c r="BM82" s="436" t="s">
        <v>762</v>
      </c>
      <c r="BN82" s="436" t="s">
        <v>762</v>
      </c>
      <c r="BO82" s="436" t="s">
        <v>762</v>
      </c>
      <c r="BP82" s="436" t="s">
        <v>762</v>
      </c>
      <c r="BQ82" s="436" t="s">
        <v>762</v>
      </c>
      <c r="BR82" s="436" t="s">
        <v>762</v>
      </c>
      <c r="BS82" s="436" t="s">
        <v>762</v>
      </c>
      <c r="BT82" s="436" t="s">
        <v>762</v>
      </c>
      <c r="BU82" s="436" t="s">
        <v>762</v>
      </c>
      <c r="BV82" s="436" t="s">
        <v>762</v>
      </c>
      <c r="BW82" s="436" t="s">
        <v>762</v>
      </c>
      <c r="BX82" s="436" t="s">
        <v>762</v>
      </c>
      <c r="BY82" s="436" t="s">
        <v>762</v>
      </c>
      <c r="BZ82" s="436" t="s">
        <v>762</v>
      </c>
      <c r="CA82" s="436" t="s">
        <v>762</v>
      </c>
      <c r="CB82" s="436" t="s">
        <v>762</v>
      </c>
      <c r="CC82" s="436" t="s">
        <v>762</v>
      </c>
      <c r="CD82" s="436" t="s">
        <v>762</v>
      </c>
      <c r="CE82" s="436" t="s">
        <v>762</v>
      </c>
      <c r="CF82" s="436" t="s">
        <v>762</v>
      </c>
      <c r="CG82" s="436" t="s">
        <v>762</v>
      </c>
      <c r="CH82" s="436" t="s">
        <v>762</v>
      </c>
      <c r="CI82" s="436" t="s">
        <v>762</v>
      </c>
      <c r="CJ82" s="436" t="s">
        <v>762</v>
      </c>
      <c r="CK82" s="436" t="s">
        <v>762</v>
      </c>
      <c r="CL82" s="436" t="s">
        <v>762</v>
      </c>
    </row>
    <row r="83" spans="1:90" s="437" customFormat="1">
      <c r="A83" s="435" t="s">
        <v>591</v>
      </c>
      <c r="B83" s="435" t="s">
        <v>90</v>
      </c>
      <c r="C83" s="436" cm="1">
        <f t="array" ref="C83">IF($B684=0, Vide, $B684)</f>
        <v>40.203999999999986</v>
      </c>
      <c r="D83" s="436" cm="1">
        <f t="array" ref="D83">IF($B684=0, Vide, $B684)</f>
        <v>40.203999999999986</v>
      </c>
      <c r="E83" s="436" cm="1">
        <f t="array" ref="E83">IF($B684=0, Vide, $B684)</f>
        <v>40.203999999999986</v>
      </c>
      <c r="F83" s="436" cm="1">
        <f t="array" ref="F83">IF($B684=0, Vide, $B684)</f>
        <v>40.203999999999986</v>
      </c>
      <c r="G83" s="436" cm="1">
        <f t="array" ref="G83">IF($B684=0, Vide, $B684)</f>
        <v>40.203999999999986</v>
      </c>
      <c r="H83" s="436" cm="1">
        <f t="array" ref="H83">IF($C684=0, Vide, $C684)</f>
        <v>47.477749999999993</v>
      </c>
      <c r="I83" s="436" cm="1">
        <f t="array" ref="I83">IF($C684=0, Vide, $C684)</f>
        <v>47.477749999999993</v>
      </c>
      <c r="J83" s="436" cm="1">
        <f t="array" ref="J83">IF($C684=0, Vide, $C684)</f>
        <v>47.477749999999993</v>
      </c>
      <c r="K83" s="436" cm="1">
        <f t="array" ref="K83">IF($C684=0, Vide, $C684)</f>
        <v>47.477749999999993</v>
      </c>
      <c r="L83" s="436" cm="1">
        <f t="array" ref="L83">IF($C684=0, Vide, $C684)</f>
        <v>47.477749999999993</v>
      </c>
      <c r="M83" s="436" t="s">
        <v>762</v>
      </c>
      <c r="N83" s="436" t="s">
        <v>762</v>
      </c>
      <c r="O83" s="436" t="s">
        <v>762</v>
      </c>
      <c r="P83" s="436" t="s">
        <v>762</v>
      </c>
      <c r="Q83" s="436" t="s">
        <v>762</v>
      </c>
      <c r="R83" s="436" t="s">
        <v>762</v>
      </c>
      <c r="S83" s="436" t="s">
        <v>762</v>
      </c>
      <c r="T83" s="436" t="s">
        <v>762</v>
      </c>
      <c r="U83" s="436" t="s">
        <v>762</v>
      </c>
      <c r="V83" s="436" cm="1">
        <f t="array" ref="V83">IF($D684=0, Vide, $D684)</f>
        <v>63.215499999999984</v>
      </c>
      <c r="W83" s="436" cm="1">
        <f t="array" ref="W83">IF($E684=0, Vide, $E684)</f>
        <v>75.871824999999987</v>
      </c>
      <c r="X83" s="436" cm="1">
        <f t="array" ref="X83">IF($F684=0, Vide, $F684)</f>
        <v>91.71537499999998</v>
      </c>
      <c r="Y83" s="436" cm="1">
        <f t="array" ref="Y83">IF($G684=0, Vide, $G684)</f>
        <v>107.50602499999999</v>
      </c>
      <c r="Z83" s="436" cm="1">
        <f t="array" ref="Z83">IF($H684=0, Vide, $H684)</f>
        <v>123.56117499999999</v>
      </c>
      <c r="AA83" s="436" cm="1">
        <f t="array" ref="AA83">IF($I684=0, Vide, $I684)</f>
        <v>140.2379</v>
      </c>
      <c r="AB83" s="436" cm="1">
        <f t="array" ref="AB83">IF($J684=0, Vide, $J684)</f>
        <v>157.16589999999999</v>
      </c>
      <c r="AC83" s="436" cm="1">
        <f t="array" ref="AC83">IF($K684=0, Vide, $K684)</f>
        <v>174.12034999999997</v>
      </c>
      <c r="AD83" s="436" cm="1">
        <f t="array" ref="AD83">IF($L684=0, Vide, $L684)</f>
        <v>196.81444999999997</v>
      </c>
      <c r="AE83" s="436">
        <f t="shared" ref="AE83:AN89" si="65">(AE$1/100)*$CG83</f>
        <v>216.49589499999999</v>
      </c>
      <c r="AF83" s="436">
        <f t="shared" si="65"/>
        <v>246.01806249999996</v>
      </c>
      <c r="AG83" s="436">
        <f t="shared" si="65"/>
        <v>295.22167499999995</v>
      </c>
      <c r="AH83" s="436">
        <f t="shared" si="65"/>
        <v>344.42528749999997</v>
      </c>
      <c r="AI83" s="436">
        <f t="shared" si="65"/>
        <v>395.59704449999987</v>
      </c>
      <c r="AJ83" s="436">
        <f t="shared" si="65"/>
        <v>442.83251249999989</v>
      </c>
      <c r="AK83" s="436">
        <f t="shared" si="65"/>
        <v>492.03612499999991</v>
      </c>
      <c r="AL83" s="436">
        <f t="shared" si="65"/>
        <v>592.41149449999989</v>
      </c>
      <c r="AM83" s="436">
        <f t="shared" si="65"/>
        <v>639.64696249999986</v>
      </c>
      <c r="AN83" s="436">
        <f t="shared" si="65"/>
        <v>688.85057499999994</v>
      </c>
      <c r="AO83" s="436">
        <f t="shared" ref="AO83:AX89" si="66">(AO$1/100)*$CG83</f>
        <v>738.0541874999999</v>
      </c>
      <c r="AP83" s="436">
        <f t="shared" si="66"/>
        <v>789.22594449999985</v>
      </c>
      <c r="AQ83" s="436">
        <f t="shared" si="66"/>
        <v>836.46141249999982</v>
      </c>
      <c r="AR83" s="436">
        <f t="shared" si="66"/>
        <v>885.66502499999979</v>
      </c>
      <c r="AS83" s="436">
        <f t="shared" si="66"/>
        <v>934.86863749999986</v>
      </c>
      <c r="AT83" s="436">
        <f t="shared" si="66"/>
        <v>984.07224999999983</v>
      </c>
      <c r="AU83" s="436">
        <f t="shared" si="66"/>
        <v>1033.2758624999999</v>
      </c>
      <c r="AV83" s="436">
        <f t="shared" si="66"/>
        <v>1082.4794749999999</v>
      </c>
      <c r="AW83" s="436">
        <f t="shared" si="66"/>
        <v>1131.6830874999998</v>
      </c>
      <c r="AX83" s="436">
        <f t="shared" si="66"/>
        <v>1180.8866999999998</v>
      </c>
      <c r="AY83" s="436">
        <f t="shared" ref="AY83:BH89" si="67">(AY$1/100)*$CG83</f>
        <v>1279.2939249999997</v>
      </c>
      <c r="AZ83" s="436">
        <f t="shared" si="67"/>
        <v>1377.7011499999999</v>
      </c>
      <c r="BA83" s="436">
        <f t="shared" si="67"/>
        <v>1476.1083749999998</v>
      </c>
      <c r="BB83" s="436">
        <f t="shared" si="67"/>
        <v>1574.5155999999997</v>
      </c>
      <c r="BC83" s="436">
        <f t="shared" si="67"/>
        <v>1672.9228249999996</v>
      </c>
      <c r="BD83" s="436">
        <f t="shared" si="67"/>
        <v>1771.3300499999996</v>
      </c>
      <c r="BE83" s="436">
        <f t="shared" si="67"/>
        <v>1869.7372749999997</v>
      </c>
      <c r="BF83" s="436">
        <f t="shared" si="67"/>
        <v>1968.1444999999997</v>
      </c>
      <c r="BG83" s="436">
        <f t="shared" si="67"/>
        <v>2164.9589499999997</v>
      </c>
      <c r="BH83" s="436">
        <f t="shared" si="67"/>
        <v>2361.7733999999996</v>
      </c>
      <c r="BI83" s="436">
        <f t="shared" ref="BI83:BR89" si="68">(BI$1/100)*$CG83</f>
        <v>2460.1806249999995</v>
      </c>
      <c r="BJ83" s="436">
        <f t="shared" si="68"/>
        <v>2558.5878499999994</v>
      </c>
      <c r="BK83" s="436">
        <f t="shared" si="68"/>
        <v>2755.4022999999997</v>
      </c>
      <c r="BL83" s="436">
        <f t="shared" si="68"/>
        <v>2952.2167499999996</v>
      </c>
      <c r="BM83" s="436">
        <f t="shared" si="68"/>
        <v>3149.0311999999994</v>
      </c>
      <c r="BN83" s="436">
        <f t="shared" si="68"/>
        <v>3345.8456499999993</v>
      </c>
      <c r="BO83" s="436">
        <f t="shared" si="68"/>
        <v>3444.2528749999992</v>
      </c>
      <c r="BP83" s="436">
        <f t="shared" si="68"/>
        <v>3542.6600999999991</v>
      </c>
      <c r="BQ83" s="436">
        <f t="shared" si="68"/>
        <v>3739.4745499999995</v>
      </c>
      <c r="BR83" s="436">
        <f t="shared" si="68"/>
        <v>3936.2889999999993</v>
      </c>
      <c r="BS83" s="436">
        <f t="shared" ref="BS83:CF89" si="69">(BS$1/100)*$CG83</f>
        <v>4428.3251249999994</v>
      </c>
      <c r="BT83" s="436">
        <f t="shared" si="69"/>
        <v>4920.361249999999</v>
      </c>
      <c r="BU83" s="436">
        <f t="shared" si="69"/>
        <v>5412.3973749999986</v>
      </c>
      <c r="BV83" s="436">
        <f t="shared" si="69"/>
        <v>5904.4334999999992</v>
      </c>
      <c r="BW83" s="436">
        <f t="shared" si="69"/>
        <v>6888.5057499999984</v>
      </c>
      <c r="BX83" s="436">
        <f t="shared" si="69"/>
        <v>7872.5779999999986</v>
      </c>
      <c r="BY83" s="436">
        <f t="shared" si="69"/>
        <v>8856.6502499999988</v>
      </c>
      <c r="BZ83" s="436">
        <f t="shared" si="69"/>
        <v>9840.722499999998</v>
      </c>
      <c r="CA83" s="436">
        <f t="shared" si="69"/>
        <v>10824.794749999997</v>
      </c>
      <c r="CB83" s="436">
        <f t="shared" si="69"/>
        <v>11808.866999999998</v>
      </c>
      <c r="CC83" s="436">
        <f t="shared" si="69"/>
        <v>13777.011499999997</v>
      </c>
      <c r="CD83" s="436">
        <f t="shared" si="69"/>
        <v>15745.155999999997</v>
      </c>
      <c r="CE83" s="436">
        <f t="shared" si="69"/>
        <v>17713.300499999998</v>
      </c>
      <c r="CF83" s="436">
        <f t="shared" si="69"/>
        <v>19681.444999999996</v>
      </c>
      <c r="CG83" s="436" cm="1">
        <f t="array" ref="CG83">IF($M684=0, Vide, $M684)</f>
        <v>196.81444999999997</v>
      </c>
      <c r="CH83" s="435" t="s">
        <v>762</v>
      </c>
      <c r="CI83" s="435" t="s">
        <v>762</v>
      </c>
      <c r="CJ83" s="435" t="s">
        <v>762</v>
      </c>
      <c r="CK83" s="435" t="s">
        <v>762</v>
      </c>
      <c r="CL83" s="435" t="s">
        <v>762</v>
      </c>
    </row>
    <row r="84" spans="1:90" s="437" customFormat="1">
      <c r="A84" s="435" t="s">
        <v>592</v>
      </c>
      <c r="B84" s="435" t="s">
        <v>90</v>
      </c>
      <c r="C84" s="436" cm="1">
        <f t="array" ref="C84">IF($B685=0, Vide, $B685)</f>
        <v>40.203999999999986</v>
      </c>
      <c r="D84" s="436" cm="1">
        <f t="array" ref="D84">IF($B685=0, Vide, $B685)</f>
        <v>40.203999999999986</v>
      </c>
      <c r="E84" s="436" cm="1">
        <f t="array" ref="E84">IF($B685=0, Vide, $B685)</f>
        <v>40.203999999999986</v>
      </c>
      <c r="F84" s="436" cm="1">
        <f t="array" ref="F84">IF($B685=0, Vide, $B685)</f>
        <v>40.203999999999986</v>
      </c>
      <c r="G84" s="436" cm="1">
        <f t="array" ref="G84">IF($B685=0, Vide, $B685)</f>
        <v>40.203999999999986</v>
      </c>
      <c r="H84" s="436" cm="1">
        <f t="array" ref="H84">IF($C685=0, Vide, $C685)</f>
        <v>47.477749999999993</v>
      </c>
      <c r="I84" s="436" cm="1">
        <f t="array" ref="I84">IF($C685=0, Vide, $C685)</f>
        <v>47.477749999999993</v>
      </c>
      <c r="J84" s="436" cm="1">
        <f t="array" ref="J84">IF($C685=0, Vide, $C685)</f>
        <v>47.477749999999993</v>
      </c>
      <c r="K84" s="436" cm="1">
        <f t="array" ref="K84">IF($C685=0, Vide, $C685)</f>
        <v>47.477749999999993</v>
      </c>
      <c r="L84" s="436" cm="1">
        <f t="array" ref="L84">IF($C685=0, Vide, $C685)</f>
        <v>47.477749999999993</v>
      </c>
      <c r="M84" s="436" t="s">
        <v>762</v>
      </c>
      <c r="N84" s="436" t="s">
        <v>762</v>
      </c>
      <c r="O84" s="436" t="s">
        <v>762</v>
      </c>
      <c r="P84" s="436" t="s">
        <v>762</v>
      </c>
      <c r="Q84" s="436" t="s">
        <v>762</v>
      </c>
      <c r="R84" s="436" t="s">
        <v>762</v>
      </c>
      <c r="S84" s="436" t="s">
        <v>762</v>
      </c>
      <c r="T84" s="436" t="s">
        <v>762</v>
      </c>
      <c r="U84" s="436" t="s">
        <v>762</v>
      </c>
      <c r="V84" s="436" cm="1">
        <f t="array" ref="V84">IF($D685=0, Vide, $D685)</f>
        <v>63.215499999999984</v>
      </c>
      <c r="W84" s="436" cm="1">
        <f t="array" ref="W84">IF($E685=0, Vide, $E685)</f>
        <v>75.871824999999987</v>
      </c>
      <c r="X84" s="436" cm="1">
        <f t="array" ref="X84">IF($F685=0, Vide, $F685)</f>
        <v>91.71537499999998</v>
      </c>
      <c r="Y84" s="436" cm="1">
        <f t="array" ref="Y84">IF($G685=0, Vide, $G685)</f>
        <v>107.50602499999999</v>
      </c>
      <c r="Z84" s="436" cm="1">
        <f t="array" ref="Z84">IF($H685=0, Vide, $H685)</f>
        <v>123.56117499999999</v>
      </c>
      <c r="AA84" s="436" cm="1">
        <f t="array" ref="AA84">IF($I685=0, Vide, $I685)</f>
        <v>140.2379</v>
      </c>
      <c r="AB84" s="436" cm="1">
        <f t="array" ref="AB84">IF($J685=0, Vide, $J685)</f>
        <v>157.16589999999999</v>
      </c>
      <c r="AC84" s="436" cm="1">
        <f t="array" ref="AC84">IF($K685=0, Vide, $K685)</f>
        <v>174.12034999999997</v>
      </c>
      <c r="AD84" s="436" cm="1">
        <f t="array" ref="AD84">IF($L685=0, Vide, $L685)</f>
        <v>196.81444999999997</v>
      </c>
      <c r="AE84" s="436">
        <f t="shared" si="65"/>
        <v>216.49589499999999</v>
      </c>
      <c r="AF84" s="436">
        <f t="shared" si="65"/>
        <v>246.01806249999996</v>
      </c>
      <c r="AG84" s="436">
        <f t="shared" si="65"/>
        <v>295.22167499999995</v>
      </c>
      <c r="AH84" s="436">
        <f t="shared" si="65"/>
        <v>344.42528749999997</v>
      </c>
      <c r="AI84" s="436">
        <f t="shared" si="65"/>
        <v>395.59704449999987</v>
      </c>
      <c r="AJ84" s="436">
        <f t="shared" si="65"/>
        <v>442.83251249999989</v>
      </c>
      <c r="AK84" s="436">
        <f t="shared" si="65"/>
        <v>492.03612499999991</v>
      </c>
      <c r="AL84" s="436">
        <f t="shared" si="65"/>
        <v>592.41149449999989</v>
      </c>
      <c r="AM84" s="436">
        <f t="shared" si="65"/>
        <v>639.64696249999986</v>
      </c>
      <c r="AN84" s="436">
        <f t="shared" si="65"/>
        <v>688.85057499999994</v>
      </c>
      <c r="AO84" s="436">
        <f t="shared" si="66"/>
        <v>738.0541874999999</v>
      </c>
      <c r="AP84" s="436">
        <f t="shared" si="66"/>
        <v>789.22594449999985</v>
      </c>
      <c r="AQ84" s="436">
        <f t="shared" si="66"/>
        <v>836.46141249999982</v>
      </c>
      <c r="AR84" s="436">
        <f t="shared" si="66"/>
        <v>885.66502499999979</v>
      </c>
      <c r="AS84" s="436">
        <f t="shared" si="66"/>
        <v>934.86863749999986</v>
      </c>
      <c r="AT84" s="436">
        <f t="shared" si="66"/>
        <v>984.07224999999983</v>
      </c>
      <c r="AU84" s="436">
        <f t="shared" si="66"/>
        <v>1033.2758624999999</v>
      </c>
      <c r="AV84" s="436">
        <f t="shared" si="66"/>
        <v>1082.4794749999999</v>
      </c>
      <c r="AW84" s="436">
        <f t="shared" si="66"/>
        <v>1131.6830874999998</v>
      </c>
      <c r="AX84" s="436">
        <f t="shared" si="66"/>
        <v>1180.8866999999998</v>
      </c>
      <c r="AY84" s="436">
        <f t="shared" si="67"/>
        <v>1279.2939249999997</v>
      </c>
      <c r="AZ84" s="436">
        <f t="shared" si="67"/>
        <v>1377.7011499999999</v>
      </c>
      <c r="BA84" s="436">
        <f t="shared" si="67"/>
        <v>1476.1083749999998</v>
      </c>
      <c r="BB84" s="436">
        <f t="shared" si="67"/>
        <v>1574.5155999999997</v>
      </c>
      <c r="BC84" s="436">
        <f t="shared" si="67"/>
        <v>1672.9228249999996</v>
      </c>
      <c r="BD84" s="436">
        <f t="shared" si="67"/>
        <v>1771.3300499999996</v>
      </c>
      <c r="BE84" s="436">
        <f t="shared" si="67"/>
        <v>1869.7372749999997</v>
      </c>
      <c r="BF84" s="436">
        <f t="shared" si="67"/>
        <v>1968.1444999999997</v>
      </c>
      <c r="BG84" s="436">
        <f t="shared" si="67"/>
        <v>2164.9589499999997</v>
      </c>
      <c r="BH84" s="436">
        <f t="shared" si="67"/>
        <v>2361.7733999999996</v>
      </c>
      <c r="BI84" s="436">
        <f t="shared" si="68"/>
        <v>2460.1806249999995</v>
      </c>
      <c r="BJ84" s="436">
        <f t="shared" si="68"/>
        <v>2558.5878499999994</v>
      </c>
      <c r="BK84" s="436">
        <f t="shared" si="68"/>
        <v>2755.4022999999997</v>
      </c>
      <c r="BL84" s="436">
        <f t="shared" si="68"/>
        <v>2952.2167499999996</v>
      </c>
      <c r="BM84" s="436">
        <f t="shared" si="68"/>
        <v>3149.0311999999994</v>
      </c>
      <c r="BN84" s="436">
        <f t="shared" si="68"/>
        <v>3345.8456499999993</v>
      </c>
      <c r="BO84" s="436">
        <f t="shared" si="68"/>
        <v>3444.2528749999992</v>
      </c>
      <c r="BP84" s="436">
        <f t="shared" si="68"/>
        <v>3542.6600999999991</v>
      </c>
      <c r="BQ84" s="436">
        <f t="shared" si="68"/>
        <v>3739.4745499999995</v>
      </c>
      <c r="BR84" s="436">
        <f t="shared" si="68"/>
        <v>3936.2889999999993</v>
      </c>
      <c r="BS84" s="436">
        <f t="shared" si="69"/>
        <v>4428.3251249999994</v>
      </c>
      <c r="BT84" s="436">
        <f t="shared" si="69"/>
        <v>4920.361249999999</v>
      </c>
      <c r="BU84" s="436">
        <f t="shared" si="69"/>
        <v>5412.3973749999986</v>
      </c>
      <c r="BV84" s="436">
        <f t="shared" si="69"/>
        <v>5904.4334999999992</v>
      </c>
      <c r="BW84" s="436">
        <f t="shared" si="69"/>
        <v>6888.5057499999984</v>
      </c>
      <c r="BX84" s="436">
        <f t="shared" si="69"/>
        <v>7872.5779999999986</v>
      </c>
      <c r="BY84" s="436">
        <f t="shared" si="69"/>
        <v>8856.6502499999988</v>
      </c>
      <c r="BZ84" s="436">
        <f t="shared" si="69"/>
        <v>9840.722499999998</v>
      </c>
      <c r="CA84" s="436">
        <f t="shared" si="69"/>
        <v>10824.794749999997</v>
      </c>
      <c r="CB84" s="436">
        <f t="shared" si="69"/>
        <v>11808.866999999998</v>
      </c>
      <c r="CC84" s="436">
        <f t="shared" si="69"/>
        <v>13777.011499999997</v>
      </c>
      <c r="CD84" s="436">
        <f t="shared" si="69"/>
        <v>15745.155999999997</v>
      </c>
      <c r="CE84" s="436">
        <f t="shared" si="69"/>
        <v>17713.300499999998</v>
      </c>
      <c r="CF84" s="436">
        <f t="shared" si="69"/>
        <v>19681.444999999996</v>
      </c>
      <c r="CG84" s="436" cm="1">
        <f t="array" ref="CG84">IF($M685=0, Vide, $M685)</f>
        <v>196.81444999999997</v>
      </c>
      <c r="CH84" s="435" t="s">
        <v>762</v>
      </c>
      <c r="CI84" s="435" t="s">
        <v>762</v>
      </c>
      <c r="CJ84" s="435" t="s">
        <v>762</v>
      </c>
      <c r="CK84" s="435" t="s">
        <v>762</v>
      </c>
      <c r="CL84" s="435" t="s">
        <v>762</v>
      </c>
    </row>
    <row r="85" spans="1:90" s="437" customFormat="1">
      <c r="A85" s="435" t="s">
        <v>593</v>
      </c>
      <c r="B85" s="435" t="s">
        <v>90</v>
      </c>
      <c r="C85" s="436" cm="1">
        <f t="array" ref="C85">IF($B686=0, Vide, $B686)</f>
        <v>40.203999999999986</v>
      </c>
      <c r="D85" s="436" cm="1">
        <f t="array" ref="D85">IF($B686=0, Vide, $B686)</f>
        <v>40.203999999999986</v>
      </c>
      <c r="E85" s="436" cm="1">
        <f t="array" ref="E85">IF($B686=0, Vide, $B686)</f>
        <v>40.203999999999986</v>
      </c>
      <c r="F85" s="436" cm="1">
        <f t="array" ref="F85">IF($B686=0, Vide, $B686)</f>
        <v>40.203999999999986</v>
      </c>
      <c r="G85" s="436" cm="1">
        <f t="array" ref="G85">IF($B686=0, Vide, $B686)</f>
        <v>40.203999999999986</v>
      </c>
      <c r="H85" s="436" cm="1">
        <f t="array" ref="H85">IF($C686=0, Vide, $C686)</f>
        <v>47.477749999999993</v>
      </c>
      <c r="I85" s="436" cm="1">
        <f t="array" ref="I85">IF($C686=0, Vide, $C686)</f>
        <v>47.477749999999993</v>
      </c>
      <c r="J85" s="436" cm="1">
        <f t="array" ref="J85">IF($C686=0, Vide, $C686)</f>
        <v>47.477749999999993</v>
      </c>
      <c r="K85" s="436" cm="1">
        <f t="array" ref="K85">IF($C686=0, Vide, $C686)</f>
        <v>47.477749999999993</v>
      </c>
      <c r="L85" s="436" cm="1">
        <f t="array" ref="L85">IF($C686=0, Vide, $C686)</f>
        <v>47.477749999999993</v>
      </c>
      <c r="M85" s="436" t="s">
        <v>762</v>
      </c>
      <c r="N85" s="436" t="s">
        <v>762</v>
      </c>
      <c r="O85" s="436" t="s">
        <v>762</v>
      </c>
      <c r="P85" s="436" t="s">
        <v>762</v>
      </c>
      <c r="Q85" s="436" t="s">
        <v>762</v>
      </c>
      <c r="R85" s="436" t="s">
        <v>762</v>
      </c>
      <c r="S85" s="436" t="s">
        <v>762</v>
      </c>
      <c r="T85" s="436" t="s">
        <v>762</v>
      </c>
      <c r="U85" s="436" t="s">
        <v>762</v>
      </c>
      <c r="V85" s="436" cm="1">
        <f t="array" ref="V85">IF($D686=0, Vide, $D686)</f>
        <v>63.215499999999984</v>
      </c>
      <c r="W85" s="436" cm="1">
        <f t="array" ref="W85">IF($E686=0, Vide, $E686)</f>
        <v>75.871824999999987</v>
      </c>
      <c r="X85" s="436" cm="1">
        <f t="array" ref="X85">IF($F686=0, Vide, $F686)</f>
        <v>91.71537499999998</v>
      </c>
      <c r="Y85" s="436" cm="1">
        <f t="array" ref="Y85">IF($G686=0, Vide, $G686)</f>
        <v>107.50602499999999</v>
      </c>
      <c r="Z85" s="436" cm="1">
        <f t="array" ref="Z85">IF($H686=0, Vide, $H686)</f>
        <v>123.56117499999999</v>
      </c>
      <c r="AA85" s="436" cm="1">
        <f t="array" ref="AA85">IF($I686=0, Vide, $I686)</f>
        <v>140.2379</v>
      </c>
      <c r="AB85" s="436" cm="1">
        <f t="array" ref="AB85">IF($J686=0, Vide, $J686)</f>
        <v>157.16589999999999</v>
      </c>
      <c r="AC85" s="436" cm="1">
        <f t="array" ref="AC85">IF($K686=0, Vide, $K686)</f>
        <v>174.12034999999997</v>
      </c>
      <c r="AD85" s="436" cm="1">
        <f t="array" ref="AD85">IF($L686=0, Vide, $L686)</f>
        <v>196.81444999999997</v>
      </c>
      <c r="AE85" s="436">
        <f t="shared" si="65"/>
        <v>216.49589499999999</v>
      </c>
      <c r="AF85" s="436">
        <f t="shared" si="65"/>
        <v>246.01806249999996</v>
      </c>
      <c r="AG85" s="436">
        <f t="shared" si="65"/>
        <v>295.22167499999995</v>
      </c>
      <c r="AH85" s="436">
        <f t="shared" si="65"/>
        <v>344.42528749999997</v>
      </c>
      <c r="AI85" s="436">
        <f t="shared" si="65"/>
        <v>395.59704449999987</v>
      </c>
      <c r="AJ85" s="436">
        <f t="shared" si="65"/>
        <v>442.83251249999989</v>
      </c>
      <c r="AK85" s="436">
        <f t="shared" si="65"/>
        <v>492.03612499999991</v>
      </c>
      <c r="AL85" s="436">
        <f t="shared" si="65"/>
        <v>592.41149449999989</v>
      </c>
      <c r="AM85" s="436">
        <f t="shared" si="65"/>
        <v>639.64696249999986</v>
      </c>
      <c r="AN85" s="436">
        <f t="shared" si="65"/>
        <v>688.85057499999994</v>
      </c>
      <c r="AO85" s="436">
        <f t="shared" si="66"/>
        <v>738.0541874999999</v>
      </c>
      <c r="AP85" s="436">
        <f t="shared" si="66"/>
        <v>789.22594449999985</v>
      </c>
      <c r="AQ85" s="436">
        <f t="shared" si="66"/>
        <v>836.46141249999982</v>
      </c>
      <c r="AR85" s="436">
        <f t="shared" si="66"/>
        <v>885.66502499999979</v>
      </c>
      <c r="AS85" s="436">
        <f t="shared" si="66"/>
        <v>934.86863749999986</v>
      </c>
      <c r="AT85" s="436">
        <f t="shared" si="66"/>
        <v>984.07224999999983</v>
      </c>
      <c r="AU85" s="436">
        <f t="shared" si="66"/>
        <v>1033.2758624999999</v>
      </c>
      <c r="AV85" s="436">
        <f t="shared" si="66"/>
        <v>1082.4794749999999</v>
      </c>
      <c r="AW85" s="436">
        <f t="shared" si="66"/>
        <v>1131.6830874999998</v>
      </c>
      <c r="AX85" s="436">
        <f t="shared" si="66"/>
        <v>1180.8866999999998</v>
      </c>
      <c r="AY85" s="436">
        <f t="shared" si="67"/>
        <v>1279.2939249999997</v>
      </c>
      <c r="AZ85" s="436">
        <f t="shared" si="67"/>
        <v>1377.7011499999999</v>
      </c>
      <c r="BA85" s="436">
        <f t="shared" si="67"/>
        <v>1476.1083749999998</v>
      </c>
      <c r="BB85" s="436">
        <f t="shared" si="67"/>
        <v>1574.5155999999997</v>
      </c>
      <c r="BC85" s="436">
        <f t="shared" si="67"/>
        <v>1672.9228249999996</v>
      </c>
      <c r="BD85" s="436">
        <f t="shared" si="67"/>
        <v>1771.3300499999996</v>
      </c>
      <c r="BE85" s="436">
        <f t="shared" si="67"/>
        <v>1869.7372749999997</v>
      </c>
      <c r="BF85" s="436">
        <f t="shared" si="67"/>
        <v>1968.1444999999997</v>
      </c>
      <c r="BG85" s="436">
        <f t="shared" si="67"/>
        <v>2164.9589499999997</v>
      </c>
      <c r="BH85" s="436">
        <f t="shared" si="67"/>
        <v>2361.7733999999996</v>
      </c>
      <c r="BI85" s="436">
        <f t="shared" si="68"/>
        <v>2460.1806249999995</v>
      </c>
      <c r="BJ85" s="436">
        <f t="shared" si="68"/>
        <v>2558.5878499999994</v>
      </c>
      <c r="BK85" s="436">
        <f t="shared" si="68"/>
        <v>2755.4022999999997</v>
      </c>
      <c r="BL85" s="436">
        <f t="shared" si="68"/>
        <v>2952.2167499999996</v>
      </c>
      <c r="BM85" s="436">
        <f t="shared" si="68"/>
        <v>3149.0311999999994</v>
      </c>
      <c r="BN85" s="436">
        <f t="shared" si="68"/>
        <v>3345.8456499999993</v>
      </c>
      <c r="BO85" s="436">
        <f t="shared" si="68"/>
        <v>3444.2528749999992</v>
      </c>
      <c r="BP85" s="436">
        <f t="shared" si="68"/>
        <v>3542.6600999999991</v>
      </c>
      <c r="BQ85" s="436">
        <f t="shared" si="68"/>
        <v>3739.4745499999995</v>
      </c>
      <c r="BR85" s="436">
        <f t="shared" si="68"/>
        <v>3936.2889999999993</v>
      </c>
      <c r="BS85" s="436">
        <f t="shared" si="69"/>
        <v>4428.3251249999994</v>
      </c>
      <c r="BT85" s="436">
        <f t="shared" si="69"/>
        <v>4920.361249999999</v>
      </c>
      <c r="BU85" s="436">
        <f t="shared" si="69"/>
        <v>5412.3973749999986</v>
      </c>
      <c r="BV85" s="436">
        <f t="shared" si="69"/>
        <v>5904.4334999999992</v>
      </c>
      <c r="BW85" s="436">
        <f t="shared" si="69"/>
        <v>6888.5057499999984</v>
      </c>
      <c r="BX85" s="436">
        <f t="shared" si="69"/>
        <v>7872.5779999999986</v>
      </c>
      <c r="BY85" s="436">
        <f t="shared" si="69"/>
        <v>8856.6502499999988</v>
      </c>
      <c r="BZ85" s="436">
        <f t="shared" si="69"/>
        <v>9840.722499999998</v>
      </c>
      <c r="CA85" s="436">
        <f t="shared" si="69"/>
        <v>10824.794749999997</v>
      </c>
      <c r="CB85" s="436">
        <f t="shared" si="69"/>
        <v>11808.866999999998</v>
      </c>
      <c r="CC85" s="436">
        <f t="shared" si="69"/>
        <v>13777.011499999997</v>
      </c>
      <c r="CD85" s="436">
        <f t="shared" si="69"/>
        <v>15745.155999999997</v>
      </c>
      <c r="CE85" s="436">
        <f t="shared" si="69"/>
        <v>17713.300499999998</v>
      </c>
      <c r="CF85" s="436">
        <f t="shared" si="69"/>
        <v>19681.444999999996</v>
      </c>
      <c r="CG85" s="436" cm="1">
        <f t="array" ref="CG85">IF($M686=0, Vide, $M686)</f>
        <v>196.81444999999997</v>
      </c>
      <c r="CH85" s="435" t="s">
        <v>762</v>
      </c>
      <c r="CI85" s="435" t="s">
        <v>762</v>
      </c>
      <c r="CJ85" s="435" t="s">
        <v>762</v>
      </c>
      <c r="CK85" s="435" t="s">
        <v>762</v>
      </c>
      <c r="CL85" s="435" t="s">
        <v>762</v>
      </c>
    </row>
    <row r="86" spans="1:90" s="437" customFormat="1">
      <c r="A86" s="435" t="s">
        <v>594</v>
      </c>
      <c r="B86" s="435" t="s">
        <v>90</v>
      </c>
      <c r="C86" s="436" cm="1">
        <f t="array" ref="C86">IF($B687=0, Vide, $B687)</f>
        <v>40.203999999999986</v>
      </c>
      <c r="D86" s="436" cm="1">
        <f t="array" ref="D86">IF($B687=0, Vide, $B687)</f>
        <v>40.203999999999986</v>
      </c>
      <c r="E86" s="436" cm="1">
        <f t="array" ref="E86">IF($B687=0, Vide, $B687)</f>
        <v>40.203999999999986</v>
      </c>
      <c r="F86" s="436" cm="1">
        <f t="array" ref="F86">IF($B687=0, Vide, $B687)</f>
        <v>40.203999999999986</v>
      </c>
      <c r="G86" s="436" cm="1">
        <f t="array" ref="G86">IF($B687=0, Vide, $B687)</f>
        <v>40.203999999999986</v>
      </c>
      <c r="H86" s="436" cm="1">
        <f t="array" ref="H86">IF($C687=0, Vide, $C687)</f>
        <v>47.477749999999993</v>
      </c>
      <c r="I86" s="436" cm="1">
        <f t="array" ref="I86">IF($C687=0, Vide, $C687)</f>
        <v>47.477749999999993</v>
      </c>
      <c r="J86" s="436" cm="1">
        <f t="array" ref="J86">IF($C687=0, Vide, $C687)</f>
        <v>47.477749999999993</v>
      </c>
      <c r="K86" s="436" cm="1">
        <f t="array" ref="K86">IF($C687=0, Vide, $C687)</f>
        <v>47.477749999999993</v>
      </c>
      <c r="L86" s="436" cm="1">
        <f t="array" ref="L86">IF($C687=0, Vide, $C687)</f>
        <v>47.477749999999993</v>
      </c>
      <c r="M86" s="436" t="s">
        <v>762</v>
      </c>
      <c r="N86" s="436" t="s">
        <v>762</v>
      </c>
      <c r="O86" s="436" t="s">
        <v>762</v>
      </c>
      <c r="P86" s="436" t="s">
        <v>762</v>
      </c>
      <c r="Q86" s="436" t="s">
        <v>762</v>
      </c>
      <c r="R86" s="436" t="s">
        <v>762</v>
      </c>
      <c r="S86" s="436" t="s">
        <v>762</v>
      </c>
      <c r="T86" s="436" t="s">
        <v>762</v>
      </c>
      <c r="U86" s="436" t="s">
        <v>762</v>
      </c>
      <c r="V86" s="436" cm="1">
        <f t="array" ref="V86">IF($D687=0, Vide, $D687)</f>
        <v>63.215499999999984</v>
      </c>
      <c r="W86" s="436" cm="1">
        <f t="array" ref="W86">IF($E687=0, Vide, $E687)</f>
        <v>75.871824999999987</v>
      </c>
      <c r="X86" s="436" cm="1">
        <f t="array" ref="X86">IF($F687=0, Vide, $F687)</f>
        <v>91.71537499999998</v>
      </c>
      <c r="Y86" s="436" cm="1">
        <f t="array" ref="Y86">IF($G687=0, Vide, $G687)</f>
        <v>107.50602499999999</v>
      </c>
      <c r="Z86" s="436" cm="1">
        <f t="array" ref="Z86">IF($H687=0, Vide, $H687)</f>
        <v>123.56117499999999</v>
      </c>
      <c r="AA86" s="436" cm="1">
        <f t="array" ref="AA86">IF($I687=0, Vide, $I687)</f>
        <v>140.2379</v>
      </c>
      <c r="AB86" s="436" cm="1">
        <f t="array" ref="AB86">IF($J687=0, Vide, $J687)</f>
        <v>157.16589999999999</v>
      </c>
      <c r="AC86" s="436" cm="1">
        <f t="array" ref="AC86">IF($K687=0, Vide, $K687)</f>
        <v>174.12034999999997</v>
      </c>
      <c r="AD86" s="436" cm="1">
        <f t="array" ref="AD86">IF($L687=0, Vide, $L687)</f>
        <v>196.81444999999997</v>
      </c>
      <c r="AE86" s="436">
        <f t="shared" si="65"/>
        <v>216.49589499999999</v>
      </c>
      <c r="AF86" s="436">
        <f t="shared" si="65"/>
        <v>246.01806249999996</v>
      </c>
      <c r="AG86" s="436">
        <f t="shared" si="65"/>
        <v>295.22167499999995</v>
      </c>
      <c r="AH86" s="436">
        <f t="shared" si="65"/>
        <v>344.42528749999997</v>
      </c>
      <c r="AI86" s="436">
        <f t="shared" si="65"/>
        <v>395.59704449999987</v>
      </c>
      <c r="AJ86" s="436">
        <f t="shared" si="65"/>
        <v>442.83251249999989</v>
      </c>
      <c r="AK86" s="436">
        <f t="shared" si="65"/>
        <v>492.03612499999991</v>
      </c>
      <c r="AL86" s="436">
        <f t="shared" si="65"/>
        <v>592.41149449999989</v>
      </c>
      <c r="AM86" s="436">
        <f t="shared" si="65"/>
        <v>639.64696249999986</v>
      </c>
      <c r="AN86" s="436">
        <f t="shared" si="65"/>
        <v>688.85057499999994</v>
      </c>
      <c r="AO86" s="436">
        <f t="shared" si="66"/>
        <v>738.0541874999999</v>
      </c>
      <c r="AP86" s="436">
        <f t="shared" si="66"/>
        <v>789.22594449999985</v>
      </c>
      <c r="AQ86" s="436">
        <f t="shared" si="66"/>
        <v>836.46141249999982</v>
      </c>
      <c r="AR86" s="436">
        <f t="shared" si="66"/>
        <v>885.66502499999979</v>
      </c>
      <c r="AS86" s="436">
        <f t="shared" si="66"/>
        <v>934.86863749999986</v>
      </c>
      <c r="AT86" s="436">
        <f t="shared" si="66"/>
        <v>984.07224999999983</v>
      </c>
      <c r="AU86" s="436">
        <f t="shared" si="66"/>
        <v>1033.2758624999999</v>
      </c>
      <c r="AV86" s="436">
        <f t="shared" si="66"/>
        <v>1082.4794749999999</v>
      </c>
      <c r="AW86" s="436">
        <f t="shared" si="66"/>
        <v>1131.6830874999998</v>
      </c>
      <c r="AX86" s="436">
        <f t="shared" si="66"/>
        <v>1180.8866999999998</v>
      </c>
      <c r="AY86" s="436">
        <f t="shared" si="67"/>
        <v>1279.2939249999997</v>
      </c>
      <c r="AZ86" s="436">
        <f t="shared" si="67"/>
        <v>1377.7011499999999</v>
      </c>
      <c r="BA86" s="436">
        <f t="shared" si="67"/>
        <v>1476.1083749999998</v>
      </c>
      <c r="BB86" s="436">
        <f t="shared" si="67"/>
        <v>1574.5155999999997</v>
      </c>
      <c r="BC86" s="436">
        <f t="shared" si="67"/>
        <v>1672.9228249999996</v>
      </c>
      <c r="BD86" s="436">
        <f t="shared" si="67"/>
        <v>1771.3300499999996</v>
      </c>
      <c r="BE86" s="436">
        <f t="shared" si="67"/>
        <v>1869.7372749999997</v>
      </c>
      <c r="BF86" s="436">
        <f t="shared" si="67"/>
        <v>1968.1444999999997</v>
      </c>
      <c r="BG86" s="436">
        <f t="shared" si="67"/>
        <v>2164.9589499999997</v>
      </c>
      <c r="BH86" s="436">
        <f t="shared" si="67"/>
        <v>2361.7733999999996</v>
      </c>
      <c r="BI86" s="436">
        <f t="shared" si="68"/>
        <v>2460.1806249999995</v>
      </c>
      <c r="BJ86" s="436">
        <f t="shared" si="68"/>
        <v>2558.5878499999994</v>
      </c>
      <c r="BK86" s="436">
        <f t="shared" si="68"/>
        <v>2755.4022999999997</v>
      </c>
      <c r="BL86" s="436">
        <f t="shared" si="68"/>
        <v>2952.2167499999996</v>
      </c>
      <c r="BM86" s="436">
        <f t="shared" si="68"/>
        <v>3149.0311999999994</v>
      </c>
      <c r="BN86" s="436">
        <f t="shared" si="68"/>
        <v>3345.8456499999993</v>
      </c>
      <c r="BO86" s="436">
        <f t="shared" si="68"/>
        <v>3444.2528749999992</v>
      </c>
      <c r="BP86" s="436">
        <f t="shared" si="68"/>
        <v>3542.6600999999991</v>
      </c>
      <c r="BQ86" s="436">
        <f t="shared" si="68"/>
        <v>3739.4745499999995</v>
      </c>
      <c r="BR86" s="436">
        <f t="shared" si="68"/>
        <v>3936.2889999999993</v>
      </c>
      <c r="BS86" s="436">
        <f t="shared" si="69"/>
        <v>4428.3251249999994</v>
      </c>
      <c r="BT86" s="436">
        <f t="shared" si="69"/>
        <v>4920.361249999999</v>
      </c>
      <c r="BU86" s="436">
        <f t="shared" si="69"/>
        <v>5412.3973749999986</v>
      </c>
      <c r="BV86" s="436">
        <f t="shared" si="69"/>
        <v>5904.4334999999992</v>
      </c>
      <c r="BW86" s="436">
        <f t="shared" si="69"/>
        <v>6888.5057499999984</v>
      </c>
      <c r="BX86" s="436">
        <f t="shared" si="69"/>
        <v>7872.5779999999986</v>
      </c>
      <c r="BY86" s="436">
        <f t="shared" si="69"/>
        <v>8856.6502499999988</v>
      </c>
      <c r="BZ86" s="436">
        <f t="shared" si="69"/>
        <v>9840.722499999998</v>
      </c>
      <c r="CA86" s="436">
        <f t="shared" si="69"/>
        <v>10824.794749999997</v>
      </c>
      <c r="CB86" s="436">
        <f t="shared" si="69"/>
        <v>11808.866999999998</v>
      </c>
      <c r="CC86" s="436">
        <f t="shared" si="69"/>
        <v>13777.011499999997</v>
      </c>
      <c r="CD86" s="436">
        <f t="shared" si="69"/>
        <v>15745.155999999997</v>
      </c>
      <c r="CE86" s="436">
        <f t="shared" si="69"/>
        <v>17713.300499999998</v>
      </c>
      <c r="CF86" s="436">
        <f t="shared" si="69"/>
        <v>19681.444999999996</v>
      </c>
      <c r="CG86" s="436" cm="1">
        <f t="array" ref="CG86">IF($M687=0, Vide, $M687)</f>
        <v>196.81444999999997</v>
      </c>
      <c r="CH86" s="435" t="s">
        <v>762</v>
      </c>
      <c r="CI86" s="435" t="s">
        <v>762</v>
      </c>
      <c r="CJ86" s="435" t="s">
        <v>762</v>
      </c>
      <c r="CK86" s="435" t="s">
        <v>762</v>
      </c>
      <c r="CL86" s="435" t="s">
        <v>762</v>
      </c>
    </row>
    <row r="87" spans="1:90" s="437" customFormat="1">
      <c r="A87" s="435" t="s">
        <v>595</v>
      </c>
      <c r="B87" s="435" t="s">
        <v>90</v>
      </c>
      <c r="C87" s="436" cm="1">
        <f t="array" ref="C87">IF($B688=0, Vide, $B688)</f>
        <v>40.203999999999986</v>
      </c>
      <c r="D87" s="436" cm="1">
        <f t="array" ref="D87">IF($B688=0, Vide, $B688)</f>
        <v>40.203999999999986</v>
      </c>
      <c r="E87" s="436" cm="1">
        <f t="array" ref="E87">IF($B688=0, Vide, $B688)</f>
        <v>40.203999999999986</v>
      </c>
      <c r="F87" s="436" cm="1">
        <f t="array" ref="F87">IF($B688=0, Vide, $B688)</f>
        <v>40.203999999999986</v>
      </c>
      <c r="G87" s="436" cm="1">
        <f t="array" ref="G87">IF($B688=0, Vide, $B688)</f>
        <v>40.203999999999986</v>
      </c>
      <c r="H87" s="436" cm="1">
        <f t="array" ref="H87">IF($C688=0, Vide, $C688)</f>
        <v>47.477749999999993</v>
      </c>
      <c r="I87" s="436" cm="1">
        <f t="array" ref="I87">IF($C688=0, Vide, $C688)</f>
        <v>47.477749999999993</v>
      </c>
      <c r="J87" s="436" cm="1">
        <f t="array" ref="J87">IF($C688=0, Vide, $C688)</f>
        <v>47.477749999999993</v>
      </c>
      <c r="K87" s="436" cm="1">
        <f t="array" ref="K87">IF($C688=0, Vide, $C688)</f>
        <v>47.477749999999993</v>
      </c>
      <c r="L87" s="436" cm="1">
        <f t="array" ref="L87">IF($C688=0, Vide, $C688)</f>
        <v>47.477749999999993</v>
      </c>
      <c r="M87" s="436" t="s">
        <v>762</v>
      </c>
      <c r="N87" s="436" t="s">
        <v>762</v>
      </c>
      <c r="O87" s="436" t="s">
        <v>762</v>
      </c>
      <c r="P87" s="436" t="s">
        <v>762</v>
      </c>
      <c r="Q87" s="436" t="s">
        <v>762</v>
      </c>
      <c r="R87" s="436" t="s">
        <v>762</v>
      </c>
      <c r="S87" s="436" t="s">
        <v>762</v>
      </c>
      <c r="T87" s="436" t="s">
        <v>762</v>
      </c>
      <c r="U87" s="436" t="s">
        <v>762</v>
      </c>
      <c r="V87" s="436" cm="1">
        <f t="array" ref="V87">IF($D688=0, Vide, $D688)</f>
        <v>63.215499999999984</v>
      </c>
      <c r="W87" s="436" cm="1">
        <f t="array" ref="W87">IF($E688=0, Vide, $E688)</f>
        <v>75.871824999999987</v>
      </c>
      <c r="X87" s="436" cm="1">
        <f t="array" ref="X87">IF($F688=0, Vide, $F688)</f>
        <v>91.71537499999998</v>
      </c>
      <c r="Y87" s="436" cm="1">
        <f t="array" ref="Y87">IF($G688=0, Vide, $G688)</f>
        <v>107.50602499999999</v>
      </c>
      <c r="Z87" s="436" cm="1">
        <f t="array" ref="Z87">IF($H688=0, Vide, $H688)</f>
        <v>123.56117499999999</v>
      </c>
      <c r="AA87" s="436" cm="1">
        <f t="array" ref="AA87">IF($I688=0, Vide, $I688)</f>
        <v>140.2379</v>
      </c>
      <c r="AB87" s="436" cm="1">
        <f t="array" ref="AB87">IF($J688=0, Vide, $J688)</f>
        <v>157.16589999999999</v>
      </c>
      <c r="AC87" s="436" cm="1">
        <f t="array" ref="AC87">IF($K688=0, Vide, $K688)</f>
        <v>174.12034999999997</v>
      </c>
      <c r="AD87" s="436" cm="1">
        <f t="array" ref="AD87">IF($L688=0, Vide, $L688)</f>
        <v>196.81444999999997</v>
      </c>
      <c r="AE87" s="436">
        <f t="shared" si="65"/>
        <v>216.49589499999999</v>
      </c>
      <c r="AF87" s="436">
        <f t="shared" si="65"/>
        <v>246.01806249999996</v>
      </c>
      <c r="AG87" s="436">
        <f t="shared" si="65"/>
        <v>295.22167499999995</v>
      </c>
      <c r="AH87" s="436">
        <f t="shared" si="65"/>
        <v>344.42528749999997</v>
      </c>
      <c r="AI87" s="436">
        <f t="shared" si="65"/>
        <v>395.59704449999987</v>
      </c>
      <c r="AJ87" s="436">
        <f t="shared" si="65"/>
        <v>442.83251249999989</v>
      </c>
      <c r="AK87" s="436">
        <f t="shared" si="65"/>
        <v>492.03612499999991</v>
      </c>
      <c r="AL87" s="436">
        <f t="shared" si="65"/>
        <v>592.41149449999989</v>
      </c>
      <c r="AM87" s="436">
        <f t="shared" si="65"/>
        <v>639.64696249999986</v>
      </c>
      <c r="AN87" s="436">
        <f t="shared" si="65"/>
        <v>688.85057499999994</v>
      </c>
      <c r="AO87" s="436">
        <f t="shared" si="66"/>
        <v>738.0541874999999</v>
      </c>
      <c r="AP87" s="436">
        <f t="shared" si="66"/>
        <v>789.22594449999985</v>
      </c>
      <c r="AQ87" s="436">
        <f t="shared" si="66"/>
        <v>836.46141249999982</v>
      </c>
      <c r="AR87" s="436">
        <f t="shared" si="66"/>
        <v>885.66502499999979</v>
      </c>
      <c r="AS87" s="436">
        <f t="shared" si="66"/>
        <v>934.86863749999986</v>
      </c>
      <c r="AT87" s="436">
        <f t="shared" si="66"/>
        <v>984.07224999999983</v>
      </c>
      <c r="AU87" s="436">
        <f t="shared" si="66"/>
        <v>1033.2758624999999</v>
      </c>
      <c r="AV87" s="436">
        <f t="shared" si="66"/>
        <v>1082.4794749999999</v>
      </c>
      <c r="AW87" s="436">
        <f t="shared" si="66"/>
        <v>1131.6830874999998</v>
      </c>
      <c r="AX87" s="436">
        <f t="shared" si="66"/>
        <v>1180.8866999999998</v>
      </c>
      <c r="AY87" s="436">
        <f t="shared" si="67"/>
        <v>1279.2939249999997</v>
      </c>
      <c r="AZ87" s="436">
        <f t="shared" si="67"/>
        <v>1377.7011499999999</v>
      </c>
      <c r="BA87" s="436">
        <f t="shared" si="67"/>
        <v>1476.1083749999998</v>
      </c>
      <c r="BB87" s="436">
        <f t="shared" si="67"/>
        <v>1574.5155999999997</v>
      </c>
      <c r="BC87" s="436">
        <f t="shared" si="67"/>
        <v>1672.9228249999996</v>
      </c>
      <c r="BD87" s="436">
        <f t="shared" si="67"/>
        <v>1771.3300499999996</v>
      </c>
      <c r="BE87" s="436">
        <f t="shared" si="67"/>
        <v>1869.7372749999997</v>
      </c>
      <c r="BF87" s="436">
        <f t="shared" si="67"/>
        <v>1968.1444999999997</v>
      </c>
      <c r="BG87" s="436">
        <f t="shared" si="67"/>
        <v>2164.9589499999997</v>
      </c>
      <c r="BH87" s="436">
        <f t="shared" si="67"/>
        <v>2361.7733999999996</v>
      </c>
      <c r="BI87" s="436">
        <f t="shared" si="68"/>
        <v>2460.1806249999995</v>
      </c>
      <c r="BJ87" s="436">
        <f t="shared" si="68"/>
        <v>2558.5878499999994</v>
      </c>
      <c r="BK87" s="436">
        <f t="shared" si="68"/>
        <v>2755.4022999999997</v>
      </c>
      <c r="BL87" s="436">
        <f t="shared" si="68"/>
        <v>2952.2167499999996</v>
      </c>
      <c r="BM87" s="436">
        <f t="shared" si="68"/>
        <v>3149.0311999999994</v>
      </c>
      <c r="BN87" s="436">
        <f t="shared" si="68"/>
        <v>3345.8456499999993</v>
      </c>
      <c r="BO87" s="436">
        <f t="shared" si="68"/>
        <v>3444.2528749999992</v>
      </c>
      <c r="BP87" s="436">
        <f t="shared" si="68"/>
        <v>3542.6600999999991</v>
      </c>
      <c r="BQ87" s="436">
        <f t="shared" si="68"/>
        <v>3739.4745499999995</v>
      </c>
      <c r="BR87" s="436">
        <f t="shared" si="68"/>
        <v>3936.2889999999993</v>
      </c>
      <c r="BS87" s="436">
        <f t="shared" si="69"/>
        <v>4428.3251249999994</v>
      </c>
      <c r="BT87" s="436">
        <f t="shared" si="69"/>
        <v>4920.361249999999</v>
      </c>
      <c r="BU87" s="436">
        <f t="shared" si="69"/>
        <v>5412.3973749999986</v>
      </c>
      <c r="BV87" s="436">
        <f t="shared" si="69"/>
        <v>5904.4334999999992</v>
      </c>
      <c r="BW87" s="436">
        <f t="shared" si="69"/>
        <v>6888.5057499999984</v>
      </c>
      <c r="BX87" s="436">
        <f t="shared" si="69"/>
        <v>7872.5779999999986</v>
      </c>
      <c r="BY87" s="436">
        <f t="shared" si="69"/>
        <v>8856.6502499999988</v>
      </c>
      <c r="BZ87" s="436">
        <f t="shared" si="69"/>
        <v>9840.722499999998</v>
      </c>
      <c r="CA87" s="436">
        <f t="shared" si="69"/>
        <v>10824.794749999997</v>
      </c>
      <c r="CB87" s="436">
        <f t="shared" si="69"/>
        <v>11808.866999999998</v>
      </c>
      <c r="CC87" s="436">
        <f t="shared" si="69"/>
        <v>13777.011499999997</v>
      </c>
      <c r="CD87" s="436">
        <f t="shared" si="69"/>
        <v>15745.155999999997</v>
      </c>
      <c r="CE87" s="436">
        <f t="shared" si="69"/>
        <v>17713.300499999998</v>
      </c>
      <c r="CF87" s="436">
        <f t="shared" si="69"/>
        <v>19681.444999999996</v>
      </c>
      <c r="CG87" s="436" cm="1">
        <f t="array" ref="CG87">IF($M688=0, Vide, $M688)</f>
        <v>196.81444999999997</v>
      </c>
      <c r="CH87" s="435" t="s">
        <v>762</v>
      </c>
      <c r="CI87" s="435" t="s">
        <v>762</v>
      </c>
      <c r="CJ87" s="435" t="s">
        <v>762</v>
      </c>
      <c r="CK87" s="435" t="s">
        <v>762</v>
      </c>
      <c r="CL87" s="435" t="s">
        <v>762</v>
      </c>
    </row>
    <row r="88" spans="1:90" s="437" customFormat="1">
      <c r="A88" s="435" t="s">
        <v>596</v>
      </c>
      <c r="B88" s="435" t="s">
        <v>90</v>
      </c>
      <c r="C88" s="436" cm="1">
        <f t="array" ref="C88">IF($B689=0, Vide, $B689)</f>
        <v>34.239524999999993</v>
      </c>
      <c r="D88" s="436" cm="1">
        <f t="array" ref="D88">IF($B689=0, Vide, $B689)</f>
        <v>34.239524999999993</v>
      </c>
      <c r="E88" s="436" cm="1">
        <f t="array" ref="E88">IF($B689=0, Vide, $B689)</f>
        <v>34.239524999999993</v>
      </c>
      <c r="F88" s="436" cm="1">
        <f t="array" ref="F88">IF($B689=0, Vide, $B689)</f>
        <v>34.239524999999993</v>
      </c>
      <c r="G88" s="436" cm="1">
        <f t="array" ref="G88">IF($B689=0, Vide, $B689)</f>
        <v>34.239524999999993</v>
      </c>
      <c r="H88" s="436" cm="1">
        <f t="array" ref="H88">IF($C689=0, Vide, $C689)</f>
        <v>36.500999999999998</v>
      </c>
      <c r="I88" s="436" cm="1">
        <f t="array" ref="I88">IF($C689=0, Vide, $C689)</f>
        <v>36.500999999999998</v>
      </c>
      <c r="J88" s="436" cm="1">
        <f t="array" ref="J88">IF($C689=0, Vide, $C689)</f>
        <v>36.500999999999998</v>
      </c>
      <c r="K88" s="436" cm="1">
        <f t="array" ref="K88">IF($C689=0, Vide, $C689)</f>
        <v>36.500999999999998</v>
      </c>
      <c r="L88" s="436" cm="1">
        <f t="array" ref="L88">IF($C689=0, Vide, $C689)</f>
        <v>36.500999999999998</v>
      </c>
      <c r="M88" s="436" t="s">
        <v>762</v>
      </c>
      <c r="N88" s="436" t="s">
        <v>762</v>
      </c>
      <c r="O88" s="436" t="s">
        <v>762</v>
      </c>
      <c r="P88" s="436" t="s">
        <v>762</v>
      </c>
      <c r="Q88" s="436" t="s">
        <v>762</v>
      </c>
      <c r="R88" s="436" t="s">
        <v>762</v>
      </c>
      <c r="S88" s="436" t="s">
        <v>762</v>
      </c>
      <c r="T88" s="436" t="s">
        <v>762</v>
      </c>
      <c r="U88" s="436" t="s">
        <v>762</v>
      </c>
      <c r="V88" s="436" cm="1">
        <f t="array" ref="V88">IF($D689=0, Vide, $D689)</f>
        <v>40.534624999999991</v>
      </c>
      <c r="W88" s="436" cm="1">
        <f t="array" ref="W88">IF($E689=0, Vide, $E689)</f>
        <v>44.303749999999994</v>
      </c>
      <c r="X88" s="436" cm="1">
        <f t="array" ref="X88">IF($F689=0, Vide, $F689)</f>
        <v>48.601874999999993</v>
      </c>
      <c r="Y88" s="436" cm="1">
        <f t="array" ref="Y88">IF($G689=0, Vide, $G689)</f>
        <v>52.860324999999996</v>
      </c>
      <c r="Z88" s="436" cm="1">
        <f t="array" ref="Z88">IF($H689=0, Vide, $H689)</f>
        <v>57.211349999999989</v>
      </c>
      <c r="AA88" s="436" cm="1">
        <f t="array" ref="AA88">IF($I689=0, Vide, $I689)</f>
        <v>61.535924999999992</v>
      </c>
      <c r="AB88" s="436" cm="1">
        <f t="array" ref="AB88">IF($J689=0, Vide, $J689)</f>
        <v>68.426149999999993</v>
      </c>
      <c r="AC88" s="436" cm="1">
        <f t="array" ref="AC88">IF($K689=0, Vide, $K689)</f>
        <v>75.012199999999993</v>
      </c>
      <c r="AD88" s="436" cm="1">
        <f t="array" ref="AD88">IF($L689=0, Vide, $L689)</f>
        <v>79.349999999999994</v>
      </c>
      <c r="AE88" s="436">
        <f t="shared" si="65"/>
        <v>87.284999999999997</v>
      </c>
      <c r="AF88" s="436">
        <f t="shared" si="65"/>
        <v>99.1875</v>
      </c>
      <c r="AG88" s="436">
        <f t="shared" si="65"/>
        <v>119.02499999999999</v>
      </c>
      <c r="AH88" s="436">
        <f t="shared" si="65"/>
        <v>138.86249999999998</v>
      </c>
      <c r="AI88" s="436">
        <f t="shared" si="65"/>
        <v>159.49349999999998</v>
      </c>
      <c r="AJ88" s="436">
        <f t="shared" si="65"/>
        <v>178.53749999999999</v>
      </c>
      <c r="AK88" s="436">
        <f t="shared" si="65"/>
        <v>198.375</v>
      </c>
      <c r="AL88" s="436">
        <f t="shared" si="65"/>
        <v>238.84349999999998</v>
      </c>
      <c r="AM88" s="436">
        <f t="shared" si="65"/>
        <v>257.88749999999999</v>
      </c>
      <c r="AN88" s="436">
        <f t="shared" si="65"/>
        <v>277.72499999999997</v>
      </c>
      <c r="AO88" s="436">
        <f t="shared" si="66"/>
        <v>297.5625</v>
      </c>
      <c r="AP88" s="436">
        <f t="shared" si="66"/>
        <v>318.19349999999997</v>
      </c>
      <c r="AQ88" s="436">
        <f t="shared" si="66"/>
        <v>337.23749999999995</v>
      </c>
      <c r="AR88" s="436">
        <f t="shared" si="66"/>
        <v>357.07499999999999</v>
      </c>
      <c r="AS88" s="436">
        <f t="shared" si="66"/>
        <v>376.91249999999997</v>
      </c>
      <c r="AT88" s="436">
        <f t="shared" si="66"/>
        <v>396.75</v>
      </c>
      <c r="AU88" s="436">
        <f t="shared" si="66"/>
        <v>416.58749999999998</v>
      </c>
      <c r="AV88" s="436">
        <f t="shared" si="66"/>
        <v>436.42499999999995</v>
      </c>
      <c r="AW88" s="436">
        <f t="shared" si="66"/>
        <v>456.26249999999999</v>
      </c>
      <c r="AX88" s="436">
        <f t="shared" si="66"/>
        <v>476.09999999999997</v>
      </c>
      <c r="AY88" s="436">
        <f t="shared" si="67"/>
        <v>515.77499999999998</v>
      </c>
      <c r="AZ88" s="436">
        <f t="shared" si="67"/>
        <v>555.44999999999993</v>
      </c>
      <c r="BA88" s="436">
        <f t="shared" si="67"/>
        <v>595.125</v>
      </c>
      <c r="BB88" s="436">
        <f t="shared" si="67"/>
        <v>634.79999999999995</v>
      </c>
      <c r="BC88" s="436">
        <f t="shared" si="67"/>
        <v>674.47499999999991</v>
      </c>
      <c r="BD88" s="436">
        <f t="shared" si="67"/>
        <v>714.15</v>
      </c>
      <c r="BE88" s="436">
        <f t="shared" si="67"/>
        <v>753.82499999999993</v>
      </c>
      <c r="BF88" s="436">
        <f t="shared" si="67"/>
        <v>793.5</v>
      </c>
      <c r="BG88" s="436">
        <f t="shared" si="67"/>
        <v>872.84999999999991</v>
      </c>
      <c r="BH88" s="436">
        <f t="shared" si="67"/>
        <v>952.19999999999993</v>
      </c>
      <c r="BI88" s="436">
        <f t="shared" si="68"/>
        <v>991.87499999999989</v>
      </c>
      <c r="BJ88" s="436">
        <f t="shared" si="68"/>
        <v>1031.55</v>
      </c>
      <c r="BK88" s="436">
        <f t="shared" si="68"/>
        <v>1110.8999999999999</v>
      </c>
      <c r="BL88" s="436">
        <f t="shared" si="68"/>
        <v>1190.25</v>
      </c>
      <c r="BM88" s="436">
        <f t="shared" si="68"/>
        <v>1269.5999999999999</v>
      </c>
      <c r="BN88" s="436">
        <f t="shared" si="68"/>
        <v>1348.9499999999998</v>
      </c>
      <c r="BO88" s="436">
        <f t="shared" si="68"/>
        <v>1388.625</v>
      </c>
      <c r="BP88" s="436">
        <f t="shared" si="68"/>
        <v>1428.3</v>
      </c>
      <c r="BQ88" s="436">
        <f t="shared" si="68"/>
        <v>1507.6499999999999</v>
      </c>
      <c r="BR88" s="436">
        <f t="shared" si="68"/>
        <v>1587</v>
      </c>
      <c r="BS88" s="436">
        <f t="shared" si="69"/>
        <v>1785.3749999999998</v>
      </c>
      <c r="BT88" s="436">
        <f t="shared" si="69"/>
        <v>1983.7499999999998</v>
      </c>
      <c r="BU88" s="436">
        <f t="shared" si="69"/>
        <v>2182.125</v>
      </c>
      <c r="BV88" s="436">
        <f t="shared" si="69"/>
        <v>2380.5</v>
      </c>
      <c r="BW88" s="436">
        <f t="shared" si="69"/>
        <v>2777.25</v>
      </c>
      <c r="BX88" s="436">
        <f t="shared" si="69"/>
        <v>3174</v>
      </c>
      <c r="BY88" s="436">
        <f t="shared" si="69"/>
        <v>3570.7499999999995</v>
      </c>
      <c r="BZ88" s="436">
        <f t="shared" si="69"/>
        <v>3967.4999999999995</v>
      </c>
      <c r="CA88" s="436">
        <f t="shared" si="69"/>
        <v>4364.25</v>
      </c>
      <c r="CB88" s="436">
        <f t="shared" si="69"/>
        <v>4761</v>
      </c>
      <c r="CC88" s="436">
        <f t="shared" si="69"/>
        <v>5554.5</v>
      </c>
      <c r="CD88" s="436">
        <f t="shared" si="69"/>
        <v>6348</v>
      </c>
      <c r="CE88" s="436">
        <f t="shared" si="69"/>
        <v>7141.4999999999991</v>
      </c>
      <c r="CF88" s="436">
        <f t="shared" si="69"/>
        <v>7934.9999999999991</v>
      </c>
      <c r="CG88" s="436" cm="1">
        <f t="array" ref="CG88">IF($M689=0, Vide, $M689)</f>
        <v>79.349999999999994</v>
      </c>
      <c r="CH88" s="435" t="s">
        <v>762</v>
      </c>
      <c r="CI88" s="435" t="s">
        <v>762</v>
      </c>
      <c r="CJ88" s="435" t="s">
        <v>762</v>
      </c>
      <c r="CK88" s="435" t="s">
        <v>762</v>
      </c>
      <c r="CL88" s="435" t="s">
        <v>762</v>
      </c>
    </row>
    <row r="89" spans="1:90" s="437" customFormat="1">
      <c r="A89" s="435" t="s">
        <v>597</v>
      </c>
      <c r="B89" s="435" t="s">
        <v>90</v>
      </c>
      <c r="C89" s="436" cm="1">
        <f t="array" ref="C89">IF($B690=0, Vide, $B690)</f>
        <v>41.433924999999995</v>
      </c>
      <c r="D89" s="436" cm="1">
        <f t="array" ref="D89">IF($B690=0, Vide, $B690)</f>
        <v>41.433924999999995</v>
      </c>
      <c r="E89" s="436" cm="1">
        <f t="array" ref="E89">IF($B690=0, Vide, $B690)</f>
        <v>41.433924999999995</v>
      </c>
      <c r="F89" s="436" cm="1">
        <f t="array" ref="F89">IF($B690=0, Vide, $B690)</f>
        <v>41.433924999999995</v>
      </c>
      <c r="G89" s="436" cm="1">
        <f t="array" ref="G89">IF($B690=0, Vide, $B690)</f>
        <v>41.433924999999995</v>
      </c>
      <c r="H89" s="436" cm="1">
        <f t="array" ref="H89">IF($C690=0, Vide, $C690)</f>
        <v>48.879599999999996</v>
      </c>
      <c r="I89" s="436" cm="1">
        <f t="array" ref="I89">IF($C690=0, Vide, $C690)</f>
        <v>48.879599999999996</v>
      </c>
      <c r="J89" s="436" cm="1">
        <f t="array" ref="J89">IF($C690=0, Vide, $C690)</f>
        <v>48.879599999999996</v>
      </c>
      <c r="K89" s="436" cm="1">
        <f t="array" ref="K89">IF($C690=0, Vide, $C690)</f>
        <v>48.879599999999996</v>
      </c>
      <c r="L89" s="436" cm="1">
        <f t="array" ref="L89">IF($C690=0, Vide, $C690)</f>
        <v>48.879599999999996</v>
      </c>
      <c r="M89" s="436" t="s">
        <v>762</v>
      </c>
      <c r="N89" s="436" t="s">
        <v>762</v>
      </c>
      <c r="O89" s="436" t="s">
        <v>762</v>
      </c>
      <c r="P89" s="436" t="s">
        <v>762</v>
      </c>
      <c r="Q89" s="436" t="s">
        <v>762</v>
      </c>
      <c r="R89" s="436" t="s">
        <v>762</v>
      </c>
      <c r="S89" s="436" t="s">
        <v>762</v>
      </c>
      <c r="T89" s="436" t="s">
        <v>762</v>
      </c>
      <c r="U89" s="436" t="s">
        <v>762</v>
      </c>
      <c r="V89" s="436" cm="1">
        <f t="array" ref="V89">IF($D690=0, Vide, $D690)</f>
        <v>65.146349999999984</v>
      </c>
      <c r="W89" s="436" cm="1">
        <f t="array" ref="W89">IF($E690=0, Vide, $E690)</f>
        <v>78.159750000000003</v>
      </c>
      <c r="X89" s="436" cm="1">
        <f t="array" ref="X89">IF($F690=0, Vide, $F690)</f>
        <v>94.439724999999967</v>
      </c>
      <c r="Y89" s="436" cm="1">
        <f t="array" ref="Y89">IF($G690=0, Vide, $G690)</f>
        <v>110.75937499999998</v>
      </c>
      <c r="Z89" s="436" cm="1">
        <f t="array" ref="Z89">IF($H690=0, Vide, $H690)</f>
        <v>127.31707499999997</v>
      </c>
      <c r="AA89" s="436" cm="1">
        <f t="array" ref="AA89">IF($I690=0, Vide, $I690)</f>
        <v>144.43022499999998</v>
      </c>
      <c r="AB89" s="436" cm="1">
        <f t="array" ref="AB89">IF($J690=0, Vide, $J690)</f>
        <v>161.86077499999996</v>
      </c>
      <c r="AC89" s="436" cm="1">
        <f t="array" ref="AC89">IF($K690=0, Vide, $K690)</f>
        <v>179.29132499999997</v>
      </c>
      <c r="AD89" s="436" cm="1">
        <f t="array" ref="AD89">IF($L690=0, Vide, $L690)</f>
        <v>202.72602499999996</v>
      </c>
      <c r="AE89" s="436">
        <f t="shared" si="65"/>
        <v>222.99862749999997</v>
      </c>
      <c r="AF89" s="436">
        <f t="shared" si="65"/>
        <v>253.40753124999995</v>
      </c>
      <c r="AG89" s="436">
        <f t="shared" si="65"/>
        <v>304.08903749999996</v>
      </c>
      <c r="AH89" s="436">
        <f t="shared" si="65"/>
        <v>354.77054374999994</v>
      </c>
      <c r="AI89" s="436">
        <f t="shared" si="65"/>
        <v>407.47931024999991</v>
      </c>
      <c r="AJ89" s="436">
        <f t="shared" si="65"/>
        <v>456.13355624999991</v>
      </c>
      <c r="AK89" s="436">
        <f t="shared" si="65"/>
        <v>506.8150624999999</v>
      </c>
      <c r="AL89" s="436">
        <f t="shared" si="65"/>
        <v>610.20533524999985</v>
      </c>
      <c r="AM89" s="436">
        <f t="shared" si="65"/>
        <v>658.85958124999991</v>
      </c>
      <c r="AN89" s="436">
        <f t="shared" si="65"/>
        <v>709.54108749999989</v>
      </c>
      <c r="AO89" s="436">
        <f t="shared" si="66"/>
        <v>760.22259374999987</v>
      </c>
      <c r="AP89" s="436">
        <f t="shared" si="66"/>
        <v>812.93136024999978</v>
      </c>
      <c r="AQ89" s="436">
        <f t="shared" si="66"/>
        <v>861.58560624999984</v>
      </c>
      <c r="AR89" s="436">
        <f t="shared" si="66"/>
        <v>912.26711249999983</v>
      </c>
      <c r="AS89" s="436">
        <f t="shared" si="66"/>
        <v>962.94861874999981</v>
      </c>
      <c r="AT89" s="436">
        <f t="shared" si="66"/>
        <v>1013.6301249999998</v>
      </c>
      <c r="AU89" s="436">
        <f t="shared" si="66"/>
        <v>1064.3116312499999</v>
      </c>
      <c r="AV89" s="436">
        <f t="shared" si="66"/>
        <v>1114.9931374999999</v>
      </c>
      <c r="AW89" s="436">
        <f t="shared" si="66"/>
        <v>1165.6746437499999</v>
      </c>
      <c r="AX89" s="436">
        <f t="shared" si="66"/>
        <v>1216.3561499999998</v>
      </c>
      <c r="AY89" s="436">
        <f t="shared" si="67"/>
        <v>1317.7191624999998</v>
      </c>
      <c r="AZ89" s="436">
        <f t="shared" si="67"/>
        <v>1419.0821749999998</v>
      </c>
      <c r="BA89" s="436">
        <f t="shared" si="67"/>
        <v>1520.4451874999997</v>
      </c>
      <c r="BB89" s="436">
        <f t="shared" si="67"/>
        <v>1621.8081999999997</v>
      </c>
      <c r="BC89" s="436">
        <f t="shared" si="67"/>
        <v>1723.1712124999997</v>
      </c>
      <c r="BD89" s="436">
        <f t="shared" si="67"/>
        <v>1824.5342249999997</v>
      </c>
      <c r="BE89" s="436">
        <f t="shared" si="67"/>
        <v>1925.8972374999996</v>
      </c>
      <c r="BF89" s="436">
        <f t="shared" si="67"/>
        <v>2027.2602499999996</v>
      </c>
      <c r="BG89" s="436">
        <f t="shared" si="67"/>
        <v>2229.9862749999998</v>
      </c>
      <c r="BH89" s="436">
        <f t="shared" si="67"/>
        <v>2432.7122999999997</v>
      </c>
      <c r="BI89" s="436">
        <f t="shared" si="68"/>
        <v>2534.0753124999997</v>
      </c>
      <c r="BJ89" s="436">
        <f t="shared" si="68"/>
        <v>2635.4383249999996</v>
      </c>
      <c r="BK89" s="436">
        <f t="shared" si="68"/>
        <v>2838.1643499999996</v>
      </c>
      <c r="BL89" s="436">
        <f t="shared" si="68"/>
        <v>3040.8903749999995</v>
      </c>
      <c r="BM89" s="436">
        <f t="shared" si="68"/>
        <v>3243.6163999999994</v>
      </c>
      <c r="BN89" s="436">
        <f t="shared" si="68"/>
        <v>3446.3424249999994</v>
      </c>
      <c r="BO89" s="436">
        <f t="shared" si="68"/>
        <v>3547.7054374999993</v>
      </c>
      <c r="BP89" s="436">
        <f t="shared" si="68"/>
        <v>3649.0684499999993</v>
      </c>
      <c r="BQ89" s="436">
        <f t="shared" si="68"/>
        <v>3851.7944749999992</v>
      </c>
      <c r="BR89" s="436">
        <f t="shared" si="68"/>
        <v>4054.5204999999992</v>
      </c>
      <c r="BS89" s="436">
        <f t="shared" si="69"/>
        <v>4561.3355624999995</v>
      </c>
      <c r="BT89" s="436">
        <f t="shared" si="69"/>
        <v>5068.1506249999993</v>
      </c>
      <c r="BU89" s="436">
        <f t="shared" si="69"/>
        <v>5574.9656874999991</v>
      </c>
      <c r="BV89" s="436">
        <f t="shared" si="69"/>
        <v>6081.780749999999</v>
      </c>
      <c r="BW89" s="436">
        <f t="shared" si="69"/>
        <v>7095.4108749999987</v>
      </c>
      <c r="BX89" s="436">
        <f t="shared" si="69"/>
        <v>8109.0409999999983</v>
      </c>
      <c r="BY89" s="436">
        <f t="shared" si="69"/>
        <v>9122.6711249999989</v>
      </c>
      <c r="BZ89" s="436">
        <f t="shared" si="69"/>
        <v>10136.301249999999</v>
      </c>
      <c r="CA89" s="436">
        <f t="shared" si="69"/>
        <v>11149.931374999998</v>
      </c>
      <c r="CB89" s="436">
        <f t="shared" si="69"/>
        <v>12163.561499999998</v>
      </c>
      <c r="CC89" s="436">
        <f t="shared" si="69"/>
        <v>14190.821749999997</v>
      </c>
      <c r="CD89" s="436">
        <f t="shared" si="69"/>
        <v>16218.081999999997</v>
      </c>
      <c r="CE89" s="436">
        <f t="shared" si="69"/>
        <v>18245.342249999998</v>
      </c>
      <c r="CF89" s="436">
        <f t="shared" si="69"/>
        <v>20272.602499999997</v>
      </c>
      <c r="CG89" s="436" cm="1">
        <f t="array" ref="CG89">IF($M690=0, Vide, $M690)</f>
        <v>202.72602499999996</v>
      </c>
      <c r="CH89" s="435" t="s">
        <v>762</v>
      </c>
      <c r="CI89" s="435" t="s">
        <v>762</v>
      </c>
      <c r="CJ89" s="435" t="s">
        <v>762</v>
      </c>
      <c r="CK89" s="435" t="s">
        <v>762</v>
      </c>
      <c r="CL89" s="435" t="s">
        <v>762</v>
      </c>
    </row>
    <row r="90" spans="1:90" s="437" customFormat="1">
      <c r="A90" s="435" t="s">
        <v>598</v>
      </c>
      <c r="B90" s="435" t="s">
        <v>90</v>
      </c>
      <c r="C90" s="436" t="s">
        <v>762</v>
      </c>
      <c r="D90" s="436" t="s">
        <v>762</v>
      </c>
      <c r="E90" s="436" t="s">
        <v>762</v>
      </c>
      <c r="F90" s="436" t="s">
        <v>762</v>
      </c>
      <c r="G90" s="436" t="s">
        <v>762</v>
      </c>
      <c r="H90" s="436" t="s">
        <v>762</v>
      </c>
      <c r="I90" s="436" t="s">
        <v>762</v>
      </c>
      <c r="J90" s="436" t="s">
        <v>762</v>
      </c>
      <c r="K90" s="436" t="s">
        <v>762</v>
      </c>
      <c r="L90" s="436" t="s">
        <v>762</v>
      </c>
      <c r="M90" s="436" t="s">
        <v>762</v>
      </c>
      <c r="N90" s="436" t="s">
        <v>762</v>
      </c>
      <c r="O90" s="436" t="s">
        <v>762</v>
      </c>
      <c r="P90" s="436" t="s">
        <v>762</v>
      </c>
      <c r="Q90" s="436" t="s">
        <v>762</v>
      </c>
      <c r="R90" s="436" t="s">
        <v>762</v>
      </c>
      <c r="S90" s="436" t="s">
        <v>762</v>
      </c>
      <c r="T90" s="436" t="s">
        <v>762</v>
      </c>
      <c r="U90" s="436" t="s">
        <v>762</v>
      </c>
      <c r="V90" s="436" t="s">
        <v>762</v>
      </c>
      <c r="W90" s="436" t="s">
        <v>762</v>
      </c>
      <c r="X90" s="436" t="s">
        <v>762</v>
      </c>
      <c r="Y90" s="436" t="s">
        <v>762</v>
      </c>
      <c r="Z90" s="436" t="s">
        <v>762</v>
      </c>
      <c r="AA90" s="436" t="s">
        <v>762</v>
      </c>
      <c r="AB90" s="436" t="s">
        <v>762</v>
      </c>
      <c r="AC90" s="436" t="s">
        <v>762</v>
      </c>
      <c r="AD90" s="436" t="s">
        <v>762</v>
      </c>
      <c r="AE90" s="436" t="s">
        <v>762</v>
      </c>
      <c r="AF90" s="436" t="s">
        <v>762</v>
      </c>
      <c r="AG90" s="436" t="s">
        <v>762</v>
      </c>
      <c r="AH90" s="436" t="s">
        <v>762</v>
      </c>
      <c r="AI90" s="436" t="s">
        <v>762</v>
      </c>
      <c r="AJ90" s="436" t="s">
        <v>762</v>
      </c>
      <c r="AK90" s="436" t="s">
        <v>762</v>
      </c>
      <c r="AL90" s="436" t="s">
        <v>762</v>
      </c>
      <c r="AM90" s="436" t="s">
        <v>762</v>
      </c>
      <c r="AN90" s="436" t="s">
        <v>762</v>
      </c>
      <c r="AO90" s="436" t="s">
        <v>762</v>
      </c>
      <c r="AP90" s="436" t="s">
        <v>762</v>
      </c>
      <c r="AQ90" s="436" t="s">
        <v>762</v>
      </c>
      <c r="AR90" s="436" t="s">
        <v>762</v>
      </c>
      <c r="AS90" s="436" t="s">
        <v>762</v>
      </c>
      <c r="AT90" s="436" t="s">
        <v>762</v>
      </c>
      <c r="AU90" s="436" t="s">
        <v>762</v>
      </c>
      <c r="AV90" s="436" t="s">
        <v>762</v>
      </c>
      <c r="AW90" s="436" t="s">
        <v>762</v>
      </c>
      <c r="AX90" s="436" t="s">
        <v>762</v>
      </c>
      <c r="AY90" s="436" t="s">
        <v>762</v>
      </c>
      <c r="AZ90" s="436" t="s">
        <v>762</v>
      </c>
      <c r="BA90" s="436" t="s">
        <v>762</v>
      </c>
      <c r="BB90" s="436" t="s">
        <v>762</v>
      </c>
      <c r="BC90" s="436" t="s">
        <v>762</v>
      </c>
      <c r="BD90" s="436" t="s">
        <v>762</v>
      </c>
      <c r="BE90" s="436" t="s">
        <v>762</v>
      </c>
      <c r="BF90" s="436" t="s">
        <v>762</v>
      </c>
      <c r="BG90" s="436" t="s">
        <v>762</v>
      </c>
      <c r="BH90" s="436" t="s">
        <v>762</v>
      </c>
      <c r="BI90" s="436" t="s">
        <v>762</v>
      </c>
      <c r="BJ90" s="436" t="s">
        <v>762</v>
      </c>
      <c r="BK90" s="436" t="s">
        <v>762</v>
      </c>
      <c r="BL90" s="436" t="s">
        <v>762</v>
      </c>
      <c r="BM90" s="436" t="s">
        <v>762</v>
      </c>
      <c r="BN90" s="436" t="s">
        <v>762</v>
      </c>
      <c r="BO90" s="436" t="s">
        <v>762</v>
      </c>
      <c r="BP90" s="436" t="s">
        <v>762</v>
      </c>
      <c r="BQ90" s="436" t="s">
        <v>762</v>
      </c>
      <c r="BR90" s="436" t="s">
        <v>762</v>
      </c>
      <c r="BS90" s="436" t="s">
        <v>762</v>
      </c>
      <c r="BT90" s="436" t="s">
        <v>762</v>
      </c>
      <c r="BU90" s="436" t="s">
        <v>762</v>
      </c>
      <c r="BV90" s="436" t="s">
        <v>762</v>
      </c>
      <c r="BW90" s="436" t="s">
        <v>762</v>
      </c>
      <c r="BX90" s="436" t="s">
        <v>762</v>
      </c>
      <c r="BY90" s="436" t="s">
        <v>762</v>
      </c>
      <c r="BZ90" s="436" t="s">
        <v>762</v>
      </c>
      <c r="CA90" s="436" t="s">
        <v>762</v>
      </c>
      <c r="CB90" s="436" t="s">
        <v>762</v>
      </c>
      <c r="CC90" s="436" t="s">
        <v>762</v>
      </c>
      <c r="CD90" s="436" t="s">
        <v>762</v>
      </c>
      <c r="CE90" s="436" t="s">
        <v>762</v>
      </c>
      <c r="CF90" s="436" t="s">
        <v>762</v>
      </c>
      <c r="CG90" s="436" t="s">
        <v>762</v>
      </c>
      <c r="CH90" s="436" t="s">
        <v>762</v>
      </c>
      <c r="CI90" s="436" t="s">
        <v>762</v>
      </c>
      <c r="CJ90" s="436" t="s">
        <v>762</v>
      </c>
      <c r="CK90" s="436" t="s">
        <v>762</v>
      </c>
      <c r="CL90" s="436" t="s">
        <v>762</v>
      </c>
    </row>
    <row r="91" spans="1:90" s="437" customFormat="1">
      <c r="A91" s="435" t="s">
        <v>599</v>
      </c>
      <c r="B91" s="435" t="s">
        <v>90</v>
      </c>
      <c r="C91" s="436" cm="1">
        <f t="array" ref="C91">IF($B692=0, Vide, $B692)</f>
        <v>41.433924999999995</v>
      </c>
      <c r="D91" s="436" cm="1">
        <f t="array" ref="D91">IF($B692=0, Vide, $B692)</f>
        <v>41.433924999999995</v>
      </c>
      <c r="E91" s="436" cm="1">
        <f t="array" ref="E91">IF($B692=0, Vide, $B692)</f>
        <v>41.433924999999995</v>
      </c>
      <c r="F91" s="436" cm="1">
        <f t="array" ref="F91">IF($B692=0, Vide, $B692)</f>
        <v>41.433924999999995</v>
      </c>
      <c r="G91" s="436" cm="1">
        <f t="array" ref="G91">IF($B692=0, Vide, $B692)</f>
        <v>41.433924999999995</v>
      </c>
      <c r="H91" s="436" cm="1">
        <f t="array" ref="H91">IF($C692=0, Vide, $C692)</f>
        <v>48.879599999999996</v>
      </c>
      <c r="I91" s="436" cm="1">
        <f t="array" ref="I91">IF($C692=0, Vide, $C692)</f>
        <v>48.879599999999996</v>
      </c>
      <c r="J91" s="436" cm="1">
        <f t="array" ref="J91">IF($C692=0, Vide, $C692)</f>
        <v>48.879599999999996</v>
      </c>
      <c r="K91" s="436" cm="1">
        <f t="array" ref="K91">IF($C692=0, Vide, $C692)</f>
        <v>48.879599999999996</v>
      </c>
      <c r="L91" s="436" cm="1">
        <f t="array" ref="L91">IF($C692=0, Vide, $C692)</f>
        <v>48.879599999999996</v>
      </c>
      <c r="M91" s="436" t="s">
        <v>762</v>
      </c>
      <c r="N91" s="436" t="s">
        <v>762</v>
      </c>
      <c r="O91" s="436" t="s">
        <v>762</v>
      </c>
      <c r="P91" s="436" t="s">
        <v>762</v>
      </c>
      <c r="Q91" s="436" t="s">
        <v>762</v>
      </c>
      <c r="R91" s="436" t="s">
        <v>762</v>
      </c>
      <c r="S91" s="436" t="s">
        <v>762</v>
      </c>
      <c r="T91" s="436" t="s">
        <v>762</v>
      </c>
      <c r="U91" s="436" t="s">
        <v>762</v>
      </c>
      <c r="V91" s="436" cm="1">
        <f t="array" ref="V91">IF($D692=0, Vide, $D692)</f>
        <v>65.146349999999984</v>
      </c>
      <c r="W91" s="436" cm="1">
        <f t="array" ref="W91">IF($E692=0, Vide, $E692)</f>
        <v>78.159750000000003</v>
      </c>
      <c r="X91" s="436" cm="1">
        <f t="array" ref="X91">IF($F692=0, Vide, $F692)</f>
        <v>94.439724999999967</v>
      </c>
      <c r="Y91" s="436" cm="1">
        <f t="array" ref="Y91">IF($G692=0, Vide, $G692)</f>
        <v>110.75937499999998</v>
      </c>
      <c r="Z91" s="436" cm="1">
        <f t="array" ref="Z91">IF($H692=0, Vide, $H692)</f>
        <v>127.31707499999997</v>
      </c>
      <c r="AA91" s="436" cm="1">
        <f t="array" ref="AA91">IF($I692=0, Vide, $I692)</f>
        <v>144.43022499999998</v>
      </c>
      <c r="AB91" s="436" cm="1">
        <f t="array" ref="AB91">IF($J692=0, Vide, $J692)</f>
        <v>161.86077499999996</v>
      </c>
      <c r="AC91" s="436" cm="1">
        <f t="array" ref="AC91">IF($K692=0, Vide, $K692)</f>
        <v>179.29132499999997</v>
      </c>
      <c r="AD91" s="436" cm="1">
        <f t="array" ref="AD91">IF($L692=0, Vide, $L692)</f>
        <v>202.72602499999996</v>
      </c>
      <c r="AE91" s="436">
        <f t="shared" ref="AE91:BJ91" si="70">(AE$1/100)*$CG91</f>
        <v>222.99862749999997</v>
      </c>
      <c r="AF91" s="436">
        <f t="shared" si="70"/>
        <v>253.40753124999995</v>
      </c>
      <c r="AG91" s="436">
        <f t="shared" si="70"/>
        <v>304.08903749999996</v>
      </c>
      <c r="AH91" s="436">
        <f t="shared" si="70"/>
        <v>354.77054374999994</v>
      </c>
      <c r="AI91" s="436">
        <f t="shared" si="70"/>
        <v>407.47931024999991</v>
      </c>
      <c r="AJ91" s="436">
        <f t="shared" si="70"/>
        <v>456.13355624999991</v>
      </c>
      <c r="AK91" s="436">
        <f t="shared" si="70"/>
        <v>506.8150624999999</v>
      </c>
      <c r="AL91" s="436">
        <f t="shared" si="70"/>
        <v>610.20533524999985</v>
      </c>
      <c r="AM91" s="436">
        <f t="shared" si="70"/>
        <v>658.85958124999991</v>
      </c>
      <c r="AN91" s="436">
        <f t="shared" si="70"/>
        <v>709.54108749999989</v>
      </c>
      <c r="AO91" s="436">
        <f t="shared" si="70"/>
        <v>760.22259374999987</v>
      </c>
      <c r="AP91" s="436">
        <f t="shared" si="70"/>
        <v>812.93136024999978</v>
      </c>
      <c r="AQ91" s="436">
        <f t="shared" si="70"/>
        <v>861.58560624999984</v>
      </c>
      <c r="AR91" s="436">
        <f t="shared" si="70"/>
        <v>912.26711249999983</v>
      </c>
      <c r="AS91" s="436">
        <f t="shared" si="70"/>
        <v>962.94861874999981</v>
      </c>
      <c r="AT91" s="436">
        <f t="shared" si="70"/>
        <v>1013.6301249999998</v>
      </c>
      <c r="AU91" s="436">
        <f t="shared" si="70"/>
        <v>1064.3116312499999</v>
      </c>
      <c r="AV91" s="436">
        <f t="shared" si="70"/>
        <v>1114.9931374999999</v>
      </c>
      <c r="AW91" s="436">
        <f t="shared" si="70"/>
        <v>1165.6746437499999</v>
      </c>
      <c r="AX91" s="436">
        <f t="shared" si="70"/>
        <v>1216.3561499999998</v>
      </c>
      <c r="AY91" s="436">
        <f t="shared" si="70"/>
        <v>1317.7191624999998</v>
      </c>
      <c r="AZ91" s="436">
        <f t="shared" si="70"/>
        <v>1419.0821749999998</v>
      </c>
      <c r="BA91" s="436">
        <f t="shared" si="70"/>
        <v>1520.4451874999997</v>
      </c>
      <c r="BB91" s="436">
        <f t="shared" si="70"/>
        <v>1621.8081999999997</v>
      </c>
      <c r="BC91" s="436">
        <f t="shared" si="70"/>
        <v>1723.1712124999997</v>
      </c>
      <c r="BD91" s="436">
        <f t="shared" si="70"/>
        <v>1824.5342249999997</v>
      </c>
      <c r="BE91" s="436">
        <f t="shared" si="70"/>
        <v>1925.8972374999996</v>
      </c>
      <c r="BF91" s="436">
        <f t="shared" si="70"/>
        <v>2027.2602499999996</v>
      </c>
      <c r="BG91" s="436">
        <f t="shared" si="70"/>
        <v>2229.9862749999998</v>
      </c>
      <c r="BH91" s="436">
        <f t="shared" si="70"/>
        <v>2432.7122999999997</v>
      </c>
      <c r="BI91" s="436">
        <f t="shared" si="70"/>
        <v>2534.0753124999997</v>
      </c>
      <c r="BJ91" s="436">
        <f t="shared" si="70"/>
        <v>2635.4383249999996</v>
      </c>
      <c r="BK91" s="436">
        <f t="shared" ref="BK91:CF91" si="71">(BK$1/100)*$CG91</f>
        <v>2838.1643499999996</v>
      </c>
      <c r="BL91" s="436">
        <f t="shared" si="71"/>
        <v>3040.8903749999995</v>
      </c>
      <c r="BM91" s="436">
        <f t="shared" si="71"/>
        <v>3243.6163999999994</v>
      </c>
      <c r="BN91" s="436">
        <f t="shared" si="71"/>
        <v>3446.3424249999994</v>
      </c>
      <c r="BO91" s="436">
        <f t="shared" si="71"/>
        <v>3547.7054374999993</v>
      </c>
      <c r="BP91" s="436">
        <f t="shared" si="71"/>
        <v>3649.0684499999993</v>
      </c>
      <c r="BQ91" s="436">
        <f t="shared" si="71"/>
        <v>3851.7944749999992</v>
      </c>
      <c r="BR91" s="436">
        <f t="shared" si="71"/>
        <v>4054.5204999999992</v>
      </c>
      <c r="BS91" s="436">
        <f t="shared" si="71"/>
        <v>4561.3355624999995</v>
      </c>
      <c r="BT91" s="436">
        <f t="shared" si="71"/>
        <v>5068.1506249999993</v>
      </c>
      <c r="BU91" s="436">
        <f t="shared" si="71"/>
        <v>5574.9656874999991</v>
      </c>
      <c r="BV91" s="436">
        <f t="shared" si="71"/>
        <v>6081.780749999999</v>
      </c>
      <c r="BW91" s="436">
        <f t="shared" si="71"/>
        <v>7095.4108749999987</v>
      </c>
      <c r="BX91" s="436">
        <f t="shared" si="71"/>
        <v>8109.0409999999983</v>
      </c>
      <c r="BY91" s="436">
        <f t="shared" si="71"/>
        <v>9122.6711249999989</v>
      </c>
      <c r="BZ91" s="436">
        <f t="shared" si="71"/>
        <v>10136.301249999999</v>
      </c>
      <c r="CA91" s="436">
        <f t="shared" si="71"/>
        <v>11149.931374999998</v>
      </c>
      <c r="CB91" s="436">
        <f t="shared" si="71"/>
        <v>12163.561499999998</v>
      </c>
      <c r="CC91" s="436">
        <f t="shared" si="71"/>
        <v>14190.821749999997</v>
      </c>
      <c r="CD91" s="436">
        <f t="shared" si="71"/>
        <v>16218.081999999997</v>
      </c>
      <c r="CE91" s="436">
        <f t="shared" si="71"/>
        <v>18245.342249999998</v>
      </c>
      <c r="CF91" s="436">
        <f t="shared" si="71"/>
        <v>20272.602499999997</v>
      </c>
      <c r="CG91" s="436" cm="1">
        <f t="array" ref="CG91">IF($M692=0, Vide, $M692)</f>
        <v>202.72602499999996</v>
      </c>
      <c r="CH91" s="435" t="s">
        <v>762</v>
      </c>
      <c r="CI91" s="435" t="s">
        <v>762</v>
      </c>
      <c r="CJ91" s="435" t="s">
        <v>762</v>
      </c>
      <c r="CK91" s="435" t="s">
        <v>762</v>
      </c>
      <c r="CL91" s="435" t="s">
        <v>762</v>
      </c>
    </row>
    <row r="92" spans="1:90" s="437" customFormat="1">
      <c r="A92" s="435" t="s">
        <v>600</v>
      </c>
      <c r="B92" s="435" t="s">
        <v>90</v>
      </c>
      <c r="C92" s="436" t="s">
        <v>762</v>
      </c>
      <c r="D92" s="436" t="s">
        <v>762</v>
      </c>
      <c r="E92" s="436" t="s">
        <v>762</v>
      </c>
      <c r="F92" s="436" t="s">
        <v>762</v>
      </c>
      <c r="G92" s="436" t="s">
        <v>762</v>
      </c>
      <c r="H92" s="436" t="s">
        <v>762</v>
      </c>
      <c r="I92" s="436" t="s">
        <v>762</v>
      </c>
      <c r="J92" s="436" t="s">
        <v>762</v>
      </c>
      <c r="K92" s="436" t="s">
        <v>762</v>
      </c>
      <c r="L92" s="436" t="s">
        <v>762</v>
      </c>
      <c r="M92" s="436" t="s">
        <v>762</v>
      </c>
      <c r="N92" s="436" t="s">
        <v>762</v>
      </c>
      <c r="O92" s="436" t="s">
        <v>762</v>
      </c>
      <c r="P92" s="436" t="s">
        <v>762</v>
      </c>
      <c r="Q92" s="436" t="s">
        <v>762</v>
      </c>
      <c r="R92" s="436" t="s">
        <v>762</v>
      </c>
      <c r="S92" s="436" t="s">
        <v>762</v>
      </c>
      <c r="T92" s="436" t="s">
        <v>762</v>
      </c>
      <c r="U92" s="436" t="s">
        <v>762</v>
      </c>
      <c r="V92" s="436" t="s">
        <v>762</v>
      </c>
      <c r="W92" s="436" t="s">
        <v>762</v>
      </c>
      <c r="X92" s="436" t="s">
        <v>762</v>
      </c>
      <c r="Y92" s="436" t="s">
        <v>762</v>
      </c>
      <c r="Z92" s="436" t="s">
        <v>762</v>
      </c>
      <c r="AA92" s="436" t="s">
        <v>762</v>
      </c>
      <c r="AB92" s="436" t="s">
        <v>762</v>
      </c>
      <c r="AC92" s="436" t="s">
        <v>762</v>
      </c>
      <c r="AD92" s="436" t="s">
        <v>762</v>
      </c>
      <c r="AE92" s="436" t="s">
        <v>762</v>
      </c>
      <c r="AF92" s="436" t="s">
        <v>762</v>
      </c>
      <c r="AG92" s="436" t="s">
        <v>762</v>
      </c>
      <c r="AH92" s="436" t="s">
        <v>762</v>
      </c>
      <c r="AI92" s="436" t="s">
        <v>762</v>
      </c>
      <c r="AJ92" s="436" t="s">
        <v>762</v>
      </c>
      <c r="AK92" s="436" t="s">
        <v>762</v>
      </c>
      <c r="AL92" s="436" t="s">
        <v>762</v>
      </c>
      <c r="AM92" s="436" t="s">
        <v>762</v>
      </c>
      <c r="AN92" s="436" t="s">
        <v>762</v>
      </c>
      <c r="AO92" s="436" t="s">
        <v>762</v>
      </c>
      <c r="AP92" s="436" t="s">
        <v>762</v>
      </c>
      <c r="AQ92" s="436" t="s">
        <v>762</v>
      </c>
      <c r="AR92" s="436" t="s">
        <v>762</v>
      </c>
      <c r="AS92" s="436" t="s">
        <v>762</v>
      </c>
      <c r="AT92" s="436" t="s">
        <v>762</v>
      </c>
      <c r="AU92" s="436" t="s">
        <v>762</v>
      </c>
      <c r="AV92" s="436" t="s">
        <v>762</v>
      </c>
      <c r="AW92" s="436" t="s">
        <v>762</v>
      </c>
      <c r="AX92" s="436" t="s">
        <v>762</v>
      </c>
      <c r="AY92" s="436" t="s">
        <v>762</v>
      </c>
      <c r="AZ92" s="436" t="s">
        <v>762</v>
      </c>
      <c r="BA92" s="436" t="s">
        <v>762</v>
      </c>
      <c r="BB92" s="436" t="s">
        <v>762</v>
      </c>
      <c r="BC92" s="436" t="s">
        <v>762</v>
      </c>
      <c r="BD92" s="436" t="s">
        <v>762</v>
      </c>
      <c r="BE92" s="436" t="s">
        <v>762</v>
      </c>
      <c r="BF92" s="436" t="s">
        <v>762</v>
      </c>
      <c r="BG92" s="436" t="s">
        <v>762</v>
      </c>
      <c r="BH92" s="436" t="s">
        <v>762</v>
      </c>
      <c r="BI92" s="436" t="s">
        <v>762</v>
      </c>
      <c r="BJ92" s="436" t="s">
        <v>762</v>
      </c>
      <c r="BK92" s="436" t="s">
        <v>762</v>
      </c>
      <c r="BL92" s="436" t="s">
        <v>762</v>
      </c>
      <c r="BM92" s="436" t="s">
        <v>762</v>
      </c>
      <c r="BN92" s="436" t="s">
        <v>762</v>
      </c>
      <c r="BO92" s="436" t="s">
        <v>762</v>
      </c>
      <c r="BP92" s="436" t="s">
        <v>762</v>
      </c>
      <c r="BQ92" s="436" t="s">
        <v>762</v>
      </c>
      <c r="BR92" s="436" t="s">
        <v>762</v>
      </c>
      <c r="BS92" s="436" t="s">
        <v>762</v>
      </c>
      <c r="BT92" s="436" t="s">
        <v>762</v>
      </c>
      <c r="BU92" s="436" t="s">
        <v>762</v>
      </c>
      <c r="BV92" s="436" t="s">
        <v>762</v>
      </c>
      <c r="BW92" s="436" t="s">
        <v>762</v>
      </c>
      <c r="BX92" s="436" t="s">
        <v>762</v>
      </c>
      <c r="BY92" s="436" t="s">
        <v>762</v>
      </c>
      <c r="BZ92" s="436" t="s">
        <v>762</v>
      </c>
      <c r="CA92" s="436" t="s">
        <v>762</v>
      </c>
      <c r="CB92" s="436" t="s">
        <v>762</v>
      </c>
      <c r="CC92" s="436" t="s">
        <v>762</v>
      </c>
      <c r="CD92" s="436" t="s">
        <v>762</v>
      </c>
      <c r="CE92" s="436" t="s">
        <v>762</v>
      </c>
      <c r="CF92" s="436" t="s">
        <v>762</v>
      </c>
      <c r="CG92" s="436" t="s">
        <v>762</v>
      </c>
      <c r="CH92" s="436" t="s">
        <v>762</v>
      </c>
      <c r="CI92" s="436" t="s">
        <v>762</v>
      </c>
      <c r="CJ92" s="436" t="s">
        <v>762</v>
      </c>
      <c r="CK92" s="436" t="s">
        <v>762</v>
      </c>
      <c r="CL92" s="436" t="s">
        <v>762</v>
      </c>
    </row>
    <row r="93" spans="1:90" s="437" customFormat="1">
      <c r="A93" s="435" t="s">
        <v>601</v>
      </c>
      <c r="B93" s="435" t="s">
        <v>90</v>
      </c>
      <c r="C93" s="436" cm="1">
        <f t="array" ref="C93">IF($B694=0, Vide, $B694)</f>
        <v>34.239524999999993</v>
      </c>
      <c r="D93" s="436" cm="1">
        <f t="array" ref="D93">IF($B694=0, Vide, $B694)</f>
        <v>34.239524999999993</v>
      </c>
      <c r="E93" s="436" cm="1">
        <f t="array" ref="E93">IF($B694=0, Vide, $B694)</f>
        <v>34.239524999999993</v>
      </c>
      <c r="F93" s="436" cm="1">
        <f t="array" ref="F93">IF($B694=0, Vide, $B694)</f>
        <v>34.239524999999993</v>
      </c>
      <c r="G93" s="436" cm="1">
        <f t="array" ref="G93">IF($B694=0, Vide, $B694)</f>
        <v>34.239524999999993</v>
      </c>
      <c r="H93" s="436" cm="1">
        <f t="array" ref="H93">IF($C694=0, Vide, $C694)</f>
        <v>36.500999999999998</v>
      </c>
      <c r="I93" s="436" cm="1">
        <f t="array" ref="I93">IF($C694=0, Vide, $C694)</f>
        <v>36.500999999999998</v>
      </c>
      <c r="J93" s="436" cm="1">
        <f t="array" ref="J93">IF($C694=0, Vide, $C694)</f>
        <v>36.500999999999998</v>
      </c>
      <c r="K93" s="436" cm="1">
        <f t="array" ref="K93">IF($C694=0, Vide, $C694)</f>
        <v>36.500999999999998</v>
      </c>
      <c r="L93" s="436" cm="1">
        <f t="array" ref="L93">IF($C694=0, Vide, $C694)</f>
        <v>36.500999999999998</v>
      </c>
      <c r="M93" s="436" t="s">
        <v>762</v>
      </c>
      <c r="N93" s="436" t="s">
        <v>762</v>
      </c>
      <c r="O93" s="436" t="s">
        <v>762</v>
      </c>
      <c r="P93" s="436" t="s">
        <v>762</v>
      </c>
      <c r="Q93" s="436" t="s">
        <v>762</v>
      </c>
      <c r="R93" s="436" t="s">
        <v>762</v>
      </c>
      <c r="S93" s="436" t="s">
        <v>762</v>
      </c>
      <c r="T93" s="436" t="s">
        <v>762</v>
      </c>
      <c r="U93" s="436" t="s">
        <v>762</v>
      </c>
      <c r="V93" s="436" cm="1">
        <f t="array" ref="V93">IF($D694=0, Vide, $D694)</f>
        <v>40.534624999999991</v>
      </c>
      <c r="W93" s="436" cm="1">
        <f t="array" ref="W93">IF($E694=0, Vide, $E694)</f>
        <v>44.303749999999994</v>
      </c>
      <c r="X93" s="436" cm="1">
        <f t="array" ref="X93">IF($F694=0, Vide, $F694)</f>
        <v>48.601874999999993</v>
      </c>
      <c r="Y93" s="436" cm="1">
        <f t="array" ref="Y93">IF($G694=0, Vide, $G694)</f>
        <v>52.860324999999996</v>
      </c>
      <c r="Z93" s="436" cm="1">
        <f t="array" ref="Z93">IF($H694=0, Vide, $H694)</f>
        <v>57.211349999999989</v>
      </c>
      <c r="AA93" s="436" cm="1">
        <f t="array" ref="AA93">IF($I694=0, Vide, $I694)</f>
        <v>61.535924999999992</v>
      </c>
      <c r="AB93" s="436" cm="1">
        <f t="array" ref="AB93">IF($J694=0, Vide, $J694)</f>
        <v>68.426149999999993</v>
      </c>
      <c r="AC93" s="436" cm="1">
        <f t="array" ref="AC93">IF($K694=0, Vide, $K694)</f>
        <v>75.012199999999993</v>
      </c>
      <c r="AD93" s="436" cm="1">
        <f t="array" ref="AD93">IF($L694=0, Vide, $L694)</f>
        <v>79.349999999999994</v>
      </c>
      <c r="AE93" s="436">
        <f t="shared" ref="AE93:AN101" si="72">(AE$1/100)*$CG93</f>
        <v>87.284999999999997</v>
      </c>
      <c r="AF93" s="436">
        <f t="shared" si="72"/>
        <v>99.1875</v>
      </c>
      <c r="AG93" s="436">
        <f t="shared" si="72"/>
        <v>119.02499999999999</v>
      </c>
      <c r="AH93" s="436">
        <f t="shared" si="72"/>
        <v>138.86249999999998</v>
      </c>
      <c r="AI93" s="436">
        <f t="shared" si="72"/>
        <v>159.49349999999998</v>
      </c>
      <c r="AJ93" s="436">
        <f t="shared" si="72"/>
        <v>178.53749999999999</v>
      </c>
      <c r="AK93" s="436">
        <f t="shared" si="72"/>
        <v>198.375</v>
      </c>
      <c r="AL93" s="436">
        <f t="shared" si="72"/>
        <v>238.84349999999998</v>
      </c>
      <c r="AM93" s="436">
        <f t="shared" si="72"/>
        <v>257.88749999999999</v>
      </c>
      <c r="AN93" s="436">
        <f t="shared" si="72"/>
        <v>277.72499999999997</v>
      </c>
      <c r="AO93" s="436">
        <f t="shared" ref="AO93:AX101" si="73">(AO$1/100)*$CG93</f>
        <v>297.5625</v>
      </c>
      <c r="AP93" s="436">
        <f t="shared" si="73"/>
        <v>318.19349999999997</v>
      </c>
      <c r="AQ93" s="436">
        <f t="shared" si="73"/>
        <v>337.23749999999995</v>
      </c>
      <c r="AR93" s="436">
        <f t="shared" si="73"/>
        <v>357.07499999999999</v>
      </c>
      <c r="AS93" s="436">
        <f t="shared" si="73"/>
        <v>376.91249999999997</v>
      </c>
      <c r="AT93" s="436">
        <f t="shared" si="73"/>
        <v>396.75</v>
      </c>
      <c r="AU93" s="436">
        <f t="shared" si="73"/>
        <v>416.58749999999998</v>
      </c>
      <c r="AV93" s="436">
        <f t="shared" si="73"/>
        <v>436.42499999999995</v>
      </c>
      <c r="AW93" s="436">
        <f t="shared" si="73"/>
        <v>456.26249999999999</v>
      </c>
      <c r="AX93" s="436">
        <f t="shared" si="73"/>
        <v>476.09999999999997</v>
      </c>
      <c r="AY93" s="436">
        <f t="shared" ref="AY93:BH101" si="74">(AY$1/100)*$CG93</f>
        <v>515.77499999999998</v>
      </c>
      <c r="AZ93" s="436">
        <f t="shared" si="74"/>
        <v>555.44999999999993</v>
      </c>
      <c r="BA93" s="436">
        <f t="shared" si="74"/>
        <v>595.125</v>
      </c>
      <c r="BB93" s="436">
        <f t="shared" si="74"/>
        <v>634.79999999999995</v>
      </c>
      <c r="BC93" s="436">
        <f t="shared" si="74"/>
        <v>674.47499999999991</v>
      </c>
      <c r="BD93" s="436">
        <f t="shared" si="74"/>
        <v>714.15</v>
      </c>
      <c r="BE93" s="436">
        <f t="shared" si="74"/>
        <v>753.82499999999993</v>
      </c>
      <c r="BF93" s="436">
        <f t="shared" si="74"/>
        <v>793.5</v>
      </c>
      <c r="BG93" s="436">
        <f t="shared" si="74"/>
        <v>872.84999999999991</v>
      </c>
      <c r="BH93" s="436">
        <f t="shared" si="74"/>
        <v>952.19999999999993</v>
      </c>
      <c r="BI93" s="436">
        <f t="shared" ref="BI93:BR101" si="75">(BI$1/100)*$CG93</f>
        <v>991.87499999999989</v>
      </c>
      <c r="BJ93" s="436">
        <f t="shared" si="75"/>
        <v>1031.55</v>
      </c>
      <c r="BK93" s="436">
        <f t="shared" si="75"/>
        <v>1110.8999999999999</v>
      </c>
      <c r="BL93" s="436">
        <f t="shared" si="75"/>
        <v>1190.25</v>
      </c>
      <c r="BM93" s="436">
        <f t="shared" si="75"/>
        <v>1269.5999999999999</v>
      </c>
      <c r="BN93" s="436">
        <f t="shared" si="75"/>
        <v>1348.9499999999998</v>
      </c>
      <c r="BO93" s="436">
        <f t="shared" si="75"/>
        <v>1388.625</v>
      </c>
      <c r="BP93" s="436">
        <f t="shared" si="75"/>
        <v>1428.3</v>
      </c>
      <c r="BQ93" s="436">
        <f t="shared" si="75"/>
        <v>1507.6499999999999</v>
      </c>
      <c r="BR93" s="436">
        <f t="shared" si="75"/>
        <v>1587</v>
      </c>
      <c r="BS93" s="436">
        <f t="shared" ref="BS93:CF101" si="76">(BS$1/100)*$CG93</f>
        <v>1785.3749999999998</v>
      </c>
      <c r="BT93" s="436">
        <f t="shared" si="76"/>
        <v>1983.7499999999998</v>
      </c>
      <c r="BU93" s="436">
        <f t="shared" si="76"/>
        <v>2182.125</v>
      </c>
      <c r="BV93" s="436">
        <f t="shared" si="76"/>
        <v>2380.5</v>
      </c>
      <c r="BW93" s="436">
        <f t="shared" si="76"/>
        <v>2777.25</v>
      </c>
      <c r="BX93" s="436">
        <f t="shared" si="76"/>
        <v>3174</v>
      </c>
      <c r="BY93" s="436">
        <f t="shared" si="76"/>
        <v>3570.7499999999995</v>
      </c>
      <c r="BZ93" s="436">
        <f t="shared" si="76"/>
        <v>3967.4999999999995</v>
      </c>
      <c r="CA93" s="436">
        <f t="shared" si="76"/>
        <v>4364.25</v>
      </c>
      <c r="CB93" s="436">
        <f t="shared" si="76"/>
        <v>4761</v>
      </c>
      <c r="CC93" s="436">
        <f t="shared" si="76"/>
        <v>5554.5</v>
      </c>
      <c r="CD93" s="436">
        <f t="shared" si="76"/>
        <v>6348</v>
      </c>
      <c r="CE93" s="436">
        <f t="shared" si="76"/>
        <v>7141.4999999999991</v>
      </c>
      <c r="CF93" s="436">
        <f t="shared" si="76"/>
        <v>7934.9999999999991</v>
      </c>
      <c r="CG93" s="436" cm="1">
        <f t="array" ref="CG93">IF($M694=0, Vide, $M694)</f>
        <v>79.349999999999994</v>
      </c>
      <c r="CH93" s="435" t="s">
        <v>762</v>
      </c>
      <c r="CI93" s="435" t="s">
        <v>762</v>
      </c>
      <c r="CJ93" s="435" t="s">
        <v>762</v>
      </c>
      <c r="CK93" s="435" t="s">
        <v>762</v>
      </c>
      <c r="CL93" s="435" t="s">
        <v>762</v>
      </c>
    </row>
    <row r="94" spans="1:90" s="437" customFormat="1">
      <c r="A94" s="435" t="s">
        <v>602</v>
      </c>
      <c r="B94" s="435" t="s">
        <v>90</v>
      </c>
      <c r="C94" s="436" cm="1">
        <f t="array" ref="C94">IF($B695=0, Vide, $B695)</f>
        <v>27.388974999999995</v>
      </c>
      <c r="D94" s="436" cm="1">
        <f t="array" ref="D94">IF($B695=0, Vide, $B695)</f>
        <v>27.388974999999995</v>
      </c>
      <c r="E94" s="436" cm="1">
        <f t="array" ref="E94">IF($B695=0, Vide, $B695)</f>
        <v>27.388974999999995</v>
      </c>
      <c r="F94" s="436" cm="1">
        <f t="array" ref="F94">IF($B695=0, Vide, $B695)</f>
        <v>27.388974999999995</v>
      </c>
      <c r="G94" s="436" cm="1">
        <f t="array" ref="G94">IF($B695=0, Vide, $B695)</f>
        <v>27.388974999999995</v>
      </c>
      <c r="H94" s="436" cm="1">
        <f t="array" ref="H94">IF($C695=0, Vide, $C695)</f>
        <v>28.989199999999997</v>
      </c>
      <c r="I94" s="436" cm="1">
        <f t="array" ref="I94">IF($C695=0, Vide, $C695)</f>
        <v>28.989199999999997</v>
      </c>
      <c r="J94" s="436" cm="1">
        <f t="array" ref="J94">IF($C695=0, Vide, $C695)</f>
        <v>28.989199999999997</v>
      </c>
      <c r="K94" s="436" cm="1">
        <f t="array" ref="K94">IF($C695=0, Vide, $C695)</f>
        <v>28.989199999999997</v>
      </c>
      <c r="L94" s="436" cm="1">
        <f t="array" ref="L94">IF($C695=0, Vide, $C695)</f>
        <v>28.989199999999997</v>
      </c>
      <c r="M94" s="436" t="s">
        <v>762</v>
      </c>
      <c r="N94" s="436" t="s">
        <v>762</v>
      </c>
      <c r="O94" s="436" t="s">
        <v>762</v>
      </c>
      <c r="P94" s="436" t="s">
        <v>762</v>
      </c>
      <c r="Q94" s="436" t="s">
        <v>762</v>
      </c>
      <c r="R94" s="436" t="s">
        <v>762</v>
      </c>
      <c r="S94" s="436" t="s">
        <v>762</v>
      </c>
      <c r="T94" s="436" t="s">
        <v>762</v>
      </c>
      <c r="U94" s="436" t="s">
        <v>762</v>
      </c>
      <c r="V94" s="436" cm="1">
        <f t="array" ref="V94">IF($D695=0, Vide, $D695)</f>
        <v>28.989199999999997</v>
      </c>
      <c r="W94" s="436" cm="1">
        <f t="array" ref="W94">IF($E695=0, Vide, $E695)</f>
        <v>28.989199999999997</v>
      </c>
      <c r="X94" s="436" cm="1">
        <f t="array" ref="X94">IF($F695=0, Vide, $F695)</f>
        <v>28.989199999999997</v>
      </c>
      <c r="Y94" s="436" cm="1">
        <f t="array" ref="Y94">IF($G695=0, Vide, $G695)</f>
        <v>28.989199999999997</v>
      </c>
      <c r="Z94" s="436" cm="1">
        <f t="array" ref="Z94">IF($H695=0, Vide, $H695)</f>
        <v>51.947799999999994</v>
      </c>
      <c r="AA94" s="436" cm="1">
        <f t="array" ref="AA94">IF($I695=0, Vide, $I695)</f>
        <v>51.947799999999994</v>
      </c>
      <c r="AB94" s="436" cm="1">
        <f t="array" ref="AB94">IF($J695=0, Vide, $J695)</f>
        <v>51.947799999999994</v>
      </c>
      <c r="AC94" s="436" cm="1">
        <f t="array" ref="AC94">IF($K695=0, Vide, $K695)</f>
        <v>51.947799999999994</v>
      </c>
      <c r="AD94" s="436" cm="1">
        <f t="array" ref="AD94">IF($L695=0, Vide, $L695)</f>
        <v>51.947799999999994</v>
      </c>
      <c r="AE94" s="436">
        <f t="shared" si="72"/>
        <v>75.108742499999991</v>
      </c>
      <c r="AF94" s="436">
        <f t="shared" si="72"/>
        <v>85.350843749999981</v>
      </c>
      <c r="AG94" s="436">
        <f t="shared" si="72"/>
        <v>102.42101249999999</v>
      </c>
      <c r="AH94" s="436">
        <f t="shared" si="72"/>
        <v>119.49118124999998</v>
      </c>
      <c r="AI94" s="436">
        <f t="shared" si="72"/>
        <v>137.24415674999997</v>
      </c>
      <c r="AJ94" s="436">
        <f t="shared" si="72"/>
        <v>153.63151874999997</v>
      </c>
      <c r="AK94" s="436">
        <f t="shared" si="72"/>
        <v>170.70168749999996</v>
      </c>
      <c r="AL94" s="436">
        <f t="shared" si="72"/>
        <v>205.52483174999995</v>
      </c>
      <c r="AM94" s="436">
        <f t="shared" si="72"/>
        <v>221.91219374999997</v>
      </c>
      <c r="AN94" s="436">
        <f t="shared" si="72"/>
        <v>238.98236249999997</v>
      </c>
      <c r="AO94" s="436">
        <f t="shared" si="73"/>
        <v>256.05253124999996</v>
      </c>
      <c r="AP94" s="436">
        <f t="shared" si="73"/>
        <v>273.80550674999995</v>
      </c>
      <c r="AQ94" s="436">
        <f t="shared" si="73"/>
        <v>290.19286874999995</v>
      </c>
      <c r="AR94" s="436">
        <f t="shared" si="73"/>
        <v>307.26303749999994</v>
      </c>
      <c r="AS94" s="436">
        <f t="shared" si="73"/>
        <v>324.33320624999993</v>
      </c>
      <c r="AT94" s="436">
        <f t="shared" si="73"/>
        <v>341.40337499999993</v>
      </c>
      <c r="AU94" s="436">
        <f t="shared" si="73"/>
        <v>358.47354374999992</v>
      </c>
      <c r="AV94" s="436">
        <f t="shared" si="73"/>
        <v>375.54371249999991</v>
      </c>
      <c r="AW94" s="436">
        <f t="shared" si="73"/>
        <v>392.61388124999991</v>
      </c>
      <c r="AX94" s="436">
        <f t="shared" si="73"/>
        <v>409.68404999999996</v>
      </c>
      <c r="AY94" s="436">
        <f t="shared" si="74"/>
        <v>443.82438749999994</v>
      </c>
      <c r="AZ94" s="436">
        <f t="shared" si="74"/>
        <v>477.96472499999993</v>
      </c>
      <c r="BA94" s="436">
        <f t="shared" si="74"/>
        <v>512.10506249999992</v>
      </c>
      <c r="BB94" s="436">
        <f t="shared" si="74"/>
        <v>546.2453999999999</v>
      </c>
      <c r="BC94" s="436">
        <f t="shared" si="74"/>
        <v>580.38573749999989</v>
      </c>
      <c r="BD94" s="436">
        <f t="shared" si="74"/>
        <v>614.52607499999988</v>
      </c>
      <c r="BE94" s="436">
        <f t="shared" si="74"/>
        <v>648.66641249999986</v>
      </c>
      <c r="BF94" s="436">
        <f t="shared" si="74"/>
        <v>682.80674999999985</v>
      </c>
      <c r="BG94" s="436">
        <f t="shared" si="74"/>
        <v>751.08742499999983</v>
      </c>
      <c r="BH94" s="436">
        <f t="shared" si="74"/>
        <v>819.36809999999991</v>
      </c>
      <c r="BI94" s="436">
        <f t="shared" si="75"/>
        <v>853.5084374999999</v>
      </c>
      <c r="BJ94" s="436">
        <f t="shared" si="75"/>
        <v>887.64877499999989</v>
      </c>
      <c r="BK94" s="436">
        <f t="shared" si="75"/>
        <v>955.92944999999986</v>
      </c>
      <c r="BL94" s="436">
        <f t="shared" si="75"/>
        <v>1024.2101249999998</v>
      </c>
      <c r="BM94" s="436">
        <f t="shared" si="75"/>
        <v>1092.4907999999998</v>
      </c>
      <c r="BN94" s="436">
        <f t="shared" si="75"/>
        <v>1160.7714749999998</v>
      </c>
      <c r="BO94" s="436">
        <f t="shared" si="75"/>
        <v>1194.9118124999998</v>
      </c>
      <c r="BP94" s="436">
        <f t="shared" si="75"/>
        <v>1229.0521499999998</v>
      </c>
      <c r="BQ94" s="436">
        <f t="shared" si="75"/>
        <v>1297.3328249999997</v>
      </c>
      <c r="BR94" s="436">
        <f t="shared" si="75"/>
        <v>1365.6134999999997</v>
      </c>
      <c r="BS94" s="436">
        <f t="shared" si="76"/>
        <v>1536.3151874999996</v>
      </c>
      <c r="BT94" s="436">
        <f t="shared" si="76"/>
        <v>1707.0168749999998</v>
      </c>
      <c r="BU94" s="436">
        <f t="shared" si="76"/>
        <v>1877.7185624999997</v>
      </c>
      <c r="BV94" s="436">
        <f t="shared" si="76"/>
        <v>2048.4202499999997</v>
      </c>
      <c r="BW94" s="436">
        <f t="shared" si="76"/>
        <v>2389.8236249999995</v>
      </c>
      <c r="BX94" s="436">
        <f t="shared" si="76"/>
        <v>2731.2269999999994</v>
      </c>
      <c r="BY94" s="436">
        <f t="shared" si="76"/>
        <v>3072.6303749999993</v>
      </c>
      <c r="BZ94" s="436">
        <f t="shared" si="76"/>
        <v>3414.0337499999996</v>
      </c>
      <c r="CA94" s="436">
        <f t="shared" si="76"/>
        <v>3755.4371249999995</v>
      </c>
      <c r="CB94" s="436">
        <f t="shared" si="76"/>
        <v>4096.8404999999993</v>
      </c>
      <c r="CC94" s="436">
        <f t="shared" si="76"/>
        <v>4779.6472499999991</v>
      </c>
      <c r="CD94" s="436">
        <f t="shared" si="76"/>
        <v>5462.4539999999988</v>
      </c>
      <c r="CE94" s="436">
        <f t="shared" si="76"/>
        <v>6145.2607499999986</v>
      </c>
      <c r="CF94" s="436">
        <f t="shared" si="76"/>
        <v>6828.0674999999992</v>
      </c>
      <c r="CG94" s="436" cm="1">
        <f t="array" ref="CG94">IF($M695=0, Vide, $M695)</f>
        <v>68.280674999999988</v>
      </c>
      <c r="CH94" s="435" t="s">
        <v>762</v>
      </c>
      <c r="CI94" s="435" t="s">
        <v>762</v>
      </c>
      <c r="CJ94" s="435" t="s">
        <v>762</v>
      </c>
      <c r="CK94" s="435" t="s">
        <v>762</v>
      </c>
      <c r="CL94" s="435" t="s">
        <v>762</v>
      </c>
    </row>
    <row r="95" spans="1:90" s="437" customFormat="1">
      <c r="A95" s="435" t="s">
        <v>603</v>
      </c>
      <c r="B95" s="435" t="s">
        <v>90</v>
      </c>
      <c r="C95" s="436" cm="1">
        <f t="array" ref="C95">IF($B696=0, Vide, $B696)</f>
        <v>34.239524999999993</v>
      </c>
      <c r="D95" s="436" cm="1">
        <f t="array" ref="D95">IF($B696=0, Vide, $B696)</f>
        <v>34.239524999999993</v>
      </c>
      <c r="E95" s="436" cm="1">
        <f t="array" ref="E95">IF($B696=0, Vide, $B696)</f>
        <v>34.239524999999993</v>
      </c>
      <c r="F95" s="436" cm="1">
        <f t="array" ref="F95">IF($B696=0, Vide, $B696)</f>
        <v>34.239524999999993</v>
      </c>
      <c r="G95" s="436" cm="1">
        <f t="array" ref="G95">IF($B696=0, Vide, $B696)</f>
        <v>34.239524999999993</v>
      </c>
      <c r="H95" s="436" cm="1">
        <f t="array" ref="H95">IF($C696=0, Vide, $C696)</f>
        <v>36.500999999999998</v>
      </c>
      <c r="I95" s="436" cm="1">
        <f t="array" ref="I95">IF($C696=0, Vide, $C696)</f>
        <v>36.500999999999998</v>
      </c>
      <c r="J95" s="436" cm="1">
        <f t="array" ref="J95">IF($C696=0, Vide, $C696)</f>
        <v>36.500999999999998</v>
      </c>
      <c r="K95" s="436" cm="1">
        <f t="array" ref="K95">IF($C696=0, Vide, $C696)</f>
        <v>36.500999999999998</v>
      </c>
      <c r="L95" s="436" cm="1">
        <f t="array" ref="L95">IF($C696=0, Vide, $C696)</f>
        <v>36.500999999999998</v>
      </c>
      <c r="M95" s="436" t="s">
        <v>762</v>
      </c>
      <c r="N95" s="436" t="s">
        <v>762</v>
      </c>
      <c r="O95" s="436" t="s">
        <v>762</v>
      </c>
      <c r="P95" s="436" t="s">
        <v>762</v>
      </c>
      <c r="Q95" s="436" t="s">
        <v>762</v>
      </c>
      <c r="R95" s="436" t="s">
        <v>762</v>
      </c>
      <c r="S95" s="436" t="s">
        <v>762</v>
      </c>
      <c r="T95" s="436" t="s">
        <v>762</v>
      </c>
      <c r="U95" s="436" t="s">
        <v>762</v>
      </c>
      <c r="V95" s="436" cm="1">
        <f t="array" ref="V95">IF($D696=0, Vide, $D696)</f>
        <v>40.534624999999991</v>
      </c>
      <c r="W95" s="436" cm="1">
        <f t="array" ref="W95">IF($E696=0, Vide, $E696)</f>
        <v>44.303749999999994</v>
      </c>
      <c r="X95" s="436" cm="1">
        <f t="array" ref="X95">IF($F696=0, Vide, $F696)</f>
        <v>48.601874999999993</v>
      </c>
      <c r="Y95" s="436" cm="1">
        <f t="array" ref="Y95">IF($G696=0, Vide, $G696)</f>
        <v>52.860324999999996</v>
      </c>
      <c r="Z95" s="436" cm="1">
        <f t="array" ref="Z95">IF($H696=0, Vide, $H696)</f>
        <v>57.211349999999989</v>
      </c>
      <c r="AA95" s="436" cm="1">
        <f t="array" ref="AA95">IF($I696=0, Vide, $I696)</f>
        <v>61.535924999999992</v>
      </c>
      <c r="AB95" s="436" cm="1">
        <f t="array" ref="AB95">IF($J696=0, Vide, $J696)</f>
        <v>68.426149999999993</v>
      </c>
      <c r="AC95" s="436" cm="1">
        <f t="array" ref="AC95">IF($K696=0, Vide, $K696)</f>
        <v>75.012199999999993</v>
      </c>
      <c r="AD95" s="436" cm="1">
        <f t="array" ref="AD95">IF($L696=0, Vide, $L696)</f>
        <v>79.349999999999994</v>
      </c>
      <c r="AE95" s="436">
        <f t="shared" si="72"/>
        <v>87.284999999999997</v>
      </c>
      <c r="AF95" s="436">
        <f t="shared" si="72"/>
        <v>99.1875</v>
      </c>
      <c r="AG95" s="436">
        <f t="shared" si="72"/>
        <v>119.02499999999999</v>
      </c>
      <c r="AH95" s="436">
        <f t="shared" si="72"/>
        <v>138.86249999999998</v>
      </c>
      <c r="AI95" s="436">
        <f t="shared" si="72"/>
        <v>159.49349999999998</v>
      </c>
      <c r="AJ95" s="436">
        <f t="shared" si="72"/>
        <v>178.53749999999999</v>
      </c>
      <c r="AK95" s="436">
        <f t="shared" si="72"/>
        <v>198.375</v>
      </c>
      <c r="AL95" s="436">
        <f t="shared" si="72"/>
        <v>238.84349999999998</v>
      </c>
      <c r="AM95" s="436">
        <f t="shared" si="72"/>
        <v>257.88749999999999</v>
      </c>
      <c r="AN95" s="436">
        <f t="shared" si="72"/>
        <v>277.72499999999997</v>
      </c>
      <c r="AO95" s="436">
        <f t="shared" si="73"/>
        <v>297.5625</v>
      </c>
      <c r="AP95" s="436">
        <f t="shared" si="73"/>
        <v>318.19349999999997</v>
      </c>
      <c r="AQ95" s="436">
        <f t="shared" si="73"/>
        <v>337.23749999999995</v>
      </c>
      <c r="AR95" s="436">
        <f t="shared" si="73"/>
        <v>357.07499999999999</v>
      </c>
      <c r="AS95" s="436">
        <f t="shared" si="73"/>
        <v>376.91249999999997</v>
      </c>
      <c r="AT95" s="436">
        <f t="shared" si="73"/>
        <v>396.75</v>
      </c>
      <c r="AU95" s="436">
        <f t="shared" si="73"/>
        <v>416.58749999999998</v>
      </c>
      <c r="AV95" s="436">
        <f t="shared" si="73"/>
        <v>436.42499999999995</v>
      </c>
      <c r="AW95" s="436">
        <f t="shared" si="73"/>
        <v>456.26249999999999</v>
      </c>
      <c r="AX95" s="436">
        <f t="shared" si="73"/>
        <v>476.09999999999997</v>
      </c>
      <c r="AY95" s="436">
        <f t="shared" si="74"/>
        <v>515.77499999999998</v>
      </c>
      <c r="AZ95" s="436">
        <f t="shared" si="74"/>
        <v>555.44999999999993</v>
      </c>
      <c r="BA95" s="436">
        <f t="shared" si="74"/>
        <v>595.125</v>
      </c>
      <c r="BB95" s="436">
        <f t="shared" si="74"/>
        <v>634.79999999999995</v>
      </c>
      <c r="BC95" s="436">
        <f t="shared" si="74"/>
        <v>674.47499999999991</v>
      </c>
      <c r="BD95" s="436">
        <f t="shared" si="74"/>
        <v>714.15</v>
      </c>
      <c r="BE95" s="436">
        <f t="shared" si="74"/>
        <v>753.82499999999993</v>
      </c>
      <c r="BF95" s="436">
        <f t="shared" si="74"/>
        <v>793.5</v>
      </c>
      <c r="BG95" s="436">
        <f t="shared" si="74"/>
        <v>872.84999999999991</v>
      </c>
      <c r="BH95" s="436">
        <f t="shared" si="74"/>
        <v>952.19999999999993</v>
      </c>
      <c r="BI95" s="436">
        <f t="shared" si="75"/>
        <v>991.87499999999989</v>
      </c>
      <c r="BJ95" s="436">
        <f t="shared" si="75"/>
        <v>1031.55</v>
      </c>
      <c r="BK95" s="436">
        <f t="shared" si="75"/>
        <v>1110.8999999999999</v>
      </c>
      <c r="BL95" s="436">
        <f t="shared" si="75"/>
        <v>1190.25</v>
      </c>
      <c r="BM95" s="436">
        <f t="shared" si="75"/>
        <v>1269.5999999999999</v>
      </c>
      <c r="BN95" s="436">
        <f t="shared" si="75"/>
        <v>1348.9499999999998</v>
      </c>
      <c r="BO95" s="436">
        <f t="shared" si="75"/>
        <v>1388.625</v>
      </c>
      <c r="BP95" s="436">
        <f t="shared" si="75"/>
        <v>1428.3</v>
      </c>
      <c r="BQ95" s="436">
        <f t="shared" si="75"/>
        <v>1507.6499999999999</v>
      </c>
      <c r="BR95" s="436">
        <f t="shared" si="75"/>
        <v>1587</v>
      </c>
      <c r="BS95" s="436">
        <f t="shared" si="76"/>
        <v>1785.3749999999998</v>
      </c>
      <c r="BT95" s="436">
        <f t="shared" si="76"/>
        <v>1983.7499999999998</v>
      </c>
      <c r="BU95" s="436">
        <f t="shared" si="76"/>
        <v>2182.125</v>
      </c>
      <c r="BV95" s="436">
        <f t="shared" si="76"/>
        <v>2380.5</v>
      </c>
      <c r="BW95" s="436">
        <f t="shared" si="76"/>
        <v>2777.25</v>
      </c>
      <c r="BX95" s="436">
        <f t="shared" si="76"/>
        <v>3174</v>
      </c>
      <c r="BY95" s="436">
        <f t="shared" si="76"/>
        <v>3570.7499999999995</v>
      </c>
      <c r="BZ95" s="436">
        <f t="shared" si="76"/>
        <v>3967.4999999999995</v>
      </c>
      <c r="CA95" s="436">
        <f t="shared" si="76"/>
        <v>4364.25</v>
      </c>
      <c r="CB95" s="436">
        <f t="shared" si="76"/>
        <v>4761</v>
      </c>
      <c r="CC95" s="436">
        <f t="shared" si="76"/>
        <v>5554.5</v>
      </c>
      <c r="CD95" s="436">
        <f t="shared" si="76"/>
        <v>6348</v>
      </c>
      <c r="CE95" s="436">
        <f t="shared" si="76"/>
        <v>7141.4999999999991</v>
      </c>
      <c r="CF95" s="436">
        <f t="shared" si="76"/>
        <v>7934.9999999999991</v>
      </c>
      <c r="CG95" s="436" cm="1">
        <f t="array" ref="CG95">IF($M696=0, Vide, $M696)</f>
        <v>79.349999999999994</v>
      </c>
      <c r="CH95" s="435" t="s">
        <v>762</v>
      </c>
      <c r="CI95" s="435" t="s">
        <v>762</v>
      </c>
      <c r="CJ95" s="435" t="s">
        <v>762</v>
      </c>
      <c r="CK95" s="435" t="s">
        <v>762</v>
      </c>
      <c r="CL95" s="435" t="s">
        <v>762</v>
      </c>
    </row>
    <row r="96" spans="1:90" s="437" customFormat="1">
      <c r="A96" s="435" t="s">
        <v>604</v>
      </c>
      <c r="B96" s="435" t="s">
        <v>90</v>
      </c>
      <c r="C96" s="436" cm="1">
        <f t="array" ref="C96">IF($B697=0, Vide, $B697)</f>
        <v>34.239524999999993</v>
      </c>
      <c r="D96" s="436" cm="1">
        <f t="array" ref="D96">IF($B697=0, Vide, $B697)</f>
        <v>34.239524999999993</v>
      </c>
      <c r="E96" s="436" cm="1">
        <f t="array" ref="E96">IF($B697=0, Vide, $B697)</f>
        <v>34.239524999999993</v>
      </c>
      <c r="F96" s="436" cm="1">
        <f t="array" ref="F96">IF($B697=0, Vide, $B697)</f>
        <v>34.239524999999993</v>
      </c>
      <c r="G96" s="436" cm="1">
        <f t="array" ref="G96">IF($B697=0, Vide, $B697)</f>
        <v>34.239524999999993</v>
      </c>
      <c r="H96" s="436" cm="1">
        <f t="array" ref="H96">IF($C697=0, Vide, $C697)</f>
        <v>36.500999999999998</v>
      </c>
      <c r="I96" s="436" cm="1">
        <f t="array" ref="I96">IF($C697=0, Vide, $C697)</f>
        <v>36.500999999999998</v>
      </c>
      <c r="J96" s="436" cm="1">
        <f t="array" ref="J96">IF($C697=0, Vide, $C697)</f>
        <v>36.500999999999998</v>
      </c>
      <c r="K96" s="436" cm="1">
        <f t="array" ref="K96">IF($C697=0, Vide, $C697)</f>
        <v>36.500999999999998</v>
      </c>
      <c r="L96" s="436" cm="1">
        <f t="array" ref="L96">IF($C697=0, Vide, $C697)</f>
        <v>36.500999999999998</v>
      </c>
      <c r="M96" s="436" t="s">
        <v>762</v>
      </c>
      <c r="N96" s="436" t="s">
        <v>762</v>
      </c>
      <c r="O96" s="436" t="s">
        <v>762</v>
      </c>
      <c r="P96" s="436" t="s">
        <v>762</v>
      </c>
      <c r="Q96" s="436" t="s">
        <v>762</v>
      </c>
      <c r="R96" s="436" t="s">
        <v>762</v>
      </c>
      <c r="S96" s="436" t="s">
        <v>762</v>
      </c>
      <c r="T96" s="436" t="s">
        <v>762</v>
      </c>
      <c r="U96" s="436" t="s">
        <v>762</v>
      </c>
      <c r="V96" s="436" cm="1">
        <f t="array" ref="V96">IF($D697=0, Vide, $D697)</f>
        <v>40.534624999999991</v>
      </c>
      <c r="W96" s="436" cm="1">
        <f t="array" ref="W96">IF($E697=0, Vide, $E697)</f>
        <v>44.303749999999994</v>
      </c>
      <c r="X96" s="436" cm="1">
        <f t="array" ref="X96">IF($F697=0, Vide, $F697)</f>
        <v>48.601874999999993</v>
      </c>
      <c r="Y96" s="436" cm="1">
        <f t="array" ref="Y96">IF($G697=0, Vide, $G697)</f>
        <v>52.860324999999996</v>
      </c>
      <c r="Z96" s="436" cm="1">
        <f t="array" ref="Z96">IF($H697=0, Vide, $H697)</f>
        <v>57.211349999999989</v>
      </c>
      <c r="AA96" s="436" cm="1">
        <f t="array" ref="AA96">IF($I697=0, Vide, $I697)</f>
        <v>61.535924999999992</v>
      </c>
      <c r="AB96" s="436" cm="1">
        <f t="array" ref="AB96">IF($J697=0, Vide, $J697)</f>
        <v>68.426149999999993</v>
      </c>
      <c r="AC96" s="436" cm="1">
        <f t="array" ref="AC96">IF($K697=0, Vide, $K697)</f>
        <v>75.012199999999993</v>
      </c>
      <c r="AD96" s="436" cm="1">
        <f t="array" ref="AD96">IF($L697=0, Vide, $L697)</f>
        <v>79.349999999999994</v>
      </c>
      <c r="AE96" s="436">
        <f t="shared" si="72"/>
        <v>87.284999999999997</v>
      </c>
      <c r="AF96" s="436">
        <f t="shared" si="72"/>
        <v>99.1875</v>
      </c>
      <c r="AG96" s="436">
        <f t="shared" si="72"/>
        <v>119.02499999999999</v>
      </c>
      <c r="AH96" s="436">
        <f t="shared" si="72"/>
        <v>138.86249999999998</v>
      </c>
      <c r="AI96" s="436">
        <f t="shared" si="72"/>
        <v>159.49349999999998</v>
      </c>
      <c r="AJ96" s="436">
        <f t="shared" si="72"/>
        <v>178.53749999999999</v>
      </c>
      <c r="AK96" s="436">
        <f t="shared" si="72"/>
        <v>198.375</v>
      </c>
      <c r="AL96" s="436">
        <f t="shared" si="72"/>
        <v>238.84349999999998</v>
      </c>
      <c r="AM96" s="436">
        <f t="shared" si="72"/>
        <v>257.88749999999999</v>
      </c>
      <c r="AN96" s="436">
        <f t="shared" si="72"/>
        <v>277.72499999999997</v>
      </c>
      <c r="AO96" s="436">
        <f t="shared" si="73"/>
        <v>297.5625</v>
      </c>
      <c r="AP96" s="436">
        <f t="shared" si="73"/>
        <v>318.19349999999997</v>
      </c>
      <c r="AQ96" s="436">
        <f t="shared" si="73"/>
        <v>337.23749999999995</v>
      </c>
      <c r="AR96" s="436">
        <f t="shared" si="73"/>
        <v>357.07499999999999</v>
      </c>
      <c r="AS96" s="436">
        <f t="shared" si="73"/>
        <v>376.91249999999997</v>
      </c>
      <c r="AT96" s="436">
        <f t="shared" si="73"/>
        <v>396.75</v>
      </c>
      <c r="AU96" s="436">
        <f t="shared" si="73"/>
        <v>416.58749999999998</v>
      </c>
      <c r="AV96" s="436">
        <f t="shared" si="73"/>
        <v>436.42499999999995</v>
      </c>
      <c r="AW96" s="436">
        <f t="shared" si="73"/>
        <v>456.26249999999999</v>
      </c>
      <c r="AX96" s="436">
        <f t="shared" si="73"/>
        <v>476.09999999999997</v>
      </c>
      <c r="AY96" s="436">
        <f t="shared" si="74"/>
        <v>515.77499999999998</v>
      </c>
      <c r="AZ96" s="436">
        <f t="shared" si="74"/>
        <v>555.44999999999993</v>
      </c>
      <c r="BA96" s="436">
        <f t="shared" si="74"/>
        <v>595.125</v>
      </c>
      <c r="BB96" s="436">
        <f t="shared" si="74"/>
        <v>634.79999999999995</v>
      </c>
      <c r="BC96" s="436">
        <f t="shared" si="74"/>
        <v>674.47499999999991</v>
      </c>
      <c r="BD96" s="436">
        <f t="shared" si="74"/>
        <v>714.15</v>
      </c>
      <c r="BE96" s="436">
        <f t="shared" si="74"/>
        <v>753.82499999999993</v>
      </c>
      <c r="BF96" s="436">
        <f t="shared" si="74"/>
        <v>793.5</v>
      </c>
      <c r="BG96" s="436">
        <f t="shared" si="74"/>
        <v>872.84999999999991</v>
      </c>
      <c r="BH96" s="436">
        <f t="shared" si="74"/>
        <v>952.19999999999993</v>
      </c>
      <c r="BI96" s="436">
        <f t="shared" si="75"/>
        <v>991.87499999999989</v>
      </c>
      <c r="BJ96" s="436">
        <f t="shared" si="75"/>
        <v>1031.55</v>
      </c>
      <c r="BK96" s="436">
        <f t="shared" si="75"/>
        <v>1110.8999999999999</v>
      </c>
      <c r="BL96" s="436">
        <f t="shared" si="75"/>
        <v>1190.25</v>
      </c>
      <c r="BM96" s="436">
        <f t="shared" si="75"/>
        <v>1269.5999999999999</v>
      </c>
      <c r="BN96" s="436">
        <f t="shared" si="75"/>
        <v>1348.9499999999998</v>
      </c>
      <c r="BO96" s="436">
        <f t="shared" si="75"/>
        <v>1388.625</v>
      </c>
      <c r="BP96" s="436">
        <f t="shared" si="75"/>
        <v>1428.3</v>
      </c>
      <c r="BQ96" s="436">
        <f t="shared" si="75"/>
        <v>1507.6499999999999</v>
      </c>
      <c r="BR96" s="436">
        <f t="shared" si="75"/>
        <v>1587</v>
      </c>
      <c r="BS96" s="436">
        <f t="shared" si="76"/>
        <v>1785.3749999999998</v>
      </c>
      <c r="BT96" s="436">
        <f t="shared" si="76"/>
        <v>1983.7499999999998</v>
      </c>
      <c r="BU96" s="436">
        <f t="shared" si="76"/>
        <v>2182.125</v>
      </c>
      <c r="BV96" s="436">
        <f t="shared" si="76"/>
        <v>2380.5</v>
      </c>
      <c r="BW96" s="436">
        <f t="shared" si="76"/>
        <v>2777.25</v>
      </c>
      <c r="BX96" s="436">
        <f t="shared" si="76"/>
        <v>3174</v>
      </c>
      <c r="BY96" s="436">
        <f t="shared" si="76"/>
        <v>3570.7499999999995</v>
      </c>
      <c r="BZ96" s="436">
        <f t="shared" si="76"/>
        <v>3967.4999999999995</v>
      </c>
      <c r="CA96" s="436">
        <f t="shared" si="76"/>
        <v>4364.25</v>
      </c>
      <c r="CB96" s="436">
        <f t="shared" si="76"/>
        <v>4761</v>
      </c>
      <c r="CC96" s="436">
        <f t="shared" si="76"/>
        <v>5554.5</v>
      </c>
      <c r="CD96" s="436">
        <f t="shared" si="76"/>
        <v>6348</v>
      </c>
      <c r="CE96" s="436">
        <f t="shared" si="76"/>
        <v>7141.4999999999991</v>
      </c>
      <c r="CF96" s="436">
        <f t="shared" si="76"/>
        <v>7934.9999999999991</v>
      </c>
      <c r="CG96" s="436" cm="1">
        <f t="array" ref="CG96">IF($M697=0, Vide, $M697)</f>
        <v>79.349999999999994</v>
      </c>
      <c r="CH96" s="435" t="s">
        <v>762</v>
      </c>
      <c r="CI96" s="435" t="s">
        <v>762</v>
      </c>
      <c r="CJ96" s="435" t="s">
        <v>762</v>
      </c>
      <c r="CK96" s="435" t="s">
        <v>762</v>
      </c>
      <c r="CL96" s="435" t="s">
        <v>762</v>
      </c>
    </row>
    <row r="97" spans="1:90" s="437" customFormat="1">
      <c r="A97" s="435" t="s">
        <v>605</v>
      </c>
      <c r="B97" s="435" t="s">
        <v>90</v>
      </c>
      <c r="C97" s="436" cm="1">
        <f t="array" ref="C97">IF($B698=0, Vide, $B698)</f>
        <v>40.203999999999986</v>
      </c>
      <c r="D97" s="436" cm="1">
        <f t="array" ref="D97">IF($B698=0, Vide, $B698)</f>
        <v>40.203999999999986</v>
      </c>
      <c r="E97" s="436" cm="1">
        <f t="array" ref="E97">IF($B698=0, Vide, $B698)</f>
        <v>40.203999999999986</v>
      </c>
      <c r="F97" s="436" cm="1">
        <f t="array" ref="F97">IF($B698=0, Vide, $B698)</f>
        <v>40.203999999999986</v>
      </c>
      <c r="G97" s="436" cm="1">
        <f t="array" ref="G97">IF($B698=0, Vide, $B698)</f>
        <v>40.203999999999986</v>
      </c>
      <c r="H97" s="436" cm="1">
        <f t="array" ref="H97">IF($C698=0, Vide, $C698)</f>
        <v>47.477749999999993</v>
      </c>
      <c r="I97" s="436" cm="1">
        <f t="array" ref="I97">IF($C698=0, Vide, $C698)</f>
        <v>47.477749999999993</v>
      </c>
      <c r="J97" s="436" cm="1">
        <f t="array" ref="J97">IF($C698=0, Vide, $C698)</f>
        <v>47.477749999999993</v>
      </c>
      <c r="K97" s="436" cm="1">
        <f t="array" ref="K97">IF($C698=0, Vide, $C698)</f>
        <v>47.477749999999993</v>
      </c>
      <c r="L97" s="436" cm="1">
        <f t="array" ref="L97">IF($C698=0, Vide, $C698)</f>
        <v>47.477749999999993</v>
      </c>
      <c r="M97" s="436" t="s">
        <v>762</v>
      </c>
      <c r="N97" s="436" t="s">
        <v>762</v>
      </c>
      <c r="O97" s="436" t="s">
        <v>762</v>
      </c>
      <c r="P97" s="436" t="s">
        <v>762</v>
      </c>
      <c r="Q97" s="436" t="s">
        <v>762</v>
      </c>
      <c r="R97" s="436" t="s">
        <v>762</v>
      </c>
      <c r="S97" s="436" t="s">
        <v>762</v>
      </c>
      <c r="T97" s="436" t="s">
        <v>762</v>
      </c>
      <c r="U97" s="436" t="s">
        <v>762</v>
      </c>
      <c r="V97" s="436" cm="1">
        <f t="array" ref="V97">IF($D698=0, Vide, $D698)</f>
        <v>63.215499999999984</v>
      </c>
      <c r="W97" s="436" cm="1">
        <f t="array" ref="W97">IF($E698=0, Vide, $E698)</f>
        <v>75.871824999999987</v>
      </c>
      <c r="X97" s="436" cm="1">
        <f t="array" ref="X97">IF($F698=0, Vide, $F698)</f>
        <v>91.71537499999998</v>
      </c>
      <c r="Y97" s="436" cm="1">
        <f t="array" ref="Y97">IF($G698=0, Vide, $G698)</f>
        <v>107.50602499999999</v>
      </c>
      <c r="Z97" s="436" cm="1">
        <f t="array" ref="Z97">IF($H698=0, Vide, $H698)</f>
        <v>123.56117499999999</v>
      </c>
      <c r="AA97" s="436" cm="1">
        <f t="array" ref="AA97">IF($I698=0, Vide, $I698)</f>
        <v>140.2379</v>
      </c>
      <c r="AB97" s="436" cm="1">
        <f t="array" ref="AB97">IF($J698=0, Vide, $J698)</f>
        <v>157.16589999999999</v>
      </c>
      <c r="AC97" s="436" cm="1">
        <f t="array" ref="AC97">IF($K698=0, Vide, $K698)</f>
        <v>174.12034999999997</v>
      </c>
      <c r="AD97" s="436" cm="1">
        <f t="array" ref="AD97">IF($L698=0, Vide, $L698)</f>
        <v>196.81444999999997</v>
      </c>
      <c r="AE97" s="436">
        <f t="shared" si="72"/>
        <v>216.49589499999999</v>
      </c>
      <c r="AF97" s="436">
        <f t="shared" si="72"/>
        <v>246.01806249999996</v>
      </c>
      <c r="AG97" s="436">
        <f t="shared" si="72"/>
        <v>295.22167499999995</v>
      </c>
      <c r="AH97" s="436">
        <f t="shared" si="72"/>
        <v>344.42528749999997</v>
      </c>
      <c r="AI97" s="436">
        <f t="shared" si="72"/>
        <v>395.59704449999987</v>
      </c>
      <c r="AJ97" s="436">
        <f t="shared" si="72"/>
        <v>442.83251249999989</v>
      </c>
      <c r="AK97" s="436">
        <f t="shared" si="72"/>
        <v>492.03612499999991</v>
      </c>
      <c r="AL97" s="436">
        <f t="shared" si="72"/>
        <v>592.41149449999989</v>
      </c>
      <c r="AM97" s="436">
        <f t="shared" si="72"/>
        <v>639.64696249999986</v>
      </c>
      <c r="AN97" s="436">
        <f t="shared" si="72"/>
        <v>688.85057499999994</v>
      </c>
      <c r="AO97" s="436">
        <f t="shared" si="73"/>
        <v>738.0541874999999</v>
      </c>
      <c r="AP97" s="436">
        <f t="shared" si="73"/>
        <v>789.22594449999985</v>
      </c>
      <c r="AQ97" s="436">
        <f t="shared" si="73"/>
        <v>836.46141249999982</v>
      </c>
      <c r="AR97" s="436">
        <f t="shared" si="73"/>
        <v>885.66502499999979</v>
      </c>
      <c r="AS97" s="436">
        <f t="shared" si="73"/>
        <v>934.86863749999986</v>
      </c>
      <c r="AT97" s="436">
        <f t="shared" si="73"/>
        <v>984.07224999999983</v>
      </c>
      <c r="AU97" s="436">
        <f t="shared" si="73"/>
        <v>1033.2758624999999</v>
      </c>
      <c r="AV97" s="436">
        <f t="shared" si="73"/>
        <v>1082.4794749999999</v>
      </c>
      <c r="AW97" s="436">
        <f t="shared" si="73"/>
        <v>1131.6830874999998</v>
      </c>
      <c r="AX97" s="436">
        <f t="shared" si="73"/>
        <v>1180.8866999999998</v>
      </c>
      <c r="AY97" s="436">
        <f t="shared" si="74"/>
        <v>1279.2939249999997</v>
      </c>
      <c r="AZ97" s="436">
        <f t="shared" si="74"/>
        <v>1377.7011499999999</v>
      </c>
      <c r="BA97" s="436">
        <f t="shared" si="74"/>
        <v>1476.1083749999998</v>
      </c>
      <c r="BB97" s="436">
        <f t="shared" si="74"/>
        <v>1574.5155999999997</v>
      </c>
      <c r="BC97" s="436">
        <f t="shared" si="74"/>
        <v>1672.9228249999996</v>
      </c>
      <c r="BD97" s="436">
        <f t="shared" si="74"/>
        <v>1771.3300499999996</v>
      </c>
      <c r="BE97" s="436">
        <f t="shared" si="74"/>
        <v>1869.7372749999997</v>
      </c>
      <c r="BF97" s="436">
        <f t="shared" si="74"/>
        <v>1968.1444999999997</v>
      </c>
      <c r="BG97" s="436">
        <f t="shared" si="74"/>
        <v>2164.9589499999997</v>
      </c>
      <c r="BH97" s="436">
        <f t="shared" si="74"/>
        <v>2361.7733999999996</v>
      </c>
      <c r="BI97" s="436">
        <f t="shared" si="75"/>
        <v>2460.1806249999995</v>
      </c>
      <c r="BJ97" s="436">
        <f t="shared" si="75"/>
        <v>2558.5878499999994</v>
      </c>
      <c r="BK97" s="436">
        <f t="shared" si="75"/>
        <v>2755.4022999999997</v>
      </c>
      <c r="BL97" s="436">
        <f t="shared" si="75"/>
        <v>2952.2167499999996</v>
      </c>
      <c r="BM97" s="436">
        <f t="shared" si="75"/>
        <v>3149.0311999999994</v>
      </c>
      <c r="BN97" s="436">
        <f t="shared" si="75"/>
        <v>3345.8456499999993</v>
      </c>
      <c r="BO97" s="436">
        <f t="shared" si="75"/>
        <v>3444.2528749999992</v>
      </c>
      <c r="BP97" s="436">
        <f t="shared" si="75"/>
        <v>3542.6600999999991</v>
      </c>
      <c r="BQ97" s="436">
        <f t="shared" si="75"/>
        <v>3739.4745499999995</v>
      </c>
      <c r="BR97" s="436">
        <f t="shared" si="75"/>
        <v>3936.2889999999993</v>
      </c>
      <c r="BS97" s="436">
        <f t="shared" si="76"/>
        <v>4428.3251249999994</v>
      </c>
      <c r="BT97" s="436">
        <f t="shared" si="76"/>
        <v>4920.361249999999</v>
      </c>
      <c r="BU97" s="436">
        <f t="shared" si="76"/>
        <v>5412.3973749999986</v>
      </c>
      <c r="BV97" s="436">
        <f t="shared" si="76"/>
        <v>5904.4334999999992</v>
      </c>
      <c r="BW97" s="436">
        <f t="shared" si="76"/>
        <v>6888.5057499999984</v>
      </c>
      <c r="BX97" s="436">
        <f t="shared" si="76"/>
        <v>7872.5779999999986</v>
      </c>
      <c r="BY97" s="436">
        <f t="shared" si="76"/>
        <v>8856.6502499999988</v>
      </c>
      <c r="BZ97" s="436">
        <f t="shared" si="76"/>
        <v>9840.722499999998</v>
      </c>
      <c r="CA97" s="436">
        <f t="shared" si="76"/>
        <v>10824.794749999997</v>
      </c>
      <c r="CB97" s="436">
        <f t="shared" si="76"/>
        <v>11808.866999999998</v>
      </c>
      <c r="CC97" s="436">
        <f t="shared" si="76"/>
        <v>13777.011499999997</v>
      </c>
      <c r="CD97" s="436">
        <f t="shared" si="76"/>
        <v>15745.155999999997</v>
      </c>
      <c r="CE97" s="436">
        <f t="shared" si="76"/>
        <v>17713.300499999998</v>
      </c>
      <c r="CF97" s="436">
        <f t="shared" si="76"/>
        <v>19681.444999999996</v>
      </c>
      <c r="CG97" s="436" cm="1">
        <f t="array" ref="CG97">IF($M698=0, Vide, $M698)</f>
        <v>196.81444999999997</v>
      </c>
      <c r="CH97" s="435" t="s">
        <v>762</v>
      </c>
      <c r="CI97" s="435" t="s">
        <v>762</v>
      </c>
      <c r="CJ97" s="435" t="s">
        <v>762</v>
      </c>
      <c r="CK97" s="435" t="s">
        <v>762</v>
      </c>
      <c r="CL97" s="435" t="s">
        <v>762</v>
      </c>
    </row>
    <row r="98" spans="1:90" s="437" customFormat="1">
      <c r="A98" s="435" t="s">
        <v>606</v>
      </c>
      <c r="B98" s="435" t="s">
        <v>90</v>
      </c>
      <c r="C98" s="436" cm="1">
        <f t="array" ref="C98">IF($B699=0, Vide, $B699)</f>
        <v>34.239524999999993</v>
      </c>
      <c r="D98" s="436" cm="1">
        <f t="array" ref="D98">IF($B699=0, Vide, $B699)</f>
        <v>34.239524999999993</v>
      </c>
      <c r="E98" s="436" cm="1">
        <f t="array" ref="E98">IF($B699=0, Vide, $B699)</f>
        <v>34.239524999999993</v>
      </c>
      <c r="F98" s="436" cm="1">
        <f t="array" ref="F98">IF($B699=0, Vide, $B699)</f>
        <v>34.239524999999993</v>
      </c>
      <c r="G98" s="436" cm="1">
        <f t="array" ref="G98">IF($B699=0, Vide, $B699)</f>
        <v>34.239524999999993</v>
      </c>
      <c r="H98" s="436" cm="1">
        <f t="array" ref="H98">IF($C699=0, Vide, $C699)</f>
        <v>36.500999999999998</v>
      </c>
      <c r="I98" s="436" cm="1">
        <f t="array" ref="I98">IF($C699=0, Vide, $C699)</f>
        <v>36.500999999999998</v>
      </c>
      <c r="J98" s="436" cm="1">
        <f t="array" ref="J98">IF($C699=0, Vide, $C699)</f>
        <v>36.500999999999998</v>
      </c>
      <c r="K98" s="436" cm="1">
        <f t="array" ref="K98">IF($C699=0, Vide, $C699)</f>
        <v>36.500999999999998</v>
      </c>
      <c r="L98" s="436" cm="1">
        <f t="array" ref="L98">IF($C699=0, Vide, $C699)</f>
        <v>36.500999999999998</v>
      </c>
      <c r="M98" s="436" t="s">
        <v>762</v>
      </c>
      <c r="N98" s="436" t="s">
        <v>762</v>
      </c>
      <c r="O98" s="436" t="s">
        <v>762</v>
      </c>
      <c r="P98" s="436" t="s">
        <v>762</v>
      </c>
      <c r="Q98" s="436" t="s">
        <v>762</v>
      </c>
      <c r="R98" s="436" t="s">
        <v>762</v>
      </c>
      <c r="S98" s="436" t="s">
        <v>762</v>
      </c>
      <c r="T98" s="436" t="s">
        <v>762</v>
      </c>
      <c r="U98" s="436" t="s">
        <v>762</v>
      </c>
      <c r="V98" s="436" cm="1">
        <f t="array" ref="V98">IF($D699=0, Vide, $D699)</f>
        <v>40.534624999999991</v>
      </c>
      <c r="W98" s="436" cm="1">
        <f t="array" ref="W98">IF($E699=0, Vide, $E699)</f>
        <v>44.303749999999994</v>
      </c>
      <c r="X98" s="436" cm="1">
        <f t="array" ref="X98">IF($F699=0, Vide, $F699)</f>
        <v>48.601874999999993</v>
      </c>
      <c r="Y98" s="436" cm="1">
        <f t="array" ref="Y98">IF($G699=0, Vide, $G699)</f>
        <v>52.860324999999996</v>
      </c>
      <c r="Z98" s="436" cm="1">
        <f t="array" ref="Z98">IF($H699=0, Vide, $H699)</f>
        <v>57.211349999999989</v>
      </c>
      <c r="AA98" s="436" cm="1">
        <f t="array" ref="AA98">IF($I699=0, Vide, $I699)</f>
        <v>61.535924999999992</v>
      </c>
      <c r="AB98" s="436" cm="1">
        <f t="array" ref="AB98">IF($J699=0, Vide, $J699)</f>
        <v>68.426149999999993</v>
      </c>
      <c r="AC98" s="436" cm="1">
        <f t="array" ref="AC98">IF($K699=0, Vide, $K699)</f>
        <v>75.012199999999993</v>
      </c>
      <c r="AD98" s="436" cm="1">
        <f t="array" ref="AD98">IF($L699=0, Vide, $L699)</f>
        <v>79.349999999999994</v>
      </c>
      <c r="AE98" s="436">
        <f t="shared" si="72"/>
        <v>87.284999999999997</v>
      </c>
      <c r="AF98" s="436">
        <f t="shared" si="72"/>
        <v>99.1875</v>
      </c>
      <c r="AG98" s="436">
        <f t="shared" si="72"/>
        <v>119.02499999999999</v>
      </c>
      <c r="AH98" s="436">
        <f t="shared" si="72"/>
        <v>138.86249999999998</v>
      </c>
      <c r="AI98" s="436">
        <f t="shared" si="72"/>
        <v>159.49349999999998</v>
      </c>
      <c r="AJ98" s="436">
        <f t="shared" si="72"/>
        <v>178.53749999999999</v>
      </c>
      <c r="AK98" s="436">
        <f t="shared" si="72"/>
        <v>198.375</v>
      </c>
      <c r="AL98" s="436">
        <f t="shared" si="72"/>
        <v>238.84349999999998</v>
      </c>
      <c r="AM98" s="436">
        <f t="shared" si="72"/>
        <v>257.88749999999999</v>
      </c>
      <c r="AN98" s="436">
        <f t="shared" si="72"/>
        <v>277.72499999999997</v>
      </c>
      <c r="AO98" s="436">
        <f t="shared" si="73"/>
        <v>297.5625</v>
      </c>
      <c r="AP98" s="436">
        <f t="shared" si="73"/>
        <v>318.19349999999997</v>
      </c>
      <c r="AQ98" s="436">
        <f t="shared" si="73"/>
        <v>337.23749999999995</v>
      </c>
      <c r="AR98" s="436">
        <f t="shared" si="73"/>
        <v>357.07499999999999</v>
      </c>
      <c r="AS98" s="436">
        <f t="shared" si="73"/>
        <v>376.91249999999997</v>
      </c>
      <c r="AT98" s="436">
        <f t="shared" si="73"/>
        <v>396.75</v>
      </c>
      <c r="AU98" s="436">
        <f t="shared" si="73"/>
        <v>416.58749999999998</v>
      </c>
      <c r="AV98" s="436">
        <f t="shared" si="73"/>
        <v>436.42499999999995</v>
      </c>
      <c r="AW98" s="436">
        <f t="shared" si="73"/>
        <v>456.26249999999999</v>
      </c>
      <c r="AX98" s="436">
        <f t="shared" si="73"/>
        <v>476.09999999999997</v>
      </c>
      <c r="AY98" s="436">
        <f t="shared" si="74"/>
        <v>515.77499999999998</v>
      </c>
      <c r="AZ98" s="436">
        <f t="shared" si="74"/>
        <v>555.44999999999993</v>
      </c>
      <c r="BA98" s="436">
        <f t="shared" si="74"/>
        <v>595.125</v>
      </c>
      <c r="BB98" s="436">
        <f t="shared" si="74"/>
        <v>634.79999999999995</v>
      </c>
      <c r="BC98" s="436">
        <f t="shared" si="74"/>
        <v>674.47499999999991</v>
      </c>
      <c r="BD98" s="436">
        <f t="shared" si="74"/>
        <v>714.15</v>
      </c>
      <c r="BE98" s="436">
        <f t="shared" si="74"/>
        <v>753.82499999999993</v>
      </c>
      <c r="BF98" s="436">
        <f t="shared" si="74"/>
        <v>793.5</v>
      </c>
      <c r="BG98" s="436">
        <f t="shared" si="74"/>
        <v>872.84999999999991</v>
      </c>
      <c r="BH98" s="436">
        <f t="shared" si="74"/>
        <v>952.19999999999993</v>
      </c>
      <c r="BI98" s="436">
        <f t="shared" si="75"/>
        <v>991.87499999999989</v>
      </c>
      <c r="BJ98" s="436">
        <f t="shared" si="75"/>
        <v>1031.55</v>
      </c>
      <c r="BK98" s="436">
        <f t="shared" si="75"/>
        <v>1110.8999999999999</v>
      </c>
      <c r="BL98" s="436">
        <f t="shared" si="75"/>
        <v>1190.25</v>
      </c>
      <c r="BM98" s="436">
        <f t="shared" si="75"/>
        <v>1269.5999999999999</v>
      </c>
      <c r="BN98" s="436">
        <f t="shared" si="75"/>
        <v>1348.9499999999998</v>
      </c>
      <c r="BO98" s="436">
        <f t="shared" si="75"/>
        <v>1388.625</v>
      </c>
      <c r="BP98" s="436">
        <f t="shared" si="75"/>
        <v>1428.3</v>
      </c>
      <c r="BQ98" s="436">
        <f t="shared" si="75"/>
        <v>1507.6499999999999</v>
      </c>
      <c r="BR98" s="436">
        <f t="shared" si="75"/>
        <v>1587</v>
      </c>
      <c r="BS98" s="436">
        <f t="shared" si="76"/>
        <v>1785.3749999999998</v>
      </c>
      <c r="BT98" s="436">
        <f t="shared" si="76"/>
        <v>1983.7499999999998</v>
      </c>
      <c r="BU98" s="436">
        <f t="shared" si="76"/>
        <v>2182.125</v>
      </c>
      <c r="BV98" s="436">
        <f t="shared" si="76"/>
        <v>2380.5</v>
      </c>
      <c r="BW98" s="436">
        <f t="shared" si="76"/>
        <v>2777.25</v>
      </c>
      <c r="BX98" s="436">
        <f t="shared" si="76"/>
        <v>3174</v>
      </c>
      <c r="BY98" s="436">
        <f t="shared" si="76"/>
        <v>3570.7499999999995</v>
      </c>
      <c r="BZ98" s="436">
        <f t="shared" si="76"/>
        <v>3967.4999999999995</v>
      </c>
      <c r="CA98" s="436">
        <f t="shared" si="76"/>
        <v>4364.25</v>
      </c>
      <c r="CB98" s="436">
        <f t="shared" si="76"/>
        <v>4761</v>
      </c>
      <c r="CC98" s="436">
        <f t="shared" si="76"/>
        <v>5554.5</v>
      </c>
      <c r="CD98" s="436">
        <f t="shared" si="76"/>
        <v>6348</v>
      </c>
      <c r="CE98" s="436">
        <f t="shared" si="76"/>
        <v>7141.4999999999991</v>
      </c>
      <c r="CF98" s="436">
        <f t="shared" si="76"/>
        <v>7934.9999999999991</v>
      </c>
      <c r="CG98" s="436" cm="1">
        <f t="array" ref="CG98">IF($M699=0, Vide, $M699)</f>
        <v>79.349999999999994</v>
      </c>
      <c r="CH98" s="435" t="s">
        <v>762</v>
      </c>
      <c r="CI98" s="435" t="s">
        <v>762</v>
      </c>
      <c r="CJ98" s="435" t="s">
        <v>762</v>
      </c>
      <c r="CK98" s="435" t="s">
        <v>762</v>
      </c>
      <c r="CL98" s="435" t="s">
        <v>762</v>
      </c>
    </row>
    <row r="99" spans="1:90" s="437" customFormat="1">
      <c r="A99" s="435" t="s">
        <v>607</v>
      </c>
      <c r="B99" s="435" t="s">
        <v>90</v>
      </c>
      <c r="C99" s="436" cm="1">
        <f t="array" ref="C99">IF($B700=0, Vide, $B700)</f>
        <v>41.433924999999995</v>
      </c>
      <c r="D99" s="436" cm="1">
        <f t="array" ref="D99">IF($B700=0, Vide, $B700)</f>
        <v>41.433924999999995</v>
      </c>
      <c r="E99" s="436" cm="1">
        <f t="array" ref="E99">IF($B700=0, Vide, $B700)</f>
        <v>41.433924999999995</v>
      </c>
      <c r="F99" s="436" cm="1">
        <f t="array" ref="F99">IF($B700=0, Vide, $B700)</f>
        <v>41.433924999999995</v>
      </c>
      <c r="G99" s="436" cm="1">
        <f t="array" ref="G99">IF($B700=0, Vide, $B700)</f>
        <v>41.433924999999995</v>
      </c>
      <c r="H99" s="436" cm="1">
        <f t="array" ref="H99">IF($C700=0, Vide, $C700)</f>
        <v>48.879599999999996</v>
      </c>
      <c r="I99" s="436" cm="1">
        <f t="array" ref="I99">IF($C700=0, Vide, $C700)</f>
        <v>48.879599999999996</v>
      </c>
      <c r="J99" s="436" cm="1">
        <f t="array" ref="J99">IF($C700=0, Vide, $C700)</f>
        <v>48.879599999999996</v>
      </c>
      <c r="K99" s="436" cm="1">
        <f t="array" ref="K99">IF($C700=0, Vide, $C700)</f>
        <v>48.879599999999996</v>
      </c>
      <c r="L99" s="436" cm="1">
        <f t="array" ref="L99">IF($C700=0, Vide, $C700)</f>
        <v>48.879599999999996</v>
      </c>
      <c r="M99" s="436" t="s">
        <v>762</v>
      </c>
      <c r="N99" s="436" t="s">
        <v>762</v>
      </c>
      <c r="O99" s="436" t="s">
        <v>762</v>
      </c>
      <c r="P99" s="436" t="s">
        <v>762</v>
      </c>
      <c r="Q99" s="436" t="s">
        <v>762</v>
      </c>
      <c r="R99" s="436" t="s">
        <v>762</v>
      </c>
      <c r="S99" s="436" t="s">
        <v>762</v>
      </c>
      <c r="T99" s="436" t="s">
        <v>762</v>
      </c>
      <c r="U99" s="436" t="s">
        <v>762</v>
      </c>
      <c r="V99" s="436" cm="1">
        <f t="array" ref="V99">IF($D700=0, Vide, $D700)</f>
        <v>65.146349999999984</v>
      </c>
      <c r="W99" s="436" cm="1">
        <f t="array" ref="W99">IF($E700=0, Vide, $E700)</f>
        <v>78.159750000000003</v>
      </c>
      <c r="X99" s="436" cm="1">
        <f t="array" ref="X99">IF($F700=0, Vide, $F700)</f>
        <v>94.439724999999967</v>
      </c>
      <c r="Y99" s="436" cm="1">
        <f t="array" ref="Y99">IF($G700=0, Vide, $G700)</f>
        <v>110.75937499999998</v>
      </c>
      <c r="Z99" s="436" cm="1">
        <f t="array" ref="Z99">IF($H700=0, Vide, $H700)</f>
        <v>127.31707499999997</v>
      </c>
      <c r="AA99" s="436" cm="1">
        <f t="array" ref="AA99">IF($I700=0, Vide, $I700)</f>
        <v>144.43022499999998</v>
      </c>
      <c r="AB99" s="436" cm="1">
        <f t="array" ref="AB99">IF($J700=0, Vide, $J700)</f>
        <v>161.86077499999996</v>
      </c>
      <c r="AC99" s="436" cm="1">
        <f t="array" ref="AC99">IF($K700=0, Vide, $K700)</f>
        <v>179.29132499999997</v>
      </c>
      <c r="AD99" s="436" cm="1">
        <f t="array" ref="AD99">IF($L700=0, Vide, $L700)</f>
        <v>202.72602499999996</v>
      </c>
      <c r="AE99" s="436">
        <f t="shared" si="72"/>
        <v>222.99862749999997</v>
      </c>
      <c r="AF99" s="436">
        <f t="shared" si="72"/>
        <v>253.40753124999995</v>
      </c>
      <c r="AG99" s="436">
        <f t="shared" si="72"/>
        <v>304.08903749999996</v>
      </c>
      <c r="AH99" s="436">
        <f t="shared" si="72"/>
        <v>354.77054374999994</v>
      </c>
      <c r="AI99" s="436">
        <f t="shared" si="72"/>
        <v>407.47931024999991</v>
      </c>
      <c r="AJ99" s="436">
        <f t="shared" si="72"/>
        <v>456.13355624999991</v>
      </c>
      <c r="AK99" s="436">
        <f t="shared" si="72"/>
        <v>506.8150624999999</v>
      </c>
      <c r="AL99" s="436">
        <f t="shared" si="72"/>
        <v>610.20533524999985</v>
      </c>
      <c r="AM99" s="436">
        <f t="shared" si="72"/>
        <v>658.85958124999991</v>
      </c>
      <c r="AN99" s="436">
        <f t="shared" si="72"/>
        <v>709.54108749999989</v>
      </c>
      <c r="AO99" s="436">
        <f t="shared" si="73"/>
        <v>760.22259374999987</v>
      </c>
      <c r="AP99" s="436">
        <f t="shared" si="73"/>
        <v>812.93136024999978</v>
      </c>
      <c r="AQ99" s="436">
        <f t="shared" si="73"/>
        <v>861.58560624999984</v>
      </c>
      <c r="AR99" s="436">
        <f t="shared" si="73"/>
        <v>912.26711249999983</v>
      </c>
      <c r="AS99" s="436">
        <f t="shared" si="73"/>
        <v>962.94861874999981</v>
      </c>
      <c r="AT99" s="436">
        <f t="shared" si="73"/>
        <v>1013.6301249999998</v>
      </c>
      <c r="AU99" s="436">
        <f t="shared" si="73"/>
        <v>1064.3116312499999</v>
      </c>
      <c r="AV99" s="436">
        <f t="shared" si="73"/>
        <v>1114.9931374999999</v>
      </c>
      <c r="AW99" s="436">
        <f t="shared" si="73"/>
        <v>1165.6746437499999</v>
      </c>
      <c r="AX99" s="436">
        <f t="shared" si="73"/>
        <v>1216.3561499999998</v>
      </c>
      <c r="AY99" s="436">
        <f t="shared" si="74"/>
        <v>1317.7191624999998</v>
      </c>
      <c r="AZ99" s="436">
        <f t="shared" si="74"/>
        <v>1419.0821749999998</v>
      </c>
      <c r="BA99" s="436">
        <f t="shared" si="74"/>
        <v>1520.4451874999997</v>
      </c>
      <c r="BB99" s="436">
        <f t="shared" si="74"/>
        <v>1621.8081999999997</v>
      </c>
      <c r="BC99" s="436">
        <f t="shared" si="74"/>
        <v>1723.1712124999997</v>
      </c>
      <c r="BD99" s="436">
        <f t="shared" si="74"/>
        <v>1824.5342249999997</v>
      </c>
      <c r="BE99" s="436">
        <f t="shared" si="74"/>
        <v>1925.8972374999996</v>
      </c>
      <c r="BF99" s="436">
        <f t="shared" si="74"/>
        <v>2027.2602499999996</v>
      </c>
      <c r="BG99" s="436">
        <f t="shared" si="74"/>
        <v>2229.9862749999998</v>
      </c>
      <c r="BH99" s="436">
        <f t="shared" si="74"/>
        <v>2432.7122999999997</v>
      </c>
      <c r="BI99" s="436">
        <f t="shared" si="75"/>
        <v>2534.0753124999997</v>
      </c>
      <c r="BJ99" s="436">
        <f t="shared" si="75"/>
        <v>2635.4383249999996</v>
      </c>
      <c r="BK99" s="436">
        <f t="shared" si="75"/>
        <v>2838.1643499999996</v>
      </c>
      <c r="BL99" s="436">
        <f t="shared" si="75"/>
        <v>3040.8903749999995</v>
      </c>
      <c r="BM99" s="436">
        <f t="shared" si="75"/>
        <v>3243.6163999999994</v>
      </c>
      <c r="BN99" s="436">
        <f t="shared" si="75"/>
        <v>3446.3424249999994</v>
      </c>
      <c r="BO99" s="436">
        <f t="shared" si="75"/>
        <v>3547.7054374999993</v>
      </c>
      <c r="BP99" s="436">
        <f t="shared" si="75"/>
        <v>3649.0684499999993</v>
      </c>
      <c r="BQ99" s="436">
        <f t="shared" si="75"/>
        <v>3851.7944749999992</v>
      </c>
      <c r="BR99" s="436">
        <f t="shared" si="75"/>
        <v>4054.5204999999992</v>
      </c>
      <c r="BS99" s="436">
        <f t="shared" si="76"/>
        <v>4561.3355624999995</v>
      </c>
      <c r="BT99" s="436">
        <f t="shared" si="76"/>
        <v>5068.1506249999993</v>
      </c>
      <c r="BU99" s="436">
        <f t="shared" si="76"/>
        <v>5574.9656874999991</v>
      </c>
      <c r="BV99" s="436">
        <f t="shared" si="76"/>
        <v>6081.780749999999</v>
      </c>
      <c r="BW99" s="436">
        <f t="shared" si="76"/>
        <v>7095.4108749999987</v>
      </c>
      <c r="BX99" s="436">
        <f t="shared" si="76"/>
        <v>8109.0409999999983</v>
      </c>
      <c r="BY99" s="436">
        <f t="shared" si="76"/>
        <v>9122.6711249999989</v>
      </c>
      <c r="BZ99" s="436">
        <f t="shared" si="76"/>
        <v>10136.301249999999</v>
      </c>
      <c r="CA99" s="436">
        <f t="shared" si="76"/>
        <v>11149.931374999998</v>
      </c>
      <c r="CB99" s="436">
        <f t="shared" si="76"/>
        <v>12163.561499999998</v>
      </c>
      <c r="CC99" s="436">
        <f t="shared" si="76"/>
        <v>14190.821749999997</v>
      </c>
      <c r="CD99" s="436">
        <f t="shared" si="76"/>
        <v>16218.081999999997</v>
      </c>
      <c r="CE99" s="436">
        <f t="shared" si="76"/>
        <v>18245.342249999998</v>
      </c>
      <c r="CF99" s="436">
        <f t="shared" si="76"/>
        <v>20272.602499999997</v>
      </c>
      <c r="CG99" s="436" cm="1">
        <f t="array" ref="CG99">IF($M700=0, Vide, $M700)</f>
        <v>202.72602499999996</v>
      </c>
      <c r="CH99" s="435" t="s">
        <v>762</v>
      </c>
      <c r="CI99" s="435" t="s">
        <v>762</v>
      </c>
      <c r="CJ99" s="435" t="s">
        <v>762</v>
      </c>
      <c r="CK99" s="435" t="s">
        <v>762</v>
      </c>
      <c r="CL99" s="435" t="s">
        <v>762</v>
      </c>
    </row>
    <row r="100" spans="1:90" s="437" customFormat="1">
      <c r="A100" s="435" t="s">
        <v>608</v>
      </c>
      <c r="B100" s="435" t="s">
        <v>90</v>
      </c>
      <c r="C100" s="436" cm="1">
        <f t="array" ref="C100">IF($B701=0, Vide, $B701)</f>
        <v>41.433924999999995</v>
      </c>
      <c r="D100" s="436" cm="1">
        <f t="array" ref="D100">IF($B701=0, Vide, $B701)</f>
        <v>41.433924999999995</v>
      </c>
      <c r="E100" s="436" cm="1">
        <f t="array" ref="E100">IF($B701=0, Vide, $B701)</f>
        <v>41.433924999999995</v>
      </c>
      <c r="F100" s="436" cm="1">
        <f t="array" ref="F100">IF($B701=0, Vide, $B701)</f>
        <v>41.433924999999995</v>
      </c>
      <c r="G100" s="436" cm="1">
        <f t="array" ref="G100">IF($B701=0, Vide, $B701)</f>
        <v>41.433924999999995</v>
      </c>
      <c r="H100" s="436" cm="1">
        <f t="array" ref="H100">IF($C701=0, Vide, $C701)</f>
        <v>48.879599999999996</v>
      </c>
      <c r="I100" s="436" cm="1">
        <f t="array" ref="I100">IF($C701=0, Vide, $C701)</f>
        <v>48.879599999999996</v>
      </c>
      <c r="J100" s="436" cm="1">
        <f t="array" ref="J100">IF($C701=0, Vide, $C701)</f>
        <v>48.879599999999996</v>
      </c>
      <c r="K100" s="436" cm="1">
        <f t="array" ref="K100">IF($C701=0, Vide, $C701)</f>
        <v>48.879599999999996</v>
      </c>
      <c r="L100" s="436" cm="1">
        <f t="array" ref="L100">IF($C701=0, Vide, $C701)</f>
        <v>48.879599999999996</v>
      </c>
      <c r="M100" s="436" t="s">
        <v>762</v>
      </c>
      <c r="N100" s="436" t="s">
        <v>762</v>
      </c>
      <c r="O100" s="436" t="s">
        <v>762</v>
      </c>
      <c r="P100" s="436" t="s">
        <v>762</v>
      </c>
      <c r="Q100" s="436" t="s">
        <v>762</v>
      </c>
      <c r="R100" s="436" t="s">
        <v>762</v>
      </c>
      <c r="S100" s="436" t="s">
        <v>762</v>
      </c>
      <c r="T100" s="436" t="s">
        <v>762</v>
      </c>
      <c r="U100" s="436" t="s">
        <v>762</v>
      </c>
      <c r="V100" s="436" cm="1">
        <f t="array" ref="V100">IF($D701=0, Vide, $D701)</f>
        <v>65.146349999999984</v>
      </c>
      <c r="W100" s="436" cm="1">
        <f t="array" ref="W100">IF($E701=0, Vide, $E701)</f>
        <v>78.159750000000003</v>
      </c>
      <c r="X100" s="436" cm="1">
        <f t="array" ref="X100">IF($F701=0, Vide, $F701)</f>
        <v>94.439724999999967</v>
      </c>
      <c r="Y100" s="436" cm="1">
        <f t="array" ref="Y100">IF($G701=0, Vide, $G701)</f>
        <v>110.75937499999998</v>
      </c>
      <c r="Z100" s="436" cm="1">
        <f t="array" ref="Z100">IF($H701=0, Vide, $H701)</f>
        <v>127.31707499999997</v>
      </c>
      <c r="AA100" s="436" cm="1">
        <f t="array" ref="AA100">IF($I701=0, Vide, $I701)</f>
        <v>144.43022499999998</v>
      </c>
      <c r="AB100" s="436" cm="1">
        <f t="array" ref="AB100">IF($J701=0, Vide, $J701)</f>
        <v>161.86077499999996</v>
      </c>
      <c r="AC100" s="436" cm="1">
        <f t="array" ref="AC100">IF($K701=0, Vide, $K701)</f>
        <v>179.29132499999997</v>
      </c>
      <c r="AD100" s="436" cm="1">
        <f t="array" ref="AD100">IF($L701=0, Vide, $L701)</f>
        <v>202.72602499999996</v>
      </c>
      <c r="AE100" s="436">
        <f t="shared" si="72"/>
        <v>222.99862749999997</v>
      </c>
      <c r="AF100" s="436">
        <f t="shared" si="72"/>
        <v>253.40753124999995</v>
      </c>
      <c r="AG100" s="436">
        <f t="shared" si="72"/>
        <v>304.08903749999996</v>
      </c>
      <c r="AH100" s="436">
        <f t="shared" si="72"/>
        <v>354.77054374999994</v>
      </c>
      <c r="AI100" s="436">
        <f t="shared" si="72"/>
        <v>407.47931024999991</v>
      </c>
      <c r="AJ100" s="436">
        <f t="shared" si="72"/>
        <v>456.13355624999991</v>
      </c>
      <c r="AK100" s="436">
        <f t="shared" si="72"/>
        <v>506.8150624999999</v>
      </c>
      <c r="AL100" s="436">
        <f t="shared" si="72"/>
        <v>610.20533524999985</v>
      </c>
      <c r="AM100" s="436">
        <f t="shared" si="72"/>
        <v>658.85958124999991</v>
      </c>
      <c r="AN100" s="436">
        <f t="shared" si="72"/>
        <v>709.54108749999989</v>
      </c>
      <c r="AO100" s="436">
        <f t="shared" si="73"/>
        <v>760.22259374999987</v>
      </c>
      <c r="AP100" s="436">
        <f t="shared" si="73"/>
        <v>812.93136024999978</v>
      </c>
      <c r="AQ100" s="436">
        <f t="shared" si="73"/>
        <v>861.58560624999984</v>
      </c>
      <c r="AR100" s="436">
        <f t="shared" si="73"/>
        <v>912.26711249999983</v>
      </c>
      <c r="AS100" s="436">
        <f t="shared" si="73"/>
        <v>962.94861874999981</v>
      </c>
      <c r="AT100" s="436">
        <f t="shared" si="73"/>
        <v>1013.6301249999998</v>
      </c>
      <c r="AU100" s="436">
        <f t="shared" si="73"/>
        <v>1064.3116312499999</v>
      </c>
      <c r="AV100" s="436">
        <f t="shared" si="73"/>
        <v>1114.9931374999999</v>
      </c>
      <c r="AW100" s="436">
        <f t="shared" si="73"/>
        <v>1165.6746437499999</v>
      </c>
      <c r="AX100" s="436">
        <f t="shared" si="73"/>
        <v>1216.3561499999998</v>
      </c>
      <c r="AY100" s="436">
        <f t="shared" si="74"/>
        <v>1317.7191624999998</v>
      </c>
      <c r="AZ100" s="436">
        <f t="shared" si="74"/>
        <v>1419.0821749999998</v>
      </c>
      <c r="BA100" s="436">
        <f t="shared" si="74"/>
        <v>1520.4451874999997</v>
      </c>
      <c r="BB100" s="436">
        <f t="shared" si="74"/>
        <v>1621.8081999999997</v>
      </c>
      <c r="BC100" s="436">
        <f t="shared" si="74"/>
        <v>1723.1712124999997</v>
      </c>
      <c r="BD100" s="436">
        <f t="shared" si="74"/>
        <v>1824.5342249999997</v>
      </c>
      <c r="BE100" s="436">
        <f t="shared" si="74"/>
        <v>1925.8972374999996</v>
      </c>
      <c r="BF100" s="436">
        <f t="shared" si="74"/>
        <v>2027.2602499999996</v>
      </c>
      <c r="BG100" s="436">
        <f t="shared" si="74"/>
        <v>2229.9862749999998</v>
      </c>
      <c r="BH100" s="436">
        <f t="shared" si="74"/>
        <v>2432.7122999999997</v>
      </c>
      <c r="BI100" s="436">
        <f t="shared" si="75"/>
        <v>2534.0753124999997</v>
      </c>
      <c r="BJ100" s="436">
        <f t="shared" si="75"/>
        <v>2635.4383249999996</v>
      </c>
      <c r="BK100" s="436">
        <f t="shared" si="75"/>
        <v>2838.1643499999996</v>
      </c>
      <c r="BL100" s="436">
        <f t="shared" si="75"/>
        <v>3040.8903749999995</v>
      </c>
      <c r="BM100" s="436">
        <f t="shared" si="75"/>
        <v>3243.6163999999994</v>
      </c>
      <c r="BN100" s="436">
        <f t="shared" si="75"/>
        <v>3446.3424249999994</v>
      </c>
      <c r="BO100" s="436">
        <f t="shared" si="75"/>
        <v>3547.7054374999993</v>
      </c>
      <c r="BP100" s="436">
        <f t="shared" si="75"/>
        <v>3649.0684499999993</v>
      </c>
      <c r="BQ100" s="436">
        <f t="shared" si="75"/>
        <v>3851.7944749999992</v>
      </c>
      <c r="BR100" s="436">
        <f t="shared" si="75"/>
        <v>4054.5204999999992</v>
      </c>
      <c r="BS100" s="436">
        <f t="shared" si="76"/>
        <v>4561.3355624999995</v>
      </c>
      <c r="BT100" s="436">
        <f t="shared" si="76"/>
        <v>5068.1506249999993</v>
      </c>
      <c r="BU100" s="436">
        <f t="shared" si="76"/>
        <v>5574.9656874999991</v>
      </c>
      <c r="BV100" s="436">
        <f t="shared" si="76"/>
        <v>6081.780749999999</v>
      </c>
      <c r="BW100" s="436">
        <f t="shared" si="76"/>
        <v>7095.4108749999987</v>
      </c>
      <c r="BX100" s="436">
        <f t="shared" si="76"/>
        <v>8109.0409999999983</v>
      </c>
      <c r="BY100" s="436">
        <f t="shared" si="76"/>
        <v>9122.6711249999989</v>
      </c>
      <c r="BZ100" s="436">
        <f t="shared" si="76"/>
        <v>10136.301249999999</v>
      </c>
      <c r="CA100" s="436">
        <f t="shared" si="76"/>
        <v>11149.931374999998</v>
      </c>
      <c r="CB100" s="436">
        <f t="shared" si="76"/>
        <v>12163.561499999998</v>
      </c>
      <c r="CC100" s="436">
        <f t="shared" si="76"/>
        <v>14190.821749999997</v>
      </c>
      <c r="CD100" s="436">
        <f t="shared" si="76"/>
        <v>16218.081999999997</v>
      </c>
      <c r="CE100" s="436">
        <f t="shared" si="76"/>
        <v>18245.342249999998</v>
      </c>
      <c r="CF100" s="436">
        <f t="shared" si="76"/>
        <v>20272.602499999997</v>
      </c>
      <c r="CG100" s="436" cm="1">
        <f t="array" ref="CG100">IF($M701=0, Vide, $M701)</f>
        <v>202.72602499999996</v>
      </c>
      <c r="CH100" s="435" t="s">
        <v>762</v>
      </c>
      <c r="CI100" s="435" t="s">
        <v>762</v>
      </c>
      <c r="CJ100" s="435" t="s">
        <v>762</v>
      </c>
      <c r="CK100" s="435" t="s">
        <v>762</v>
      </c>
      <c r="CL100" s="435" t="s">
        <v>762</v>
      </c>
    </row>
    <row r="101" spans="1:90" s="437" customFormat="1">
      <c r="A101" s="435" t="s">
        <v>609</v>
      </c>
      <c r="B101" s="435" t="s">
        <v>90</v>
      </c>
      <c r="C101" s="436" cm="1">
        <f t="array" ref="C101">IF($B702=0, Vide, $B702)</f>
        <v>41.433924999999995</v>
      </c>
      <c r="D101" s="436" cm="1">
        <f t="array" ref="D101">IF($B702=0, Vide, $B702)</f>
        <v>41.433924999999995</v>
      </c>
      <c r="E101" s="436" cm="1">
        <f t="array" ref="E101">IF($B702=0, Vide, $B702)</f>
        <v>41.433924999999995</v>
      </c>
      <c r="F101" s="436" cm="1">
        <f t="array" ref="F101">IF($B702=0, Vide, $B702)</f>
        <v>41.433924999999995</v>
      </c>
      <c r="G101" s="436" cm="1">
        <f t="array" ref="G101">IF($B702=0, Vide, $B702)</f>
        <v>41.433924999999995</v>
      </c>
      <c r="H101" s="436" cm="1">
        <f t="array" ref="H101">IF($C702=0, Vide, $C702)</f>
        <v>48.879599999999996</v>
      </c>
      <c r="I101" s="436" cm="1">
        <f t="array" ref="I101">IF($C702=0, Vide, $C702)</f>
        <v>48.879599999999996</v>
      </c>
      <c r="J101" s="436" cm="1">
        <f t="array" ref="J101">IF($C702=0, Vide, $C702)</f>
        <v>48.879599999999996</v>
      </c>
      <c r="K101" s="436" cm="1">
        <f t="array" ref="K101">IF($C702=0, Vide, $C702)</f>
        <v>48.879599999999996</v>
      </c>
      <c r="L101" s="436" cm="1">
        <f t="array" ref="L101">IF($C702=0, Vide, $C702)</f>
        <v>48.879599999999996</v>
      </c>
      <c r="M101" s="436" t="s">
        <v>762</v>
      </c>
      <c r="N101" s="436" t="s">
        <v>762</v>
      </c>
      <c r="O101" s="436" t="s">
        <v>762</v>
      </c>
      <c r="P101" s="436" t="s">
        <v>762</v>
      </c>
      <c r="Q101" s="436" t="s">
        <v>762</v>
      </c>
      <c r="R101" s="436" t="s">
        <v>762</v>
      </c>
      <c r="S101" s="436" t="s">
        <v>762</v>
      </c>
      <c r="T101" s="436" t="s">
        <v>762</v>
      </c>
      <c r="U101" s="436" t="s">
        <v>762</v>
      </c>
      <c r="V101" s="436" cm="1">
        <f t="array" ref="V101">IF($D702=0, Vide, $D702)</f>
        <v>65.146349999999984</v>
      </c>
      <c r="W101" s="436" cm="1">
        <f t="array" ref="W101">IF($E702=0, Vide, $E702)</f>
        <v>78.159750000000003</v>
      </c>
      <c r="X101" s="436" cm="1">
        <f t="array" ref="X101">IF($F702=0, Vide, $F702)</f>
        <v>94.439724999999967</v>
      </c>
      <c r="Y101" s="436" cm="1">
        <f t="array" ref="Y101">IF($G702=0, Vide, $G702)</f>
        <v>110.75937499999998</v>
      </c>
      <c r="Z101" s="436" cm="1">
        <f t="array" ref="Z101">IF($H702=0, Vide, $H702)</f>
        <v>127.31707499999997</v>
      </c>
      <c r="AA101" s="436" cm="1">
        <f t="array" ref="AA101">IF($I702=0, Vide, $I702)</f>
        <v>144.43022499999998</v>
      </c>
      <c r="AB101" s="436" cm="1">
        <f t="array" ref="AB101">IF($J702=0, Vide, $J702)</f>
        <v>161.86077499999996</v>
      </c>
      <c r="AC101" s="436" cm="1">
        <f t="array" ref="AC101">IF($K702=0, Vide, $K702)</f>
        <v>179.29132499999997</v>
      </c>
      <c r="AD101" s="436" cm="1">
        <f t="array" ref="AD101">IF($L702=0, Vide, $L702)</f>
        <v>202.72602499999996</v>
      </c>
      <c r="AE101" s="436">
        <f t="shared" si="72"/>
        <v>222.99862749999997</v>
      </c>
      <c r="AF101" s="436">
        <f t="shared" si="72"/>
        <v>253.40753124999995</v>
      </c>
      <c r="AG101" s="436">
        <f t="shared" si="72"/>
        <v>304.08903749999996</v>
      </c>
      <c r="AH101" s="436">
        <f t="shared" si="72"/>
        <v>354.77054374999994</v>
      </c>
      <c r="AI101" s="436">
        <f t="shared" si="72"/>
        <v>407.47931024999991</v>
      </c>
      <c r="AJ101" s="436">
        <f t="shared" si="72"/>
        <v>456.13355624999991</v>
      </c>
      <c r="AK101" s="436">
        <f t="shared" si="72"/>
        <v>506.8150624999999</v>
      </c>
      <c r="AL101" s="436">
        <f t="shared" si="72"/>
        <v>610.20533524999985</v>
      </c>
      <c r="AM101" s="436">
        <f t="shared" si="72"/>
        <v>658.85958124999991</v>
      </c>
      <c r="AN101" s="436">
        <f t="shared" si="72"/>
        <v>709.54108749999989</v>
      </c>
      <c r="AO101" s="436">
        <f t="shared" si="73"/>
        <v>760.22259374999987</v>
      </c>
      <c r="AP101" s="436">
        <f t="shared" si="73"/>
        <v>812.93136024999978</v>
      </c>
      <c r="AQ101" s="436">
        <f t="shared" si="73"/>
        <v>861.58560624999984</v>
      </c>
      <c r="AR101" s="436">
        <f t="shared" si="73"/>
        <v>912.26711249999983</v>
      </c>
      <c r="AS101" s="436">
        <f t="shared" si="73"/>
        <v>962.94861874999981</v>
      </c>
      <c r="AT101" s="436">
        <f t="shared" si="73"/>
        <v>1013.6301249999998</v>
      </c>
      <c r="AU101" s="436">
        <f t="shared" si="73"/>
        <v>1064.3116312499999</v>
      </c>
      <c r="AV101" s="436">
        <f t="shared" si="73"/>
        <v>1114.9931374999999</v>
      </c>
      <c r="AW101" s="436">
        <f t="shared" si="73"/>
        <v>1165.6746437499999</v>
      </c>
      <c r="AX101" s="436">
        <f t="shared" si="73"/>
        <v>1216.3561499999998</v>
      </c>
      <c r="AY101" s="436">
        <f t="shared" si="74"/>
        <v>1317.7191624999998</v>
      </c>
      <c r="AZ101" s="436">
        <f t="shared" si="74"/>
        <v>1419.0821749999998</v>
      </c>
      <c r="BA101" s="436">
        <f t="shared" si="74"/>
        <v>1520.4451874999997</v>
      </c>
      <c r="BB101" s="436">
        <f t="shared" si="74"/>
        <v>1621.8081999999997</v>
      </c>
      <c r="BC101" s="436">
        <f t="shared" si="74"/>
        <v>1723.1712124999997</v>
      </c>
      <c r="BD101" s="436">
        <f t="shared" si="74"/>
        <v>1824.5342249999997</v>
      </c>
      <c r="BE101" s="436">
        <f t="shared" si="74"/>
        <v>1925.8972374999996</v>
      </c>
      <c r="BF101" s="436">
        <f t="shared" si="74"/>
        <v>2027.2602499999996</v>
      </c>
      <c r="BG101" s="436">
        <f t="shared" si="74"/>
        <v>2229.9862749999998</v>
      </c>
      <c r="BH101" s="436">
        <f t="shared" si="74"/>
        <v>2432.7122999999997</v>
      </c>
      <c r="BI101" s="436">
        <f t="shared" si="75"/>
        <v>2534.0753124999997</v>
      </c>
      <c r="BJ101" s="436">
        <f t="shared" si="75"/>
        <v>2635.4383249999996</v>
      </c>
      <c r="BK101" s="436">
        <f t="shared" si="75"/>
        <v>2838.1643499999996</v>
      </c>
      <c r="BL101" s="436">
        <f t="shared" si="75"/>
        <v>3040.8903749999995</v>
      </c>
      <c r="BM101" s="436">
        <f t="shared" si="75"/>
        <v>3243.6163999999994</v>
      </c>
      <c r="BN101" s="436">
        <f t="shared" si="75"/>
        <v>3446.3424249999994</v>
      </c>
      <c r="BO101" s="436">
        <f t="shared" si="75"/>
        <v>3547.7054374999993</v>
      </c>
      <c r="BP101" s="436">
        <f t="shared" si="75"/>
        <v>3649.0684499999993</v>
      </c>
      <c r="BQ101" s="436">
        <f t="shared" si="75"/>
        <v>3851.7944749999992</v>
      </c>
      <c r="BR101" s="436">
        <f t="shared" si="75"/>
        <v>4054.5204999999992</v>
      </c>
      <c r="BS101" s="436">
        <f t="shared" si="76"/>
        <v>4561.3355624999995</v>
      </c>
      <c r="BT101" s="436">
        <f t="shared" si="76"/>
        <v>5068.1506249999993</v>
      </c>
      <c r="BU101" s="436">
        <f t="shared" si="76"/>
        <v>5574.9656874999991</v>
      </c>
      <c r="BV101" s="436">
        <f t="shared" si="76"/>
        <v>6081.780749999999</v>
      </c>
      <c r="BW101" s="436">
        <f t="shared" si="76"/>
        <v>7095.4108749999987</v>
      </c>
      <c r="BX101" s="436">
        <f t="shared" si="76"/>
        <v>8109.0409999999983</v>
      </c>
      <c r="BY101" s="436">
        <f t="shared" si="76"/>
        <v>9122.6711249999989</v>
      </c>
      <c r="BZ101" s="436">
        <f t="shared" si="76"/>
        <v>10136.301249999999</v>
      </c>
      <c r="CA101" s="436">
        <f t="shared" si="76"/>
        <v>11149.931374999998</v>
      </c>
      <c r="CB101" s="436">
        <f t="shared" si="76"/>
        <v>12163.561499999998</v>
      </c>
      <c r="CC101" s="436">
        <f t="shared" si="76"/>
        <v>14190.821749999997</v>
      </c>
      <c r="CD101" s="436">
        <f t="shared" si="76"/>
        <v>16218.081999999997</v>
      </c>
      <c r="CE101" s="436">
        <f t="shared" si="76"/>
        <v>18245.342249999998</v>
      </c>
      <c r="CF101" s="436">
        <f t="shared" si="76"/>
        <v>20272.602499999997</v>
      </c>
      <c r="CG101" s="436" cm="1">
        <f t="array" ref="CG101">IF($M702=0, Vide, $M702)</f>
        <v>202.72602499999996</v>
      </c>
      <c r="CH101" s="435" t="s">
        <v>762</v>
      </c>
      <c r="CI101" s="435" t="s">
        <v>762</v>
      </c>
      <c r="CJ101" s="435" t="s">
        <v>762</v>
      </c>
      <c r="CK101" s="435" t="s">
        <v>762</v>
      </c>
      <c r="CL101" s="435" t="s">
        <v>762</v>
      </c>
    </row>
    <row r="102" spans="1:90" s="437" customFormat="1">
      <c r="A102" s="435" t="s">
        <v>610</v>
      </c>
      <c r="B102" s="435" t="s">
        <v>90</v>
      </c>
      <c r="C102" s="436" t="s">
        <v>762</v>
      </c>
      <c r="D102" s="436" t="s">
        <v>762</v>
      </c>
      <c r="E102" s="436" t="s">
        <v>762</v>
      </c>
      <c r="F102" s="436" t="s">
        <v>762</v>
      </c>
      <c r="G102" s="436" t="s">
        <v>762</v>
      </c>
      <c r="H102" s="436" t="s">
        <v>762</v>
      </c>
      <c r="I102" s="436" t="s">
        <v>762</v>
      </c>
      <c r="J102" s="436" t="s">
        <v>762</v>
      </c>
      <c r="K102" s="436" t="s">
        <v>762</v>
      </c>
      <c r="L102" s="436" t="s">
        <v>762</v>
      </c>
      <c r="M102" s="436" t="s">
        <v>762</v>
      </c>
      <c r="N102" s="436" t="s">
        <v>762</v>
      </c>
      <c r="O102" s="436" t="s">
        <v>762</v>
      </c>
      <c r="P102" s="436" t="s">
        <v>762</v>
      </c>
      <c r="Q102" s="436" t="s">
        <v>762</v>
      </c>
      <c r="R102" s="436" t="s">
        <v>762</v>
      </c>
      <c r="S102" s="436" t="s">
        <v>762</v>
      </c>
      <c r="T102" s="436" t="s">
        <v>762</v>
      </c>
      <c r="U102" s="436" t="s">
        <v>762</v>
      </c>
      <c r="V102" s="436" t="s">
        <v>762</v>
      </c>
      <c r="W102" s="436" t="s">
        <v>762</v>
      </c>
      <c r="X102" s="436" t="s">
        <v>762</v>
      </c>
      <c r="Y102" s="436" t="s">
        <v>762</v>
      </c>
      <c r="Z102" s="436" t="s">
        <v>762</v>
      </c>
      <c r="AA102" s="436" t="s">
        <v>762</v>
      </c>
      <c r="AB102" s="436" t="s">
        <v>762</v>
      </c>
      <c r="AC102" s="436" t="s">
        <v>762</v>
      </c>
      <c r="AD102" s="436" t="s">
        <v>762</v>
      </c>
      <c r="AE102" s="436" t="s">
        <v>762</v>
      </c>
      <c r="AF102" s="436" t="s">
        <v>762</v>
      </c>
      <c r="AG102" s="436" t="s">
        <v>762</v>
      </c>
      <c r="AH102" s="436" t="s">
        <v>762</v>
      </c>
      <c r="AI102" s="436" t="s">
        <v>762</v>
      </c>
      <c r="AJ102" s="436" t="s">
        <v>762</v>
      </c>
      <c r="AK102" s="436" t="s">
        <v>762</v>
      </c>
      <c r="AL102" s="436" t="s">
        <v>762</v>
      </c>
      <c r="AM102" s="436" t="s">
        <v>762</v>
      </c>
      <c r="AN102" s="436" t="s">
        <v>762</v>
      </c>
      <c r="AO102" s="436" t="s">
        <v>762</v>
      </c>
      <c r="AP102" s="436" t="s">
        <v>762</v>
      </c>
      <c r="AQ102" s="436" t="s">
        <v>762</v>
      </c>
      <c r="AR102" s="436" t="s">
        <v>762</v>
      </c>
      <c r="AS102" s="436" t="s">
        <v>762</v>
      </c>
      <c r="AT102" s="436" t="s">
        <v>762</v>
      </c>
      <c r="AU102" s="436" t="s">
        <v>762</v>
      </c>
      <c r="AV102" s="436" t="s">
        <v>762</v>
      </c>
      <c r="AW102" s="436" t="s">
        <v>762</v>
      </c>
      <c r="AX102" s="436" t="s">
        <v>762</v>
      </c>
      <c r="AY102" s="436" t="s">
        <v>762</v>
      </c>
      <c r="AZ102" s="436" t="s">
        <v>762</v>
      </c>
      <c r="BA102" s="436" t="s">
        <v>762</v>
      </c>
      <c r="BB102" s="436" t="s">
        <v>762</v>
      </c>
      <c r="BC102" s="436" t="s">
        <v>762</v>
      </c>
      <c r="BD102" s="436" t="s">
        <v>762</v>
      </c>
      <c r="BE102" s="436" t="s">
        <v>762</v>
      </c>
      <c r="BF102" s="436" t="s">
        <v>762</v>
      </c>
      <c r="BG102" s="436" t="s">
        <v>762</v>
      </c>
      <c r="BH102" s="436" t="s">
        <v>762</v>
      </c>
      <c r="BI102" s="436" t="s">
        <v>762</v>
      </c>
      <c r="BJ102" s="436" t="s">
        <v>762</v>
      </c>
      <c r="BK102" s="436" t="s">
        <v>762</v>
      </c>
      <c r="BL102" s="436" t="s">
        <v>762</v>
      </c>
      <c r="BM102" s="436" t="s">
        <v>762</v>
      </c>
      <c r="BN102" s="436" t="s">
        <v>762</v>
      </c>
      <c r="BO102" s="436" t="s">
        <v>762</v>
      </c>
      <c r="BP102" s="436" t="s">
        <v>762</v>
      </c>
      <c r="BQ102" s="436" t="s">
        <v>762</v>
      </c>
      <c r="BR102" s="436" t="s">
        <v>762</v>
      </c>
      <c r="BS102" s="436" t="s">
        <v>762</v>
      </c>
      <c r="BT102" s="436" t="s">
        <v>762</v>
      </c>
      <c r="BU102" s="436" t="s">
        <v>762</v>
      </c>
      <c r="BV102" s="436" t="s">
        <v>762</v>
      </c>
      <c r="BW102" s="436" t="s">
        <v>762</v>
      </c>
      <c r="BX102" s="436" t="s">
        <v>762</v>
      </c>
      <c r="BY102" s="436" t="s">
        <v>762</v>
      </c>
      <c r="BZ102" s="436" t="s">
        <v>762</v>
      </c>
      <c r="CA102" s="436" t="s">
        <v>762</v>
      </c>
      <c r="CB102" s="436" t="s">
        <v>762</v>
      </c>
      <c r="CC102" s="436" t="s">
        <v>762</v>
      </c>
      <c r="CD102" s="436" t="s">
        <v>762</v>
      </c>
      <c r="CE102" s="436" t="s">
        <v>762</v>
      </c>
      <c r="CF102" s="436" t="s">
        <v>762</v>
      </c>
      <c r="CG102" s="436" t="s">
        <v>762</v>
      </c>
      <c r="CH102" s="436" t="s">
        <v>762</v>
      </c>
      <c r="CI102" s="436" t="s">
        <v>762</v>
      </c>
      <c r="CJ102" s="436" t="s">
        <v>762</v>
      </c>
      <c r="CK102" s="436" t="s">
        <v>762</v>
      </c>
      <c r="CL102" s="436" t="s">
        <v>762</v>
      </c>
    </row>
    <row r="103" spans="1:90" s="437" customFormat="1">
      <c r="A103" s="435" t="s">
        <v>611</v>
      </c>
      <c r="B103" s="435" t="s">
        <v>90</v>
      </c>
      <c r="C103" s="436" cm="1">
        <f t="array" ref="C103">IF($B704=0, Vide, $B704)</f>
        <v>41.433924999999995</v>
      </c>
      <c r="D103" s="436" cm="1">
        <f t="array" ref="D103">IF($B704=0, Vide, $B704)</f>
        <v>41.433924999999995</v>
      </c>
      <c r="E103" s="436" cm="1">
        <f t="array" ref="E103">IF($B704=0, Vide, $B704)</f>
        <v>41.433924999999995</v>
      </c>
      <c r="F103" s="436" cm="1">
        <f t="array" ref="F103">IF($B704=0, Vide, $B704)</f>
        <v>41.433924999999995</v>
      </c>
      <c r="G103" s="436" cm="1">
        <f t="array" ref="G103">IF($B704=0, Vide, $B704)</f>
        <v>41.433924999999995</v>
      </c>
      <c r="H103" s="436" cm="1">
        <f t="array" ref="H103">IF($C704=0, Vide, $C704)</f>
        <v>48.879599999999996</v>
      </c>
      <c r="I103" s="436" cm="1">
        <f t="array" ref="I103">IF($C704=0, Vide, $C704)</f>
        <v>48.879599999999996</v>
      </c>
      <c r="J103" s="436" cm="1">
        <f t="array" ref="J103">IF($C704=0, Vide, $C704)</f>
        <v>48.879599999999996</v>
      </c>
      <c r="K103" s="436" cm="1">
        <f t="array" ref="K103">IF($C704=0, Vide, $C704)</f>
        <v>48.879599999999996</v>
      </c>
      <c r="L103" s="436" cm="1">
        <f t="array" ref="L103">IF($C704=0, Vide, $C704)</f>
        <v>48.879599999999996</v>
      </c>
      <c r="M103" s="436" t="s">
        <v>762</v>
      </c>
      <c r="N103" s="436" t="s">
        <v>762</v>
      </c>
      <c r="O103" s="436" t="s">
        <v>762</v>
      </c>
      <c r="P103" s="436" t="s">
        <v>762</v>
      </c>
      <c r="Q103" s="436" t="s">
        <v>762</v>
      </c>
      <c r="R103" s="436" t="s">
        <v>762</v>
      </c>
      <c r="S103" s="436" t="s">
        <v>762</v>
      </c>
      <c r="T103" s="436" t="s">
        <v>762</v>
      </c>
      <c r="U103" s="436" t="s">
        <v>762</v>
      </c>
      <c r="V103" s="436" cm="1">
        <f t="array" ref="V103">IF($D704=0, Vide, $D704)</f>
        <v>65.146349999999984</v>
      </c>
      <c r="W103" s="436" cm="1">
        <f t="array" ref="W103">IF($E704=0, Vide, $E704)</f>
        <v>78.159750000000003</v>
      </c>
      <c r="X103" s="436" cm="1">
        <f t="array" ref="X103">IF($F704=0, Vide, $F704)</f>
        <v>94.439724999999967</v>
      </c>
      <c r="Y103" s="436" cm="1">
        <f t="array" ref="Y103">IF($G704=0, Vide, $G704)</f>
        <v>110.75937499999998</v>
      </c>
      <c r="Z103" s="436" cm="1">
        <f t="array" ref="Z103">IF($H704=0, Vide, $H704)</f>
        <v>127.31707499999997</v>
      </c>
      <c r="AA103" s="436" cm="1">
        <f t="array" ref="AA103">IF($I704=0, Vide, $I704)</f>
        <v>144.43022499999998</v>
      </c>
      <c r="AB103" s="436" cm="1">
        <f t="array" ref="AB103">IF($J704=0, Vide, $J704)</f>
        <v>161.86077499999996</v>
      </c>
      <c r="AC103" s="436" cm="1">
        <f t="array" ref="AC103">IF($K704=0, Vide, $K704)</f>
        <v>179.29132499999997</v>
      </c>
      <c r="AD103" s="436" cm="1">
        <f t="array" ref="AD103">IF($L704=0, Vide, $L704)</f>
        <v>202.72602499999996</v>
      </c>
      <c r="AE103" s="436">
        <f t="shared" ref="AE103:AN104" si="77">(AE$1/100)*$CG103</f>
        <v>222.99862749999997</v>
      </c>
      <c r="AF103" s="436">
        <f t="shared" si="77"/>
        <v>253.40753124999995</v>
      </c>
      <c r="AG103" s="436">
        <f t="shared" si="77"/>
        <v>304.08903749999996</v>
      </c>
      <c r="AH103" s="436">
        <f t="shared" si="77"/>
        <v>354.77054374999994</v>
      </c>
      <c r="AI103" s="436">
        <f t="shared" si="77"/>
        <v>407.47931024999991</v>
      </c>
      <c r="AJ103" s="436">
        <f t="shared" si="77"/>
        <v>456.13355624999991</v>
      </c>
      <c r="AK103" s="436">
        <f t="shared" si="77"/>
        <v>506.8150624999999</v>
      </c>
      <c r="AL103" s="436">
        <f t="shared" si="77"/>
        <v>610.20533524999985</v>
      </c>
      <c r="AM103" s="436">
        <f t="shared" si="77"/>
        <v>658.85958124999991</v>
      </c>
      <c r="AN103" s="436">
        <f t="shared" si="77"/>
        <v>709.54108749999989</v>
      </c>
      <c r="AO103" s="436">
        <f t="shared" ref="AO103:AX104" si="78">(AO$1/100)*$CG103</f>
        <v>760.22259374999987</v>
      </c>
      <c r="AP103" s="436">
        <f t="shared" si="78"/>
        <v>812.93136024999978</v>
      </c>
      <c r="AQ103" s="436">
        <f t="shared" si="78"/>
        <v>861.58560624999984</v>
      </c>
      <c r="AR103" s="436">
        <f t="shared" si="78"/>
        <v>912.26711249999983</v>
      </c>
      <c r="AS103" s="436">
        <f t="shared" si="78"/>
        <v>962.94861874999981</v>
      </c>
      <c r="AT103" s="436">
        <f t="shared" si="78"/>
        <v>1013.6301249999998</v>
      </c>
      <c r="AU103" s="436">
        <f t="shared" si="78"/>
        <v>1064.3116312499999</v>
      </c>
      <c r="AV103" s="436">
        <f t="shared" si="78"/>
        <v>1114.9931374999999</v>
      </c>
      <c r="AW103" s="436">
        <f t="shared" si="78"/>
        <v>1165.6746437499999</v>
      </c>
      <c r="AX103" s="436">
        <f t="shared" si="78"/>
        <v>1216.3561499999998</v>
      </c>
      <c r="AY103" s="436">
        <f t="shared" ref="AY103:BH104" si="79">(AY$1/100)*$CG103</f>
        <v>1317.7191624999998</v>
      </c>
      <c r="AZ103" s="436">
        <f t="shared" si="79"/>
        <v>1419.0821749999998</v>
      </c>
      <c r="BA103" s="436">
        <f t="shared" si="79"/>
        <v>1520.4451874999997</v>
      </c>
      <c r="BB103" s="436">
        <f t="shared" si="79"/>
        <v>1621.8081999999997</v>
      </c>
      <c r="BC103" s="436">
        <f t="shared" si="79"/>
        <v>1723.1712124999997</v>
      </c>
      <c r="BD103" s="436">
        <f t="shared" si="79"/>
        <v>1824.5342249999997</v>
      </c>
      <c r="BE103" s="436">
        <f t="shared" si="79"/>
        <v>1925.8972374999996</v>
      </c>
      <c r="BF103" s="436">
        <f t="shared" si="79"/>
        <v>2027.2602499999996</v>
      </c>
      <c r="BG103" s="436">
        <f t="shared" si="79"/>
        <v>2229.9862749999998</v>
      </c>
      <c r="BH103" s="436">
        <f t="shared" si="79"/>
        <v>2432.7122999999997</v>
      </c>
      <c r="BI103" s="436">
        <f t="shared" ref="BI103:BR104" si="80">(BI$1/100)*$CG103</f>
        <v>2534.0753124999997</v>
      </c>
      <c r="BJ103" s="436">
        <f t="shared" si="80"/>
        <v>2635.4383249999996</v>
      </c>
      <c r="BK103" s="436">
        <f t="shared" si="80"/>
        <v>2838.1643499999996</v>
      </c>
      <c r="BL103" s="436">
        <f t="shared" si="80"/>
        <v>3040.8903749999995</v>
      </c>
      <c r="BM103" s="436">
        <f t="shared" si="80"/>
        <v>3243.6163999999994</v>
      </c>
      <c r="BN103" s="436">
        <f t="shared" si="80"/>
        <v>3446.3424249999994</v>
      </c>
      <c r="BO103" s="436">
        <f t="shared" si="80"/>
        <v>3547.7054374999993</v>
      </c>
      <c r="BP103" s="436">
        <f t="shared" si="80"/>
        <v>3649.0684499999993</v>
      </c>
      <c r="BQ103" s="436">
        <f t="shared" si="80"/>
        <v>3851.7944749999992</v>
      </c>
      <c r="BR103" s="436">
        <f t="shared" si="80"/>
        <v>4054.5204999999992</v>
      </c>
      <c r="BS103" s="436">
        <f t="shared" ref="BS103:CF104" si="81">(BS$1/100)*$CG103</f>
        <v>4561.3355624999995</v>
      </c>
      <c r="BT103" s="436">
        <f t="shared" si="81"/>
        <v>5068.1506249999993</v>
      </c>
      <c r="BU103" s="436">
        <f t="shared" si="81"/>
        <v>5574.9656874999991</v>
      </c>
      <c r="BV103" s="436">
        <f t="shared" si="81"/>
        <v>6081.780749999999</v>
      </c>
      <c r="BW103" s="436">
        <f t="shared" si="81"/>
        <v>7095.4108749999987</v>
      </c>
      <c r="BX103" s="436">
        <f t="shared" si="81"/>
        <v>8109.0409999999983</v>
      </c>
      <c r="BY103" s="436">
        <f t="shared" si="81"/>
        <v>9122.6711249999989</v>
      </c>
      <c r="BZ103" s="436">
        <f t="shared" si="81"/>
        <v>10136.301249999999</v>
      </c>
      <c r="CA103" s="436">
        <f t="shared" si="81"/>
        <v>11149.931374999998</v>
      </c>
      <c r="CB103" s="436">
        <f t="shared" si="81"/>
        <v>12163.561499999998</v>
      </c>
      <c r="CC103" s="436">
        <f t="shared" si="81"/>
        <v>14190.821749999997</v>
      </c>
      <c r="CD103" s="436">
        <f t="shared" si="81"/>
        <v>16218.081999999997</v>
      </c>
      <c r="CE103" s="436">
        <f t="shared" si="81"/>
        <v>18245.342249999998</v>
      </c>
      <c r="CF103" s="436">
        <f t="shared" si="81"/>
        <v>20272.602499999997</v>
      </c>
      <c r="CG103" s="436" cm="1">
        <f t="array" ref="CG103">IF($M704=0, Vide, $M704)</f>
        <v>202.72602499999996</v>
      </c>
      <c r="CH103" s="435" t="s">
        <v>762</v>
      </c>
      <c r="CI103" s="435" t="s">
        <v>762</v>
      </c>
      <c r="CJ103" s="435" t="s">
        <v>762</v>
      </c>
      <c r="CK103" s="435" t="s">
        <v>762</v>
      </c>
      <c r="CL103" s="435" t="s">
        <v>762</v>
      </c>
    </row>
    <row r="104" spans="1:90" s="437" customFormat="1">
      <c r="A104" s="435" t="s">
        <v>612</v>
      </c>
      <c r="B104" s="435" t="s">
        <v>90</v>
      </c>
      <c r="C104" s="436" cm="1">
        <f t="array" ref="C104">IF($B705=0, Vide, $B705)</f>
        <v>34.239524999999993</v>
      </c>
      <c r="D104" s="436" cm="1">
        <f t="array" ref="D104">IF($B705=0, Vide, $B705)</f>
        <v>34.239524999999993</v>
      </c>
      <c r="E104" s="436" cm="1">
        <f t="array" ref="E104">IF($B705=0, Vide, $B705)</f>
        <v>34.239524999999993</v>
      </c>
      <c r="F104" s="436" cm="1">
        <f t="array" ref="F104">IF($B705=0, Vide, $B705)</f>
        <v>34.239524999999993</v>
      </c>
      <c r="G104" s="436" cm="1">
        <f t="array" ref="G104">IF($B705=0, Vide, $B705)</f>
        <v>34.239524999999993</v>
      </c>
      <c r="H104" s="436" cm="1">
        <f t="array" ref="H104">IF($C705=0, Vide, $C705)</f>
        <v>36.500999999999998</v>
      </c>
      <c r="I104" s="436" cm="1">
        <f t="array" ref="I104">IF($C705=0, Vide, $C705)</f>
        <v>36.500999999999998</v>
      </c>
      <c r="J104" s="436" cm="1">
        <f t="array" ref="J104">IF($C705=0, Vide, $C705)</f>
        <v>36.500999999999998</v>
      </c>
      <c r="K104" s="436" cm="1">
        <f t="array" ref="K104">IF($C705=0, Vide, $C705)</f>
        <v>36.500999999999998</v>
      </c>
      <c r="L104" s="436" cm="1">
        <f t="array" ref="L104">IF($C705=0, Vide, $C705)</f>
        <v>36.500999999999998</v>
      </c>
      <c r="M104" s="436" t="s">
        <v>762</v>
      </c>
      <c r="N104" s="436" t="s">
        <v>762</v>
      </c>
      <c r="O104" s="436" t="s">
        <v>762</v>
      </c>
      <c r="P104" s="436" t="s">
        <v>762</v>
      </c>
      <c r="Q104" s="436" t="s">
        <v>762</v>
      </c>
      <c r="R104" s="436" t="s">
        <v>762</v>
      </c>
      <c r="S104" s="436" t="s">
        <v>762</v>
      </c>
      <c r="T104" s="436" t="s">
        <v>762</v>
      </c>
      <c r="U104" s="436" t="s">
        <v>762</v>
      </c>
      <c r="V104" s="436" cm="1">
        <f t="array" ref="V104">IF($D705=0, Vide, $D705)</f>
        <v>40.534624999999991</v>
      </c>
      <c r="W104" s="436" cm="1">
        <f t="array" ref="W104">IF($E705=0, Vide, $E705)</f>
        <v>44.303749999999994</v>
      </c>
      <c r="X104" s="436" cm="1">
        <f t="array" ref="X104">IF($F705=0, Vide, $F705)</f>
        <v>48.601874999999993</v>
      </c>
      <c r="Y104" s="436" cm="1">
        <f t="array" ref="Y104">IF($G705=0, Vide, $G705)</f>
        <v>52.860324999999996</v>
      </c>
      <c r="Z104" s="436" cm="1">
        <f t="array" ref="Z104">IF($H705=0, Vide, $H705)</f>
        <v>57.211349999999989</v>
      </c>
      <c r="AA104" s="436" cm="1">
        <f t="array" ref="AA104">IF($I705=0, Vide, $I705)</f>
        <v>61.535924999999992</v>
      </c>
      <c r="AB104" s="436" cm="1">
        <f t="array" ref="AB104">IF($J705=0, Vide, $J705)</f>
        <v>68.426149999999993</v>
      </c>
      <c r="AC104" s="436" cm="1">
        <f t="array" ref="AC104">IF($K705=0, Vide, $K705)</f>
        <v>75.012199999999993</v>
      </c>
      <c r="AD104" s="436" cm="1">
        <f t="array" ref="AD104">IF($L705=0, Vide, $L705)</f>
        <v>79.349999999999994</v>
      </c>
      <c r="AE104" s="436">
        <f t="shared" si="77"/>
        <v>87.284999999999997</v>
      </c>
      <c r="AF104" s="436">
        <f t="shared" si="77"/>
        <v>99.1875</v>
      </c>
      <c r="AG104" s="436">
        <f t="shared" si="77"/>
        <v>119.02499999999999</v>
      </c>
      <c r="AH104" s="436">
        <f t="shared" si="77"/>
        <v>138.86249999999998</v>
      </c>
      <c r="AI104" s="436">
        <f t="shared" si="77"/>
        <v>159.49349999999998</v>
      </c>
      <c r="AJ104" s="436">
        <f t="shared" si="77"/>
        <v>178.53749999999999</v>
      </c>
      <c r="AK104" s="436">
        <f t="shared" si="77"/>
        <v>198.375</v>
      </c>
      <c r="AL104" s="436">
        <f t="shared" si="77"/>
        <v>238.84349999999998</v>
      </c>
      <c r="AM104" s="436">
        <f t="shared" si="77"/>
        <v>257.88749999999999</v>
      </c>
      <c r="AN104" s="436">
        <f t="shared" si="77"/>
        <v>277.72499999999997</v>
      </c>
      <c r="AO104" s="436">
        <f t="shared" si="78"/>
        <v>297.5625</v>
      </c>
      <c r="AP104" s="436">
        <f t="shared" si="78"/>
        <v>318.19349999999997</v>
      </c>
      <c r="AQ104" s="436">
        <f t="shared" si="78"/>
        <v>337.23749999999995</v>
      </c>
      <c r="AR104" s="436">
        <f t="shared" si="78"/>
        <v>357.07499999999999</v>
      </c>
      <c r="AS104" s="436">
        <f t="shared" si="78"/>
        <v>376.91249999999997</v>
      </c>
      <c r="AT104" s="436">
        <f t="shared" si="78"/>
        <v>396.75</v>
      </c>
      <c r="AU104" s="436">
        <f t="shared" si="78"/>
        <v>416.58749999999998</v>
      </c>
      <c r="AV104" s="436">
        <f t="shared" si="78"/>
        <v>436.42499999999995</v>
      </c>
      <c r="AW104" s="436">
        <f t="shared" si="78"/>
        <v>456.26249999999999</v>
      </c>
      <c r="AX104" s="436">
        <f t="shared" si="78"/>
        <v>476.09999999999997</v>
      </c>
      <c r="AY104" s="436">
        <f t="shared" si="79"/>
        <v>515.77499999999998</v>
      </c>
      <c r="AZ104" s="436">
        <f t="shared" si="79"/>
        <v>555.44999999999993</v>
      </c>
      <c r="BA104" s="436">
        <f t="shared" si="79"/>
        <v>595.125</v>
      </c>
      <c r="BB104" s="436">
        <f t="shared" si="79"/>
        <v>634.79999999999995</v>
      </c>
      <c r="BC104" s="436">
        <f t="shared" si="79"/>
        <v>674.47499999999991</v>
      </c>
      <c r="BD104" s="436">
        <f t="shared" si="79"/>
        <v>714.15</v>
      </c>
      <c r="BE104" s="436">
        <f t="shared" si="79"/>
        <v>753.82499999999993</v>
      </c>
      <c r="BF104" s="436">
        <f t="shared" si="79"/>
        <v>793.5</v>
      </c>
      <c r="BG104" s="436">
        <f t="shared" si="79"/>
        <v>872.84999999999991</v>
      </c>
      <c r="BH104" s="436">
        <f t="shared" si="79"/>
        <v>952.19999999999993</v>
      </c>
      <c r="BI104" s="436">
        <f t="shared" si="80"/>
        <v>991.87499999999989</v>
      </c>
      <c r="BJ104" s="436">
        <f t="shared" si="80"/>
        <v>1031.55</v>
      </c>
      <c r="BK104" s="436">
        <f t="shared" si="80"/>
        <v>1110.8999999999999</v>
      </c>
      <c r="BL104" s="436">
        <f t="shared" si="80"/>
        <v>1190.25</v>
      </c>
      <c r="BM104" s="436">
        <f t="shared" si="80"/>
        <v>1269.5999999999999</v>
      </c>
      <c r="BN104" s="436">
        <f t="shared" si="80"/>
        <v>1348.9499999999998</v>
      </c>
      <c r="BO104" s="436">
        <f t="shared" si="80"/>
        <v>1388.625</v>
      </c>
      <c r="BP104" s="436">
        <f t="shared" si="80"/>
        <v>1428.3</v>
      </c>
      <c r="BQ104" s="436">
        <f t="shared" si="80"/>
        <v>1507.6499999999999</v>
      </c>
      <c r="BR104" s="436">
        <f t="shared" si="80"/>
        <v>1587</v>
      </c>
      <c r="BS104" s="436">
        <f t="shared" si="81"/>
        <v>1785.3749999999998</v>
      </c>
      <c r="BT104" s="436">
        <f t="shared" si="81"/>
        <v>1983.7499999999998</v>
      </c>
      <c r="BU104" s="436">
        <f t="shared" si="81"/>
        <v>2182.125</v>
      </c>
      <c r="BV104" s="436">
        <f t="shared" si="81"/>
        <v>2380.5</v>
      </c>
      <c r="BW104" s="436">
        <f t="shared" si="81"/>
        <v>2777.25</v>
      </c>
      <c r="BX104" s="436">
        <f t="shared" si="81"/>
        <v>3174</v>
      </c>
      <c r="BY104" s="436">
        <f t="shared" si="81"/>
        <v>3570.7499999999995</v>
      </c>
      <c r="BZ104" s="436">
        <f t="shared" si="81"/>
        <v>3967.4999999999995</v>
      </c>
      <c r="CA104" s="436">
        <f t="shared" si="81"/>
        <v>4364.25</v>
      </c>
      <c r="CB104" s="436">
        <f t="shared" si="81"/>
        <v>4761</v>
      </c>
      <c r="CC104" s="436">
        <f t="shared" si="81"/>
        <v>5554.5</v>
      </c>
      <c r="CD104" s="436">
        <f t="shared" si="81"/>
        <v>6348</v>
      </c>
      <c r="CE104" s="436">
        <f t="shared" si="81"/>
        <v>7141.4999999999991</v>
      </c>
      <c r="CF104" s="436">
        <f t="shared" si="81"/>
        <v>7934.9999999999991</v>
      </c>
      <c r="CG104" s="436" cm="1">
        <f t="array" ref="CG104">IF($M705=0, Vide, $M705)</f>
        <v>79.349999999999994</v>
      </c>
      <c r="CH104" s="435" t="s">
        <v>762</v>
      </c>
      <c r="CI104" s="435" t="s">
        <v>762</v>
      </c>
      <c r="CJ104" s="435" t="s">
        <v>762</v>
      </c>
      <c r="CK104" s="435" t="s">
        <v>762</v>
      </c>
      <c r="CL104" s="435" t="s">
        <v>762</v>
      </c>
    </row>
    <row r="105" spans="1:90" s="437" customFormat="1">
      <c r="A105" s="435" t="s">
        <v>613</v>
      </c>
      <c r="B105" s="435" t="s">
        <v>90</v>
      </c>
      <c r="C105" s="436" t="s">
        <v>762</v>
      </c>
      <c r="D105" s="436" t="s">
        <v>762</v>
      </c>
      <c r="E105" s="436" t="s">
        <v>762</v>
      </c>
      <c r="F105" s="436" t="s">
        <v>762</v>
      </c>
      <c r="G105" s="436" t="s">
        <v>762</v>
      </c>
      <c r="H105" s="436" t="s">
        <v>762</v>
      </c>
      <c r="I105" s="436" t="s">
        <v>762</v>
      </c>
      <c r="J105" s="436" t="s">
        <v>762</v>
      </c>
      <c r="K105" s="436" t="s">
        <v>762</v>
      </c>
      <c r="L105" s="436" t="s">
        <v>762</v>
      </c>
      <c r="M105" s="436" t="s">
        <v>762</v>
      </c>
      <c r="N105" s="436" t="s">
        <v>762</v>
      </c>
      <c r="O105" s="436" t="s">
        <v>762</v>
      </c>
      <c r="P105" s="436" t="s">
        <v>762</v>
      </c>
      <c r="Q105" s="436" t="s">
        <v>762</v>
      </c>
      <c r="R105" s="436" t="s">
        <v>762</v>
      </c>
      <c r="S105" s="436" t="s">
        <v>762</v>
      </c>
      <c r="T105" s="436" t="s">
        <v>762</v>
      </c>
      <c r="U105" s="436" t="s">
        <v>762</v>
      </c>
      <c r="V105" s="436" t="s">
        <v>762</v>
      </c>
      <c r="W105" s="436" t="s">
        <v>762</v>
      </c>
      <c r="X105" s="436" t="s">
        <v>762</v>
      </c>
      <c r="Y105" s="436" t="s">
        <v>762</v>
      </c>
      <c r="Z105" s="436" t="s">
        <v>762</v>
      </c>
      <c r="AA105" s="436" t="s">
        <v>762</v>
      </c>
      <c r="AB105" s="436" t="s">
        <v>762</v>
      </c>
      <c r="AC105" s="436" t="s">
        <v>762</v>
      </c>
      <c r="AD105" s="436" t="s">
        <v>762</v>
      </c>
      <c r="AE105" s="436" t="s">
        <v>762</v>
      </c>
      <c r="AF105" s="436" t="s">
        <v>762</v>
      </c>
      <c r="AG105" s="436" t="s">
        <v>762</v>
      </c>
      <c r="AH105" s="436" t="s">
        <v>762</v>
      </c>
      <c r="AI105" s="436" t="s">
        <v>762</v>
      </c>
      <c r="AJ105" s="436" t="s">
        <v>762</v>
      </c>
      <c r="AK105" s="436" t="s">
        <v>762</v>
      </c>
      <c r="AL105" s="436" t="s">
        <v>762</v>
      </c>
      <c r="AM105" s="436" t="s">
        <v>762</v>
      </c>
      <c r="AN105" s="436" t="s">
        <v>762</v>
      </c>
      <c r="AO105" s="436" t="s">
        <v>762</v>
      </c>
      <c r="AP105" s="436" t="s">
        <v>762</v>
      </c>
      <c r="AQ105" s="436" t="s">
        <v>762</v>
      </c>
      <c r="AR105" s="436" t="s">
        <v>762</v>
      </c>
      <c r="AS105" s="436" t="s">
        <v>762</v>
      </c>
      <c r="AT105" s="436" t="s">
        <v>762</v>
      </c>
      <c r="AU105" s="436" t="s">
        <v>762</v>
      </c>
      <c r="AV105" s="436" t="s">
        <v>762</v>
      </c>
      <c r="AW105" s="436" t="s">
        <v>762</v>
      </c>
      <c r="AX105" s="436" t="s">
        <v>762</v>
      </c>
      <c r="AY105" s="436" t="s">
        <v>762</v>
      </c>
      <c r="AZ105" s="436" t="s">
        <v>762</v>
      </c>
      <c r="BA105" s="436" t="s">
        <v>762</v>
      </c>
      <c r="BB105" s="436" t="s">
        <v>762</v>
      </c>
      <c r="BC105" s="436" t="s">
        <v>762</v>
      </c>
      <c r="BD105" s="436" t="s">
        <v>762</v>
      </c>
      <c r="BE105" s="436" t="s">
        <v>762</v>
      </c>
      <c r="BF105" s="436" t="s">
        <v>762</v>
      </c>
      <c r="BG105" s="436" t="s">
        <v>762</v>
      </c>
      <c r="BH105" s="436" t="s">
        <v>762</v>
      </c>
      <c r="BI105" s="436" t="s">
        <v>762</v>
      </c>
      <c r="BJ105" s="436" t="s">
        <v>762</v>
      </c>
      <c r="BK105" s="436" t="s">
        <v>762</v>
      </c>
      <c r="BL105" s="436" t="s">
        <v>762</v>
      </c>
      <c r="BM105" s="436" t="s">
        <v>762</v>
      </c>
      <c r="BN105" s="436" t="s">
        <v>762</v>
      </c>
      <c r="BO105" s="436" t="s">
        <v>762</v>
      </c>
      <c r="BP105" s="436" t="s">
        <v>762</v>
      </c>
      <c r="BQ105" s="436" t="s">
        <v>762</v>
      </c>
      <c r="BR105" s="436" t="s">
        <v>762</v>
      </c>
      <c r="BS105" s="436" t="s">
        <v>762</v>
      </c>
      <c r="BT105" s="436" t="s">
        <v>762</v>
      </c>
      <c r="BU105" s="436" t="s">
        <v>762</v>
      </c>
      <c r="BV105" s="436" t="s">
        <v>762</v>
      </c>
      <c r="BW105" s="436" t="s">
        <v>762</v>
      </c>
      <c r="BX105" s="436" t="s">
        <v>762</v>
      </c>
      <c r="BY105" s="436" t="s">
        <v>762</v>
      </c>
      <c r="BZ105" s="436" t="s">
        <v>762</v>
      </c>
      <c r="CA105" s="436" t="s">
        <v>762</v>
      </c>
      <c r="CB105" s="436" t="s">
        <v>762</v>
      </c>
      <c r="CC105" s="436" t="s">
        <v>762</v>
      </c>
      <c r="CD105" s="436" t="s">
        <v>762</v>
      </c>
      <c r="CE105" s="436" t="s">
        <v>762</v>
      </c>
      <c r="CF105" s="436" t="s">
        <v>762</v>
      </c>
      <c r="CG105" s="436" t="s">
        <v>762</v>
      </c>
      <c r="CH105" s="436" t="s">
        <v>762</v>
      </c>
      <c r="CI105" s="436" t="s">
        <v>762</v>
      </c>
      <c r="CJ105" s="436" t="s">
        <v>762</v>
      </c>
      <c r="CK105" s="436" t="s">
        <v>762</v>
      </c>
      <c r="CL105" s="436" t="s">
        <v>762</v>
      </c>
    </row>
    <row r="106" spans="1:90" s="437" customFormat="1">
      <c r="A106" s="435" t="s">
        <v>614</v>
      </c>
      <c r="B106" s="435" t="s">
        <v>90</v>
      </c>
      <c r="C106" s="436" cm="1">
        <f t="array" ref="C106">IF($B707=0, Vide, $B707)</f>
        <v>40.203999999999986</v>
      </c>
      <c r="D106" s="436" cm="1">
        <f t="array" ref="D106">IF($B707=0, Vide, $B707)</f>
        <v>40.203999999999986</v>
      </c>
      <c r="E106" s="436" cm="1">
        <f t="array" ref="E106">IF($B707=0, Vide, $B707)</f>
        <v>40.203999999999986</v>
      </c>
      <c r="F106" s="436" cm="1">
        <f t="array" ref="F106">IF($B707=0, Vide, $B707)</f>
        <v>40.203999999999986</v>
      </c>
      <c r="G106" s="436" cm="1">
        <f t="array" ref="G106">IF($B707=0, Vide, $B707)</f>
        <v>40.203999999999986</v>
      </c>
      <c r="H106" s="436" cm="1">
        <f t="array" ref="H106">IF($C707=0, Vide, $C707)</f>
        <v>47.477749999999993</v>
      </c>
      <c r="I106" s="436" cm="1">
        <f t="array" ref="I106">IF($C707=0, Vide, $C707)</f>
        <v>47.477749999999993</v>
      </c>
      <c r="J106" s="436" cm="1">
        <f t="array" ref="J106">IF($C707=0, Vide, $C707)</f>
        <v>47.477749999999993</v>
      </c>
      <c r="K106" s="436" cm="1">
        <f t="array" ref="K106">IF($C707=0, Vide, $C707)</f>
        <v>47.477749999999993</v>
      </c>
      <c r="L106" s="436" cm="1">
        <f t="array" ref="L106">IF($C707=0, Vide, $C707)</f>
        <v>47.477749999999993</v>
      </c>
      <c r="M106" s="436" t="s">
        <v>762</v>
      </c>
      <c r="N106" s="436" t="s">
        <v>762</v>
      </c>
      <c r="O106" s="436" t="s">
        <v>762</v>
      </c>
      <c r="P106" s="436" t="s">
        <v>762</v>
      </c>
      <c r="Q106" s="436" t="s">
        <v>762</v>
      </c>
      <c r="R106" s="436" t="s">
        <v>762</v>
      </c>
      <c r="S106" s="436" t="s">
        <v>762</v>
      </c>
      <c r="T106" s="436" t="s">
        <v>762</v>
      </c>
      <c r="U106" s="436" t="s">
        <v>762</v>
      </c>
      <c r="V106" s="436" cm="1">
        <f t="array" ref="V106">IF($D707=0, Vide, $D707)</f>
        <v>63.215499999999984</v>
      </c>
      <c r="W106" s="436" cm="1">
        <f t="array" ref="W106">IF($E707=0, Vide, $E707)</f>
        <v>75.871824999999987</v>
      </c>
      <c r="X106" s="436" cm="1">
        <f t="array" ref="X106">IF($F707=0, Vide, $F707)</f>
        <v>91.71537499999998</v>
      </c>
      <c r="Y106" s="436" cm="1">
        <f t="array" ref="Y106">IF($G707=0, Vide, $G707)</f>
        <v>107.50602499999999</v>
      </c>
      <c r="Z106" s="436" cm="1">
        <f t="array" ref="Z106">IF($H707=0, Vide, $H707)</f>
        <v>123.56117499999999</v>
      </c>
      <c r="AA106" s="436" cm="1">
        <f t="array" ref="AA106">IF($I707=0, Vide, $I707)</f>
        <v>140.2379</v>
      </c>
      <c r="AB106" s="436" cm="1">
        <f t="array" ref="AB106">IF($J707=0, Vide, $J707)</f>
        <v>157.16589999999999</v>
      </c>
      <c r="AC106" s="436" cm="1">
        <f t="array" ref="AC106">IF($K707=0, Vide, $K707)</f>
        <v>174.12034999999997</v>
      </c>
      <c r="AD106" s="436" cm="1">
        <f t="array" ref="AD106">IF($L707=0, Vide, $L707)</f>
        <v>196.81444999999997</v>
      </c>
      <c r="AE106" s="436">
        <f t="shared" ref="AE106:AN115" si="82">(AE$1/100)*$CG106</f>
        <v>216.49589499999999</v>
      </c>
      <c r="AF106" s="436">
        <f t="shared" si="82"/>
        <v>246.01806249999996</v>
      </c>
      <c r="AG106" s="436">
        <f t="shared" si="82"/>
        <v>295.22167499999995</v>
      </c>
      <c r="AH106" s="436">
        <f t="shared" si="82"/>
        <v>344.42528749999997</v>
      </c>
      <c r="AI106" s="436">
        <f t="shared" si="82"/>
        <v>395.59704449999987</v>
      </c>
      <c r="AJ106" s="436">
        <f t="shared" si="82"/>
        <v>442.83251249999989</v>
      </c>
      <c r="AK106" s="436">
        <f t="shared" si="82"/>
        <v>492.03612499999991</v>
      </c>
      <c r="AL106" s="436">
        <f t="shared" si="82"/>
        <v>592.41149449999989</v>
      </c>
      <c r="AM106" s="436">
        <f t="shared" si="82"/>
        <v>639.64696249999986</v>
      </c>
      <c r="AN106" s="436">
        <f t="shared" si="82"/>
        <v>688.85057499999994</v>
      </c>
      <c r="AO106" s="436">
        <f t="shared" ref="AO106:AX115" si="83">(AO$1/100)*$CG106</f>
        <v>738.0541874999999</v>
      </c>
      <c r="AP106" s="436">
        <f t="shared" si="83"/>
        <v>789.22594449999985</v>
      </c>
      <c r="AQ106" s="436">
        <f t="shared" si="83"/>
        <v>836.46141249999982</v>
      </c>
      <c r="AR106" s="436">
        <f t="shared" si="83"/>
        <v>885.66502499999979</v>
      </c>
      <c r="AS106" s="436">
        <f t="shared" si="83"/>
        <v>934.86863749999986</v>
      </c>
      <c r="AT106" s="436">
        <f t="shared" si="83"/>
        <v>984.07224999999983</v>
      </c>
      <c r="AU106" s="436">
        <f t="shared" si="83"/>
        <v>1033.2758624999999</v>
      </c>
      <c r="AV106" s="436">
        <f t="shared" si="83"/>
        <v>1082.4794749999999</v>
      </c>
      <c r="AW106" s="436">
        <f t="shared" si="83"/>
        <v>1131.6830874999998</v>
      </c>
      <c r="AX106" s="436">
        <f t="shared" si="83"/>
        <v>1180.8866999999998</v>
      </c>
      <c r="AY106" s="436">
        <f t="shared" ref="AY106:BH115" si="84">(AY$1/100)*$CG106</f>
        <v>1279.2939249999997</v>
      </c>
      <c r="AZ106" s="436">
        <f t="shared" si="84"/>
        <v>1377.7011499999999</v>
      </c>
      <c r="BA106" s="436">
        <f t="shared" si="84"/>
        <v>1476.1083749999998</v>
      </c>
      <c r="BB106" s="436">
        <f t="shared" si="84"/>
        <v>1574.5155999999997</v>
      </c>
      <c r="BC106" s="436">
        <f t="shared" si="84"/>
        <v>1672.9228249999996</v>
      </c>
      <c r="BD106" s="436">
        <f t="shared" si="84"/>
        <v>1771.3300499999996</v>
      </c>
      <c r="BE106" s="436">
        <f t="shared" si="84"/>
        <v>1869.7372749999997</v>
      </c>
      <c r="BF106" s="436">
        <f t="shared" si="84"/>
        <v>1968.1444999999997</v>
      </c>
      <c r="BG106" s="436">
        <f t="shared" si="84"/>
        <v>2164.9589499999997</v>
      </c>
      <c r="BH106" s="436">
        <f t="shared" si="84"/>
        <v>2361.7733999999996</v>
      </c>
      <c r="BI106" s="436">
        <f t="shared" ref="BI106:BR115" si="85">(BI$1/100)*$CG106</f>
        <v>2460.1806249999995</v>
      </c>
      <c r="BJ106" s="436">
        <f t="shared" si="85"/>
        <v>2558.5878499999994</v>
      </c>
      <c r="BK106" s="436">
        <f t="shared" si="85"/>
        <v>2755.4022999999997</v>
      </c>
      <c r="BL106" s="436">
        <f t="shared" si="85"/>
        <v>2952.2167499999996</v>
      </c>
      <c r="BM106" s="436">
        <f t="shared" si="85"/>
        <v>3149.0311999999994</v>
      </c>
      <c r="BN106" s="436">
        <f t="shared" si="85"/>
        <v>3345.8456499999993</v>
      </c>
      <c r="BO106" s="436">
        <f t="shared" si="85"/>
        <v>3444.2528749999992</v>
      </c>
      <c r="BP106" s="436">
        <f t="shared" si="85"/>
        <v>3542.6600999999991</v>
      </c>
      <c r="BQ106" s="436">
        <f t="shared" si="85"/>
        <v>3739.4745499999995</v>
      </c>
      <c r="BR106" s="436">
        <f t="shared" si="85"/>
        <v>3936.2889999999993</v>
      </c>
      <c r="BS106" s="436">
        <f t="shared" ref="BS106:CF115" si="86">(BS$1/100)*$CG106</f>
        <v>4428.3251249999994</v>
      </c>
      <c r="BT106" s="436">
        <f t="shared" si="86"/>
        <v>4920.361249999999</v>
      </c>
      <c r="BU106" s="436">
        <f t="shared" si="86"/>
        <v>5412.3973749999986</v>
      </c>
      <c r="BV106" s="436">
        <f t="shared" si="86"/>
        <v>5904.4334999999992</v>
      </c>
      <c r="BW106" s="436">
        <f t="shared" si="86"/>
        <v>6888.5057499999984</v>
      </c>
      <c r="BX106" s="436">
        <f t="shared" si="86"/>
        <v>7872.5779999999986</v>
      </c>
      <c r="BY106" s="436">
        <f t="shared" si="86"/>
        <v>8856.6502499999988</v>
      </c>
      <c r="BZ106" s="436">
        <f t="shared" si="86"/>
        <v>9840.722499999998</v>
      </c>
      <c r="CA106" s="436">
        <f t="shared" si="86"/>
        <v>10824.794749999997</v>
      </c>
      <c r="CB106" s="436">
        <f t="shared" si="86"/>
        <v>11808.866999999998</v>
      </c>
      <c r="CC106" s="436">
        <f t="shared" si="86"/>
        <v>13777.011499999997</v>
      </c>
      <c r="CD106" s="436">
        <f t="shared" si="86"/>
        <v>15745.155999999997</v>
      </c>
      <c r="CE106" s="436">
        <f t="shared" si="86"/>
        <v>17713.300499999998</v>
      </c>
      <c r="CF106" s="436">
        <f t="shared" si="86"/>
        <v>19681.444999999996</v>
      </c>
      <c r="CG106" s="436" cm="1">
        <f t="array" ref="CG106">IF($M707=0, Vide, $M707)</f>
        <v>196.81444999999997</v>
      </c>
      <c r="CH106" s="435" t="s">
        <v>762</v>
      </c>
      <c r="CI106" s="435" t="s">
        <v>762</v>
      </c>
      <c r="CJ106" s="435" t="s">
        <v>762</v>
      </c>
      <c r="CK106" s="435" t="s">
        <v>762</v>
      </c>
      <c r="CL106" s="435" t="s">
        <v>762</v>
      </c>
    </row>
    <row r="107" spans="1:90" s="437" customFormat="1">
      <c r="A107" s="435" t="s">
        <v>615</v>
      </c>
      <c r="B107" s="435" t="s">
        <v>90</v>
      </c>
      <c r="C107" s="436" cm="1">
        <f t="array" ref="C107">IF($B708=0, Vide, $B708)</f>
        <v>40.203999999999986</v>
      </c>
      <c r="D107" s="436" cm="1">
        <f t="array" ref="D107">IF($B708=0, Vide, $B708)</f>
        <v>40.203999999999986</v>
      </c>
      <c r="E107" s="436" cm="1">
        <f t="array" ref="E107">IF($B708=0, Vide, $B708)</f>
        <v>40.203999999999986</v>
      </c>
      <c r="F107" s="436" cm="1">
        <f t="array" ref="F107">IF($B708=0, Vide, $B708)</f>
        <v>40.203999999999986</v>
      </c>
      <c r="G107" s="436" cm="1">
        <f t="array" ref="G107">IF($B708=0, Vide, $B708)</f>
        <v>40.203999999999986</v>
      </c>
      <c r="H107" s="436" cm="1">
        <f t="array" ref="H107">IF($C708=0, Vide, $C708)</f>
        <v>47.477749999999993</v>
      </c>
      <c r="I107" s="436" cm="1">
        <f t="array" ref="I107">IF($C708=0, Vide, $C708)</f>
        <v>47.477749999999993</v>
      </c>
      <c r="J107" s="436" cm="1">
        <f t="array" ref="J107">IF($C708=0, Vide, $C708)</f>
        <v>47.477749999999993</v>
      </c>
      <c r="K107" s="436" cm="1">
        <f t="array" ref="K107">IF($C708=0, Vide, $C708)</f>
        <v>47.477749999999993</v>
      </c>
      <c r="L107" s="436" cm="1">
        <f t="array" ref="L107">IF($C708=0, Vide, $C708)</f>
        <v>47.477749999999993</v>
      </c>
      <c r="M107" s="436" t="s">
        <v>762</v>
      </c>
      <c r="N107" s="436" t="s">
        <v>762</v>
      </c>
      <c r="O107" s="436" t="s">
        <v>762</v>
      </c>
      <c r="P107" s="436" t="s">
        <v>762</v>
      </c>
      <c r="Q107" s="436" t="s">
        <v>762</v>
      </c>
      <c r="R107" s="436" t="s">
        <v>762</v>
      </c>
      <c r="S107" s="436" t="s">
        <v>762</v>
      </c>
      <c r="T107" s="436" t="s">
        <v>762</v>
      </c>
      <c r="U107" s="436" t="s">
        <v>762</v>
      </c>
      <c r="V107" s="436" cm="1">
        <f t="array" ref="V107">IF($D708=0, Vide, $D708)</f>
        <v>63.215499999999984</v>
      </c>
      <c r="W107" s="436" cm="1">
        <f t="array" ref="W107">IF($E708=0, Vide, $E708)</f>
        <v>75.871824999999987</v>
      </c>
      <c r="X107" s="436" cm="1">
        <f t="array" ref="X107">IF($F708=0, Vide, $F708)</f>
        <v>91.71537499999998</v>
      </c>
      <c r="Y107" s="436" cm="1">
        <f t="array" ref="Y107">IF($G708=0, Vide, $G708)</f>
        <v>107.50602499999999</v>
      </c>
      <c r="Z107" s="436" cm="1">
        <f t="array" ref="Z107">IF($H708=0, Vide, $H708)</f>
        <v>123.56117499999999</v>
      </c>
      <c r="AA107" s="436" cm="1">
        <f t="array" ref="AA107">IF($I708=0, Vide, $I708)</f>
        <v>140.2379</v>
      </c>
      <c r="AB107" s="436" cm="1">
        <f t="array" ref="AB107">IF($J708=0, Vide, $J708)</f>
        <v>157.16589999999999</v>
      </c>
      <c r="AC107" s="436" cm="1">
        <f t="array" ref="AC107">IF($K708=0, Vide, $K708)</f>
        <v>174.12034999999997</v>
      </c>
      <c r="AD107" s="436" cm="1">
        <f t="array" ref="AD107">IF($L708=0, Vide, $L708)</f>
        <v>196.81444999999997</v>
      </c>
      <c r="AE107" s="436">
        <f t="shared" si="82"/>
        <v>216.49589499999999</v>
      </c>
      <c r="AF107" s="436">
        <f t="shared" si="82"/>
        <v>246.01806249999996</v>
      </c>
      <c r="AG107" s="436">
        <f t="shared" si="82"/>
        <v>295.22167499999995</v>
      </c>
      <c r="AH107" s="436">
        <f t="shared" si="82"/>
        <v>344.42528749999997</v>
      </c>
      <c r="AI107" s="436">
        <f t="shared" si="82"/>
        <v>395.59704449999987</v>
      </c>
      <c r="AJ107" s="436">
        <f t="shared" si="82"/>
        <v>442.83251249999989</v>
      </c>
      <c r="AK107" s="436">
        <f t="shared" si="82"/>
        <v>492.03612499999991</v>
      </c>
      <c r="AL107" s="436">
        <f t="shared" si="82"/>
        <v>592.41149449999989</v>
      </c>
      <c r="AM107" s="436">
        <f t="shared" si="82"/>
        <v>639.64696249999986</v>
      </c>
      <c r="AN107" s="436">
        <f t="shared" si="82"/>
        <v>688.85057499999994</v>
      </c>
      <c r="AO107" s="436">
        <f t="shared" si="83"/>
        <v>738.0541874999999</v>
      </c>
      <c r="AP107" s="436">
        <f t="shared" si="83"/>
        <v>789.22594449999985</v>
      </c>
      <c r="AQ107" s="436">
        <f t="shared" si="83"/>
        <v>836.46141249999982</v>
      </c>
      <c r="AR107" s="436">
        <f t="shared" si="83"/>
        <v>885.66502499999979</v>
      </c>
      <c r="AS107" s="436">
        <f t="shared" si="83"/>
        <v>934.86863749999986</v>
      </c>
      <c r="AT107" s="436">
        <f t="shared" si="83"/>
        <v>984.07224999999983</v>
      </c>
      <c r="AU107" s="436">
        <f t="shared" si="83"/>
        <v>1033.2758624999999</v>
      </c>
      <c r="AV107" s="436">
        <f t="shared" si="83"/>
        <v>1082.4794749999999</v>
      </c>
      <c r="AW107" s="436">
        <f t="shared" si="83"/>
        <v>1131.6830874999998</v>
      </c>
      <c r="AX107" s="436">
        <f t="shared" si="83"/>
        <v>1180.8866999999998</v>
      </c>
      <c r="AY107" s="436">
        <f t="shared" si="84"/>
        <v>1279.2939249999997</v>
      </c>
      <c r="AZ107" s="436">
        <f t="shared" si="84"/>
        <v>1377.7011499999999</v>
      </c>
      <c r="BA107" s="436">
        <f t="shared" si="84"/>
        <v>1476.1083749999998</v>
      </c>
      <c r="BB107" s="436">
        <f t="shared" si="84"/>
        <v>1574.5155999999997</v>
      </c>
      <c r="BC107" s="436">
        <f t="shared" si="84"/>
        <v>1672.9228249999996</v>
      </c>
      <c r="BD107" s="436">
        <f t="shared" si="84"/>
        <v>1771.3300499999996</v>
      </c>
      <c r="BE107" s="436">
        <f t="shared" si="84"/>
        <v>1869.7372749999997</v>
      </c>
      <c r="BF107" s="436">
        <f t="shared" si="84"/>
        <v>1968.1444999999997</v>
      </c>
      <c r="BG107" s="436">
        <f t="shared" si="84"/>
        <v>2164.9589499999997</v>
      </c>
      <c r="BH107" s="436">
        <f t="shared" si="84"/>
        <v>2361.7733999999996</v>
      </c>
      <c r="BI107" s="436">
        <f t="shared" si="85"/>
        <v>2460.1806249999995</v>
      </c>
      <c r="BJ107" s="436">
        <f t="shared" si="85"/>
        <v>2558.5878499999994</v>
      </c>
      <c r="BK107" s="436">
        <f t="shared" si="85"/>
        <v>2755.4022999999997</v>
      </c>
      <c r="BL107" s="436">
        <f t="shared" si="85"/>
        <v>2952.2167499999996</v>
      </c>
      <c r="BM107" s="436">
        <f t="shared" si="85"/>
        <v>3149.0311999999994</v>
      </c>
      <c r="BN107" s="436">
        <f t="shared" si="85"/>
        <v>3345.8456499999993</v>
      </c>
      <c r="BO107" s="436">
        <f t="shared" si="85"/>
        <v>3444.2528749999992</v>
      </c>
      <c r="BP107" s="436">
        <f t="shared" si="85"/>
        <v>3542.6600999999991</v>
      </c>
      <c r="BQ107" s="436">
        <f t="shared" si="85"/>
        <v>3739.4745499999995</v>
      </c>
      <c r="BR107" s="436">
        <f t="shared" si="85"/>
        <v>3936.2889999999993</v>
      </c>
      <c r="BS107" s="436">
        <f t="shared" si="86"/>
        <v>4428.3251249999994</v>
      </c>
      <c r="BT107" s="436">
        <f t="shared" si="86"/>
        <v>4920.361249999999</v>
      </c>
      <c r="BU107" s="436">
        <f t="shared" si="86"/>
        <v>5412.3973749999986</v>
      </c>
      <c r="BV107" s="436">
        <f t="shared" si="86"/>
        <v>5904.4334999999992</v>
      </c>
      <c r="BW107" s="436">
        <f t="shared" si="86"/>
        <v>6888.5057499999984</v>
      </c>
      <c r="BX107" s="436">
        <f t="shared" si="86"/>
        <v>7872.5779999999986</v>
      </c>
      <c r="BY107" s="436">
        <f t="shared" si="86"/>
        <v>8856.6502499999988</v>
      </c>
      <c r="BZ107" s="436">
        <f t="shared" si="86"/>
        <v>9840.722499999998</v>
      </c>
      <c r="CA107" s="436">
        <f t="shared" si="86"/>
        <v>10824.794749999997</v>
      </c>
      <c r="CB107" s="436">
        <f t="shared" si="86"/>
        <v>11808.866999999998</v>
      </c>
      <c r="CC107" s="436">
        <f t="shared" si="86"/>
        <v>13777.011499999997</v>
      </c>
      <c r="CD107" s="436">
        <f t="shared" si="86"/>
        <v>15745.155999999997</v>
      </c>
      <c r="CE107" s="436">
        <f t="shared" si="86"/>
        <v>17713.300499999998</v>
      </c>
      <c r="CF107" s="436">
        <f t="shared" si="86"/>
        <v>19681.444999999996</v>
      </c>
      <c r="CG107" s="436" cm="1">
        <f t="array" ref="CG107">IF($M708=0, Vide, $M708)</f>
        <v>196.81444999999997</v>
      </c>
      <c r="CH107" s="435" t="s">
        <v>762</v>
      </c>
      <c r="CI107" s="435" t="s">
        <v>762</v>
      </c>
      <c r="CJ107" s="435" t="s">
        <v>762</v>
      </c>
      <c r="CK107" s="435" t="s">
        <v>762</v>
      </c>
      <c r="CL107" s="435" t="s">
        <v>762</v>
      </c>
    </row>
    <row r="108" spans="1:90" s="437" customFormat="1">
      <c r="A108" s="435" t="s">
        <v>616</v>
      </c>
      <c r="B108" s="435" t="s">
        <v>90</v>
      </c>
      <c r="C108" s="436" cm="1">
        <f t="array" ref="C108">IF($B709=0, Vide, $B709)</f>
        <v>40.203999999999986</v>
      </c>
      <c r="D108" s="436" cm="1">
        <f t="array" ref="D108">IF($B709=0, Vide, $B709)</f>
        <v>40.203999999999986</v>
      </c>
      <c r="E108" s="436" cm="1">
        <f t="array" ref="E108">IF($B709=0, Vide, $B709)</f>
        <v>40.203999999999986</v>
      </c>
      <c r="F108" s="436" cm="1">
        <f t="array" ref="F108">IF($B709=0, Vide, $B709)</f>
        <v>40.203999999999986</v>
      </c>
      <c r="G108" s="436" cm="1">
        <f t="array" ref="G108">IF($B709=0, Vide, $B709)</f>
        <v>40.203999999999986</v>
      </c>
      <c r="H108" s="436" cm="1">
        <f t="array" ref="H108">IF($C709=0, Vide, $C709)</f>
        <v>47.477749999999993</v>
      </c>
      <c r="I108" s="436" cm="1">
        <f t="array" ref="I108">IF($C709=0, Vide, $C709)</f>
        <v>47.477749999999993</v>
      </c>
      <c r="J108" s="436" cm="1">
        <f t="array" ref="J108">IF($C709=0, Vide, $C709)</f>
        <v>47.477749999999993</v>
      </c>
      <c r="K108" s="436" cm="1">
        <f t="array" ref="K108">IF($C709=0, Vide, $C709)</f>
        <v>47.477749999999993</v>
      </c>
      <c r="L108" s="436" cm="1">
        <f t="array" ref="L108">IF($C709=0, Vide, $C709)</f>
        <v>47.477749999999993</v>
      </c>
      <c r="M108" s="436" t="s">
        <v>762</v>
      </c>
      <c r="N108" s="436" t="s">
        <v>762</v>
      </c>
      <c r="O108" s="436" t="s">
        <v>762</v>
      </c>
      <c r="P108" s="436" t="s">
        <v>762</v>
      </c>
      <c r="Q108" s="436" t="s">
        <v>762</v>
      </c>
      <c r="R108" s="436" t="s">
        <v>762</v>
      </c>
      <c r="S108" s="436" t="s">
        <v>762</v>
      </c>
      <c r="T108" s="436" t="s">
        <v>762</v>
      </c>
      <c r="U108" s="436" t="s">
        <v>762</v>
      </c>
      <c r="V108" s="436" cm="1">
        <f t="array" ref="V108">IF($D709=0, Vide, $D709)</f>
        <v>63.215499999999984</v>
      </c>
      <c r="W108" s="436" cm="1">
        <f t="array" ref="W108">IF($E709=0, Vide, $E709)</f>
        <v>75.871824999999987</v>
      </c>
      <c r="X108" s="436" cm="1">
        <f t="array" ref="X108">IF($F709=0, Vide, $F709)</f>
        <v>91.71537499999998</v>
      </c>
      <c r="Y108" s="436" cm="1">
        <f t="array" ref="Y108">IF($G709=0, Vide, $G709)</f>
        <v>107.50602499999999</v>
      </c>
      <c r="Z108" s="436" cm="1">
        <f t="array" ref="Z108">IF($H709=0, Vide, $H709)</f>
        <v>123.56117499999999</v>
      </c>
      <c r="AA108" s="436" cm="1">
        <f t="array" ref="AA108">IF($I709=0, Vide, $I709)</f>
        <v>140.2379</v>
      </c>
      <c r="AB108" s="436" cm="1">
        <f t="array" ref="AB108">IF($J709=0, Vide, $J709)</f>
        <v>157.16589999999999</v>
      </c>
      <c r="AC108" s="436" cm="1">
        <f t="array" ref="AC108">IF($K709=0, Vide, $K709)</f>
        <v>174.12034999999997</v>
      </c>
      <c r="AD108" s="436" cm="1">
        <f t="array" ref="AD108">IF($L709=0, Vide, $L709)</f>
        <v>196.81444999999997</v>
      </c>
      <c r="AE108" s="436">
        <f t="shared" si="82"/>
        <v>216.49589499999999</v>
      </c>
      <c r="AF108" s="436">
        <f t="shared" si="82"/>
        <v>246.01806249999996</v>
      </c>
      <c r="AG108" s="436">
        <f t="shared" si="82"/>
        <v>295.22167499999995</v>
      </c>
      <c r="AH108" s="436">
        <f t="shared" si="82"/>
        <v>344.42528749999997</v>
      </c>
      <c r="AI108" s="436">
        <f t="shared" si="82"/>
        <v>395.59704449999987</v>
      </c>
      <c r="AJ108" s="436">
        <f t="shared" si="82"/>
        <v>442.83251249999989</v>
      </c>
      <c r="AK108" s="436">
        <f t="shared" si="82"/>
        <v>492.03612499999991</v>
      </c>
      <c r="AL108" s="436">
        <f t="shared" si="82"/>
        <v>592.41149449999989</v>
      </c>
      <c r="AM108" s="436">
        <f t="shared" si="82"/>
        <v>639.64696249999986</v>
      </c>
      <c r="AN108" s="436">
        <f t="shared" si="82"/>
        <v>688.85057499999994</v>
      </c>
      <c r="AO108" s="436">
        <f t="shared" si="83"/>
        <v>738.0541874999999</v>
      </c>
      <c r="AP108" s="436">
        <f t="shared" si="83"/>
        <v>789.22594449999985</v>
      </c>
      <c r="AQ108" s="436">
        <f t="shared" si="83"/>
        <v>836.46141249999982</v>
      </c>
      <c r="AR108" s="436">
        <f t="shared" si="83"/>
        <v>885.66502499999979</v>
      </c>
      <c r="AS108" s="436">
        <f t="shared" si="83"/>
        <v>934.86863749999986</v>
      </c>
      <c r="AT108" s="436">
        <f t="shared" si="83"/>
        <v>984.07224999999983</v>
      </c>
      <c r="AU108" s="436">
        <f t="shared" si="83"/>
        <v>1033.2758624999999</v>
      </c>
      <c r="AV108" s="436">
        <f t="shared" si="83"/>
        <v>1082.4794749999999</v>
      </c>
      <c r="AW108" s="436">
        <f t="shared" si="83"/>
        <v>1131.6830874999998</v>
      </c>
      <c r="AX108" s="436">
        <f t="shared" si="83"/>
        <v>1180.8866999999998</v>
      </c>
      <c r="AY108" s="436">
        <f t="shared" si="84"/>
        <v>1279.2939249999997</v>
      </c>
      <c r="AZ108" s="436">
        <f t="shared" si="84"/>
        <v>1377.7011499999999</v>
      </c>
      <c r="BA108" s="436">
        <f t="shared" si="84"/>
        <v>1476.1083749999998</v>
      </c>
      <c r="BB108" s="436">
        <f t="shared" si="84"/>
        <v>1574.5155999999997</v>
      </c>
      <c r="BC108" s="436">
        <f t="shared" si="84"/>
        <v>1672.9228249999996</v>
      </c>
      <c r="BD108" s="436">
        <f t="shared" si="84"/>
        <v>1771.3300499999996</v>
      </c>
      <c r="BE108" s="436">
        <f t="shared" si="84"/>
        <v>1869.7372749999997</v>
      </c>
      <c r="BF108" s="436">
        <f t="shared" si="84"/>
        <v>1968.1444999999997</v>
      </c>
      <c r="BG108" s="436">
        <f t="shared" si="84"/>
        <v>2164.9589499999997</v>
      </c>
      <c r="BH108" s="436">
        <f t="shared" si="84"/>
        <v>2361.7733999999996</v>
      </c>
      <c r="BI108" s="436">
        <f t="shared" si="85"/>
        <v>2460.1806249999995</v>
      </c>
      <c r="BJ108" s="436">
        <f t="shared" si="85"/>
        <v>2558.5878499999994</v>
      </c>
      <c r="BK108" s="436">
        <f t="shared" si="85"/>
        <v>2755.4022999999997</v>
      </c>
      <c r="BL108" s="436">
        <f t="shared" si="85"/>
        <v>2952.2167499999996</v>
      </c>
      <c r="BM108" s="436">
        <f t="shared" si="85"/>
        <v>3149.0311999999994</v>
      </c>
      <c r="BN108" s="436">
        <f t="shared" si="85"/>
        <v>3345.8456499999993</v>
      </c>
      <c r="BO108" s="436">
        <f t="shared" si="85"/>
        <v>3444.2528749999992</v>
      </c>
      <c r="BP108" s="436">
        <f t="shared" si="85"/>
        <v>3542.6600999999991</v>
      </c>
      <c r="BQ108" s="436">
        <f t="shared" si="85"/>
        <v>3739.4745499999995</v>
      </c>
      <c r="BR108" s="436">
        <f t="shared" si="85"/>
        <v>3936.2889999999993</v>
      </c>
      <c r="BS108" s="436">
        <f t="shared" si="86"/>
        <v>4428.3251249999994</v>
      </c>
      <c r="BT108" s="436">
        <f t="shared" si="86"/>
        <v>4920.361249999999</v>
      </c>
      <c r="BU108" s="436">
        <f t="shared" si="86"/>
        <v>5412.3973749999986</v>
      </c>
      <c r="BV108" s="436">
        <f t="shared" si="86"/>
        <v>5904.4334999999992</v>
      </c>
      <c r="BW108" s="436">
        <f t="shared" si="86"/>
        <v>6888.5057499999984</v>
      </c>
      <c r="BX108" s="436">
        <f t="shared" si="86"/>
        <v>7872.5779999999986</v>
      </c>
      <c r="BY108" s="436">
        <f t="shared" si="86"/>
        <v>8856.6502499999988</v>
      </c>
      <c r="BZ108" s="436">
        <f t="shared" si="86"/>
        <v>9840.722499999998</v>
      </c>
      <c r="CA108" s="436">
        <f t="shared" si="86"/>
        <v>10824.794749999997</v>
      </c>
      <c r="CB108" s="436">
        <f t="shared" si="86"/>
        <v>11808.866999999998</v>
      </c>
      <c r="CC108" s="436">
        <f t="shared" si="86"/>
        <v>13777.011499999997</v>
      </c>
      <c r="CD108" s="436">
        <f t="shared" si="86"/>
        <v>15745.155999999997</v>
      </c>
      <c r="CE108" s="436">
        <f t="shared" si="86"/>
        <v>17713.300499999998</v>
      </c>
      <c r="CF108" s="436">
        <f t="shared" si="86"/>
        <v>19681.444999999996</v>
      </c>
      <c r="CG108" s="436" cm="1">
        <f t="array" ref="CG108">IF($M709=0, Vide, $M709)</f>
        <v>196.81444999999997</v>
      </c>
      <c r="CH108" s="435" t="s">
        <v>762</v>
      </c>
      <c r="CI108" s="435" t="s">
        <v>762</v>
      </c>
      <c r="CJ108" s="435" t="s">
        <v>762</v>
      </c>
      <c r="CK108" s="435" t="s">
        <v>762</v>
      </c>
      <c r="CL108" s="435" t="s">
        <v>762</v>
      </c>
    </row>
    <row r="109" spans="1:90" s="437" customFormat="1">
      <c r="A109" s="435" t="s">
        <v>617</v>
      </c>
      <c r="B109" s="435" t="s">
        <v>90</v>
      </c>
      <c r="C109" s="436" cm="1">
        <f t="array" ref="C109">IF($B710=0, Vide, $B710)</f>
        <v>40.203999999999986</v>
      </c>
      <c r="D109" s="436" cm="1">
        <f t="array" ref="D109">IF($B710=0, Vide, $B710)</f>
        <v>40.203999999999986</v>
      </c>
      <c r="E109" s="436" cm="1">
        <f t="array" ref="E109">IF($B710=0, Vide, $B710)</f>
        <v>40.203999999999986</v>
      </c>
      <c r="F109" s="436" cm="1">
        <f t="array" ref="F109">IF($B710=0, Vide, $B710)</f>
        <v>40.203999999999986</v>
      </c>
      <c r="G109" s="436" cm="1">
        <f t="array" ref="G109">IF($B710=0, Vide, $B710)</f>
        <v>40.203999999999986</v>
      </c>
      <c r="H109" s="436" cm="1">
        <f t="array" ref="H109">IF($C710=0, Vide, $C710)</f>
        <v>47.477749999999993</v>
      </c>
      <c r="I109" s="436" cm="1">
        <f t="array" ref="I109">IF($C710=0, Vide, $C710)</f>
        <v>47.477749999999993</v>
      </c>
      <c r="J109" s="436" cm="1">
        <f t="array" ref="J109">IF($C710=0, Vide, $C710)</f>
        <v>47.477749999999993</v>
      </c>
      <c r="K109" s="436" cm="1">
        <f t="array" ref="K109">IF($C710=0, Vide, $C710)</f>
        <v>47.477749999999993</v>
      </c>
      <c r="L109" s="436" cm="1">
        <f t="array" ref="L109">IF($C710=0, Vide, $C710)</f>
        <v>47.477749999999993</v>
      </c>
      <c r="M109" s="436" t="s">
        <v>762</v>
      </c>
      <c r="N109" s="436" t="s">
        <v>762</v>
      </c>
      <c r="O109" s="436" t="s">
        <v>762</v>
      </c>
      <c r="P109" s="436" t="s">
        <v>762</v>
      </c>
      <c r="Q109" s="436" t="s">
        <v>762</v>
      </c>
      <c r="R109" s="436" t="s">
        <v>762</v>
      </c>
      <c r="S109" s="436" t="s">
        <v>762</v>
      </c>
      <c r="T109" s="436" t="s">
        <v>762</v>
      </c>
      <c r="U109" s="436" t="s">
        <v>762</v>
      </c>
      <c r="V109" s="436" cm="1">
        <f t="array" ref="V109">IF($D710=0, Vide, $D710)</f>
        <v>63.215499999999984</v>
      </c>
      <c r="W109" s="436" cm="1">
        <f t="array" ref="W109">IF($E710=0, Vide, $E710)</f>
        <v>75.871824999999987</v>
      </c>
      <c r="X109" s="436" cm="1">
        <f t="array" ref="X109">IF($F710=0, Vide, $F710)</f>
        <v>91.71537499999998</v>
      </c>
      <c r="Y109" s="436" cm="1">
        <f t="array" ref="Y109">IF($G710=0, Vide, $G710)</f>
        <v>107.50602499999999</v>
      </c>
      <c r="Z109" s="436" cm="1">
        <f t="array" ref="Z109">IF($H710=0, Vide, $H710)</f>
        <v>123.56117499999999</v>
      </c>
      <c r="AA109" s="436" cm="1">
        <f t="array" ref="AA109">IF($I710=0, Vide, $I710)</f>
        <v>140.2379</v>
      </c>
      <c r="AB109" s="436" cm="1">
        <f t="array" ref="AB109">IF($J710=0, Vide, $J710)</f>
        <v>157.16589999999999</v>
      </c>
      <c r="AC109" s="436" cm="1">
        <f t="array" ref="AC109">IF($K710=0, Vide, $K710)</f>
        <v>174.12034999999997</v>
      </c>
      <c r="AD109" s="436" cm="1">
        <f t="array" ref="AD109">IF($L710=0, Vide, $L710)</f>
        <v>196.81444999999997</v>
      </c>
      <c r="AE109" s="436">
        <f t="shared" si="82"/>
        <v>216.49589499999999</v>
      </c>
      <c r="AF109" s="436">
        <f t="shared" si="82"/>
        <v>246.01806249999996</v>
      </c>
      <c r="AG109" s="436">
        <f t="shared" si="82"/>
        <v>295.22167499999995</v>
      </c>
      <c r="AH109" s="436">
        <f t="shared" si="82"/>
        <v>344.42528749999997</v>
      </c>
      <c r="AI109" s="436">
        <f t="shared" si="82"/>
        <v>395.59704449999987</v>
      </c>
      <c r="AJ109" s="436">
        <f t="shared" si="82"/>
        <v>442.83251249999989</v>
      </c>
      <c r="AK109" s="436">
        <f t="shared" si="82"/>
        <v>492.03612499999991</v>
      </c>
      <c r="AL109" s="436">
        <f t="shared" si="82"/>
        <v>592.41149449999989</v>
      </c>
      <c r="AM109" s="436">
        <f t="shared" si="82"/>
        <v>639.64696249999986</v>
      </c>
      <c r="AN109" s="436">
        <f t="shared" si="82"/>
        <v>688.85057499999994</v>
      </c>
      <c r="AO109" s="436">
        <f t="shared" si="83"/>
        <v>738.0541874999999</v>
      </c>
      <c r="AP109" s="436">
        <f t="shared" si="83"/>
        <v>789.22594449999985</v>
      </c>
      <c r="AQ109" s="436">
        <f t="shared" si="83"/>
        <v>836.46141249999982</v>
      </c>
      <c r="AR109" s="436">
        <f t="shared" si="83"/>
        <v>885.66502499999979</v>
      </c>
      <c r="AS109" s="436">
        <f t="shared" si="83"/>
        <v>934.86863749999986</v>
      </c>
      <c r="AT109" s="436">
        <f t="shared" si="83"/>
        <v>984.07224999999983</v>
      </c>
      <c r="AU109" s="436">
        <f t="shared" si="83"/>
        <v>1033.2758624999999</v>
      </c>
      <c r="AV109" s="436">
        <f t="shared" si="83"/>
        <v>1082.4794749999999</v>
      </c>
      <c r="AW109" s="436">
        <f t="shared" si="83"/>
        <v>1131.6830874999998</v>
      </c>
      <c r="AX109" s="436">
        <f t="shared" si="83"/>
        <v>1180.8866999999998</v>
      </c>
      <c r="AY109" s="436">
        <f t="shared" si="84"/>
        <v>1279.2939249999997</v>
      </c>
      <c r="AZ109" s="436">
        <f t="shared" si="84"/>
        <v>1377.7011499999999</v>
      </c>
      <c r="BA109" s="436">
        <f t="shared" si="84"/>
        <v>1476.1083749999998</v>
      </c>
      <c r="BB109" s="436">
        <f t="shared" si="84"/>
        <v>1574.5155999999997</v>
      </c>
      <c r="BC109" s="436">
        <f t="shared" si="84"/>
        <v>1672.9228249999996</v>
      </c>
      <c r="BD109" s="436">
        <f t="shared" si="84"/>
        <v>1771.3300499999996</v>
      </c>
      <c r="BE109" s="436">
        <f t="shared" si="84"/>
        <v>1869.7372749999997</v>
      </c>
      <c r="BF109" s="436">
        <f t="shared" si="84"/>
        <v>1968.1444999999997</v>
      </c>
      <c r="BG109" s="436">
        <f t="shared" si="84"/>
        <v>2164.9589499999997</v>
      </c>
      <c r="BH109" s="436">
        <f t="shared" si="84"/>
        <v>2361.7733999999996</v>
      </c>
      <c r="BI109" s="436">
        <f t="shared" si="85"/>
        <v>2460.1806249999995</v>
      </c>
      <c r="BJ109" s="436">
        <f t="shared" si="85"/>
        <v>2558.5878499999994</v>
      </c>
      <c r="BK109" s="436">
        <f t="shared" si="85"/>
        <v>2755.4022999999997</v>
      </c>
      <c r="BL109" s="436">
        <f t="shared" si="85"/>
        <v>2952.2167499999996</v>
      </c>
      <c r="BM109" s="436">
        <f t="shared" si="85"/>
        <v>3149.0311999999994</v>
      </c>
      <c r="BN109" s="436">
        <f t="shared" si="85"/>
        <v>3345.8456499999993</v>
      </c>
      <c r="BO109" s="436">
        <f t="shared" si="85"/>
        <v>3444.2528749999992</v>
      </c>
      <c r="BP109" s="436">
        <f t="shared" si="85"/>
        <v>3542.6600999999991</v>
      </c>
      <c r="BQ109" s="436">
        <f t="shared" si="85"/>
        <v>3739.4745499999995</v>
      </c>
      <c r="BR109" s="436">
        <f t="shared" si="85"/>
        <v>3936.2889999999993</v>
      </c>
      <c r="BS109" s="436">
        <f t="shared" si="86"/>
        <v>4428.3251249999994</v>
      </c>
      <c r="BT109" s="436">
        <f t="shared" si="86"/>
        <v>4920.361249999999</v>
      </c>
      <c r="BU109" s="436">
        <f t="shared" si="86"/>
        <v>5412.3973749999986</v>
      </c>
      <c r="BV109" s="436">
        <f t="shared" si="86"/>
        <v>5904.4334999999992</v>
      </c>
      <c r="BW109" s="436">
        <f t="shared" si="86"/>
        <v>6888.5057499999984</v>
      </c>
      <c r="BX109" s="436">
        <f t="shared" si="86"/>
        <v>7872.5779999999986</v>
      </c>
      <c r="BY109" s="436">
        <f t="shared" si="86"/>
        <v>8856.6502499999988</v>
      </c>
      <c r="BZ109" s="436">
        <f t="shared" si="86"/>
        <v>9840.722499999998</v>
      </c>
      <c r="CA109" s="436">
        <f t="shared" si="86"/>
        <v>10824.794749999997</v>
      </c>
      <c r="CB109" s="436">
        <f t="shared" si="86"/>
        <v>11808.866999999998</v>
      </c>
      <c r="CC109" s="436">
        <f t="shared" si="86"/>
        <v>13777.011499999997</v>
      </c>
      <c r="CD109" s="436">
        <f t="shared" si="86"/>
        <v>15745.155999999997</v>
      </c>
      <c r="CE109" s="436">
        <f t="shared" si="86"/>
        <v>17713.300499999998</v>
      </c>
      <c r="CF109" s="436">
        <f t="shared" si="86"/>
        <v>19681.444999999996</v>
      </c>
      <c r="CG109" s="436" cm="1">
        <f t="array" ref="CG109">IF($M710=0, Vide, $M710)</f>
        <v>196.81444999999997</v>
      </c>
      <c r="CH109" s="435" t="s">
        <v>762</v>
      </c>
      <c r="CI109" s="435" t="s">
        <v>762</v>
      </c>
      <c r="CJ109" s="435" t="s">
        <v>762</v>
      </c>
      <c r="CK109" s="435" t="s">
        <v>762</v>
      </c>
      <c r="CL109" s="435" t="s">
        <v>762</v>
      </c>
    </row>
    <row r="110" spans="1:90" s="437" customFormat="1">
      <c r="A110" s="435" t="s">
        <v>618</v>
      </c>
      <c r="B110" s="435" t="s">
        <v>90</v>
      </c>
      <c r="C110" s="436" cm="1">
        <f t="array" ref="C110">IF($B711=0, Vide, $B711)</f>
        <v>40.203999999999986</v>
      </c>
      <c r="D110" s="436" cm="1">
        <f t="array" ref="D110">IF($B711=0, Vide, $B711)</f>
        <v>40.203999999999986</v>
      </c>
      <c r="E110" s="436" cm="1">
        <f t="array" ref="E110">IF($B711=0, Vide, $B711)</f>
        <v>40.203999999999986</v>
      </c>
      <c r="F110" s="436" cm="1">
        <f t="array" ref="F110">IF($B711=0, Vide, $B711)</f>
        <v>40.203999999999986</v>
      </c>
      <c r="G110" s="436" cm="1">
        <f t="array" ref="G110">IF($B711=0, Vide, $B711)</f>
        <v>40.203999999999986</v>
      </c>
      <c r="H110" s="436" cm="1">
        <f t="array" ref="H110">IF($C711=0, Vide, $C711)</f>
        <v>47.477749999999993</v>
      </c>
      <c r="I110" s="436" cm="1">
        <f t="array" ref="I110">IF($C711=0, Vide, $C711)</f>
        <v>47.477749999999993</v>
      </c>
      <c r="J110" s="436" cm="1">
        <f t="array" ref="J110">IF($C711=0, Vide, $C711)</f>
        <v>47.477749999999993</v>
      </c>
      <c r="K110" s="436" cm="1">
        <f t="array" ref="K110">IF($C711=0, Vide, $C711)</f>
        <v>47.477749999999993</v>
      </c>
      <c r="L110" s="436" cm="1">
        <f t="array" ref="L110">IF($C711=0, Vide, $C711)</f>
        <v>47.477749999999993</v>
      </c>
      <c r="M110" s="436" t="s">
        <v>762</v>
      </c>
      <c r="N110" s="436" t="s">
        <v>762</v>
      </c>
      <c r="O110" s="436" t="s">
        <v>762</v>
      </c>
      <c r="P110" s="436" t="s">
        <v>762</v>
      </c>
      <c r="Q110" s="436" t="s">
        <v>762</v>
      </c>
      <c r="R110" s="436" t="s">
        <v>762</v>
      </c>
      <c r="S110" s="436" t="s">
        <v>762</v>
      </c>
      <c r="T110" s="436" t="s">
        <v>762</v>
      </c>
      <c r="U110" s="436" t="s">
        <v>762</v>
      </c>
      <c r="V110" s="436" cm="1">
        <f t="array" ref="V110">IF($D711=0, Vide, $D711)</f>
        <v>63.215499999999984</v>
      </c>
      <c r="W110" s="436" cm="1">
        <f t="array" ref="W110">IF($E711=0, Vide, $E711)</f>
        <v>75.871824999999987</v>
      </c>
      <c r="X110" s="436" cm="1">
        <f t="array" ref="X110">IF($F711=0, Vide, $F711)</f>
        <v>91.71537499999998</v>
      </c>
      <c r="Y110" s="436" cm="1">
        <f t="array" ref="Y110">IF($G711=0, Vide, $G711)</f>
        <v>107.50602499999999</v>
      </c>
      <c r="Z110" s="436" cm="1">
        <f t="array" ref="Z110">IF($H711=0, Vide, $H711)</f>
        <v>123.56117499999999</v>
      </c>
      <c r="AA110" s="436" cm="1">
        <f t="array" ref="AA110">IF($I711=0, Vide, $I711)</f>
        <v>140.2379</v>
      </c>
      <c r="AB110" s="436" cm="1">
        <f t="array" ref="AB110">IF($J711=0, Vide, $J711)</f>
        <v>157.16589999999999</v>
      </c>
      <c r="AC110" s="436" cm="1">
        <f t="array" ref="AC110">IF($K711=0, Vide, $K711)</f>
        <v>174.12034999999997</v>
      </c>
      <c r="AD110" s="436" cm="1">
        <f t="array" ref="AD110">IF($L711=0, Vide, $L711)</f>
        <v>196.81444999999997</v>
      </c>
      <c r="AE110" s="436">
        <f t="shared" si="82"/>
        <v>216.49589499999999</v>
      </c>
      <c r="AF110" s="436">
        <f t="shared" si="82"/>
        <v>246.01806249999996</v>
      </c>
      <c r="AG110" s="436">
        <f t="shared" si="82"/>
        <v>295.22167499999995</v>
      </c>
      <c r="AH110" s="436">
        <f t="shared" si="82"/>
        <v>344.42528749999997</v>
      </c>
      <c r="AI110" s="436">
        <f t="shared" si="82"/>
        <v>395.59704449999987</v>
      </c>
      <c r="AJ110" s="436">
        <f t="shared" si="82"/>
        <v>442.83251249999989</v>
      </c>
      <c r="AK110" s="436">
        <f t="shared" si="82"/>
        <v>492.03612499999991</v>
      </c>
      <c r="AL110" s="436">
        <f t="shared" si="82"/>
        <v>592.41149449999989</v>
      </c>
      <c r="AM110" s="436">
        <f t="shared" si="82"/>
        <v>639.64696249999986</v>
      </c>
      <c r="AN110" s="436">
        <f t="shared" si="82"/>
        <v>688.85057499999994</v>
      </c>
      <c r="AO110" s="436">
        <f t="shared" si="83"/>
        <v>738.0541874999999</v>
      </c>
      <c r="AP110" s="436">
        <f t="shared" si="83"/>
        <v>789.22594449999985</v>
      </c>
      <c r="AQ110" s="436">
        <f t="shared" si="83"/>
        <v>836.46141249999982</v>
      </c>
      <c r="AR110" s="436">
        <f t="shared" si="83"/>
        <v>885.66502499999979</v>
      </c>
      <c r="AS110" s="436">
        <f t="shared" si="83"/>
        <v>934.86863749999986</v>
      </c>
      <c r="AT110" s="436">
        <f t="shared" si="83"/>
        <v>984.07224999999983</v>
      </c>
      <c r="AU110" s="436">
        <f t="shared" si="83"/>
        <v>1033.2758624999999</v>
      </c>
      <c r="AV110" s="436">
        <f t="shared" si="83"/>
        <v>1082.4794749999999</v>
      </c>
      <c r="AW110" s="436">
        <f t="shared" si="83"/>
        <v>1131.6830874999998</v>
      </c>
      <c r="AX110" s="436">
        <f t="shared" si="83"/>
        <v>1180.8866999999998</v>
      </c>
      <c r="AY110" s="436">
        <f t="shared" si="84"/>
        <v>1279.2939249999997</v>
      </c>
      <c r="AZ110" s="436">
        <f t="shared" si="84"/>
        <v>1377.7011499999999</v>
      </c>
      <c r="BA110" s="436">
        <f t="shared" si="84"/>
        <v>1476.1083749999998</v>
      </c>
      <c r="BB110" s="436">
        <f t="shared" si="84"/>
        <v>1574.5155999999997</v>
      </c>
      <c r="BC110" s="436">
        <f t="shared" si="84"/>
        <v>1672.9228249999996</v>
      </c>
      <c r="BD110" s="436">
        <f t="shared" si="84"/>
        <v>1771.3300499999996</v>
      </c>
      <c r="BE110" s="436">
        <f t="shared" si="84"/>
        <v>1869.7372749999997</v>
      </c>
      <c r="BF110" s="436">
        <f t="shared" si="84"/>
        <v>1968.1444999999997</v>
      </c>
      <c r="BG110" s="436">
        <f t="shared" si="84"/>
        <v>2164.9589499999997</v>
      </c>
      <c r="BH110" s="436">
        <f t="shared" si="84"/>
        <v>2361.7733999999996</v>
      </c>
      <c r="BI110" s="436">
        <f t="shared" si="85"/>
        <v>2460.1806249999995</v>
      </c>
      <c r="BJ110" s="436">
        <f t="shared" si="85"/>
        <v>2558.5878499999994</v>
      </c>
      <c r="BK110" s="436">
        <f t="shared" si="85"/>
        <v>2755.4022999999997</v>
      </c>
      <c r="BL110" s="436">
        <f t="shared" si="85"/>
        <v>2952.2167499999996</v>
      </c>
      <c r="BM110" s="436">
        <f t="shared" si="85"/>
        <v>3149.0311999999994</v>
      </c>
      <c r="BN110" s="436">
        <f t="shared" si="85"/>
        <v>3345.8456499999993</v>
      </c>
      <c r="BO110" s="436">
        <f t="shared" si="85"/>
        <v>3444.2528749999992</v>
      </c>
      <c r="BP110" s="436">
        <f t="shared" si="85"/>
        <v>3542.6600999999991</v>
      </c>
      <c r="BQ110" s="436">
        <f t="shared" si="85"/>
        <v>3739.4745499999995</v>
      </c>
      <c r="BR110" s="436">
        <f t="shared" si="85"/>
        <v>3936.2889999999993</v>
      </c>
      <c r="BS110" s="436">
        <f t="shared" si="86"/>
        <v>4428.3251249999994</v>
      </c>
      <c r="BT110" s="436">
        <f t="shared" si="86"/>
        <v>4920.361249999999</v>
      </c>
      <c r="BU110" s="436">
        <f t="shared" si="86"/>
        <v>5412.3973749999986</v>
      </c>
      <c r="BV110" s="436">
        <f t="shared" si="86"/>
        <v>5904.4334999999992</v>
      </c>
      <c r="BW110" s="436">
        <f t="shared" si="86"/>
        <v>6888.5057499999984</v>
      </c>
      <c r="BX110" s="436">
        <f t="shared" si="86"/>
        <v>7872.5779999999986</v>
      </c>
      <c r="BY110" s="436">
        <f t="shared" si="86"/>
        <v>8856.6502499999988</v>
      </c>
      <c r="BZ110" s="436">
        <f t="shared" si="86"/>
        <v>9840.722499999998</v>
      </c>
      <c r="CA110" s="436">
        <f t="shared" si="86"/>
        <v>10824.794749999997</v>
      </c>
      <c r="CB110" s="436">
        <f t="shared" si="86"/>
        <v>11808.866999999998</v>
      </c>
      <c r="CC110" s="436">
        <f t="shared" si="86"/>
        <v>13777.011499999997</v>
      </c>
      <c r="CD110" s="436">
        <f t="shared" si="86"/>
        <v>15745.155999999997</v>
      </c>
      <c r="CE110" s="436">
        <f t="shared" si="86"/>
        <v>17713.300499999998</v>
      </c>
      <c r="CF110" s="436">
        <f t="shared" si="86"/>
        <v>19681.444999999996</v>
      </c>
      <c r="CG110" s="436" cm="1">
        <f t="array" ref="CG110">IF($M711=0, Vide, $M711)</f>
        <v>196.81444999999997</v>
      </c>
      <c r="CH110" s="435" t="s">
        <v>762</v>
      </c>
      <c r="CI110" s="435" t="s">
        <v>762</v>
      </c>
      <c r="CJ110" s="435" t="s">
        <v>762</v>
      </c>
      <c r="CK110" s="435" t="s">
        <v>762</v>
      </c>
      <c r="CL110" s="435" t="s">
        <v>762</v>
      </c>
    </row>
    <row r="111" spans="1:90" s="437" customFormat="1">
      <c r="A111" s="435" t="s">
        <v>619</v>
      </c>
      <c r="B111" s="435" t="s">
        <v>90</v>
      </c>
      <c r="C111" s="436" cm="1">
        <f t="array" ref="C111">IF($B712=0, Vide, $B712)</f>
        <v>34.239524999999993</v>
      </c>
      <c r="D111" s="436" cm="1">
        <f t="array" ref="D111">IF($B712=0, Vide, $B712)</f>
        <v>34.239524999999993</v>
      </c>
      <c r="E111" s="436" cm="1">
        <f t="array" ref="E111">IF($B712=0, Vide, $B712)</f>
        <v>34.239524999999993</v>
      </c>
      <c r="F111" s="436" cm="1">
        <f t="array" ref="F111">IF($B712=0, Vide, $B712)</f>
        <v>34.239524999999993</v>
      </c>
      <c r="G111" s="436" cm="1">
        <f t="array" ref="G111">IF($B712=0, Vide, $B712)</f>
        <v>34.239524999999993</v>
      </c>
      <c r="H111" s="436" cm="1">
        <f t="array" ref="H111">IF($C712=0, Vide, $C712)</f>
        <v>36.500999999999998</v>
      </c>
      <c r="I111" s="436" cm="1">
        <f t="array" ref="I111">IF($C712=0, Vide, $C712)</f>
        <v>36.500999999999998</v>
      </c>
      <c r="J111" s="436" cm="1">
        <f t="array" ref="J111">IF($C712=0, Vide, $C712)</f>
        <v>36.500999999999998</v>
      </c>
      <c r="K111" s="436" cm="1">
        <f t="array" ref="K111">IF($C712=0, Vide, $C712)</f>
        <v>36.500999999999998</v>
      </c>
      <c r="L111" s="436" cm="1">
        <f t="array" ref="L111">IF($C712=0, Vide, $C712)</f>
        <v>36.500999999999998</v>
      </c>
      <c r="M111" s="436" t="s">
        <v>762</v>
      </c>
      <c r="N111" s="436" t="s">
        <v>762</v>
      </c>
      <c r="O111" s="436" t="s">
        <v>762</v>
      </c>
      <c r="P111" s="436" t="s">
        <v>762</v>
      </c>
      <c r="Q111" s="436" t="s">
        <v>762</v>
      </c>
      <c r="R111" s="436" t="s">
        <v>762</v>
      </c>
      <c r="S111" s="436" t="s">
        <v>762</v>
      </c>
      <c r="T111" s="436" t="s">
        <v>762</v>
      </c>
      <c r="U111" s="436" t="s">
        <v>762</v>
      </c>
      <c r="V111" s="436" cm="1">
        <f t="array" ref="V111">IF($D712=0, Vide, $D712)</f>
        <v>40.534624999999991</v>
      </c>
      <c r="W111" s="436" cm="1">
        <f t="array" ref="W111">IF($E712=0, Vide, $E712)</f>
        <v>44.303749999999994</v>
      </c>
      <c r="X111" s="436" cm="1">
        <f t="array" ref="X111">IF($F712=0, Vide, $F712)</f>
        <v>48.601874999999993</v>
      </c>
      <c r="Y111" s="436" cm="1">
        <f t="array" ref="Y111">IF($G712=0, Vide, $G712)</f>
        <v>52.860324999999996</v>
      </c>
      <c r="Z111" s="436" cm="1">
        <f t="array" ref="Z111">IF($H712=0, Vide, $H712)</f>
        <v>57.211349999999989</v>
      </c>
      <c r="AA111" s="436" cm="1">
        <f t="array" ref="AA111">IF($I712=0, Vide, $I712)</f>
        <v>61.535924999999992</v>
      </c>
      <c r="AB111" s="436" cm="1">
        <f t="array" ref="AB111">IF($J712=0, Vide, $J712)</f>
        <v>68.426149999999993</v>
      </c>
      <c r="AC111" s="436" cm="1">
        <f t="array" ref="AC111">IF($K712=0, Vide, $K712)</f>
        <v>75.012199999999993</v>
      </c>
      <c r="AD111" s="436" cm="1">
        <f t="array" ref="AD111">IF($L712=0, Vide, $L712)</f>
        <v>79.349999999999994</v>
      </c>
      <c r="AE111" s="436">
        <f t="shared" si="82"/>
        <v>87.284999999999997</v>
      </c>
      <c r="AF111" s="436">
        <f t="shared" si="82"/>
        <v>99.1875</v>
      </c>
      <c r="AG111" s="436">
        <f t="shared" si="82"/>
        <v>119.02499999999999</v>
      </c>
      <c r="AH111" s="436">
        <f t="shared" si="82"/>
        <v>138.86249999999998</v>
      </c>
      <c r="AI111" s="436">
        <f t="shared" si="82"/>
        <v>159.49349999999998</v>
      </c>
      <c r="AJ111" s="436">
        <f t="shared" si="82"/>
        <v>178.53749999999999</v>
      </c>
      <c r="AK111" s="436">
        <f t="shared" si="82"/>
        <v>198.375</v>
      </c>
      <c r="AL111" s="436">
        <f t="shared" si="82"/>
        <v>238.84349999999998</v>
      </c>
      <c r="AM111" s="436">
        <f t="shared" si="82"/>
        <v>257.88749999999999</v>
      </c>
      <c r="AN111" s="436">
        <f t="shared" si="82"/>
        <v>277.72499999999997</v>
      </c>
      <c r="AO111" s="436">
        <f t="shared" si="83"/>
        <v>297.5625</v>
      </c>
      <c r="AP111" s="436">
        <f t="shared" si="83"/>
        <v>318.19349999999997</v>
      </c>
      <c r="AQ111" s="436">
        <f t="shared" si="83"/>
        <v>337.23749999999995</v>
      </c>
      <c r="AR111" s="436">
        <f t="shared" si="83"/>
        <v>357.07499999999999</v>
      </c>
      <c r="AS111" s="436">
        <f t="shared" si="83"/>
        <v>376.91249999999997</v>
      </c>
      <c r="AT111" s="436">
        <f t="shared" si="83"/>
        <v>396.75</v>
      </c>
      <c r="AU111" s="436">
        <f t="shared" si="83"/>
        <v>416.58749999999998</v>
      </c>
      <c r="AV111" s="436">
        <f t="shared" si="83"/>
        <v>436.42499999999995</v>
      </c>
      <c r="AW111" s="436">
        <f t="shared" si="83"/>
        <v>456.26249999999999</v>
      </c>
      <c r="AX111" s="436">
        <f t="shared" si="83"/>
        <v>476.09999999999997</v>
      </c>
      <c r="AY111" s="436">
        <f t="shared" si="84"/>
        <v>515.77499999999998</v>
      </c>
      <c r="AZ111" s="436">
        <f t="shared" si="84"/>
        <v>555.44999999999993</v>
      </c>
      <c r="BA111" s="436">
        <f t="shared" si="84"/>
        <v>595.125</v>
      </c>
      <c r="BB111" s="436">
        <f t="shared" si="84"/>
        <v>634.79999999999995</v>
      </c>
      <c r="BC111" s="436">
        <f t="shared" si="84"/>
        <v>674.47499999999991</v>
      </c>
      <c r="BD111" s="436">
        <f t="shared" si="84"/>
        <v>714.15</v>
      </c>
      <c r="BE111" s="436">
        <f t="shared" si="84"/>
        <v>753.82499999999993</v>
      </c>
      <c r="BF111" s="436">
        <f t="shared" si="84"/>
        <v>793.5</v>
      </c>
      <c r="BG111" s="436">
        <f t="shared" si="84"/>
        <v>872.84999999999991</v>
      </c>
      <c r="BH111" s="436">
        <f t="shared" si="84"/>
        <v>952.19999999999993</v>
      </c>
      <c r="BI111" s="436">
        <f t="shared" si="85"/>
        <v>991.87499999999989</v>
      </c>
      <c r="BJ111" s="436">
        <f t="shared" si="85"/>
        <v>1031.55</v>
      </c>
      <c r="BK111" s="436">
        <f t="shared" si="85"/>
        <v>1110.8999999999999</v>
      </c>
      <c r="BL111" s="436">
        <f t="shared" si="85"/>
        <v>1190.25</v>
      </c>
      <c r="BM111" s="436">
        <f t="shared" si="85"/>
        <v>1269.5999999999999</v>
      </c>
      <c r="BN111" s="436">
        <f t="shared" si="85"/>
        <v>1348.9499999999998</v>
      </c>
      <c r="BO111" s="436">
        <f t="shared" si="85"/>
        <v>1388.625</v>
      </c>
      <c r="BP111" s="436">
        <f t="shared" si="85"/>
        <v>1428.3</v>
      </c>
      <c r="BQ111" s="436">
        <f t="shared" si="85"/>
        <v>1507.6499999999999</v>
      </c>
      <c r="BR111" s="436">
        <f t="shared" si="85"/>
        <v>1587</v>
      </c>
      <c r="BS111" s="436">
        <f t="shared" si="86"/>
        <v>1785.3749999999998</v>
      </c>
      <c r="BT111" s="436">
        <f t="shared" si="86"/>
        <v>1983.7499999999998</v>
      </c>
      <c r="BU111" s="436">
        <f t="shared" si="86"/>
        <v>2182.125</v>
      </c>
      <c r="BV111" s="436">
        <f t="shared" si="86"/>
        <v>2380.5</v>
      </c>
      <c r="BW111" s="436">
        <f t="shared" si="86"/>
        <v>2777.25</v>
      </c>
      <c r="BX111" s="436">
        <f t="shared" si="86"/>
        <v>3174</v>
      </c>
      <c r="BY111" s="436">
        <f t="shared" si="86"/>
        <v>3570.7499999999995</v>
      </c>
      <c r="BZ111" s="436">
        <f t="shared" si="86"/>
        <v>3967.4999999999995</v>
      </c>
      <c r="CA111" s="436">
        <f t="shared" si="86"/>
        <v>4364.25</v>
      </c>
      <c r="CB111" s="436">
        <f t="shared" si="86"/>
        <v>4761</v>
      </c>
      <c r="CC111" s="436">
        <f t="shared" si="86"/>
        <v>5554.5</v>
      </c>
      <c r="CD111" s="436">
        <f t="shared" si="86"/>
        <v>6348</v>
      </c>
      <c r="CE111" s="436">
        <f t="shared" si="86"/>
        <v>7141.4999999999991</v>
      </c>
      <c r="CF111" s="436">
        <f t="shared" si="86"/>
        <v>7934.9999999999991</v>
      </c>
      <c r="CG111" s="436" cm="1">
        <f t="array" ref="CG111">IF($M712=0, Vide, $M712)</f>
        <v>79.349999999999994</v>
      </c>
      <c r="CH111" s="435" t="s">
        <v>762</v>
      </c>
      <c r="CI111" s="435" t="s">
        <v>762</v>
      </c>
      <c r="CJ111" s="435" t="s">
        <v>762</v>
      </c>
      <c r="CK111" s="435" t="s">
        <v>762</v>
      </c>
      <c r="CL111" s="435" t="s">
        <v>762</v>
      </c>
    </row>
    <row r="112" spans="1:90" s="437" customFormat="1">
      <c r="A112" s="435" t="s">
        <v>620</v>
      </c>
      <c r="B112" s="435" t="s">
        <v>90</v>
      </c>
      <c r="C112" s="436" cm="1">
        <f t="array" ref="C112">IF($B713=0, Vide, $B713)</f>
        <v>34.239524999999993</v>
      </c>
      <c r="D112" s="436" cm="1">
        <f t="array" ref="D112">IF($B713=0, Vide, $B713)</f>
        <v>34.239524999999993</v>
      </c>
      <c r="E112" s="436" cm="1">
        <f t="array" ref="E112">IF($B713=0, Vide, $B713)</f>
        <v>34.239524999999993</v>
      </c>
      <c r="F112" s="436" cm="1">
        <f t="array" ref="F112">IF($B713=0, Vide, $B713)</f>
        <v>34.239524999999993</v>
      </c>
      <c r="G112" s="436" cm="1">
        <f t="array" ref="G112">IF($B713=0, Vide, $B713)</f>
        <v>34.239524999999993</v>
      </c>
      <c r="H112" s="436" cm="1">
        <f t="array" ref="H112">IF($C713=0, Vide, $C713)</f>
        <v>36.500999999999998</v>
      </c>
      <c r="I112" s="436" cm="1">
        <f t="array" ref="I112">IF($C713=0, Vide, $C713)</f>
        <v>36.500999999999998</v>
      </c>
      <c r="J112" s="436" cm="1">
        <f t="array" ref="J112">IF($C713=0, Vide, $C713)</f>
        <v>36.500999999999998</v>
      </c>
      <c r="K112" s="436" cm="1">
        <f t="array" ref="K112">IF($C713=0, Vide, $C713)</f>
        <v>36.500999999999998</v>
      </c>
      <c r="L112" s="436" cm="1">
        <f t="array" ref="L112">IF($C713=0, Vide, $C713)</f>
        <v>36.500999999999998</v>
      </c>
      <c r="M112" s="436" t="s">
        <v>762</v>
      </c>
      <c r="N112" s="436" t="s">
        <v>762</v>
      </c>
      <c r="O112" s="436" t="s">
        <v>762</v>
      </c>
      <c r="P112" s="436" t="s">
        <v>762</v>
      </c>
      <c r="Q112" s="436" t="s">
        <v>762</v>
      </c>
      <c r="R112" s="436" t="s">
        <v>762</v>
      </c>
      <c r="S112" s="436" t="s">
        <v>762</v>
      </c>
      <c r="T112" s="436" t="s">
        <v>762</v>
      </c>
      <c r="U112" s="436" t="s">
        <v>762</v>
      </c>
      <c r="V112" s="436" cm="1">
        <f t="array" ref="V112">IF($D713=0, Vide, $D713)</f>
        <v>40.534624999999991</v>
      </c>
      <c r="W112" s="436" cm="1">
        <f t="array" ref="W112">IF($E713=0, Vide, $E713)</f>
        <v>44.303749999999994</v>
      </c>
      <c r="X112" s="436" cm="1">
        <f t="array" ref="X112">IF($F713=0, Vide, $F713)</f>
        <v>48.601874999999993</v>
      </c>
      <c r="Y112" s="436" cm="1">
        <f t="array" ref="Y112">IF($G713=0, Vide, $G713)</f>
        <v>52.860324999999996</v>
      </c>
      <c r="Z112" s="436" cm="1">
        <f t="array" ref="Z112">IF($H713=0, Vide, $H713)</f>
        <v>57.211349999999989</v>
      </c>
      <c r="AA112" s="436" cm="1">
        <f t="array" ref="AA112">IF($I713=0, Vide, $I713)</f>
        <v>61.535924999999992</v>
      </c>
      <c r="AB112" s="436" cm="1">
        <f t="array" ref="AB112">IF($J713=0, Vide, $J713)</f>
        <v>68.426149999999993</v>
      </c>
      <c r="AC112" s="436" cm="1">
        <f t="array" ref="AC112">IF($K713=0, Vide, $K713)</f>
        <v>75.012199999999993</v>
      </c>
      <c r="AD112" s="436" cm="1">
        <f t="array" ref="AD112">IF($L713=0, Vide, $L713)</f>
        <v>79.349999999999994</v>
      </c>
      <c r="AE112" s="436">
        <f t="shared" si="82"/>
        <v>87.284999999999997</v>
      </c>
      <c r="AF112" s="436">
        <f t="shared" si="82"/>
        <v>99.1875</v>
      </c>
      <c r="AG112" s="436">
        <f t="shared" si="82"/>
        <v>119.02499999999999</v>
      </c>
      <c r="AH112" s="436">
        <f t="shared" si="82"/>
        <v>138.86249999999998</v>
      </c>
      <c r="AI112" s="436">
        <f t="shared" si="82"/>
        <v>159.49349999999998</v>
      </c>
      <c r="AJ112" s="436">
        <f t="shared" si="82"/>
        <v>178.53749999999999</v>
      </c>
      <c r="AK112" s="436">
        <f t="shared" si="82"/>
        <v>198.375</v>
      </c>
      <c r="AL112" s="436">
        <f t="shared" si="82"/>
        <v>238.84349999999998</v>
      </c>
      <c r="AM112" s="436">
        <f t="shared" si="82"/>
        <v>257.88749999999999</v>
      </c>
      <c r="AN112" s="436">
        <f t="shared" si="82"/>
        <v>277.72499999999997</v>
      </c>
      <c r="AO112" s="436">
        <f t="shared" si="83"/>
        <v>297.5625</v>
      </c>
      <c r="AP112" s="436">
        <f t="shared" si="83"/>
        <v>318.19349999999997</v>
      </c>
      <c r="AQ112" s="436">
        <f t="shared" si="83"/>
        <v>337.23749999999995</v>
      </c>
      <c r="AR112" s="436">
        <f t="shared" si="83"/>
        <v>357.07499999999999</v>
      </c>
      <c r="AS112" s="436">
        <f t="shared" si="83"/>
        <v>376.91249999999997</v>
      </c>
      <c r="AT112" s="436">
        <f t="shared" si="83"/>
        <v>396.75</v>
      </c>
      <c r="AU112" s="436">
        <f t="shared" si="83"/>
        <v>416.58749999999998</v>
      </c>
      <c r="AV112" s="436">
        <f t="shared" si="83"/>
        <v>436.42499999999995</v>
      </c>
      <c r="AW112" s="436">
        <f t="shared" si="83"/>
        <v>456.26249999999999</v>
      </c>
      <c r="AX112" s="436">
        <f t="shared" si="83"/>
        <v>476.09999999999997</v>
      </c>
      <c r="AY112" s="436">
        <f t="shared" si="84"/>
        <v>515.77499999999998</v>
      </c>
      <c r="AZ112" s="436">
        <f t="shared" si="84"/>
        <v>555.44999999999993</v>
      </c>
      <c r="BA112" s="436">
        <f t="shared" si="84"/>
        <v>595.125</v>
      </c>
      <c r="BB112" s="436">
        <f t="shared" si="84"/>
        <v>634.79999999999995</v>
      </c>
      <c r="BC112" s="436">
        <f t="shared" si="84"/>
        <v>674.47499999999991</v>
      </c>
      <c r="BD112" s="436">
        <f t="shared" si="84"/>
        <v>714.15</v>
      </c>
      <c r="BE112" s="436">
        <f t="shared" si="84"/>
        <v>753.82499999999993</v>
      </c>
      <c r="BF112" s="436">
        <f t="shared" si="84"/>
        <v>793.5</v>
      </c>
      <c r="BG112" s="436">
        <f t="shared" si="84"/>
        <v>872.84999999999991</v>
      </c>
      <c r="BH112" s="436">
        <f t="shared" si="84"/>
        <v>952.19999999999993</v>
      </c>
      <c r="BI112" s="436">
        <f t="shared" si="85"/>
        <v>991.87499999999989</v>
      </c>
      <c r="BJ112" s="436">
        <f t="shared" si="85"/>
        <v>1031.55</v>
      </c>
      <c r="BK112" s="436">
        <f t="shared" si="85"/>
        <v>1110.8999999999999</v>
      </c>
      <c r="BL112" s="436">
        <f t="shared" si="85"/>
        <v>1190.25</v>
      </c>
      <c r="BM112" s="436">
        <f t="shared" si="85"/>
        <v>1269.5999999999999</v>
      </c>
      <c r="BN112" s="436">
        <f t="shared" si="85"/>
        <v>1348.9499999999998</v>
      </c>
      <c r="BO112" s="436">
        <f t="shared" si="85"/>
        <v>1388.625</v>
      </c>
      <c r="BP112" s="436">
        <f t="shared" si="85"/>
        <v>1428.3</v>
      </c>
      <c r="BQ112" s="436">
        <f t="shared" si="85"/>
        <v>1507.6499999999999</v>
      </c>
      <c r="BR112" s="436">
        <f t="shared" si="85"/>
        <v>1587</v>
      </c>
      <c r="BS112" s="436">
        <f t="shared" si="86"/>
        <v>1785.3749999999998</v>
      </c>
      <c r="BT112" s="436">
        <f t="shared" si="86"/>
        <v>1983.7499999999998</v>
      </c>
      <c r="BU112" s="436">
        <f t="shared" si="86"/>
        <v>2182.125</v>
      </c>
      <c r="BV112" s="436">
        <f t="shared" si="86"/>
        <v>2380.5</v>
      </c>
      <c r="BW112" s="436">
        <f t="shared" si="86"/>
        <v>2777.25</v>
      </c>
      <c r="BX112" s="436">
        <f t="shared" si="86"/>
        <v>3174</v>
      </c>
      <c r="BY112" s="436">
        <f t="shared" si="86"/>
        <v>3570.7499999999995</v>
      </c>
      <c r="BZ112" s="436">
        <f t="shared" si="86"/>
        <v>3967.4999999999995</v>
      </c>
      <c r="CA112" s="436">
        <f t="shared" si="86"/>
        <v>4364.25</v>
      </c>
      <c r="CB112" s="436">
        <f t="shared" si="86"/>
        <v>4761</v>
      </c>
      <c r="CC112" s="436">
        <f t="shared" si="86"/>
        <v>5554.5</v>
      </c>
      <c r="CD112" s="436">
        <f t="shared" si="86"/>
        <v>6348</v>
      </c>
      <c r="CE112" s="436">
        <f t="shared" si="86"/>
        <v>7141.4999999999991</v>
      </c>
      <c r="CF112" s="436">
        <f t="shared" si="86"/>
        <v>7934.9999999999991</v>
      </c>
      <c r="CG112" s="436" cm="1">
        <f t="array" ref="CG112">IF($M713=0, Vide, $M713)</f>
        <v>79.349999999999994</v>
      </c>
      <c r="CH112" s="435" t="s">
        <v>762</v>
      </c>
      <c r="CI112" s="435" t="s">
        <v>762</v>
      </c>
      <c r="CJ112" s="435" t="s">
        <v>762</v>
      </c>
      <c r="CK112" s="435" t="s">
        <v>762</v>
      </c>
      <c r="CL112" s="435" t="s">
        <v>762</v>
      </c>
    </row>
    <row r="113" spans="1:90" s="437" customFormat="1">
      <c r="A113" s="435" t="s">
        <v>621</v>
      </c>
      <c r="B113" s="435" t="s">
        <v>90</v>
      </c>
      <c r="C113" s="436" cm="1">
        <f t="array" ref="C113">IF($B714=0, Vide, $B714)</f>
        <v>34.239524999999993</v>
      </c>
      <c r="D113" s="436" cm="1">
        <f t="array" ref="D113">IF($B714=0, Vide, $B714)</f>
        <v>34.239524999999993</v>
      </c>
      <c r="E113" s="436" cm="1">
        <f t="array" ref="E113">IF($B714=0, Vide, $B714)</f>
        <v>34.239524999999993</v>
      </c>
      <c r="F113" s="436" cm="1">
        <f t="array" ref="F113">IF($B714=0, Vide, $B714)</f>
        <v>34.239524999999993</v>
      </c>
      <c r="G113" s="436" cm="1">
        <f t="array" ref="G113">IF($B714=0, Vide, $B714)</f>
        <v>34.239524999999993</v>
      </c>
      <c r="H113" s="436" cm="1">
        <f t="array" ref="H113">IF($C714=0, Vide, $C714)</f>
        <v>36.500999999999998</v>
      </c>
      <c r="I113" s="436" cm="1">
        <f t="array" ref="I113">IF($C714=0, Vide, $C714)</f>
        <v>36.500999999999998</v>
      </c>
      <c r="J113" s="436" cm="1">
        <f t="array" ref="J113">IF($C714=0, Vide, $C714)</f>
        <v>36.500999999999998</v>
      </c>
      <c r="K113" s="436" cm="1">
        <f t="array" ref="K113">IF($C714=0, Vide, $C714)</f>
        <v>36.500999999999998</v>
      </c>
      <c r="L113" s="436" cm="1">
        <f t="array" ref="L113">IF($C714=0, Vide, $C714)</f>
        <v>36.500999999999998</v>
      </c>
      <c r="M113" s="436" t="s">
        <v>762</v>
      </c>
      <c r="N113" s="436" t="s">
        <v>762</v>
      </c>
      <c r="O113" s="436" t="s">
        <v>762</v>
      </c>
      <c r="P113" s="436" t="s">
        <v>762</v>
      </c>
      <c r="Q113" s="436" t="s">
        <v>762</v>
      </c>
      <c r="R113" s="436" t="s">
        <v>762</v>
      </c>
      <c r="S113" s="436" t="s">
        <v>762</v>
      </c>
      <c r="T113" s="436" t="s">
        <v>762</v>
      </c>
      <c r="U113" s="436" t="s">
        <v>762</v>
      </c>
      <c r="V113" s="436" cm="1">
        <f t="array" ref="V113">IF($D714=0, Vide, $D714)</f>
        <v>40.534624999999991</v>
      </c>
      <c r="W113" s="436" cm="1">
        <f t="array" ref="W113">IF($E714=0, Vide, $E714)</f>
        <v>44.303749999999994</v>
      </c>
      <c r="X113" s="436" cm="1">
        <f t="array" ref="X113">IF($F714=0, Vide, $F714)</f>
        <v>48.601874999999993</v>
      </c>
      <c r="Y113" s="436" cm="1">
        <f t="array" ref="Y113">IF($G714=0, Vide, $G714)</f>
        <v>52.860324999999996</v>
      </c>
      <c r="Z113" s="436" cm="1">
        <f t="array" ref="Z113">IF($H714=0, Vide, $H714)</f>
        <v>57.211349999999989</v>
      </c>
      <c r="AA113" s="436" cm="1">
        <f t="array" ref="AA113">IF($I714=0, Vide, $I714)</f>
        <v>61.535924999999992</v>
      </c>
      <c r="AB113" s="436" cm="1">
        <f t="array" ref="AB113">IF($J714=0, Vide, $J714)</f>
        <v>68.426149999999993</v>
      </c>
      <c r="AC113" s="436" cm="1">
        <f t="array" ref="AC113">IF($K714=0, Vide, $K714)</f>
        <v>75.012199999999993</v>
      </c>
      <c r="AD113" s="436" cm="1">
        <f t="array" ref="AD113">IF($L714=0, Vide, $L714)</f>
        <v>79.349999999999994</v>
      </c>
      <c r="AE113" s="436">
        <f t="shared" si="82"/>
        <v>87.284999999999997</v>
      </c>
      <c r="AF113" s="436">
        <f t="shared" si="82"/>
        <v>99.1875</v>
      </c>
      <c r="AG113" s="436">
        <f t="shared" si="82"/>
        <v>119.02499999999999</v>
      </c>
      <c r="AH113" s="436">
        <f t="shared" si="82"/>
        <v>138.86249999999998</v>
      </c>
      <c r="AI113" s="436">
        <f t="shared" si="82"/>
        <v>159.49349999999998</v>
      </c>
      <c r="AJ113" s="436">
        <f t="shared" si="82"/>
        <v>178.53749999999999</v>
      </c>
      <c r="AK113" s="436">
        <f t="shared" si="82"/>
        <v>198.375</v>
      </c>
      <c r="AL113" s="436">
        <f t="shared" si="82"/>
        <v>238.84349999999998</v>
      </c>
      <c r="AM113" s="436">
        <f t="shared" si="82"/>
        <v>257.88749999999999</v>
      </c>
      <c r="AN113" s="436">
        <f t="shared" si="82"/>
        <v>277.72499999999997</v>
      </c>
      <c r="AO113" s="436">
        <f t="shared" si="83"/>
        <v>297.5625</v>
      </c>
      <c r="AP113" s="436">
        <f t="shared" si="83"/>
        <v>318.19349999999997</v>
      </c>
      <c r="AQ113" s="436">
        <f t="shared" si="83"/>
        <v>337.23749999999995</v>
      </c>
      <c r="AR113" s="436">
        <f t="shared" si="83"/>
        <v>357.07499999999999</v>
      </c>
      <c r="AS113" s="436">
        <f t="shared" si="83"/>
        <v>376.91249999999997</v>
      </c>
      <c r="AT113" s="436">
        <f t="shared" si="83"/>
        <v>396.75</v>
      </c>
      <c r="AU113" s="436">
        <f t="shared" si="83"/>
        <v>416.58749999999998</v>
      </c>
      <c r="AV113" s="436">
        <f t="shared" si="83"/>
        <v>436.42499999999995</v>
      </c>
      <c r="AW113" s="436">
        <f t="shared" si="83"/>
        <v>456.26249999999999</v>
      </c>
      <c r="AX113" s="436">
        <f t="shared" si="83"/>
        <v>476.09999999999997</v>
      </c>
      <c r="AY113" s="436">
        <f t="shared" si="84"/>
        <v>515.77499999999998</v>
      </c>
      <c r="AZ113" s="436">
        <f t="shared" si="84"/>
        <v>555.44999999999993</v>
      </c>
      <c r="BA113" s="436">
        <f t="shared" si="84"/>
        <v>595.125</v>
      </c>
      <c r="BB113" s="436">
        <f t="shared" si="84"/>
        <v>634.79999999999995</v>
      </c>
      <c r="BC113" s="436">
        <f t="shared" si="84"/>
        <v>674.47499999999991</v>
      </c>
      <c r="BD113" s="436">
        <f t="shared" si="84"/>
        <v>714.15</v>
      </c>
      <c r="BE113" s="436">
        <f t="shared" si="84"/>
        <v>753.82499999999993</v>
      </c>
      <c r="BF113" s="436">
        <f t="shared" si="84"/>
        <v>793.5</v>
      </c>
      <c r="BG113" s="436">
        <f t="shared" si="84"/>
        <v>872.84999999999991</v>
      </c>
      <c r="BH113" s="436">
        <f t="shared" si="84"/>
        <v>952.19999999999993</v>
      </c>
      <c r="BI113" s="436">
        <f t="shared" si="85"/>
        <v>991.87499999999989</v>
      </c>
      <c r="BJ113" s="436">
        <f t="shared" si="85"/>
        <v>1031.55</v>
      </c>
      <c r="BK113" s="436">
        <f t="shared" si="85"/>
        <v>1110.8999999999999</v>
      </c>
      <c r="BL113" s="436">
        <f t="shared" si="85"/>
        <v>1190.25</v>
      </c>
      <c r="BM113" s="436">
        <f t="shared" si="85"/>
        <v>1269.5999999999999</v>
      </c>
      <c r="BN113" s="436">
        <f t="shared" si="85"/>
        <v>1348.9499999999998</v>
      </c>
      <c r="BO113" s="436">
        <f t="shared" si="85"/>
        <v>1388.625</v>
      </c>
      <c r="BP113" s="436">
        <f t="shared" si="85"/>
        <v>1428.3</v>
      </c>
      <c r="BQ113" s="436">
        <f t="shared" si="85"/>
        <v>1507.6499999999999</v>
      </c>
      <c r="BR113" s="436">
        <f t="shared" si="85"/>
        <v>1587</v>
      </c>
      <c r="BS113" s="436">
        <f t="shared" si="86"/>
        <v>1785.3749999999998</v>
      </c>
      <c r="BT113" s="436">
        <f t="shared" si="86"/>
        <v>1983.7499999999998</v>
      </c>
      <c r="BU113" s="436">
        <f t="shared" si="86"/>
        <v>2182.125</v>
      </c>
      <c r="BV113" s="436">
        <f t="shared" si="86"/>
        <v>2380.5</v>
      </c>
      <c r="BW113" s="436">
        <f t="shared" si="86"/>
        <v>2777.25</v>
      </c>
      <c r="BX113" s="436">
        <f t="shared" si="86"/>
        <v>3174</v>
      </c>
      <c r="BY113" s="436">
        <f t="shared" si="86"/>
        <v>3570.7499999999995</v>
      </c>
      <c r="BZ113" s="436">
        <f t="shared" si="86"/>
        <v>3967.4999999999995</v>
      </c>
      <c r="CA113" s="436">
        <f t="shared" si="86"/>
        <v>4364.25</v>
      </c>
      <c r="CB113" s="436">
        <f t="shared" si="86"/>
        <v>4761</v>
      </c>
      <c r="CC113" s="436">
        <f t="shared" si="86"/>
        <v>5554.5</v>
      </c>
      <c r="CD113" s="436">
        <f t="shared" si="86"/>
        <v>6348</v>
      </c>
      <c r="CE113" s="436">
        <f t="shared" si="86"/>
        <v>7141.4999999999991</v>
      </c>
      <c r="CF113" s="436">
        <f t="shared" si="86"/>
        <v>7934.9999999999991</v>
      </c>
      <c r="CG113" s="436" cm="1">
        <f t="array" ref="CG113">IF($M714=0, Vide, $M714)</f>
        <v>79.349999999999994</v>
      </c>
      <c r="CH113" s="435" t="s">
        <v>762</v>
      </c>
      <c r="CI113" s="435" t="s">
        <v>762</v>
      </c>
      <c r="CJ113" s="435" t="s">
        <v>762</v>
      </c>
      <c r="CK113" s="435" t="s">
        <v>762</v>
      </c>
      <c r="CL113" s="435" t="s">
        <v>762</v>
      </c>
    </row>
    <row r="114" spans="1:90" s="437" customFormat="1">
      <c r="A114" s="435" t="s">
        <v>622</v>
      </c>
      <c r="B114" s="435" t="s">
        <v>90</v>
      </c>
      <c r="C114" s="436" cm="1">
        <f t="array" ref="C114">IF($B715=0, Vide, $B715)</f>
        <v>34.239524999999993</v>
      </c>
      <c r="D114" s="436" cm="1">
        <f t="array" ref="D114">IF($B715=0, Vide, $B715)</f>
        <v>34.239524999999993</v>
      </c>
      <c r="E114" s="436" cm="1">
        <f t="array" ref="E114">IF($B715=0, Vide, $B715)</f>
        <v>34.239524999999993</v>
      </c>
      <c r="F114" s="436" cm="1">
        <f t="array" ref="F114">IF($B715=0, Vide, $B715)</f>
        <v>34.239524999999993</v>
      </c>
      <c r="G114" s="436" cm="1">
        <f t="array" ref="G114">IF($B715=0, Vide, $B715)</f>
        <v>34.239524999999993</v>
      </c>
      <c r="H114" s="436" cm="1">
        <f t="array" ref="H114">IF($C715=0, Vide, $C715)</f>
        <v>36.500999999999998</v>
      </c>
      <c r="I114" s="436" cm="1">
        <f t="array" ref="I114">IF($C715=0, Vide, $C715)</f>
        <v>36.500999999999998</v>
      </c>
      <c r="J114" s="436" cm="1">
        <f t="array" ref="J114">IF($C715=0, Vide, $C715)</f>
        <v>36.500999999999998</v>
      </c>
      <c r="K114" s="436" cm="1">
        <f t="array" ref="K114">IF($C715=0, Vide, $C715)</f>
        <v>36.500999999999998</v>
      </c>
      <c r="L114" s="436" cm="1">
        <f t="array" ref="L114">IF($C715=0, Vide, $C715)</f>
        <v>36.500999999999998</v>
      </c>
      <c r="M114" s="436" t="s">
        <v>762</v>
      </c>
      <c r="N114" s="436" t="s">
        <v>762</v>
      </c>
      <c r="O114" s="436" t="s">
        <v>762</v>
      </c>
      <c r="P114" s="436" t="s">
        <v>762</v>
      </c>
      <c r="Q114" s="436" t="s">
        <v>762</v>
      </c>
      <c r="R114" s="436" t="s">
        <v>762</v>
      </c>
      <c r="S114" s="436" t="s">
        <v>762</v>
      </c>
      <c r="T114" s="436" t="s">
        <v>762</v>
      </c>
      <c r="U114" s="436" t="s">
        <v>762</v>
      </c>
      <c r="V114" s="436" cm="1">
        <f t="array" ref="V114">IF($D715=0, Vide, $D715)</f>
        <v>40.534624999999991</v>
      </c>
      <c r="W114" s="436" cm="1">
        <f t="array" ref="W114">IF($E715=0, Vide, $E715)</f>
        <v>44.303749999999994</v>
      </c>
      <c r="X114" s="436" cm="1">
        <f t="array" ref="X114">IF($F715=0, Vide, $F715)</f>
        <v>48.601874999999993</v>
      </c>
      <c r="Y114" s="436" cm="1">
        <f t="array" ref="Y114">IF($G715=0, Vide, $G715)</f>
        <v>52.860324999999996</v>
      </c>
      <c r="Z114" s="436" cm="1">
        <f t="array" ref="Z114">IF($H715=0, Vide, $H715)</f>
        <v>57.211349999999989</v>
      </c>
      <c r="AA114" s="436" cm="1">
        <f t="array" ref="AA114">IF($I715=0, Vide, $I715)</f>
        <v>61.535924999999992</v>
      </c>
      <c r="AB114" s="436" cm="1">
        <f t="array" ref="AB114">IF($J715=0, Vide, $J715)</f>
        <v>68.426149999999993</v>
      </c>
      <c r="AC114" s="436" cm="1">
        <f t="array" ref="AC114">IF($K715=0, Vide, $K715)</f>
        <v>75.012199999999993</v>
      </c>
      <c r="AD114" s="436" cm="1">
        <f t="array" ref="AD114">IF($L715=0, Vide, $L715)</f>
        <v>79.349999999999994</v>
      </c>
      <c r="AE114" s="436">
        <f t="shared" si="82"/>
        <v>87.284999999999997</v>
      </c>
      <c r="AF114" s="436">
        <f t="shared" si="82"/>
        <v>99.1875</v>
      </c>
      <c r="AG114" s="436">
        <f t="shared" si="82"/>
        <v>119.02499999999999</v>
      </c>
      <c r="AH114" s="436">
        <f t="shared" si="82"/>
        <v>138.86249999999998</v>
      </c>
      <c r="AI114" s="436">
        <f t="shared" si="82"/>
        <v>159.49349999999998</v>
      </c>
      <c r="AJ114" s="436">
        <f t="shared" si="82"/>
        <v>178.53749999999999</v>
      </c>
      <c r="AK114" s="436">
        <f t="shared" si="82"/>
        <v>198.375</v>
      </c>
      <c r="AL114" s="436">
        <f t="shared" si="82"/>
        <v>238.84349999999998</v>
      </c>
      <c r="AM114" s="436">
        <f t="shared" si="82"/>
        <v>257.88749999999999</v>
      </c>
      <c r="AN114" s="436">
        <f t="shared" si="82"/>
        <v>277.72499999999997</v>
      </c>
      <c r="AO114" s="436">
        <f t="shared" si="83"/>
        <v>297.5625</v>
      </c>
      <c r="AP114" s="436">
        <f t="shared" si="83"/>
        <v>318.19349999999997</v>
      </c>
      <c r="AQ114" s="436">
        <f t="shared" si="83"/>
        <v>337.23749999999995</v>
      </c>
      <c r="AR114" s="436">
        <f t="shared" si="83"/>
        <v>357.07499999999999</v>
      </c>
      <c r="AS114" s="436">
        <f t="shared" si="83"/>
        <v>376.91249999999997</v>
      </c>
      <c r="AT114" s="436">
        <f t="shared" si="83"/>
        <v>396.75</v>
      </c>
      <c r="AU114" s="436">
        <f t="shared" si="83"/>
        <v>416.58749999999998</v>
      </c>
      <c r="AV114" s="436">
        <f t="shared" si="83"/>
        <v>436.42499999999995</v>
      </c>
      <c r="AW114" s="436">
        <f t="shared" si="83"/>
        <v>456.26249999999999</v>
      </c>
      <c r="AX114" s="436">
        <f t="shared" si="83"/>
        <v>476.09999999999997</v>
      </c>
      <c r="AY114" s="436">
        <f t="shared" si="84"/>
        <v>515.77499999999998</v>
      </c>
      <c r="AZ114" s="436">
        <f t="shared" si="84"/>
        <v>555.44999999999993</v>
      </c>
      <c r="BA114" s="436">
        <f t="shared" si="84"/>
        <v>595.125</v>
      </c>
      <c r="BB114" s="436">
        <f t="shared" si="84"/>
        <v>634.79999999999995</v>
      </c>
      <c r="BC114" s="436">
        <f t="shared" si="84"/>
        <v>674.47499999999991</v>
      </c>
      <c r="BD114" s="436">
        <f t="shared" si="84"/>
        <v>714.15</v>
      </c>
      <c r="BE114" s="436">
        <f t="shared" si="84"/>
        <v>753.82499999999993</v>
      </c>
      <c r="BF114" s="436">
        <f t="shared" si="84"/>
        <v>793.5</v>
      </c>
      <c r="BG114" s="436">
        <f t="shared" si="84"/>
        <v>872.84999999999991</v>
      </c>
      <c r="BH114" s="436">
        <f t="shared" si="84"/>
        <v>952.19999999999993</v>
      </c>
      <c r="BI114" s="436">
        <f t="shared" si="85"/>
        <v>991.87499999999989</v>
      </c>
      <c r="BJ114" s="436">
        <f t="shared" si="85"/>
        <v>1031.55</v>
      </c>
      <c r="BK114" s="436">
        <f t="shared" si="85"/>
        <v>1110.8999999999999</v>
      </c>
      <c r="BL114" s="436">
        <f t="shared" si="85"/>
        <v>1190.25</v>
      </c>
      <c r="BM114" s="436">
        <f t="shared" si="85"/>
        <v>1269.5999999999999</v>
      </c>
      <c r="BN114" s="436">
        <f t="shared" si="85"/>
        <v>1348.9499999999998</v>
      </c>
      <c r="BO114" s="436">
        <f t="shared" si="85"/>
        <v>1388.625</v>
      </c>
      <c r="BP114" s="436">
        <f t="shared" si="85"/>
        <v>1428.3</v>
      </c>
      <c r="BQ114" s="436">
        <f t="shared" si="85"/>
        <v>1507.6499999999999</v>
      </c>
      <c r="BR114" s="436">
        <f t="shared" si="85"/>
        <v>1587</v>
      </c>
      <c r="BS114" s="436">
        <f t="shared" si="86"/>
        <v>1785.3749999999998</v>
      </c>
      <c r="BT114" s="436">
        <f t="shared" si="86"/>
        <v>1983.7499999999998</v>
      </c>
      <c r="BU114" s="436">
        <f t="shared" si="86"/>
        <v>2182.125</v>
      </c>
      <c r="BV114" s="436">
        <f t="shared" si="86"/>
        <v>2380.5</v>
      </c>
      <c r="BW114" s="436">
        <f t="shared" si="86"/>
        <v>2777.25</v>
      </c>
      <c r="BX114" s="436">
        <f t="shared" si="86"/>
        <v>3174</v>
      </c>
      <c r="BY114" s="436">
        <f t="shared" si="86"/>
        <v>3570.7499999999995</v>
      </c>
      <c r="BZ114" s="436">
        <f t="shared" si="86"/>
        <v>3967.4999999999995</v>
      </c>
      <c r="CA114" s="436">
        <f t="shared" si="86"/>
        <v>4364.25</v>
      </c>
      <c r="CB114" s="436">
        <f t="shared" si="86"/>
        <v>4761</v>
      </c>
      <c r="CC114" s="436">
        <f t="shared" si="86"/>
        <v>5554.5</v>
      </c>
      <c r="CD114" s="436">
        <f t="shared" si="86"/>
        <v>6348</v>
      </c>
      <c r="CE114" s="436">
        <f t="shared" si="86"/>
        <v>7141.4999999999991</v>
      </c>
      <c r="CF114" s="436">
        <f t="shared" si="86"/>
        <v>7934.9999999999991</v>
      </c>
      <c r="CG114" s="436" cm="1">
        <f t="array" ref="CG114">IF($M715=0, Vide, $M715)</f>
        <v>79.349999999999994</v>
      </c>
      <c r="CH114" s="435" t="s">
        <v>762</v>
      </c>
      <c r="CI114" s="435" t="s">
        <v>762</v>
      </c>
      <c r="CJ114" s="435" t="s">
        <v>762</v>
      </c>
      <c r="CK114" s="435" t="s">
        <v>762</v>
      </c>
      <c r="CL114" s="435" t="s">
        <v>762</v>
      </c>
    </row>
    <row r="115" spans="1:90" s="437" customFormat="1">
      <c r="A115" s="435" t="s">
        <v>623</v>
      </c>
      <c r="B115" s="435" t="s">
        <v>90</v>
      </c>
      <c r="C115" s="436" cm="1">
        <f t="array" ref="C115">IF($B716=0, Vide, $B716)</f>
        <v>34.239524999999993</v>
      </c>
      <c r="D115" s="436" cm="1">
        <f t="array" ref="D115">IF($B716=0, Vide, $B716)</f>
        <v>34.239524999999993</v>
      </c>
      <c r="E115" s="436" cm="1">
        <f t="array" ref="E115">IF($B716=0, Vide, $B716)</f>
        <v>34.239524999999993</v>
      </c>
      <c r="F115" s="436" cm="1">
        <f t="array" ref="F115">IF($B716=0, Vide, $B716)</f>
        <v>34.239524999999993</v>
      </c>
      <c r="G115" s="436" cm="1">
        <f t="array" ref="G115">IF($B716=0, Vide, $B716)</f>
        <v>34.239524999999993</v>
      </c>
      <c r="H115" s="436" cm="1">
        <f t="array" ref="H115">IF($C716=0, Vide, $C716)</f>
        <v>36.500999999999998</v>
      </c>
      <c r="I115" s="436" cm="1">
        <f t="array" ref="I115">IF($C716=0, Vide, $C716)</f>
        <v>36.500999999999998</v>
      </c>
      <c r="J115" s="436" cm="1">
        <f t="array" ref="J115">IF($C716=0, Vide, $C716)</f>
        <v>36.500999999999998</v>
      </c>
      <c r="K115" s="436" cm="1">
        <f t="array" ref="K115">IF($C716=0, Vide, $C716)</f>
        <v>36.500999999999998</v>
      </c>
      <c r="L115" s="436" cm="1">
        <f t="array" ref="L115">IF($C716=0, Vide, $C716)</f>
        <v>36.500999999999998</v>
      </c>
      <c r="M115" s="436" t="s">
        <v>762</v>
      </c>
      <c r="N115" s="436" t="s">
        <v>762</v>
      </c>
      <c r="O115" s="436" t="s">
        <v>762</v>
      </c>
      <c r="P115" s="436" t="s">
        <v>762</v>
      </c>
      <c r="Q115" s="436" t="s">
        <v>762</v>
      </c>
      <c r="R115" s="436" t="s">
        <v>762</v>
      </c>
      <c r="S115" s="436" t="s">
        <v>762</v>
      </c>
      <c r="T115" s="436" t="s">
        <v>762</v>
      </c>
      <c r="U115" s="436" t="s">
        <v>762</v>
      </c>
      <c r="V115" s="436" cm="1">
        <f t="array" ref="V115">IF($D716=0, Vide, $D716)</f>
        <v>40.534624999999991</v>
      </c>
      <c r="W115" s="436" cm="1">
        <f t="array" ref="W115">IF($E716=0, Vide, $E716)</f>
        <v>44.303749999999994</v>
      </c>
      <c r="X115" s="436" cm="1">
        <f t="array" ref="X115">IF($F716=0, Vide, $F716)</f>
        <v>48.601874999999993</v>
      </c>
      <c r="Y115" s="436" cm="1">
        <f t="array" ref="Y115">IF($G716=0, Vide, $G716)</f>
        <v>52.860324999999996</v>
      </c>
      <c r="Z115" s="436" cm="1">
        <f t="array" ref="Z115">IF($H716=0, Vide, $H716)</f>
        <v>57.211349999999989</v>
      </c>
      <c r="AA115" s="436" cm="1">
        <f t="array" ref="AA115">IF($I716=0, Vide, $I716)</f>
        <v>61.535924999999992</v>
      </c>
      <c r="AB115" s="436" cm="1">
        <f t="array" ref="AB115">IF($J716=0, Vide, $J716)</f>
        <v>68.426149999999993</v>
      </c>
      <c r="AC115" s="436" cm="1">
        <f t="array" ref="AC115">IF($K716=0, Vide, $K716)</f>
        <v>75.012199999999993</v>
      </c>
      <c r="AD115" s="436" cm="1">
        <f t="array" ref="AD115">IF($L716=0, Vide, $L716)</f>
        <v>79.349999999999994</v>
      </c>
      <c r="AE115" s="436">
        <f t="shared" si="82"/>
        <v>87.284999999999997</v>
      </c>
      <c r="AF115" s="436">
        <f t="shared" si="82"/>
        <v>99.1875</v>
      </c>
      <c r="AG115" s="436">
        <f t="shared" si="82"/>
        <v>119.02499999999999</v>
      </c>
      <c r="AH115" s="436">
        <f t="shared" si="82"/>
        <v>138.86249999999998</v>
      </c>
      <c r="AI115" s="436">
        <f t="shared" si="82"/>
        <v>159.49349999999998</v>
      </c>
      <c r="AJ115" s="436">
        <f t="shared" si="82"/>
        <v>178.53749999999999</v>
      </c>
      <c r="AK115" s="436">
        <f t="shared" si="82"/>
        <v>198.375</v>
      </c>
      <c r="AL115" s="436">
        <f t="shared" si="82"/>
        <v>238.84349999999998</v>
      </c>
      <c r="AM115" s="436">
        <f t="shared" si="82"/>
        <v>257.88749999999999</v>
      </c>
      <c r="AN115" s="436">
        <f t="shared" si="82"/>
        <v>277.72499999999997</v>
      </c>
      <c r="AO115" s="436">
        <f t="shared" si="83"/>
        <v>297.5625</v>
      </c>
      <c r="AP115" s="436">
        <f t="shared" si="83"/>
        <v>318.19349999999997</v>
      </c>
      <c r="AQ115" s="436">
        <f t="shared" si="83"/>
        <v>337.23749999999995</v>
      </c>
      <c r="AR115" s="436">
        <f t="shared" si="83"/>
        <v>357.07499999999999</v>
      </c>
      <c r="AS115" s="436">
        <f t="shared" si="83"/>
        <v>376.91249999999997</v>
      </c>
      <c r="AT115" s="436">
        <f t="shared" si="83"/>
        <v>396.75</v>
      </c>
      <c r="AU115" s="436">
        <f t="shared" si="83"/>
        <v>416.58749999999998</v>
      </c>
      <c r="AV115" s="436">
        <f t="shared" si="83"/>
        <v>436.42499999999995</v>
      </c>
      <c r="AW115" s="436">
        <f t="shared" si="83"/>
        <v>456.26249999999999</v>
      </c>
      <c r="AX115" s="436">
        <f t="shared" si="83"/>
        <v>476.09999999999997</v>
      </c>
      <c r="AY115" s="436">
        <f t="shared" si="84"/>
        <v>515.77499999999998</v>
      </c>
      <c r="AZ115" s="436">
        <f t="shared" si="84"/>
        <v>555.44999999999993</v>
      </c>
      <c r="BA115" s="436">
        <f t="shared" si="84"/>
        <v>595.125</v>
      </c>
      <c r="BB115" s="436">
        <f t="shared" si="84"/>
        <v>634.79999999999995</v>
      </c>
      <c r="BC115" s="436">
        <f t="shared" si="84"/>
        <v>674.47499999999991</v>
      </c>
      <c r="BD115" s="436">
        <f t="shared" si="84"/>
        <v>714.15</v>
      </c>
      <c r="BE115" s="436">
        <f t="shared" si="84"/>
        <v>753.82499999999993</v>
      </c>
      <c r="BF115" s="436">
        <f t="shared" si="84"/>
        <v>793.5</v>
      </c>
      <c r="BG115" s="436">
        <f t="shared" si="84"/>
        <v>872.84999999999991</v>
      </c>
      <c r="BH115" s="436">
        <f t="shared" si="84"/>
        <v>952.19999999999993</v>
      </c>
      <c r="BI115" s="436">
        <f t="shared" si="85"/>
        <v>991.87499999999989</v>
      </c>
      <c r="BJ115" s="436">
        <f t="shared" si="85"/>
        <v>1031.55</v>
      </c>
      <c r="BK115" s="436">
        <f t="shared" si="85"/>
        <v>1110.8999999999999</v>
      </c>
      <c r="BL115" s="436">
        <f t="shared" si="85"/>
        <v>1190.25</v>
      </c>
      <c r="BM115" s="436">
        <f t="shared" si="85"/>
        <v>1269.5999999999999</v>
      </c>
      <c r="BN115" s="436">
        <f t="shared" si="85"/>
        <v>1348.9499999999998</v>
      </c>
      <c r="BO115" s="436">
        <f t="shared" si="85"/>
        <v>1388.625</v>
      </c>
      <c r="BP115" s="436">
        <f t="shared" si="85"/>
        <v>1428.3</v>
      </c>
      <c r="BQ115" s="436">
        <f t="shared" si="85"/>
        <v>1507.6499999999999</v>
      </c>
      <c r="BR115" s="436">
        <f t="shared" si="85"/>
        <v>1587</v>
      </c>
      <c r="BS115" s="436">
        <f t="shared" si="86"/>
        <v>1785.3749999999998</v>
      </c>
      <c r="BT115" s="436">
        <f t="shared" si="86"/>
        <v>1983.7499999999998</v>
      </c>
      <c r="BU115" s="436">
        <f t="shared" si="86"/>
        <v>2182.125</v>
      </c>
      <c r="BV115" s="436">
        <f t="shared" si="86"/>
        <v>2380.5</v>
      </c>
      <c r="BW115" s="436">
        <f t="shared" si="86"/>
        <v>2777.25</v>
      </c>
      <c r="BX115" s="436">
        <f t="shared" si="86"/>
        <v>3174</v>
      </c>
      <c r="BY115" s="436">
        <f t="shared" si="86"/>
        <v>3570.7499999999995</v>
      </c>
      <c r="BZ115" s="436">
        <f t="shared" si="86"/>
        <v>3967.4999999999995</v>
      </c>
      <c r="CA115" s="436">
        <f t="shared" si="86"/>
        <v>4364.25</v>
      </c>
      <c r="CB115" s="436">
        <f t="shared" si="86"/>
        <v>4761</v>
      </c>
      <c r="CC115" s="436">
        <f t="shared" si="86"/>
        <v>5554.5</v>
      </c>
      <c r="CD115" s="436">
        <f t="shared" si="86"/>
        <v>6348</v>
      </c>
      <c r="CE115" s="436">
        <f t="shared" si="86"/>
        <v>7141.4999999999991</v>
      </c>
      <c r="CF115" s="436">
        <f t="shared" si="86"/>
        <v>7934.9999999999991</v>
      </c>
      <c r="CG115" s="436" cm="1">
        <f t="array" ref="CG115">IF($M716=0, Vide, $M716)</f>
        <v>79.349999999999994</v>
      </c>
      <c r="CH115" s="435" t="s">
        <v>762</v>
      </c>
      <c r="CI115" s="435" t="s">
        <v>762</v>
      </c>
      <c r="CJ115" s="435" t="s">
        <v>762</v>
      </c>
      <c r="CK115" s="435" t="s">
        <v>762</v>
      </c>
      <c r="CL115" s="435" t="s">
        <v>762</v>
      </c>
    </row>
    <row r="116" spans="1:90" s="434" customFormat="1">
      <c r="A116" s="239" t="s">
        <v>510</v>
      </c>
      <c r="B116" s="239" t="s">
        <v>626</v>
      </c>
      <c r="C116" s="433" t="s">
        <v>762</v>
      </c>
      <c r="D116" s="433" t="s">
        <v>762</v>
      </c>
      <c r="E116" s="433" t="s">
        <v>762</v>
      </c>
      <c r="F116" s="433" t="s">
        <v>762</v>
      </c>
      <c r="G116" s="433" t="s">
        <v>762</v>
      </c>
      <c r="H116" s="433" t="s">
        <v>762</v>
      </c>
      <c r="I116" s="433" t="s">
        <v>762</v>
      </c>
      <c r="J116" s="433" t="s">
        <v>762</v>
      </c>
      <c r="K116" s="433" t="s">
        <v>762</v>
      </c>
      <c r="L116" s="433" t="s">
        <v>762</v>
      </c>
      <c r="M116" s="433" t="s">
        <v>762</v>
      </c>
      <c r="N116" s="433" t="s">
        <v>762</v>
      </c>
      <c r="O116" s="433" t="s">
        <v>762</v>
      </c>
      <c r="P116" s="433" t="s">
        <v>762</v>
      </c>
      <c r="Q116" s="433" t="s">
        <v>762</v>
      </c>
      <c r="R116" s="433" t="s">
        <v>762</v>
      </c>
      <c r="S116" s="433" t="s">
        <v>762</v>
      </c>
      <c r="T116" s="433" t="s">
        <v>762</v>
      </c>
      <c r="U116" s="433" t="s">
        <v>762</v>
      </c>
      <c r="V116" s="433" t="s">
        <v>762</v>
      </c>
      <c r="W116" s="433" t="s">
        <v>762</v>
      </c>
      <c r="X116" s="433" t="s">
        <v>762</v>
      </c>
      <c r="Y116" s="433" t="s">
        <v>762</v>
      </c>
      <c r="Z116" s="433" t="s">
        <v>762</v>
      </c>
      <c r="AA116" s="433" t="s">
        <v>762</v>
      </c>
      <c r="AB116" s="433" t="s">
        <v>762</v>
      </c>
      <c r="AC116" s="433" t="s">
        <v>762</v>
      </c>
      <c r="AD116" s="433" t="s">
        <v>762</v>
      </c>
      <c r="AE116" s="433" t="s">
        <v>762</v>
      </c>
      <c r="AF116" s="433" t="s">
        <v>762</v>
      </c>
      <c r="AG116" s="433" t="s">
        <v>762</v>
      </c>
      <c r="AH116" s="433" t="s">
        <v>762</v>
      </c>
      <c r="AI116" s="433" t="s">
        <v>762</v>
      </c>
      <c r="AJ116" s="433" t="s">
        <v>762</v>
      </c>
      <c r="AK116" s="433" t="s">
        <v>762</v>
      </c>
      <c r="AL116" s="433" t="s">
        <v>762</v>
      </c>
      <c r="AM116" s="433" t="s">
        <v>762</v>
      </c>
      <c r="AN116" s="433" t="s">
        <v>762</v>
      </c>
      <c r="AO116" s="433" t="s">
        <v>762</v>
      </c>
      <c r="AP116" s="433" t="s">
        <v>762</v>
      </c>
      <c r="AQ116" s="433" t="s">
        <v>762</v>
      </c>
      <c r="AR116" s="433" t="s">
        <v>762</v>
      </c>
      <c r="AS116" s="433" t="s">
        <v>762</v>
      </c>
      <c r="AT116" s="433" t="s">
        <v>762</v>
      </c>
      <c r="AU116" s="433" t="s">
        <v>762</v>
      </c>
      <c r="AV116" s="433" t="s">
        <v>762</v>
      </c>
      <c r="AW116" s="433" t="s">
        <v>762</v>
      </c>
      <c r="AX116" s="433" t="s">
        <v>762</v>
      </c>
      <c r="AY116" s="433" t="s">
        <v>762</v>
      </c>
      <c r="AZ116" s="433" t="s">
        <v>762</v>
      </c>
      <c r="BA116" s="433" t="s">
        <v>762</v>
      </c>
      <c r="BB116" s="433" t="s">
        <v>762</v>
      </c>
      <c r="BC116" s="433" t="s">
        <v>762</v>
      </c>
      <c r="BD116" s="433" t="s">
        <v>762</v>
      </c>
      <c r="BE116" s="433" t="s">
        <v>762</v>
      </c>
      <c r="BF116" s="433" t="s">
        <v>762</v>
      </c>
      <c r="BG116" s="433" t="s">
        <v>762</v>
      </c>
      <c r="BH116" s="433" t="s">
        <v>762</v>
      </c>
      <c r="BI116" s="433" t="s">
        <v>762</v>
      </c>
      <c r="BJ116" s="433" t="s">
        <v>762</v>
      </c>
      <c r="BK116" s="433" t="s">
        <v>762</v>
      </c>
      <c r="BL116" s="433" t="s">
        <v>762</v>
      </c>
      <c r="BM116" s="433" t="s">
        <v>762</v>
      </c>
      <c r="BN116" s="433" t="s">
        <v>762</v>
      </c>
      <c r="BO116" s="433" t="s">
        <v>762</v>
      </c>
      <c r="BP116" s="433" t="s">
        <v>762</v>
      </c>
      <c r="BQ116" s="433" t="s">
        <v>762</v>
      </c>
      <c r="BR116" s="433" t="s">
        <v>762</v>
      </c>
      <c r="BS116" s="433" t="s">
        <v>762</v>
      </c>
      <c r="BT116" s="433" t="s">
        <v>762</v>
      </c>
      <c r="BU116" s="433" t="s">
        <v>762</v>
      </c>
      <c r="BV116" s="433" t="s">
        <v>762</v>
      </c>
      <c r="BW116" s="433" t="s">
        <v>762</v>
      </c>
      <c r="BX116" s="433" t="s">
        <v>762</v>
      </c>
      <c r="BY116" s="433" t="s">
        <v>762</v>
      </c>
      <c r="BZ116" s="433" t="s">
        <v>762</v>
      </c>
      <c r="CA116" s="433" t="s">
        <v>762</v>
      </c>
      <c r="CB116" s="433" t="s">
        <v>762</v>
      </c>
      <c r="CC116" s="433" t="s">
        <v>762</v>
      </c>
      <c r="CD116" s="433" t="s">
        <v>762</v>
      </c>
      <c r="CE116" s="433" t="s">
        <v>762</v>
      </c>
      <c r="CF116" s="433" t="s">
        <v>762</v>
      </c>
      <c r="CG116" s="239" t="s">
        <v>762</v>
      </c>
      <c r="CH116" s="239" t="s">
        <v>762</v>
      </c>
      <c r="CI116" s="239" t="s">
        <v>762</v>
      </c>
      <c r="CJ116" s="239" t="s">
        <v>762</v>
      </c>
      <c r="CK116" s="239" t="s">
        <v>762</v>
      </c>
      <c r="CL116" s="239" t="s">
        <v>762</v>
      </c>
    </row>
    <row r="117" spans="1:90" s="434" customFormat="1">
      <c r="A117" s="239" t="s">
        <v>511</v>
      </c>
      <c r="B117" s="239" t="s">
        <v>626</v>
      </c>
      <c r="C117" s="433" t="s">
        <v>762</v>
      </c>
      <c r="D117" s="433" t="s">
        <v>762</v>
      </c>
      <c r="E117" s="433" t="s">
        <v>762</v>
      </c>
      <c r="F117" s="433" t="s">
        <v>762</v>
      </c>
      <c r="G117" s="433" t="s">
        <v>762</v>
      </c>
      <c r="H117" s="433" t="s">
        <v>762</v>
      </c>
      <c r="I117" s="433" t="s">
        <v>762</v>
      </c>
      <c r="J117" s="433" t="s">
        <v>762</v>
      </c>
      <c r="K117" s="433" t="s">
        <v>762</v>
      </c>
      <c r="L117" s="433" t="s">
        <v>762</v>
      </c>
      <c r="M117" s="433" t="s">
        <v>762</v>
      </c>
      <c r="N117" s="433" t="s">
        <v>762</v>
      </c>
      <c r="O117" s="433" t="s">
        <v>762</v>
      </c>
      <c r="P117" s="433" t="s">
        <v>762</v>
      </c>
      <c r="Q117" s="433" t="s">
        <v>762</v>
      </c>
      <c r="R117" s="433" t="s">
        <v>762</v>
      </c>
      <c r="S117" s="433" t="s">
        <v>762</v>
      </c>
      <c r="T117" s="433" t="s">
        <v>762</v>
      </c>
      <c r="U117" s="433" t="s">
        <v>762</v>
      </c>
      <c r="V117" s="433" t="s">
        <v>762</v>
      </c>
      <c r="W117" s="433" t="s">
        <v>762</v>
      </c>
      <c r="X117" s="433" t="s">
        <v>762</v>
      </c>
      <c r="Y117" s="433" t="s">
        <v>762</v>
      </c>
      <c r="Z117" s="433" t="s">
        <v>762</v>
      </c>
      <c r="AA117" s="433" t="s">
        <v>762</v>
      </c>
      <c r="AB117" s="433" t="s">
        <v>762</v>
      </c>
      <c r="AC117" s="433" t="s">
        <v>762</v>
      </c>
      <c r="AD117" s="433" t="s">
        <v>762</v>
      </c>
      <c r="AE117" s="433" t="s">
        <v>762</v>
      </c>
      <c r="AF117" s="433" t="s">
        <v>762</v>
      </c>
      <c r="AG117" s="433" t="s">
        <v>762</v>
      </c>
      <c r="AH117" s="433" t="s">
        <v>762</v>
      </c>
      <c r="AI117" s="433" t="s">
        <v>762</v>
      </c>
      <c r="AJ117" s="433" t="s">
        <v>762</v>
      </c>
      <c r="AK117" s="433" t="s">
        <v>762</v>
      </c>
      <c r="AL117" s="433" t="s">
        <v>762</v>
      </c>
      <c r="AM117" s="433" t="s">
        <v>762</v>
      </c>
      <c r="AN117" s="433" t="s">
        <v>762</v>
      </c>
      <c r="AO117" s="433" t="s">
        <v>762</v>
      </c>
      <c r="AP117" s="433" t="s">
        <v>762</v>
      </c>
      <c r="AQ117" s="433" t="s">
        <v>762</v>
      </c>
      <c r="AR117" s="433" t="s">
        <v>762</v>
      </c>
      <c r="AS117" s="433" t="s">
        <v>762</v>
      </c>
      <c r="AT117" s="433" t="s">
        <v>762</v>
      </c>
      <c r="AU117" s="433" t="s">
        <v>762</v>
      </c>
      <c r="AV117" s="433" t="s">
        <v>762</v>
      </c>
      <c r="AW117" s="433" t="s">
        <v>762</v>
      </c>
      <c r="AX117" s="433" t="s">
        <v>762</v>
      </c>
      <c r="AY117" s="433" t="s">
        <v>762</v>
      </c>
      <c r="AZ117" s="433" t="s">
        <v>762</v>
      </c>
      <c r="BA117" s="433" t="s">
        <v>762</v>
      </c>
      <c r="BB117" s="433" t="s">
        <v>762</v>
      </c>
      <c r="BC117" s="433" t="s">
        <v>762</v>
      </c>
      <c r="BD117" s="433" t="s">
        <v>762</v>
      </c>
      <c r="BE117" s="433" t="s">
        <v>762</v>
      </c>
      <c r="BF117" s="433" t="s">
        <v>762</v>
      </c>
      <c r="BG117" s="433" t="s">
        <v>762</v>
      </c>
      <c r="BH117" s="433" t="s">
        <v>762</v>
      </c>
      <c r="BI117" s="433" t="s">
        <v>762</v>
      </c>
      <c r="BJ117" s="433" t="s">
        <v>762</v>
      </c>
      <c r="BK117" s="433" t="s">
        <v>762</v>
      </c>
      <c r="BL117" s="433" t="s">
        <v>762</v>
      </c>
      <c r="BM117" s="433" t="s">
        <v>762</v>
      </c>
      <c r="BN117" s="433" t="s">
        <v>762</v>
      </c>
      <c r="BO117" s="433" t="s">
        <v>762</v>
      </c>
      <c r="BP117" s="433" t="s">
        <v>762</v>
      </c>
      <c r="BQ117" s="433" t="s">
        <v>762</v>
      </c>
      <c r="BR117" s="433" t="s">
        <v>762</v>
      </c>
      <c r="BS117" s="433" t="s">
        <v>762</v>
      </c>
      <c r="BT117" s="433" t="s">
        <v>762</v>
      </c>
      <c r="BU117" s="433" t="s">
        <v>762</v>
      </c>
      <c r="BV117" s="433" t="s">
        <v>762</v>
      </c>
      <c r="BW117" s="433" t="s">
        <v>762</v>
      </c>
      <c r="BX117" s="433" t="s">
        <v>762</v>
      </c>
      <c r="BY117" s="433" t="s">
        <v>762</v>
      </c>
      <c r="BZ117" s="433" t="s">
        <v>762</v>
      </c>
      <c r="CA117" s="433" t="s">
        <v>762</v>
      </c>
      <c r="CB117" s="433" t="s">
        <v>762</v>
      </c>
      <c r="CC117" s="433" t="s">
        <v>762</v>
      </c>
      <c r="CD117" s="433" t="s">
        <v>762</v>
      </c>
      <c r="CE117" s="433" t="s">
        <v>762</v>
      </c>
      <c r="CF117" s="433" t="s">
        <v>762</v>
      </c>
      <c r="CG117" s="239" t="s">
        <v>762</v>
      </c>
      <c r="CH117" s="239" t="s">
        <v>762</v>
      </c>
      <c r="CI117" s="239" t="s">
        <v>762</v>
      </c>
      <c r="CJ117" s="239" t="s">
        <v>762</v>
      </c>
      <c r="CK117" s="239" t="s">
        <v>762</v>
      </c>
      <c r="CL117" s="239" t="s">
        <v>762</v>
      </c>
    </row>
    <row r="118" spans="1:90" s="434" customFormat="1">
      <c r="A118" s="239" t="s">
        <v>512</v>
      </c>
      <c r="B118" s="239" t="s">
        <v>626</v>
      </c>
      <c r="C118" s="433" t="s">
        <v>762</v>
      </c>
      <c r="D118" s="433" t="s">
        <v>762</v>
      </c>
      <c r="E118" s="433" t="s">
        <v>762</v>
      </c>
      <c r="F118" s="433" t="s">
        <v>762</v>
      </c>
      <c r="G118" s="433" t="s">
        <v>762</v>
      </c>
      <c r="H118" s="433" t="s">
        <v>762</v>
      </c>
      <c r="I118" s="433" t="s">
        <v>762</v>
      </c>
      <c r="J118" s="433" t="s">
        <v>762</v>
      </c>
      <c r="K118" s="433" t="s">
        <v>762</v>
      </c>
      <c r="L118" s="433" t="s">
        <v>762</v>
      </c>
      <c r="M118" s="433" t="s">
        <v>762</v>
      </c>
      <c r="N118" s="433" t="s">
        <v>762</v>
      </c>
      <c r="O118" s="433" t="s">
        <v>762</v>
      </c>
      <c r="P118" s="433" t="s">
        <v>762</v>
      </c>
      <c r="Q118" s="433" t="s">
        <v>762</v>
      </c>
      <c r="R118" s="433" t="s">
        <v>762</v>
      </c>
      <c r="S118" s="433" t="s">
        <v>762</v>
      </c>
      <c r="T118" s="433" t="s">
        <v>762</v>
      </c>
      <c r="U118" s="433" t="s">
        <v>762</v>
      </c>
      <c r="V118" s="433" t="s">
        <v>762</v>
      </c>
      <c r="W118" s="433" t="s">
        <v>762</v>
      </c>
      <c r="X118" s="433" t="s">
        <v>762</v>
      </c>
      <c r="Y118" s="433" t="s">
        <v>762</v>
      </c>
      <c r="Z118" s="433" t="s">
        <v>762</v>
      </c>
      <c r="AA118" s="433" t="s">
        <v>762</v>
      </c>
      <c r="AB118" s="433" t="s">
        <v>762</v>
      </c>
      <c r="AC118" s="433" t="s">
        <v>762</v>
      </c>
      <c r="AD118" s="433" t="s">
        <v>762</v>
      </c>
      <c r="AE118" s="433" t="s">
        <v>762</v>
      </c>
      <c r="AF118" s="433" t="s">
        <v>762</v>
      </c>
      <c r="AG118" s="433" t="s">
        <v>762</v>
      </c>
      <c r="AH118" s="433" t="s">
        <v>762</v>
      </c>
      <c r="AI118" s="433" t="s">
        <v>762</v>
      </c>
      <c r="AJ118" s="433" t="s">
        <v>762</v>
      </c>
      <c r="AK118" s="433" t="s">
        <v>762</v>
      </c>
      <c r="AL118" s="433" t="s">
        <v>762</v>
      </c>
      <c r="AM118" s="433" t="s">
        <v>762</v>
      </c>
      <c r="AN118" s="433" t="s">
        <v>762</v>
      </c>
      <c r="AO118" s="433" t="s">
        <v>762</v>
      </c>
      <c r="AP118" s="433" t="s">
        <v>762</v>
      </c>
      <c r="AQ118" s="433" t="s">
        <v>762</v>
      </c>
      <c r="AR118" s="433" t="s">
        <v>762</v>
      </c>
      <c r="AS118" s="433" t="s">
        <v>762</v>
      </c>
      <c r="AT118" s="433" t="s">
        <v>762</v>
      </c>
      <c r="AU118" s="433" t="s">
        <v>762</v>
      </c>
      <c r="AV118" s="433" t="s">
        <v>762</v>
      </c>
      <c r="AW118" s="433" t="s">
        <v>762</v>
      </c>
      <c r="AX118" s="433" t="s">
        <v>762</v>
      </c>
      <c r="AY118" s="433" t="s">
        <v>762</v>
      </c>
      <c r="AZ118" s="433" t="s">
        <v>762</v>
      </c>
      <c r="BA118" s="433" t="s">
        <v>762</v>
      </c>
      <c r="BB118" s="433" t="s">
        <v>762</v>
      </c>
      <c r="BC118" s="433" t="s">
        <v>762</v>
      </c>
      <c r="BD118" s="433" t="s">
        <v>762</v>
      </c>
      <c r="BE118" s="433" t="s">
        <v>762</v>
      </c>
      <c r="BF118" s="433" t="s">
        <v>762</v>
      </c>
      <c r="BG118" s="433" t="s">
        <v>762</v>
      </c>
      <c r="BH118" s="433" t="s">
        <v>762</v>
      </c>
      <c r="BI118" s="433" t="s">
        <v>762</v>
      </c>
      <c r="BJ118" s="433" t="s">
        <v>762</v>
      </c>
      <c r="BK118" s="433" t="s">
        <v>762</v>
      </c>
      <c r="BL118" s="433" t="s">
        <v>762</v>
      </c>
      <c r="BM118" s="433" t="s">
        <v>762</v>
      </c>
      <c r="BN118" s="433" t="s">
        <v>762</v>
      </c>
      <c r="BO118" s="433" t="s">
        <v>762</v>
      </c>
      <c r="BP118" s="433" t="s">
        <v>762</v>
      </c>
      <c r="BQ118" s="433" t="s">
        <v>762</v>
      </c>
      <c r="BR118" s="433" t="s">
        <v>762</v>
      </c>
      <c r="BS118" s="433" t="s">
        <v>762</v>
      </c>
      <c r="BT118" s="433" t="s">
        <v>762</v>
      </c>
      <c r="BU118" s="433" t="s">
        <v>762</v>
      </c>
      <c r="BV118" s="433" t="s">
        <v>762</v>
      </c>
      <c r="BW118" s="433" t="s">
        <v>762</v>
      </c>
      <c r="BX118" s="433" t="s">
        <v>762</v>
      </c>
      <c r="BY118" s="433" t="s">
        <v>762</v>
      </c>
      <c r="BZ118" s="433" t="s">
        <v>762</v>
      </c>
      <c r="CA118" s="433" t="s">
        <v>762</v>
      </c>
      <c r="CB118" s="433" t="s">
        <v>762</v>
      </c>
      <c r="CC118" s="433" t="s">
        <v>762</v>
      </c>
      <c r="CD118" s="433" t="s">
        <v>762</v>
      </c>
      <c r="CE118" s="433" t="s">
        <v>762</v>
      </c>
      <c r="CF118" s="433" t="s">
        <v>762</v>
      </c>
      <c r="CG118" s="239" t="s">
        <v>762</v>
      </c>
      <c r="CH118" s="239" t="s">
        <v>762</v>
      </c>
      <c r="CI118" s="239" t="s">
        <v>762</v>
      </c>
      <c r="CJ118" s="239" t="s">
        <v>762</v>
      </c>
      <c r="CK118" s="239" t="s">
        <v>762</v>
      </c>
      <c r="CL118" s="239" t="s">
        <v>762</v>
      </c>
    </row>
    <row r="119" spans="1:90" s="434" customFormat="1">
      <c r="A119" s="239" t="s">
        <v>513</v>
      </c>
      <c r="B119" s="239" t="s">
        <v>626</v>
      </c>
      <c r="C119" s="433" t="s">
        <v>762</v>
      </c>
      <c r="D119" s="433" t="s">
        <v>762</v>
      </c>
      <c r="E119" s="433" t="s">
        <v>762</v>
      </c>
      <c r="F119" s="433" t="s">
        <v>762</v>
      </c>
      <c r="G119" s="433" t="s">
        <v>762</v>
      </c>
      <c r="H119" s="433" t="s">
        <v>762</v>
      </c>
      <c r="I119" s="433" t="s">
        <v>762</v>
      </c>
      <c r="J119" s="433" t="s">
        <v>762</v>
      </c>
      <c r="K119" s="433" t="s">
        <v>762</v>
      </c>
      <c r="L119" s="433" t="s">
        <v>762</v>
      </c>
      <c r="M119" s="433" t="s">
        <v>762</v>
      </c>
      <c r="N119" s="433" t="s">
        <v>762</v>
      </c>
      <c r="O119" s="433" t="s">
        <v>762</v>
      </c>
      <c r="P119" s="433" t="s">
        <v>762</v>
      </c>
      <c r="Q119" s="433" t="s">
        <v>762</v>
      </c>
      <c r="R119" s="433" t="s">
        <v>762</v>
      </c>
      <c r="S119" s="433" t="s">
        <v>762</v>
      </c>
      <c r="T119" s="433" t="s">
        <v>762</v>
      </c>
      <c r="U119" s="433" t="s">
        <v>762</v>
      </c>
      <c r="V119" s="433" t="s">
        <v>762</v>
      </c>
      <c r="W119" s="433" t="s">
        <v>762</v>
      </c>
      <c r="X119" s="433" t="s">
        <v>762</v>
      </c>
      <c r="Y119" s="433" t="s">
        <v>762</v>
      </c>
      <c r="Z119" s="433" t="s">
        <v>762</v>
      </c>
      <c r="AA119" s="433" t="s">
        <v>762</v>
      </c>
      <c r="AB119" s="433" t="s">
        <v>762</v>
      </c>
      <c r="AC119" s="433" t="s">
        <v>762</v>
      </c>
      <c r="AD119" s="433" t="s">
        <v>762</v>
      </c>
      <c r="AE119" s="433" t="s">
        <v>762</v>
      </c>
      <c r="AF119" s="433" t="s">
        <v>762</v>
      </c>
      <c r="AG119" s="433" t="s">
        <v>762</v>
      </c>
      <c r="AH119" s="433" t="s">
        <v>762</v>
      </c>
      <c r="AI119" s="433" t="s">
        <v>762</v>
      </c>
      <c r="AJ119" s="433" t="s">
        <v>762</v>
      </c>
      <c r="AK119" s="433" t="s">
        <v>762</v>
      </c>
      <c r="AL119" s="433" t="s">
        <v>762</v>
      </c>
      <c r="AM119" s="433" t="s">
        <v>762</v>
      </c>
      <c r="AN119" s="433" t="s">
        <v>762</v>
      </c>
      <c r="AO119" s="433" t="s">
        <v>762</v>
      </c>
      <c r="AP119" s="433" t="s">
        <v>762</v>
      </c>
      <c r="AQ119" s="433" t="s">
        <v>762</v>
      </c>
      <c r="AR119" s="433" t="s">
        <v>762</v>
      </c>
      <c r="AS119" s="433" t="s">
        <v>762</v>
      </c>
      <c r="AT119" s="433" t="s">
        <v>762</v>
      </c>
      <c r="AU119" s="433" t="s">
        <v>762</v>
      </c>
      <c r="AV119" s="433" t="s">
        <v>762</v>
      </c>
      <c r="AW119" s="433" t="s">
        <v>762</v>
      </c>
      <c r="AX119" s="433" t="s">
        <v>762</v>
      </c>
      <c r="AY119" s="433" t="s">
        <v>762</v>
      </c>
      <c r="AZ119" s="433" t="s">
        <v>762</v>
      </c>
      <c r="BA119" s="433" t="s">
        <v>762</v>
      </c>
      <c r="BB119" s="433" t="s">
        <v>762</v>
      </c>
      <c r="BC119" s="433" t="s">
        <v>762</v>
      </c>
      <c r="BD119" s="433" t="s">
        <v>762</v>
      </c>
      <c r="BE119" s="433" t="s">
        <v>762</v>
      </c>
      <c r="BF119" s="433" t="s">
        <v>762</v>
      </c>
      <c r="BG119" s="433" t="s">
        <v>762</v>
      </c>
      <c r="BH119" s="433" t="s">
        <v>762</v>
      </c>
      <c r="BI119" s="433" t="s">
        <v>762</v>
      </c>
      <c r="BJ119" s="433" t="s">
        <v>762</v>
      </c>
      <c r="BK119" s="433" t="s">
        <v>762</v>
      </c>
      <c r="BL119" s="433" t="s">
        <v>762</v>
      </c>
      <c r="BM119" s="433" t="s">
        <v>762</v>
      </c>
      <c r="BN119" s="433" t="s">
        <v>762</v>
      </c>
      <c r="BO119" s="433" t="s">
        <v>762</v>
      </c>
      <c r="BP119" s="433" t="s">
        <v>762</v>
      </c>
      <c r="BQ119" s="433" t="s">
        <v>762</v>
      </c>
      <c r="BR119" s="433" t="s">
        <v>762</v>
      </c>
      <c r="BS119" s="433" t="s">
        <v>762</v>
      </c>
      <c r="BT119" s="433" t="s">
        <v>762</v>
      </c>
      <c r="BU119" s="433" t="s">
        <v>762</v>
      </c>
      <c r="BV119" s="433" t="s">
        <v>762</v>
      </c>
      <c r="BW119" s="433" t="s">
        <v>762</v>
      </c>
      <c r="BX119" s="433" t="s">
        <v>762</v>
      </c>
      <c r="BY119" s="433" t="s">
        <v>762</v>
      </c>
      <c r="BZ119" s="433" t="s">
        <v>762</v>
      </c>
      <c r="CA119" s="433" t="s">
        <v>762</v>
      </c>
      <c r="CB119" s="433" t="s">
        <v>762</v>
      </c>
      <c r="CC119" s="433" t="s">
        <v>762</v>
      </c>
      <c r="CD119" s="433" t="s">
        <v>762</v>
      </c>
      <c r="CE119" s="433" t="s">
        <v>762</v>
      </c>
      <c r="CF119" s="433" t="s">
        <v>762</v>
      </c>
      <c r="CG119" s="239" t="s">
        <v>762</v>
      </c>
      <c r="CH119" s="239" t="s">
        <v>762</v>
      </c>
      <c r="CI119" s="239" t="s">
        <v>762</v>
      </c>
      <c r="CJ119" s="239" t="s">
        <v>762</v>
      </c>
      <c r="CK119" s="239" t="s">
        <v>762</v>
      </c>
      <c r="CL119" s="239" t="s">
        <v>762</v>
      </c>
    </row>
    <row r="120" spans="1:90" s="434" customFormat="1">
      <c r="A120" s="239" t="s">
        <v>514</v>
      </c>
      <c r="B120" s="239" t="s">
        <v>626</v>
      </c>
      <c r="C120" s="433" t="s">
        <v>762</v>
      </c>
      <c r="D120" s="433" t="s">
        <v>762</v>
      </c>
      <c r="E120" s="433" t="s">
        <v>762</v>
      </c>
      <c r="F120" s="433" t="s">
        <v>762</v>
      </c>
      <c r="G120" s="433" t="s">
        <v>762</v>
      </c>
      <c r="H120" s="433" t="s">
        <v>762</v>
      </c>
      <c r="I120" s="433" t="s">
        <v>762</v>
      </c>
      <c r="J120" s="433" t="s">
        <v>762</v>
      </c>
      <c r="K120" s="433" t="s">
        <v>762</v>
      </c>
      <c r="L120" s="433" t="s">
        <v>762</v>
      </c>
      <c r="M120" s="433" t="s">
        <v>762</v>
      </c>
      <c r="N120" s="433" t="s">
        <v>762</v>
      </c>
      <c r="O120" s="433" t="s">
        <v>762</v>
      </c>
      <c r="P120" s="433" t="s">
        <v>762</v>
      </c>
      <c r="Q120" s="433" t="s">
        <v>762</v>
      </c>
      <c r="R120" s="433" t="s">
        <v>762</v>
      </c>
      <c r="S120" s="433" t="s">
        <v>762</v>
      </c>
      <c r="T120" s="433" t="s">
        <v>762</v>
      </c>
      <c r="U120" s="433" t="s">
        <v>762</v>
      </c>
      <c r="V120" s="433" t="s">
        <v>762</v>
      </c>
      <c r="W120" s="433" t="s">
        <v>762</v>
      </c>
      <c r="X120" s="433" t="s">
        <v>762</v>
      </c>
      <c r="Y120" s="433" t="s">
        <v>762</v>
      </c>
      <c r="Z120" s="433" t="s">
        <v>762</v>
      </c>
      <c r="AA120" s="433" t="s">
        <v>762</v>
      </c>
      <c r="AB120" s="433" t="s">
        <v>762</v>
      </c>
      <c r="AC120" s="433" t="s">
        <v>762</v>
      </c>
      <c r="AD120" s="433" t="s">
        <v>762</v>
      </c>
      <c r="AE120" s="433" t="s">
        <v>762</v>
      </c>
      <c r="AF120" s="433" t="s">
        <v>762</v>
      </c>
      <c r="AG120" s="433" t="s">
        <v>762</v>
      </c>
      <c r="AH120" s="433" t="s">
        <v>762</v>
      </c>
      <c r="AI120" s="433" t="s">
        <v>762</v>
      </c>
      <c r="AJ120" s="433" t="s">
        <v>762</v>
      </c>
      <c r="AK120" s="433" t="s">
        <v>762</v>
      </c>
      <c r="AL120" s="433" t="s">
        <v>762</v>
      </c>
      <c r="AM120" s="433" t="s">
        <v>762</v>
      </c>
      <c r="AN120" s="433" t="s">
        <v>762</v>
      </c>
      <c r="AO120" s="433" t="s">
        <v>762</v>
      </c>
      <c r="AP120" s="433" t="s">
        <v>762</v>
      </c>
      <c r="AQ120" s="433" t="s">
        <v>762</v>
      </c>
      <c r="AR120" s="433" t="s">
        <v>762</v>
      </c>
      <c r="AS120" s="433" t="s">
        <v>762</v>
      </c>
      <c r="AT120" s="433" t="s">
        <v>762</v>
      </c>
      <c r="AU120" s="433" t="s">
        <v>762</v>
      </c>
      <c r="AV120" s="433" t="s">
        <v>762</v>
      </c>
      <c r="AW120" s="433" t="s">
        <v>762</v>
      </c>
      <c r="AX120" s="433" t="s">
        <v>762</v>
      </c>
      <c r="AY120" s="433" t="s">
        <v>762</v>
      </c>
      <c r="AZ120" s="433" t="s">
        <v>762</v>
      </c>
      <c r="BA120" s="433" t="s">
        <v>762</v>
      </c>
      <c r="BB120" s="433" t="s">
        <v>762</v>
      </c>
      <c r="BC120" s="433" t="s">
        <v>762</v>
      </c>
      <c r="BD120" s="433" t="s">
        <v>762</v>
      </c>
      <c r="BE120" s="433" t="s">
        <v>762</v>
      </c>
      <c r="BF120" s="433" t="s">
        <v>762</v>
      </c>
      <c r="BG120" s="433" t="s">
        <v>762</v>
      </c>
      <c r="BH120" s="433" t="s">
        <v>762</v>
      </c>
      <c r="BI120" s="433" t="s">
        <v>762</v>
      </c>
      <c r="BJ120" s="433" t="s">
        <v>762</v>
      </c>
      <c r="BK120" s="433" t="s">
        <v>762</v>
      </c>
      <c r="BL120" s="433" t="s">
        <v>762</v>
      </c>
      <c r="BM120" s="433" t="s">
        <v>762</v>
      </c>
      <c r="BN120" s="433" t="s">
        <v>762</v>
      </c>
      <c r="BO120" s="433" t="s">
        <v>762</v>
      </c>
      <c r="BP120" s="433" t="s">
        <v>762</v>
      </c>
      <c r="BQ120" s="433" t="s">
        <v>762</v>
      </c>
      <c r="BR120" s="433" t="s">
        <v>762</v>
      </c>
      <c r="BS120" s="433" t="s">
        <v>762</v>
      </c>
      <c r="BT120" s="433" t="s">
        <v>762</v>
      </c>
      <c r="BU120" s="433" t="s">
        <v>762</v>
      </c>
      <c r="BV120" s="433" t="s">
        <v>762</v>
      </c>
      <c r="BW120" s="433" t="s">
        <v>762</v>
      </c>
      <c r="BX120" s="433" t="s">
        <v>762</v>
      </c>
      <c r="BY120" s="433" t="s">
        <v>762</v>
      </c>
      <c r="BZ120" s="433" t="s">
        <v>762</v>
      </c>
      <c r="CA120" s="433" t="s">
        <v>762</v>
      </c>
      <c r="CB120" s="433" t="s">
        <v>762</v>
      </c>
      <c r="CC120" s="433" t="s">
        <v>762</v>
      </c>
      <c r="CD120" s="433" t="s">
        <v>762</v>
      </c>
      <c r="CE120" s="433" t="s">
        <v>762</v>
      </c>
      <c r="CF120" s="433" t="s">
        <v>762</v>
      </c>
      <c r="CG120" s="239" t="s">
        <v>762</v>
      </c>
      <c r="CH120" s="239" t="s">
        <v>762</v>
      </c>
      <c r="CI120" s="239" t="s">
        <v>762</v>
      </c>
      <c r="CJ120" s="239" t="s">
        <v>762</v>
      </c>
      <c r="CK120" s="239" t="s">
        <v>762</v>
      </c>
      <c r="CL120" s="239" t="s">
        <v>762</v>
      </c>
    </row>
    <row r="121" spans="1:90" s="434" customFormat="1">
      <c r="A121" s="239" t="s">
        <v>515</v>
      </c>
      <c r="B121" s="239" t="s">
        <v>626</v>
      </c>
      <c r="C121" s="433" t="s">
        <v>762</v>
      </c>
      <c r="D121" s="433" t="s">
        <v>762</v>
      </c>
      <c r="E121" s="433" t="s">
        <v>762</v>
      </c>
      <c r="F121" s="433" t="s">
        <v>762</v>
      </c>
      <c r="G121" s="433" t="s">
        <v>762</v>
      </c>
      <c r="H121" s="433" t="s">
        <v>762</v>
      </c>
      <c r="I121" s="433" t="s">
        <v>762</v>
      </c>
      <c r="J121" s="433" t="s">
        <v>762</v>
      </c>
      <c r="K121" s="433" t="s">
        <v>762</v>
      </c>
      <c r="L121" s="433" t="s">
        <v>762</v>
      </c>
      <c r="M121" s="433" t="s">
        <v>762</v>
      </c>
      <c r="N121" s="433" t="s">
        <v>762</v>
      </c>
      <c r="O121" s="433" t="s">
        <v>762</v>
      </c>
      <c r="P121" s="433" t="s">
        <v>762</v>
      </c>
      <c r="Q121" s="433" t="s">
        <v>762</v>
      </c>
      <c r="R121" s="433" t="s">
        <v>762</v>
      </c>
      <c r="S121" s="433" t="s">
        <v>762</v>
      </c>
      <c r="T121" s="433" t="s">
        <v>762</v>
      </c>
      <c r="U121" s="433" t="s">
        <v>762</v>
      </c>
      <c r="V121" s="433" t="s">
        <v>762</v>
      </c>
      <c r="W121" s="433" t="s">
        <v>762</v>
      </c>
      <c r="X121" s="433" t="s">
        <v>762</v>
      </c>
      <c r="Y121" s="433" t="s">
        <v>762</v>
      </c>
      <c r="Z121" s="433" t="s">
        <v>762</v>
      </c>
      <c r="AA121" s="433" t="s">
        <v>762</v>
      </c>
      <c r="AB121" s="433" t="s">
        <v>762</v>
      </c>
      <c r="AC121" s="433" t="s">
        <v>762</v>
      </c>
      <c r="AD121" s="433" t="s">
        <v>762</v>
      </c>
      <c r="AE121" s="433" t="s">
        <v>762</v>
      </c>
      <c r="AF121" s="433" t="s">
        <v>762</v>
      </c>
      <c r="AG121" s="433" t="s">
        <v>762</v>
      </c>
      <c r="AH121" s="433" t="s">
        <v>762</v>
      </c>
      <c r="AI121" s="433" t="s">
        <v>762</v>
      </c>
      <c r="AJ121" s="433" t="s">
        <v>762</v>
      </c>
      <c r="AK121" s="433" t="s">
        <v>762</v>
      </c>
      <c r="AL121" s="433" t="s">
        <v>762</v>
      </c>
      <c r="AM121" s="433" t="s">
        <v>762</v>
      </c>
      <c r="AN121" s="433" t="s">
        <v>762</v>
      </c>
      <c r="AO121" s="433" t="s">
        <v>762</v>
      </c>
      <c r="AP121" s="433" t="s">
        <v>762</v>
      </c>
      <c r="AQ121" s="433" t="s">
        <v>762</v>
      </c>
      <c r="AR121" s="433" t="s">
        <v>762</v>
      </c>
      <c r="AS121" s="433" t="s">
        <v>762</v>
      </c>
      <c r="AT121" s="433" t="s">
        <v>762</v>
      </c>
      <c r="AU121" s="433" t="s">
        <v>762</v>
      </c>
      <c r="AV121" s="433" t="s">
        <v>762</v>
      </c>
      <c r="AW121" s="433" t="s">
        <v>762</v>
      </c>
      <c r="AX121" s="433" t="s">
        <v>762</v>
      </c>
      <c r="AY121" s="433" t="s">
        <v>762</v>
      </c>
      <c r="AZ121" s="433" t="s">
        <v>762</v>
      </c>
      <c r="BA121" s="433" t="s">
        <v>762</v>
      </c>
      <c r="BB121" s="433" t="s">
        <v>762</v>
      </c>
      <c r="BC121" s="433" t="s">
        <v>762</v>
      </c>
      <c r="BD121" s="433" t="s">
        <v>762</v>
      </c>
      <c r="BE121" s="433" t="s">
        <v>762</v>
      </c>
      <c r="BF121" s="433" t="s">
        <v>762</v>
      </c>
      <c r="BG121" s="433" t="s">
        <v>762</v>
      </c>
      <c r="BH121" s="433" t="s">
        <v>762</v>
      </c>
      <c r="BI121" s="433" t="s">
        <v>762</v>
      </c>
      <c r="BJ121" s="433" t="s">
        <v>762</v>
      </c>
      <c r="BK121" s="433" t="s">
        <v>762</v>
      </c>
      <c r="BL121" s="433" t="s">
        <v>762</v>
      </c>
      <c r="BM121" s="433" t="s">
        <v>762</v>
      </c>
      <c r="BN121" s="433" t="s">
        <v>762</v>
      </c>
      <c r="BO121" s="433" t="s">
        <v>762</v>
      </c>
      <c r="BP121" s="433" t="s">
        <v>762</v>
      </c>
      <c r="BQ121" s="433" t="s">
        <v>762</v>
      </c>
      <c r="BR121" s="433" t="s">
        <v>762</v>
      </c>
      <c r="BS121" s="433" t="s">
        <v>762</v>
      </c>
      <c r="BT121" s="433" t="s">
        <v>762</v>
      </c>
      <c r="BU121" s="433" t="s">
        <v>762</v>
      </c>
      <c r="BV121" s="433" t="s">
        <v>762</v>
      </c>
      <c r="BW121" s="433" t="s">
        <v>762</v>
      </c>
      <c r="BX121" s="433" t="s">
        <v>762</v>
      </c>
      <c r="BY121" s="433" t="s">
        <v>762</v>
      </c>
      <c r="BZ121" s="433" t="s">
        <v>762</v>
      </c>
      <c r="CA121" s="433" t="s">
        <v>762</v>
      </c>
      <c r="CB121" s="433" t="s">
        <v>762</v>
      </c>
      <c r="CC121" s="433" t="s">
        <v>762</v>
      </c>
      <c r="CD121" s="433" t="s">
        <v>762</v>
      </c>
      <c r="CE121" s="433" t="s">
        <v>762</v>
      </c>
      <c r="CF121" s="433" t="s">
        <v>762</v>
      </c>
      <c r="CG121" s="239" t="s">
        <v>762</v>
      </c>
      <c r="CH121" s="239" t="s">
        <v>762</v>
      </c>
      <c r="CI121" s="239" t="s">
        <v>762</v>
      </c>
      <c r="CJ121" s="239" t="s">
        <v>762</v>
      </c>
      <c r="CK121" s="239" t="s">
        <v>762</v>
      </c>
      <c r="CL121" s="239" t="s">
        <v>762</v>
      </c>
    </row>
    <row r="122" spans="1:90" s="434" customFormat="1">
      <c r="A122" s="239" t="s">
        <v>516</v>
      </c>
      <c r="B122" s="239" t="s">
        <v>626</v>
      </c>
      <c r="C122" s="433" t="s">
        <v>762</v>
      </c>
      <c r="D122" s="433" t="s">
        <v>762</v>
      </c>
      <c r="E122" s="433" t="s">
        <v>762</v>
      </c>
      <c r="F122" s="433" t="s">
        <v>762</v>
      </c>
      <c r="G122" s="433" t="s">
        <v>762</v>
      </c>
      <c r="H122" s="433" t="s">
        <v>762</v>
      </c>
      <c r="I122" s="433" t="s">
        <v>762</v>
      </c>
      <c r="J122" s="433" t="s">
        <v>762</v>
      </c>
      <c r="K122" s="433" t="s">
        <v>762</v>
      </c>
      <c r="L122" s="433" t="s">
        <v>762</v>
      </c>
      <c r="M122" s="433" t="s">
        <v>762</v>
      </c>
      <c r="N122" s="433" t="s">
        <v>762</v>
      </c>
      <c r="O122" s="433" t="s">
        <v>762</v>
      </c>
      <c r="P122" s="433" t="s">
        <v>762</v>
      </c>
      <c r="Q122" s="433" t="s">
        <v>762</v>
      </c>
      <c r="R122" s="433" t="s">
        <v>762</v>
      </c>
      <c r="S122" s="433" t="s">
        <v>762</v>
      </c>
      <c r="T122" s="433" t="s">
        <v>762</v>
      </c>
      <c r="U122" s="433" t="s">
        <v>762</v>
      </c>
      <c r="V122" s="433" t="s">
        <v>762</v>
      </c>
      <c r="W122" s="433" t="s">
        <v>762</v>
      </c>
      <c r="X122" s="433" t="s">
        <v>762</v>
      </c>
      <c r="Y122" s="433" t="s">
        <v>762</v>
      </c>
      <c r="Z122" s="433" t="s">
        <v>762</v>
      </c>
      <c r="AA122" s="433" t="s">
        <v>762</v>
      </c>
      <c r="AB122" s="433" t="s">
        <v>762</v>
      </c>
      <c r="AC122" s="433" t="s">
        <v>762</v>
      </c>
      <c r="AD122" s="433" t="s">
        <v>762</v>
      </c>
      <c r="AE122" s="433" t="s">
        <v>762</v>
      </c>
      <c r="AF122" s="433" t="s">
        <v>762</v>
      </c>
      <c r="AG122" s="433" t="s">
        <v>762</v>
      </c>
      <c r="AH122" s="433" t="s">
        <v>762</v>
      </c>
      <c r="AI122" s="433" t="s">
        <v>762</v>
      </c>
      <c r="AJ122" s="433" t="s">
        <v>762</v>
      </c>
      <c r="AK122" s="433" t="s">
        <v>762</v>
      </c>
      <c r="AL122" s="433" t="s">
        <v>762</v>
      </c>
      <c r="AM122" s="433" t="s">
        <v>762</v>
      </c>
      <c r="AN122" s="433" t="s">
        <v>762</v>
      </c>
      <c r="AO122" s="433" t="s">
        <v>762</v>
      </c>
      <c r="AP122" s="433" t="s">
        <v>762</v>
      </c>
      <c r="AQ122" s="433" t="s">
        <v>762</v>
      </c>
      <c r="AR122" s="433" t="s">
        <v>762</v>
      </c>
      <c r="AS122" s="433" t="s">
        <v>762</v>
      </c>
      <c r="AT122" s="433" t="s">
        <v>762</v>
      </c>
      <c r="AU122" s="433" t="s">
        <v>762</v>
      </c>
      <c r="AV122" s="433" t="s">
        <v>762</v>
      </c>
      <c r="AW122" s="433" t="s">
        <v>762</v>
      </c>
      <c r="AX122" s="433" t="s">
        <v>762</v>
      </c>
      <c r="AY122" s="433" t="s">
        <v>762</v>
      </c>
      <c r="AZ122" s="433" t="s">
        <v>762</v>
      </c>
      <c r="BA122" s="433" t="s">
        <v>762</v>
      </c>
      <c r="BB122" s="433" t="s">
        <v>762</v>
      </c>
      <c r="BC122" s="433" t="s">
        <v>762</v>
      </c>
      <c r="BD122" s="433" t="s">
        <v>762</v>
      </c>
      <c r="BE122" s="433" t="s">
        <v>762</v>
      </c>
      <c r="BF122" s="433" t="s">
        <v>762</v>
      </c>
      <c r="BG122" s="433" t="s">
        <v>762</v>
      </c>
      <c r="BH122" s="433" t="s">
        <v>762</v>
      </c>
      <c r="BI122" s="433" t="s">
        <v>762</v>
      </c>
      <c r="BJ122" s="433" t="s">
        <v>762</v>
      </c>
      <c r="BK122" s="433" t="s">
        <v>762</v>
      </c>
      <c r="BL122" s="433" t="s">
        <v>762</v>
      </c>
      <c r="BM122" s="433" t="s">
        <v>762</v>
      </c>
      <c r="BN122" s="433" t="s">
        <v>762</v>
      </c>
      <c r="BO122" s="433" t="s">
        <v>762</v>
      </c>
      <c r="BP122" s="433" t="s">
        <v>762</v>
      </c>
      <c r="BQ122" s="433" t="s">
        <v>762</v>
      </c>
      <c r="BR122" s="433" t="s">
        <v>762</v>
      </c>
      <c r="BS122" s="433" t="s">
        <v>762</v>
      </c>
      <c r="BT122" s="433" t="s">
        <v>762</v>
      </c>
      <c r="BU122" s="433" t="s">
        <v>762</v>
      </c>
      <c r="BV122" s="433" t="s">
        <v>762</v>
      </c>
      <c r="BW122" s="433" t="s">
        <v>762</v>
      </c>
      <c r="BX122" s="433" t="s">
        <v>762</v>
      </c>
      <c r="BY122" s="433" t="s">
        <v>762</v>
      </c>
      <c r="BZ122" s="433" t="s">
        <v>762</v>
      </c>
      <c r="CA122" s="433" t="s">
        <v>762</v>
      </c>
      <c r="CB122" s="433" t="s">
        <v>762</v>
      </c>
      <c r="CC122" s="433" t="s">
        <v>762</v>
      </c>
      <c r="CD122" s="433" t="s">
        <v>762</v>
      </c>
      <c r="CE122" s="433" t="s">
        <v>762</v>
      </c>
      <c r="CF122" s="433" t="s">
        <v>762</v>
      </c>
      <c r="CG122" s="239" t="s">
        <v>762</v>
      </c>
      <c r="CH122" s="239" t="s">
        <v>762</v>
      </c>
      <c r="CI122" s="239" t="s">
        <v>762</v>
      </c>
      <c r="CJ122" s="239" t="s">
        <v>762</v>
      </c>
      <c r="CK122" s="239" t="s">
        <v>762</v>
      </c>
      <c r="CL122" s="239" t="s">
        <v>762</v>
      </c>
    </row>
    <row r="123" spans="1:90" s="434" customFormat="1">
      <c r="A123" s="239" t="s">
        <v>517</v>
      </c>
      <c r="B123" s="239" t="s">
        <v>626</v>
      </c>
      <c r="C123" s="433" t="s">
        <v>762</v>
      </c>
      <c r="D123" s="433" t="s">
        <v>762</v>
      </c>
      <c r="E123" s="433" t="s">
        <v>762</v>
      </c>
      <c r="F123" s="433" t="s">
        <v>762</v>
      </c>
      <c r="G123" s="433" t="s">
        <v>762</v>
      </c>
      <c r="H123" s="433" t="s">
        <v>762</v>
      </c>
      <c r="I123" s="433" t="s">
        <v>762</v>
      </c>
      <c r="J123" s="433" t="s">
        <v>762</v>
      </c>
      <c r="K123" s="433" t="s">
        <v>762</v>
      </c>
      <c r="L123" s="433" t="s">
        <v>762</v>
      </c>
      <c r="M123" s="433" t="s">
        <v>762</v>
      </c>
      <c r="N123" s="433" t="s">
        <v>762</v>
      </c>
      <c r="O123" s="433" t="s">
        <v>762</v>
      </c>
      <c r="P123" s="433" t="s">
        <v>762</v>
      </c>
      <c r="Q123" s="433" t="s">
        <v>762</v>
      </c>
      <c r="R123" s="433" t="s">
        <v>762</v>
      </c>
      <c r="S123" s="433" t="s">
        <v>762</v>
      </c>
      <c r="T123" s="433" t="s">
        <v>762</v>
      </c>
      <c r="U123" s="433" t="s">
        <v>762</v>
      </c>
      <c r="V123" s="433" t="s">
        <v>762</v>
      </c>
      <c r="W123" s="433" t="s">
        <v>762</v>
      </c>
      <c r="X123" s="433" t="s">
        <v>762</v>
      </c>
      <c r="Y123" s="433" t="s">
        <v>762</v>
      </c>
      <c r="Z123" s="433" t="s">
        <v>762</v>
      </c>
      <c r="AA123" s="433" t="s">
        <v>762</v>
      </c>
      <c r="AB123" s="433" t="s">
        <v>762</v>
      </c>
      <c r="AC123" s="433" t="s">
        <v>762</v>
      </c>
      <c r="AD123" s="433" t="s">
        <v>762</v>
      </c>
      <c r="AE123" s="433" t="s">
        <v>762</v>
      </c>
      <c r="AF123" s="433" t="s">
        <v>762</v>
      </c>
      <c r="AG123" s="433" t="s">
        <v>762</v>
      </c>
      <c r="AH123" s="433" t="s">
        <v>762</v>
      </c>
      <c r="AI123" s="433" t="s">
        <v>762</v>
      </c>
      <c r="AJ123" s="433" t="s">
        <v>762</v>
      </c>
      <c r="AK123" s="433" t="s">
        <v>762</v>
      </c>
      <c r="AL123" s="433" t="s">
        <v>762</v>
      </c>
      <c r="AM123" s="433" t="s">
        <v>762</v>
      </c>
      <c r="AN123" s="433" t="s">
        <v>762</v>
      </c>
      <c r="AO123" s="433" t="s">
        <v>762</v>
      </c>
      <c r="AP123" s="433" t="s">
        <v>762</v>
      </c>
      <c r="AQ123" s="433" t="s">
        <v>762</v>
      </c>
      <c r="AR123" s="433" t="s">
        <v>762</v>
      </c>
      <c r="AS123" s="433" t="s">
        <v>762</v>
      </c>
      <c r="AT123" s="433" t="s">
        <v>762</v>
      </c>
      <c r="AU123" s="433" t="s">
        <v>762</v>
      </c>
      <c r="AV123" s="433" t="s">
        <v>762</v>
      </c>
      <c r="AW123" s="433" t="s">
        <v>762</v>
      </c>
      <c r="AX123" s="433" t="s">
        <v>762</v>
      </c>
      <c r="AY123" s="433" t="s">
        <v>762</v>
      </c>
      <c r="AZ123" s="433" t="s">
        <v>762</v>
      </c>
      <c r="BA123" s="433" t="s">
        <v>762</v>
      </c>
      <c r="BB123" s="433" t="s">
        <v>762</v>
      </c>
      <c r="BC123" s="433" t="s">
        <v>762</v>
      </c>
      <c r="BD123" s="433" t="s">
        <v>762</v>
      </c>
      <c r="BE123" s="433" t="s">
        <v>762</v>
      </c>
      <c r="BF123" s="433" t="s">
        <v>762</v>
      </c>
      <c r="BG123" s="433" t="s">
        <v>762</v>
      </c>
      <c r="BH123" s="433" t="s">
        <v>762</v>
      </c>
      <c r="BI123" s="433" t="s">
        <v>762</v>
      </c>
      <c r="BJ123" s="433" t="s">
        <v>762</v>
      </c>
      <c r="BK123" s="433" t="s">
        <v>762</v>
      </c>
      <c r="BL123" s="433" t="s">
        <v>762</v>
      </c>
      <c r="BM123" s="433" t="s">
        <v>762</v>
      </c>
      <c r="BN123" s="433" t="s">
        <v>762</v>
      </c>
      <c r="BO123" s="433" t="s">
        <v>762</v>
      </c>
      <c r="BP123" s="433" t="s">
        <v>762</v>
      </c>
      <c r="BQ123" s="433" t="s">
        <v>762</v>
      </c>
      <c r="BR123" s="433" t="s">
        <v>762</v>
      </c>
      <c r="BS123" s="433" t="s">
        <v>762</v>
      </c>
      <c r="BT123" s="433" t="s">
        <v>762</v>
      </c>
      <c r="BU123" s="433" t="s">
        <v>762</v>
      </c>
      <c r="BV123" s="433" t="s">
        <v>762</v>
      </c>
      <c r="BW123" s="433" t="s">
        <v>762</v>
      </c>
      <c r="BX123" s="433" t="s">
        <v>762</v>
      </c>
      <c r="BY123" s="433" t="s">
        <v>762</v>
      </c>
      <c r="BZ123" s="433" t="s">
        <v>762</v>
      </c>
      <c r="CA123" s="433" t="s">
        <v>762</v>
      </c>
      <c r="CB123" s="433" t="s">
        <v>762</v>
      </c>
      <c r="CC123" s="433" t="s">
        <v>762</v>
      </c>
      <c r="CD123" s="433" t="s">
        <v>762</v>
      </c>
      <c r="CE123" s="433" t="s">
        <v>762</v>
      </c>
      <c r="CF123" s="433" t="s">
        <v>762</v>
      </c>
      <c r="CG123" s="239" t="s">
        <v>762</v>
      </c>
      <c r="CH123" s="239" t="s">
        <v>762</v>
      </c>
      <c r="CI123" s="239" t="s">
        <v>762</v>
      </c>
      <c r="CJ123" s="239" t="s">
        <v>762</v>
      </c>
      <c r="CK123" s="239" t="s">
        <v>762</v>
      </c>
      <c r="CL123" s="239" t="s">
        <v>762</v>
      </c>
    </row>
    <row r="124" spans="1:90" s="434" customFormat="1">
      <c r="A124" s="239" t="s">
        <v>518</v>
      </c>
      <c r="B124" s="239" t="s">
        <v>626</v>
      </c>
      <c r="C124" s="433" t="s">
        <v>762</v>
      </c>
      <c r="D124" s="433" t="s">
        <v>762</v>
      </c>
      <c r="E124" s="433" t="s">
        <v>762</v>
      </c>
      <c r="F124" s="433" t="s">
        <v>762</v>
      </c>
      <c r="G124" s="433" t="s">
        <v>762</v>
      </c>
      <c r="H124" s="433" t="s">
        <v>762</v>
      </c>
      <c r="I124" s="433" t="s">
        <v>762</v>
      </c>
      <c r="J124" s="433" t="s">
        <v>762</v>
      </c>
      <c r="K124" s="433" t="s">
        <v>762</v>
      </c>
      <c r="L124" s="433" t="s">
        <v>762</v>
      </c>
      <c r="M124" s="433" t="s">
        <v>762</v>
      </c>
      <c r="N124" s="433" t="s">
        <v>762</v>
      </c>
      <c r="O124" s="433" t="s">
        <v>762</v>
      </c>
      <c r="P124" s="433" t="s">
        <v>762</v>
      </c>
      <c r="Q124" s="433" t="s">
        <v>762</v>
      </c>
      <c r="R124" s="433" t="s">
        <v>762</v>
      </c>
      <c r="S124" s="433" t="s">
        <v>762</v>
      </c>
      <c r="T124" s="433" t="s">
        <v>762</v>
      </c>
      <c r="U124" s="433" t="s">
        <v>762</v>
      </c>
      <c r="V124" s="433" t="s">
        <v>762</v>
      </c>
      <c r="W124" s="433" t="s">
        <v>762</v>
      </c>
      <c r="X124" s="433" t="s">
        <v>762</v>
      </c>
      <c r="Y124" s="433" t="s">
        <v>762</v>
      </c>
      <c r="Z124" s="433" t="s">
        <v>762</v>
      </c>
      <c r="AA124" s="433" t="s">
        <v>762</v>
      </c>
      <c r="AB124" s="433" t="s">
        <v>762</v>
      </c>
      <c r="AC124" s="433" t="s">
        <v>762</v>
      </c>
      <c r="AD124" s="433" t="s">
        <v>762</v>
      </c>
      <c r="AE124" s="433" t="s">
        <v>762</v>
      </c>
      <c r="AF124" s="433" t="s">
        <v>762</v>
      </c>
      <c r="AG124" s="433" t="s">
        <v>762</v>
      </c>
      <c r="AH124" s="433" t="s">
        <v>762</v>
      </c>
      <c r="AI124" s="433" t="s">
        <v>762</v>
      </c>
      <c r="AJ124" s="433" t="s">
        <v>762</v>
      </c>
      <c r="AK124" s="433" t="s">
        <v>762</v>
      </c>
      <c r="AL124" s="433" t="s">
        <v>762</v>
      </c>
      <c r="AM124" s="433" t="s">
        <v>762</v>
      </c>
      <c r="AN124" s="433" t="s">
        <v>762</v>
      </c>
      <c r="AO124" s="433" t="s">
        <v>762</v>
      </c>
      <c r="AP124" s="433" t="s">
        <v>762</v>
      </c>
      <c r="AQ124" s="433" t="s">
        <v>762</v>
      </c>
      <c r="AR124" s="433" t="s">
        <v>762</v>
      </c>
      <c r="AS124" s="433" t="s">
        <v>762</v>
      </c>
      <c r="AT124" s="433" t="s">
        <v>762</v>
      </c>
      <c r="AU124" s="433" t="s">
        <v>762</v>
      </c>
      <c r="AV124" s="433" t="s">
        <v>762</v>
      </c>
      <c r="AW124" s="433" t="s">
        <v>762</v>
      </c>
      <c r="AX124" s="433" t="s">
        <v>762</v>
      </c>
      <c r="AY124" s="433" t="s">
        <v>762</v>
      </c>
      <c r="AZ124" s="433" t="s">
        <v>762</v>
      </c>
      <c r="BA124" s="433" t="s">
        <v>762</v>
      </c>
      <c r="BB124" s="433" t="s">
        <v>762</v>
      </c>
      <c r="BC124" s="433" t="s">
        <v>762</v>
      </c>
      <c r="BD124" s="433" t="s">
        <v>762</v>
      </c>
      <c r="BE124" s="433" t="s">
        <v>762</v>
      </c>
      <c r="BF124" s="433" t="s">
        <v>762</v>
      </c>
      <c r="BG124" s="433" t="s">
        <v>762</v>
      </c>
      <c r="BH124" s="433" t="s">
        <v>762</v>
      </c>
      <c r="BI124" s="433" t="s">
        <v>762</v>
      </c>
      <c r="BJ124" s="433" t="s">
        <v>762</v>
      </c>
      <c r="BK124" s="433" t="s">
        <v>762</v>
      </c>
      <c r="BL124" s="433" t="s">
        <v>762</v>
      </c>
      <c r="BM124" s="433" t="s">
        <v>762</v>
      </c>
      <c r="BN124" s="433" t="s">
        <v>762</v>
      </c>
      <c r="BO124" s="433" t="s">
        <v>762</v>
      </c>
      <c r="BP124" s="433" t="s">
        <v>762</v>
      </c>
      <c r="BQ124" s="433" t="s">
        <v>762</v>
      </c>
      <c r="BR124" s="433" t="s">
        <v>762</v>
      </c>
      <c r="BS124" s="433" t="s">
        <v>762</v>
      </c>
      <c r="BT124" s="433" t="s">
        <v>762</v>
      </c>
      <c r="BU124" s="433" t="s">
        <v>762</v>
      </c>
      <c r="BV124" s="433" t="s">
        <v>762</v>
      </c>
      <c r="BW124" s="433" t="s">
        <v>762</v>
      </c>
      <c r="BX124" s="433" t="s">
        <v>762</v>
      </c>
      <c r="BY124" s="433" t="s">
        <v>762</v>
      </c>
      <c r="BZ124" s="433" t="s">
        <v>762</v>
      </c>
      <c r="CA124" s="433" t="s">
        <v>762</v>
      </c>
      <c r="CB124" s="433" t="s">
        <v>762</v>
      </c>
      <c r="CC124" s="433" t="s">
        <v>762</v>
      </c>
      <c r="CD124" s="433" t="s">
        <v>762</v>
      </c>
      <c r="CE124" s="433" t="s">
        <v>762</v>
      </c>
      <c r="CF124" s="433" t="s">
        <v>762</v>
      </c>
      <c r="CG124" s="239" t="s">
        <v>762</v>
      </c>
      <c r="CH124" s="239" t="s">
        <v>762</v>
      </c>
      <c r="CI124" s="239" t="s">
        <v>762</v>
      </c>
      <c r="CJ124" s="239" t="s">
        <v>762</v>
      </c>
      <c r="CK124" s="239" t="s">
        <v>762</v>
      </c>
      <c r="CL124" s="239" t="s">
        <v>762</v>
      </c>
    </row>
    <row r="125" spans="1:90" s="434" customFormat="1">
      <c r="A125" s="239" t="s">
        <v>519</v>
      </c>
      <c r="B125" s="239" t="s">
        <v>626</v>
      </c>
      <c r="C125" s="433" t="s">
        <v>762</v>
      </c>
      <c r="D125" s="433" t="s">
        <v>762</v>
      </c>
      <c r="E125" s="433" t="s">
        <v>762</v>
      </c>
      <c r="F125" s="433" t="s">
        <v>762</v>
      </c>
      <c r="G125" s="433" t="s">
        <v>762</v>
      </c>
      <c r="H125" s="433" t="s">
        <v>762</v>
      </c>
      <c r="I125" s="433" t="s">
        <v>762</v>
      </c>
      <c r="J125" s="433" t="s">
        <v>762</v>
      </c>
      <c r="K125" s="433" t="s">
        <v>762</v>
      </c>
      <c r="L125" s="433" t="s">
        <v>762</v>
      </c>
      <c r="M125" s="433" t="s">
        <v>762</v>
      </c>
      <c r="N125" s="433" t="s">
        <v>762</v>
      </c>
      <c r="O125" s="433" t="s">
        <v>762</v>
      </c>
      <c r="P125" s="433" t="s">
        <v>762</v>
      </c>
      <c r="Q125" s="433" t="s">
        <v>762</v>
      </c>
      <c r="R125" s="433" t="s">
        <v>762</v>
      </c>
      <c r="S125" s="433" t="s">
        <v>762</v>
      </c>
      <c r="T125" s="433" t="s">
        <v>762</v>
      </c>
      <c r="U125" s="433" t="s">
        <v>762</v>
      </c>
      <c r="V125" s="433" t="s">
        <v>762</v>
      </c>
      <c r="W125" s="433" t="s">
        <v>762</v>
      </c>
      <c r="X125" s="433" t="s">
        <v>762</v>
      </c>
      <c r="Y125" s="433" t="s">
        <v>762</v>
      </c>
      <c r="Z125" s="433" t="s">
        <v>762</v>
      </c>
      <c r="AA125" s="433" t="s">
        <v>762</v>
      </c>
      <c r="AB125" s="433" t="s">
        <v>762</v>
      </c>
      <c r="AC125" s="433" t="s">
        <v>762</v>
      </c>
      <c r="AD125" s="433" t="s">
        <v>762</v>
      </c>
      <c r="AE125" s="433" t="s">
        <v>762</v>
      </c>
      <c r="AF125" s="433" t="s">
        <v>762</v>
      </c>
      <c r="AG125" s="433" t="s">
        <v>762</v>
      </c>
      <c r="AH125" s="433" t="s">
        <v>762</v>
      </c>
      <c r="AI125" s="433" t="s">
        <v>762</v>
      </c>
      <c r="AJ125" s="433" t="s">
        <v>762</v>
      </c>
      <c r="AK125" s="433" t="s">
        <v>762</v>
      </c>
      <c r="AL125" s="433" t="s">
        <v>762</v>
      </c>
      <c r="AM125" s="433" t="s">
        <v>762</v>
      </c>
      <c r="AN125" s="433" t="s">
        <v>762</v>
      </c>
      <c r="AO125" s="433" t="s">
        <v>762</v>
      </c>
      <c r="AP125" s="433" t="s">
        <v>762</v>
      </c>
      <c r="AQ125" s="433" t="s">
        <v>762</v>
      </c>
      <c r="AR125" s="433" t="s">
        <v>762</v>
      </c>
      <c r="AS125" s="433" t="s">
        <v>762</v>
      </c>
      <c r="AT125" s="433" t="s">
        <v>762</v>
      </c>
      <c r="AU125" s="433" t="s">
        <v>762</v>
      </c>
      <c r="AV125" s="433" t="s">
        <v>762</v>
      </c>
      <c r="AW125" s="433" t="s">
        <v>762</v>
      </c>
      <c r="AX125" s="433" t="s">
        <v>762</v>
      </c>
      <c r="AY125" s="433" t="s">
        <v>762</v>
      </c>
      <c r="AZ125" s="433" t="s">
        <v>762</v>
      </c>
      <c r="BA125" s="433" t="s">
        <v>762</v>
      </c>
      <c r="BB125" s="433" t="s">
        <v>762</v>
      </c>
      <c r="BC125" s="433" t="s">
        <v>762</v>
      </c>
      <c r="BD125" s="433" t="s">
        <v>762</v>
      </c>
      <c r="BE125" s="433" t="s">
        <v>762</v>
      </c>
      <c r="BF125" s="433" t="s">
        <v>762</v>
      </c>
      <c r="BG125" s="433" t="s">
        <v>762</v>
      </c>
      <c r="BH125" s="433" t="s">
        <v>762</v>
      </c>
      <c r="BI125" s="433" t="s">
        <v>762</v>
      </c>
      <c r="BJ125" s="433" t="s">
        <v>762</v>
      </c>
      <c r="BK125" s="433" t="s">
        <v>762</v>
      </c>
      <c r="BL125" s="433" t="s">
        <v>762</v>
      </c>
      <c r="BM125" s="433" t="s">
        <v>762</v>
      </c>
      <c r="BN125" s="433" t="s">
        <v>762</v>
      </c>
      <c r="BO125" s="433" t="s">
        <v>762</v>
      </c>
      <c r="BP125" s="433" t="s">
        <v>762</v>
      </c>
      <c r="BQ125" s="433" t="s">
        <v>762</v>
      </c>
      <c r="BR125" s="433" t="s">
        <v>762</v>
      </c>
      <c r="BS125" s="433" t="s">
        <v>762</v>
      </c>
      <c r="BT125" s="433" t="s">
        <v>762</v>
      </c>
      <c r="BU125" s="433" t="s">
        <v>762</v>
      </c>
      <c r="BV125" s="433" t="s">
        <v>762</v>
      </c>
      <c r="BW125" s="433" t="s">
        <v>762</v>
      </c>
      <c r="BX125" s="433" t="s">
        <v>762</v>
      </c>
      <c r="BY125" s="433" t="s">
        <v>762</v>
      </c>
      <c r="BZ125" s="433" t="s">
        <v>762</v>
      </c>
      <c r="CA125" s="433" t="s">
        <v>762</v>
      </c>
      <c r="CB125" s="433" t="s">
        <v>762</v>
      </c>
      <c r="CC125" s="433" t="s">
        <v>762</v>
      </c>
      <c r="CD125" s="433" t="s">
        <v>762</v>
      </c>
      <c r="CE125" s="433" t="s">
        <v>762</v>
      </c>
      <c r="CF125" s="433" t="s">
        <v>762</v>
      </c>
      <c r="CG125" s="239" t="s">
        <v>762</v>
      </c>
      <c r="CH125" s="239" t="s">
        <v>762</v>
      </c>
      <c r="CI125" s="239" t="s">
        <v>762</v>
      </c>
      <c r="CJ125" s="239" t="s">
        <v>762</v>
      </c>
      <c r="CK125" s="239" t="s">
        <v>762</v>
      </c>
      <c r="CL125" s="239" t="s">
        <v>762</v>
      </c>
    </row>
    <row r="126" spans="1:90" s="434" customFormat="1">
      <c r="A126" s="239" t="s">
        <v>520</v>
      </c>
      <c r="B126" s="239" t="s">
        <v>626</v>
      </c>
      <c r="C126" s="433" t="s">
        <v>762</v>
      </c>
      <c r="D126" s="433" t="s">
        <v>762</v>
      </c>
      <c r="E126" s="433" t="s">
        <v>762</v>
      </c>
      <c r="F126" s="433" t="s">
        <v>762</v>
      </c>
      <c r="G126" s="433" t="s">
        <v>762</v>
      </c>
      <c r="H126" s="433" t="s">
        <v>762</v>
      </c>
      <c r="I126" s="433" t="s">
        <v>762</v>
      </c>
      <c r="J126" s="433" t="s">
        <v>762</v>
      </c>
      <c r="K126" s="433" t="s">
        <v>762</v>
      </c>
      <c r="L126" s="433" t="s">
        <v>762</v>
      </c>
      <c r="M126" s="433" t="s">
        <v>762</v>
      </c>
      <c r="N126" s="433" t="s">
        <v>762</v>
      </c>
      <c r="O126" s="433" t="s">
        <v>762</v>
      </c>
      <c r="P126" s="433" t="s">
        <v>762</v>
      </c>
      <c r="Q126" s="433" t="s">
        <v>762</v>
      </c>
      <c r="R126" s="433" t="s">
        <v>762</v>
      </c>
      <c r="S126" s="433" t="s">
        <v>762</v>
      </c>
      <c r="T126" s="433" t="s">
        <v>762</v>
      </c>
      <c r="U126" s="433" t="s">
        <v>762</v>
      </c>
      <c r="V126" s="433" t="s">
        <v>762</v>
      </c>
      <c r="W126" s="433" t="s">
        <v>762</v>
      </c>
      <c r="X126" s="433" t="s">
        <v>762</v>
      </c>
      <c r="Y126" s="433" t="s">
        <v>762</v>
      </c>
      <c r="Z126" s="433" t="s">
        <v>762</v>
      </c>
      <c r="AA126" s="433" t="s">
        <v>762</v>
      </c>
      <c r="AB126" s="433" t="s">
        <v>762</v>
      </c>
      <c r="AC126" s="433" t="s">
        <v>762</v>
      </c>
      <c r="AD126" s="433" t="s">
        <v>762</v>
      </c>
      <c r="AE126" s="433" t="s">
        <v>762</v>
      </c>
      <c r="AF126" s="433" t="s">
        <v>762</v>
      </c>
      <c r="AG126" s="433" t="s">
        <v>762</v>
      </c>
      <c r="AH126" s="433" t="s">
        <v>762</v>
      </c>
      <c r="AI126" s="433" t="s">
        <v>762</v>
      </c>
      <c r="AJ126" s="433" t="s">
        <v>762</v>
      </c>
      <c r="AK126" s="433" t="s">
        <v>762</v>
      </c>
      <c r="AL126" s="433" t="s">
        <v>762</v>
      </c>
      <c r="AM126" s="433" t="s">
        <v>762</v>
      </c>
      <c r="AN126" s="433" t="s">
        <v>762</v>
      </c>
      <c r="AO126" s="433" t="s">
        <v>762</v>
      </c>
      <c r="AP126" s="433" t="s">
        <v>762</v>
      </c>
      <c r="AQ126" s="433" t="s">
        <v>762</v>
      </c>
      <c r="AR126" s="433" t="s">
        <v>762</v>
      </c>
      <c r="AS126" s="433" t="s">
        <v>762</v>
      </c>
      <c r="AT126" s="433" t="s">
        <v>762</v>
      </c>
      <c r="AU126" s="433" t="s">
        <v>762</v>
      </c>
      <c r="AV126" s="433" t="s">
        <v>762</v>
      </c>
      <c r="AW126" s="433" t="s">
        <v>762</v>
      </c>
      <c r="AX126" s="433" t="s">
        <v>762</v>
      </c>
      <c r="AY126" s="433" t="s">
        <v>762</v>
      </c>
      <c r="AZ126" s="433" t="s">
        <v>762</v>
      </c>
      <c r="BA126" s="433" t="s">
        <v>762</v>
      </c>
      <c r="BB126" s="433" t="s">
        <v>762</v>
      </c>
      <c r="BC126" s="433" t="s">
        <v>762</v>
      </c>
      <c r="BD126" s="433" t="s">
        <v>762</v>
      </c>
      <c r="BE126" s="433" t="s">
        <v>762</v>
      </c>
      <c r="BF126" s="433" t="s">
        <v>762</v>
      </c>
      <c r="BG126" s="433" t="s">
        <v>762</v>
      </c>
      <c r="BH126" s="433" t="s">
        <v>762</v>
      </c>
      <c r="BI126" s="433" t="s">
        <v>762</v>
      </c>
      <c r="BJ126" s="433" t="s">
        <v>762</v>
      </c>
      <c r="BK126" s="433" t="s">
        <v>762</v>
      </c>
      <c r="BL126" s="433" t="s">
        <v>762</v>
      </c>
      <c r="BM126" s="433" t="s">
        <v>762</v>
      </c>
      <c r="BN126" s="433" t="s">
        <v>762</v>
      </c>
      <c r="BO126" s="433" t="s">
        <v>762</v>
      </c>
      <c r="BP126" s="433" t="s">
        <v>762</v>
      </c>
      <c r="BQ126" s="433" t="s">
        <v>762</v>
      </c>
      <c r="BR126" s="433" t="s">
        <v>762</v>
      </c>
      <c r="BS126" s="433" t="s">
        <v>762</v>
      </c>
      <c r="BT126" s="433" t="s">
        <v>762</v>
      </c>
      <c r="BU126" s="433" t="s">
        <v>762</v>
      </c>
      <c r="BV126" s="433" t="s">
        <v>762</v>
      </c>
      <c r="BW126" s="433" t="s">
        <v>762</v>
      </c>
      <c r="BX126" s="433" t="s">
        <v>762</v>
      </c>
      <c r="BY126" s="433" t="s">
        <v>762</v>
      </c>
      <c r="BZ126" s="433" t="s">
        <v>762</v>
      </c>
      <c r="CA126" s="433" t="s">
        <v>762</v>
      </c>
      <c r="CB126" s="433" t="s">
        <v>762</v>
      </c>
      <c r="CC126" s="433" t="s">
        <v>762</v>
      </c>
      <c r="CD126" s="433" t="s">
        <v>762</v>
      </c>
      <c r="CE126" s="433" t="s">
        <v>762</v>
      </c>
      <c r="CF126" s="433" t="s">
        <v>762</v>
      </c>
      <c r="CG126" s="239" t="s">
        <v>762</v>
      </c>
      <c r="CH126" s="239" t="s">
        <v>762</v>
      </c>
      <c r="CI126" s="239" t="s">
        <v>762</v>
      </c>
      <c r="CJ126" s="239" t="s">
        <v>762</v>
      </c>
      <c r="CK126" s="239" t="s">
        <v>762</v>
      </c>
      <c r="CL126" s="239" t="s">
        <v>762</v>
      </c>
    </row>
    <row r="127" spans="1:90" s="434" customFormat="1">
      <c r="A127" s="239" t="s">
        <v>521</v>
      </c>
      <c r="B127" s="239" t="s">
        <v>626</v>
      </c>
      <c r="C127" s="433" t="s">
        <v>762</v>
      </c>
      <c r="D127" s="433" t="s">
        <v>762</v>
      </c>
      <c r="E127" s="433" t="s">
        <v>762</v>
      </c>
      <c r="F127" s="433" t="s">
        <v>762</v>
      </c>
      <c r="G127" s="433" t="s">
        <v>762</v>
      </c>
      <c r="H127" s="433" t="s">
        <v>762</v>
      </c>
      <c r="I127" s="433" t="s">
        <v>762</v>
      </c>
      <c r="J127" s="433" t="s">
        <v>762</v>
      </c>
      <c r="K127" s="433" t="s">
        <v>762</v>
      </c>
      <c r="L127" s="433" t="s">
        <v>762</v>
      </c>
      <c r="M127" s="433" t="s">
        <v>762</v>
      </c>
      <c r="N127" s="433" t="s">
        <v>762</v>
      </c>
      <c r="O127" s="433" t="s">
        <v>762</v>
      </c>
      <c r="P127" s="433" t="s">
        <v>762</v>
      </c>
      <c r="Q127" s="433" t="s">
        <v>762</v>
      </c>
      <c r="R127" s="433" t="s">
        <v>762</v>
      </c>
      <c r="S127" s="433" t="s">
        <v>762</v>
      </c>
      <c r="T127" s="433" t="s">
        <v>762</v>
      </c>
      <c r="U127" s="433" t="s">
        <v>762</v>
      </c>
      <c r="V127" s="433" t="s">
        <v>762</v>
      </c>
      <c r="W127" s="433" t="s">
        <v>762</v>
      </c>
      <c r="X127" s="433" t="s">
        <v>762</v>
      </c>
      <c r="Y127" s="433" t="s">
        <v>762</v>
      </c>
      <c r="Z127" s="433" t="s">
        <v>762</v>
      </c>
      <c r="AA127" s="433" t="s">
        <v>762</v>
      </c>
      <c r="AB127" s="433" t="s">
        <v>762</v>
      </c>
      <c r="AC127" s="433" t="s">
        <v>762</v>
      </c>
      <c r="AD127" s="433" t="s">
        <v>762</v>
      </c>
      <c r="AE127" s="433" t="s">
        <v>762</v>
      </c>
      <c r="AF127" s="433" t="s">
        <v>762</v>
      </c>
      <c r="AG127" s="433" t="s">
        <v>762</v>
      </c>
      <c r="AH127" s="433" t="s">
        <v>762</v>
      </c>
      <c r="AI127" s="433" t="s">
        <v>762</v>
      </c>
      <c r="AJ127" s="433" t="s">
        <v>762</v>
      </c>
      <c r="AK127" s="433" t="s">
        <v>762</v>
      </c>
      <c r="AL127" s="433" t="s">
        <v>762</v>
      </c>
      <c r="AM127" s="433" t="s">
        <v>762</v>
      </c>
      <c r="AN127" s="433" t="s">
        <v>762</v>
      </c>
      <c r="AO127" s="433" t="s">
        <v>762</v>
      </c>
      <c r="AP127" s="433" t="s">
        <v>762</v>
      </c>
      <c r="AQ127" s="433" t="s">
        <v>762</v>
      </c>
      <c r="AR127" s="433" t="s">
        <v>762</v>
      </c>
      <c r="AS127" s="433" t="s">
        <v>762</v>
      </c>
      <c r="AT127" s="433" t="s">
        <v>762</v>
      </c>
      <c r="AU127" s="433" t="s">
        <v>762</v>
      </c>
      <c r="AV127" s="433" t="s">
        <v>762</v>
      </c>
      <c r="AW127" s="433" t="s">
        <v>762</v>
      </c>
      <c r="AX127" s="433" t="s">
        <v>762</v>
      </c>
      <c r="AY127" s="433" t="s">
        <v>762</v>
      </c>
      <c r="AZ127" s="433" t="s">
        <v>762</v>
      </c>
      <c r="BA127" s="433" t="s">
        <v>762</v>
      </c>
      <c r="BB127" s="433" t="s">
        <v>762</v>
      </c>
      <c r="BC127" s="433" t="s">
        <v>762</v>
      </c>
      <c r="BD127" s="433" t="s">
        <v>762</v>
      </c>
      <c r="BE127" s="433" t="s">
        <v>762</v>
      </c>
      <c r="BF127" s="433" t="s">
        <v>762</v>
      </c>
      <c r="BG127" s="433" t="s">
        <v>762</v>
      </c>
      <c r="BH127" s="433" t="s">
        <v>762</v>
      </c>
      <c r="BI127" s="433" t="s">
        <v>762</v>
      </c>
      <c r="BJ127" s="433" t="s">
        <v>762</v>
      </c>
      <c r="BK127" s="433" t="s">
        <v>762</v>
      </c>
      <c r="BL127" s="433" t="s">
        <v>762</v>
      </c>
      <c r="BM127" s="433" t="s">
        <v>762</v>
      </c>
      <c r="BN127" s="433" t="s">
        <v>762</v>
      </c>
      <c r="BO127" s="433" t="s">
        <v>762</v>
      </c>
      <c r="BP127" s="433" t="s">
        <v>762</v>
      </c>
      <c r="BQ127" s="433" t="s">
        <v>762</v>
      </c>
      <c r="BR127" s="433" t="s">
        <v>762</v>
      </c>
      <c r="BS127" s="433" t="s">
        <v>762</v>
      </c>
      <c r="BT127" s="433" t="s">
        <v>762</v>
      </c>
      <c r="BU127" s="433" t="s">
        <v>762</v>
      </c>
      <c r="BV127" s="433" t="s">
        <v>762</v>
      </c>
      <c r="BW127" s="433" t="s">
        <v>762</v>
      </c>
      <c r="BX127" s="433" t="s">
        <v>762</v>
      </c>
      <c r="BY127" s="433" t="s">
        <v>762</v>
      </c>
      <c r="BZ127" s="433" t="s">
        <v>762</v>
      </c>
      <c r="CA127" s="433" t="s">
        <v>762</v>
      </c>
      <c r="CB127" s="433" t="s">
        <v>762</v>
      </c>
      <c r="CC127" s="433" t="s">
        <v>762</v>
      </c>
      <c r="CD127" s="433" t="s">
        <v>762</v>
      </c>
      <c r="CE127" s="433" t="s">
        <v>762</v>
      </c>
      <c r="CF127" s="433" t="s">
        <v>762</v>
      </c>
      <c r="CG127" s="239" t="s">
        <v>762</v>
      </c>
      <c r="CH127" s="239" t="s">
        <v>762</v>
      </c>
      <c r="CI127" s="239" t="s">
        <v>762</v>
      </c>
      <c r="CJ127" s="239" t="s">
        <v>762</v>
      </c>
      <c r="CK127" s="239" t="s">
        <v>762</v>
      </c>
      <c r="CL127" s="239" t="s">
        <v>762</v>
      </c>
    </row>
    <row r="128" spans="1:90" s="434" customFormat="1">
      <c r="A128" s="239" t="s">
        <v>522</v>
      </c>
      <c r="B128" s="239" t="s">
        <v>626</v>
      </c>
      <c r="C128" s="433" t="s">
        <v>762</v>
      </c>
      <c r="D128" s="433" t="s">
        <v>762</v>
      </c>
      <c r="E128" s="433" t="s">
        <v>762</v>
      </c>
      <c r="F128" s="433" t="s">
        <v>762</v>
      </c>
      <c r="G128" s="433" t="s">
        <v>762</v>
      </c>
      <c r="H128" s="433" t="s">
        <v>762</v>
      </c>
      <c r="I128" s="433" t="s">
        <v>762</v>
      </c>
      <c r="J128" s="433" t="s">
        <v>762</v>
      </c>
      <c r="K128" s="433" t="s">
        <v>762</v>
      </c>
      <c r="L128" s="433" t="s">
        <v>762</v>
      </c>
      <c r="M128" s="433" t="s">
        <v>762</v>
      </c>
      <c r="N128" s="433" t="s">
        <v>762</v>
      </c>
      <c r="O128" s="433" t="s">
        <v>762</v>
      </c>
      <c r="P128" s="433" t="s">
        <v>762</v>
      </c>
      <c r="Q128" s="433" t="s">
        <v>762</v>
      </c>
      <c r="R128" s="433" t="s">
        <v>762</v>
      </c>
      <c r="S128" s="433" t="s">
        <v>762</v>
      </c>
      <c r="T128" s="433" t="s">
        <v>762</v>
      </c>
      <c r="U128" s="433" t="s">
        <v>762</v>
      </c>
      <c r="V128" s="433" t="s">
        <v>762</v>
      </c>
      <c r="W128" s="433" t="s">
        <v>762</v>
      </c>
      <c r="X128" s="433" t="s">
        <v>762</v>
      </c>
      <c r="Y128" s="433" t="s">
        <v>762</v>
      </c>
      <c r="Z128" s="433" t="s">
        <v>762</v>
      </c>
      <c r="AA128" s="433" t="s">
        <v>762</v>
      </c>
      <c r="AB128" s="433" t="s">
        <v>762</v>
      </c>
      <c r="AC128" s="433" t="s">
        <v>762</v>
      </c>
      <c r="AD128" s="433" t="s">
        <v>762</v>
      </c>
      <c r="AE128" s="433" t="s">
        <v>762</v>
      </c>
      <c r="AF128" s="433" t="s">
        <v>762</v>
      </c>
      <c r="AG128" s="433" t="s">
        <v>762</v>
      </c>
      <c r="AH128" s="433" t="s">
        <v>762</v>
      </c>
      <c r="AI128" s="433" t="s">
        <v>762</v>
      </c>
      <c r="AJ128" s="433" t="s">
        <v>762</v>
      </c>
      <c r="AK128" s="433" t="s">
        <v>762</v>
      </c>
      <c r="AL128" s="433" t="s">
        <v>762</v>
      </c>
      <c r="AM128" s="433" t="s">
        <v>762</v>
      </c>
      <c r="AN128" s="433" t="s">
        <v>762</v>
      </c>
      <c r="AO128" s="433" t="s">
        <v>762</v>
      </c>
      <c r="AP128" s="433" t="s">
        <v>762</v>
      </c>
      <c r="AQ128" s="433" t="s">
        <v>762</v>
      </c>
      <c r="AR128" s="433" t="s">
        <v>762</v>
      </c>
      <c r="AS128" s="433" t="s">
        <v>762</v>
      </c>
      <c r="AT128" s="433" t="s">
        <v>762</v>
      </c>
      <c r="AU128" s="433" t="s">
        <v>762</v>
      </c>
      <c r="AV128" s="433" t="s">
        <v>762</v>
      </c>
      <c r="AW128" s="433" t="s">
        <v>762</v>
      </c>
      <c r="AX128" s="433" t="s">
        <v>762</v>
      </c>
      <c r="AY128" s="433" t="s">
        <v>762</v>
      </c>
      <c r="AZ128" s="433" t="s">
        <v>762</v>
      </c>
      <c r="BA128" s="433" t="s">
        <v>762</v>
      </c>
      <c r="BB128" s="433" t="s">
        <v>762</v>
      </c>
      <c r="BC128" s="433" t="s">
        <v>762</v>
      </c>
      <c r="BD128" s="433" t="s">
        <v>762</v>
      </c>
      <c r="BE128" s="433" t="s">
        <v>762</v>
      </c>
      <c r="BF128" s="433" t="s">
        <v>762</v>
      </c>
      <c r="BG128" s="433" t="s">
        <v>762</v>
      </c>
      <c r="BH128" s="433" t="s">
        <v>762</v>
      </c>
      <c r="BI128" s="433" t="s">
        <v>762</v>
      </c>
      <c r="BJ128" s="433" t="s">
        <v>762</v>
      </c>
      <c r="BK128" s="433" t="s">
        <v>762</v>
      </c>
      <c r="BL128" s="433" t="s">
        <v>762</v>
      </c>
      <c r="BM128" s="433" t="s">
        <v>762</v>
      </c>
      <c r="BN128" s="433" t="s">
        <v>762</v>
      </c>
      <c r="BO128" s="433" t="s">
        <v>762</v>
      </c>
      <c r="BP128" s="433" t="s">
        <v>762</v>
      </c>
      <c r="BQ128" s="433" t="s">
        <v>762</v>
      </c>
      <c r="BR128" s="433" t="s">
        <v>762</v>
      </c>
      <c r="BS128" s="433" t="s">
        <v>762</v>
      </c>
      <c r="BT128" s="433" t="s">
        <v>762</v>
      </c>
      <c r="BU128" s="433" t="s">
        <v>762</v>
      </c>
      <c r="BV128" s="433" t="s">
        <v>762</v>
      </c>
      <c r="BW128" s="433" t="s">
        <v>762</v>
      </c>
      <c r="BX128" s="433" t="s">
        <v>762</v>
      </c>
      <c r="BY128" s="433" t="s">
        <v>762</v>
      </c>
      <c r="BZ128" s="433" t="s">
        <v>762</v>
      </c>
      <c r="CA128" s="433" t="s">
        <v>762</v>
      </c>
      <c r="CB128" s="433" t="s">
        <v>762</v>
      </c>
      <c r="CC128" s="433" t="s">
        <v>762</v>
      </c>
      <c r="CD128" s="433" t="s">
        <v>762</v>
      </c>
      <c r="CE128" s="433" t="s">
        <v>762</v>
      </c>
      <c r="CF128" s="433" t="s">
        <v>762</v>
      </c>
      <c r="CG128" s="239" t="s">
        <v>762</v>
      </c>
      <c r="CH128" s="239" t="s">
        <v>762</v>
      </c>
      <c r="CI128" s="239" t="s">
        <v>762</v>
      </c>
      <c r="CJ128" s="239" t="s">
        <v>762</v>
      </c>
      <c r="CK128" s="239" t="s">
        <v>762</v>
      </c>
      <c r="CL128" s="239" t="s">
        <v>762</v>
      </c>
    </row>
    <row r="129" spans="1:90" s="434" customFormat="1">
      <c r="A129" s="239" t="s">
        <v>523</v>
      </c>
      <c r="B129" s="239" t="s">
        <v>626</v>
      </c>
      <c r="C129" s="433" t="s">
        <v>762</v>
      </c>
      <c r="D129" s="433" t="s">
        <v>762</v>
      </c>
      <c r="E129" s="433" t="s">
        <v>762</v>
      </c>
      <c r="F129" s="433" t="s">
        <v>762</v>
      </c>
      <c r="G129" s="433" t="s">
        <v>762</v>
      </c>
      <c r="H129" s="433" t="s">
        <v>762</v>
      </c>
      <c r="I129" s="433" t="s">
        <v>762</v>
      </c>
      <c r="J129" s="433" t="s">
        <v>762</v>
      </c>
      <c r="K129" s="433" t="s">
        <v>762</v>
      </c>
      <c r="L129" s="433" t="s">
        <v>762</v>
      </c>
      <c r="M129" s="433" t="s">
        <v>762</v>
      </c>
      <c r="N129" s="433" t="s">
        <v>762</v>
      </c>
      <c r="O129" s="433" t="s">
        <v>762</v>
      </c>
      <c r="P129" s="433" t="s">
        <v>762</v>
      </c>
      <c r="Q129" s="433" t="s">
        <v>762</v>
      </c>
      <c r="R129" s="433" t="s">
        <v>762</v>
      </c>
      <c r="S129" s="433" t="s">
        <v>762</v>
      </c>
      <c r="T129" s="433" t="s">
        <v>762</v>
      </c>
      <c r="U129" s="433" t="s">
        <v>762</v>
      </c>
      <c r="V129" s="433" t="s">
        <v>762</v>
      </c>
      <c r="W129" s="433" t="s">
        <v>762</v>
      </c>
      <c r="X129" s="433" t="s">
        <v>762</v>
      </c>
      <c r="Y129" s="433" t="s">
        <v>762</v>
      </c>
      <c r="Z129" s="433" t="s">
        <v>762</v>
      </c>
      <c r="AA129" s="433" t="s">
        <v>762</v>
      </c>
      <c r="AB129" s="433" t="s">
        <v>762</v>
      </c>
      <c r="AC129" s="433" t="s">
        <v>762</v>
      </c>
      <c r="AD129" s="433" t="s">
        <v>762</v>
      </c>
      <c r="AE129" s="433" t="s">
        <v>762</v>
      </c>
      <c r="AF129" s="433" t="s">
        <v>762</v>
      </c>
      <c r="AG129" s="433" t="s">
        <v>762</v>
      </c>
      <c r="AH129" s="433" t="s">
        <v>762</v>
      </c>
      <c r="AI129" s="433" t="s">
        <v>762</v>
      </c>
      <c r="AJ129" s="433" t="s">
        <v>762</v>
      </c>
      <c r="AK129" s="433" t="s">
        <v>762</v>
      </c>
      <c r="AL129" s="433" t="s">
        <v>762</v>
      </c>
      <c r="AM129" s="433" t="s">
        <v>762</v>
      </c>
      <c r="AN129" s="433" t="s">
        <v>762</v>
      </c>
      <c r="AO129" s="433" t="s">
        <v>762</v>
      </c>
      <c r="AP129" s="433" t="s">
        <v>762</v>
      </c>
      <c r="AQ129" s="433" t="s">
        <v>762</v>
      </c>
      <c r="AR129" s="433" t="s">
        <v>762</v>
      </c>
      <c r="AS129" s="433" t="s">
        <v>762</v>
      </c>
      <c r="AT129" s="433" t="s">
        <v>762</v>
      </c>
      <c r="AU129" s="433" t="s">
        <v>762</v>
      </c>
      <c r="AV129" s="433" t="s">
        <v>762</v>
      </c>
      <c r="AW129" s="433" t="s">
        <v>762</v>
      </c>
      <c r="AX129" s="433" t="s">
        <v>762</v>
      </c>
      <c r="AY129" s="433" t="s">
        <v>762</v>
      </c>
      <c r="AZ129" s="433" t="s">
        <v>762</v>
      </c>
      <c r="BA129" s="433" t="s">
        <v>762</v>
      </c>
      <c r="BB129" s="433" t="s">
        <v>762</v>
      </c>
      <c r="BC129" s="433" t="s">
        <v>762</v>
      </c>
      <c r="BD129" s="433" t="s">
        <v>762</v>
      </c>
      <c r="BE129" s="433" t="s">
        <v>762</v>
      </c>
      <c r="BF129" s="433" t="s">
        <v>762</v>
      </c>
      <c r="BG129" s="433" t="s">
        <v>762</v>
      </c>
      <c r="BH129" s="433" t="s">
        <v>762</v>
      </c>
      <c r="BI129" s="433" t="s">
        <v>762</v>
      </c>
      <c r="BJ129" s="433" t="s">
        <v>762</v>
      </c>
      <c r="BK129" s="433" t="s">
        <v>762</v>
      </c>
      <c r="BL129" s="433" t="s">
        <v>762</v>
      </c>
      <c r="BM129" s="433" t="s">
        <v>762</v>
      </c>
      <c r="BN129" s="433" t="s">
        <v>762</v>
      </c>
      <c r="BO129" s="433" t="s">
        <v>762</v>
      </c>
      <c r="BP129" s="433" t="s">
        <v>762</v>
      </c>
      <c r="BQ129" s="433" t="s">
        <v>762</v>
      </c>
      <c r="BR129" s="433" t="s">
        <v>762</v>
      </c>
      <c r="BS129" s="433" t="s">
        <v>762</v>
      </c>
      <c r="BT129" s="433" t="s">
        <v>762</v>
      </c>
      <c r="BU129" s="433" t="s">
        <v>762</v>
      </c>
      <c r="BV129" s="433" t="s">
        <v>762</v>
      </c>
      <c r="BW129" s="433" t="s">
        <v>762</v>
      </c>
      <c r="BX129" s="433" t="s">
        <v>762</v>
      </c>
      <c r="BY129" s="433" t="s">
        <v>762</v>
      </c>
      <c r="BZ129" s="433" t="s">
        <v>762</v>
      </c>
      <c r="CA129" s="433" t="s">
        <v>762</v>
      </c>
      <c r="CB129" s="433" t="s">
        <v>762</v>
      </c>
      <c r="CC129" s="433" t="s">
        <v>762</v>
      </c>
      <c r="CD129" s="433" t="s">
        <v>762</v>
      </c>
      <c r="CE129" s="433" t="s">
        <v>762</v>
      </c>
      <c r="CF129" s="433" t="s">
        <v>762</v>
      </c>
      <c r="CG129" s="239" t="s">
        <v>762</v>
      </c>
      <c r="CH129" s="239" t="s">
        <v>762</v>
      </c>
      <c r="CI129" s="239" t="s">
        <v>762</v>
      </c>
      <c r="CJ129" s="239" t="s">
        <v>762</v>
      </c>
      <c r="CK129" s="239" t="s">
        <v>762</v>
      </c>
      <c r="CL129" s="239" t="s">
        <v>762</v>
      </c>
    </row>
    <row r="130" spans="1:90" s="434" customFormat="1">
      <c r="A130" s="239" t="s">
        <v>524</v>
      </c>
      <c r="B130" s="239" t="s">
        <v>626</v>
      </c>
      <c r="C130" s="433" t="s">
        <v>762</v>
      </c>
      <c r="D130" s="433" t="s">
        <v>762</v>
      </c>
      <c r="E130" s="433" t="s">
        <v>762</v>
      </c>
      <c r="F130" s="433" t="s">
        <v>762</v>
      </c>
      <c r="G130" s="433" t="s">
        <v>762</v>
      </c>
      <c r="H130" s="433" t="s">
        <v>762</v>
      </c>
      <c r="I130" s="433" t="s">
        <v>762</v>
      </c>
      <c r="J130" s="433" t="s">
        <v>762</v>
      </c>
      <c r="K130" s="433" t="s">
        <v>762</v>
      </c>
      <c r="L130" s="433" t="s">
        <v>762</v>
      </c>
      <c r="M130" s="433" t="s">
        <v>762</v>
      </c>
      <c r="N130" s="433" t="s">
        <v>762</v>
      </c>
      <c r="O130" s="433" t="s">
        <v>762</v>
      </c>
      <c r="P130" s="433" t="s">
        <v>762</v>
      </c>
      <c r="Q130" s="433" t="s">
        <v>762</v>
      </c>
      <c r="R130" s="433" t="s">
        <v>762</v>
      </c>
      <c r="S130" s="433" t="s">
        <v>762</v>
      </c>
      <c r="T130" s="433" t="s">
        <v>762</v>
      </c>
      <c r="U130" s="433" t="s">
        <v>762</v>
      </c>
      <c r="V130" s="433" t="s">
        <v>762</v>
      </c>
      <c r="W130" s="433" t="s">
        <v>762</v>
      </c>
      <c r="X130" s="433" t="s">
        <v>762</v>
      </c>
      <c r="Y130" s="433" t="s">
        <v>762</v>
      </c>
      <c r="Z130" s="433" t="s">
        <v>762</v>
      </c>
      <c r="AA130" s="433" t="s">
        <v>762</v>
      </c>
      <c r="AB130" s="433" t="s">
        <v>762</v>
      </c>
      <c r="AC130" s="433" t="s">
        <v>762</v>
      </c>
      <c r="AD130" s="433" t="s">
        <v>762</v>
      </c>
      <c r="AE130" s="433" t="s">
        <v>762</v>
      </c>
      <c r="AF130" s="433" t="s">
        <v>762</v>
      </c>
      <c r="AG130" s="433" t="s">
        <v>762</v>
      </c>
      <c r="AH130" s="433" t="s">
        <v>762</v>
      </c>
      <c r="AI130" s="433" t="s">
        <v>762</v>
      </c>
      <c r="AJ130" s="433" t="s">
        <v>762</v>
      </c>
      <c r="AK130" s="433" t="s">
        <v>762</v>
      </c>
      <c r="AL130" s="433" t="s">
        <v>762</v>
      </c>
      <c r="AM130" s="433" t="s">
        <v>762</v>
      </c>
      <c r="AN130" s="433" t="s">
        <v>762</v>
      </c>
      <c r="AO130" s="433" t="s">
        <v>762</v>
      </c>
      <c r="AP130" s="433" t="s">
        <v>762</v>
      </c>
      <c r="AQ130" s="433" t="s">
        <v>762</v>
      </c>
      <c r="AR130" s="433" t="s">
        <v>762</v>
      </c>
      <c r="AS130" s="433" t="s">
        <v>762</v>
      </c>
      <c r="AT130" s="433" t="s">
        <v>762</v>
      </c>
      <c r="AU130" s="433" t="s">
        <v>762</v>
      </c>
      <c r="AV130" s="433" t="s">
        <v>762</v>
      </c>
      <c r="AW130" s="433" t="s">
        <v>762</v>
      </c>
      <c r="AX130" s="433" t="s">
        <v>762</v>
      </c>
      <c r="AY130" s="433" t="s">
        <v>762</v>
      </c>
      <c r="AZ130" s="433" t="s">
        <v>762</v>
      </c>
      <c r="BA130" s="433" t="s">
        <v>762</v>
      </c>
      <c r="BB130" s="433" t="s">
        <v>762</v>
      </c>
      <c r="BC130" s="433" t="s">
        <v>762</v>
      </c>
      <c r="BD130" s="433" t="s">
        <v>762</v>
      </c>
      <c r="BE130" s="433" t="s">
        <v>762</v>
      </c>
      <c r="BF130" s="433" t="s">
        <v>762</v>
      </c>
      <c r="BG130" s="433" t="s">
        <v>762</v>
      </c>
      <c r="BH130" s="433" t="s">
        <v>762</v>
      </c>
      <c r="BI130" s="433" t="s">
        <v>762</v>
      </c>
      <c r="BJ130" s="433" t="s">
        <v>762</v>
      </c>
      <c r="BK130" s="433" t="s">
        <v>762</v>
      </c>
      <c r="BL130" s="433" t="s">
        <v>762</v>
      </c>
      <c r="BM130" s="433" t="s">
        <v>762</v>
      </c>
      <c r="BN130" s="433" t="s">
        <v>762</v>
      </c>
      <c r="BO130" s="433" t="s">
        <v>762</v>
      </c>
      <c r="BP130" s="433" t="s">
        <v>762</v>
      </c>
      <c r="BQ130" s="433" t="s">
        <v>762</v>
      </c>
      <c r="BR130" s="433" t="s">
        <v>762</v>
      </c>
      <c r="BS130" s="433" t="s">
        <v>762</v>
      </c>
      <c r="BT130" s="433" t="s">
        <v>762</v>
      </c>
      <c r="BU130" s="433" t="s">
        <v>762</v>
      </c>
      <c r="BV130" s="433" t="s">
        <v>762</v>
      </c>
      <c r="BW130" s="433" t="s">
        <v>762</v>
      </c>
      <c r="BX130" s="433" t="s">
        <v>762</v>
      </c>
      <c r="BY130" s="433" t="s">
        <v>762</v>
      </c>
      <c r="BZ130" s="433" t="s">
        <v>762</v>
      </c>
      <c r="CA130" s="433" t="s">
        <v>762</v>
      </c>
      <c r="CB130" s="433" t="s">
        <v>762</v>
      </c>
      <c r="CC130" s="433" t="s">
        <v>762</v>
      </c>
      <c r="CD130" s="433" t="s">
        <v>762</v>
      </c>
      <c r="CE130" s="433" t="s">
        <v>762</v>
      </c>
      <c r="CF130" s="433" t="s">
        <v>762</v>
      </c>
      <c r="CG130" s="239" t="s">
        <v>762</v>
      </c>
      <c r="CH130" s="239" t="s">
        <v>762</v>
      </c>
      <c r="CI130" s="239" t="s">
        <v>762</v>
      </c>
      <c r="CJ130" s="239" t="s">
        <v>762</v>
      </c>
      <c r="CK130" s="239" t="s">
        <v>762</v>
      </c>
      <c r="CL130" s="239" t="s">
        <v>762</v>
      </c>
    </row>
    <row r="131" spans="1:90" s="434" customFormat="1">
      <c r="A131" s="239" t="s">
        <v>525</v>
      </c>
      <c r="B131" s="239" t="s">
        <v>626</v>
      </c>
      <c r="C131" s="433" t="s">
        <v>762</v>
      </c>
      <c r="D131" s="433" t="s">
        <v>762</v>
      </c>
      <c r="E131" s="433" t="s">
        <v>762</v>
      </c>
      <c r="F131" s="433" t="s">
        <v>762</v>
      </c>
      <c r="G131" s="433" t="s">
        <v>762</v>
      </c>
      <c r="H131" s="433" t="s">
        <v>762</v>
      </c>
      <c r="I131" s="433" t="s">
        <v>762</v>
      </c>
      <c r="J131" s="433" t="s">
        <v>762</v>
      </c>
      <c r="K131" s="433" t="s">
        <v>762</v>
      </c>
      <c r="L131" s="433" t="s">
        <v>762</v>
      </c>
      <c r="M131" s="433" t="s">
        <v>762</v>
      </c>
      <c r="N131" s="433" t="s">
        <v>762</v>
      </c>
      <c r="O131" s="433" t="s">
        <v>762</v>
      </c>
      <c r="P131" s="433" t="s">
        <v>762</v>
      </c>
      <c r="Q131" s="433" t="s">
        <v>762</v>
      </c>
      <c r="R131" s="433" t="s">
        <v>762</v>
      </c>
      <c r="S131" s="433" t="s">
        <v>762</v>
      </c>
      <c r="T131" s="433" t="s">
        <v>762</v>
      </c>
      <c r="U131" s="433" t="s">
        <v>762</v>
      </c>
      <c r="V131" s="433" t="s">
        <v>762</v>
      </c>
      <c r="W131" s="433" t="s">
        <v>762</v>
      </c>
      <c r="X131" s="433" t="s">
        <v>762</v>
      </c>
      <c r="Y131" s="433" t="s">
        <v>762</v>
      </c>
      <c r="Z131" s="433" t="s">
        <v>762</v>
      </c>
      <c r="AA131" s="433" t="s">
        <v>762</v>
      </c>
      <c r="AB131" s="433" t="s">
        <v>762</v>
      </c>
      <c r="AC131" s="433" t="s">
        <v>762</v>
      </c>
      <c r="AD131" s="433" t="s">
        <v>762</v>
      </c>
      <c r="AE131" s="433" t="s">
        <v>762</v>
      </c>
      <c r="AF131" s="433" t="s">
        <v>762</v>
      </c>
      <c r="AG131" s="433" t="s">
        <v>762</v>
      </c>
      <c r="AH131" s="433" t="s">
        <v>762</v>
      </c>
      <c r="AI131" s="433" t="s">
        <v>762</v>
      </c>
      <c r="AJ131" s="433" t="s">
        <v>762</v>
      </c>
      <c r="AK131" s="433" t="s">
        <v>762</v>
      </c>
      <c r="AL131" s="433" t="s">
        <v>762</v>
      </c>
      <c r="AM131" s="433" t="s">
        <v>762</v>
      </c>
      <c r="AN131" s="433" t="s">
        <v>762</v>
      </c>
      <c r="AO131" s="433" t="s">
        <v>762</v>
      </c>
      <c r="AP131" s="433" t="s">
        <v>762</v>
      </c>
      <c r="AQ131" s="433" t="s">
        <v>762</v>
      </c>
      <c r="AR131" s="433" t="s">
        <v>762</v>
      </c>
      <c r="AS131" s="433" t="s">
        <v>762</v>
      </c>
      <c r="AT131" s="433" t="s">
        <v>762</v>
      </c>
      <c r="AU131" s="433" t="s">
        <v>762</v>
      </c>
      <c r="AV131" s="433" t="s">
        <v>762</v>
      </c>
      <c r="AW131" s="433" t="s">
        <v>762</v>
      </c>
      <c r="AX131" s="433" t="s">
        <v>762</v>
      </c>
      <c r="AY131" s="433" t="s">
        <v>762</v>
      </c>
      <c r="AZ131" s="433" t="s">
        <v>762</v>
      </c>
      <c r="BA131" s="433" t="s">
        <v>762</v>
      </c>
      <c r="BB131" s="433" t="s">
        <v>762</v>
      </c>
      <c r="BC131" s="433" t="s">
        <v>762</v>
      </c>
      <c r="BD131" s="433" t="s">
        <v>762</v>
      </c>
      <c r="BE131" s="433" t="s">
        <v>762</v>
      </c>
      <c r="BF131" s="433" t="s">
        <v>762</v>
      </c>
      <c r="BG131" s="433" t="s">
        <v>762</v>
      </c>
      <c r="BH131" s="433" t="s">
        <v>762</v>
      </c>
      <c r="BI131" s="433" t="s">
        <v>762</v>
      </c>
      <c r="BJ131" s="433" t="s">
        <v>762</v>
      </c>
      <c r="BK131" s="433" t="s">
        <v>762</v>
      </c>
      <c r="BL131" s="433" t="s">
        <v>762</v>
      </c>
      <c r="BM131" s="433" t="s">
        <v>762</v>
      </c>
      <c r="BN131" s="433" t="s">
        <v>762</v>
      </c>
      <c r="BO131" s="433" t="s">
        <v>762</v>
      </c>
      <c r="BP131" s="433" t="s">
        <v>762</v>
      </c>
      <c r="BQ131" s="433" t="s">
        <v>762</v>
      </c>
      <c r="BR131" s="433" t="s">
        <v>762</v>
      </c>
      <c r="BS131" s="433" t="s">
        <v>762</v>
      </c>
      <c r="BT131" s="433" t="s">
        <v>762</v>
      </c>
      <c r="BU131" s="433" t="s">
        <v>762</v>
      </c>
      <c r="BV131" s="433" t="s">
        <v>762</v>
      </c>
      <c r="BW131" s="433" t="s">
        <v>762</v>
      </c>
      <c r="BX131" s="433" t="s">
        <v>762</v>
      </c>
      <c r="BY131" s="433" t="s">
        <v>762</v>
      </c>
      <c r="BZ131" s="433" t="s">
        <v>762</v>
      </c>
      <c r="CA131" s="433" t="s">
        <v>762</v>
      </c>
      <c r="CB131" s="433" t="s">
        <v>762</v>
      </c>
      <c r="CC131" s="433" t="s">
        <v>762</v>
      </c>
      <c r="CD131" s="433" t="s">
        <v>762</v>
      </c>
      <c r="CE131" s="433" t="s">
        <v>762</v>
      </c>
      <c r="CF131" s="433" t="s">
        <v>762</v>
      </c>
      <c r="CG131" s="239" t="s">
        <v>762</v>
      </c>
      <c r="CH131" s="239" t="s">
        <v>762</v>
      </c>
      <c r="CI131" s="239" t="s">
        <v>762</v>
      </c>
      <c r="CJ131" s="239" t="s">
        <v>762</v>
      </c>
      <c r="CK131" s="239" t="s">
        <v>762</v>
      </c>
      <c r="CL131" s="239" t="s">
        <v>762</v>
      </c>
    </row>
    <row r="132" spans="1:90" s="434" customFormat="1">
      <c r="A132" s="239" t="s">
        <v>526</v>
      </c>
      <c r="B132" s="239" t="s">
        <v>626</v>
      </c>
      <c r="C132" s="433" t="s">
        <v>762</v>
      </c>
      <c r="D132" s="433" t="s">
        <v>762</v>
      </c>
      <c r="E132" s="433" t="s">
        <v>762</v>
      </c>
      <c r="F132" s="433" t="s">
        <v>762</v>
      </c>
      <c r="G132" s="433" t="s">
        <v>762</v>
      </c>
      <c r="H132" s="433" t="s">
        <v>762</v>
      </c>
      <c r="I132" s="433" t="s">
        <v>762</v>
      </c>
      <c r="J132" s="433" t="s">
        <v>762</v>
      </c>
      <c r="K132" s="433" t="s">
        <v>762</v>
      </c>
      <c r="L132" s="433" t="s">
        <v>762</v>
      </c>
      <c r="M132" s="433" t="s">
        <v>762</v>
      </c>
      <c r="N132" s="433" t="s">
        <v>762</v>
      </c>
      <c r="O132" s="433" t="s">
        <v>762</v>
      </c>
      <c r="P132" s="433" t="s">
        <v>762</v>
      </c>
      <c r="Q132" s="433" t="s">
        <v>762</v>
      </c>
      <c r="R132" s="433" t="s">
        <v>762</v>
      </c>
      <c r="S132" s="433" t="s">
        <v>762</v>
      </c>
      <c r="T132" s="433" t="s">
        <v>762</v>
      </c>
      <c r="U132" s="433" t="s">
        <v>762</v>
      </c>
      <c r="V132" s="433" t="s">
        <v>762</v>
      </c>
      <c r="W132" s="433" t="s">
        <v>762</v>
      </c>
      <c r="X132" s="433" t="s">
        <v>762</v>
      </c>
      <c r="Y132" s="433" t="s">
        <v>762</v>
      </c>
      <c r="Z132" s="433" t="s">
        <v>762</v>
      </c>
      <c r="AA132" s="433" t="s">
        <v>762</v>
      </c>
      <c r="AB132" s="433" t="s">
        <v>762</v>
      </c>
      <c r="AC132" s="433" t="s">
        <v>762</v>
      </c>
      <c r="AD132" s="433" t="s">
        <v>762</v>
      </c>
      <c r="AE132" s="433" t="s">
        <v>762</v>
      </c>
      <c r="AF132" s="433" t="s">
        <v>762</v>
      </c>
      <c r="AG132" s="433" t="s">
        <v>762</v>
      </c>
      <c r="AH132" s="433" t="s">
        <v>762</v>
      </c>
      <c r="AI132" s="433" t="s">
        <v>762</v>
      </c>
      <c r="AJ132" s="433" t="s">
        <v>762</v>
      </c>
      <c r="AK132" s="433" t="s">
        <v>762</v>
      </c>
      <c r="AL132" s="433" t="s">
        <v>762</v>
      </c>
      <c r="AM132" s="433" t="s">
        <v>762</v>
      </c>
      <c r="AN132" s="433" t="s">
        <v>762</v>
      </c>
      <c r="AO132" s="433" t="s">
        <v>762</v>
      </c>
      <c r="AP132" s="433" t="s">
        <v>762</v>
      </c>
      <c r="AQ132" s="433" t="s">
        <v>762</v>
      </c>
      <c r="AR132" s="433" t="s">
        <v>762</v>
      </c>
      <c r="AS132" s="433" t="s">
        <v>762</v>
      </c>
      <c r="AT132" s="433" t="s">
        <v>762</v>
      </c>
      <c r="AU132" s="433" t="s">
        <v>762</v>
      </c>
      <c r="AV132" s="433" t="s">
        <v>762</v>
      </c>
      <c r="AW132" s="433" t="s">
        <v>762</v>
      </c>
      <c r="AX132" s="433" t="s">
        <v>762</v>
      </c>
      <c r="AY132" s="433" t="s">
        <v>762</v>
      </c>
      <c r="AZ132" s="433" t="s">
        <v>762</v>
      </c>
      <c r="BA132" s="433" t="s">
        <v>762</v>
      </c>
      <c r="BB132" s="433" t="s">
        <v>762</v>
      </c>
      <c r="BC132" s="433" t="s">
        <v>762</v>
      </c>
      <c r="BD132" s="433" t="s">
        <v>762</v>
      </c>
      <c r="BE132" s="433" t="s">
        <v>762</v>
      </c>
      <c r="BF132" s="433" t="s">
        <v>762</v>
      </c>
      <c r="BG132" s="433" t="s">
        <v>762</v>
      </c>
      <c r="BH132" s="433" t="s">
        <v>762</v>
      </c>
      <c r="BI132" s="433" t="s">
        <v>762</v>
      </c>
      <c r="BJ132" s="433" t="s">
        <v>762</v>
      </c>
      <c r="BK132" s="433" t="s">
        <v>762</v>
      </c>
      <c r="BL132" s="433" t="s">
        <v>762</v>
      </c>
      <c r="BM132" s="433" t="s">
        <v>762</v>
      </c>
      <c r="BN132" s="433" t="s">
        <v>762</v>
      </c>
      <c r="BO132" s="433" t="s">
        <v>762</v>
      </c>
      <c r="BP132" s="433" t="s">
        <v>762</v>
      </c>
      <c r="BQ132" s="433" t="s">
        <v>762</v>
      </c>
      <c r="BR132" s="433" t="s">
        <v>762</v>
      </c>
      <c r="BS132" s="433" t="s">
        <v>762</v>
      </c>
      <c r="BT132" s="433" t="s">
        <v>762</v>
      </c>
      <c r="BU132" s="433" t="s">
        <v>762</v>
      </c>
      <c r="BV132" s="433" t="s">
        <v>762</v>
      </c>
      <c r="BW132" s="433" t="s">
        <v>762</v>
      </c>
      <c r="BX132" s="433" t="s">
        <v>762</v>
      </c>
      <c r="BY132" s="433" t="s">
        <v>762</v>
      </c>
      <c r="BZ132" s="433" t="s">
        <v>762</v>
      </c>
      <c r="CA132" s="433" t="s">
        <v>762</v>
      </c>
      <c r="CB132" s="433" t="s">
        <v>762</v>
      </c>
      <c r="CC132" s="433" t="s">
        <v>762</v>
      </c>
      <c r="CD132" s="433" t="s">
        <v>762</v>
      </c>
      <c r="CE132" s="433" t="s">
        <v>762</v>
      </c>
      <c r="CF132" s="433" t="s">
        <v>762</v>
      </c>
      <c r="CG132" s="239" t="s">
        <v>762</v>
      </c>
      <c r="CH132" s="239" t="s">
        <v>762</v>
      </c>
      <c r="CI132" s="239" t="s">
        <v>762</v>
      </c>
      <c r="CJ132" s="239" t="s">
        <v>762</v>
      </c>
      <c r="CK132" s="239" t="s">
        <v>762</v>
      </c>
      <c r="CL132" s="239" t="s">
        <v>762</v>
      </c>
    </row>
    <row r="133" spans="1:90" s="434" customFormat="1">
      <c r="A133" s="239" t="s">
        <v>527</v>
      </c>
      <c r="B133" s="239" t="s">
        <v>626</v>
      </c>
      <c r="C133" s="433" t="s">
        <v>762</v>
      </c>
      <c r="D133" s="433" t="s">
        <v>762</v>
      </c>
      <c r="E133" s="433" t="s">
        <v>762</v>
      </c>
      <c r="F133" s="433" t="s">
        <v>762</v>
      </c>
      <c r="G133" s="433" t="s">
        <v>762</v>
      </c>
      <c r="H133" s="433" t="s">
        <v>762</v>
      </c>
      <c r="I133" s="433" t="s">
        <v>762</v>
      </c>
      <c r="J133" s="433" t="s">
        <v>762</v>
      </c>
      <c r="K133" s="433" t="s">
        <v>762</v>
      </c>
      <c r="L133" s="433" t="s">
        <v>762</v>
      </c>
      <c r="M133" s="433" t="s">
        <v>762</v>
      </c>
      <c r="N133" s="433" t="s">
        <v>762</v>
      </c>
      <c r="O133" s="433" t="s">
        <v>762</v>
      </c>
      <c r="P133" s="433" t="s">
        <v>762</v>
      </c>
      <c r="Q133" s="433" t="s">
        <v>762</v>
      </c>
      <c r="R133" s="433" t="s">
        <v>762</v>
      </c>
      <c r="S133" s="433" t="s">
        <v>762</v>
      </c>
      <c r="T133" s="433" t="s">
        <v>762</v>
      </c>
      <c r="U133" s="433" t="s">
        <v>762</v>
      </c>
      <c r="V133" s="433" t="s">
        <v>762</v>
      </c>
      <c r="W133" s="433" t="s">
        <v>762</v>
      </c>
      <c r="X133" s="433" t="s">
        <v>762</v>
      </c>
      <c r="Y133" s="433" t="s">
        <v>762</v>
      </c>
      <c r="Z133" s="433" t="s">
        <v>762</v>
      </c>
      <c r="AA133" s="433" t="s">
        <v>762</v>
      </c>
      <c r="AB133" s="433" t="s">
        <v>762</v>
      </c>
      <c r="AC133" s="433" t="s">
        <v>762</v>
      </c>
      <c r="AD133" s="433" t="s">
        <v>762</v>
      </c>
      <c r="AE133" s="433" t="s">
        <v>762</v>
      </c>
      <c r="AF133" s="433" t="s">
        <v>762</v>
      </c>
      <c r="AG133" s="433" t="s">
        <v>762</v>
      </c>
      <c r="AH133" s="433" t="s">
        <v>762</v>
      </c>
      <c r="AI133" s="433" t="s">
        <v>762</v>
      </c>
      <c r="AJ133" s="433" t="s">
        <v>762</v>
      </c>
      <c r="AK133" s="433" t="s">
        <v>762</v>
      </c>
      <c r="AL133" s="433" t="s">
        <v>762</v>
      </c>
      <c r="AM133" s="433" t="s">
        <v>762</v>
      </c>
      <c r="AN133" s="433" t="s">
        <v>762</v>
      </c>
      <c r="AO133" s="433" t="s">
        <v>762</v>
      </c>
      <c r="AP133" s="433" t="s">
        <v>762</v>
      </c>
      <c r="AQ133" s="433" t="s">
        <v>762</v>
      </c>
      <c r="AR133" s="433" t="s">
        <v>762</v>
      </c>
      <c r="AS133" s="433" t="s">
        <v>762</v>
      </c>
      <c r="AT133" s="433" t="s">
        <v>762</v>
      </c>
      <c r="AU133" s="433" t="s">
        <v>762</v>
      </c>
      <c r="AV133" s="433" t="s">
        <v>762</v>
      </c>
      <c r="AW133" s="433" t="s">
        <v>762</v>
      </c>
      <c r="AX133" s="433" t="s">
        <v>762</v>
      </c>
      <c r="AY133" s="433" t="s">
        <v>762</v>
      </c>
      <c r="AZ133" s="433" t="s">
        <v>762</v>
      </c>
      <c r="BA133" s="433" t="s">
        <v>762</v>
      </c>
      <c r="BB133" s="433" t="s">
        <v>762</v>
      </c>
      <c r="BC133" s="433" t="s">
        <v>762</v>
      </c>
      <c r="BD133" s="433" t="s">
        <v>762</v>
      </c>
      <c r="BE133" s="433" t="s">
        <v>762</v>
      </c>
      <c r="BF133" s="433" t="s">
        <v>762</v>
      </c>
      <c r="BG133" s="433" t="s">
        <v>762</v>
      </c>
      <c r="BH133" s="433" t="s">
        <v>762</v>
      </c>
      <c r="BI133" s="433" t="s">
        <v>762</v>
      </c>
      <c r="BJ133" s="433" t="s">
        <v>762</v>
      </c>
      <c r="BK133" s="433" t="s">
        <v>762</v>
      </c>
      <c r="BL133" s="433" t="s">
        <v>762</v>
      </c>
      <c r="BM133" s="433" t="s">
        <v>762</v>
      </c>
      <c r="BN133" s="433" t="s">
        <v>762</v>
      </c>
      <c r="BO133" s="433" t="s">
        <v>762</v>
      </c>
      <c r="BP133" s="433" t="s">
        <v>762</v>
      </c>
      <c r="BQ133" s="433" t="s">
        <v>762</v>
      </c>
      <c r="BR133" s="433" t="s">
        <v>762</v>
      </c>
      <c r="BS133" s="433" t="s">
        <v>762</v>
      </c>
      <c r="BT133" s="433" t="s">
        <v>762</v>
      </c>
      <c r="BU133" s="433" t="s">
        <v>762</v>
      </c>
      <c r="BV133" s="433" t="s">
        <v>762</v>
      </c>
      <c r="BW133" s="433" t="s">
        <v>762</v>
      </c>
      <c r="BX133" s="433" t="s">
        <v>762</v>
      </c>
      <c r="BY133" s="433" t="s">
        <v>762</v>
      </c>
      <c r="BZ133" s="433" t="s">
        <v>762</v>
      </c>
      <c r="CA133" s="433" t="s">
        <v>762</v>
      </c>
      <c r="CB133" s="433" t="s">
        <v>762</v>
      </c>
      <c r="CC133" s="433" t="s">
        <v>762</v>
      </c>
      <c r="CD133" s="433" t="s">
        <v>762</v>
      </c>
      <c r="CE133" s="433" t="s">
        <v>762</v>
      </c>
      <c r="CF133" s="433" t="s">
        <v>762</v>
      </c>
      <c r="CG133" s="239" t="s">
        <v>762</v>
      </c>
      <c r="CH133" s="239" t="s">
        <v>762</v>
      </c>
      <c r="CI133" s="239" t="s">
        <v>762</v>
      </c>
      <c r="CJ133" s="239" t="s">
        <v>762</v>
      </c>
      <c r="CK133" s="239" t="s">
        <v>762</v>
      </c>
      <c r="CL133" s="239" t="s">
        <v>762</v>
      </c>
    </row>
    <row r="134" spans="1:90" s="434" customFormat="1">
      <c r="A134" s="239" t="s">
        <v>528</v>
      </c>
      <c r="B134" s="239" t="s">
        <v>626</v>
      </c>
      <c r="C134" s="433">
        <f t="shared" ref="C134:AD134" si="87">B905</f>
        <v>66</v>
      </c>
      <c r="D134" s="433">
        <f t="shared" si="87"/>
        <v>66</v>
      </c>
      <c r="E134" s="433">
        <f t="shared" si="87"/>
        <v>66</v>
      </c>
      <c r="F134" s="433">
        <f t="shared" si="87"/>
        <v>66</v>
      </c>
      <c r="G134" s="433">
        <f t="shared" si="87"/>
        <v>66</v>
      </c>
      <c r="H134" s="433">
        <f t="shared" si="87"/>
        <v>66</v>
      </c>
      <c r="I134" s="433">
        <f t="shared" si="87"/>
        <v>66</v>
      </c>
      <c r="J134" s="433">
        <f t="shared" si="87"/>
        <v>66</v>
      </c>
      <c r="K134" s="433">
        <f t="shared" si="87"/>
        <v>66</v>
      </c>
      <c r="L134" s="433">
        <f t="shared" si="87"/>
        <v>66</v>
      </c>
      <c r="M134" s="433">
        <f t="shared" si="87"/>
        <v>66</v>
      </c>
      <c r="N134" s="433">
        <f t="shared" si="87"/>
        <v>66</v>
      </c>
      <c r="O134" s="433">
        <f t="shared" si="87"/>
        <v>66</v>
      </c>
      <c r="P134" s="433">
        <f t="shared" si="87"/>
        <v>66</v>
      </c>
      <c r="Q134" s="433">
        <f t="shared" si="87"/>
        <v>66</v>
      </c>
      <c r="R134" s="433">
        <f t="shared" si="87"/>
        <v>66</v>
      </c>
      <c r="S134" s="433">
        <f t="shared" si="87"/>
        <v>66</v>
      </c>
      <c r="T134" s="433">
        <f t="shared" si="87"/>
        <v>66</v>
      </c>
      <c r="U134" s="433">
        <f t="shared" si="87"/>
        <v>66</v>
      </c>
      <c r="V134" s="433">
        <f t="shared" si="87"/>
        <v>66</v>
      </c>
      <c r="W134" s="433">
        <f t="shared" si="87"/>
        <v>66</v>
      </c>
      <c r="X134" s="433">
        <f t="shared" si="87"/>
        <v>66</v>
      </c>
      <c r="Y134" s="433">
        <f t="shared" si="87"/>
        <v>66</v>
      </c>
      <c r="Z134" s="433">
        <f t="shared" si="87"/>
        <v>66</v>
      </c>
      <c r="AA134" s="433">
        <f t="shared" si="87"/>
        <v>66</v>
      </c>
      <c r="AB134" s="433">
        <f t="shared" si="87"/>
        <v>66</v>
      </c>
      <c r="AC134" s="433">
        <f t="shared" si="87"/>
        <v>66</v>
      </c>
      <c r="AD134" s="433">
        <f t="shared" si="87"/>
        <v>66</v>
      </c>
      <c r="AE134" s="433">
        <f t="shared" ref="AE134:AJ134" si="88">AC905</f>
        <v>66</v>
      </c>
      <c r="AF134" s="433">
        <f t="shared" si="88"/>
        <v>80</v>
      </c>
      <c r="AG134" s="433">
        <f t="shared" si="88"/>
        <v>80</v>
      </c>
      <c r="AH134" s="433">
        <f t="shared" si="88"/>
        <v>80</v>
      </c>
      <c r="AI134" s="433">
        <f t="shared" si="88"/>
        <v>80</v>
      </c>
      <c r="AJ134" s="433">
        <f t="shared" si="88"/>
        <v>80</v>
      </c>
      <c r="AK134" s="433">
        <f t="shared" ref="AK134:BO134" si="89">AI904</f>
        <v>80</v>
      </c>
      <c r="AL134" s="433">
        <f t="shared" si="89"/>
        <v>80</v>
      </c>
      <c r="AM134" s="433">
        <f t="shared" si="89"/>
        <v>80</v>
      </c>
      <c r="AN134" s="433">
        <f t="shared" si="89"/>
        <v>80</v>
      </c>
      <c r="AO134" s="433">
        <f t="shared" si="89"/>
        <v>80</v>
      </c>
      <c r="AP134" s="433">
        <f t="shared" si="89"/>
        <v>80</v>
      </c>
      <c r="AQ134" s="433">
        <f t="shared" si="89"/>
        <v>80</v>
      </c>
      <c r="AR134" s="433">
        <f t="shared" si="89"/>
        <v>80</v>
      </c>
      <c r="AS134" s="433">
        <f t="shared" si="89"/>
        <v>80</v>
      </c>
      <c r="AT134" s="433">
        <f t="shared" si="89"/>
        <v>80</v>
      </c>
      <c r="AU134" s="433">
        <f t="shared" si="89"/>
        <v>80</v>
      </c>
      <c r="AV134" s="433">
        <f t="shared" si="89"/>
        <v>80</v>
      </c>
      <c r="AW134" s="433">
        <f t="shared" si="89"/>
        <v>80</v>
      </c>
      <c r="AX134" s="433">
        <f t="shared" si="89"/>
        <v>80</v>
      </c>
      <c r="AY134" s="433">
        <f t="shared" si="89"/>
        <v>98</v>
      </c>
      <c r="AZ134" s="433">
        <f t="shared" si="89"/>
        <v>98</v>
      </c>
      <c r="BA134" s="433">
        <f t="shared" si="89"/>
        <v>98</v>
      </c>
      <c r="BB134" s="433">
        <f t="shared" si="89"/>
        <v>98</v>
      </c>
      <c r="BC134" s="433">
        <f t="shared" si="89"/>
        <v>98</v>
      </c>
      <c r="BD134" s="433">
        <f t="shared" si="89"/>
        <v>98</v>
      </c>
      <c r="BE134" s="433">
        <f t="shared" si="89"/>
        <v>98</v>
      </c>
      <c r="BF134" s="433">
        <f t="shared" si="89"/>
        <v>98</v>
      </c>
      <c r="BG134" s="433">
        <f t="shared" si="89"/>
        <v>133</v>
      </c>
      <c r="BH134" s="433">
        <f t="shared" si="89"/>
        <v>133</v>
      </c>
      <c r="BI134" s="433">
        <f t="shared" si="89"/>
        <v>133</v>
      </c>
      <c r="BJ134" s="433">
        <f t="shared" si="89"/>
        <v>133</v>
      </c>
      <c r="BK134" s="433">
        <f t="shared" si="89"/>
        <v>133</v>
      </c>
      <c r="BL134" s="433">
        <f t="shared" si="89"/>
        <v>133</v>
      </c>
      <c r="BM134" s="433">
        <f t="shared" si="89"/>
        <v>154</v>
      </c>
      <c r="BN134" s="433">
        <f t="shared" si="89"/>
        <v>154</v>
      </c>
      <c r="BO134" s="433">
        <f t="shared" si="89"/>
        <v>154</v>
      </c>
      <c r="BP134" s="433">
        <f t="shared" ref="BP134:CF134" si="90">BN904</f>
        <v>154</v>
      </c>
      <c r="BQ134" s="433">
        <f t="shared" si="90"/>
        <v>154</v>
      </c>
      <c r="BR134" s="433">
        <f t="shared" si="90"/>
        <v>154</v>
      </c>
      <c r="BS134" s="433">
        <f t="shared" si="90"/>
        <v>170</v>
      </c>
      <c r="BT134" s="433">
        <f t="shared" si="90"/>
        <v>170</v>
      </c>
      <c r="BU134" s="433">
        <f t="shared" si="90"/>
        <v>183</v>
      </c>
      <c r="BV134" s="433">
        <f t="shared" si="90"/>
        <v>199</v>
      </c>
      <c r="BW134" s="433">
        <f t="shared" si="90"/>
        <v>209</v>
      </c>
      <c r="BX134" s="433">
        <f t="shared" si="90"/>
        <v>220</v>
      </c>
      <c r="BY134" s="433">
        <f t="shared" si="90"/>
        <v>227</v>
      </c>
      <c r="BZ134" s="433">
        <f t="shared" si="90"/>
        <v>239</v>
      </c>
      <c r="CA134" s="433">
        <f t="shared" si="90"/>
        <v>239</v>
      </c>
      <c r="CB134" s="433">
        <f t="shared" si="90"/>
        <v>263</v>
      </c>
      <c r="CC134" s="433">
        <f t="shared" si="90"/>
        <v>293</v>
      </c>
      <c r="CD134" s="433">
        <f t="shared" si="90"/>
        <v>301</v>
      </c>
      <c r="CE134" s="433">
        <f t="shared" si="90"/>
        <v>340</v>
      </c>
      <c r="CF134" s="433">
        <f t="shared" si="90"/>
        <v>360</v>
      </c>
      <c r="CG134" s="239" t="s">
        <v>762</v>
      </c>
      <c r="CH134" s="239" t="s">
        <v>762</v>
      </c>
      <c r="CI134" s="239" t="s">
        <v>762</v>
      </c>
      <c r="CJ134" s="239" t="s">
        <v>762</v>
      </c>
      <c r="CK134" s="239" t="s">
        <v>762</v>
      </c>
      <c r="CL134" s="239" t="s">
        <v>762</v>
      </c>
    </row>
    <row r="135" spans="1:90" s="434" customFormat="1">
      <c r="A135" s="239" t="s">
        <v>529</v>
      </c>
      <c r="B135" s="239" t="s">
        <v>626</v>
      </c>
      <c r="C135" s="433" t="s">
        <v>762</v>
      </c>
      <c r="D135" s="433" t="s">
        <v>762</v>
      </c>
      <c r="E135" s="433" t="s">
        <v>762</v>
      </c>
      <c r="F135" s="433" t="s">
        <v>762</v>
      </c>
      <c r="G135" s="433" t="s">
        <v>762</v>
      </c>
      <c r="H135" s="433" t="s">
        <v>762</v>
      </c>
      <c r="I135" s="433" t="s">
        <v>762</v>
      </c>
      <c r="J135" s="433" t="s">
        <v>762</v>
      </c>
      <c r="K135" s="433" t="s">
        <v>762</v>
      </c>
      <c r="L135" s="433" t="s">
        <v>762</v>
      </c>
      <c r="M135" s="433" t="s">
        <v>762</v>
      </c>
      <c r="N135" s="433" t="s">
        <v>762</v>
      </c>
      <c r="O135" s="433" t="s">
        <v>762</v>
      </c>
      <c r="P135" s="433" t="s">
        <v>762</v>
      </c>
      <c r="Q135" s="433" t="s">
        <v>762</v>
      </c>
      <c r="R135" s="433" t="s">
        <v>762</v>
      </c>
      <c r="S135" s="433" t="s">
        <v>762</v>
      </c>
      <c r="T135" s="433" t="s">
        <v>762</v>
      </c>
      <c r="U135" s="433" t="s">
        <v>762</v>
      </c>
      <c r="V135" s="433" t="s">
        <v>762</v>
      </c>
      <c r="W135" s="433" t="s">
        <v>762</v>
      </c>
      <c r="X135" s="433" t="s">
        <v>762</v>
      </c>
      <c r="Y135" s="433" t="s">
        <v>762</v>
      </c>
      <c r="Z135" s="433" t="s">
        <v>762</v>
      </c>
      <c r="AA135" s="433" t="s">
        <v>762</v>
      </c>
      <c r="AB135" s="433" t="s">
        <v>762</v>
      </c>
      <c r="AC135" s="433" t="s">
        <v>762</v>
      </c>
      <c r="AD135" s="433" t="s">
        <v>762</v>
      </c>
      <c r="AE135" s="433" t="s">
        <v>762</v>
      </c>
      <c r="AF135" s="433" t="s">
        <v>762</v>
      </c>
      <c r="AG135" s="433" t="s">
        <v>762</v>
      </c>
      <c r="AH135" s="433" t="s">
        <v>762</v>
      </c>
      <c r="AI135" s="433" t="s">
        <v>762</v>
      </c>
      <c r="AJ135" s="433" t="s">
        <v>762</v>
      </c>
      <c r="AK135" s="433" t="s">
        <v>762</v>
      </c>
      <c r="AL135" s="433" t="s">
        <v>762</v>
      </c>
      <c r="AM135" s="433" t="s">
        <v>762</v>
      </c>
      <c r="AN135" s="433" t="s">
        <v>762</v>
      </c>
      <c r="AO135" s="433" t="s">
        <v>762</v>
      </c>
      <c r="AP135" s="433" t="s">
        <v>762</v>
      </c>
      <c r="AQ135" s="433" t="s">
        <v>762</v>
      </c>
      <c r="AR135" s="433" t="s">
        <v>762</v>
      </c>
      <c r="AS135" s="433" t="s">
        <v>762</v>
      </c>
      <c r="AT135" s="433" t="s">
        <v>762</v>
      </c>
      <c r="AU135" s="433" t="s">
        <v>762</v>
      </c>
      <c r="AV135" s="433" t="s">
        <v>762</v>
      </c>
      <c r="AW135" s="433" t="s">
        <v>762</v>
      </c>
      <c r="AX135" s="433" t="s">
        <v>762</v>
      </c>
      <c r="AY135" s="433" t="s">
        <v>762</v>
      </c>
      <c r="AZ135" s="433" t="s">
        <v>762</v>
      </c>
      <c r="BA135" s="433" t="s">
        <v>762</v>
      </c>
      <c r="BB135" s="433" t="s">
        <v>762</v>
      </c>
      <c r="BC135" s="433" t="s">
        <v>762</v>
      </c>
      <c r="BD135" s="433" t="s">
        <v>762</v>
      </c>
      <c r="BE135" s="433" t="s">
        <v>762</v>
      </c>
      <c r="BF135" s="433" t="s">
        <v>762</v>
      </c>
      <c r="BG135" s="433" t="s">
        <v>762</v>
      </c>
      <c r="BH135" s="433" t="s">
        <v>762</v>
      </c>
      <c r="BI135" s="433" t="s">
        <v>762</v>
      </c>
      <c r="BJ135" s="433" t="s">
        <v>762</v>
      </c>
      <c r="BK135" s="433" t="s">
        <v>762</v>
      </c>
      <c r="BL135" s="433" t="s">
        <v>762</v>
      </c>
      <c r="BM135" s="433" t="s">
        <v>762</v>
      </c>
      <c r="BN135" s="433" t="s">
        <v>762</v>
      </c>
      <c r="BO135" s="433" t="s">
        <v>762</v>
      </c>
      <c r="BP135" s="433" t="s">
        <v>762</v>
      </c>
      <c r="BQ135" s="433" t="s">
        <v>762</v>
      </c>
      <c r="BR135" s="433" t="s">
        <v>762</v>
      </c>
      <c r="BS135" s="433" t="s">
        <v>762</v>
      </c>
      <c r="BT135" s="433" t="s">
        <v>762</v>
      </c>
      <c r="BU135" s="433" t="s">
        <v>762</v>
      </c>
      <c r="BV135" s="433" t="s">
        <v>762</v>
      </c>
      <c r="BW135" s="433" t="s">
        <v>762</v>
      </c>
      <c r="BX135" s="433" t="s">
        <v>762</v>
      </c>
      <c r="BY135" s="433" t="s">
        <v>762</v>
      </c>
      <c r="BZ135" s="433" t="s">
        <v>762</v>
      </c>
      <c r="CA135" s="433" t="s">
        <v>762</v>
      </c>
      <c r="CB135" s="433" t="s">
        <v>762</v>
      </c>
      <c r="CC135" s="433" t="s">
        <v>762</v>
      </c>
      <c r="CD135" s="433" t="s">
        <v>762</v>
      </c>
      <c r="CE135" s="433" t="s">
        <v>762</v>
      </c>
      <c r="CF135" s="433" t="s">
        <v>762</v>
      </c>
      <c r="CG135" s="239" t="s">
        <v>762</v>
      </c>
      <c r="CH135" s="239" t="s">
        <v>762</v>
      </c>
      <c r="CI135" s="239" t="s">
        <v>762</v>
      </c>
      <c r="CJ135" s="239" t="s">
        <v>762</v>
      </c>
      <c r="CK135" s="239" t="s">
        <v>762</v>
      </c>
      <c r="CL135" s="239" t="s">
        <v>762</v>
      </c>
    </row>
    <row r="136" spans="1:90" s="434" customFormat="1">
      <c r="A136" s="239" t="s">
        <v>530</v>
      </c>
      <c r="B136" s="239" t="s">
        <v>626</v>
      </c>
      <c r="C136" s="433" t="s">
        <v>762</v>
      </c>
      <c r="D136" s="433" t="s">
        <v>762</v>
      </c>
      <c r="E136" s="433" t="s">
        <v>762</v>
      </c>
      <c r="F136" s="433" t="s">
        <v>762</v>
      </c>
      <c r="G136" s="433" t="s">
        <v>762</v>
      </c>
      <c r="H136" s="433" t="s">
        <v>762</v>
      </c>
      <c r="I136" s="433" t="s">
        <v>762</v>
      </c>
      <c r="J136" s="433" t="s">
        <v>762</v>
      </c>
      <c r="K136" s="433" t="s">
        <v>762</v>
      </c>
      <c r="L136" s="433" t="s">
        <v>762</v>
      </c>
      <c r="M136" s="433" t="s">
        <v>762</v>
      </c>
      <c r="N136" s="433" t="s">
        <v>762</v>
      </c>
      <c r="O136" s="433" t="s">
        <v>762</v>
      </c>
      <c r="P136" s="433" t="s">
        <v>762</v>
      </c>
      <c r="Q136" s="433" t="s">
        <v>762</v>
      </c>
      <c r="R136" s="433" t="s">
        <v>762</v>
      </c>
      <c r="S136" s="433" t="s">
        <v>762</v>
      </c>
      <c r="T136" s="433" t="s">
        <v>762</v>
      </c>
      <c r="U136" s="433" t="s">
        <v>762</v>
      </c>
      <c r="V136" s="433" t="s">
        <v>762</v>
      </c>
      <c r="W136" s="433" t="s">
        <v>762</v>
      </c>
      <c r="X136" s="433" t="s">
        <v>762</v>
      </c>
      <c r="Y136" s="433" t="s">
        <v>762</v>
      </c>
      <c r="Z136" s="433" t="s">
        <v>762</v>
      </c>
      <c r="AA136" s="433" t="s">
        <v>762</v>
      </c>
      <c r="AB136" s="433" t="s">
        <v>762</v>
      </c>
      <c r="AC136" s="433" t="s">
        <v>762</v>
      </c>
      <c r="AD136" s="433" t="s">
        <v>762</v>
      </c>
      <c r="AE136" s="433" t="s">
        <v>762</v>
      </c>
      <c r="AF136" s="433" t="s">
        <v>762</v>
      </c>
      <c r="AG136" s="433" t="s">
        <v>762</v>
      </c>
      <c r="AH136" s="433" t="s">
        <v>762</v>
      </c>
      <c r="AI136" s="433" t="s">
        <v>762</v>
      </c>
      <c r="AJ136" s="433" t="s">
        <v>762</v>
      </c>
      <c r="AK136" s="433" t="s">
        <v>762</v>
      </c>
      <c r="AL136" s="433" t="s">
        <v>762</v>
      </c>
      <c r="AM136" s="433" t="s">
        <v>762</v>
      </c>
      <c r="AN136" s="433" t="s">
        <v>762</v>
      </c>
      <c r="AO136" s="433" t="s">
        <v>762</v>
      </c>
      <c r="AP136" s="433" t="s">
        <v>762</v>
      </c>
      <c r="AQ136" s="433" t="s">
        <v>762</v>
      </c>
      <c r="AR136" s="433" t="s">
        <v>762</v>
      </c>
      <c r="AS136" s="433" t="s">
        <v>762</v>
      </c>
      <c r="AT136" s="433" t="s">
        <v>762</v>
      </c>
      <c r="AU136" s="433" t="s">
        <v>762</v>
      </c>
      <c r="AV136" s="433" t="s">
        <v>762</v>
      </c>
      <c r="AW136" s="433" t="s">
        <v>762</v>
      </c>
      <c r="AX136" s="433" t="s">
        <v>762</v>
      </c>
      <c r="AY136" s="433" t="s">
        <v>762</v>
      </c>
      <c r="AZ136" s="433" t="s">
        <v>762</v>
      </c>
      <c r="BA136" s="433" t="s">
        <v>762</v>
      </c>
      <c r="BB136" s="433" t="s">
        <v>762</v>
      </c>
      <c r="BC136" s="433" t="s">
        <v>762</v>
      </c>
      <c r="BD136" s="433" t="s">
        <v>762</v>
      </c>
      <c r="BE136" s="433" t="s">
        <v>762</v>
      </c>
      <c r="BF136" s="433" t="s">
        <v>762</v>
      </c>
      <c r="BG136" s="433" t="s">
        <v>762</v>
      </c>
      <c r="BH136" s="433" t="s">
        <v>762</v>
      </c>
      <c r="BI136" s="433" t="s">
        <v>762</v>
      </c>
      <c r="BJ136" s="433" t="s">
        <v>762</v>
      </c>
      <c r="BK136" s="433" t="s">
        <v>762</v>
      </c>
      <c r="BL136" s="433" t="s">
        <v>762</v>
      </c>
      <c r="BM136" s="433" t="s">
        <v>762</v>
      </c>
      <c r="BN136" s="433" t="s">
        <v>762</v>
      </c>
      <c r="BO136" s="433" t="s">
        <v>762</v>
      </c>
      <c r="BP136" s="433" t="s">
        <v>762</v>
      </c>
      <c r="BQ136" s="433" t="s">
        <v>762</v>
      </c>
      <c r="BR136" s="433" t="s">
        <v>762</v>
      </c>
      <c r="BS136" s="433" t="s">
        <v>762</v>
      </c>
      <c r="BT136" s="433" t="s">
        <v>762</v>
      </c>
      <c r="BU136" s="433" t="s">
        <v>762</v>
      </c>
      <c r="BV136" s="433" t="s">
        <v>762</v>
      </c>
      <c r="BW136" s="433" t="s">
        <v>762</v>
      </c>
      <c r="BX136" s="433" t="s">
        <v>762</v>
      </c>
      <c r="BY136" s="433" t="s">
        <v>762</v>
      </c>
      <c r="BZ136" s="433" t="s">
        <v>762</v>
      </c>
      <c r="CA136" s="433" t="s">
        <v>762</v>
      </c>
      <c r="CB136" s="433" t="s">
        <v>762</v>
      </c>
      <c r="CC136" s="433" t="s">
        <v>762</v>
      </c>
      <c r="CD136" s="433" t="s">
        <v>762</v>
      </c>
      <c r="CE136" s="433" t="s">
        <v>762</v>
      </c>
      <c r="CF136" s="433" t="s">
        <v>762</v>
      </c>
      <c r="CG136" s="239" t="s">
        <v>762</v>
      </c>
      <c r="CH136" s="239" t="s">
        <v>762</v>
      </c>
      <c r="CI136" s="239" t="s">
        <v>762</v>
      </c>
      <c r="CJ136" s="239" t="s">
        <v>762</v>
      </c>
      <c r="CK136" s="239" t="s">
        <v>762</v>
      </c>
      <c r="CL136" s="239" t="s">
        <v>762</v>
      </c>
    </row>
    <row r="137" spans="1:90" s="434" customFormat="1">
      <c r="A137" s="239" t="s">
        <v>531</v>
      </c>
      <c r="B137" s="239" t="s">
        <v>626</v>
      </c>
      <c r="C137" s="433" t="s">
        <v>762</v>
      </c>
      <c r="D137" s="433" t="s">
        <v>762</v>
      </c>
      <c r="E137" s="433" t="s">
        <v>762</v>
      </c>
      <c r="F137" s="433" t="s">
        <v>762</v>
      </c>
      <c r="G137" s="433" t="s">
        <v>762</v>
      </c>
      <c r="H137" s="433" t="s">
        <v>762</v>
      </c>
      <c r="I137" s="433" t="s">
        <v>762</v>
      </c>
      <c r="J137" s="433" t="s">
        <v>762</v>
      </c>
      <c r="K137" s="433" t="s">
        <v>762</v>
      </c>
      <c r="L137" s="433" t="s">
        <v>762</v>
      </c>
      <c r="M137" s="433" t="s">
        <v>762</v>
      </c>
      <c r="N137" s="433" t="s">
        <v>762</v>
      </c>
      <c r="O137" s="433" t="s">
        <v>762</v>
      </c>
      <c r="P137" s="433" t="s">
        <v>762</v>
      </c>
      <c r="Q137" s="433" t="s">
        <v>762</v>
      </c>
      <c r="R137" s="433" t="s">
        <v>762</v>
      </c>
      <c r="S137" s="433" t="s">
        <v>762</v>
      </c>
      <c r="T137" s="433" t="s">
        <v>762</v>
      </c>
      <c r="U137" s="433" t="s">
        <v>762</v>
      </c>
      <c r="V137" s="433" t="s">
        <v>762</v>
      </c>
      <c r="W137" s="433" t="s">
        <v>762</v>
      </c>
      <c r="X137" s="433" t="s">
        <v>762</v>
      </c>
      <c r="Y137" s="433" t="s">
        <v>762</v>
      </c>
      <c r="Z137" s="433" t="s">
        <v>762</v>
      </c>
      <c r="AA137" s="433" t="s">
        <v>762</v>
      </c>
      <c r="AB137" s="433" t="s">
        <v>762</v>
      </c>
      <c r="AC137" s="433" t="s">
        <v>762</v>
      </c>
      <c r="AD137" s="433" t="s">
        <v>762</v>
      </c>
      <c r="AE137" s="433" t="s">
        <v>762</v>
      </c>
      <c r="AF137" s="433" t="s">
        <v>762</v>
      </c>
      <c r="AG137" s="433" t="s">
        <v>762</v>
      </c>
      <c r="AH137" s="433" t="s">
        <v>762</v>
      </c>
      <c r="AI137" s="433" t="s">
        <v>762</v>
      </c>
      <c r="AJ137" s="433" t="s">
        <v>762</v>
      </c>
      <c r="AK137" s="433" t="s">
        <v>762</v>
      </c>
      <c r="AL137" s="433" t="s">
        <v>762</v>
      </c>
      <c r="AM137" s="433" t="s">
        <v>762</v>
      </c>
      <c r="AN137" s="433" t="s">
        <v>762</v>
      </c>
      <c r="AO137" s="433" t="s">
        <v>762</v>
      </c>
      <c r="AP137" s="433" t="s">
        <v>762</v>
      </c>
      <c r="AQ137" s="433" t="s">
        <v>762</v>
      </c>
      <c r="AR137" s="433" t="s">
        <v>762</v>
      </c>
      <c r="AS137" s="433" t="s">
        <v>762</v>
      </c>
      <c r="AT137" s="433" t="s">
        <v>762</v>
      </c>
      <c r="AU137" s="433" t="s">
        <v>762</v>
      </c>
      <c r="AV137" s="433" t="s">
        <v>762</v>
      </c>
      <c r="AW137" s="433" t="s">
        <v>762</v>
      </c>
      <c r="AX137" s="433" t="s">
        <v>762</v>
      </c>
      <c r="AY137" s="433" t="s">
        <v>762</v>
      </c>
      <c r="AZ137" s="433" t="s">
        <v>762</v>
      </c>
      <c r="BA137" s="433" t="s">
        <v>762</v>
      </c>
      <c r="BB137" s="433" t="s">
        <v>762</v>
      </c>
      <c r="BC137" s="433" t="s">
        <v>762</v>
      </c>
      <c r="BD137" s="433" t="s">
        <v>762</v>
      </c>
      <c r="BE137" s="433" t="s">
        <v>762</v>
      </c>
      <c r="BF137" s="433" t="s">
        <v>762</v>
      </c>
      <c r="BG137" s="433" t="s">
        <v>762</v>
      </c>
      <c r="BH137" s="433" t="s">
        <v>762</v>
      </c>
      <c r="BI137" s="433" t="s">
        <v>762</v>
      </c>
      <c r="BJ137" s="433" t="s">
        <v>762</v>
      </c>
      <c r="BK137" s="433" t="s">
        <v>762</v>
      </c>
      <c r="BL137" s="433" t="s">
        <v>762</v>
      </c>
      <c r="BM137" s="433" t="s">
        <v>762</v>
      </c>
      <c r="BN137" s="433" t="s">
        <v>762</v>
      </c>
      <c r="BO137" s="433" t="s">
        <v>762</v>
      </c>
      <c r="BP137" s="433" t="s">
        <v>762</v>
      </c>
      <c r="BQ137" s="433" t="s">
        <v>762</v>
      </c>
      <c r="BR137" s="433" t="s">
        <v>762</v>
      </c>
      <c r="BS137" s="433" t="s">
        <v>762</v>
      </c>
      <c r="BT137" s="433" t="s">
        <v>762</v>
      </c>
      <c r="BU137" s="433" t="s">
        <v>762</v>
      </c>
      <c r="BV137" s="433" t="s">
        <v>762</v>
      </c>
      <c r="BW137" s="433" t="s">
        <v>762</v>
      </c>
      <c r="BX137" s="433" t="s">
        <v>762</v>
      </c>
      <c r="BY137" s="433" t="s">
        <v>762</v>
      </c>
      <c r="BZ137" s="433" t="s">
        <v>762</v>
      </c>
      <c r="CA137" s="433" t="s">
        <v>762</v>
      </c>
      <c r="CB137" s="433" t="s">
        <v>762</v>
      </c>
      <c r="CC137" s="433" t="s">
        <v>762</v>
      </c>
      <c r="CD137" s="433" t="s">
        <v>762</v>
      </c>
      <c r="CE137" s="433" t="s">
        <v>762</v>
      </c>
      <c r="CF137" s="433" t="s">
        <v>762</v>
      </c>
      <c r="CG137" s="239" t="s">
        <v>762</v>
      </c>
      <c r="CH137" s="239" t="s">
        <v>762</v>
      </c>
      <c r="CI137" s="239" t="s">
        <v>762</v>
      </c>
      <c r="CJ137" s="239" t="s">
        <v>762</v>
      </c>
      <c r="CK137" s="239" t="s">
        <v>762</v>
      </c>
      <c r="CL137" s="239" t="s">
        <v>762</v>
      </c>
    </row>
    <row r="138" spans="1:90" s="434" customFormat="1">
      <c r="A138" s="239" t="s">
        <v>532</v>
      </c>
      <c r="B138" s="239" t="s">
        <v>626</v>
      </c>
      <c r="C138" s="433" t="s">
        <v>762</v>
      </c>
      <c r="D138" s="433" t="s">
        <v>762</v>
      </c>
      <c r="E138" s="433" t="s">
        <v>762</v>
      </c>
      <c r="F138" s="433" t="s">
        <v>762</v>
      </c>
      <c r="G138" s="433" t="s">
        <v>762</v>
      </c>
      <c r="H138" s="433" t="s">
        <v>762</v>
      </c>
      <c r="I138" s="433" t="s">
        <v>762</v>
      </c>
      <c r="J138" s="433" t="s">
        <v>762</v>
      </c>
      <c r="K138" s="433" t="s">
        <v>762</v>
      </c>
      <c r="L138" s="433" t="s">
        <v>762</v>
      </c>
      <c r="M138" s="433" t="s">
        <v>762</v>
      </c>
      <c r="N138" s="433" t="s">
        <v>762</v>
      </c>
      <c r="O138" s="433" t="s">
        <v>762</v>
      </c>
      <c r="P138" s="433" t="s">
        <v>762</v>
      </c>
      <c r="Q138" s="433" t="s">
        <v>762</v>
      </c>
      <c r="R138" s="433" t="s">
        <v>762</v>
      </c>
      <c r="S138" s="433" t="s">
        <v>762</v>
      </c>
      <c r="T138" s="433" t="s">
        <v>762</v>
      </c>
      <c r="U138" s="433" t="s">
        <v>762</v>
      </c>
      <c r="V138" s="433" t="s">
        <v>762</v>
      </c>
      <c r="W138" s="433" t="s">
        <v>762</v>
      </c>
      <c r="X138" s="433" t="s">
        <v>762</v>
      </c>
      <c r="Y138" s="433" t="s">
        <v>762</v>
      </c>
      <c r="Z138" s="433" t="s">
        <v>762</v>
      </c>
      <c r="AA138" s="433" t="s">
        <v>762</v>
      </c>
      <c r="AB138" s="433" t="s">
        <v>762</v>
      </c>
      <c r="AC138" s="433" t="s">
        <v>762</v>
      </c>
      <c r="AD138" s="433" t="s">
        <v>762</v>
      </c>
      <c r="AE138" s="433" t="s">
        <v>762</v>
      </c>
      <c r="AF138" s="433" t="s">
        <v>762</v>
      </c>
      <c r="AG138" s="433" t="s">
        <v>762</v>
      </c>
      <c r="AH138" s="433" t="s">
        <v>762</v>
      </c>
      <c r="AI138" s="433" t="s">
        <v>762</v>
      </c>
      <c r="AJ138" s="433" t="s">
        <v>762</v>
      </c>
      <c r="AK138" s="433" t="s">
        <v>762</v>
      </c>
      <c r="AL138" s="433" t="s">
        <v>762</v>
      </c>
      <c r="AM138" s="433" t="s">
        <v>762</v>
      </c>
      <c r="AN138" s="433" t="s">
        <v>762</v>
      </c>
      <c r="AO138" s="433" t="s">
        <v>762</v>
      </c>
      <c r="AP138" s="433" t="s">
        <v>762</v>
      </c>
      <c r="AQ138" s="433" t="s">
        <v>762</v>
      </c>
      <c r="AR138" s="433" t="s">
        <v>762</v>
      </c>
      <c r="AS138" s="433" t="s">
        <v>762</v>
      </c>
      <c r="AT138" s="433" t="s">
        <v>762</v>
      </c>
      <c r="AU138" s="433" t="s">
        <v>762</v>
      </c>
      <c r="AV138" s="433" t="s">
        <v>762</v>
      </c>
      <c r="AW138" s="433" t="s">
        <v>762</v>
      </c>
      <c r="AX138" s="433" t="s">
        <v>762</v>
      </c>
      <c r="AY138" s="433" t="s">
        <v>762</v>
      </c>
      <c r="AZ138" s="433" t="s">
        <v>762</v>
      </c>
      <c r="BA138" s="433" t="s">
        <v>762</v>
      </c>
      <c r="BB138" s="433" t="s">
        <v>762</v>
      </c>
      <c r="BC138" s="433" t="s">
        <v>762</v>
      </c>
      <c r="BD138" s="433" t="s">
        <v>762</v>
      </c>
      <c r="BE138" s="433" t="s">
        <v>762</v>
      </c>
      <c r="BF138" s="433" t="s">
        <v>762</v>
      </c>
      <c r="BG138" s="433" t="s">
        <v>762</v>
      </c>
      <c r="BH138" s="433" t="s">
        <v>762</v>
      </c>
      <c r="BI138" s="433" t="s">
        <v>762</v>
      </c>
      <c r="BJ138" s="433" t="s">
        <v>762</v>
      </c>
      <c r="BK138" s="433" t="s">
        <v>762</v>
      </c>
      <c r="BL138" s="433" t="s">
        <v>762</v>
      </c>
      <c r="BM138" s="433" t="s">
        <v>762</v>
      </c>
      <c r="BN138" s="433" t="s">
        <v>762</v>
      </c>
      <c r="BO138" s="433" t="s">
        <v>762</v>
      </c>
      <c r="BP138" s="433" t="s">
        <v>762</v>
      </c>
      <c r="BQ138" s="433" t="s">
        <v>762</v>
      </c>
      <c r="BR138" s="433" t="s">
        <v>762</v>
      </c>
      <c r="BS138" s="433" t="s">
        <v>762</v>
      </c>
      <c r="BT138" s="433" t="s">
        <v>762</v>
      </c>
      <c r="BU138" s="433" t="s">
        <v>762</v>
      </c>
      <c r="BV138" s="433" t="s">
        <v>762</v>
      </c>
      <c r="BW138" s="433" t="s">
        <v>762</v>
      </c>
      <c r="BX138" s="433" t="s">
        <v>762</v>
      </c>
      <c r="BY138" s="433" t="s">
        <v>762</v>
      </c>
      <c r="BZ138" s="433" t="s">
        <v>762</v>
      </c>
      <c r="CA138" s="433" t="s">
        <v>762</v>
      </c>
      <c r="CB138" s="433" t="s">
        <v>762</v>
      </c>
      <c r="CC138" s="433" t="s">
        <v>762</v>
      </c>
      <c r="CD138" s="433" t="s">
        <v>762</v>
      </c>
      <c r="CE138" s="433" t="s">
        <v>762</v>
      </c>
      <c r="CF138" s="433" t="s">
        <v>762</v>
      </c>
      <c r="CG138" s="239" t="s">
        <v>762</v>
      </c>
      <c r="CH138" s="239" t="s">
        <v>762</v>
      </c>
      <c r="CI138" s="239" t="s">
        <v>762</v>
      </c>
      <c r="CJ138" s="239" t="s">
        <v>762</v>
      </c>
      <c r="CK138" s="239" t="s">
        <v>762</v>
      </c>
      <c r="CL138" s="239" t="s">
        <v>762</v>
      </c>
    </row>
    <row r="139" spans="1:90" s="434" customFormat="1">
      <c r="A139" s="239" t="s">
        <v>533</v>
      </c>
      <c r="B139" s="239" t="s">
        <v>626</v>
      </c>
      <c r="C139" s="433" t="s">
        <v>762</v>
      </c>
      <c r="D139" s="433" t="s">
        <v>762</v>
      </c>
      <c r="E139" s="433" t="s">
        <v>762</v>
      </c>
      <c r="F139" s="433" t="s">
        <v>762</v>
      </c>
      <c r="G139" s="433" t="s">
        <v>762</v>
      </c>
      <c r="H139" s="433" t="s">
        <v>762</v>
      </c>
      <c r="I139" s="433" t="s">
        <v>762</v>
      </c>
      <c r="J139" s="433" t="s">
        <v>762</v>
      </c>
      <c r="K139" s="433" t="s">
        <v>762</v>
      </c>
      <c r="L139" s="433" t="s">
        <v>762</v>
      </c>
      <c r="M139" s="433" t="s">
        <v>762</v>
      </c>
      <c r="N139" s="433" t="s">
        <v>762</v>
      </c>
      <c r="O139" s="433" t="s">
        <v>762</v>
      </c>
      <c r="P139" s="433" t="s">
        <v>762</v>
      </c>
      <c r="Q139" s="433" t="s">
        <v>762</v>
      </c>
      <c r="R139" s="433" t="s">
        <v>762</v>
      </c>
      <c r="S139" s="433" t="s">
        <v>762</v>
      </c>
      <c r="T139" s="433" t="s">
        <v>762</v>
      </c>
      <c r="U139" s="433" t="s">
        <v>762</v>
      </c>
      <c r="V139" s="433" t="s">
        <v>762</v>
      </c>
      <c r="W139" s="433" t="s">
        <v>762</v>
      </c>
      <c r="X139" s="433" t="s">
        <v>762</v>
      </c>
      <c r="Y139" s="433" t="s">
        <v>762</v>
      </c>
      <c r="Z139" s="433" t="s">
        <v>762</v>
      </c>
      <c r="AA139" s="433" t="s">
        <v>762</v>
      </c>
      <c r="AB139" s="433" t="s">
        <v>762</v>
      </c>
      <c r="AC139" s="433" t="s">
        <v>762</v>
      </c>
      <c r="AD139" s="433" t="s">
        <v>762</v>
      </c>
      <c r="AE139" s="433" t="s">
        <v>762</v>
      </c>
      <c r="AF139" s="433" t="s">
        <v>762</v>
      </c>
      <c r="AG139" s="433" t="s">
        <v>762</v>
      </c>
      <c r="AH139" s="433" t="s">
        <v>762</v>
      </c>
      <c r="AI139" s="433" t="s">
        <v>762</v>
      </c>
      <c r="AJ139" s="433" t="s">
        <v>762</v>
      </c>
      <c r="AK139" s="433" t="s">
        <v>762</v>
      </c>
      <c r="AL139" s="433" t="s">
        <v>762</v>
      </c>
      <c r="AM139" s="433" t="s">
        <v>762</v>
      </c>
      <c r="AN139" s="433" t="s">
        <v>762</v>
      </c>
      <c r="AO139" s="433" t="s">
        <v>762</v>
      </c>
      <c r="AP139" s="433" t="s">
        <v>762</v>
      </c>
      <c r="AQ139" s="433" t="s">
        <v>762</v>
      </c>
      <c r="AR139" s="433" t="s">
        <v>762</v>
      </c>
      <c r="AS139" s="433" t="s">
        <v>762</v>
      </c>
      <c r="AT139" s="433" t="s">
        <v>762</v>
      </c>
      <c r="AU139" s="433" t="s">
        <v>762</v>
      </c>
      <c r="AV139" s="433" t="s">
        <v>762</v>
      </c>
      <c r="AW139" s="433" t="s">
        <v>762</v>
      </c>
      <c r="AX139" s="433" t="s">
        <v>762</v>
      </c>
      <c r="AY139" s="433" t="s">
        <v>762</v>
      </c>
      <c r="AZ139" s="433" t="s">
        <v>762</v>
      </c>
      <c r="BA139" s="433" t="s">
        <v>762</v>
      </c>
      <c r="BB139" s="433" t="s">
        <v>762</v>
      </c>
      <c r="BC139" s="433" t="s">
        <v>762</v>
      </c>
      <c r="BD139" s="433" t="s">
        <v>762</v>
      </c>
      <c r="BE139" s="433" t="s">
        <v>762</v>
      </c>
      <c r="BF139" s="433" t="s">
        <v>762</v>
      </c>
      <c r="BG139" s="433" t="s">
        <v>762</v>
      </c>
      <c r="BH139" s="433" t="s">
        <v>762</v>
      </c>
      <c r="BI139" s="433" t="s">
        <v>762</v>
      </c>
      <c r="BJ139" s="433" t="s">
        <v>762</v>
      </c>
      <c r="BK139" s="433" t="s">
        <v>762</v>
      </c>
      <c r="BL139" s="433" t="s">
        <v>762</v>
      </c>
      <c r="BM139" s="433" t="s">
        <v>762</v>
      </c>
      <c r="BN139" s="433" t="s">
        <v>762</v>
      </c>
      <c r="BO139" s="433" t="s">
        <v>762</v>
      </c>
      <c r="BP139" s="433" t="s">
        <v>762</v>
      </c>
      <c r="BQ139" s="433" t="s">
        <v>762</v>
      </c>
      <c r="BR139" s="433" t="s">
        <v>762</v>
      </c>
      <c r="BS139" s="433" t="s">
        <v>762</v>
      </c>
      <c r="BT139" s="433" t="s">
        <v>762</v>
      </c>
      <c r="BU139" s="433" t="s">
        <v>762</v>
      </c>
      <c r="BV139" s="433" t="s">
        <v>762</v>
      </c>
      <c r="BW139" s="433" t="s">
        <v>762</v>
      </c>
      <c r="BX139" s="433" t="s">
        <v>762</v>
      </c>
      <c r="BY139" s="433" t="s">
        <v>762</v>
      </c>
      <c r="BZ139" s="433" t="s">
        <v>762</v>
      </c>
      <c r="CA139" s="433" t="s">
        <v>762</v>
      </c>
      <c r="CB139" s="433" t="s">
        <v>762</v>
      </c>
      <c r="CC139" s="433" t="s">
        <v>762</v>
      </c>
      <c r="CD139" s="433" t="s">
        <v>762</v>
      </c>
      <c r="CE139" s="433" t="s">
        <v>762</v>
      </c>
      <c r="CF139" s="433" t="s">
        <v>762</v>
      </c>
      <c r="CG139" s="239" t="s">
        <v>762</v>
      </c>
      <c r="CH139" s="239" t="s">
        <v>762</v>
      </c>
      <c r="CI139" s="239" t="s">
        <v>762</v>
      </c>
      <c r="CJ139" s="239" t="s">
        <v>762</v>
      </c>
      <c r="CK139" s="239" t="s">
        <v>762</v>
      </c>
      <c r="CL139" s="239" t="s">
        <v>762</v>
      </c>
    </row>
    <row r="140" spans="1:90" s="434" customFormat="1">
      <c r="A140" s="239" t="s">
        <v>534</v>
      </c>
      <c r="B140" s="239" t="s">
        <v>626</v>
      </c>
      <c r="C140" s="433" t="s">
        <v>762</v>
      </c>
      <c r="D140" s="433" t="s">
        <v>762</v>
      </c>
      <c r="E140" s="433" t="s">
        <v>762</v>
      </c>
      <c r="F140" s="433" t="s">
        <v>762</v>
      </c>
      <c r="G140" s="433" t="s">
        <v>762</v>
      </c>
      <c r="H140" s="433" t="s">
        <v>762</v>
      </c>
      <c r="I140" s="433" t="s">
        <v>762</v>
      </c>
      <c r="J140" s="433" t="s">
        <v>762</v>
      </c>
      <c r="K140" s="433" t="s">
        <v>762</v>
      </c>
      <c r="L140" s="433" t="s">
        <v>762</v>
      </c>
      <c r="M140" s="433" t="s">
        <v>762</v>
      </c>
      <c r="N140" s="433" t="s">
        <v>762</v>
      </c>
      <c r="O140" s="433" t="s">
        <v>762</v>
      </c>
      <c r="P140" s="433" t="s">
        <v>762</v>
      </c>
      <c r="Q140" s="433" t="s">
        <v>762</v>
      </c>
      <c r="R140" s="433" t="s">
        <v>762</v>
      </c>
      <c r="S140" s="433" t="s">
        <v>762</v>
      </c>
      <c r="T140" s="433" t="s">
        <v>762</v>
      </c>
      <c r="U140" s="433" t="s">
        <v>762</v>
      </c>
      <c r="V140" s="433" t="s">
        <v>762</v>
      </c>
      <c r="W140" s="433" t="s">
        <v>762</v>
      </c>
      <c r="X140" s="433" t="s">
        <v>762</v>
      </c>
      <c r="Y140" s="433" t="s">
        <v>762</v>
      </c>
      <c r="Z140" s="433" t="s">
        <v>762</v>
      </c>
      <c r="AA140" s="433" t="s">
        <v>762</v>
      </c>
      <c r="AB140" s="433" t="s">
        <v>762</v>
      </c>
      <c r="AC140" s="433" t="s">
        <v>762</v>
      </c>
      <c r="AD140" s="433" t="s">
        <v>762</v>
      </c>
      <c r="AE140" s="433" t="s">
        <v>762</v>
      </c>
      <c r="AF140" s="433" t="s">
        <v>762</v>
      </c>
      <c r="AG140" s="433" t="s">
        <v>762</v>
      </c>
      <c r="AH140" s="433" t="s">
        <v>762</v>
      </c>
      <c r="AI140" s="433" t="s">
        <v>762</v>
      </c>
      <c r="AJ140" s="433" t="s">
        <v>762</v>
      </c>
      <c r="AK140" s="433" t="s">
        <v>762</v>
      </c>
      <c r="AL140" s="433" t="s">
        <v>762</v>
      </c>
      <c r="AM140" s="433" t="s">
        <v>762</v>
      </c>
      <c r="AN140" s="433" t="s">
        <v>762</v>
      </c>
      <c r="AO140" s="433" t="s">
        <v>762</v>
      </c>
      <c r="AP140" s="433" t="s">
        <v>762</v>
      </c>
      <c r="AQ140" s="433" t="s">
        <v>762</v>
      </c>
      <c r="AR140" s="433" t="s">
        <v>762</v>
      </c>
      <c r="AS140" s="433" t="s">
        <v>762</v>
      </c>
      <c r="AT140" s="433" t="s">
        <v>762</v>
      </c>
      <c r="AU140" s="433" t="s">
        <v>762</v>
      </c>
      <c r="AV140" s="433" t="s">
        <v>762</v>
      </c>
      <c r="AW140" s="433" t="s">
        <v>762</v>
      </c>
      <c r="AX140" s="433" t="s">
        <v>762</v>
      </c>
      <c r="AY140" s="433" t="s">
        <v>762</v>
      </c>
      <c r="AZ140" s="433" t="s">
        <v>762</v>
      </c>
      <c r="BA140" s="433" t="s">
        <v>762</v>
      </c>
      <c r="BB140" s="433" t="s">
        <v>762</v>
      </c>
      <c r="BC140" s="433" t="s">
        <v>762</v>
      </c>
      <c r="BD140" s="433" t="s">
        <v>762</v>
      </c>
      <c r="BE140" s="433" t="s">
        <v>762</v>
      </c>
      <c r="BF140" s="433" t="s">
        <v>762</v>
      </c>
      <c r="BG140" s="433" t="s">
        <v>762</v>
      </c>
      <c r="BH140" s="433" t="s">
        <v>762</v>
      </c>
      <c r="BI140" s="433" t="s">
        <v>762</v>
      </c>
      <c r="BJ140" s="433" t="s">
        <v>762</v>
      </c>
      <c r="BK140" s="433" t="s">
        <v>762</v>
      </c>
      <c r="BL140" s="433" t="s">
        <v>762</v>
      </c>
      <c r="BM140" s="433" t="s">
        <v>762</v>
      </c>
      <c r="BN140" s="433" t="s">
        <v>762</v>
      </c>
      <c r="BO140" s="433" t="s">
        <v>762</v>
      </c>
      <c r="BP140" s="433" t="s">
        <v>762</v>
      </c>
      <c r="BQ140" s="433" t="s">
        <v>762</v>
      </c>
      <c r="BR140" s="433" t="s">
        <v>762</v>
      </c>
      <c r="BS140" s="433" t="s">
        <v>762</v>
      </c>
      <c r="BT140" s="433" t="s">
        <v>762</v>
      </c>
      <c r="BU140" s="433" t="s">
        <v>762</v>
      </c>
      <c r="BV140" s="433" t="s">
        <v>762</v>
      </c>
      <c r="BW140" s="433" t="s">
        <v>762</v>
      </c>
      <c r="BX140" s="433" t="s">
        <v>762</v>
      </c>
      <c r="BY140" s="433" t="s">
        <v>762</v>
      </c>
      <c r="BZ140" s="433" t="s">
        <v>762</v>
      </c>
      <c r="CA140" s="433" t="s">
        <v>762</v>
      </c>
      <c r="CB140" s="433" t="s">
        <v>762</v>
      </c>
      <c r="CC140" s="433" t="s">
        <v>762</v>
      </c>
      <c r="CD140" s="433" t="s">
        <v>762</v>
      </c>
      <c r="CE140" s="433" t="s">
        <v>762</v>
      </c>
      <c r="CF140" s="433" t="s">
        <v>762</v>
      </c>
      <c r="CG140" s="239" t="s">
        <v>762</v>
      </c>
      <c r="CH140" s="239" t="s">
        <v>762</v>
      </c>
      <c r="CI140" s="239" t="s">
        <v>762</v>
      </c>
      <c r="CJ140" s="239" t="s">
        <v>762</v>
      </c>
      <c r="CK140" s="239" t="s">
        <v>762</v>
      </c>
      <c r="CL140" s="239" t="s">
        <v>762</v>
      </c>
    </row>
    <row r="141" spans="1:90" s="434" customFormat="1">
      <c r="A141" s="239" t="s">
        <v>535</v>
      </c>
      <c r="B141" s="239" t="s">
        <v>626</v>
      </c>
      <c r="C141" s="433" t="s">
        <v>762</v>
      </c>
      <c r="D141" s="433" t="s">
        <v>762</v>
      </c>
      <c r="E141" s="433" t="s">
        <v>762</v>
      </c>
      <c r="F141" s="433" t="s">
        <v>762</v>
      </c>
      <c r="G141" s="433" t="s">
        <v>762</v>
      </c>
      <c r="H141" s="433" t="s">
        <v>762</v>
      </c>
      <c r="I141" s="433" t="s">
        <v>762</v>
      </c>
      <c r="J141" s="433" t="s">
        <v>762</v>
      </c>
      <c r="K141" s="433" t="s">
        <v>762</v>
      </c>
      <c r="L141" s="433" t="s">
        <v>762</v>
      </c>
      <c r="M141" s="433" t="s">
        <v>762</v>
      </c>
      <c r="N141" s="433" t="s">
        <v>762</v>
      </c>
      <c r="O141" s="433" t="s">
        <v>762</v>
      </c>
      <c r="P141" s="433" t="s">
        <v>762</v>
      </c>
      <c r="Q141" s="433" t="s">
        <v>762</v>
      </c>
      <c r="R141" s="433" t="s">
        <v>762</v>
      </c>
      <c r="S141" s="433" t="s">
        <v>762</v>
      </c>
      <c r="T141" s="433" t="s">
        <v>762</v>
      </c>
      <c r="U141" s="433" t="s">
        <v>762</v>
      </c>
      <c r="V141" s="433" t="s">
        <v>762</v>
      </c>
      <c r="W141" s="433" t="s">
        <v>762</v>
      </c>
      <c r="X141" s="433" t="s">
        <v>762</v>
      </c>
      <c r="Y141" s="433" t="s">
        <v>762</v>
      </c>
      <c r="Z141" s="433" t="s">
        <v>762</v>
      </c>
      <c r="AA141" s="433" t="s">
        <v>762</v>
      </c>
      <c r="AB141" s="433" t="s">
        <v>762</v>
      </c>
      <c r="AC141" s="433" t="s">
        <v>762</v>
      </c>
      <c r="AD141" s="433" t="s">
        <v>762</v>
      </c>
      <c r="AE141" s="433" t="s">
        <v>762</v>
      </c>
      <c r="AF141" s="433" t="s">
        <v>762</v>
      </c>
      <c r="AG141" s="433" t="s">
        <v>762</v>
      </c>
      <c r="AH141" s="433" t="s">
        <v>762</v>
      </c>
      <c r="AI141" s="433" t="s">
        <v>762</v>
      </c>
      <c r="AJ141" s="433" t="s">
        <v>762</v>
      </c>
      <c r="AK141" s="433" t="s">
        <v>762</v>
      </c>
      <c r="AL141" s="433" t="s">
        <v>762</v>
      </c>
      <c r="AM141" s="433" t="s">
        <v>762</v>
      </c>
      <c r="AN141" s="433" t="s">
        <v>762</v>
      </c>
      <c r="AO141" s="433" t="s">
        <v>762</v>
      </c>
      <c r="AP141" s="433" t="s">
        <v>762</v>
      </c>
      <c r="AQ141" s="433" t="s">
        <v>762</v>
      </c>
      <c r="AR141" s="433" t="s">
        <v>762</v>
      </c>
      <c r="AS141" s="433" t="s">
        <v>762</v>
      </c>
      <c r="AT141" s="433" t="s">
        <v>762</v>
      </c>
      <c r="AU141" s="433" t="s">
        <v>762</v>
      </c>
      <c r="AV141" s="433" t="s">
        <v>762</v>
      </c>
      <c r="AW141" s="433" t="s">
        <v>762</v>
      </c>
      <c r="AX141" s="433" t="s">
        <v>762</v>
      </c>
      <c r="AY141" s="433" t="s">
        <v>762</v>
      </c>
      <c r="AZ141" s="433" t="s">
        <v>762</v>
      </c>
      <c r="BA141" s="433" t="s">
        <v>762</v>
      </c>
      <c r="BB141" s="433" t="s">
        <v>762</v>
      </c>
      <c r="BC141" s="433" t="s">
        <v>762</v>
      </c>
      <c r="BD141" s="433" t="s">
        <v>762</v>
      </c>
      <c r="BE141" s="433" t="s">
        <v>762</v>
      </c>
      <c r="BF141" s="433" t="s">
        <v>762</v>
      </c>
      <c r="BG141" s="433" t="s">
        <v>762</v>
      </c>
      <c r="BH141" s="433" t="s">
        <v>762</v>
      </c>
      <c r="BI141" s="433" t="s">
        <v>762</v>
      </c>
      <c r="BJ141" s="433" t="s">
        <v>762</v>
      </c>
      <c r="BK141" s="433" t="s">
        <v>762</v>
      </c>
      <c r="BL141" s="433" t="s">
        <v>762</v>
      </c>
      <c r="BM141" s="433" t="s">
        <v>762</v>
      </c>
      <c r="BN141" s="433" t="s">
        <v>762</v>
      </c>
      <c r="BO141" s="433" t="s">
        <v>762</v>
      </c>
      <c r="BP141" s="433" t="s">
        <v>762</v>
      </c>
      <c r="BQ141" s="433" t="s">
        <v>762</v>
      </c>
      <c r="BR141" s="433" t="s">
        <v>762</v>
      </c>
      <c r="BS141" s="433" t="s">
        <v>762</v>
      </c>
      <c r="BT141" s="433" t="s">
        <v>762</v>
      </c>
      <c r="BU141" s="433" t="s">
        <v>762</v>
      </c>
      <c r="BV141" s="433" t="s">
        <v>762</v>
      </c>
      <c r="BW141" s="433" t="s">
        <v>762</v>
      </c>
      <c r="BX141" s="433" t="s">
        <v>762</v>
      </c>
      <c r="BY141" s="433" t="s">
        <v>762</v>
      </c>
      <c r="BZ141" s="433" t="s">
        <v>762</v>
      </c>
      <c r="CA141" s="433" t="s">
        <v>762</v>
      </c>
      <c r="CB141" s="433" t="s">
        <v>762</v>
      </c>
      <c r="CC141" s="433" t="s">
        <v>762</v>
      </c>
      <c r="CD141" s="433" t="s">
        <v>762</v>
      </c>
      <c r="CE141" s="433" t="s">
        <v>762</v>
      </c>
      <c r="CF141" s="433" t="s">
        <v>762</v>
      </c>
      <c r="CG141" s="239" t="s">
        <v>762</v>
      </c>
      <c r="CH141" s="239" t="s">
        <v>762</v>
      </c>
      <c r="CI141" s="239" t="s">
        <v>762</v>
      </c>
      <c r="CJ141" s="239" t="s">
        <v>762</v>
      </c>
      <c r="CK141" s="239" t="s">
        <v>762</v>
      </c>
      <c r="CL141" s="239" t="s">
        <v>762</v>
      </c>
    </row>
    <row r="142" spans="1:90" s="434" customFormat="1">
      <c r="A142" s="239" t="s">
        <v>536</v>
      </c>
      <c r="B142" s="239" t="s">
        <v>626</v>
      </c>
      <c r="C142" s="433" t="s">
        <v>762</v>
      </c>
      <c r="D142" s="433" t="s">
        <v>762</v>
      </c>
      <c r="E142" s="433" t="s">
        <v>762</v>
      </c>
      <c r="F142" s="433" t="s">
        <v>762</v>
      </c>
      <c r="G142" s="433" t="s">
        <v>762</v>
      </c>
      <c r="H142" s="433" t="s">
        <v>762</v>
      </c>
      <c r="I142" s="433" t="s">
        <v>762</v>
      </c>
      <c r="J142" s="433" t="s">
        <v>762</v>
      </c>
      <c r="K142" s="433" t="s">
        <v>762</v>
      </c>
      <c r="L142" s="433" t="s">
        <v>762</v>
      </c>
      <c r="M142" s="433" t="s">
        <v>762</v>
      </c>
      <c r="N142" s="433" t="s">
        <v>762</v>
      </c>
      <c r="O142" s="433" t="s">
        <v>762</v>
      </c>
      <c r="P142" s="433" t="s">
        <v>762</v>
      </c>
      <c r="Q142" s="433" t="s">
        <v>762</v>
      </c>
      <c r="R142" s="433" t="s">
        <v>762</v>
      </c>
      <c r="S142" s="433" t="s">
        <v>762</v>
      </c>
      <c r="T142" s="433" t="s">
        <v>762</v>
      </c>
      <c r="U142" s="433" t="s">
        <v>762</v>
      </c>
      <c r="V142" s="433" t="s">
        <v>762</v>
      </c>
      <c r="W142" s="433" t="s">
        <v>762</v>
      </c>
      <c r="X142" s="433" t="s">
        <v>762</v>
      </c>
      <c r="Y142" s="433" t="s">
        <v>762</v>
      </c>
      <c r="Z142" s="433" t="s">
        <v>762</v>
      </c>
      <c r="AA142" s="433" t="s">
        <v>762</v>
      </c>
      <c r="AB142" s="433" t="s">
        <v>762</v>
      </c>
      <c r="AC142" s="433" t="s">
        <v>762</v>
      </c>
      <c r="AD142" s="433" t="s">
        <v>762</v>
      </c>
      <c r="AE142" s="433" t="s">
        <v>762</v>
      </c>
      <c r="AF142" s="433" t="s">
        <v>762</v>
      </c>
      <c r="AG142" s="433" t="s">
        <v>762</v>
      </c>
      <c r="AH142" s="433" t="s">
        <v>762</v>
      </c>
      <c r="AI142" s="433" t="s">
        <v>762</v>
      </c>
      <c r="AJ142" s="433" t="s">
        <v>762</v>
      </c>
      <c r="AK142" s="433" t="s">
        <v>762</v>
      </c>
      <c r="AL142" s="433" t="s">
        <v>762</v>
      </c>
      <c r="AM142" s="433" t="s">
        <v>762</v>
      </c>
      <c r="AN142" s="433" t="s">
        <v>762</v>
      </c>
      <c r="AO142" s="433" t="s">
        <v>762</v>
      </c>
      <c r="AP142" s="433" t="s">
        <v>762</v>
      </c>
      <c r="AQ142" s="433" t="s">
        <v>762</v>
      </c>
      <c r="AR142" s="433" t="s">
        <v>762</v>
      </c>
      <c r="AS142" s="433" t="s">
        <v>762</v>
      </c>
      <c r="AT142" s="433" t="s">
        <v>762</v>
      </c>
      <c r="AU142" s="433" t="s">
        <v>762</v>
      </c>
      <c r="AV142" s="433" t="s">
        <v>762</v>
      </c>
      <c r="AW142" s="433" t="s">
        <v>762</v>
      </c>
      <c r="AX142" s="433" t="s">
        <v>762</v>
      </c>
      <c r="AY142" s="433" t="s">
        <v>762</v>
      </c>
      <c r="AZ142" s="433" t="s">
        <v>762</v>
      </c>
      <c r="BA142" s="433" t="s">
        <v>762</v>
      </c>
      <c r="BB142" s="433" t="s">
        <v>762</v>
      </c>
      <c r="BC142" s="433" t="s">
        <v>762</v>
      </c>
      <c r="BD142" s="433" t="s">
        <v>762</v>
      </c>
      <c r="BE142" s="433" t="s">
        <v>762</v>
      </c>
      <c r="BF142" s="433" t="s">
        <v>762</v>
      </c>
      <c r="BG142" s="433" t="s">
        <v>762</v>
      </c>
      <c r="BH142" s="433" t="s">
        <v>762</v>
      </c>
      <c r="BI142" s="433" t="s">
        <v>762</v>
      </c>
      <c r="BJ142" s="433" t="s">
        <v>762</v>
      </c>
      <c r="BK142" s="433" t="s">
        <v>762</v>
      </c>
      <c r="BL142" s="433" t="s">
        <v>762</v>
      </c>
      <c r="BM142" s="433" t="s">
        <v>762</v>
      </c>
      <c r="BN142" s="433" t="s">
        <v>762</v>
      </c>
      <c r="BO142" s="433" t="s">
        <v>762</v>
      </c>
      <c r="BP142" s="433" t="s">
        <v>762</v>
      </c>
      <c r="BQ142" s="433" t="s">
        <v>762</v>
      </c>
      <c r="BR142" s="433" t="s">
        <v>762</v>
      </c>
      <c r="BS142" s="433" t="s">
        <v>762</v>
      </c>
      <c r="BT142" s="433" t="s">
        <v>762</v>
      </c>
      <c r="BU142" s="433" t="s">
        <v>762</v>
      </c>
      <c r="BV142" s="433" t="s">
        <v>762</v>
      </c>
      <c r="BW142" s="433" t="s">
        <v>762</v>
      </c>
      <c r="BX142" s="433" t="s">
        <v>762</v>
      </c>
      <c r="BY142" s="433" t="s">
        <v>762</v>
      </c>
      <c r="BZ142" s="433" t="s">
        <v>762</v>
      </c>
      <c r="CA142" s="433" t="s">
        <v>762</v>
      </c>
      <c r="CB142" s="433" t="s">
        <v>762</v>
      </c>
      <c r="CC142" s="433" t="s">
        <v>762</v>
      </c>
      <c r="CD142" s="433" t="s">
        <v>762</v>
      </c>
      <c r="CE142" s="433" t="s">
        <v>762</v>
      </c>
      <c r="CF142" s="433" t="s">
        <v>762</v>
      </c>
      <c r="CG142" s="239" t="s">
        <v>762</v>
      </c>
      <c r="CH142" s="239" t="s">
        <v>762</v>
      </c>
      <c r="CI142" s="239" t="s">
        <v>762</v>
      </c>
      <c r="CJ142" s="239" t="s">
        <v>762</v>
      </c>
      <c r="CK142" s="239" t="s">
        <v>762</v>
      </c>
      <c r="CL142" s="239" t="s">
        <v>762</v>
      </c>
    </row>
    <row r="143" spans="1:90" s="434" customFormat="1">
      <c r="A143" s="239" t="s">
        <v>537</v>
      </c>
      <c r="B143" s="239" t="s">
        <v>626</v>
      </c>
      <c r="C143" s="433">
        <f t="shared" ref="C143:AD143" si="91">B906</f>
        <v>120</v>
      </c>
      <c r="D143" s="433">
        <f t="shared" si="91"/>
        <v>120</v>
      </c>
      <c r="E143" s="433">
        <f t="shared" si="91"/>
        <v>120</v>
      </c>
      <c r="F143" s="433">
        <f t="shared" si="91"/>
        <v>120</v>
      </c>
      <c r="G143" s="433">
        <f t="shared" si="91"/>
        <v>120</v>
      </c>
      <c r="H143" s="433">
        <f t="shared" si="91"/>
        <v>120</v>
      </c>
      <c r="I143" s="433">
        <f t="shared" si="91"/>
        <v>120</v>
      </c>
      <c r="J143" s="433">
        <f t="shared" si="91"/>
        <v>120</v>
      </c>
      <c r="K143" s="433">
        <f t="shared" si="91"/>
        <v>120</v>
      </c>
      <c r="L143" s="433">
        <f t="shared" si="91"/>
        <v>120</v>
      </c>
      <c r="M143" s="433">
        <f t="shared" si="91"/>
        <v>120</v>
      </c>
      <c r="N143" s="433">
        <f t="shared" si="91"/>
        <v>120</v>
      </c>
      <c r="O143" s="433">
        <f t="shared" si="91"/>
        <v>120</v>
      </c>
      <c r="P143" s="433">
        <f t="shared" si="91"/>
        <v>120</v>
      </c>
      <c r="Q143" s="433">
        <f t="shared" si="91"/>
        <v>120</v>
      </c>
      <c r="R143" s="433">
        <f t="shared" si="91"/>
        <v>120</v>
      </c>
      <c r="S143" s="433">
        <f t="shared" si="91"/>
        <v>120</v>
      </c>
      <c r="T143" s="433">
        <f t="shared" si="91"/>
        <v>120</v>
      </c>
      <c r="U143" s="433">
        <f t="shared" si="91"/>
        <v>120</v>
      </c>
      <c r="V143" s="433">
        <f t="shared" si="91"/>
        <v>120</v>
      </c>
      <c r="W143" s="433">
        <f t="shared" si="91"/>
        <v>120</v>
      </c>
      <c r="X143" s="433">
        <f t="shared" si="91"/>
        <v>120</v>
      </c>
      <c r="Y143" s="433">
        <f t="shared" si="91"/>
        <v>120</v>
      </c>
      <c r="Z143" s="433">
        <f t="shared" si="91"/>
        <v>120</v>
      </c>
      <c r="AA143" s="433">
        <f t="shared" si="91"/>
        <v>120</v>
      </c>
      <c r="AB143" s="433">
        <f t="shared" si="91"/>
        <v>120</v>
      </c>
      <c r="AC143" s="433">
        <f t="shared" si="91"/>
        <v>120</v>
      </c>
      <c r="AD143" s="433">
        <f t="shared" si="91"/>
        <v>120</v>
      </c>
      <c r="AE143" s="433">
        <f t="shared" ref="AE143:AJ143" si="92">AC906</f>
        <v>120</v>
      </c>
      <c r="AF143" s="433">
        <f t="shared" si="92"/>
        <v>151</v>
      </c>
      <c r="AG143" s="433">
        <f t="shared" si="92"/>
        <v>151</v>
      </c>
      <c r="AH143" s="433">
        <f t="shared" si="92"/>
        <v>151</v>
      </c>
      <c r="AI143" s="433">
        <f t="shared" si="92"/>
        <v>151</v>
      </c>
      <c r="AJ143" s="433">
        <f t="shared" si="92"/>
        <v>151</v>
      </c>
      <c r="AK143" s="433">
        <f t="shared" ref="AK143:BO143" si="93">AI905</f>
        <v>151</v>
      </c>
      <c r="AL143" s="433">
        <f t="shared" si="93"/>
        <v>151</v>
      </c>
      <c r="AM143" s="433">
        <f t="shared" si="93"/>
        <v>151</v>
      </c>
      <c r="AN143" s="433">
        <f t="shared" si="93"/>
        <v>151</v>
      </c>
      <c r="AO143" s="433">
        <f t="shared" si="93"/>
        <v>151</v>
      </c>
      <c r="AP143" s="433">
        <f t="shared" si="93"/>
        <v>151</v>
      </c>
      <c r="AQ143" s="433">
        <f t="shared" si="93"/>
        <v>151</v>
      </c>
      <c r="AR143" s="433">
        <f t="shared" si="93"/>
        <v>151</v>
      </c>
      <c r="AS143" s="433">
        <f t="shared" si="93"/>
        <v>151</v>
      </c>
      <c r="AT143" s="433">
        <f t="shared" si="93"/>
        <v>151</v>
      </c>
      <c r="AU143" s="433">
        <f t="shared" si="93"/>
        <v>151</v>
      </c>
      <c r="AV143" s="433">
        <f t="shared" si="93"/>
        <v>151</v>
      </c>
      <c r="AW143" s="433">
        <f t="shared" si="93"/>
        <v>151</v>
      </c>
      <c r="AX143" s="433">
        <f t="shared" si="93"/>
        <v>151</v>
      </c>
      <c r="AY143" s="433">
        <f t="shared" si="93"/>
        <v>188</v>
      </c>
      <c r="AZ143" s="433">
        <f t="shared" si="93"/>
        <v>188</v>
      </c>
      <c r="BA143" s="433">
        <f t="shared" si="93"/>
        <v>188</v>
      </c>
      <c r="BB143" s="433">
        <f t="shared" si="93"/>
        <v>188</v>
      </c>
      <c r="BC143" s="433">
        <f t="shared" si="93"/>
        <v>188</v>
      </c>
      <c r="BD143" s="433">
        <f t="shared" si="93"/>
        <v>188</v>
      </c>
      <c r="BE143" s="433">
        <f t="shared" si="93"/>
        <v>188</v>
      </c>
      <c r="BF143" s="433">
        <f t="shared" si="93"/>
        <v>188</v>
      </c>
      <c r="BG143" s="433">
        <f t="shared" si="93"/>
        <v>224</v>
      </c>
      <c r="BH143" s="433">
        <f t="shared" si="93"/>
        <v>224</v>
      </c>
      <c r="BI143" s="433">
        <f t="shared" si="93"/>
        <v>224</v>
      </c>
      <c r="BJ143" s="433">
        <f t="shared" si="93"/>
        <v>224</v>
      </c>
      <c r="BK143" s="433">
        <f t="shared" si="93"/>
        <v>224</v>
      </c>
      <c r="BL143" s="433">
        <f t="shared" si="93"/>
        <v>224</v>
      </c>
      <c r="BM143" s="433">
        <f t="shared" si="93"/>
        <v>247</v>
      </c>
      <c r="BN143" s="433">
        <f t="shared" si="93"/>
        <v>247</v>
      </c>
      <c r="BO143" s="433">
        <f t="shared" si="93"/>
        <v>247</v>
      </c>
      <c r="BP143" s="433">
        <f t="shared" ref="BP143:CF143" si="94">BN905</f>
        <v>247</v>
      </c>
      <c r="BQ143" s="433">
        <f t="shared" si="94"/>
        <v>247</v>
      </c>
      <c r="BR143" s="433">
        <f t="shared" si="94"/>
        <v>247</v>
      </c>
      <c r="BS143" s="433">
        <f t="shared" si="94"/>
        <v>272</v>
      </c>
      <c r="BT143" s="433">
        <f t="shared" si="94"/>
        <v>272</v>
      </c>
      <c r="BU143" s="433">
        <f t="shared" si="94"/>
        <v>291</v>
      </c>
      <c r="BV143" s="433">
        <f t="shared" si="94"/>
        <v>322</v>
      </c>
      <c r="BW143" s="433">
        <f t="shared" si="94"/>
        <v>345</v>
      </c>
      <c r="BX143" s="433">
        <f t="shared" si="94"/>
        <v>375</v>
      </c>
      <c r="BY143" s="433">
        <f t="shared" si="94"/>
        <v>383</v>
      </c>
      <c r="BZ143" s="433">
        <f t="shared" si="94"/>
        <v>399</v>
      </c>
      <c r="CA143" s="433">
        <f t="shared" si="94"/>
        <v>399</v>
      </c>
      <c r="CB143" s="433">
        <f t="shared" si="94"/>
        <v>473</v>
      </c>
      <c r="CC143" s="433">
        <f t="shared" si="94"/>
        <v>520</v>
      </c>
      <c r="CD143" s="433">
        <f t="shared" si="94"/>
        <v>531</v>
      </c>
      <c r="CE143" s="433">
        <f t="shared" si="94"/>
        <v>597</v>
      </c>
      <c r="CF143" s="433">
        <f t="shared" si="94"/>
        <v>634</v>
      </c>
      <c r="CG143" s="239" t="s">
        <v>762</v>
      </c>
      <c r="CH143" s="239" t="s">
        <v>762</v>
      </c>
      <c r="CI143" s="239" t="s">
        <v>762</v>
      </c>
      <c r="CJ143" s="239" t="s">
        <v>762</v>
      </c>
      <c r="CK143" s="239" t="s">
        <v>762</v>
      </c>
      <c r="CL143" s="239" t="s">
        <v>762</v>
      </c>
    </row>
    <row r="144" spans="1:90" s="434" customFormat="1">
      <c r="A144" s="239" t="s">
        <v>538</v>
      </c>
      <c r="B144" s="239" t="s">
        <v>626</v>
      </c>
      <c r="C144" s="433" t="s">
        <v>762</v>
      </c>
      <c r="D144" s="433" t="s">
        <v>762</v>
      </c>
      <c r="E144" s="433" t="s">
        <v>762</v>
      </c>
      <c r="F144" s="433" t="s">
        <v>762</v>
      </c>
      <c r="G144" s="433" t="s">
        <v>762</v>
      </c>
      <c r="H144" s="433" t="s">
        <v>762</v>
      </c>
      <c r="I144" s="433" t="s">
        <v>762</v>
      </c>
      <c r="J144" s="433" t="s">
        <v>762</v>
      </c>
      <c r="K144" s="433" t="s">
        <v>762</v>
      </c>
      <c r="L144" s="433" t="s">
        <v>762</v>
      </c>
      <c r="M144" s="433" t="s">
        <v>762</v>
      </c>
      <c r="N144" s="433" t="s">
        <v>762</v>
      </c>
      <c r="O144" s="433" t="s">
        <v>762</v>
      </c>
      <c r="P144" s="433" t="s">
        <v>762</v>
      </c>
      <c r="Q144" s="433" t="s">
        <v>762</v>
      </c>
      <c r="R144" s="433" t="s">
        <v>762</v>
      </c>
      <c r="S144" s="433" t="s">
        <v>762</v>
      </c>
      <c r="T144" s="433" t="s">
        <v>762</v>
      </c>
      <c r="U144" s="433" t="s">
        <v>762</v>
      </c>
      <c r="V144" s="433" t="s">
        <v>762</v>
      </c>
      <c r="W144" s="433" t="s">
        <v>762</v>
      </c>
      <c r="X144" s="433" t="s">
        <v>762</v>
      </c>
      <c r="Y144" s="433" t="s">
        <v>762</v>
      </c>
      <c r="Z144" s="433" t="s">
        <v>762</v>
      </c>
      <c r="AA144" s="433" t="s">
        <v>762</v>
      </c>
      <c r="AB144" s="433" t="s">
        <v>762</v>
      </c>
      <c r="AC144" s="433" t="s">
        <v>762</v>
      </c>
      <c r="AD144" s="433" t="s">
        <v>762</v>
      </c>
      <c r="AE144" s="433" t="s">
        <v>762</v>
      </c>
      <c r="AF144" s="433" t="s">
        <v>762</v>
      </c>
      <c r="AG144" s="433" t="s">
        <v>762</v>
      </c>
      <c r="AH144" s="433" t="s">
        <v>762</v>
      </c>
      <c r="AI144" s="433" t="s">
        <v>762</v>
      </c>
      <c r="AJ144" s="433" t="s">
        <v>762</v>
      </c>
      <c r="AK144" s="433" t="s">
        <v>762</v>
      </c>
      <c r="AL144" s="433" t="s">
        <v>762</v>
      </c>
      <c r="AM144" s="433" t="s">
        <v>762</v>
      </c>
      <c r="AN144" s="433" t="s">
        <v>762</v>
      </c>
      <c r="AO144" s="433" t="s">
        <v>762</v>
      </c>
      <c r="AP144" s="433" t="s">
        <v>762</v>
      </c>
      <c r="AQ144" s="433" t="s">
        <v>762</v>
      </c>
      <c r="AR144" s="433" t="s">
        <v>762</v>
      </c>
      <c r="AS144" s="433" t="s">
        <v>762</v>
      </c>
      <c r="AT144" s="433" t="s">
        <v>762</v>
      </c>
      <c r="AU144" s="433" t="s">
        <v>762</v>
      </c>
      <c r="AV144" s="433" t="s">
        <v>762</v>
      </c>
      <c r="AW144" s="433" t="s">
        <v>762</v>
      </c>
      <c r="AX144" s="433" t="s">
        <v>762</v>
      </c>
      <c r="AY144" s="433" t="s">
        <v>762</v>
      </c>
      <c r="AZ144" s="433" t="s">
        <v>762</v>
      </c>
      <c r="BA144" s="433" t="s">
        <v>762</v>
      </c>
      <c r="BB144" s="433" t="s">
        <v>762</v>
      </c>
      <c r="BC144" s="433" t="s">
        <v>762</v>
      </c>
      <c r="BD144" s="433" t="s">
        <v>762</v>
      </c>
      <c r="BE144" s="433" t="s">
        <v>762</v>
      </c>
      <c r="BF144" s="433" t="s">
        <v>762</v>
      </c>
      <c r="BG144" s="433" t="s">
        <v>762</v>
      </c>
      <c r="BH144" s="433" t="s">
        <v>762</v>
      </c>
      <c r="BI144" s="433" t="s">
        <v>762</v>
      </c>
      <c r="BJ144" s="433" t="s">
        <v>762</v>
      </c>
      <c r="BK144" s="433" t="s">
        <v>762</v>
      </c>
      <c r="BL144" s="433" t="s">
        <v>762</v>
      </c>
      <c r="BM144" s="433" t="s">
        <v>762</v>
      </c>
      <c r="BN144" s="433" t="s">
        <v>762</v>
      </c>
      <c r="BO144" s="433" t="s">
        <v>762</v>
      </c>
      <c r="BP144" s="433" t="s">
        <v>762</v>
      </c>
      <c r="BQ144" s="433" t="s">
        <v>762</v>
      </c>
      <c r="BR144" s="433" t="s">
        <v>762</v>
      </c>
      <c r="BS144" s="433" t="s">
        <v>762</v>
      </c>
      <c r="BT144" s="433" t="s">
        <v>762</v>
      </c>
      <c r="BU144" s="433" t="s">
        <v>762</v>
      </c>
      <c r="BV144" s="433" t="s">
        <v>762</v>
      </c>
      <c r="BW144" s="433" t="s">
        <v>762</v>
      </c>
      <c r="BX144" s="433" t="s">
        <v>762</v>
      </c>
      <c r="BY144" s="433" t="s">
        <v>762</v>
      </c>
      <c r="BZ144" s="433" t="s">
        <v>762</v>
      </c>
      <c r="CA144" s="433" t="s">
        <v>762</v>
      </c>
      <c r="CB144" s="433" t="s">
        <v>762</v>
      </c>
      <c r="CC144" s="433" t="s">
        <v>762</v>
      </c>
      <c r="CD144" s="433" t="s">
        <v>762</v>
      </c>
      <c r="CE144" s="433" t="s">
        <v>762</v>
      </c>
      <c r="CF144" s="433" t="s">
        <v>762</v>
      </c>
      <c r="CG144" s="239" t="s">
        <v>762</v>
      </c>
      <c r="CH144" s="239" t="s">
        <v>762</v>
      </c>
      <c r="CI144" s="239" t="s">
        <v>762</v>
      </c>
      <c r="CJ144" s="239" t="s">
        <v>762</v>
      </c>
      <c r="CK144" s="239" t="s">
        <v>762</v>
      </c>
      <c r="CL144" s="239" t="s">
        <v>762</v>
      </c>
    </row>
    <row r="145" spans="1:90" s="434" customFormat="1">
      <c r="A145" s="239" t="s">
        <v>539</v>
      </c>
      <c r="B145" s="239" t="s">
        <v>626</v>
      </c>
      <c r="C145" s="433" t="s">
        <v>762</v>
      </c>
      <c r="D145" s="433" t="s">
        <v>762</v>
      </c>
      <c r="E145" s="433" t="s">
        <v>762</v>
      </c>
      <c r="F145" s="433" t="s">
        <v>762</v>
      </c>
      <c r="G145" s="433" t="s">
        <v>762</v>
      </c>
      <c r="H145" s="433" t="s">
        <v>762</v>
      </c>
      <c r="I145" s="433" t="s">
        <v>762</v>
      </c>
      <c r="J145" s="433" t="s">
        <v>762</v>
      </c>
      <c r="K145" s="433" t="s">
        <v>762</v>
      </c>
      <c r="L145" s="433" t="s">
        <v>762</v>
      </c>
      <c r="M145" s="433" t="s">
        <v>762</v>
      </c>
      <c r="N145" s="433" t="s">
        <v>762</v>
      </c>
      <c r="O145" s="433" t="s">
        <v>762</v>
      </c>
      <c r="P145" s="433" t="s">
        <v>762</v>
      </c>
      <c r="Q145" s="433" t="s">
        <v>762</v>
      </c>
      <c r="R145" s="433" t="s">
        <v>762</v>
      </c>
      <c r="S145" s="433" t="s">
        <v>762</v>
      </c>
      <c r="T145" s="433" t="s">
        <v>762</v>
      </c>
      <c r="U145" s="433" t="s">
        <v>762</v>
      </c>
      <c r="V145" s="433" t="s">
        <v>762</v>
      </c>
      <c r="W145" s="433" t="s">
        <v>762</v>
      </c>
      <c r="X145" s="433" t="s">
        <v>762</v>
      </c>
      <c r="Y145" s="433" t="s">
        <v>762</v>
      </c>
      <c r="Z145" s="433" t="s">
        <v>762</v>
      </c>
      <c r="AA145" s="433" t="s">
        <v>762</v>
      </c>
      <c r="AB145" s="433" t="s">
        <v>762</v>
      </c>
      <c r="AC145" s="433" t="s">
        <v>762</v>
      </c>
      <c r="AD145" s="433" t="s">
        <v>762</v>
      </c>
      <c r="AE145" s="433" t="s">
        <v>762</v>
      </c>
      <c r="AF145" s="433" t="s">
        <v>762</v>
      </c>
      <c r="AG145" s="433" t="s">
        <v>762</v>
      </c>
      <c r="AH145" s="433" t="s">
        <v>762</v>
      </c>
      <c r="AI145" s="433" t="s">
        <v>762</v>
      </c>
      <c r="AJ145" s="433" t="s">
        <v>762</v>
      </c>
      <c r="AK145" s="433" t="s">
        <v>762</v>
      </c>
      <c r="AL145" s="433" t="s">
        <v>762</v>
      </c>
      <c r="AM145" s="433" t="s">
        <v>762</v>
      </c>
      <c r="AN145" s="433" t="s">
        <v>762</v>
      </c>
      <c r="AO145" s="433" t="s">
        <v>762</v>
      </c>
      <c r="AP145" s="433" t="s">
        <v>762</v>
      </c>
      <c r="AQ145" s="433" t="s">
        <v>762</v>
      </c>
      <c r="AR145" s="433" t="s">
        <v>762</v>
      </c>
      <c r="AS145" s="433" t="s">
        <v>762</v>
      </c>
      <c r="AT145" s="433" t="s">
        <v>762</v>
      </c>
      <c r="AU145" s="433" t="s">
        <v>762</v>
      </c>
      <c r="AV145" s="433" t="s">
        <v>762</v>
      </c>
      <c r="AW145" s="433" t="s">
        <v>762</v>
      </c>
      <c r="AX145" s="433" t="s">
        <v>762</v>
      </c>
      <c r="AY145" s="433" t="s">
        <v>762</v>
      </c>
      <c r="AZ145" s="433" t="s">
        <v>762</v>
      </c>
      <c r="BA145" s="433" t="s">
        <v>762</v>
      </c>
      <c r="BB145" s="433" t="s">
        <v>762</v>
      </c>
      <c r="BC145" s="433" t="s">
        <v>762</v>
      </c>
      <c r="BD145" s="433" t="s">
        <v>762</v>
      </c>
      <c r="BE145" s="433" t="s">
        <v>762</v>
      </c>
      <c r="BF145" s="433" t="s">
        <v>762</v>
      </c>
      <c r="BG145" s="433" t="s">
        <v>762</v>
      </c>
      <c r="BH145" s="433" t="s">
        <v>762</v>
      </c>
      <c r="BI145" s="433" t="s">
        <v>762</v>
      </c>
      <c r="BJ145" s="433" t="s">
        <v>762</v>
      </c>
      <c r="BK145" s="433" t="s">
        <v>762</v>
      </c>
      <c r="BL145" s="433" t="s">
        <v>762</v>
      </c>
      <c r="BM145" s="433" t="s">
        <v>762</v>
      </c>
      <c r="BN145" s="433" t="s">
        <v>762</v>
      </c>
      <c r="BO145" s="433" t="s">
        <v>762</v>
      </c>
      <c r="BP145" s="433" t="s">
        <v>762</v>
      </c>
      <c r="BQ145" s="433" t="s">
        <v>762</v>
      </c>
      <c r="BR145" s="433" t="s">
        <v>762</v>
      </c>
      <c r="BS145" s="433" t="s">
        <v>762</v>
      </c>
      <c r="BT145" s="433" t="s">
        <v>762</v>
      </c>
      <c r="BU145" s="433" t="s">
        <v>762</v>
      </c>
      <c r="BV145" s="433" t="s">
        <v>762</v>
      </c>
      <c r="BW145" s="433" t="s">
        <v>762</v>
      </c>
      <c r="BX145" s="433" t="s">
        <v>762</v>
      </c>
      <c r="BY145" s="433" t="s">
        <v>762</v>
      </c>
      <c r="BZ145" s="433" t="s">
        <v>762</v>
      </c>
      <c r="CA145" s="433" t="s">
        <v>762</v>
      </c>
      <c r="CB145" s="433" t="s">
        <v>762</v>
      </c>
      <c r="CC145" s="433" t="s">
        <v>762</v>
      </c>
      <c r="CD145" s="433" t="s">
        <v>762</v>
      </c>
      <c r="CE145" s="433" t="s">
        <v>762</v>
      </c>
      <c r="CF145" s="433" t="s">
        <v>762</v>
      </c>
      <c r="CG145" s="239" t="s">
        <v>762</v>
      </c>
      <c r="CH145" s="239" t="s">
        <v>762</v>
      </c>
      <c r="CI145" s="239" t="s">
        <v>762</v>
      </c>
      <c r="CJ145" s="239" t="s">
        <v>762</v>
      </c>
      <c r="CK145" s="239" t="s">
        <v>762</v>
      </c>
      <c r="CL145" s="239" t="s">
        <v>762</v>
      </c>
    </row>
    <row r="146" spans="1:90" s="434" customFormat="1">
      <c r="A146" s="239" t="s">
        <v>540</v>
      </c>
      <c r="B146" s="239" t="s">
        <v>626</v>
      </c>
      <c r="C146" s="433" t="s">
        <v>762</v>
      </c>
      <c r="D146" s="433" t="s">
        <v>762</v>
      </c>
      <c r="E146" s="433" t="s">
        <v>762</v>
      </c>
      <c r="F146" s="433" t="s">
        <v>762</v>
      </c>
      <c r="G146" s="433" t="s">
        <v>762</v>
      </c>
      <c r="H146" s="433" t="s">
        <v>762</v>
      </c>
      <c r="I146" s="433" t="s">
        <v>762</v>
      </c>
      <c r="J146" s="433" t="s">
        <v>762</v>
      </c>
      <c r="K146" s="433" t="s">
        <v>762</v>
      </c>
      <c r="L146" s="433" t="s">
        <v>762</v>
      </c>
      <c r="M146" s="433" t="s">
        <v>762</v>
      </c>
      <c r="N146" s="433" t="s">
        <v>762</v>
      </c>
      <c r="O146" s="433" t="s">
        <v>762</v>
      </c>
      <c r="P146" s="433" t="s">
        <v>762</v>
      </c>
      <c r="Q146" s="433" t="s">
        <v>762</v>
      </c>
      <c r="R146" s="433" t="s">
        <v>762</v>
      </c>
      <c r="S146" s="433" t="s">
        <v>762</v>
      </c>
      <c r="T146" s="433" t="s">
        <v>762</v>
      </c>
      <c r="U146" s="433" t="s">
        <v>762</v>
      </c>
      <c r="V146" s="433" t="s">
        <v>762</v>
      </c>
      <c r="W146" s="433" t="s">
        <v>762</v>
      </c>
      <c r="X146" s="433" t="s">
        <v>762</v>
      </c>
      <c r="Y146" s="433" t="s">
        <v>762</v>
      </c>
      <c r="Z146" s="433" t="s">
        <v>762</v>
      </c>
      <c r="AA146" s="433" t="s">
        <v>762</v>
      </c>
      <c r="AB146" s="433" t="s">
        <v>762</v>
      </c>
      <c r="AC146" s="433" t="s">
        <v>762</v>
      </c>
      <c r="AD146" s="433" t="s">
        <v>762</v>
      </c>
      <c r="AE146" s="433" t="s">
        <v>762</v>
      </c>
      <c r="AF146" s="433" t="s">
        <v>762</v>
      </c>
      <c r="AG146" s="433" t="s">
        <v>762</v>
      </c>
      <c r="AH146" s="433" t="s">
        <v>762</v>
      </c>
      <c r="AI146" s="433" t="s">
        <v>762</v>
      </c>
      <c r="AJ146" s="433" t="s">
        <v>762</v>
      </c>
      <c r="AK146" s="433" t="s">
        <v>762</v>
      </c>
      <c r="AL146" s="433" t="s">
        <v>762</v>
      </c>
      <c r="AM146" s="433" t="s">
        <v>762</v>
      </c>
      <c r="AN146" s="433" t="s">
        <v>762</v>
      </c>
      <c r="AO146" s="433" t="s">
        <v>762</v>
      </c>
      <c r="AP146" s="433" t="s">
        <v>762</v>
      </c>
      <c r="AQ146" s="433" t="s">
        <v>762</v>
      </c>
      <c r="AR146" s="433" t="s">
        <v>762</v>
      </c>
      <c r="AS146" s="433" t="s">
        <v>762</v>
      </c>
      <c r="AT146" s="433" t="s">
        <v>762</v>
      </c>
      <c r="AU146" s="433" t="s">
        <v>762</v>
      </c>
      <c r="AV146" s="433" t="s">
        <v>762</v>
      </c>
      <c r="AW146" s="433" t="s">
        <v>762</v>
      </c>
      <c r="AX146" s="433" t="s">
        <v>762</v>
      </c>
      <c r="AY146" s="433" t="s">
        <v>762</v>
      </c>
      <c r="AZ146" s="433" t="s">
        <v>762</v>
      </c>
      <c r="BA146" s="433" t="s">
        <v>762</v>
      </c>
      <c r="BB146" s="433" t="s">
        <v>762</v>
      </c>
      <c r="BC146" s="433" t="s">
        <v>762</v>
      </c>
      <c r="BD146" s="433" t="s">
        <v>762</v>
      </c>
      <c r="BE146" s="433" t="s">
        <v>762</v>
      </c>
      <c r="BF146" s="433" t="s">
        <v>762</v>
      </c>
      <c r="BG146" s="433" t="s">
        <v>762</v>
      </c>
      <c r="BH146" s="433" t="s">
        <v>762</v>
      </c>
      <c r="BI146" s="433" t="s">
        <v>762</v>
      </c>
      <c r="BJ146" s="433" t="s">
        <v>762</v>
      </c>
      <c r="BK146" s="433" t="s">
        <v>762</v>
      </c>
      <c r="BL146" s="433" t="s">
        <v>762</v>
      </c>
      <c r="BM146" s="433" t="s">
        <v>762</v>
      </c>
      <c r="BN146" s="433" t="s">
        <v>762</v>
      </c>
      <c r="BO146" s="433" t="s">
        <v>762</v>
      </c>
      <c r="BP146" s="433" t="s">
        <v>762</v>
      </c>
      <c r="BQ146" s="433" t="s">
        <v>762</v>
      </c>
      <c r="BR146" s="433" t="s">
        <v>762</v>
      </c>
      <c r="BS146" s="433" t="s">
        <v>762</v>
      </c>
      <c r="BT146" s="433" t="s">
        <v>762</v>
      </c>
      <c r="BU146" s="433" t="s">
        <v>762</v>
      </c>
      <c r="BV146" s="433" t="s">
        <v>762</v>
      </c>
      <c r="BW146" s="433" t="s">
        <v>762</v>
      </c>
      <c r="BX146" s="433" t="s">
        <v>762</v>
      </c>
      <c r="BY146" s="433" t="s">
        <v>762</v>
      </c>
      <c r="BZ146" s="433" t="s">
        <v>762</v>
      </c>
      <c r="CA146" s="433" t="s">
        <v>762</v>
      </c>
      <c r="CB146" s="433" t="s">
        <v>762</v>
      </c>
      <c r="CC146" s="433" t="s">
        <v>762</v>
      </c>
      <c r="CD146" s="433" t="s">
        <v>762</v>
      </c>
      <c r="CE146" s="433" t="s">
        <v>762</v>
      </c>
      <c r="CF146" s="433" t="s">
        <v>762</v>
      </c>
      <c r="CG146" s="239" t="s">
        <v>762</v>
      </c>
      <c r="CH146" s="239" t="s">
        <v>762</v>
      </c>
      <c r="CI146" s="239" t="s">
        <v>762</v>
      </c>
      <c r="CJ146" s="239" t="s">
        <v>762</v>
      </c>
      <c r="CK146" s="239" t="s">
        <v>762</v>
      </c>
      <c r="CL146" s="239" t="s">
        <v>762</v>
      </c>
    </row>
    <row r="147" spans="1:90" s="434" customFormat="1">
      <c r="A147" s="239" t="s">
        <v>541</v>
      </c>
      <c r="B147" s="239" t="s">
        <v>626</v>
      </c>
      <c r="C147" s="433" t="s">
        <v>762</v>
      </c>
      <c r="D147" s="433" t="s">
        <v>762</v>
      </c>
      <c r="E147" s="433" t="s">
        <v>762</v>
      </c>
      <c r="F147" s="433" t="s">
        <v>762</v>
      </c>
      <c r="G147" s="433" t="s">
        <v>762</v>
      </c>
      <c r="H147" s="433" t="s">
        <v>762</v>
      </c>
      <c r="I147" s="433" t="s">
        <v>762</v>
      </c>
      <c r="J147" s="433" t="s">
        <v>762</v>
      </c>
      <c r="K147" s="433" t="s">
        <v>762</v>
      </c>
      <c r="L147" s="433" t="s">
        <v>762</v>
      </c>
      <c r="M147" s="433" t="s">
        <v>762</v>
      </c>
      <c r="N147" s="433" t="s">
        <v>762</v>
      </c>
      <c r="O147" s="433" t="s">
        <v>762</v>
      </c>
      <c r="P147" s="433" t="s">
        <v>762</v>
      </c>
      <c r="Q147" s="433" t="s">
        <v>762</v>
      </c>
      <c r="R147" s="433" t="s">
        <v>762</v>
      </c>
      <c r="S147" s="433" t="s">
        <v>762</v>
      </c>
      <c r="T147" s="433" t="s">
        <v>762</v>
      </c>
      <c r="U147" s="433" t="s">
        <v>762</v>
      </c>
      <c r="V147" s="433" t="s">
        <v>762</v>
      </c>
      <c r="W147" s="433" t="s">
        <v>762</v>
      </c>
      <c r="X147" s="433" t="s">
        <v>762</v>
      </c>
      <c r="Y147" s="433" t="s">
        <v>762</v>
      </c>
      <c r="Z147" s="433" t="s">
        <v>762</v>
      </c>
      <c r="AA147" s="433" t="s">
        <v>762</v>
      </c>
      <c r="AB147" s="433" t="s">
        <v>762</v>
      </c>
      <c r="AC147" s="433" t="s">
        <v>762</v>
      </c>
      <c r="AD147" s="433" t="s">
        <v>762</v>
      </c>
      <c r="AE147" s="433" t="s">
        <v>762</v>
      </c>
      <c r="AF147" s="433" t="s">
        <v>762</v>
      </c>
      <c r="AG147" s="433" t="s">
        <v>762</v>
      </c>
      <c r="AH147" s="433" t="s">
        <v>762</v>
      </c>
      <c r="AI147" s="433" t="s">
        <v>762</v>
      </c>
      <c r="AJ147" s="433" t="s">
        <v>762</v>
      </c>
      <c r="AK147" s="433" t="s">
        <v>762</v>
      </c>
      <c r="AL147" s="433" t="s">
        <v>762</v>
      </c>
      <c r="AM147" s="433" t="s">
        <v>762</v>
      </c>
      <c r="AN147" s="433" t="s">
        <v>762</v>
      </c>
      <c r="AO147" s="433" t="s">
        <v>762</v>
      </c>
      <c r="AP147" s="433" t="s">
        <v>762</v>
      </c>
      <c r="AQ147" s="433" t="s">
        <v>762</v>
      </c>
      <c r="AR147" s="433" t="s">
        <v>762</v>
      </c>
      <c r="AS147" s="433" t="s">
        <v>762</v>
      </c>
      <c r="AT147" s="433" t="s">
        <v>762</v>
      </c>
      <c r="AU147" s="433" t="s">
        <v>762</v>
      </c>
      <c r="AV147" s="433" t="s">
        <v>762</v>
      </c>
      <c r="AW147" s="433" t="s">
        <v>762</v>
      </c>
      <c r="AX147" s="433" t="s">
        <v>762</v>
      </c>
      <c r="AY147" s="433" t="s">
        <v>762</v>
      </c>
      <c r="AZ147" s="433" t="s">
        <v>762</v>
      </c>
      <c r="BA147" s="433" t="s">
        <v>762</v>
      </c>
      <c r="BB147" s="433" t="s">
        <v>762</v>
      </c>
      <c r="BC147" s="433" t="s">
        <v>762</v>
      </c>
      <c r="BD147" s="433" t="s">
        <v>762</v>
      </c>
      <c r="BE147" s="433" t="s">
        <v>762</v>
      </c>
      <c r="BF147" s="433" t="s">
        <v>762</v>
      </c>
      <c r="BG147" s="433" t="s">
        <v>762</v>
      </c>
      <c r="BH147" s="433" t="s">
        <v>762</v>
      </c>
      <c r="BI147" s="433" t="s">
        <v>762</v>
      </c>
      <c r="BJ147" s="433" t="s">
        <v>762</v>
      </c>
      <c r="BK147" s="433" t="s">
        <v>762</v>
      </c>
      <c r="BL147" s="433" t="s">
        <v>762</v>
      </c>
      <c r="BM147" s="433" t="s">
        <v>762</v>
      </c>
      <c r="BN147" s="433" t="s">
        <v>762</v>
      </c>
      <c r="BO147" s="433" t="s">
        <v>762</v>
      </c>
      <c r="BP147" s="433" t="s">
        <v>762</v>
      </c>
      <c r="BQ147" s="433" t="s">
        <v>762</v>
      </c>
      <c r="BR147" s="433" t="s">
        <v>762</v>
      </c>
      <c r="BS147" s="433" t="s">
        <v>762</v>
      </c>
      <c r="BT147" s="433" t="s">
        <v>762</v>
      </c>
      <c r="BU147" s="433" t="s">
        <v>762</v>
      </c>
      <c r="BV147" s="433" t="s">
        <v>762</v>
      </c>
      <c r="BW147" s="433" t="s">
        <v>762</v>
      </c>
      <c r="BX147" s="433" t="s">
        <v>762</v>
      </c>
      <c r="BY147" s="433" t="s">
        <v>762</v>
      </c>
      <c r="BZ147" s="433" t="s">
        <v>762</v>
      </c>
      <c r="CA147" s="433" t="s">
        <v>762</v>
      </c>
      <c r="CB147" s="433" t="s">
        <v>762</v>
      </c>
      <c r="CC147" s="433" t="s">
        <v>762</v>
      </c>
      <c r="CD147" s="433" t="s">
        <v>762</v>
      </c>
      <c r="CE147" s="433" t="s">
        <v>762</v>
      </c>
      <c r="CF147" s="433" t="s">
        <v>762</v>
      </c>
      <c r="CG147" s="239" t="s">
        <v>762</v>
      </c>
      <c r="CH147" s="239" t="s">
        <v>762</v>
      </c>
      <c r="CI147" s="239" t="s">
        <v>762</v>
      </c>
      <c r="CJ147" s="239" t="s">
        <v>762</v>
      </c>
      <c r="CK147" s="239" t="s">
        <v>762</v>
      </c>
      <c r="CL147" s="239" t="s">
        <v>762</v>
      </c>
    </row>
    <row r="148" spans="1:90" s="434" customFormat="1">
      <c r="A148" s="239" t="s">
        <v>542</v>
      </c>
      <c r="B148" s="239" t="s">
        <v>626</v>
      </c>
      <c r="C148" s="433" t="s">
        <v>762</v>
      </c>
      <c r="D148" s="433" t="s">
        <v>762</v>
      </c>
      <c r="E148" s="433" t="s">
        <v>762</v>
      </c>
      <c r="F148" s="433" t="s">
        <v>762</v>
      </c>
      <c r="G148" s="433" t="s">
        <v>762</v>
      </c>
      <c r="H148" s="433" t="s">
        <v>762</v>
      </c>
      <c r="I148" s="433" t="s">
        <v>762</v>
      </c>
      <c r="J148" s="433" t="s">
        <v>762</v>
      </c>
      <c r="K148" s="433" t="s">
        <v>762</v>
      </c>
      <c r="L148" s="433" t="s">
        <v>762</v>
      </c>
      <c r="M148" s="433" t="s">
        <v>762</v>
      </c>
      <c r="N148" s="433" t="s">
        <v>762</v>
      </c>
      <c r="O148" s="433" t="s">
        <v>762</v>
      </c>
      <c r="P148" s="433" t="s">
        <v>762</v>
      </c>
      <c r="Q148" s="433" t="s">
        <v>762</v>
      </c>
      <c r="R148" s="433" t="s">
        <v>762</v>
      </c>
      <c r="S148" s="433" t="s">
        <v>762</v>
      </c>
      <c r="T148" s="433" t="s">
        <v>762</v>
      </c>
      <c r="U148" s="433" t="s">
        <v>762</v>
      </c>
      <c r="V148" s="433" t="s">
        <v>762</v>
      </c>
      <c r="W148" s="433" t="s">
        <v>762</v>
      </c>
      <c r="X148" s="433" t="s">
        <v>762</v>
      </c>
      <c r="Y148" s="433" t="s">
        <v>762</v>
      </c>
      <c r="Z148" s="433" t="s">
        <v>762</v>
      </c>
      <c r="AA148" s="433" t="s">
        <v>762</v>
      </c>
      <c r="AB148" s="433" t="s">
        <v>762</v>
      </c>
      <c r="AC148" s="433" t="s">
        <v>762</v>
      </c>
      <c r="AD148" s="433" t="s">
        <v>762</v>
      </c>
      <c r="AE148" s="433" t="s">
        <v>762</v>
      </c>
      <c r="AF148" s="433" t="s">
        <v>762</v>
      </c>
      <c r="AG148" s="433" t="s">
        <v>762</v>
      </c>
      <c r="AH148" s="433" t="s">
        <v>762</v>
      </c>
      <c r="AI148" s="433" t="s">
        <v>762</v>
      </c>
      <c r="AJ148" s="433" t="s">
        <v>762</v>
      </c>
      <c r="AK148" s="433" t="s">
        <v>762</v>
      </c>
      <c r="AL148" s="433" t="s">
        <v>762</v>
      </c>
      <c r="AM148" s="433" t="s">
        <v>762</v>
      </c>
      <c r="AN148" s="433" t="s">
        <v>762</v>
      </c>
      <c r="AO148" s="433" t="s">
        <v>762</v>
      </c>
      <c r="AP148" s="433" t="s">
        <v>762</v>
      </c>
      <c r="AQ148" s="433" t="s">
        <v>762</v>
      </c>
      <c r="AR148" s="433" t="s">
        <v>762</v>
      </c>
      <c r="AS148" s="433" t="s">
        <v>762</v>
      </c>
      <c r="AT148" s="433" t="s">
        <v>762</v>
      </c>
      <c r="AU148" s="433" t="s">
        <v>762</v>
      </c>
      <c r="AV148" s="433" t="s">
        <v>762</v>
      </c>
      <c r="AW148" s="433" t="s">
        <v>762</v>
      </c>
      <c r="AX148" s="433" t="s">
        <v>762</v>
      </c>
      <c r="AY148" s="433" t="s">
        <v>762</v>
      </c>
      <c r="AZ148" s="433" t="s">
        <v>762</v>
      </c>
      <c r="BA148" s="433" t="s">
        <v>762</v>
      </c>
      <c r="BB148" s="433" t="s">
        <v>762</v>
      </c>
      <c r="BC148" s="433" t="s">
        <v>762</v>
      </c>
      <c r="BD148" s="433" t="s">
        <v>762</v>
      </c>
      <c r="BE148" s="433" t="s">
        <v>762</v>
      </c>
      <c r="BF148" s="433" t="s">
        <v>762</v>
      </c>
      <c r="BG148" s="433" t="s">
        <v>762</v>
      </c>
      <c r="BH148" s="433" t="s">
        <v>762</v>
      </c>
      <c r="BI148" s="433" t="s">
        <v>762</v>
      </c>
      <c r="BJ148" s="433" t="s">
        <v>762</v>
      </c>
      <c r="BK148" s="433" t="s">
        <v>762</v>
      </c>
      <c r="BL148" s="433" t="s">
        <v>762</v>
      </c>
      <c r="BM148" s="433" t="s">
        <v>762</v>
      </c>
      <c r="BN148" s="433" t="s">
        <v>762</v>
      </c>
      <c r="BO148" s="433" t="s">
        <v>762</v>
      </c>
      <c r="BP148" s="433" t="s">
        <v>762</v>
      </c>
      <c r="BQ148" s="433" t="s">
        <v>762</v>
      </c>
      <c r="BR148" s="433" t="s">
        <v>762</v>
      </c>
      <c r="BS148" s="433" t="s">
        <v>762</v>
      </c>
      <c r="BT148" s="433" t="s">
        <v>762</v>
      </c>
      <c r="BU148" s="433" t="s">
        <v>762</v>
      </c>
      <c r="BV148" s="433" t="s">
        <v>762</v>
      </c>
      <c r="BW148" s="433" t="s">
        <v>762</v>
      </c>
      <c r="BX148" s="433" t="s">
        <v>762</v>
      </c>
      <c r="BY148" s="433" t="s">
        <v>762</v>
      </c>
      <c r="BZ148" s="433" t="s">
        <v>762</v>
      </c>
      <c r="CA148" s="433" t="s">
        <v>762</v>
      </c>
      <c r="CB148" s="433" t="s">
        <v>762</v>
      </c>
      <c r="CC148" s="433" t="s">
        <v>762</v>
      </c>
      <c r="CD148" s="433" t="s">
        <v>762</v>
      </c>
      <c r="CE148" s="433" t="s">
        <v>762</v>
      </c>
      <c r="CF148" s="433" t="s">
        <v>762</v>
      </c>
      <c r="CG148" s="239" t="s">
        <v>762</v>
      </c>
      <c r="CH148" s="239" t="s">
        <v>762</v>
      </c>
      <c r="CI148" s="239" t="s">
        <v>762</v>
      </c>
      <c r="CJ148" s="239" t="s">
        <v>762</v>
      </c>
      <c r="CK148" s="239" t="s">
        <v>762</v>
      </c>
      <c r="CL148" s="239" t="s">
        <v>762</v>
      </c>
    </row>
    <row r="149" spans="1:90" s="434" customFormat="1">
      <c r="A149" s="239" t="s">
        <v>543</v>
      </c>
      <c r="B149" s="239" t="s">
        <v>626</v>
      </c>
      <c r="C149" s="433">
        <f t="shared" ref="C149:AD149" si="95">B907</f>
        <v>91</v>
      </c>
      <c r="D149" s="433">
        <f t="shared" si="95"/>
        <v>91</v>
      </c>
      <c r="E149" s="433">
        <f t="shared" si="95"/>
        <v>91</v>
      </c>
      <c r="F149" s="433">
        <f t="shared" si="95"/>
        <v>91</v>
      </c>
      <c r="G149" s="433">
        <f t="shared" si="95"/>
        <v>91</v>
      </c>
      <c r="H149" s="433">
        <f t="shared" si="95"/>
        <v>91</v>
      </c>
      <c r="I149" s="433">
        <f t="shared" si="95"/>
        <v>91</v>
      </c>
      <c r="J149" s="433">
        <f t="shared" si="95"/>
        <v>91</v>
      </c>
      <c r="K149" s="433">
        <f t="shared" si="95"/>
        <v>91</v>
      </c>
      <c r="L149" s="433">
        <f t="shared" si="95"/>
        <v>91</v>
      </c>
      <c r="M149" s="433">
        <f t="shared" si="95"/>
        <v>91</v>
      </c>
      <c r="N149" s="433">
        <f t="shared" si="95"/>
        <v>91</v>
      </c>
      <c r="O149" s="433">
        <f t="shared" si="95"/>
        <v>91</v>
      </c>
      <c r="P149" s="433">
        <f t="shared" si="95"/>
        <v>91</v>
      </c>
      <c r="Q149" s="433">
        <f t="shared" si="95"/>
        <v>91</v>
      </c>
      <c r="R149" s="433">
        <f t="shared" si="95"/>
        <v>91</v>
      </c>
      <c r="S149" s="433">
        <f t="shared" si="95"/>
        <v>91</v>
      </c>
      <c r="T149" s="433">
        <f t="shared" si="95"/>
        <v>91</v>
      </c>
      <c r="U149" s="433">
        <f t="shared" si="95"/>
        <v>91</v>
      </c>
      <c r="V149" s="433">
        <f t="shared" si="95"/>
        <v>91</v>
      </c>
      <c r="W149" s="433">
        <f t="shared" si="95"/>
        <v>91</v>
      </c>
      <c r="X149" s="433">
        <f t="shared" si="95"/>
        <v>91</v>
      </c>
      <c r="Y149" s="433">
        <f t="shared" si="95"/>
        <v>91</v>
      </c>
      <c r="Z149" s="433">
        <f t="shared" si="95"/>
        <v>91</v>
      </c>
      <c r="AA149" s="433">
        <f t="shared" si="95"/>
        <v>91</v>
      </c>
      <c r="AB149" s="433">
        <f t="shared" si="95"/>
        <v>91</v>
      </c>
      <c r="AC149" s="433">
        <f t="shared" si="95"/>
        <v>91</v>
      </c>
      <c r="AD149" s="433">
        <f t="shared" si="95"/>
        <v>91</v>
      </c>
      <c r="AE149" s="433">
        <f t="shared" ref="AE149:AJ151" si="96">AC907</f>
        <v>91</v>
      </c>
      <c r="AF149" s="433">
        <f t="shared" si="96"/>
        <v>112</v>
      </c>
      <c r="AG149" s="433">
        <f t="shared" si="96"/>
        <v>112</v>
      </c>
      <c r="AH149" s="433">
        <f t="shared" si="96"/>
        <v>112</v>
      </c>
      <c r="AI149" s="433">
        <f t="shared" si="96"/>
        <v>112</v>
      </c>
      <c r="AJ149" s="433">
        <f t="shared" si="96"/>
        <v>112</v>
      </c>
      <c r="AK149" s="433">
        <f t="shared" ref="AK149:BO149" si="97">AI906</f>
        <v>112</v>
      </c>
      <c r="AL149" s="433">
        <f t="shared" si="97"/>
        <v>112</v>
      </c>
      <c r="AM149" s="433">
        <f t="shared" si="97"/>
        <v>112</v>
      </c>
      <c r="AN149" s="433">
        <f t="shared" si="97"/>
        <v>112</v>
      </c>
      <c r="AO149" s="433">
        <f t="shared" si="97"/>
        <v>112</v>
      </c>
      <c r="AP149" s="433">
        <f t="shared" si="97"/>
        <v>112</v>
      </c>
      <c r="AQ149" s="433">
        <f t="shared" si="97"/>
        <v>112</v>
      </c>
      <c r="AR149" s="433">
        <f t="shared" si="97"/>
        <v>112</v>
      </c>
      <c r="AS149" s="433">
        <f t="shared" si="97"/>
        <v>112</v>
      </c>
      <c r="AT149" s="433">
        <f t="shared" si="97"/>
        <v>112</v>
      </c>
      <c r="AU149" s="433">
        <f t="shared" si="97"/>
        <v>112</v>
      </c>
      <c r="AV149" s="433">
        <f t="shared" si="97"/>
        <v>112</v>
      </c>
      <c r="AW149" s="433">
        <f t="shared" si="97"/>
        <v>112</v>
      </c>
      <c r="AX149" s="433">
        <f t="shared" si="97"/>
        <v>112</v>
      </c>
      <c r="AY149" s="433">
        <f t="shared" si="97"/>
        <v>136</v>
      </c>
      <c r="AZ149" s="433">
        <f t="shared" si="97"/>
        <v>136</v>
      </c>
      <c r="BA149" s="433">
        <f t="shared" si="97"/>
        <v>136</v>
      </c>
      <c r="BB149" s="433">
        <f t="shared" si="97"/>
        <v>136</v>
      </c>
      <c r="BC149" s="433">
        <f t="shared" si="97"/>
        <v>136</v>
      </c>
      <c r="BD149" s="433">
        <f t="shared" si="97"/>
        <v>136</v>
      </c>
      <c r="BE149" s="433">
        <f t="shared" si="97"/>
        <v>136</v>
      </c>
      <c r="BF149" s="433">
        <f t="shared" si="97"/>
        <v>136</v>
      </c>
      <c r="BG149" s="433">
        <f t="shared" si="97"/>
        <v>158</v>
      </c>
      <c r="BH149" s="433">
        <f t="shared" si="97"/>
        <v>158</v>
      </c>
      <c r="BI149" s="433">
        <f t="shared" si="97"/>
        <v>158</v>
      </c>
      <c r="BJ149" s="433">
        <f t="shared" si="97"/>
        <v>158</v>
      </c>
      <c r="BK149" s="433">
        <f t="shared" si="97"/>
        <v>158</v>
      </c>
      <c r="BL149" s="433">
        <f t="shared" si="97"/>
        <v>158</v>
      </c>
      <c r="BM149" s="433">
        <f t="shared" si="97"/>
        <v>169</v>
      </c>
      <c r="BN149" s="433">
        <f t="shared" si="97"/>
        <v>169</v>
      </c>
      <c r="BO149" s="433">
        <f t="shared" si="97"/>
        <v>169</v>
      </c>
      <c r="BP149" s="433">
        <f t="shared" ref="BP149:CF149" si="98">BN906</f>
        <v>169</v>
      </c>
      <c r="BQ149" s="433">
        <f t="shared" si="98"/>
        <v>169</v>
      </c>
      <c r="BR149" s="433">
        <f t="shared" si="98"/>
        <v>169</v>
      </c>
      <c r="BS149" s="433">
        <f t="shared" si="98"/>
        <v>189</v>
      </c>
      <c r="BT149" s="433">
        <f t="shared" si="98"/>
        <v>189</v>
      </c>
      <c r="BU149" s="433">
        <f t="shared" si="98"/>
        <v>199</v>
      </c>
      <c r="BV149" s="433">
        <f t="shared" si="98"/>
        <v>215</v>
      </c>
      <c r="BW149" s="433">
        <f t="shared" si="98"/>
        <v>226</v>
      </c>
      <c r="BX149" s="433">
        <f t="shared" si="98"/>
        <v>241</v>
      </c>
      <c r="BY149" s="433">
        <f t="shared" si="98"/>
        <v>250</v>
      </c>
      <c r="BZ149" s="433">
        <f t="shared" si="98"/>
        <v>256</v>
      </c>
      <c r="CA149" s="433">
        <f t="shared" si="98"/>
        <v>256</v>
      </c>
      <c r="CB149" s="433">
        <f t="shared" si="98"/>
        <v>285</v>
      </c>
      <c r="CC149" s="433">
        <f t="shared" si="98"/>
        <v>316</v>
      </c>
      <c r="CD149" s="433">
        <f t="shared" si="98"/>
        <v>328</v>
      </c>
      <c r="CE149" s="433">
        <f t="shared" si="98"/>
        <v>367</v>
      </c>
      <c r="CF149" s="433">
        <f t="shared" si="98"/>
        <v>391</v>
      </c>
      <c r="CG149" s="239" t="s">
        <v>762</v>
      </c>
      <c r="CH149" s="239" t="s">
        <v>762</v>
      </c>
      <c r="CI149" s="239" t="s">
        <v>762</v>
      </c>
      <c r="CJ149" s="239" t="s">
        <v>762</v>
      </c>
      <c r="CK149" s="239" t="s">
        <v>762</v>
      </c>
      <c r="CL149" s="239" t="s">
        <v>762</v>
      </c>
    </row>
    <row r="150" spans="1:90" s="434" customFormat="1">
      <c r="A150" s="239" t="s">
        <v>544</v>
      </c>
      <c r="B150" s="239" t="s">
        <v>626</v>
      </c>
      <c r="C150" s="433">
        <f t="shared" ref="C150:AD150" si="99">B908</f>
        <v>93</v>
      </c>
      <c r="D150" s="433">
        <f t="shared" si="99"/>
        <v>93</v>
      </c>
      <c r="E150" s="433">
        <f t="shared" si="99"/>
        <v>93</v>
      </c>
      <c r="F150" s="433">
        <f t="shared" si="99"/>
        <v>93</v>
      </c>
      <c r="G150" s="433">
        <f t="shared" si="99"/>
        <v>93</v>
      </c>
      <c r="H150" s="433">
        <f t="shared" si="99"/>
        <v>93</v>
      </c>
      <c r="I150" s="433">
        <f t="shared" si="99"/>
        <v>93</v>
      </c>
      <c r="J150" s="433">
        <f t="shared" si="99"/>
        <v>93</v>
      </c>
      <c r="K150" s="433">
        <f t="shared" si="99"/>
        <v>93</v>
      </c>
      <c r="L150" s="433">
        <f t="shared" si="99"/>
        <v>93</v>
      </c>
      <c r="M150" s="433">
        <f t="shared" si="99"/>
        <v>93</v>
      </c>
      <c r="N150" s="433">
        <f t="shared" si="99"/>
        <v>93</v>
      </c>
      <c r="O150" s="433">
        <f t="shared" si="99"/>
        <v>93</v>
      </c>
      <c r="P150" s="433">
        <f t="shared" si="99"/>
        <v>93</v>
      </c>
      <c r="Q150" s="433">
        <f t="shared" si="99"/>
        <v>93</v>
      </c>
      <c r="R150" s="433">
        <f t="shared" si="99"/>
        <v>93</v>
      </c>
      <c r="S150" s="433">
        <f t="shared" si="99"/>
        <v>93</v>
      </c>
      <c r="T150" s="433">
        <f t="shared" si="99"/>
        <v>93</v>
      </c>
      <c r="U150" s="433">
        <f t="shared" si="99"/>
        <v>93</v>
      </c>
      <c r="V150" s="433">
        <f t="shared" si="99"/>
        <v>93</v>
      </c>
      <c r="W150" s="433">
        <f t="shared" si="99"/>
        <v>93</v>
      </c>
      <c r="X150" s="433">
        <f t="shared" si="99"/>
        <v>93</v>
      </c>
      <c r="Y150" s="433">
        <f t="shared" si="99"/>
        <v>93</v>
      </c>
      <c r="Z150" s="433">
        <f t="shared" si="99"/>
        <v>93</v>
      </c>
      <c r="AA150" s="433">
        <f t="shared" si="99"/>
        <v>93</v>
      </c>
      <c r="AB150" s="433">
        <f t="shared" si="99"/>
        <v>93</v>
      </c>
      <c r="AC150" s="433">
        <f t="shared" si="99"/>
        <v>93</v>
      </c>
      <c r="AD150" s="433">
        <f t="shared" si="99"/>
        <v>93</v>
      </c>
      <c r="AE150" s="433">
        <f t="shared" si="96"/>
        <v>93</v>
      </c>
      <c r="AF150" s="433">
        <f t="shared" si="96"/>
        <v>117</v>
      </c>
      <c r="AG150" s="433">
        <f t="shared" si="96"/>
        <v>117</v>
      </c>
      <c r="AH150" s="433">
        <f t="shared" si="96"/>
        <v>117</v>
      </c>
      <c r="AI150" s="433">
        <f t="shared" si="96"/>
        <v>117</v>
      </c>
      <c r="AJ150" s="433">
        <f t="shared" si="96"/>
        <v>117</v>
      </c>
      <c r="AK150" s="433">
        <f t="shared" ref="AK150:BO150" si="100">AI907</f>
        <v>117</v>
      </c>
      <c r="AL150" s="433">
        <f t="shared" si="100"/>
        <v>117</v>
      </c>
      <c r="AM150" s="433">
        <f t="shared" si="100"/>
        <v>117</v>
      </c>
      <c r="AN150" s="433">
        <f t="shared" si="100"/>
        <v>117</v>
      </c>
      <c r="AO150" s="433">
        <f t="shared" si="100"/>
        <v>117</v>
      </c>
      <c r="AP150" s="433">
        <f t="shared" si="100"/>
        <v>117</v>
      </c>
      <c r="AQ150" s="433">
        <f t="shared" si="100"/>
        <v>117</v>
      </c>
      <c r="AR150" s="433">
        <f t="shared" si="100"/>
        <v>117</v>
      </c>
      <c r="AS150" s="433">
        <f t="shared" si="100"/>
        <v>117</v>
      </c>
      <c r="AT150" s="433">
        <f t="shared" si="100"/>
        <v>117</v>
      </c>
      <c r="AU150" s="433">
        <f t="shared" si="100"/>
        <v>117</v>
      </c>
      <c r="AV150" s="433">
        <f t="shared" si="100"/>
        <v>117</v>
      </c>
      <c r="AW150" s="433">
        <f t="shared" si="100"/>
        <v>117</v>
      </c>
      <c r="AX150" s="433">
        <f t="shared" si="100"/>
        <v>117</v>
      </c>
      <c r="AY150" s="433">
        <f t="shared" si="100"/>
        <v>140</v>
      </c>
      <c r="AZ150" s="433">
        <f t="shared" si="100"/>
        <v>140</v>
      </c>
      <c r="BA150" s="433">
        <f t="shared" si="100"/>
        <v>140</v>
      </c>
      <c r="BB150" s="433">
        <f t="shared" si="100"/>
        <v>140</v>
      </c>
      <c r="BC150" s="433">
        <f t="shared" si="100"/>
        <v>140</v>
      </c>
      <c r="BD150" s="433">
        <f t="shared" si="100"/>
        <v>140</v>
      </c>
      <c r="BE150" s="433">
        <f t="shared" si="100"/>
        <v>140</v>
      </c>
      <c r="BF150" s="433">
        <f t="shared" si="100"/>
        <v>140</v>
      </c>
      <c r="BG150" s="433">
        <f t="shared" si="100"/>
        <v>170</v>
      </c>
      <c r="BH150" s="433">
        <f t="shared" si="100"/>
        <v>170</v>
      </c>
      <c r="BI150" s="433">
        <f t="shared" si="100"/>
        <v>170</v>
      </c>
      <c r="BJ150" s="433">
        <f t="shared" si="100"/>
        <v>170</v>
      </c>
      <c r="BK150" s="433">
        <f t="shared" si="100"/>
        <v>170</v>
      </c>
      <c r="BL150" s="433">
        <f t="shared" si="100"/>
        <v>170</v>
      </c>
      <c r="BM150" s="433">
        <f t="shared" si="100"/>
        <v>181</v>
      </c>
      <c r="BN150" s="433">
        <f t="shared" si="100"/>
        <v>181</v>
      </c>
      <c r="BO150" s="433">
        <f t="shared" si="100"/>
        <v>181</v>
      </c>
      <c r="BP150" s="433">
        <f t="shared" ref="BP150:CF150" si="101">BN907</f>
        <v>181</v>
      </c>
      <c r="BQ150" s="433">
        <f t="shared" si="101"/>
        <v>181</v>
      </c>
      <c r="BR150" s="433">
        <f t="shared" si="101"/>
        <v>181</v>
      </c>
      <c r="BS150" s="433">
        <f t="shared" si="101"/>
        <v>203</v>
      </c>
      <c r="BT150" s="433">
        <f t="shared" si="101"/>
        <v>203</v>
      </c>
      <c r="BU150" s="433">
        <f t="shared" si="101"/>
        <v>211</v>
      </c>
      <c r="BV150" s="433">
        <f t="shared" si="101"/>
        <v>230</v>
      </c>
      <c r="BW150" s="433">
        <f t="shared" si="101"/>
        <v>245</v>
      </c>
      <c r="BX150" s="433">
        <f t="shared" si="101"/>
        <v>257</v>
      </c>
      <c r="BY150" s="433">
        <f t="shared" si="101"/>
        <v>268</v>
      </c>
      <c r="BZ150" s="433">
        <f t="shared" si="101"/>
        <v>274</v>
      </c>
      <c r="CA150" s="433">
        <f t="shared" si="101"/>
        <v>274</v>
      </c>
      <c r="CB150" s="433">
        <f t="shared" si="101"/>
        <v>306</v>
      </c>
      <c r="CC150" s="433">
        <f t="shared" si="101"/>
        <v>338</v>
      </c>
      <c r="CD150" s="433">
        <f t="shared" si="101"/>
        <v>350</v>
      </c>
      <c r="CE150" s="433">
        <f t="shared" si="101"/>
        <v>397</v>
      </c>
      <c r="CF150" s="433">
        <f t="shared" si="101"/>
        <v>421</v>
      </c>
      <c r="CG150" s="239" t="s">
        <v>762</v>
      </c>
      <c r="CH150" s="239" t="s">
        <v>762</v>
      </c>
      <c r="CI150" s="239" t="s">
        <v>762</v>
      </c>
      <c r="CJ150" s="239" t="s">
        <v>762</v>
      </c>
      <c r="CK150" s="239" t="s">
        <v>762</v>
      </c>
      <c r="CL150" s="239" t="s">
        <v>762</v>
      </c>
    </row>
    <row r="151" spans="1:90" s="434" customFormat="1">
      <c r="A151" s="239" t="s">
        <v>545</v>
      </c>
      <c r="B151" s="239" t="s">
        <v>626</v>
      </c>
      <c r="C151" s="433">
        <f t="shared" ref="C151:AD151" si="102">B909</f>
        <v>155</v>
      </c>
      <c r="D151" s="433">
        <f t="shared" si="102"/>
        <v>155</v>
      </c>
      <c r="E151" s="433">
        <f t="shared" si="102"/>
        <v>155</v>
      </c>
      <c r="F151" s="433">
        <f t="shared" si="102"/>
        <v>155</v>
      </c>
      <c r="G151" s="433">
        <f t="shared" si="102"/>
        <v>155</v>
      </c>
      <c r="H151" s="433">
        <f t="shared" si="102"/>
        <v>155</v>
      </c>
      <c r="I151" s="433">
        <f t="shared" si="102"/>
        <v>155</v>
      </c>
      <c r="J151" s="433">
        <f t="shared" si="102"/>
        <v>155</v>
      </c>
      <c r="K151" s="433">
        <f t="shared" si="102"/>
        <v>155</v>
      </c>
      <c r="L151" s="433">
        <f t="shared" si="102"/>
        <v>155</v>
      </c>
      <c r="M151" s="433">
        <f t="shared" si="102"/>
        <v>155</v>
      </c>
      <c r="N151" s="433">
        <f t="shared" si="102"/>
        <v>155</v>
      </c>
      <c r="O151" s="433">
        <f t="shared" si="102"/>
        <v>155</v>
      </c>
      <c r="P151" s="433">
        <f t="shared" si="102"/>
        <v>155</v>
      </c>
      <c r="Q151" s="433">
        <f t="shared" si="102"/>
        <v>155</v>
      </c>
      <c r="R151" s="433">
        <f t="shared" si="102"/>
        <v>155</v>
      </c>
      <c r="S151" s="433">
        <f t="shared" si="102"/>
        <v>155</v>
      </c>
      <c r="T151" s="433">
        <f t="shared" si="102"/>
        <v>155</v>
      </c>
      <c r="U151" s="433">
        <f t="shared" si="102"/>
        <v>155</v>
      </c>
      <c r="V151" s="433">
        <f t="shared" si="102"/>
        <v>155</v>
      </c>
      <c r="W151" s="433">
        <f t="shared" si="102"/>
        <v>155</v>
      </c>
      <c r="X151" s="433">
        <f t="shared" si="102"/>
        <v>155</v>
      </c>
      <c r="Y151" s="433">
        <f t="shared" si="102"/>
        <v>155</v>
      </c>
      <c r="Z151" s="433">
        <f t="shared" si="102"/>
        <v>155</v>
      </c>
      <c r="AA151" s="433">
        <f t="shared" si="102"/>
        <v>155</v>
      </c>
      <c r="AB151" s="433">
        <f t="shared" si="102"/>
        <v>155</v>
      </c>
      <c r="AC151" s="433">
        <f t="shared" si="102"/>
        <v>155</v>
      </c>
      <c r="AD151" s="433">
        <f t="shared" si="102"/>
        <v>155</v>
      </c>
      <c r="AE151" s="433">
        <f t="shared" si="96"/>
        <v>155</v>
      </c>
      <c r="AF151" s="433">
        <f t="shared" si="96"/>
        <v>200</v>
      </c>
      <c r="AG151" s="433">
        <f t="shared" si="96"/>
        <v>200</v>
      </c>
      <c r="AH151" s="433">
        <f t="shared" si="96"/>
        <v>200</v>
      </c>
      <c r="AI151" s="433">
        <f t="shared" si="96"/>
        <v>200</v>
      </c>
      <c r="AJ151" s="433">
        <f t="shared" si="96"/>
        <v>200</v>
      </c>
      <c r="AK151" s="433">
        <f t="shared" ref="AK151:BO151" si="103">AI908</f>
        <v>200</v>
      </c>
      <c r="AL151" s="433">
        <f t="shared" si="103"/>
        <v>200</v>
      </c>
      <c r="AM151" s="433">
        <f t="shared" si="103"/>
        <v>200</v>
      </c>
      <c r="AN151" s="433">
        <f t="shared" si="103"/>
        <v>200</v>
      </c>
      <c r="AO151" s="433">
        <f t="shared" si="103"/>
        <v>200</v>
      </c>
      <c r="AP151" s="433">
        <f t="shared" si="103"/>
        <v>200</v>
      </c>
      <c r="AQ151" s="433">
        <f t="shared" si="103"/>
        <v>200</v>
      </c>
      <c r="AR151" s="433">
        <f t="shared" si="103"/>
        <v>200</v>
      </c>
      <c r="AS151" s="433">
        <f t="shared" si="103"/>
        <v>200</v>
      </c>
      <c r="AT151" s="433">
        <f t="shared" si="103"/>
        <v>200</v>
      </c>
      <c r="AU151" s="433">
        <f t="shared" si="103"/>
        <v>200</v>
      </c>
      <c r="AV151" s="433">
        <f t="shared" si="103"/>
        <v>200</v>
      </c>
      <c r="AW151" s="433">
        <f t="shared" si="103"/>
        <v>200</v>
      </c>
      <c r="AX151" s="433">
        <f t="shared" si="103"/>
        <v>200</v>
      </c>
      <c r="AY151" s="433">
        <f t="shared" si="103"/>
        <v>253</v>
      </c>
      <c r="AZ151" s="433">
        <f t="shared" si="103"/>
        <v>253</v>
      </c>
      <c r="BA151" s="433">
        <f t="shared" si="103"/>
        <v>253</v>
      </c>
      <c r="BB151" s="433">
        <f t="shared" si="103"/>
        <v>253</v>
      </c>
      <c r="BC151" s="433">
        <f t="shared" si="103"/>
        <v>253</v>
      </c>
      <c r="BD151" s="433">
        <f t="shared" si="103"/>
        <v>253</v>
      </c>
      <c r="BE151" s="433">
        <f t="shared" si="103"/>
        <v>253</v>
      </c>
      <c r="BF151" s="433">
        <f t="shared" si="103"/>
        <v>253</v>
      </c>
      <c r="BG151" s="433">
        <f t="shared" si="103"/>
        <v>297</v>
      </c>
      <c r="BH151" s="433">
        <f t="shared" si="103"/>
        <v>297</v>
      </c>
      <c r="BI151" s="433">
        <f t="shared" si="103"/>
        <v>297</v>
      </c>
      <c r="BJ151" s="433">
        <f t="shared" si="103"/>
        <v>297</v>
      </c>
      <c r="BK151" s="433">
        <f t="shared" si="103"/>
        <v>297</v>
      </c>
      <c r="BL151" s="433">
        <f t="shared" si="103"/>
        <v>297</v>
      </c>
      <c r="BM151" s="433">
        <f t="shared" si="103"/>
        <v>329</v>
      </c>
      <c r="BN151" s="433">
        <f t="shared" si="103"/>
        <v>329</v>
      </c>
      <c r="BO151" s="433">
        <f t="shared" si="103"/>
        <v>329</v>
      </c>
      <c r="BP151" s="433">
        <f t="shared" ref="BP151:CF151" si="104">BN908</f>
        <v>329</v>
      </c>
      <c r="BQ151" s="433">
        <f t="shared" si="104"/>
        <v>329</v>
      </c>
      <c r="BR151" s="433">
        <f t="shared" si="104"/>
        <v>329</v>
      </c>
      <c r="BS151" s="433">
        <f t="shared" si="104"/>
        <v>362</v>
      </c>
      <c r="BT151" s="433">
        <f t="shared" si="104"/>
        <v>362</v>
      </c>
      <c r="BU151" s="433">
        <f t="shared" si="104"/>
        <v>390</v>
      </c>
      <c r="BV151" s="433">
        <f t="shared" si="104"/>
        <v>426</v>
      </c>
      <c r="BW151" s="433">
        <f t="shared" si="104"/>
        <v>459</v>
      </c>
      <c r="BX151" s="433">
        <f t="shared" si="104"/>
        <v>490</v>
      </c>
      <c r="BY151" s="433">
        <f t="shared" si="104"/>
        <v>511</v>
      </c>
      <c r="BZ151" s="433">
        <f t="shared" si="104"/>
        <v>532</v>
      </c>
      <c r="CA151" s="433">
        <f t="shared" si="104"/>
        <v>532</v>
      </c>
      <c r="CB151" s="433">
        <f t="shared" si="104"/>
        <v>630</v>
      </c>
      <c r="CC151" s="433">
        <f t="shared" si="104"/>
        <v>689</v>
      </c>
      <c r="CD151" s="433">
        <f t="shared" si="104"/>
        <v>708</v>
      </c>
      <c r="CE151" s="433">
        <f t="shared" si="104"/>
        <v>794</v>
      </c>
      <c r="CF151" s="433">
        <f t="shared" si="104"/>
        <v>846</v>
      </c>
      <c r="CG151" s="239" t="s">
        <v>762</v>
      </c>
      <c r="CH151" s="239" t="s">
        <v>762</v>
      </c>
      <c r="CI151" s="239" t="s">
        <v>762</v>
      </c>
      <c r="CJ151" s="239" t="s">
        <v>762</v>
      </c>
      <c r="CK151" s="239" t="s">
        <v>762</v>
      </c>
      <c r="CL151" s="239" t="s">
        <v>762</v>
      </c>
    </row>
    <row r="152" spans="1:90" s="434" customFormat="1">
      <c r="A152" s="239" t="s">
        <v>546</v>
      </c>
      <c r="B152" s="239" t="s">
        <v>626</v>
      </c>
      <c r="C152" s="433" t="s">
        <v>762</v>
      </c>
      <c r="D152" s="433" t="s">
        <v>762</v>
      </c>
      <c r="E152" s="433" t="s">
        <v>762</v>
      </c>
      <c r="F152" s="433" t="s">
        <v>762</v>
      </c>
      <c r="G152" s="433" t="s">
        <v>762</v>
      </c>
      <c r="H152" s="433" t="s">
        <v>762</v>
      </c>
      <c r="I152" s="433" t="s">
        <v>762</v>
      </c>
      <c r="J152" s="433" t="s">
        <v>762</v>
      </c>
      <c r="K152" s="433" t="s">
        <v>762</v>
      </c>
      <c r="L152" s="433" t="s">
        <v>762</v>
      </c>
      <c r="M152" s="433" t="s">
        <v>762</v>
      </c>
      <c r="N152" s="433" t="s">
        <v>762</v>
      </c>
      <c r="O152" s="433" t="s">
        <v>762</v>
      </c>
      <c r="P152" s="433" t="s">
        <v>762</v>
      </c>
      <c r="Q152" s="433" t="s">
        <v>762</v>
      </c>
      <c r="R152" s="433" t="s">
        <v>762</v>
      </c>
      <c r="S152" s="433" t="s">
        <v>762</v>
      </c>
      <c r="T152" s="433" t="s">
        <v>762</v>
      </c>
      <c r="U152" s="433" t="s">
        <v>762</v>
      </c>
      <c r="V152" s="433" t="s">
        <v>762</v>
      </c>
      <c r="W152" s="433" t="s">
        <v>762</v>
      </c>
      <c r="X152" s="433" t="s">
        <v>762</v>
      </c>
      <c r="Y152" s="433" t="s">
        <v>762</v>
      </c>
      <c r="Z152" s="433" t="s">
        <v>762</v>
      </c>
      <c r="AA152" s="433" t="s">
        <v>762</v>
      </c>
      <c r="AB152" s="433" t="s">
        <v>762</v>
      </c>
      <c r="AC152" s="433" t="s">
        <v>762</v>
      </c>
      <c r="AD152" s="433" t="s">
        <v>762</v>
      </c>
      <c r="AE152" s="433" t="s">
        <v>762</v>
      </c>
      <c r="AF152" s="433" t="s">
        <v>762</v>
      </c>
      <c r="AG152" s="433" t="s">
        <v>762</v>
      </c>
      <c r="AH152" s="433" t="s">
        <v>762</v>
      </c>
      <c r="AI152" s="433" t="s">
        <v>762</v>
      </c>
      <c r="AJ152" s="433" t="s">
        <v>762</v>
      </c>
      <c r="AK152" s="433" t="s">
        <v>762</v>
      </c>
      <c r="AL152" s="433" t="s">
        <v>762</v>
      </c>
      <c r="AM152" s="433" t="s">
        <v>762</v>
      </c>
      <c r="AN152" s="433" t="s">
        <v>762</v>
      </c>
      <c r="AO152" s="433" t="s">
        <v>762</v>
      </c>
      <c r="AP152" s="433" t="s">
        <v>762</v>
      </c>
      <c r="AQ152" s="433" t="s">
        <v>762</v>
      </c>
      <c r="AR152" s="433" t="s">
        <v>762</v>
      </c>
      <c r="AS152" s="433" t="s">
        <v>762</v>
      </c>
      <c r="AT152" s="433" t="s">
        <v>762</v>
      </c>
      <c r="AU152" s="433" t="s">
        <v>762</v>
      </c>
      <c r="AV152" s="433" t="s">
        <v>762</v>
      </c>
      <c r="AW152" s="433" t="s">
        <v>762</v>
      </c>
      <c r="AX152" s="433" t="s">
        <v>762</v>
      </c>
      <c r="AY152" s="433" t="s">
        <v>762</v>
      </c>
      <c r="AZ152" s="433" t="s">
        <v>762</v>
      </c>
      <c r="BA152" s="433" t="s">
        <v>762</v>
      </c>
      <c r="BB152" s="433" t="s">
        <v>762</v>
      </c>
      <c r="BC152" s="433" t="s">
        <v>762</v>
      </c>
      <c r="BD152" s="433" t="s">
        <v>762</v>
      </c>
      <c r="BE152" s="433" t="s">
        <v>762</v>
      </c>
      <c r="BF152" s="433" t="s">
        <v>762</v>
      </c>
      <c r="BG152" s="433" t="s">
        <v>762</v>
      </c>
      <c r="BH152" s="433" t="s">
        <v>762</v>
      </c>
      <c r="BI152" s="433" t="s">
        <v>762</v>
      </c>
      <c r="BJ152" s="433" t="s">
        <v>762</v>
      </c>
      <c r="BK152" s="433" t="s">
        <v>762</v>
      </c>
      <c r="BL152" s="433" t="s">
        <v>762</v>
      </c>
      <c r="BM152" s="433" t="s">
        <v>762</v>
      </c>
      <c r="BN152" s="433" t="s">
        <v>762</v>
      </c>
      <c r="BO152" s="433" t="s">
        <v>762</v>
      </c>
      <c r="BP152" s="433" t="s">
        <v>762</v>
      </c>
      <c r="BQ152" s="433" t="s">
        <v>762</v>
      </c>
      <c r="BR152" s="433" t="s">
        <v>762</v>
      </c>
      <c r="BS152" s="433" t="s">
        <v>762</v>
      </c>
      <c r="BT152" s="433" t="s">
        <v>762</v>
      </c>
      <c r="BU152" s="433" t="s">
        <v>762</v>
      </c>
      <c r="BV152" s="433" t="s">
        <v>762</v>
      </c>
      <c r="BW152" s="433" t="s">
        <v>762</v>
      </c>
      <c r="BX152" s="433" t="s">
        <v>762</v>
      </c>
      <c r="BY152" s="433" t="s">
        <v>762</v>
      </c>
      <c r="BZ152" s="433" t="s">
        <v>762</v>
      </c>
      <c r="CA152" s="433" t="s">
        <v>762</v>
      </c>
      <c r="CB152" s="433" t="s">
        <v>762</v>
      </c>
      <c r="CC152" s="433" t="s">
        <v>762</v>
      </c>
      <c r="CD152" s="433" t="s">
        <v>762</v>
      </c>
      <c r="CE152" s="433" t="s">
        <v>762</v>
      </c>
      <c r="CF152" s="433" t="s">
        <v>762</v>
      </c>
      <c r="CG152" s="239" t="s">
        <v>762</v>
      </c>
      <c r="CH152" s="239" t="s">
        <v>762</v>
      </c>
      <c r="CI152" s="239" t="s">
        <v>762</v>
      </c>
      <c r="CJ152" s="239" t="s">
        <v>762</v>
      </c>
      <c r="CK152" s="239" t="s">
        <v>762</v>
      </c>
      <c r="CL152" s="239" t="s">
        <v>762</v>
      </c>
    </row>
    <row r="153" spans="1:90" s="434" customFormat="1">
      <c r="A153" s="239" t="s">
        <v>547</v>
      </c>
      <c r="B153" s="239" t="s">
        <v>626</v>
      </c>
      <c r="C153" s="433" t="s">
        <v>762</v>
      </c>
      <c r="D153" s="433" t="s">
        <v>762</v>
      </c>
      <c r="E153" s="433" t="s">
        <v>762</v>
      </c>
      <c r="F153" s="433" t="s">
        <v>762</v>
      </c>
      <c r="G153" s="433" t="s">
        <v>762</v>
      </c>
      <c r="H153" s="433" t="s">
        <v>762</v>
      </c>
      <c r="I153" s="433" t="s">
        <v>762</v>
      </c>
      <c r="J153" s="433" t="s">
        <v>762</v>
      </c>
      <c r="K153" s="433" t="s">
        <v>762</v>
      </c>
      <c r="L153" s="433" t="s">
        <v>762</v>
      </c>
      <c r="M153" s="433" t="s">
        <v>762</v>
      </c>
      <c r="N153" s="433" t="s">
        <v>762</v>
      </c>
      <c r="O153" s="433" t="s">
        <v>762</v>
      </c>
      <c r="P153" s="433" t="s">
        <v>762</v>
      </c>
      <c r="Q153" s="433" t="s">
        <v>762</v>
      </c>
      <c r="R153" s="433" t="s">
        <v>762</v>
      </c>
      <c r="S153" s="433" t="s">
        <v>762</v>
      </c>
      <c r="T153" s="433" t="s">
        <v>762</v>
      </c>
      <c r="U153" s="433" t="s">
        <v>762</v>
      </c>
      <c r="V153" s="433" t="s">
        <v>762</v>
      </c>
      <c r="W153" s="433" t="s">
        <v>762</v>
      </c>
      <c r="X153" s="433" t="s">
        <v>762</v>
      </c>
      <c r="Y153" s="433" t="s">
        <v>762</v>
      </c>
      <c r="Z153" s="433" t="s">
        <v>762</v>
      </c>
      <c r="AA153" s="433" t="s">
        <v>762</v>
      </c>
      <c r="AB153" s="433" t="s">
        <v>762</v>
      </c>
      <c r="AC153" s="433" t="s">
        <v>762</v>
      </c>
      <c r="AD153" s="433" t="s">
        <v>762</v>
      </c>
      <c r="AE153" s="433" t="s">
        <v>762</v>
      </c>
      <c r="AF153" s="433" t="s">
        <v>762</v>
      </c>
      <c r="AG153" s="433" t="s">
        <v>762</v>
      </c>
      <c r="AH153" s="433" t="s">
        <v>762</v>
      </c>
      <c r="AI153" s="433" t="s">
        <v>762</v>
      </c>
      <c r="AJ153" s="433" t="s">
        <v>762</v>
      </c>
      <c r="AK153" s="433" t="s">
        <v>762</v>
      </c>
      <c r="AL153" s="433" t="s">
        <v>762</v>
      </c>
      <c r="AM153" s="433" t="s">
        <v>762</v>
      </c>
      <c r="AN153" s="433" t="s">
        <v>762</v>
      </c>
      <c r="AO153" s="433" t="s">
        <v>762</v>
      </c>
      <c r="AP153" s="433" t="s">
        <v>762</v>
      </c>
      <c r="AQ153" s="433" t="s">
        <v>762</v>
      </c>
      <c r="AR153" s="433" t="s">
        <v>762</v>
      </c>
      <c r="AS153" s="433" t="s">
        <v>762</v>
      </c>
      <c r="AT153" s="433" t="s">
        <v>762</v>
      </c>
      <c r="AU153" s="433" t="s">
        <v>762</v>
      </c>
      <c r="AV153" s="433" t="s">
        <v>762</v>
      </c>
      <c r="AW153" s="433" t="s">
        <v>762</v>
      </c>
      <c r="AX153" s="433" t="s">
        <v>762</v>
      </c>
      <c r="AY153" s="433" t="s">
        <v>762</v>
      </c>
      <c r="AZ153" s="433" t="s">
        <v>762</v>
      </c>
      <c r="BA153" s="433" t="s">
        <v>762</v>
      </c>
      <c r="BB153" s="433" t="s">
        <v>762</v>
      </c>
      <c r="BC153" s="433" t="s">
        <v>762</v>
      </c>
      <c r="BD153" s="433" t="s">
        <v>762</v>
      </c>
      <c r="BE153" s="433" t="s">
        <v>762</v>
      </c>
      <c r="BF153" s="433" t="s">
        <v>762</v>
      </c>
      <c r="BG153" s="433" t="s">
        <v>762</v>
      </c>
      <c r="BH153" s="433" t="s">
        <v>762</v>
      </c>
      <c r="BI153" s="433" t="s">
        <v>762</v>
      </c>
      <c r="BJ153" s="433" t="s">
        <v>762</v>
      </c>
      <c r="BK153" s="433" t="s">
        <v>762</v>
      </c>
      <c r="BL153" s="433" t="s">
        <v>762</v>
      </c>
      <c r="BM153" s="433" t="s">
        <v>762</v>
      </c>
      <c r="BN153" s="433" t="s">
        <v>762</v>
      </c>
      <c r="BO153" s="433" t="s">
        <v>762</v>
      </c>
      <c r="BP153" s="433" t="s">
        <v>762</v>
      </c>
      <c r="BQ153" s="433" t="s">
        <v>762</v>
      </c>
      <c r="BR153" s="433" t="s">
        <v>762</v>
      </c>
      <c r="BS153" s="433" t="s">
        <v>762</v>
      </c>
      <c r="BT153" s="433" t="s">
        <v>762</v>
      </c>
      <c r="BU153" s="433" t="s">
        <v>762</v>
      </c>
      <c r="BV153" s="433" t="s">
        <v>762</v>
      </c>
      <c r="BW153" s="433" t="s">
        <v>762</v>
      </c>
      <c r="BX153" s="433" t="s">
        <v>762</v>
      </c>
      <c r="BY153" s="433" t="s">
        <v>762</v>
      </c>
      <c r="BZ153" s="433" t="s">
        <v>762</v>
      </c>
      <c r="CA153" s="433" t="s">
        <v>762</v>
      </c>
      <c r="CB153" s="433" t="s">
        <v>762</v>
      </c>
      <c r="CC153" s="433" t="s">
        <v>762</v>
      </c>
      <c r="CD153" s="433" t="s">
        <v>762</v>
      </c>
      <c r="CE153" s="433" t="s">
        <v>762</v>
      </c>
      <c r="CF153" s="433" t="s">
        <v>762</v>
      </c>
      <c r="CG153" s="239" t="s">
        <v>762</v>
      </c>
      <c r="CH153" s="239" t="s">
        <v>762</v>
      </c>
      <c r="CI153" s="239" t="s">
        <v>762</v>
      </c>
      <c r="CJ153" s="239" t="s">
        <v>762</v>
      </c>
      <c r="CK153" s="239" t="s">
        <v>762</v>
      </c>
      <c r="CL153" s="239" t="s">
        <v>762</v>
      </c>
    </row>
    <row r="154" spans="1:90" s="434" customFormat="1">
      <c r="A154" s="239" t="s">
        <v>548</v>
      </c>
      <c r="B154" s="239" t="s">
        <v>626</v>
      </c>
      <c r="C154" s="433" t="s">
        <v>762</v>
      </c>
      <c r="D154" s="433" t="s">
        <v>762</v>
      </c>
      <c r="E154" s="433" t="s">
        <v>762</v>
      </c>
      <c r="F154" s="433" t="s">
        <v>762</v>
      </c>
      <c r="G154" s="433" t="s">
        <v>762</v>
      </c>
      <c r="H154" s="433" t="s">
        <v>762</v>
      </c>
      <c r="I154" s="433" t="s">
        <v>762</v>
      </c>
      <c r="J154" s="433" t="s">
        <v>762</v>
      </c>
      <c r="K154" s="433" t="s">
        <v>762</v>
      </c>
      <c r="L154" s="433" t="s">
        <v>762</v>
      </c>
      <c r="M154" s="433" t="s">
        <v>762</v>
      </c>
      <c r="N154" s="433" t="s">
        <v>762</v>
      </c>
      <c r="O154" s="433" t="s">
        <v>762</v>
      </c>
      <c r="P154" s="433" t="s">
        <v>762</v>
      </c>
      <c r="Q154" s="433" t="s">
        <v>762</v>
      </c>
      <c r="R154" s="433" t="s">
        <v>762</v>
      </c>
      <c r="S154" s="433" t="s">
        <v>762</v>
      </c>
      <c r="T154" s="433" t="s">
        <v>762</v>
      </c>
      <c r="U154" s="433" t="s">
        <v>762</v>
      </c>
      <c r="V154" s="433" t="s">
        <v>762</v>
      </c>
      <c r="W154" s="433" t="s">
        <v>762</v>
      </c>
      <c r="X154" s="433" t="s">
        <v>762</v>
      </c>
      <c r="Y154" s="433" t="s">
        <v>762</v>
      </c>
      <c r="Z154" s="433" t="s">
        <v>762</v>
      </c>
      <c r="AA154" s="433" t="s">
        <v>762</v>
      </c>
      <c r="AB154" s="433" t="s">
        <v>762</v>
      </c>
      <c r="AC154" s="433" t="s">
        <v>762</v>
      </c>
      <c r="AD154" s="433" t="s">
        <v>762</v>
      </c>
      <c r="AE154" s="433" t="s">
        <v>762</v>
      </c>
      <c r="AF154" s="433" t="s">
        <v>762</v>
      </c>
      <c r="AG154" s="433" t="s">
        <v>762</v>
      </c>
      <c r="AH154" s="433" t="s">
        <v>762</v>
      </c>
      <c r="AI154" s="433" t="s">
        <v>762</v>
      </c>
      <c r="AJ154" s="433" t="s">
        <v>762</v>
      </c>
      <c r="AK154" s="433" t="s">
        <v>762</v>
      </c>
      <c r="AL154" s="433" t="s">
        <v>762</v>
      </c>
      <c r="AM154" s="433" t="s">
        <v>762</v>
      </c>
      <c r="AN154" s="433" t="s">
        <v>762</v>
      </c>
      <c r="AO154" s="433" t="s">
        <v>762</v>
      </c>
      <c r="AP154" s="433" t="s">
        <v>762</v>
      </c>
      <c r="AQ154" s="433" t="s">
        <v>762</v>
      </c>
      <c r="AR154" s="433" t="s">
        <v>762</v>
      </c>
      <c r="AS154" s="433" t="s">
        <v>762</v>
      </c>
      <c r="AT154" s="433" t="s">
        <v>762</v>
      </c>
      <c r="AU154" s="433" t="s">
        <v>762</v>
      </c>
      <c r="AV154" s="433" t="s">
        <v>762</v>
      </c>
      <c r="AW154" s="433" t="s">
        <v>762</v>
      </c>
      <c r="AX154" s="433" t="s">
        <v>762</v>
      </c>
      <c r="AY154" s="433" t="s">
        <v>762</v>
      </c>
      <c r="AZ154" s="433" t="s">
        <v>762</v>
      </c>
      <c r="BA154" s="433" t="s">
        <v>762</v>
      </c>
      <c r="BB154" s="433" t="s">
        <v>762</v>
      </c>
      <c r="BC154" s="433" t="s">
        <v>762</v>
      </c>
      <c r="BD154" s="433" t="s">
        <v>762</v>
      </c>
      <c r="BE154" s="433" t="s">
        <v>762</v>
      </c>
      <c r="BF154" s="433" t="s">
        <v>762</v>
      </c>
      <c r="BG154" s="433" t="s">
        <v>762</v>
      </c>
      <c r="BH154" s="433" t="s">
        <v>762</v>
      </c>
      <c r="BI154" s="433" t="s">
        <v>762</v>
      </c>
      <c r="BJ154" s="433" t="s">
        <v>762</v>
      </c>
      <c r="BK154" s="433" t="s">
        <v>762</v>
      </c>
      <c r="BL154" s="433" t="s">
        <v>762</v>
      </c>
      <c r="BM154" s="433" t="s">
        <v>762</v>
      </c>
      <c r="BN154" s="433" t="s">
        <v>762</v>
      </c>
      <c r="BO154" s="433" t="s">
        <v>762</v>
      </c>
      <c r="BP154" s="433" t="s">
        <v>762</v>
      </c>
      <c r="BQ154" s="433" t="s">
        <v>762</v>
      </c>
      <c r="BR154" s="433" t="s">
        <v>762</v>
      </c>
      <c r="BS154" s="433" t="s">
        <v>762</v>
      </c>
      <c r="BT154" s="433" t="s">
        <v>762</v>
      </c>
      <c r="BU154" s="433" t="s">
        <v>762</v>
      </c>
      <c r="BV154" s="433" t="s">
        <v>762</v>
      </c>
      <c r="BW154" s="433" t="s">
        <v>762</v>
      </c>
      <c r="BX154" s="433" t="s">
        <v>762</v>
      </c>
      <c r="BY154" s="433" t="s">
        <v>762</v>
      </c>
      <c r="BZ154" s="433" t="s">
        <v>762</v>
      </c>
      <c r="CA154" s="433" t="s">
        <v>762</v>
      </c>
      <c r="CB154" s="433" t="s">
        <v>762</v>
      </c>
      <c r="CC154" s="433" t="s">
        <v>762</v>
      </c>
      <c r="CD154" s="433" t="s">
        <v>762</v>
      </c>
      <c r="CE154" s="433" t="s">
        <v>762</v>
      </c>
      <c r="CF154" s="433" t="s">
        <v>762</v>
      </c>
      <c r="CG154" s="239" t="s">
        <v>762</v>
      </c>
      <c r="CH154" s="239" t="s">
        <v>762</v>
      </c>
      <c r="CI154" s="239" t="s">
        <v>762</v>
      </c>
      <c r="CJ154" s="239" t="s">
        <v>762</v>
      </c>
      <c r="CK154" s="239" t="s">
        <v>762</v>
      </c>
      <c r="CL154" s="239" t="s">
        <v>762</v>
      </c>
    </row>
    <row r="155" spans="1:90" s="434" customFormat="1">
      <c r="A155" s="239" t="s">
        <v>549</v>
      </c>
      <c r="B155" s="239" t="s">
        <v>626</v>
      </c>
      <c r="C155" s="433">
        <f t="shared" ref="C155:AD155" si="105">B910</f>
        <v>293</v>
      </c>
      <c r="D155" s="433">
        <f t="shared" si="105"/>
        <v>293</v>
      </c>
      <c r="E155" s="433">
        <f t="shared" si="105"/>
        <v>293</v>
      </c>
      <c r="F155" s="433">
        <f t="shared" si="105"/>
        <v>293</v>
      </c>
      <c r="G155" s="433">
        <f t="shared" si="105"/>
        <v>293</v>
      </c>
      <c r="H155" s="433">
        <f t="shared" si="105"/>
        <v>293</v>
      </c>
      <c r="I155" s="433">
        <f t="shared" si="105"/>
        <v>293</v>
      </c>
      <c r="J155" s="433">
        <f t="shared" si="105"/>
        <v>293</v>
      </c>
      <c r="K155" s="433">
        <f t="shared" si="105"/>
        <v>293</v>
      </c>
      <c r="L155" s="433">
        <f t="shared" si="105"/>
        <v>293</v>
      </c>
      <c r="M155" s="433">
        <f t="shared" si="105"/>
        <v>293</v>
      </c>
      <c r="N155" s="433">
        <f t="shared" si="105"/>
        <v>293</v>
      </c>
      <c r="O155" s="433">
        <f t="shared" si="105"/>
        <v>293</v>
      </c>
      <c r="P155" s="433">
        <f t="shared" si="105"/>
        <v>293</v>
      </c>
      <c r="Q155" s="433">
        <f t="shared" si="105"/>
        <v>293</v>
      </c>
      <c r="R155" s="433">
        <f t="shared" si="105"/>
        <v>293</v>
      </c>
      <c r="S155" s="433">
        <f t="shared" si="105"/>
        <v>293</v>
      </c>
      <c r="T155" s="433">
        <f t="shared" si="105"/>
        <v>293</v>
      </c>
      <c r="U155" s="433">
        <f t="shared" si="105"/>
        <v>293</v>
      </c>
      <c r="V155" s="433">
        <f t="shared" si="105"/>
        <v>293</v>
      </c>
      <c r="W155" s="433">
        <f t="shared" si="105"/>
        <v>293</v>
      </c>
      <c r="X155" s="433">
        <f t="shared" si="105"/>
        <v>293</v>
      </c>
      <c r="Y155" s="433">
        <f t="shared" si="105"/>
        <v>293</v>
      </c>
      <c r="Z155" s="433">
        <f t="shared" si="105"/>
        <v>293</v>
      </c>
      <c r="AA155" s="433">
        <f t="shared" si="105"/>
        <v>293</v>
      </c>
      <c r="AB155" s="433">
        <f t="shared" si="105"/>
        <v>293</v>
      </c>
      <c r="AC155" s="433">
        <f t="shared" si="105"/>
        <v>293</v>
      </c>
      <c r="AD155" s="433">
        <f t="shared" si="105"/>
        <v>293</v>
      </c>
      <c r="AE155" s="433">
        <f t="shared" ref="AE155:AJ155" si="106">AC910</f>
        <v>293</v>
      </c>
      <c r="AF155" s="433">
        <f t="shared" si="106"/>
        <v>329</v>
      </c>
      <c r="AG155" s="433">
        <f t="shared" si="106"/>
        <v>329</v>
      </c>
      <c r="AH155" s="433">
        <f t="shared" si="106"/>
        <v>329</v>
      </c>
      <c r="AI155" s="433">
        <f t="shared" si="106"/>
        <v>329</v>
      </c>
      <c r="AJ155" s="433">
        <f t="shared" si="106"/>
        <v>329</v>
      </c>
      <c r="AK155" s="433">
        <f t="shared" ref="AK155:BO155" si="107">AI909</f>
        <v>329</v>
      </c>
      <c r="AL155" s="433">
        <f t="shared" si="107"/>
        <v>329</v>
      </c>
      <c r="AM155" s="433">
        <f t="shared" si="107"/>
        <v>329</v>
      </c>
      <c r="AN155" s="433">
        <f t="shared" si="107"/>
        <v>329</v>
      </c>
      <c r="AO155" s="433">
        <f t="shared" si="107"/>
        <v>329</v>
      </c>
      <c r="AP155" s="433">
        <f t="shared" si="107"/>
        <v>329</v>
      </c>
      <c r="AQ155" s="433">
        <f t="shared" si="107"/>
        <v>329</v>
      </c>
      <c r="AR155" s="433">
        <f t="shared" si="107"/>
        <v>329</v>
      </c>
      <c r="AS155" s="433">
        <f t="shared" si="107"/>
        <v>329</v>
      </c>
      <c r="AT155" s="433">
        <f t="shared" si="107"/>
        <v>329</v>
      </c>
      <c r="AU155" s="433">
        <f t="shared" si="107"/>
        <v>329</v>
      </c>
      <c r="AV155" s="433">
        <f t="shared" si="107"/>
        <v>329</v>
      </c>
      <c r="AW155" s="433">
        <f t="shared" si="107"/>
        <v>329</v>
      </c>
      <c r="AX155" s="433">
        <f t="shared" si="107"/>
        <v>329</v>
      </c>
      <c r="AY155" s="433">
        <f t="shared" si="107"/>
        <v>378</v>
      </c>
      <c r="AZ155" s="433">
        <f t="shared" si="107"/>
        <v>378</v>
      </c>
      <c r="BA155" s="433">
        <f t="shared" si="107"/>
        <v>378</v>
      </c>
      <c r="BB155" s="433">
        <f t="shared" si="107"/>
        <v>378</v>
      </c>
      <c r="BC155" s="433">
        <f t="shared" si="107"/>
        <v>378</v>
      </c>
      <c r="BD155" s="433">
        <f t="shared" si="107"/>
        <v>378</v>
      </c>
      <c r="BE155" s="433">
        <f t="shared" si="107"/>
        <v>378</v>
      </c>
      <c r="BF155" s="433">
        <f t="shared" si="107"/>
        <v>378</v>
      </c>
      <c r="BG155" s="433">
        <f t="shared" si="107"/>
        <v>526</v>
      </c>
      <c r="BH155" s="433">
        <f t="shared" si="107"/>
        <v>526</v>
      </c>
      <c r="BI155" s="433">
        <f t="shared" si="107"/>
        <v>526</v>
      </c>
      <c r="BJ155" s="433">
        <f t="shared" si="107"/>
        <v>526</v>
      </c>
      <c r="BK155" s="433">
        <f t="shared" si="107"/>
        <v>526</v>
      </c>
      <c r="BL155" s="433">
        <f t="shared" si="107"/>
        <v>526</v>
      </c>
      <c r="BM155" s="433">
        <f t="shared" si="107"/>
        <v>624</v>
      </c>
      <c r="BN155" s="433">
        <f t="shared" si="107"/>
        <v>624</v>
      </c>
      <c r="BO155" s="433">
        <f t="shared" si="107"/>
        <v>624</v>
      </c>
      <c r="BP155" s="433">
        <f t="shared" ref="BP155:CF155" si="108">BN909</f>
        <v>624</v>
      </c>
      <c r="BQ155" s="433">
        <f t="shared" si="108"/>
        <v>624</v>
      </c>
      <c r="BR155" s="433">
        <f t="shared" si="108"/>
        <v>624</v>
      </c>
      <c r="BS155" s="433">
        <f t="shared" si="108"/>
        <v>683</v>
      </c>
      <c r="BT155" s="433">
        <f t="shared" si="108"/>
        <v>683</v>
      </c>
      <c r="BU155" s="433">
        <f t="shared" si="108"/>
        <v>735</v>
      </c>
      <c r="BV155" s="433">
        <f t="shared" si="108"/>
        <v>791</v>
      </c>
      <c r="BW155" s="433">
        <f t="shared" si="108"/>
        <v>839</v>
      </c>
      <c r="BX155" s="433">
        <f t="shared" si="108"/>
        <v>889</v>
      </c>
      <c r="BY155" s="433">
        <f t="shared" si="108"/>
        <v>925</v>
      </c>
      <c r="BZ155" s="433">
        <f t="shared" si="108"/>
        <v>954</v>
      </c>
      <c r="CA155" s="433">
        <f t="shared" si="108"/>
        <v>954</v>
      </c>
      <c r="CB155" s="433">
        <f t="shared" si="108"/>
        <v>1057</v>
      </c>
      <c r="CC155" s="433">
        <f t="shared" si="108"/>
        <v>1174</v>
      </c>
      <c r="CD155" s="433">
        <f t="shared" si="108"/>
        <v>1212</v>
      </c>
      <c r="CE155" s="433">
        <f t="shared" si="108"/>
        <v>1371</v>
      </c>
      <c r="CF155" s="433">
        <f t="shared" si="108"/>
        <v>1453</v>
      </c>
      <c r="CG155" s="239" t="s">
        <v>762</v>
      </c>
      <c r="CH155" s="239" t="s">
        <v>762</v>
      </c>
      <c r="CI155" s="239" t="s">
        <v>762</v>
      </c>
      <c r="CJ155" s="239" t="s">
        <v>762</v>
      </c>
      <c r="CK155" s="239" t="s">
        <v>762</v>
      </c>
      <c r="CL155" s="239" t="s">
        <v>762</v>
      </c>
    </row>
    <row r="156" spans="1:90" s="434" customFormat="1">
      <c r="A156" s="239" t="s">
        <v>550</v>
      </c>
      <c r="B156" s="239" t="s">
        <v>626</v>
      </c>
      <c r="C156" s="433" t="s">
        <v>762</v>
      </c>
      <c r="D156" s="433" t="s">
        <v>762</v>
      </c>
      <c r="E156" s="433" t="s">
        <v>762</v>
      </c>
      <c r="F156" s="433" t="s">
        <v>762</v>
      </c>
      <c r="G156" s="433" t="s">
        <v>762</v>
      </c>
      <c r="H156" s="433" t="s">
        <v>762</v>
      </c>
      <c r="I156" s="433" t="s">
        <v>762</v>
      </c>
      <c r="J156" s="433" t="s">
        <v>762</v>
      </c>
      <c r="K156" s="433" t="s">
        <v>762</v>
      </c>
      <c r="L156" s="433" t="s">
        <v>762</v>
      </c>
      <c r="M156" s="433" t="s">
        <v>762</v>
      </c>
      <c r="N156" s="433" t="s">
        <v>762</v>
      </c>
      <c r="O156" s="433" t="s">
        <v>762</v>
      </c>
      <c r="P156" s="433" t="s">
        <v>762</v>
      </c>
      <c r="Q156" s="433" t="s">
        <v>762</v>
      </c>
      <c r="R156" s="433" t="s">
        <v>762</v>
      </c>
      <c r="S156" s="433" t="s">
        <v>762</v>
      </c>
      <c r="T156" s="433" t="s">
        <v>762</v>
      </c>
      <c r="U156" s="433" t="s">
        <v>762</v>
      </c>
      <c r="V156" s="433" t="s">
        <v>762</v>
      </c>
      <c r="W156" s="433" t="s">
        <v>762</v>
      </c>
      <c r="X156" s="433" t="s">
        <v>762</v>
      </c>
      <c r="Y156" s="433" t="s">
        <v>762</v>
      </c>
      <c r="Z156" s="433" t="s">
        <v>762</v>
      </c>
      <c r="AA156" s="433" t="s">
        <v>762</v>
      </c>
      <c r="AB156" s="433" t="s">
        <v>762</v>
      </c>
      <c r="AC156" s="433" t="s">
        <v>762</v>
      </c>
      <c r="AD156" s="433" t="s">
        <v>762</v>
      </c>
      <c r="AE156" s="433" t="s">
        <v>762</v>
      </c>
      <c r="AF156" s="433" t="s">
        <v>762</v>
      </c>
      <c r="AG156" s="433" t="s">
        <v>762</v>
      </c>
      <c r="AH156" s="433" t="s">
        <v>762</v>
      </c>
      <c r="AI156" s="433" t="s">
        <v>762</v>
      </c>
      <c r="AJ156" s="433" t="s">
        <v>762</v>
      </c>
      <c r="AK156" s="433" t="s">
        <v>762</v>
      </c>
      <c r="AL156" s="433" t="s">
        <v>762</v>
      </c>
      <c r="AM156" s="433" t="s">
        <v>762</v>
      </c>
      <c r="AN156" s="433" t="s">
        <v>762</v>
      </c>
      <c r="AO156" s="433" t="s">
        <v>762</v>
      </c>
      <c r="AP156" s="433" t="s">
        <v>762</v>
      </c>
      <c r="AQ156" s="433" t="s">
        <v>762</v>
      </c>
      <c r="AR156" s="433" t="s">
        <v>762</v>
      </c>
      <c r="AS156" s="433" t="s">
        <v>762</v>
      </c>
      <c r="AT156" s="433" t="s">
        <v>762</v>
      </c>
      <c r="AU156" s="433" t="s">
        <v>762</v>
      </c>
      <c r="AV156" s="433" t="s">
        <v>762</v>
      </c>
      <c r="AW156" s="433" t="s">
        <v>762</v>
      </c>
      <c r="AX156" s="433" t="s">
        <v>762</v>
      </c>
      <c r="AY156" s="433" t="s">
        <v>762</v>
      </c>
      <c r="AZ156" s="433" t="s">
        <v>762</v>
      </c>
      <c r="BA156" s="433" t="s">
        <v>762</v>
      </c>
      <c r="BB156" s="433" t="s">
        <v>762</v>
      </c>
      <c r="BC156" s="433" t="s">
        <v>762</v>
      </c>
      <c r="BD156" s="433" t="s">
        <v>762</v>
      </c>
      <c r="BE156" s="433" t="s">
        <v>762</v>
      </c>
      <c r="BF156" s="433" t="s">
        <v>762</v>
      </c>
      <c r="BG156" s="433" t="s">
        <v>762</v>
      </c>
      <c r="BH156" s="433" t="s">
        <v>762</v>
      </c>
      <c r="BI156" s="433" t="s">
        <v>762</v>
      </c>
      <c r="BJ156" s="433" t="s">
        <v>762</v>
      </c>
      <c r="BK156" s="433" t="s">
        <v>762</v>
      </c>
      <c r="BL156" s="433" t="s">
        <v>762</v>
      </c>
      <c r="BM156" s="433" t="s">
        <v>762</v>
      </c>
      <c r="BN156" s="433" t="s">
        <v>762</v>
      </c>
      <c r="BO156" s="433" t="s">
        <v>762</v>
      </c>
      <c r="BP156" s="433" t="s">
        <v>762</v>
      </c>
      <c r="BQ156" s="433" t="s">
        <v>762</v>
      </c>
      <c r="BR156" s="433" t="s">
        <v>762</v>
      </c>
      <c r="BS156" s="433" t="s">
        <v>762</v>
      </c>
      <c r="BT156" s="433" t="s">
        <v>762</v>
      </c>
      <c r="BU156" s="433" t="s">
        <v>762</v>
      </c>
      <c r="BV156" s="433" t="s">
        <v>762</v>
      </c>
      <c r="BW156" s="433" t="s">
        <v>762</v>
      </c>
      <c r="BX156" s="433" t="s">
        <v>762</v>
      </c>
      <c r="BY156" s="433" t="s">
        <v>762</v>
      </c>
      <c r="BZ156" s="433" t="s">
        <v>762</v>
      </c>
      <c r="CA156" s="433" t="s">
        <v>762</v>
      </c>
      <c r="CB156" s="433" t="s">
        <v>762</v>
      </c>
      <c r="CC156" s="433" t="s">
        <v>762</v>
      </c>
      <c r="CD156" s="433" t="s">
        <v>762</v>
      </c>
      <c r="CE156" s="433" t="s">
        <v>762</v>
      </c>
      <c r="CF156" s="433" t="s">
        <v>762</v>
      </c>
      <c r="CG156" s="239" t="s">
        <v>762</v>
      </c>
      <c r="CH156" s="239" t="s">
        <v>762</v>
      </c>
      <c r="CI156" s="239" t="s">
        <v>762</v>
      </c>
      <c r="CJ156" s="239" t="s">
        <v>762</v>
      </c>
      <c r="CK156" s="239" t="s">
        <v>762</v>
      </c>
      <c r="CL156" s="239" t="s">
        <v>762</v>
      </c>
    </row>
    <row r="157" spans="1:90" s="434" customFormat="1">
      <c r="A157" s="239" t="s">
        <v>551</v>
      </c>
      <c r="B157" s="239" t="s">
        <v>626</v>
      </c>
      <c r="C157" s="433" t="s">
        <v>762</v>
      </c>
      <c r="D157" s="433" t="s">
        <v>762</v>
      </c>
      <c r="E157" s="433" t="s">
        <v>762</v>
      </c>
      <c r="F157" s="433" t="s">
        <v>762</v>
      </c>
      <c r="G157" s="433" t="s">
        <v>762</v>
      </c>
      <c r="H157" s="433" t="s">
        <v>762</v>
      </c>
      <c r="I157" s="433" t="s">
        <v>762</v>
      </c>
      <c r="J157" s="433" t="s">
        <v>762</v>
      </c>
      <c r="K157" s="433" t="s">
        <v>762</v>
      </c>
      <c r="L157" s="433" t="s">
        <v>762</v>
      </c>
      <c r="M157" s="433" t="s">
        <v>762</v>
      </c>
      <c r="N157" s="433" t="s">
        <v>762</v>
      </c>
      <c r="O157" s="433" t="s">
        <v>762</v>
      </c>
      <c r="P157" s="433" t="s">
        <v>762</v>
      </c>
      <c r="Q157" s="433" t="s">
        <v>762</v>
      </c>
      <c r="R157" s="433" t="s">
        <v>762</v>
      </c>
      <c r="S157" s="433" t="s">
        <v>762</v>
      </c>
      <c r="T157" s="433" t="s">
        <v>762</v>
      </c>
      <c r="U157" s="433" t="s">
        <v>762</v>
      </c>
      <c r="V157" s="433" t="s">
        <v>762</v>
      </c>
      <c r="W157" s="433" t="s">
        <v>762</v>
      </c>
      <c r="X157" s="433" t="s">
        <v>762</v>
      </c>
      <c r="Y157" s="433" t="s">
        <v>762</v>
      </c>
      <c r="Z157" s="433" t="s">
        <v>762</v>
      </c>
      <c r="AA157" s="433" t="s">
        <v>762</v>
      </c>
      <c r="AB157" s="433" t="s">
        <v>762</v>
      </c>
      <c r="AC157" s="433" t="s">
        <v>762</v>
      </c>
      <c r="AD157" s="433" t="s">
        <v>762</v>
      </c>
      <c r="AE157" s="433" t="s">
        <v>762</v>
      </c>
      <c r="AF157" s="433" t="s">
        <v>762</v>
      </c>
      <c r="AG157" s="433" t="s">
        <v>762</v>
      </c>
      <c r="AH157" s="433" t="s">
        <v>762</v>
      </c>
      <c r="AI157" s="433" t="s">
        <v>762</v>
      </c>
      <c r="AJ157" s="433" t="s">
        <v>762</v>
      </c>
      <c r="AK157" s="433" t="s">
        <v>762</v>
      </c>
      <c r="AL157" s="433" t="s">
        <v>762</v>
      </c>
      <c r="AM157" s="433" t="s">
        <v>762</v>
      </c>
      <c r="AN157" s="433" t="s">
        <v>762</v>
      </c>
      <c r="AO157" s="433" t="s">
        <v>762</v>
      </c>
      <c r="AP157" s="433" t="s">
        <v>762</v>
      </c>
      <c r="AQ157" s="433" t="s">
        <v>762</v>
      </c>
      <c r="AR157" s="433" t="s">
        <v>762</v>
      </c>
      <c r="AS157" s="433" t="s">
        <v>762</v>
      </c>
      <c r="AT157" s="433" t="s">
        <v>762</v>
      </c>
      <c r="AU157" s="433" t="s">
        <v>762</v>
      </c>
      <c r="AV157" s="433" t="s">
        <v>762</v>
      </c>
      <c r="AW157" s="433" t="s">
        <v>762</v>
      </c>
      <c r="AX157" s="433" t="s">
        <v>762</v>
      </c>
      <c r="AY157" s="433" t="s">
        <v>762</v>
      </c>
      <c r="AZ157" s="433" t="s">
        <v>762</v>
      </c>
      <c r="BA157" s="433" t="s">
        <v>762</v>
      </c>
      <c r="BB157" s="433" t="s">
        <v>762</v>
      </c>
      <c r="BC157" s="433" t="s">
        <v>762</v>
      </c>
      <c r="BD157" s="433" t="s">
        <v>762</v>
      </c>
      <c r="BE157" s="433" t="s">
        <v>762</v>
      </c>
      <c r="BF157" s="433" t="s">
        <v>762</v>
      </c>
      <c r="BG157" s="433" t="s">
        <v>762</v>
      </c>
      <c r="BH157" s="433" t="s">
        <v>762</v>
      </c>
      <c r="BI157" s="433" t="s">
        <v>762</v>
      </c>
      <c r="BJ157" s="433" t="s">
        <v>762</v>
      </c>
      <c r="BK157" s="433" t="s">
        <v>762</v>
      </c>
      <c r="BL157" s="433" t="s">
        <v>762</v>
      </c>
      <c r="BM157" s="433" t="s">
        <v>762</v>
      </c>
      <c r="BN157" s="433" t="s">
        <v>762</v>
      </c>
      <c r="BO157" s="433" t="s">
        <v>762</v>
      </c>
      <c r="BP157" s="433" t="s">
        <v>762</v>
      </c>
      <c r="BQ157" s="433" t="s">
        <v>762</v>
      </c>
      <c r="BR157" s="433" t="s">
        <v>762</v>
      </c>
      <c r="BS157" s="433" t="s">
        <v>762</v>
      </c>
      <c r="BT157" s="433" t="s">
        <v>762</v>
      </c>
      <c r="BU157" s="433" t="s">
        <v>762</v>
      </c>
      <c r="BV157" s="433" t="s">
        <v>762</v>
      </c>
      <c r="BW157" s="433" t="s">
        <v>762</v>
      </c>
      <c r="BX157" s="433" t="s">
        <v>762</v>
      </c>
      <c r="BY157" s="433" t="s">
        <v>762</v>
      </c>
      <c r="BZ157" s="433" t="s">
        <v>762</v>
      </c>
      <c r="CA157" s="433" t="s">
        <v>762</v>
      </c>
      <c r="CB157" s="433" t="s">
        <v>762</v>
      </c>
      <c r="CC157" s="433" t="s">
        <v>762</v>
      </c>
      <c r="CD157" s="433" t="s">
        <v>762</v>
      </c>
      <c r="CE157" s="433" t="s">
        <v>762</v>
      </c>
      <c r="CF157" s="433" t="s">
        <v>762</v>
      </c>
      <c r="CG157" s="239" t="s">
        <v>762</v>
      </c>
      <c r="CH157" s="239" t="s">
        <v>762</v>
      </c>
      <c r="CI157" s="239" t="s">
        <v>762</v>
      </c>
      <c r="CJ157" s="239" t="s">
        <v>762</v>
      </c>
      <c r="CK157" s="239" t="s">
        <v>762</v>
      </c>
      <c r="CL157" s="239" t="s">
        <v>762</v>
      </c>
    </row>
    <row r="158" spans="1:90" s="434" customFormat="1">
      <c r="A158" s="239" t="s">
        <v>552</v>
      </c>
      <c r="B158" s="239" t="s">
        <v>626</v>
      </c>
      <c r="C158" s="433" t="s">
        <v>762</v>
      </c>
      <c r="D158" s="433" t="s">
        <v>762</v>
      </c>
      <c r="E158" s="433" t="s">
        <v>762</v>
      </c>
      <c r="F158" s="433" t="s">
        <v>762</v>
      </c>
      <c r="G158" s="433" t="s">
        <v>762</v>
      </c>
      <c r="H158" s="433" t="s">
        <v>762</v>
      </c>
      <c r="I158" s="433" t="s">
        <v>762</v>
      </c>
      <c r="J158" s="433" t="s">
        <v>762</v>
      </c>
      <c r="K158" s="433" t="s">
        <v>762</v>
      </c>
      <c r="L158" s="433" t="s">
        <v>762</v>
      </c>
      <c r="M158" s="433" t="s">
        <v>762</v>
      </c>
      <c r="N158" s="433" t="s">
        <v>762</v>
      </c>
      <c r="O158" s="433" t="s">
        <v>762</v>
      </c>
      <c r="P158" s="433" t="s">
        <v>762</v>
      </c>
      <c r="Q158" s="433" t="s">
        <v>762</v>
      </c>
      <c r="R158" s="433" t="s">
        <v>762</v>
      </c>
      <c r="S158" s="433" t="s">
        <v>762</v>
      </c>
      <c r="T158" s="433" t="s">
        <v>762</v>
      </c>
      <c r="U158" s="433" t="s">
        <v>762</v>
      </c>
      <c r="V158" s="433" t="s">
        <v>762</v>
      </c>
      <c r="W158" s="433" t="s">
        <v>762</v>
      </c>
      <c r="X158" s="433" t="s">
        <v>762</v>
      </c>
      <c r="Y158" s="433" t="s">
        <v>762</v>
      </c>
      <c r="Z158" s="433" t="s">
        <v>762</v>
      </c>
      <c r="AA158" s="433" t="s">
        <v>762</v>
      </c>
      <c r="AB158" s="433" t="s">
        <v>762</v>
      </c>
      <c r="AC158" s="433" t="s">
        <v>762</v>
      </c>
      <c r="AD158" s="433" t="s">
        <v>762</v>
      </c>
      <c r="AE158" s="433" t="s">
        <v>762</v>
      </c>
      <c r="AF158" s="433" t="s">
        <v>762</v>
      </c>
      <c r="AG158" s="433" t="s">
        <v>762</v>
      </c>
      <c r="AH158" s="433" t="s">
        <v>762</v>
      </c>
      <c r="AI158" s="433" t="s">
        <v>762</v>
      </c>
      <c r="AJ158" s="433" t="s">
        <v>762</v>
      </c>
      <c r="AK158" s="433" t="s">
        <v>762</v>
      </c>
      <c r="AL158" s="433" t="s">
        <v>762</v>
      </c>
      <c r="AM158" s="433" t="s">
        <v>762</v>
      </c>
      <c r="AN158" s="433" t="s">
        <v>762</v>
      </c>
      <c r="AO158" s="433" t="s">
        <v>762</v>
      </c>
      <c r="AP158" s="433" t="s">
        <v>762</v>
      </c>
      <c r="AQ158" s="433" t="s">
        <v>762</v>
      </c>
      <c r="AR158" s="433" t="s">
        <v>762</v>
      </c>
      <c r="AS158" s="433" t="s">
        <v>762</v>
      </c>
      <c r="AT158" s="433" t="s">
        <v>762</v>
      </c>
      <c r="AU158" s="433" t="s">
        <v>762</v>
      </c>
      <c r="AV158" s="433" t="s">
        <v>762</v>
      </c>
      <c r="AW158" s="433" t="s">
        <v>762</v>
      </c>
      <c r="AX158" s="433" t="s">
        <v>762</v>
      </c>
      <c r="AY158" s="433" t="s">
        <v>762</v>
      </c>
      <c r="AZ158" s="433" t="s">
        <v>762</v>
      </c>
      <c r="BA158" s="433" t="s">
        <v>762</v>
      </c>
      <c r="BB158" s="433" t="s">
        <v>762</v>
      </c>
      <c r="BC158" s="433" t="s">
        <v>762</v>
      </c>
      <c r="BD158" s="433" t="s">
        <v>762</v>
      </c>
      <c r="BE158" s="433" t="s">
        <v>762</v>
      </c>
      <c r="BF158" s="433" t="s">
        <v>762</v>
      </c>
      <c r="BG158" s="433" t="s">
        <v>762</v>
      </c>
      <c r="BH158" s="433" t="s">
        <v>762</v>
      </c>
      <c r="BI158" s="433" t="s">
        <v>762</v>
      </c>
      <c r="BJ158" s="433" t="s">
        <v>762</v>
      </c>
      <c r="BK158" s="433" t="s">
        <v>762</v>
      </c>
      <c r="BL158" s="433" t="s">
        <v>762</v>
      </c>
      <c r="BM158" s="433" t="s">
        <v>762</v>
      </c>
      <c r="BN158" s="433" t="s">
        <v>762</v>
      </c>
      <c r="BO158" s="433" t="s">
        <v>762</v>
      </c>
      <c r="BP158" s="433" t="s">
        <v>762</v>
      </c>
      <c r="BQ158" s="433" t="s">
        <v>762</v>
      </c>
      <c r="BR158" s="433" t="s">
        <v>762</v>
      </c>
      <c r="BS158" s="433" t="s">
        <v>762</v>
      </c>
      <c r="BT158" s="433" t="s">
        <v>762</v>
      </c>
      <c r="BU158" s="433" t="s">
        <v>762</v>
      </c>
      <c r="BV158" s="433" t="s">
        <v>762</v>
      </c>
      <c r="BW158" s="433" t="s">
        <v>762</v>
      </c>
      <c r="BX158" s="433" t="s">
        <v>762</v>
      </c>
      <c r="BY158" s="433" t="s">
        <v>762</v>
      </c>
      <c r="BZ158" s="433" t="s">
        <v>762</v>
      </c>
      <c r="CA158" s="433" t="s">
        <v>762</v>
      </c>
      <c r="CB158" s="433" t="s">
        <v>762</v>
      </c>
      <c r="CC158" s="433" t="s">
        <v>762</v>
      </c>
      <c r="CD158" s="433" t="s">
        <v>762</v>
      </c>
      <c r="CE158" s="433" t="s">
        <v>762</v>
      </c>
      <c r="CF158" s="433" t="s">
        <v>762</v>
      </c>
      <c r="CG158" s="239" t="s">
        <v>762</v>
      </c>
      <c r="CH158" s="239" t="s">
        <v>762</v>
      </c>
      <c r="CI158" s="239" t="s">
        <v>762</v>
      </c>
      <c r="CJ158" s="239" t="s">
        <v>762</v>
      </c>
      <c r="CK158" s="239" t="s">
        <v>762</v>
      </c>
      <c r="CL158" s="239" t="s">
        <v>762</v>
      </c>
    </row>
    <row r="159" spans="1:90" s="434" customFormat="1">
      <c r="A159" s="239" t="s">
        <v>553</v>
      </c>
      <c r="B159" s="239" t="s">
        <v>626</v>
      </c>
      <c r="C159" s="433" t="s">
        <v>762</v>
      </c>
      <c r="D159" s="433" t="s">
        <v>762</v>
      </c>
      <c r="E159" s="433" t="s">
        <v>762</v>
      </c>
      <c r="F159" s="433" t="s">
        <v>762</v>
      </c>
      <c r="G159" s="433" t="s">
        <v>762</v>
      </c>
      <c r="H159" s="433" t="s">
        <v>762</v>
      </c>
      <c r="I159" s="433" t="s">
        <v>762</v>
      </c>
      <c r="J159" s="433" t="s">
        <v>762</v>
      </c>
      <c r="K159" s="433" t="s">
        <v>762</v>
      </c>
      <c r="L159" s="433" t="s">
        <v>762</v>
      </c>
      <c r="M159" s="433" t="s">
        <v>762</v>
      </c>
      <c r="N159" s="433" t="s">
        <v>762</v>
      </c>
      <c r="O159" s="433" t="s">
        <v>762</v>
      </c>
      <c r="P159" s="433" t="s">
        <v>762</v>
      </c>
      <c r="Q159" s="433" t="s">
        <v>762</v>
      </c>
      <c r="R159" s="433" t="s">
        <v>762</v>
      </c>
      <c r="S159" s="433" t="s">
        <v>762</v>
      </c>
      <c r="T159" s="433" t="s">
        <v>762</v>
      </c>
      <c r="U159" s="433" t="s">
        <v>762</v>
      </c>
      <c r="V159" s="433" t="s">
        <v>762</v>
      </c>
      <c r="W159" s="433" t="s">
        <v>762</v>
      </c>
      <c r="X159" s="433" t="s">
        <v>762</v>
      </c>
      <c r="Y159" s="433" t="s">
        <v>762</v>
      </c>
      <c r="Z159" s="433" t="s">
        <v>762</v>
      </c>
      <c r="AA159" s="433" t="s">
        <v>762</v>
      </c>
      <c r="AB159" s="433" t="s">
        <v>762</v>
      </c>
      <c r="AC159" s="433" t="s">
        <v>762</v>
      </c>
      <c r="AD159" s="433" t="s">
        <v>762</v>
      </c>
      <c r="AE159" s="433" t="s">
        <v>762</v>
      </c>
      <c r="AF159" s="433" t="s">
        <v>762</v>
      </c>
      <c r="AG159" s="433" t="s">
        <v>762</v>
      </c>
      <c r="AH159" s="433" t="s">
        <v>762</v>
      </c>
      <c r="AI159" s="433" t="s">
        <v>762</v>
      </c>
      <c r="AJ159" s="433" t="s">
        <v>762</v>
      </c>
      <c r="AK159" s="433" t="s">
        <v>762</v>
      </c>
      <c r="AL159" s="433" t="s">
        <v>762</v>
      </c>
      <c r="AM159" s="433" t="s">
        <v>762</v>
      </c>
      <c r="AN159" s="433" t="s">
        <v>762</v>
      </c>
      <c r="AO159" s="433" t="s">
        <v>762</v>
      </c>
      <c r="AP159" s="433" t="s">
        <v>762</v>
      </c>
      <c r="AQ159" s="433" t="s">
        <v>762</v>
      </c>
      <c r="AR159" s="433" t="s">
        <v>762</v>
      </c>
      <c r="AS159" s="433" t="s">
        <v>762</v>
      </c>
      <c r="AT159" s="433" t="s">
        <v>762</v>
      </c>
      <c r="AU159" s="433" t="s">
        <v>762</v>
      </c>
      <c r="AV159" s="433" t="s">
        <v>762</v>
      </c>
      <c r="AW159" s="433" t="s">
        <v>762</v>
      </c>
      <c r="AX159" s="433" t="s">
        <v>762</v>
      </c>
      <c r="AY159" s="433" t="s">
        <v>762</v>
      </c>
      <c r="AZ159" s="433" t="s">
        <v>762</v>
      </c>
      <c r="BA159" s="433" t="s">
        <v>762</v>
      </c>
      <c r="BB159" s="433" t="s">
        <v>762</v>
      </c>
      <c r="BC159" s="433" t="s">
        <v>762</v>
      </c>
      <c r="BD159" s="433" t="s">
        <v>762</v>
      </c>
      <c r="BE159" s="433" t="s">
        <v>762</v>
      </c>
      <c r="BF159" s="433" t="s">
        <v>762</v>
      </c>
      <c r="BG159" s="433" t="s">
        <v>762</v>
      </c>
      <c r="BH159" s="433" t="s">
        <v>762</v>
      </c>
      <c r="BI159" s="433" t="s">
        <v>762</v>
      </c>
      <c r="BJ159" s="433" t="s">
        <v>762</v>
      </c>
      <c r="BK159" s="433" t="s">
        <v>762</v>
      </c>
      <c r="BL159" s="433" t="s">
        <v>762</v>
      </c>
      <c r="BM159" s="433" t="s">
        <v>762</v>
      </c>
      <c r="BN159" s="433" t="s">
        <v>762</v>
      </c>
      <c r="BO159" s="433" t="s">
        <v>762</v>
      </c>
      <c r="BP159" s="433" t="s">
        <v>762</v>
      </c>
      <c r="BQ159" s="433" t="s">
        <v>762</v>
      </c>
      <c r="BR159" s="433" t="s">
        <v>762</v>
      </c>
      <c r="BS159" s="433" t="s">
        <v>762</v>
      </c>
      <c r="BT159" s="433" t="s">
        <v>762</v>
      </c>
      <c r="BU159" s="433" t="s">
        <v>762</v>
      </c>
      <c r="BV159" s="433" t="s">
        <v>762</v>
      </c>
      <c r="BW159" s="433" t="s">
        <v>762</v>
      </c>
      <c r="BX159" s="433" t="s">
        <v>762</v>
      </c>
      <c r="BY159" s="433" t="s">
        <v>762</v>
      </c>
      <c r="BZ159" s="433" t="s">
        <v>762</v>
      </c>
      <c r="CA159" s="433" t="s">
        <v>762</v>
      </c>
      <c r="CB159" s="433" t="s">
        <v>762</v>
      </c>
      <c r="CC159" s="433" t="s">
        <v>762</v>
      </c>
      <c r="CD159" s="433" t="s">
        <v>762</v>
      </c>
      <c r="CE159" s="433" t="s">
        <v>762</v>
      </c>
      <c r="CF159" s="433" t="s">
        <v>762</v>
      </c>
      <c r="CG159" s="239" t="s">
        <v>762</v>
      </c>
      <c r="CH159" s="239" t="s">
        <v>762</v>
      </c>
      <c r="CI159" s="239" t="s">
        <v>762</v>
      </c>
      <c r="CJ159" s="239" t="s">
        <v>762</v>
      </c>
      <c r="CK159" s="239" t="s">
        <v>762</v>
      </c>
      <c r="CL159" s="239" t="s">
        <v>762</v>
      </c>
    </row>
    <row r="160" spans="1:90" s="434" customFormat="1">
      <c r="A160" s="239" t="s">
        <v>554</v>
      </c>
      <c r="B160" s="239" t="s">
        <v>626</v>
      </c>
      <c r="C160" s="433">
        <f t="shared" ref="C160:AD160" si="109">B911</f>
        <v>93</v>
      </c>
      <c r="D160" s="433">
        <f t="shared" si="109"/>
        <v>93</v>
      </c>
      <c r="E160" s="433">
        <f t="shared" si="109"/>
        <v>93</v>
      </c>
      <c r="F160" s="433">
        <f t="shared" si="109"/>
        <v>93</v>
      </c>
      <c r="G160" s="433">
        <f t="shared" si="109"/>
        <v>93</v>
      </c>
      <c r="H160" s="433">
        <f t="shared" si="109"/>
        <v>93</v>
      </c>
      <c r="I160" s="433">
        <f t="shared" si="109"/>
        <v>93</v>
      </c>
      <c r="J160" s="433">
        <f t="shared" si="109"/>
        <v>93</v>
      </c>
      <c r="K160" s="433">
        <f t="shared" si="109"/>
        <v>93</v>
      </c>
      <c r="L160" s="433">
        <f t="shared" si="109"/>
        <v>93</v>
      </c>
      <c r="M160" s="433">
        <f t="shared" si="109"/>
        <v>93</v>
      </c>
      <c r="N160" s="433">
        <f t="shared" si="109"/>
        <v>93</v>
      </c>
      <c r="O160" s="433">
        <f t="shared" si="109"/>
        <v>93</v>
      </c>
      <c r="P160" s="433">
        <f t="shared" si="109"/>
        <v>93</v>
      </c>
      <c r="Q160" s="433">
        <f t="shared" si="109"/>
        <v>93</v>
      </c>
      <c r="R160" s="433">
        <f t="shared" si="109"/>
        <v>93</v>
      </c>
      <c r="S160" s="433">
        <f t="shared" si="109"/>
        <v>93</v>
      </c>
      <c r="T160" s="433">
        <f t="shared" si="109"/>
        <v>93</v>
      </c>
      <c r="U160" s="433">
        <f t="shared" si="109"/>
        <v>93</v>
      </c>
      <c r="V160" s="433">
        <f t="shared" si="109"/>
        <v>93</v>
      </c>
      <c r="W160" s="433">
        <f t="shared" si="109"/>
        <v>93</v>
      </c>
      <c r="X160" s="433">
        <f t="shared" si="109"/>
        <v>93</v>
      </c>
      <c r="Y160" s="433">
        <f t="shared" si="109"/>
        <v>93</v>
      </c>
      <c r="Z160" s="433">
        <f t="shared" si="109"/>
        <v>93</v>
      </c>
      <c r="AA160" s="433">
        <f t="shared" si="109"/>
        <v>93</v>
      </c>
      <c r="AB160" s="433">
        <f t="shared" si="109"/>
        <v>93</v>
      </c>
      <c r="AC160" s="433">
        <f t="shared" si="109"/>
        <v>93</v>
      </c>
      <c r="AD160" s="433">
        <f t="shared" si="109"/>
        <v>93</v>
      </c>
      <c r="AE160" s="433">
        <f t="shared" ref="AE160:AJ160" si="110">AC911</f>
        <v>93</v>
      </c>
      <c r="AF160" s="433">
        <f t="shared" si="110"/>
        <v>124</v>
      </c>
      <c r="AG160" s="433">
        <f t="shared" si="110"/>
        <v>124</v>
      </c>
      <c r="AH160" s="433">
        <f t="shared" si="110"/>
        <v>124</v>
      </c>
      <c r="AI160" s="433">
        <f t="shared" si="110"/>
        <v>124</v>
      </c>
      <c r="AJ160" s="433">
        <f t="shared" si="110"/>
        <v>124</v>
      </c>
      <c r="AK160" s="433">
        <f t="shared" ref="AK160:BO160" si="111">AI910</f>
        <v>124</v>
      </c>
      <c r="AL160" s="433">
        <f t="shared" si="111"/>
        <v>124</v>
      </c>
      <c r="AM160" s="433">
        <f t="shared" si="111"/>
        <v>124</v>
      </c>
      <c r="AN160" s="433">
        <f t="shared" si="111"/>
        <v>124</v>
      </c>
      <c r="AO160" s="433">
        <f t="shared" si="111"/>
        <v>124</v>
      </c>
      <c r="AP160" s="433">
        <f t="shared" si="111"/>
        <v>124</v>
      </c>
      <c r="AQ160" s="433">
        <f t="shared" si="111"/>
        <v>124</v>
      </c>
      <c r="AR160" s="433">
        <f t="shared" si="111"/>
        <v>124</v>
      </c>
      <c r="AS160" s="433">
        <f t="shared" si="111"/>
        <v>124</v>
      </c>
      <c r="AT160" s="433">
        <f t="shared" si="111"/>
        <v>124</v>
      </c>
      <c r="AU160" s="433">
        <f t="shared" si="111"/>
        <v>124</v>
      </c>
      <c r="AV160" s="433">
        <f t="shared" si="111"/>
        <v>124</v>
      </c>
      <c r="AW160" s="433">
        <f t="shared" si="111"/>
        <v>124</v>
      </c>
      <c r="AX160" s="433">
        <f t="shared" si="111"/>
        <v>124</v>
      </c>
      <c r="AY160" s="433">
        <f t="shared" si="111"/>
        <v>151</v>
      </c>
      <c r="AZ160" s="433">
        <f t="shared" si="111"/>
        <v>151</v>
      </c>
      <c r="BA160" s="433">
        <f t="shared" si="111"/>
        <v>151</v>
      </c>
      <c r="BB160" s="433">
        <f t="shared" si="111"/>
        <v>151</v>
      </c>
      <c r="BC160" s="433">
        <f t="shared" si="111"/>
        <v>151</v>
      </c>
      <c r="BD160" s="433">
        <f t="shared" si="111"/>
        <v>151</v>
      </c>
      <c r="BE160" s="433">
        <f t="shared" si="111"/>
        <v>151</v>
      </c>
      <c r="BF160" s="433">
        <f t="shared" si="111"/>
        <v>151</v>
      </c>
      <c r="BG160" s="433">
        <f t="shared" si="111"/>
        <v>196</v>
      </c>
      <c r="BH160" s="433">
        <f t="shared" si="111"/>
        <v>196</v>
      </c>
      <c r="BI160" s="433">
        <f t="shared" si="111"/>
        <v>196</v>
      </c>
      <c r="BJ160" s="433">
        <f t="shared" si="111"/>
        <v>196</v>
      </c>
      <c r="BK160" s="433">
        <f t="shared" si="111"/>
        <v>196</v>
      </c>
      <c r="BL160" s="433">
        <f t="shared" si="111"/>
        <v>196</v>
      </c>
      <c r="BM160" s="433">
        <f t="shared" si="111"/>
        <v>208</v>
      </c>
      <c r="BN160" s="433">
        <f t="shared" si="111"/>
        <v>208</v>
      </c>
      <c r="BO160" s="433">
        <f t="shared" si="111"/>
        <v>208</v>
      </c>
      <c r="BP160" s="433">
        <f t="shared" ref="BP160:CF160" si="112">BN910</f>
        <v>208</v>
      </c>
      <c r="BQ160" s="433">
        <f t="shared" si="112"/>
        <v>208</v>
      </c>
      <c r="BR160" s="433">
        <f t="shared" si="112"/>
        <v>208</v>
      </c>
      <c r="BS160" s="433">
        <f t="shared" si="112"/>
        <v>230</v>
      </c>
      <c r="BT160" s="433">
        <f t="shared" si="112"/>
        <v>230</v>
      </c>
      <c r="BU160" s="433">
        <f t="shared" si="112"/>
        <v>245</v>
      </c>
      <c r="BV160" s="433">
        <f t="shared" si="112"/>
        <v>266</v>
      </c>
      <c r="BW160" s="433">
        <f t="shared" si="112"/>
        <v>278</v>
      </c>
      <c r="BX160" s="433">
        <f t="shared" si="112"/>
        <v>297</v>
      </c>
      <c r="BY160" s="433">
        <f t="shared" si="112"/>
        <v>308</v>
      </c>
      <c r="BZ160" s="433">
        <f t="shared" si="112"/>
        <v>322</v>
      </c>
      <c r="CA160" s="433">
        <f t="shared" si="112"/>
        <v>322</v>
      </c>
      <c r="CB160" s="433">
        <f t="shared" si="112"/>
        <v>353</v>
      </c>
      <c r="CC160" s="433">
        <f t="shared" si="112"/>
        <v>391</v>
      </c>
      <c r="CD160" s="433">
        <f t="shared" si="112"/>
        <v>406</v>
      </c>
      <c r="CE160" s="433">
        <f t="shared" si="112"/>
        <v>457</v>
      </c>
      <c r="CF160" s="433">
        <f t="shared" si="112"/>
        <v>483</v>
      </c>
      <c r="CG160" s="239" t="s">
        <v>762</v>
      </c>
      <c r="CH160" s="239" t="s">
        <v>762</v>
      </c>
      <c r="CI160" s="239" t="s">
        <v>762</v>
      </c>
      <c r="CJ160" s="239" t="s">
        <v>762</v>
      </c>
      <c r="CK160" s="239" t="s">
        <v>762</v>
      </c>
      <c r="CL160" s="239" t="s">
        <v>762</v>
      </c>
    </row>
    <row r="161" spans="1:90" s="434" customFormat="1">
      <c r="A161" s="239" t="s">
        <v>555</v>
      </c>
      <c r="B161" s="239" t="s">
        <v>626</v>
      </c>
      <c r="C161" s="433" t="s">
        <v>762</v>
      </c>
      <c r="D161" s="433" t="s">
        <v>762</v>
      </c>
      <c r="E161" s="433" t="s">
        <v>762</v>
      </c>
      <c r="F161" s="433" t="s">
        <v>762</v>
      </c>
      <c r="G161" s="433" t="s">
        <v>762</v>
      </c>
      <c r="H161" s="433" t="s">
        <v>762</v>
      </c>
      <c r="I161" s="433" t="s">
        <v>762</v>
      </c>
      <c r="J161" s="433" t="s">
        <v>762</v>
      </c>
      <c r="K161" s="433" t="s">
        <v>762</v>
      </c>
      <c r="L161" s="433" t="s">
        <v>762</v>
      </c>
      <c r="M161" s="433" t="s">
        <v>762</v>
      </c>
      <c r="N161" s="433" t="s">
        <v>762</v>
      </c>
      <c r="O161" s="433" t="s">
        <v>762</v>
      </c>
      <c r="P161" s="433" t="s">
        <v>762</v>
      </c>
      <c r="Q161" s="433" t="s">
        <v>762</v>
      </c>
      <c r="R161" s="433" t="s">
        <v>762</v>
      </c>
      <c r="S161" s="433" t="s">
        <v>762</v>
      </c>
      <c r="T161" s="433" t="s">
        <v>762</v>
      </c>
      <c r="U161" s="433" t="s">
        <v>762</v>
      </c>
      <c r="V161" s="433" t="s">
        <v>762</v>
      </c>
      <c r="W161" s="433" t="s">
        <v>762</v>
      </c>
      <c r="X161" s="433" t="s">
        <v>762</v>
      </c>
      <c r="Y161" s="433" t="s">
        <v>762</v>
      </c>
      <c r="Z161" s="433" t="s">
        <v>762</v>
      </c>
      <c r="AA161" s="433" t="s">
        <v>762</v>
      </c>
      <c r="AB161" s="433" t="s">
        <v>762</v>
      </c>
      <c r="AC161" s="433" t="s">
        <v>762</v>
      </c>
      <c r="AD161" s="433" t="s">
        <v>762</v>
      </c>
      <c r="AE161" s="433" t="s">
        <v>762</v>
      </c>
      <c r="AF161" s="433" t="s">
        <v>762</v>
      </c>
      <c r="AG161" s="433" t="s">
        <v>762</v>
      </c>
      <c r="AH161" s="433" t="s">
        <v>762</v>
      </c>
      <c r="AI161" s="433" t="s">
        <v>762</v>
      </c>
      <c r="AJ161" s="433" t="s">
        <v>762</v>
      </c>
      <c r="AK161" s="433" t="s">
        <v>762</v>
      </c>
      <c r="AL161" s="433" t="s">
        <v>762</v>
      </c>
      <c r="AM161" s="433" t="s">
        <v>762</v>
      </c>
      <c r="AN161" s="433" t="s">
        <v>762</v>
      </c>
      <c r="AO161" s="433" t="s">
        <v>762</v>
      </c>
      <c r="AP161" s="433" t="s">
        <v>762</v>
      </c>
      <c r="AQ161" s="433" t="s">
        <v>762</v>
      </c>
      <c r="AR161" s="433" t="s">
        <v>762</v>
      </c>
      <c r="AS161" s="433" t="s">
        <v>762</v>
      </c>
      <c r="AT161" s="433" t="s">
        <v>762</v>
      </c>
      <c r="AU161" s="433" t="s">
        <v>762</v>
      </c>
      <c r="AV161" s="433" t="s">
        <v>762</v>
      </c>
      <c r="AW161" s="433" t="s">
        <v>762</v>
      </c>
      <c r="AX161" s="433" t="s">
        <v>762</v>
      </c>
      <c r="AY161" s="433" t="s">
        <v>762</v>
      </c>
      <c r="AZ161" s="433" t="s">
        <v>762</v>
      </c>
      <c r="BA161" s="433" t="s">
        <v>762</v>
      </c>
      <c r="BB161" s="433" t="s">
        <v>762</v>
      </c>
      <c r="BC161" s="433" t="s">
        <v>762</v>
      </c>
      <c r="BD161" s="433" t="s">
        <v>762</v>
      </c>
      <c r="BE161" s="433" t="s">
        <v>762</v>
      </c>
      <c r="BF161" s="433" t="s">
        <v>762</v>
      </c>
      <c r="BG161" s="433" t="s">
        <v>762</v>
      </c>
      <c r="BH161" s="433" t="s">
        <v>762</v>
      </c>
      <c r="BI161" s="433" t="s">
        <v>762</v>
      </c>
      <c r="BJ161" s="433" t="s">
        <v>762</v>
      </c>
      <c r="BK161" s="433" t="s">
        <v>762</v>
      </c>
      <c r="BL161" s="433" t="s">
        <v>762</v>
      </c>
      <c r="BM161" s="433" t="s">
        <v>762</v>
      </c>
      <c r="BN161" s="433" t="s">
        <v>762</v>
      </c>
      <c r="BO161" s="433" t="s">
        <v>762</v>
      </c>
      <c r="BP161" s="433" t="s">
        <v>762</v>
      </c>
      <c r="BQ161" s="433" t="s">
        <v>762</v>
      </c>
      <c r="BR161" s="433" t="s">
        <v>762</v>
      </c>
      <c r="BS161" s="433" t="s">
        <v>762</v>
      </c>
      <c r="BT161" s="433" t="s">
        <v>762</v>
      </c>
      <c r="BU161" s="433" t="s">
        <v>762</v>
      </c>
      <c r="BV161" s="433" t="s">
        <v>762</v>
      </c>
      <c r="BW161" s="433" t="s">
        <v>762</v>
      </c>
      <c r="BX161" s="433" t="s">
        <v>762</v>
      </c>
      <c r="BY161" s="433" t="s">
        <v>762</v>
      </c>
      <c r="BZ161" s="433" t="s">
        <v>762</v>
      </c>
      <c r="CA161" s="433" t="s">
        <v>762</v>
      </c>
      <c r="CB161" s="433" t="s">
        <v>762</v>
      </c>
      <c r="CC161" s="433" t="s">
        <v>762</v>
      </c>
      <c r="CD161" s="433" t="s">
        <v>762</v>
      </c>
      <c r="CE161" s="433" t="s">
        <v>762</v>
      </c>
      <c r="CF161" s="433" t="s">
        <v>762</v>
      </c>
      <c r="CG161" s="239" t="s">
        <v>762</v>
      </c>
      <c r="CH161" s="239" t="s">
        <v>762</v>
      </c>
      <c r="CI161" s="239" t="s">
        <v>762</v>
      </c>
      <c r="CJ161" s="239" t="s">
        <v>762</v>
      </c>
      <c r="CK161" s="239" t="s">
        <v>762</v>
      </c>
      <c r="CL161" s="239" t="s">
        <v>762</v>
      </c>
    </row>
    <row r="162" spans="1:90" s="434" customFormat="1">
      <c r="A162" s="239" t="s">
        <v>556</v>
      </c>
      <c r="B162" s="239" t="s">
        <v>626</v>
      </c>
      <c r="C162" s="433">
        <f t="shared" ref="C162:AD162" si="113">B912</f>
        <v>137</v>
      </c>
      <c r="D162" s="433">
        <f t="shared" si="113"/>
        <v>137</v>
      </c>
      <c r="E162" s="433">
        <f t="shared" si="113"/>
        <v>137</v>
      </c>
      <c r="F162" s="433">
        <f t="shared" si="113"/>
        <v>137</v>
      </c>
      <c r="G162" s="433">
        <f t="shared" si="113"/>
        <v>137</v>
      </c>
      <c r="H162" s="433">
        <f t="shared" si="113"/>
        <v>137</v>
      </c>
      <c r="I162" s="433">
        <f t="shared" si="113"/>
        <v>137</v>
      </c>
      <c r="J162" s="433">
        <f t="shared" si="113"/>
        <v>137</v>
      </c>
      <c r="K162" s="433">
        <f t="shared" si="113"/>
        <v>137</v>
      </c>
      <c r="L162" s="433">
        <f t="shared" si="113"/>
        <v>137</v>
      </c>
      <c r="M162" s="433">
        <f t="shared" si="113"/>
        <v>137</v>
      </c>
      <c r="N162" s="433">
        <f t="shared" si="113"/>
        <v>137</v>
      </c>
      <c r="O162" s="433">
        <f t="shared" si="113"/>
        <v>137</v>
      </c>
      <c r="P162" s="433">
        <f t="shared" si="113"/>
        <v>137</v>
      </c>
      <c r="Q162" s="433">
        <f t="shared" si="113"/>
        <v>137</v>
      </c>
      <c r="R162" s="433">
        <f t="shared" si="113"/>
        <v>137</v>
      </c>
      <c r="S162" s="433">
        <f t="shared" si="113"/>
        <v>137</v>
      </c>
      <c r="T162" s="433">
        <f t="shared" si="113"/>
        <v>137</v>
      </c>
      <c r="U162" s="433">
        <f t="shared" si="113"/>
        <v>137</v>
      </c>
      <c r="V162" s="433">
        <f t="shared" si="113"/>
        <v>137</v>
      </c>
      <c r="W162" s="433">
        <f t="shared" si="113"/>
        <v>137</v>
      </c>
      <c r="X162" s="433">
        <f t="shared" si="113"/>
        <v>137</v>
      </c>
      <c r="Y162" s="433">
        <f t="shared" si="113"/>
        <v>137</v>
      </c>
      <c r="Z162" s="433">
        <f t="shared" si="113"/>
        <v>137</v>
      </c>
      <c r="AA162" s="433">
        <f t="shared" si="113"/>
        <v>137</v>
      </c>
      <c r="AB162" s="433">
        <f t="shared" si="113"/>
        <v>137</v>
      </c>
      <c r="AC162" s="433">
        <f t="shared" si="113"/>
        <v>137</v>
      </c>
      <c r="AD162" s="433">
        <f t="shared" si="113"/>
        <v>137</v>
      </c>
      <c r="AE162" s="433">
        <f t="shared" ref="AE162:AJ162" si="114">AC912</f>
        <v>137</v>
      </c>
      <c r="AF162" s="433">
        <f t="shared" si="114"/>
        <v>169</v>
      </c>
      <c r="AG162" s="433">
        <f t="shared" si="114"/>
        <v>169</v>
      </c>
      <c r="AH162" s="433">
        <f t="shared" si="114"/>
        <v>169</v>
      </c>
      <c r="AI162" s="433">
        <f t="shared" si="114"/>
        <v>169</v>
      </c>
      <c r="AJ162" s="433">
        <f t="shared" si="114"/>
        <v>169</v>
      </c>
      <c r="AK162" s="433">
        <f t="shared" ref="AK162:BO162" si="115">AI911</f>
        <v>169</v>
      </c>
      <c r="AL162" s="433">
        <f t="shared" si="115"/>
        <v>169</v>
      </c>
      <c r="AM162" s="433">
        <f t="shared" si="115"/>
        <v>169</v>
      </c>
      <c r="AN162" s="433">
        <f t="shared" si="115"/>
        <v>169</v>
      </c>
      <c r="AO162" s="433">
        <f t="shared" si="115"/>
        <v>169</v>
      </c>
      <c r="AP162" s="433">
        <f t="shared" si="115"/>
        <v>169</v>
      </c>
      <c r="AQ162" s="433">
        <f t="shared" si="115"/>
        <v>169</v>
      </c>
      <c r="AR162" s="433">
        <f t="shared" si="115"/>
        <v>169</v>
      </c>
      <c r="AS162" s="433">
        <f t="shared" si="115"/>
        <v>169</v>
      </c>
      <c r="AT162" s="433">
        <f t="shared" si="115"/>
        <v>169</v>
      </c>
      <c r="AU162" s="433">
        <f t="shared" si="115"/>
        <v>169</v>
      </c>
      <c r="AV162" s="433">
        <f t="shared" si="115"/>
        <v>169</v>
      </c>
      <c r="AW162" s="433">
        <f t="shared" si="115"/>
        <v>169</v>
      </c>
      <c r="AX162" s="433">
        <f t="shared" si="115"/>
        <v>169</v>
      </c>
      <c r="AY162" s="433">
        <f t="shared" si="115"/>
        <v>202</v>
      </c>
      <c r="AZ162" s="433">
        <f t="shared" si="115"/>
        <v>202</v>
      </c>
      <c r="BA162" s="433">
        <f t="shared" si="115"/>
        <v>202</v>
      </c>
      <c r="BB162" s="433">
        <f t="shared" si="115"/>
        <v>202</v>
      </c>
      <c r="BC162" s="433">
        <f t="shared" si="115"/>
        <v>202</v>
      </c>
      <c r="BD162" s="433">
        <f t="shared" si="115"/>
        <v>202</v>
      </c>
      <c r="BE162" s="433">
        <f t="shared" si="115"/>
        <v>202</v>
      </c>
      <c r="BF162" s="433">
        <f t="shared" si="115"/>
        <v>202</v>
      </c>
      <c r="BG162" s="433">
        <f t="shared" si="115"/>
        <v>253</v>
      </c>
      <c r="BH162" s="433">
        <f t="shared" si="115"/>
        <v>253</v>
      </c>
      <c r="BI162" s="433">
        <f t="shared" si="115"/>
        <v>253</v>
      </c>
      <c r="BJ162" s="433">
        <f t="shared" si="115"/>
        <v>253</v>
      </c>
      <c r="BK162" s="433">
        <f t="shared" si="115"/>
        <v>253</v>
      </c>
      <c r="BL162" s="433">
        <f t="shared" si="115"/>
        <v>253</v>
      </c>
      <c r="BM162" s="433">
        <f t="shared" si="115"/>
        <v>277</v>
      </c>
      <c r="BN162" s="433">
        <f t="shared" si="115"/>
        <v>277</v>
      </c>
      <c r="BO162" s="433">
        <f t="shared" si="115"/>
        <v>277</v>
      </c>
      <c r="BP162" s="433">
        <f t="shared" ref="BP162:CF162" si="116">BN911</f>
        <v>277</v>
      </c>
      <c r="BQ162" s="433">
        <f t="shared" si="116"/>
        <v>277</v>
      </c>
      <c r="BR162" s="433">
        <f t="shared" si="116"/>
        <v>277</v>
      </c>
      <c r="BS162" s="433">
        <f t="shared" si="116"/>
        <v>308</v>
      </c>
      <c r="BT162" s="433">
        <f t="shared" si="116"/>
        <v>308</v>
      </c>
      <c r="BU162" s="433">
        <f t="shared" si="116"/>
        <v>328</v>
      </c>
      <c r="BV162" s="433">
        <f t="shared" si="116"/>
        <v>353</v>
      </c>
      <c r="BW162" s="433">
        <f t="shared" si="116"/>
        <v>376</v>
      </c>
      <c r="BX162" s="433">
        <f t="shared" si="116"/>
        <v>399</v>
      </c>
      <c r="BY162" s="433">
        <f t="shared" si="116"/>
        <v>412</v>
      </c>
      <c r="BZ162" s="433">
        <f t="shared" si="116"/>
        <v>424</v>
      </c>
      <c r="CA162" s="433">
        <f t="shared" si="116"/>
        <v>424</v>
      </c>
      <c r="CB162" s="433">
        <f t="shared" si="116"/>
        <v>472</v>
      </c>
      <c r="CC162" s="433">
        <f t="shared" si="116"/>
        <v>524</v>
      </c>
      <c r="CD162" s="433">
        <f t="shared" si="116"/>
        <v>538</v>
      </c>
      <c r="CE162" s="433">
        <f t="shared" si="116"/>
        <v>613</v>
      </c>
      <c r="CF162" s="433">
        <f t="shared" si="116"/>
        <v>648</v>
      </c>
      <c r="CG162" s="239" t="s">
        <v>762</v>
      </c>
      <c r="CH162" s="239" t="s">
        <v>762</v>
      </c>
      <c r="CI162" s="239" t="s">
        <v>762</v>
      </c>
      <c r="CJ162" s="239" t="s">
        <v>762</v>
      </c>
      <c r="CK162" s="239" t="s">
        <v>762</v>
      </c>
      <c r="CL162" s="239" t="s">
        <v>762</v>
      </c>
    </row>
    <row r="163" spans="1:90" s="434" customFormat="1">
      <c r="A163" s="239" t="s">
        <v>557</v>
      </c>
      <c r="B163" s="239" t="s">
        <v>626</v>
      </c>
      <c r="C163" s="433" t="s">
        <v>762</v>
      </c>
      <c r="D163" s="433" t="s">
        <v>762</v>
      </c>
      <c r="E163" s="433" t="s">
        <v>762</v>
      </c>
      <c r="F163" s="433" t="s">
        <v>762</v>
      </c>
      <c r="G163" s="433" t="s">
        <v>762</v>
      </c>
      <c r="H163" s="433" t="s">
        <v>762</v>
      </c>
      <c r="I163" s="433" t="s">
        <v>762</v>
      </c>
      <c r="J163" s="433" t="s">
        <v>762</v>
      </c>
      <c r="K163" s="433" t="s">
        <v>762</v>
      </c>
      <c r="L163" s="433" t="s">
        <v>762</v>
      </c>
      <c r="M163" s="433" t="s">
        <v>762</v>
      </c>
      <c r="N163" s="433" t="s">
        <v>762</v>
      </c>
      <c r="O163" s="433" t="s">
        <v>762</v>
      </c>
      <c r="P163" s="433" t="s">
        <v>762</v>
      </c>
      <c r="Q163" s="433" t="s">
        <v>762</v>
      </c>
      <c r="R163" s="433" t="s">
        <v>762</v>
      </c>
      <c r="S163" s="433" t="s">
        <v>762</v>
      </c>
      <c r="T163" s="433" t="s">
        <v>762</v>
      </c>
      <c r="U163" s="433" t="s">
        <v>762</v>
      </c>
      <c r="V163" s="433" t="s">
        <v>762</v>
      </c>
      <c r="W163" s="433" t="s">
        <v>762</v>
      </c>
      <c r="X163" s="433" t="s">
        <v>762</v>
      </c>
      <c r="Y163" s="433" t="s">
        <v>762</v>
      </c>
      <c r="Z163" s="433" t="s">
        <v>762</v>
      </c>
      <c r="AA163" s="433" t="s">
        <v>762</v>
      </c>
      <c r="AB163" s="433" t="s">
        <v>762</v>
      </c>
      <c r="AC163" s="433" t="s">
        <v>762</v>
      </c>
      <c r="AD163" s="433" t="s">
        <v>762</v>
      </c>
      <c r="AE163" s="433" t="s">
        <v>762</v>
      </c>
      <c r="AF163" s="433" t="s">
        <v>762</v>
      </c>
      <c r="AG163" s="433" t="s">
        <v>762</v>
      </c>
      <c r="AH163" s="433" t="s">
        <v>762</v>
      </c>
      <c r="AI163" s="433" t="s">
        <v>762</v>
      </c>
      <c r="AJ163" s="433" t="s">
        <v>762</v>
      </c>
      <c r="AK163" s="433" t="s">
        <v>762</v>
      </c>
      <c r="AL163" s="433" t="s">
        <v>762</v>
      </c>
      <c r="AM163" s="433" t="s">
        <v>762</v>
      </c>
      <c r="AN163" s="433" t="s">
        <v>762</v>
      </c>
      <c r="AO163" s="433" t="s">
        <v>762</v>
      </c>
      <c r="AP163" s="433" t="s">
        <v>762</v>
      </c>
      <c r="AQ163" s="433" t="s">
        <v>762</v>
      </c>
      <c r="AR163" s="433" t="s">
        <v>762</v>
      </c>
      <c r="AS163" s="433" t="s">
        <v>762</v>
      </c>
      <c r="AT163" s="433" t="s">
        <v>762</v>
      </c>
      <c r="AU163" s="433" t="s">
        <v>762</v>
      </c>
      <c r="AV163" s="433" t="s">
        <v>762</v>
      </c>
      <c r="AW163" s="433" t="s">
        <v>762</v>
      </c>
      <c r="AX163" s="433" t="s">
        <v>762</v>
      </c>
      <c r="AY163" s="433" t="s">
        <v>762</v>
      </c>
      <c r="AZ163" s="433" t="s">
        <v>762</v>
      </c>
      <c r="BA163" s="433" t="s">
        <v>762</v>
      </c>
      <c r="BB163" s="433" t="s">
        <v>762</v>
      </c>
      <c r="BC163" s="433" t="s">
        <v>762</v>
      </c>
      <c r="BD163" s="433" t="s">
        <v>762</v>
      </c>
      <c r="BE163" s="433" t="s">
        <v>762</v>
      </c>
      <c r="BF163" s="433" t="s">
        <v>762</v>
      </c>
      <c r="BG163" s="433" t="s">
        <v>762</v>
      </c>
      <c r="BH163" s="433" t="s">
        <v>762</v>
      </c>
      <c r="BI163" s="433" t="s">
        <v>762</v>
      </c>
      <c r="BJ163" s="433" t="s">
        <v>762</v>
      </c>
      <c r="BK163" s="433" t="s">
        <v>762</v>
      </c>
      <c r="BL163" s="433" t="s">
        <v>762</v>
      </c>
      <c r="BM163" s="433" t="s">
        <v>762</v>
      </c>
      <c r="BN163" s="433" t="s">
        <v>762</v>
      </c>
      <c r="BO163" s="433" t="s">
        <v>762</v>
      </c>
      <c r="BP163" s="433" t="s">
        <v>762</v>
      </c>
      <c r="BQ163" s="433" t="s">
        <v>762</v>
      </c>
      <c r="BR163" s="433" t="s">
        <v>762</v>
      </c>
      <c r="BS163" s="433" t="s">
        <v>762</v>
      </c>
      <c r="BT163" s="433" t="s">
        <v>762</v>
      </c>
      <c r="BU163" s="433" t="s">
        <v>762</v>
      </c>
      <c r="BV163" s="433" t="s">
        <v>762</v>
      </c>
      <c r="BW163" s="433" t="s">
        <v>762</v>
      </c>
      <c r="BX163" s="433" t="s">
        <v>762</v>
      </c>
      <c r="BY163" s="433" t="s">
        <v>762</v>
      </c>
      <c r="BZ163" s="433" t="s">
        <v>762</v>
      </c>
      <c r="CA163" s="433" t="s">
        <v>762</v>
      </c>
      <c r="CB163" s="433" t="s">
        <v>762</v>
      </c>
      <c r="CC163" s="433" t="s">
        <v>762</v>
      </c>
      <c r="CD163" s="433" t="s">
        <v>762</v>
      </c>
      <c r="CE163" s="433" t="s">
        <v>762</v>
      </c>
      <c r="CF163" s="433" t="s">
        <v>762</v>
      </c>
      <c r="CG163" s="239" t="s">
        <v>762</v>
      </c>
      <c r="CH163" s="239" t="s">
        <v>762</v>
      </c>
      <c r="CI163" s="239" t="s">
        <v>762</v>
      </c>
      <c r="CJ163" s="239" t="s">
        <v>762</v>
      </c>
      <c r="CK163" s="239" t="s">
        <v>762</v>
      </c>
      <c r="CL163" s="239" t="s">
        <v>762</v>
      </c>
    </row>
    <row r="164" spans="1:90" s="434" customFormat="1">
      <c r="A164" s="239" t="s">
        <v>558</v>
      </c>
      <c r="B164" s="239" t="s">
        <v>626</v>
      </c>
      <c r="C164" s="433" t="s">
        <v>762</v>
      </c>
      <c r="D164" s="433" t="s">
        <v>762</v>
      </c>
      <c r="E164" s="433" t="s">
        <v>762</v>
      </c>
      <c r="F164" s="433" t="s">
        <v>762</v>
      </c>
      <c r="G164" s="433" t="s">
        <v>762</v>
      </c>
      <c r="H164" s="433" t="s">
        <v>762</v>
      </c>
      <c r="I164" s="433" t="s">
        <v>762</v>
      </c>
      <c r="J164" s="433" t="s">
        <v>762</v>
      </c>
      <c r="K164" s="433" t="s">
        <v>762</v>
      </c>
      <c r="L164" s="433" t="s">
        <v>762</v>
      </c>
      <c r="M164" s="433" t="s">
        <v>762</v>
      </c>
      <c r="N164" s="433" t="s">
        <v>762</v>
      </c>
      <c r="O164" s="433" t="s">
        <v>762</v>
      </c>
      <c r="P164" s="433" t="s">
        <v>762</v>
      </c>
      <c r="Q164" s="433" t="s">
        <v>762</v>
      </c>
      <c r="R164" s="433" t="s">
        <v>762</v>
      </c>
      <c r="S164" s="433" t="s">
        <v>762</v>
      </c>
      <c r="T164" s="433" t="s">
        <v>762</v>
      </c>
      <c r="U164" s="433" t="s">
        <v>762</v>
      </c>
      <c r="V164" s="433" t="s">
        <v>762</v>
      </c>
      <c r="W164" s="433" t="s">
        <v>762</v>
      </c>
      <c r="X164" s="433" t="s">
        <v>762</v>
      </c>
      <c r="Y164" s="433" t="s">
        <v>762</v>
      </c>
      <c r="Z164" s="433" t="s">
        <v>762</v>
      </c>
      <c r="AA164" s="433" t="s">
        <v>762</v>
      </c>
      <c r="AB164" s="433" t="s">
        <v>762</v>
      </c>
      <c r="AC164" s="433" t="s">
        <v>762</v>
      </c>
      <c r="AD164" s="433" t="s">
        <v>762</v>
      </c>
      <c r="AE164" s="433" t="s">
        <v>762</v>
      </c>
      <c r="AF164" s="433" t="s">
        <v>762</v>
      </c>
      <c r="AG164" s="433" t="s">
        <v>762</v>
      </c>
      <c r="AH164" s="433" t="s">
        <v>762</v>
      </c>
      <c r="AI164" s="433" t="s">
        <v>762</v>
      </c>
      <c r="AJ164" s="433" t="s">
        <v>762</v>
      </c>
      <c r="AK164" s="433" t="s">
        <v>762</v>
      </c>
      <c r="AL164" s="433" t="s">
        <v>762</v>
      </c>
      <c r="AM164" s="433" t="s">
        <v>762</v>
      </c>
      <c r="AN164" s="433" t="s">
        <v>762</v>
      </c>
      <c r="AO164" s="433" t="s">
        <v>762</v>
      </c>
      <c r="AP164" s="433" t="s">
        <v>762</v>
      </c>
      <c r="AQ164" s="433" t="s">
        <v>762</v>
      </c>
      <c r="AR164" s="433" t="s">
        <v>762</v>
      </c>
      <c r="AS164" s="433" t="s">
        <v>762</v>
      </c>
      <c r="AT164" s="433" t="s">
        <v>762</v>
      </c>
      <c r="AU164" s="433" t="s">
        <v>762</v>
      </c>
      <c r="AV164" s="433" t="s">
        <v>762</v>
      </c>
      <c r="AW164" s="433" t="s">
        <v>762</v>
      </c>
      <c r="AX164" s="433" t="s">
        <v>762</v>
      </c>
      <c r="AY164" s="433" t="s">
        <v>762</v>
      </c>
      <c r="AZ164" s="433" t="s">
        <v>762</v>
      </c>
      <c r="BA164" s="433" t="s">
        <v>762</v>
      </c>
      <c r="BB164" s="433" t="s">
        <v>762</v>
      </c>
      <c r="BC164" s="433" t="s">
        <v>762</v>
      </c>
      <c r="BD164" s="433" t="s">
        <v>762</v>
      </c>
      <c r="BE164" s="433" t="s">
        <v>762</v>
      </c>
      <c r="BF164" s="433" t="s">
        <v>762</v>
      </c>
      <c r="BG164" s="433" t="s">
        <v>762</v>
      </c>
      <c r="BH164" s="433" t="s">
        <v>762</v>
      </c>
      <c r="BI164" s="433" t="s">
        <v>762</v>
      </c>
      <c r="BJ164" s="433" t="s">
        <v>762</v>
      </c>
      <c r="BK164" s="433" t="s">
        <v>762</v>
      </c>
      <c r="BL164" s="433" t="s">
        <v>762</v>
      </c>
      <c r="BM164" s="433" t="s">
        <v>762</v>
      </c>
      <c r="BN164" s="433" t="s">
        <v>762</v>
      </c>
      <c r="BO164" s="433" t="s">
        <v>762</v>
      </c>
      <c r="BP164" s="433" t="s">
        <v>762</v>
      </c>
      <c r="BQ164" s="433" t="s">
        <v>762</v>
      </c>
      <c r="BR164" s="433" t="s">
        <v>762</v>
      </c>
      <c r="BS164" s="433" t="s">
        <v>762</v>
      </c>
      <c r="BT164" s="433" t="s">
        <v>762</v>
      </c>
      <c r="BU164" s="433" t="s">
        <v>762</v>
      </c>
      <c r="BV164" s="433" t="s">
        <v>762</v>
      </c>
      <c r="BW164" s="433" t="s">
        <v>762</v>
      </c>
      <c r="BX164" s="433" t="s">
        <v>762</v>
      </c>
      <c r="BY164" s="433" t="s">
        <v>762</v>
      </c>
      <c r="BZ164" s="433" t="s">
        <v>762</v>
      </c>
      <c r="CA164" s="433" t="s">
        <v>762</v>
      </c>
      <c r="CB164" s="433" t="s">
        <v>762</v>
      </c>
      <c r="CC164" s="433" t="s">
        <v>762</v>
      </c>
      <c r="CD164" s="433" t="s">
        <v>762</v>
      </c>
      <c r="CE164" s="433" t="s">
        <v>762</v>
      </c>
      <c r="CF164" s="433" t="s">
        <v>762</v>
      </c>
      <c r="CG164" s="239" t="s">
        <v>762</v>
      </c>
      <c r="CH164" s="239" t="s">
        <v>762</v>
      </c>
      <c r="CI164" s="239" t="s">
        <v>762</v>
      </c>
      <c r="CJ164" s="239" t="s">
        <v>762</v>
      </c>
      <c r="CK164" s="239" t="s">
        <v>762</v>
      </c>
      <c r="CL164" s="239" t="s">
        <v>762</v>
      </c>
    </row>
    <row r="165" spans="1:90" s="434" customFormat="1">
      <c r="A165" s="239" t="s">
        <v>559</v>
      </c>
      <c r="B165" s="239" t="s">
        <v>626</v>
      </c>
      <c r="C165" s="433" t="s">
        <v>762</v>
      </c>
      <c r="D165" s="433" t="s">
        <v>762</v>
      </c>
      <c r="E165" s="433" t="s">
        <v>762</v>
      </c>
      <c r="F165" s="433" t="s">
        <v>762</v>
      </c>
      <c r="G165" s="433" t="s">
        <v>762</v>
      </c>
      <c r="H165" s="433" t="s">
        <v>762</v>
      </c>
      <c r="I165" s="433" t="s">
        <v>762</v>
      </c>
      <c r="J165" s="433" t="s">
        <v>762</v>
      </c>
      <c r="K165" s="433" t="s">
        <v>762</v>
      </c>
      <c r="L165" s="433" t="s">
        <v>762</v>
      </c>
      <c r="M165" s="433" t="s">
        <v>762</v>
      </c>
      <c r="N165" s="433" t="s">
        <v>762</v>
      </c>
      <c r="O165" s="433" t="s">
        <v>762</v>
      </c>
      <c r="P165" s="433" t="s">
        <v>762</v>
      </c>
      <c r="Q165" s="433" t="s">
        <v>762</v>
      </c>
      <c r="R165" s="433" t="s">
        <v>762</v>
      </c>
      <c r="S165" s="433" t="s">
        <v>762</v>
      </c>
      <c r="T165" s="433" t="s">
        <v>762</v>
      </c>
      <c r="U165" s="433" t="s">
        <v>762</v>
      </c>
      <c r="V165" s="433" t="s">
        <v>762</v>
      </c>
      <c r="W165" s="433" t="s">
        <v>762</v>
      </c>
      <c r="X165" s="433" t="s">
        <v>762</v>
      </c>
      <c r="Y165" s="433" t="s">
        <v>762</v>
      </c>
      <c r="Z165" s="433" t="s">
        <v>762</v>
      </c>
      <c r="AA165" s="433" t="s">
        <v>762</v>
      </c>
      <c r="AB165" s="433" t="s">
        <v>762</v>
      </c>
      <c r="AC165" s="433" t="s">
        <v>762</v>
      </c>
      <c r="AD165" s="433" t="s">
        <v>762</v>
      </c>
      <c r="AE165" s="433" t="s">
        <v>762</v>
      </c>
      <c r="AF165" s="433" t="s">
        <v>762</v>
      </c>
      <c r="AG165" s="433" t="s">
        <v>762</v>
      </c>
      <c r="AH165" s="433" t="s">
        <v>762</v>
      </c>
      <c r="AI165" s="433" t="s">
        <v>762</v>
      </c>
      <c r="AJ165" s="433" t="s">
        <v>762</v>
      </c>
      <c r="AK165" s="433" t="s">
        <v>762</v>
      </c>
      <c r="AL165" s="433" t="s">
        <v>762</v>
      </c>
      <c r="AM165" s="433" t="s">
        <v>762</v>
      </c>
      <c r="AN165" s="433" t="s">
        <v>762</v>
      </c>
      <c r="AO165" s="433" t="s">
        <v>762</v>
      </c>
      <c r="AP165" s="433" t="s">
        <v>762</v>
      </c>
      <c r="AQ165" s="433" t="s">
        <v>762</v>
      </c>
      <c r="AR165" s="433" t="s">
        <v>762</v>
      </c>
      <c r="AS165" s="433" t="s">
        <v>762</v>
      </c>
      <c r="AT165" s="433" t="s">
        <v>762</v>
      </c>
      <c r="AU165" s="433" t="s">
        <v>762</v>
      </c>
      <c r="AV165" s="433" t="s">
        <v>762</v>
      </c>
      <c r="AW165" s="433" t="s">
        <v>762</v>
      </c>
      <c r="AX165" s="433" t="s">
        <v>762</v>
      </c>
      <c r="AY165" s="433" t="s">
        <v>762</v>
      </c>
      <c r="AZ165" s="433" t="s">
        <v>762</v>
      </c>
      <c r="BA165" s="433" t="s">
        <v>762</v>
      </c>
      <c r="BB165" s="433" t="s">
        <v>762</v>
      </c>
      <c r="BC165" s="433" t="s">
        <v>762</v>
      </c>
      <c r="BD165" s="433" t="s">
        <v>762</v>
      </c>
      <c r="BE165" s="433" t="s">
        <v>762</v>
      </c>
      <c r="BF165" s="433" t="s">
        <v>762</v>
      </c>
      <c r="BG165" s="433" t="s">
        <v>762</v>
      </c>
      <c r="BH165" s="433" t="s">
        <v>762</v>
      </c>
      <c r="BI165" s="433" t="s">
        <v>762</v>
      </c>
      <c r="BJ165" s="433" t="s">
        <v>762</v>
      </c>
      <c r="BK165" s="433" t="s">
        <v>762</v>
      </c>
      <c r="BL165" s="433" t="s">
        <v>762</v>
      </c>
      <c r="BM165" s="433" t="s">
        <v>762</v>
      </c>
      <c r="BN165" s="433" t="s">
        <v>762</v>
      </c>
      <c r="BO165" s="433" t="s">
        <v>762</v>
      </c>
      <c r="BP165" s="433" t="s">
        <v>762</v>
      </c>
      <c r="BQ165" s="433" t="s">
        <v>762</v>
      </c>
      <c r="BR165" s="433" t="s">
        <v>762</v>
      </c>
      <c r="BS165" s="433" t="s">
        <v>762</v>
      </c>
      <c r="BT165" s="433" t="s">
        <v>762</v>
      </c>
      <c r="BU165" s="433" t="s">
        <v>762</v>
      </c>
      <c r="BV165" s="433" t="s">
        <v>762</v>
      </c>
      <c r="BW165" s="433" t="s">
        <v>762</v>
      </c>
      <c r="BX165" s="433" t="s">
        <v>762</v>
      </c>
      <c r="BY165" s="433" t="s">
        <v>762</v>
      </c>
      <c r="BZ165" s="433" t="s">
        <v>762</v>
      </c>
      <c r="CA165" s="433" t="s">
        <v>762</v>
      </c>
      <c r="CB165" s="433" t="s">
        <v>762</v>
      </c>
      <c r="CC165" s="433" t="s">
        <v>762</v>
      </c>
      <c r="CD165" s="433" t="s">
        <v>762</v>
      </c>
      <c r="CE165" s="433" t="s">
        <v>762</v>
      </c>
      <c r="CF165" s="433" t="s">
        <v>762</v>
      </c>
      <c r="CG165" s="239" t="s">
        <v>762</v>
      </c>
      <c r="CH165" s="239" t="s">
        <v>762</v>
      </c>
      <c r="CI165" s="239" t="s">
        <v>762</v>
      </c>
      <c r="CJ165" s="239" t="s">
        <v>762</v>
      </c>
      <c r="CK165" s="239" t="s">
        <v>762</v>
      </c>
      <c r="CL165" s="239" t="s">
        <v>762</v>
      </c>
    </row>
    <row r="166" spans="1:90" s="434" customFormat="1">
      <c r="A166" s="239" t="s">
        <v>560</v>
      </c>
      <c r="B166" s="239" t="s">
        <v>626</v>
      </c>
      <c r="C166" s="433" t="s">
        <v>762</v>
      </c>
      <c r="D166" s="433" t="s">
        <v>762</v>
      </c>
      <c r="E166" s="433" t="s">
        <v>762</v>
      </c>
      <c r="F166" s="433" t="s">
        <v>762</v>
      </c>
      <c r="G166" s="433" t="s">
        <v>762</v>
      </c>
      <c r="H166" s="433" t="s">
        <v>762</v>
      </c>
      <c r="I166" s="433" t="s">
        <v>762</v>
      </c>
      <c r="J166" s="433" t="s">
        <v>762</v>
      </c>
      <c r="K166" s="433" t="s">
        <v>762</v>
      </c>
      <c r="L166" s="433" t="s">
        <v>762</v>
      </c>
      <c r="M166" s="433" t="s">
        <v>762</v>
      </c>
      <c r="N166" s="433" t="s">
        <v>762</v>
      </c>
      <c r="O166" s="433" t="s">
        <v>762</v>
      </c>
      <c r="P166" s="433" t="s">
        <v>762</v>
      </c>
      <c r="Q166" s="433" t="s">
        <v>762</v>
      </c>
      <c r="R166" s="433" t="s">
        <v>762</v>
      </c>
      <c r="S166" s="433" t="s">
        <v>762</v>
      </c>
      <c r="T166" s="433" t="s">
        <v>762</v>
      </c>
      <c r="U166" s="433" t="s">
        <v>762</v>
      </c>
      <c r="V166" s="433" t="s">
        <v>762</v>
      </c>
      <c r="W166" s="433" t="s">
        <v>762</v>
      </c>
      <c r="X166" s="433" t="s">
        <v>762</v>
      </c>
      <c r="Y166" s="433" t="s">
        <v>762</v>
      </c>
      <c r="Z166" s="433" t="s">
        <v>762</v>
      </c>
      <c r="AA166" s="433" t="s">
        <v>762</v>
      </c>
      <c r="AB166" s="433" t="s">
        <v>762</v>
      </c>
      <c r="AC166" s="433" t="s">
        <v>762</v>
      </c>
      <c r="AD166" s="433" t="s">
        <v>762</v>
      </c>
      <c r="AE166" s="433" t="s">
        <v>762</v>
      </c>
      <c r="AF166" s="433" t="s">
        <v>762</v>
      </c>
      <c r="AG166" s="433" t="s">
        <v>762</v>
      </c>
      <c r="AH166" s="433" t="s">
        <v>762</v>
      </c>
      <c r="AI166" s="433" t="s">
        <v>762</v>
      </c>
      <c r="AJ166" s="433" t="s">
        <v>762</v>
      </c>
      <c r="AK166" s="433" t="s">
        <v>762</v>
      </c>
      <c r="AL166" s="433" t="s">
        <v>762</v>
      </c>
      <c r="AM166" s="433" t="s">
        <v>762</v>
      </c>
      <c r="AN166" s="433" t="s">
        <v>762</v>
      </c>
      <c r="AO166" s="433" t="s">
        <v>762</v>
      </c>
      <c r="AP166" s="433" t="s">
        <v>762</v>
      </c>
      <c r="AQ166" s="433" t="s">
        <v>762</v>
      </c>
      <c r="AR166" s="433" t="s">
        <v>762</v>
      </c>
      <c r="AS166" s="433" t="s">
        <v>762</v>
      </c>
      <c r="AT166" s="433" t="s">
        <v>762</v>
      </c>
      <c r="AU166" s="433" t="s">
        <v>762</v>
      </c>
      <c r="AV166" s="433" t="s">
        <v>762</v>
      </c>
      <c r="AW166" s="433" t="s">
        <v>762</v>
      </c>
      <c r="AX166" s="433" t="s">
        <v>762</v>
      </c>
      <c r="AY166" s="433" t="s">
        <v>762</v>
      </c>
      <c r="AZ166" s="433" t="s">
        <v>762</v>
      </c>
      <c r="BA166" s="433" t="s">
        <v>762</v>
      </c>
      <c r="BB166" s="433" t="s">
        <v>762</v>
      </c>
      <c r="BC166" s="433" t="s">
        <v>762</v>
      </c>
      <c r="BD166" s="433" t="s">
        <v>762</v>
      </c>
      <c r="BE166" s="433" t="s">
        <v>762</v>
      </c>
      <c r="BF166" s="433" t="s">
        <v>762</v>
      </c>
      <c r="BG166" s="433" t="s">
        <v>762</v>
      </c>
      <c r="BH166" s="433" t="s">
        <v>762</v>
      </c>
      <c r="BI166" s="433" t="s">
        <v>762</v>
      </c>
      <c r="BJ166" s="433" t="s">
        <v>762</v>
      </c>
      <c r="BK166" s="433" t="s">
        <v>762</v>
      </c>
      <c r="BL166" s="433" t="s">
        <v>762</v>
      </c>
      <c r="BM166" s="433" t="s">
        <v>762</v>
      </c>
      <c r="BN166" s="433" t="s">
        <v>762</v>
      </c>
      <c r="BO166" s="433" t="s">
        <v>762</v>
      </c>
      <c r="BP166" s="433" t="s">
        <v>762</v>
      </c>
      <c r="BQ166" s="433" t="s">
        <v>762</v>
      </c>
      <c r="BR166" s="433" t="s">
        <v>762</v>
      </c>
      <c r="BS166" s="433" t="s">
        <v>762</v>
      </c>
      <c r="BT166" s="433" t="s">
        <v>762</v>
      </c>
      <c r="BU166" s="433" t="s">
        <v>762</v>
      </c>
      <c r="BV166" s="433" t="s">
        <v>762</v>
      </c>
      <c r="BW166" s="433" t="s">
        <v>762</v>
      </c>
      <c r="BX166" s="433" t="s">
        <v>762</v>
      </c>
      <c r="BY166" s="433" t="s">
        <v>762</v>
      </c>
      <c r="BZ166" s="433" t="s">
        <v>762</v>
      </c>
      <c r="CA166" s="433" t="s">
        <v>762</v>
      </c>
      <c r="CB166" s="433" t="s">
        <v>762</v>
      </c>
      <c r="CC166" s="433" t="s">
        <v>762</v>
      </c>
      <c r="CD166" s="433" t="s">
        <v>762</v>
      </c>
      <c r="CE166" s="433" t="s">
        <v>762</v>
      </c>
      <c r="CF166" s="433" t="s">
        <v>762</v>
      </c>
      <c r="CG166" s="239" t="s">
        <v>762</v>
      </c>
      <c r="CH166" s="239" t="s">
        <v>762</v>
      </c>
      <c r="CI166" s="239" t="s">
        <v>762</v>
      </c>
      <c r="CJ166" s="239" t="s">
        <v>762</v>
      </c>
      <c r="CK166" s="239" t="s">
        <v>762</v>
      </c>
      <c r="CL166" s="239" t="s">
        <v>762</v>
      </c>
    </row>
    <row r="167" spans="1:90" s="434" customFormat="1">
      <c r="A167" s="239" t="s">
        <v>561</v>
      </c>
      <c r="B167" s="239" t="s">
        <v>626</v>
      </c>
      <c r="C167" s="433">
        <f t="shared" ref="C167:AD167" si="117">B913</f>
        <v>137</v>
      </c>
      <c r="D167" s="433">
        <f t="shared" si="117"/>
        <v>137</v>
      </c>
      <c r="E167" s="433">
        <f t="shared" si="117"/>
        <v>137</v>
      </c>
      <c r="F167" s="433">
        <f t="shared" si="117"/>
        <v>137</v>
      </c>
      <c r="G167" s="433">
        <f t="shared" si="117"/>
        <v>137</v>
      </c>
      <c r="H167" s="433">
        <f t="shared" si="117"/>
        <v>137</v>
      </c>
      <c r="I167" s="433">
        <f t="shared" si="117"/>
        <v>137</v>
      </c>
      <c r="J167" s="433">
        <f t="shared" si="117"/>
        <v>137</v>
      </c>
      <c r="K167" s="433">
        <f t="shared" si="117"/>
        <v>137</v>
      </c>
      <c r="L167" s="433">
        <f t="shared" si="117"/>
        <v>137</v>
      </c>
      <c r="M167" s="433">
        <f t="shared" si="117"/>
        <v>137</v>
      </c>
      <c r="N167" s="433">
        <f t="shared" si="117"/>
        <v>137</v>
      </c>
      <c r="O167" s="433">
        <f t="shared" si="117"/>
        <v>137</v>
      </c>
      <c r="P167" s="433">
        <f t="shared" si="117"/>
        <v>137</v>
      </c>
      <c r="Q167" s="433">
        <f t="shared" si="117"/>
        <v>137</v>
      </c>
      <c r="R167" s="433">
        <f t="shared" si="117"/>
        <v>137</v>
      </c>
      <c r="S167" s="433">
        <f t="shared" si="117"/>
        <v>137</v>
      </c>
      <c r="T167" s="433">
        <f t="shared" si="117"/>
        <v>137</v>
      </c>
      <c r="U167" s="433">
        <f t="shared" si="117"/>
        <v>137</v>
      </c>
      <c r="V167" s="433">
        <f t="shared" si="117"/>
        <v>137</v>
      </c>
      <c r="W167" s="433">
        <f t="shared" si="117"/>
        <v>137</v>
      </c>
      <c r="X167" s="433">
        <f t="shared" si="117"/>
        <v>137</v>
      </c>
      <c r="Y167" s="433">
        <f t="shared" si="117"/>
        <v>137</v>
      </c>
      <c r="Z167" s="433">
        <f t="shared" si="117"/>
        <v>137</v>
      </c>
      <c r="AA167" s="433">
        <f t="shared" si="117"/>
        <v>137</v>
      </c>
      <c r="AB167" s="433">
        <f t="shared" si="117"/>
        <v>137</v>
      </c>
      <c r="AC167" s="433">
        <f t="shared" si="117"/>
        <v>137</v>
      </c>
      <c r="AD167" s="433">
        <f t="shared" si="117"/>
        <v>137</v>
      </c>
      <c r="AE167" s="433">
        <f t="shared" ref="AE167:AJ167" si="118">AC913</f>
        <v>137</v>
      </c>
      <c r="AF167" s="433">
        <f t="shared" si="118"/>
        <v>169</v>
      </c>
      <c r="AG167" s="433">
        <f t="shared" si="118"/>
        <v>169</v>
      </c>
      <c r="AH167" s="433">
        <f t="shared" si="118"/>
        <v>169</v>
      </c>
      <c r="AI167" s="433">
        <f t="shared" si="118"/>
        <v>169</v>
      </c>
      <c r="AJ167" s="433">
        <f t="shared" si="118"/>
        <v>169</v>
      </c>
      <c r="AK167" s="433">
        <f t="shared" ref="AK167:BO167" si="119">AI912</f>
        <v>169</v>
      </c>
      <c r="AL167" s="433">
        <f t="shared" si="119"/>
        <v>169</v>
      </c>
      <c r="AM167" s="433">
        <f t="shared" si="119"/>
        <v>169</v>
      </c>
      <c r="AN167" s="433">
        <f t="shared" si="119"/>
        <v>169</v>
      </c>
      <c r="AO167" s="433">
        <f t="shared" si="119"/>
        <v>169</v>
      </c>
      <c r="AP167" s="433">
        <f t="shared" si="119"/>
        <v>169</v>
      </c>
      <c r="AQ167" s="433">
        <f t="shared" si="119"/>
        <v>169</v>
      </c>
      <c r="AR167" s="433">
        <f t="shared" si="119"/>
        <v>169</v>
      </c>
      <c r="AS167" s="433">
        <f t="shared" si="119"/>
        <v>169</v>
      </c>
      <c r="AT167" s="433">
        <f t="shared" si="119"/>
        <v>169</v>
      </c>
      <c r="AU167" s="433">
        <f t="shared" si="119"/>
        <v>169</v>
      </c>
      <c r="AV167" s="433">
        <f t="shared" si="119"/>
        <v>169</v>
      </c>
      <c r="AW167" s="433">
        <f t="shared" si="119"/>
        <v>169</v>
      </c>
      <c r="AX167" s="433">
        <f t="shared" si="119"/>
        <v>169</v>
      </c>
      <c r="AY167" s="433">
        <f t="shared" si="119"/>
        <v>202</v>
      </c>
      <c r="AZ167" s="433">
        <f t="shared" si="119"/>
        <v>202</v>
      </c>
      <c r="BA167" s="433">
        <f t="shared" si="119"/>
        <v>202</v>
      </c>
      <c r="BB167" s="433">
        <f t="shared" si="119"/>
        <v>202</v>
      </c>
      <c r="BC167" s="433">
        <f t="shared" si="119"/>
        <v>202</v>
      </c>
      <c r="BD167" s="433">
        <f t="shared" si="119"/>
        <v>202</v>
      </c>
      <c r="BE167" s="433">
        <f t="shared" si="119"/>
        <v>202</v>
      </c>
      <c r="BF167" s="433">
        <f t="shared" si="119"/>
        <v>202</v>
      </c>
      <c r="BG167" s="433">
        <f t="shared" si="119"/>
        <v>253</v>
      </c>
      <c r="BH167" s="433">
        <f t="shared" si="119"/>
        <v>253</v>
      </c>
      <c r="BI167" s="433">
        <f t="shared" si="119"/>
        <v>253</v>
      </c>
      <c r="BJ167" s="433">
        <f t="shared" si="119"/>
        <v>253</v>
      </c>
      <c r="BK167" s="433">
        <f t="shared" si="119"/>
        <v>253</v>
      </c>
      <c r="BL167" s="433">
        <f t="shared" si="119"/>
        <v>253</v>
      </c>
      <c r="BM167" s="433">
        <f t="shared" si="119"/>
        <v>277</v>
      </c>
      <c r="BN167" s="433">
        <f t="shared" si="119"/>
        <v>277</v>
      </c>
      <c r="BO167" s="433">
        <f t="shared" si="119"/>
        <v>277</v>
      </c>
      <c r="BP167" s="433">
        <f t="shared" ref="BP167:CF167" si="120">BN912</f>
        <v>277</v>
      </c>
      <c r="BQ167" s="433">
        <f t="shared" si="120"/>
        <v>277</v>
      </c>
      <c r="BR167" s="433">
        <f t="shared" si="120"/>
        <v>277</v>
      </c>
      <c r="BS167" s="433">
        <f t="shared" si="120"/>
        <v>308</v>
      </c>
      <c r="BT167" s="433">
        <f t="shared" si="120"/>
        <v>308</v>
      </c>
      <c r="BU167" s="433">
        <f t="shared" si="120"/>
        <v>328</v>
      </c>
      <c r="BV167" s="433">
        <f t="shared" si="120"/>
        <v>353</v>
      </c>
      <c r="BW167" s="433">
        <f t="shared" si="120"/>
        <v>376</v>
      </c>
      <c r="BX167" s="433">
        <f t="shared" si="120"/>
        <v>399</v>
      </c>
      <c r="BY167" s="433">
        <f t="shared" si="120"/>
        <v>412</v>
      </c>
      <c r="BZ167" s="433">
        <f t="shared" si="120"/>
        <v>424</v>
      </c>
      <c r="CA167" s="433">
        <f t="shared" si="120"/>
        <v>424</v>
      </c>
      <c r="CB167" s="433">
        <f t="shared" si="120"/>
        <v>472</v>
      </c>
      <c r="CC167" s="433">
        <f t="shared" si="120"/>
        <v>524</v>
      </c>
      <c r="CD167" s="433">
        <f t="shared" si="120"/>
        <v>538</v>
      </c>
      <c r="CE167" s="433">
        <f t="shared" si="120"/>
        <v>613</v>
      </c>
      <c r="CF167" s="433">
        <f t="shared" si="120"/>
        <v>648</v>
      </c>
      <c r="CG167" s="239" t="s">
        <v>762</v>
      </c>
      <c r="CH167" s="239" t="s">
        <v>762</v>
      </c>
      <c r="CI167" s="239" t="s">
        <v>762</v>
      </c>
      <c r="CJ167" s="239" t="s">
        <v>762</v>
      </c>
      <c r="CK167" s="239" t="s">
        <v>762</v>
      </c>
      <c r="CL167" s="239" t="s">
        <v>762</v>
      </c>
    </row>
    <row r="168" spans="1:90" s="434" customFormat="1">
      <c r="A168" s="239" t="s">
        <v>562</v>
      </c>
      <c r="B168" s="239" t="s">
        <v>626</v>
      </c>
      <c r="C168" s="433" t="s">
        <v>762</v>
      </c>
      <c r="D168" s="433" t="s">
        <v>762</v>
      </c>
      <c r="E168" s="433" t="s">
        <v>762</v>
      </c>
      <c r="F168" s="433" t="s">
        <v>762</v>
      </c>
      <c r="G168" s="433" t="s">
        <v>762</v>
      </c>
      <c r="H168" s="433" t="s">
        <v>762</v>
      </c>
      <c r="I168" s="433" t="s">
        <v>762</v>
      </c>
      <c r="J168" s="433" t="s">
        <v>762</v>
      </c>
      <c r="K168" s="433" t="s">
        <v>762</v>
      </c>
      <c r="L168" s="433" t="s">
        <v>762</v>
      </c>
      <c r="M168" s="433" t="s">
        <v>762</v>
      </c>
      <c r="N168" s="433" t="s">
        <v>762</v>
      </c>
      <c r="O168" s="433" t="s">
        <v>762</v>
      </c>
      <c r="P168" s="433" t="s">
        <v>762</v>
      </c>
      <c r="Q168" s="433" t="s">
        <v>762</v>
      </c>
      <c r="R168" s="433" t="s">
        <v>762</v>
      </c>
      <c r="S168" s="433" t="s">
        <v>762</v>
      </c>
      <c r="T168" s="433" t="s">
        <v>762</v>
      </c>
      <c r="U168" s="433" t="s">
        <v>762</v>
      </c>
      <c r="V168" s="433" t="s">
        <v>762</v>
      </c>
      <c r="W168" s="433" t="s">
        <v>762</v>
      </c>
      <c r="X168" s="433" t="s">
        <v>762</v>
      </c>
      <c r="Y168" s="433" t="s">
        <v>762</v>
      </c>
      <c r="Z168" s="433" t="s">
        <v>762</v>
      </c>
      <c r="AA168" s="433" t="s">
        <v>762</v>
      </c>
      <c r="AB168" s="433" t="s">
        <v>762</v>
      </c>
      <c r="AC168" s="433" t="s">
        <v>762</v>
      </c>
      <c r="AD168" s="433" t="s">
        <v>762</v>
      </c>
      <c r="AE168" s="433" t="s">
        <v>762</v>
      </c>
      <c r="AF168" s="433" t="s">
        <v>762</v>
      </c>
      <c r="AG168" s="433" t="s">
        <v>762</v>
      </c>
      <c r="AH168" s="433" t="s">
        <v>762</v>
      </c>
      <c r="AI168" s="433" t="s">
        <v>762</v>
      </c>
      <c r="AJ168" s="433" t="s">
        <v>762</v>
      </c>
      <c r="AK168" s="433" t="s">
        <v>762</v>
      </c>
      <c r="AL168" s="433" t="s">
        <v>762</v>
      </c>
      <c r="AM168" s="433" t="s">
        <v>762</v>
      </c>
      <c r="AN168" s="433" t="s">
        <v>762</v>
      </c>
      <c r="AO168" s="433" t="s">
        <v>762</v>
      </c>
      <c r="AP168" s="433" t="s">
        <v>762</v>
      </c>
      <c r="AQ168" s="433" t="s">
        <v>762</v>
      </c>
      <c r="AR168" s="433" t="s">
        <v>762</v>
      </c>
      <c r="AS168" s="433" t="s">
        <v>762</v>
      </c>
      <c r="AT168" s="433" t="s">
        <v>762</v>
      </c>
      <c r="AU168" s="433" t="s">
        <v>762</v>
      </c>
      <c r="AV168" s="433" t="s">
        <v>762</v>
      </c>
      <c r="AW168" s="433" t="s">
        <v>762</v>
      </c>
      <c r="AX168" s="433" t="s">
        <v>762</v>
      </c>
      <c r="AY168" s="433" t="s">
        <v>762</v>
      </c>
      <c r="AZ168" s="433" t="s">
        <v>762</v>
      </c>
      <c r="BA168" s="433" t="s">
        <v>762</v>
      </c>
      <c r="BB168" s="433" t="s">
        <v>762</v>
      </c>
      <c r="BC168" s="433" t="s">
        <v>762</v>
      </c>
      <c r="BD168" s="433" t="s">
        <v>762</v>
      </c>
      <c r="BE168" s="433" t="s">
        <v>762</v>
      </c>
      <c r="BF168" s="433" t="s">
        <v>762</v>
      </c>
      <c r="BG168" s="433" t="s">
        <v>762</v>
      </c>
      <c r="BH168" s="433" t="s">
        <v>762</v>
      </c>
      <c r="BI168" s="433" t="s">
        <v>762</v>
      </c>
      <c r="BJ168" s="433" t="s">
        <v>762</v>
      </c>
      <c r="BK168" s="433" t="s">
        <v>762</v>
      </c>
      <c r="BL168" s="433" t="s">
        <v>762</v>
      </c>
      <c r="BM168" s="433" t="s">
        <v>762</v>
      </c>
      <c r="BN168" s="433" t="s">
        <v>762</v>
      </c>
      <c r="BO168" s="433" t="s">
        <v>762</v>
      </c>
      <c r="BP168" s="433" t="s">
        <v>762</v>
      </c>
      <c r="BQ168" s="433" t="s">
        <v>762</v>
      </c>
      <c r="BR168" s="433" t="s">
        <v>762</v>
      </c>
      <c r="BS168" s="433" t="s">
        <v>762</v>
      </c>
      <c r="BT168" s="433" t="s">
        <v>762</v>
      </c>
      <c r="BU168" s="433" t="s">
        <v>762</v>
      </c>
      <c r="BV168" s="433" t="s">
        <v>762</v>
      </c>
      <c r="BW168" s="433" t="s">
        <v>762</v>
      </c>
      <c r="BX168" s="433" t="s">
        <v>762</v>
      </c>
      <c r="BY168" s="433" t="s">
        <v>762</v>
      </c>
      <c r="BZ168" s="433" t="s">
        <v>762</v>
      </c>
      <c r="CA168" s="433" t="s">
        <v>762</v>
      </c>
      <c r="CB168" s="433" t="s">
        <v>762</v>
      </c>
      <c r="CC168" s="433" t="s">
        <v>762</v>
      </c>
      <c r="CD168" s="433" t="s">
        <v>762</v>
      </c>
      <c r="CE168" s="433" t="s">
        <v>762</v>
      </c>
      <c r="CF168" s="433" t="s">
        <v>762</v>
      </c>
      <c r="CG168" s="239" t="s">
        <v>762</v>
      </c>
      <c r="CH168" s="239" t="s">
        <v>762</v>
      </c>
      <c r="CI168" s="239" t="s">
        <v>762</v>
      </c>
      <c r="CJ168" s="239" t="s">
        <v>762</v>
      </c>
      <c r="CK168" s="239" t="s">
        <v>762</v>
      </c>
      <c r="CL168" s="239" t="s">
        <v>762</v>
      </c>
    </row>
    <row r="169" spans="1:90" s="434" customFormat="1">
      <c r="A169" s="239" t="s">
        <v>563</v>
      </c>
      <c r="B169" s="239" t="s">
        <v>626</v>
      </c>
      <c r="C169" s="433" t="s">
        <v>762</v>
      </c>
      <c r="D169" s="433" t="s">
        <v>762</v>
      </c>
      <c r="E169" s="433" t="s">
        <v>762</v>
      </c>
      <c r="F169" s="433" t="s">
        <v>762</v>
      </c>
      <c r="G169" s="433" t="s">
        <v>762</v>
      </c>
      <c r="H169" s="433" t="s">
        <v>762</v>
      </c>
      <c r="I169" s="433" t="s">
        <v>762</v>
      </c>
      <c r="J169" s="433" t="s">
        <v>762</v>
      </c>
      <c r="K169" s="433" t="s">
        <v>762</v>
      </c>
      <c r="L169" s="433" t="s">
        <v>762</v>
      </c>
      <c r="M169" s="433" t="s">
        <v>762</v>
      </c>
      <c r="N169" s="433" t="s">
        <v>762</v>
      </c>
      <c r="O169" s="433" t="s">
        <v>762</v>
      </c>
      <c r="P169" s="433" t="s">
        <v>762</v>
      </c>
      <c r="Q169" s="433" t="s">
        <v>762</v>
      </c>
      <c r="R169" s="433" t="s">
        <v>762</v>
      </c>
      <c r="S169" s="433" t="s">
        <v>762</v>
      </c>
      <c r="T169" s="433" t="s">
        <v>762</v>
      </c>
      <c r="U169" s="433" t="s">
        <v>762</v>
      </c>
      <c r="V169" s="433" t="s">
        <v>762</v>
      </c>
      <c r="W169" s="433" t="s">
        <v>762</v>
      </c>
      <c r="X169" s="433" t="s">
        <v>762</v>
      </c>
      <c r="Y169" s="433" t="s">
        <v>762</v>
      </c>
      <c r="Z169" s="433" t="s">
        <v>762</v>
      </c>
      <c r="AA169" s="433" t="s">
        <v>762</v>
      </c>
      <c r="AB169" s="433" t="s">
        <v>762</v>
      </c>
      <c r="AC169" s="433" t="s">
        <v>762</v>
      </c>
      <c r="AD169" s="433" t="s">
        <v>762</v>
      </c>
      <c r="AE169" s="433" t="s">
        <v>762</v>
      </c>
      <c r="AF169" s="433" t="s">
        <v>762</v>
      </c>
      <c r="AG169" s="433" t="s">
        <v>762</v>
      </c>
      <c r="AH169" s="433" t="s">
        <v>762</v>
      </c>
      <c r="AI169" s="433" t="s">
        <v>762</v>
      </c>
      <c r="AJ169" s="433" t="s">
        <v>762</v>
      </c>
      <c r="AK169" s="433" t="s">
        <v>762</v>
      </c>
      <c r="AL169" s="433" t="s">
        <v>762</v>
      </c>
      <c r="AM169" s="433" t="s">
        <v>762</v>
      </c>
      <c r="AN169" s="433" t="s">
        <v>762</v>
      </c>
      <c r="AO169" s="433" t="s">
        <v>762</v>
      </c>
      <c r="AP169" s="433" t="s">
        <v>762</v>
      </c>
      <c r="AQ169" s="433" t="s">
        <v>762</v>
      </c>
      <c r="AR169" s="433" t="s">
        <v>762</v>
      </c>
      <c r="AS169" s="433" t="s">
        <v>762</v>
      </c>
      <c r="AT169" s="433" t="s">
        <v>762</v>
      </c>
      <c r="AU169" s="433" t="s">
        <v>762</v>
      </c>
      <c r="AV169" s="433" t="s">
        <v>762</v>
      </c>
      <c r="AW169" s="433" t="s">
        <v>762</v>
      </c>
      <c r="AX169" s="433" t="s">
        <v>762</v>
      </c>
      <c r="AY169" s="433" t="s">
        <v>762</v>
      </c>
      <c r="AZ169" s="433" t="s">
        <v>762</v>
      </c>
      <c r="BA169" s="433" t="s">
        <v>762</v>
      </c>
      <c r="BB169" s="433" t="s">
        <v>762</v>
      </c>
      <c r="BC169" s="433" t="s">
        <v>762</v>
      </c>
      <c r="BD169" s="433" t="s">
        <v>762</v>
      </c>
      <c r="BE169" s="433" t="s">
        <v>762</v>
      </c>
      <c r="BF169" s="433" t="s">
        <v>762</v>
      </c>
      <c r="BG169" s="433" t="s">
        <v>762</v>
      </c>
      <c r="BH169" s="433" t="s">
        <v>762</v>
      </c>
      <c r="BI169" s="433" t="s">
        <v>762</v>
      </c>
      <c r="BJ169" s="433" t="s">
        <v>762</v>
      </c>
      <c r="BK169" s="433" t="s">
        <v>762</v>
      </c>
      <c r="BL169" s="433" t="s">
        <v>762</v>
      </c>
      <c r="BM169" s="433" t="s">
        <v>762</v>
      </c>
      <c r="BN169" s="433" t="s">
        <v>762</v>
      </c>
      <c r="BO169" s="433" t="s">
        <v>762</v>
      </c>
      <c r="BP169" s="433" t="s">
        <v>762</v>
      </c>
      <c r="BQ169" s="433" t="s">
        <v>762</v>
      </c>
      <c r="BR169" s="433" t="s">
        <v>762</v>
      </c>
      <c r="BS169" s="433" t="s">
        <v>762</v>
      </c>
      <c r="BT169" s="433" t="s">
        <v>762</v>
      </c>
      <c r="BU169" s="433" t="s">
        <v>762</v>
      </c>
      <c r="BV169" s="433" t="s">
        <v>762</v>
      </c>
      <c r="BW169" s="433" t="s">
        <v>762</v>
      </c>
      <c r="BX169" s="433" t="s">
        <v>762</v>
      </c>
      <c r="BY169" s="433" t="s">
        <v>762</v>
      </c>
      <c r="BZ169" s="433" t="s">
        <v>762</v>
      </c>
      <c r="CA169" s="433" t="s">
        <v>762</v>
      </c>
      <c r="CB169" s="433" t="s">
        <v>762</v>
      </c>
      <c r="CC169" s="433" t="s">
        <v>762</v>
      </c>
      <c r="CD169" s="433" t="s">
        <v>762</v>
      </c>
      <c r="CE169" s="433" t="s">
        <v>762</v>
      </c>
      <c r="CF169" s="433" t="s">
        <v>762</v>
      </c>
      <c r="CG169" s="239" t="s">
        <v>762</v>
      </c>
      <c r="CH169" s="239" t="s">
        <v>762</v>
      </c>
      <c r="CI169" s="239" t="s">
        <v>762</v>
      </c>
      <c r="CJ169" s="239" t="s">
        <v>762</v>
      </c>
      <c r="CK169" s="239" t="s">
        <v>762</v>
      </c>
      <c r="CL169" s="239" t="s">
        <v>762</v>
      </c>
    </row>
    <row r="170" spans="1:90" s="434" customFormat="1">
      <c r="A170" s="239" t="s">
        <v>564</v>
      </c>
      <c r="B170" s="239" t="s">
        <v>626</v>
      </c>
      <c r="C170" s="433">
        <f t="shared" ref="C170:AD170" si="121">B914</f>
        <v>137</v>
      </c>
      <c r="D170" s="433">
        <f t="shared" si="121"/>
        <v>137</v>
      </c>
      <c r="E170" s="433">
        <f t="shared" si="121"/>
        <v>137</v>
      </c>
      <c r="F170" s="433">
        <f t="shared" si="121"/>
        <v>137</v>
      </c>
      <c r="G170" s="433">
        <f t="shared" si="121"/>
        <v>137</v>
      </c>
      <c r="H170" s="433">
        <f t="shared" si="121"/>
        <v>137</v>
      </c>
      <c r="I170" s="433">
        <f t="shared" si="121"/>
        <v>137</v>
      </c>
      <c r="J170" s="433">
        <f t="shared" si="121"/>
        <v>137</v>
      </c>
      <c r="K170" s="433">
        <f t="shared" si="121"/>
        <v>137</v>
      </c>
      <c r="L170" s="433">
        <f t="shared" si="121"/>
        <v>137</v>
      </c>
      <c r="M170" s="433">
        <f t="shared" si="121"/>
        <v>137</v>
      </c>
      <c r="N170" s="433">
        <f t="shared" si="121"/>
        <v>137</v>
      </c>
      <c r="O170" s="433">
        <f t="shared" si="121"/>
        <v>137</v>
      </c>
      <c r="P170" s="433">
        <f t="shared" si="121"/>
        <v>137</v>
      </c>
      <c r="Q170" s="433">
        <f t="shared" si="121"/>
        <v>137</v>
      </c>
      <c r="R170" s="433">
        <f t="shared" si="121"/>
        <v>137</v>
      </c>
      <c r="S170" s="433">
        <f t="shared" si="121"/>
        <v>137</v>
      </c>
      <c r="T170" s="433">
        <f t="shared" si="121"/>
        <v>137</v>
      </c>
      <c r="U170" s="433">
        <f t="shared" si="121"/>
        <v>137</v>
      </c>
      <c r="V170" s="433">
        <f t="shared" si="121"/>
        <v>137</v>
      </c>
      <c r="W170" s="433">
        <f t="shared" si="121"/>
        <v>137</v>
      </c>
      <c r="X170" s="433">
        <f t="shared" si="121"/>
        <v>137</v>
      </c>
      <c r="Y170" s="433">
        <f t="shared" si="121"/>
        <v>137</v>
      </c>
      <c r="Z170" s="433">
        <f t="shared" si="121"/>
        <v>137</v>
      </c>
      <c r="AA170" s="433">
        <f t="shared" si="121"/>
        <v>137</v>
      </c>
      <c r="AB170" s="433">
        <f t="shared" si="121"/>
        <v>137</v>
      </c>
      <c r="AC170" s="433">
        <f t="shared" si="121"/>
        <v>137</v>
      </c>
      <c r="AD170" s="433">
        <f t="shared" si="121"/>
        <v>137</v>
      </c>
      <c r="AE170" s="433">
        <f t="shared" ref="AE170:AJ171" si="122">AC914</f>
        <v>137</v>
      </c>
      <c r="AF170" s="433">
        <f t="shared" si="122"/>
        <v>169</v>
      </c>
      <c r="AG170" s="433">
        <f t="shared" si="122"/>
        <v>169</v>
      </c>
      <c r="AH170" s="433">
        <f t="shared" si="122"/>
        <v>169</v>
      </c>
      <c r="AI170" s="433">
        <f t="shared" si="122"/>
        <v>169</v>
      </c>
      <c r="AJ170" s="433">
        <f t="shared" si="122"/>
        <v>169</v>
      </c>
      <c r="AK170" s="433">
        <f t="shared" ref="AK170:BO170" si="123">AI913</f>
        <v>169</v>
      </c>
      <c r="AL170" s="433">
        <f t="shared" si="123"/>
        <v>169</v>
      </c>
      <c r="AM170" s="433">
        <f t="shared" si="123"/>
        <v>169</v>
      </c>
      <c r="AN170" s="433">
        <f t="shared" si="123"/>
        <v>169</v>
      </c>
      <c r="AO170" s="433">
        <f t="shared" si="123"/>
        <v>169</v>
      </c>
      <c r="AP170" s="433">
        <f t="shared" si="123"/>
        <v>169</v>
      </c>
      <c r="AQ170" s="433">
        <f t="shared" si="123"/>
        <v>169</v>
      </c>
      <c r="AR170" s="433">
        <f t="shared" si="123"/>
        <v>169</v>
      </c>
      <c r="AS170" s="433">
        <f t="shared" si="123"/>
        <v>169</v>
      </c>
      <c r="AT170" s="433">
        <f t="shared" si="123"/>
        <v>169</v>
      </c>
      <c r="AU170" s="433">
        <f t="shared" si="123"/>
        <v>169</v>
      </c>
      <c r="AV170" s="433">
        <f t="shared" si="123"/>
        <v>169</v>
      </c>
      <c r="AW170" s="433">
        <f t="shared" si="123"/>
        <v>169</v>
      </c>
      <c r="AX170" s="433">
        <f t="shared" si="123"/>
        <v>169</v>
      </c>
      <c r="AY170" s="433">
        <f t="shared" si="123"/>
        <v>202</v>
      </c>
      <c r="AZ170" s="433">
        <f t="shared" si="123"/>
        <v>202</v>
      </c>
      <c r="BA170" s="433">
        <f t="shared" si="123"/>
        <v>202</v>
      </c>
      <c r="BB170" s="433">
        <f t="shared" si="123"/>
        <v>202</v>
      </c>
      <c r="BC170" s="433">
        <f t="shared" si="123"/>
        <v>202</v>
      </c>
      <c r="BD170" s="433">
        <f t="shared" si="123"/>
        <v>202</v>
      </c>
      <c r="BE170" s="433">
        <f t="shared" si="123"/>
        <v>202</v>
      </c>
      <c r="BF170" s="433">
        <f t="shared" si="123"/>
        <v>202</v>
      </c>
      <c r="BG170" s="433">
        <f t="shared" si="123"/>
        <v>253</v>
      </c>
      <c r="BH170" s="433">
        <f t="shared" si="123"/>
        <v>253</v>
      </c>
      <c r="BI170" s="433">
        <f t="shared" si="123"/>
        <v>253</v>
      </c>
      <c r="BJ170" s="433">
        <f t="shared" si="123"/>
        <v>253</v>
      </c>
      <c r="BK170" s="433">
        <f t="shared" si="123"/>
        <v>253</v>
      </c>
      <c r="BL170" s="433">
        <f t="shared" si="123"/>
        <v>253</v>
      </c>
      <c r="BM170" s="433">
        <f t="shared" si="123"/>
        <v>277</v>
      </c>
      <c r="BN170" s="433">
        <f t="shared" si="123"/>
        <v>277</v>
      </c>
      <c r="BO170" s="433">
        <f t="shared" si="123"/>
        <v>277</v>
      </c>
      <c r="BP170" s="433">
        <f t="shared" ref="BP170:CF170" si="124">BN913</f>
        <v>277</v>
      </c>
      <c r="BQ170" s="433">
        <f t="shared" si="124"/>
        <v>277</v>
      </c>
      <c r="BR170" s="433">
        <f t="shared" si="124"/>
        <v>277</v>
      </c>
      <c r="BS170" s="433">
        <f t="shared" si="124"/>
        <v>308</v>
      </c>
      <c r="BT170" s="433">
        <f t="shared" si="124"/>
        <v>308</v>
      </c>
      <c r="BU170" s="433">
        <f t="shared" si="124"/>
        <v>328</v>
      </c>
      <c r="BV170" s="433">
        <f t="shared" si="124"/>
        <v>353</v>
      </c>
      <c r="BW170" s="433">
        <f t="shared" si="124"/>
        <v>376</v>
      </c>
      <c r="BX170" s="433">
        <f t="shared" si="124"/>
        <v>399</v>
      </c>
      <c r="BY170" s="433">
        <f t="shared" si="124"/>
        <v>412</v>
      </c>
      <c r="BZ170" s="433">
        <f t="shared" si="124"/>
        <v>424</v>
      </c>
      <c r="CA170" s="433">
        <f t="shared" si="124"/>
        <v>424</v>
      </c>
      <c r="CB170" s="433">
        <f t="shared" si="124"/>
        <v>472</v>
      </c>
      <c r="CC170" s="433">
        <f t="shared" si="124"/>
        <v>524</v>
      </c>
      <c r="CD170" s="433">
        <f t="shared" si="124"/>
        <v>538</v>
      </c>
      <c r="CE170" s="433">
        <f t="shared" si="124"/>
        <v>613</v>
      </c>
      <c r="CF170" s="433">
        <f t="shared" si="124"/>
        <v>648</v>
      </c>
      <c r="CG170" s="239" t="s">
        <v>762</v>
      </c>
      <c r="CH170" s="239" t="s">
        <v>762</v>
      </c>
      <c r="CI170" s="239" t="s">
        <v>762</v>
      </c>
      <c r="CJ170" s="239" t="s">
        <v>762</v>
      </c>
      <c r="CK170" s="239" t="s">
        <v>762</v>
      </c>
      <c r="CL170" s="239" t="s">
        <v>762</v>
      </c>
    </row>
    <row r="171" spans="1:90" s="434" customFormat="1">
      <c r="A171" s="239" t="s">
        <v>565</v>
      </c>
      <c r="B171" s="239" t="s">
        <v>626</v>
      </c>
      <c r="C171" s="433">
        <f t="shared" ref="C171:AD171" si="125">B915</f>
        <v>137</v>
      </c>
      <c r="D171" s="433">
        <f t="shared" si="125"/>
        <v>137</v>
      </c>
      <c r="E171" s="433">
        <f t="shared" si="125"/>
        <v>137</v>
      </c>
      <c r="F171" s="433">
        <f t="shared" si="125"/>
        <v>137</v>
      </c>
      <c r="G171" s="433">
        <f t="shared" si="125"/>
        <v>137</v>
      </c>
      <c r="H171" s="433">
        <f t="shared" si="125"/>
        <v>137</v>
      </c>
      <c r="I171" s="433">
        <f t="shared" si="125"/>
        <v>137</v>
      </c>
      <c r="J171" s="433">
        <f t="shared" si="125"/>
        <v>137</v>
      </c>
      <c r="K171" s="433">
        <f t="shared" si="125"/>
        <v>137</v>
      </c>
      <c r="L171" s="433">
        <f t="shared" si="125"/>
        <v>137</v>
      </c>
      <c r="M171" s="433">
        <f t="shared" si="125"/>
        <v>137</v>
      </c>
      <c r="N171" s="433">
        <f t="shared" si="125"/>
        <v>137</v>
      </c>
      <c r="O171" s="433">
        <f t="shared" si="125"/>
        <v>137</v>
      </c>
      <c r="P171" s="433">
        <f t="shared" si="125"/>
        <v>137</v>
      </c>
      <c r="Q171" s="433">
        <f t="shared" si="125"/>
        <v>137</v>
      </c>
      <c r="R171" s="433">
        <f t="shared" si="125"/>
        <v>137</v>
      </c>
      <c r="S171" s="433">
        <f t="shared" si="125"/>
        <v>137</v>
      </c>
      <c r="T171" s="433">
        <f t="shared" si="125"/>
        <v>137</v>
      </c>
      <c r="U171" s="433">
        <f t="shared" si="125"/>
        <v>137</v>
      </c>
      <c r="V171" s="433">
        <f t="shared" si="125"/>
        <v>137</v>
      </c>
      <c r="W171" s="433">
        <f t="shared" si="125"/>
        <v>137</v>
      </c>
      <c r="X171" s="433">
        <f t="shared" si="125"/>
        <v>137</v>
      </c>
      <c r="Y171" s="433">
        <f t="shared" si="125"/>
        <v>137</v>
      </c>
      <c r="Z171" s="433">
        <f t="shared" si="125"/>
        <v>137</v>
      </c>
      <c r="AA171" s="433">
        <f t="shared" si="125"/>
        <v>137</v>
      </c>
      <c r="AB171" s="433">
        <f t="shared" si="125"/>
        <v>137</v>
      </c>
      <c r="AC171" s="433">
        <f t="shared" si="125"/>
        <v>137</v>
      </c>
      <c r="AD171" s="433">
        <f t="shared" si="125"/>
        <v>137</v>
      </c>
      <c r="AE171" s="433">
        <f t="shared" si="122"/>
        <v>137</v>
      </c>
      <c r="AF171" s="433">
        <f t="shared" si="122"/>
        <v>169</v>
      </c>
      <c r="AG171" s="433">
        <f t="shared" si="122"/>
        <v>169</v>
      </c>
      <c r="AH171" s="433">
        <f t="shared" si="122"/>
        <v>169</v>
      </c>
      <c r="AI171" s="433">
        <f t="shared" si="122"/>
        <v>169</v>
      </c>
      <c r="AJ171" s="433">
        <f t="shared" si="122"/>
        <v>169</v>
      </c>
      <c r="AK171" s="433">
        <f t="shared" ref="AK171:BO171" si="126">AI914</f>
        <v>169</v>
      </c>
      <c r="AL171" s="433">
        <f t="shared" si="126"/>
        <v>169</v>
      </c>
      <c r="AM171" s="433">
        <f t="shared" si="126"/>
        <v>169</v>
      </c>
      <c r="AN171" s="433">
        <f t="shared" si="126"/>
        <v>169</v>
      </c>
      <c r="AO171" s="433">
        <f t="shared" si="126"/>
        <v>169</v>
      </c>
      <c r="AP171" s="433">
        <f t="shared" si="126"/>
        <v>169</v>
      </c>
      <c r="AQ171" s="433">
        <f t="shared" si="126"/>
        <v>169</v>
      </c>
      <c r="AR171" s="433">
        <f t="shared" si="126"/>
        <v>169</v>
      </c>
      <c r="AS171" s="433">
        <f t="shared" si="126"/>
        <v>169</v>
      </c>
      <c r="AT171" s="433">
        <f t="shared" si="126"/>
        <v>169</v>
      </c>
      <c r="AU171" s="433">
        <f t="shared" si="126"/>
        <v>169</v>
      </c>
      <c r="AV171" s="433">
        <f t="shared" si="126"/>
        <v>169</v>
      </c>
      <c r="AW171" s="433">
        <f t="shared" si="126"/>
        <v>169</v>
      </c>
      <c r="AX171" s="433">
        <f t="shared" si="126"/>
        <v>169</v>
      </c>
      <c r="AY171" s="433">
        <f t="shared" si="126"/>
        <v>202</v>
      </c>
      <c r="AZ171" s="433">
        <f t="shared" si="126"/>
        <v>202</v>
      </c>
      <c r="BA171" s="433">
        <f t="shared" si="126"/>
        <v>202</v>
      </c>
      <c r="BB171" s="433">
        <f t="shared" si="126"/>
        <v>202</v>
      </c>
      <c r="BC171" s="433">
        <f t="shared" si="126"/>
        <v>202</v>
      </c>
      <c r="BD171" s="433">
        <f t="shared" si="126"/>
        <v>202</v>
      </c>
      <c r="BE171" s="433">
        <f t="shared" si="126"/>
        <v>202</v>
      </c>
      <c r="BF171" s="433">
        <f t="shared" si="126"/>
        <v>202</v>
      </c>
      <c r="BG171" s="433">
        <f t="shared" si="126"/>
        <v>253</v>
      </c>
      <c r="BH171" s="433">
        <f t="shared" si="126"/>
        <v>253</v>
      </c>
      <c r="BI171" s="433">
        <f t="shared" si="126"/>
        <v>253</v>
      </c>
      <c r="BJ171" s="433">
        <f t="shared" si="126"/>
        <v>253</v>
      </c>
      <c r="BK171" s="433">
        <f t="shared" si="126"/>
        <v>253</v>
      </c>
      <c r="BL171" s="433">
        <f t="shared" si="126"/>
        <v>253</v>
      </c>
      <c r="BM171" s="433">
        <f t="shared" si="126"/>
        <v>277</v>
      </c>
      <c r="BN171" s="433">
        <f t="shared" si="126"/>
        <v>277</v>
      </c>
      <c r="BO171" s="433">
        <f t="shared" si="126"/>
        <v>277</v>
      </c>
      <c r="BP171" s="433">
        <f t="shared" ref="BP171:CF171" si="127">BN914</f>
        <v>277</v>
      </c>
      <c r="BQ171" s="433">
        <f t="shared" si="127"/>
        <v>277</v>
      </c>
      <c r="BR171" s="433">
        <f t="shared" si="127"/>
        <v>277</v>
      </c>
      <c r="BS171" s="433">
        <f t="shared" si="127"/>
        <v>308</v>
      </c>
      <c r="BT171" s="433">
        <f t="shared" si="127"/>
        <v>308</v>
      </c>
      <c r="BU171" s="433">
        <f t="shared" si="127"/>
        <v>328</v>
      </c>
      <c r="BV171" s="433">
        <f t="shared" si="127"/>
        <v>353</v>
      </c>
      <c r="BW171" s="433">
        <f t="shared" si="127"/>
        <v>376</v>
      </c>
      <c r="BX171" s="433">
        <f t="shared" si="127"/>
        <v>399</v>
      </c>
      <c r="BY171" s="433">
        <f t="shared" si="127"/>
        <v>412</v>
      </c>
      <c r="BZ171" s="433">
        <f t="shared" si="127"/>
        <v>424</v>
      </c>
      <c r="CA171" s="433">
        <f t="shared" si="127"/>
        <v>424</v>
      </c>
      <c r="CB171" s="433">
        <f t="shared" si="127"/>
        <v>472</v>
      </c>
      <c r="CC171" s="433">
        <f t="shared" si="127"/>
        <v>524</v>
      </c>
      <c r="CD171" s="433">
        <f t="shared" si="127"/>
        <v>538</v>
      </c>
      <c r="CE171" s="433">
        <f t="shared" si="127"/>
        <v>613</v>
      </c>
      <c r="CF171" s="433">
        <f t="shared" si="127"/>
        <v>648</v>
      </c>
      <c r="CG171" s="239" t="s">
        <v>762</v>
      </c>
      <c r="CH171" s="239" t="s">
        <v>762</v>
      </c>
      <c r="CI171" s="239" t="s">
        <v>762</v>
      </c>
      <c r="CJ171" s="239" t="s">
        <v>762</v>
      </c>
      <c r="CK171" s="239" t="s">
        <v>762</v>
      </c>
      <c r="CL171" s="239" t="s">
        <v>762</v>
      </c>
    </row>
    <row r="172" spans="1:90" s="434" customFormat="1">
      <c r="A172" s="239" t="s">
        <v>566</v>
      </c>
      <c r="B172" s="239" t="s">
        <v>626</v>
      </c>
      <c r="C172" s="433" t="s">
        <v>762</v>
      </c>
      <c r="D172" s="433" t="s">
        <v>762</v>
      </c>
      <c r="E172" s="433" t="s">
        <v>762</v>
      </c>
      <c r="F172" s="433" t="s">
        <v>762</v>
      </c>
      <c r="G172" s="433" t="s">
        <v>762</v>
      </c>
      <c r="H172" s="433" t="s">
        <v>762</v>
      </c>
      <c r="I172" s="433" t="s">
        <v>762</v>
      </c>
      <c r="J172" s="433" t="s">
        <v>762</v>
      </c>
      <c r="K172" s="433" t="s">
        <v>762</v>
      </c>
      <c r="L172" s="433" t="s">
        <v>762</v>
      </c>
      <c r="M172" s="433" t="s">
        <v>762</v>
      </c>
      <c r="N172" s="433" t="s">
        <v>762</v>
      </c>
      <c r="O172" s="433" t="s">
        <v>762</v>
      </c>
      <c r="P172" s="433" t="s">
        <v>762</v>
      </c>
      <c r="Q172" s="433" t="s">
        <v>762</v>
      </c>
      <c r="R172" s="433" t="s">
        <v>762</v>
      </c>
      <c r="S172" s="433" t="s">
        <v>762</v>
      </c>
      <c r="T172" s="433" t="s">
        <v>762</v>
      </c>
      <c r="U172" s="433" t="s">
        <v>762</v>
      </c>
      <c r="V172" s="433" t="s">
        <v>762</v>
      </c>
      <c r="W172" s="433" t="s">
        <v>762</v>
      </c>
      <c r="X172" s="433" t="s">
        <v>762</v>
      </c>
      <c r="Y172" s="433" t="s">
        <v>762</v>
      </c>
      <c r="Z172" s="433" t="s">
        <v>762</v>
      </c>
      <c r="AA172" s="433" t="s">
        <v>762</v>
      </c>
      <c r="AB172" s="433" t="s">
        <v>762</v>
      </c>
      <c r="AC172" s="433" t="s">
        <v>762</v>
      </c>
      <c r="AD172" s="433" t="s">
        <v>762</v>
      </c>
      <c r="AE172" s="433" t="s">
        <v>762</v>
      </c>
      <c r="AF172" s="433" t="s">
        <v>762</v>
      </c>
      <c r="AG172" s="433" t="s">
        <v>762</v>
      </c>
      <c r="AH172" s="433" t="s">
        <v>762</v>
      </c>
      <c r="AI172" s="433" t="s">
        <v>762</v>
      </c>
      <c r="AJ172" s="433" t="s">
        <v>762</v>
      </c>
      <c r="AK172" s="433" t="s">
        <v>762</v>
      </c>
      <c r="AL172" s="433" t="s">
        <v>762</v>
      </c>
      <c r="AM172" s="433" t="s">
        <v>762</v>
      </c>
      <c r="AN172" s="433" t="s">
        <v>762</v>
      </c>
      <c r="AO172" s="433" t="s">
        <v>762</v>
      </c>
      <c r="AP172" s="433" t="s">
        <v>762</v>
      </c>
      <c r="AQ172" s="433" t="s">
        <v>762</v>
      </c>
      <c r="AR172" s="433" t="s">
        <v>762</v>
      </c>
      <c r="AS172" s="433" t="s">
        <v>762</v>
      </c>
      <c r="AT172" s="433" t="s">
        <v>762</v>
      </c>
      <c r="AU172" s="433" t="s">
        <v>762</v>
      </c>
      <c r="AV172" s="433" t="s">
        <v>762</v>
      </c>
      <c r="AW172" s="433" t="s">
        <v>762</v>
      </c>
      <c r="AX172" s="433" t="s">
        <v>762</v>
      </c>
      <c r="AY172" s="433" t="s">
        <v>762</v>
      </c>
      <c r="AZ172" s="433" t="s">
        <v>762</v>
      </c>
      <c r="BA172" s="433" t="s">
        <v>762</v>
      </c>
      <c r="BB172" s="433" t="s">
        <v>762</v>
      </c>
      <c r="BC172" s="433" t="s">
        <v>762</v>
      </c>
      <c r="BD172" s="433" t="s">
        <v>762</v>
      </c>
      <c r="BE172" s="433" t="s">
        <v>762</v>
      </c>
      <c r="BF172" s="433" t="s">
        <v>762</v>
      </c>
      <c r="BG172" s="433" t="s">
        <v>762</v>
      </c>
      <c r="BH172" s="433" t="s">
        <v>762</v>
      </c>
      <c r="BI172" s="433" t="s">
        <v>762</v>
      </c>
      <c r="BJ172" s="433" t="s">
        <v>762</v>
      </c>
      <c r="BK172" s="433" t="s">
        <v>762</v>
      </c>
      <c r="BL172" s="433" t="s">
        <v>762</v>
      </c>
      <c r="BM172" s="433" t="s">
        <v>762</v>
      </c>
      <c r="BN172" s="433" t="s">
        <v>762</v>
      </c>
      <c r="BO172" s="433" t="s">
        <v>762</v>
      </c>
      <c r="BP172" s="433" t="s">
        <v>762</v>
      </c>
      <c r="BQ172" s="433" t="s">
        <v>762</v>
      </c>
      <c r="BR172" s="433" t="s">
        <v>762</v>
      </c>
      <c r="BS172" s="433" t="s">
        <v>762</v>
      </c>
      <c r="BT172" s="433" t="s">
        <v>762</v>
      </c>
      <c r="BU172" s="433" t="s">
        <v>762</v>
      </c>
      <c r="BV172" s="433" t="s">
        <v>762</v>
      </c>
      <c r="BW172" s="433" t="s">
        <v>762</v>
      </c>
      <c r="BX172" s="433" t="s">
        <v>762</v>
      </c>
      <c r="BY172" s="433" t="s">
        <v>762</v>
      </c>
      <c r="BZ172" s="433" t="s">
        <v>762</v>
      </c>
      <c r="CA172" s="433" t="s">
        <v>762</v>
      </c>
      <c r="CB172" s="433" t="s">
        <v>762</v>
      </c>
      <c r="CC172" s="433" t="s">
        <v>762</v>
      </c>
      <c r="CD172" s="433" t="s">
        <v>762</v>
      </c>
      <c r="CE172" s="433" t="s">
        <v>762</v>
      </c>
      <c r="CF172" s="433" t="s">
        <v>762</v>
      </c>
      <c r="CG172" s="239" t="s">
        <v>762</v>
      </c>
      <c r="CH172" s="239" t="s">
        <v>762</v>
      </c>
      <c r="CI172" s="239" t="s">
        <v>762</v>
      </c>
      <c r="CJ172" s="239" t="s">
        <v>762</v>
      </c>
      <c r="CK172" s="239" t="s">
        <v>762</v>
      </c>
      <c r="CL172" s="239" t="s">
        <v>762</v>
      </c>
    </row>
    <row r="173" spans="1:90" s="434" customFormat="1">
      <c r="A173" s="239" t="s">
        <v>567</v>
      </c>
      <c r="B173" s="239" t="s">
        <v>626</v>
      </c>
      <c r="C173" s="433" t="s">
        <v>762</v>
      </c>
      <c r="D173" s="433" t="s">
        <v>762</v>
      </c>
      <c r="E173" s="433" t="s">
        <v>762</v>
      </c>
      <c r="F173" s="433" t="s">
        <v>762</v>
      </c>
      <c r="G173" s="433" t="s">
        <v>762</v>
      </c>
      <c r="H173" s="433" t="s">
        <v>762</v>
      </c>
      <c r="I173" s="433" t="s">
        <v>762</v>
      </c>
      <c r="J173" s="433" t="s">
        <v>762</v>
      </c>
      <c r="K173" s="433" t="s">
        <v>762</v>
      </c>
      <c r="L173" s="433" t="s">
        <v>762</v>
      </c>
      <c r="M173" s="433" t="s">
        <v>762</v>
      </c>
      <c r="N173" s="433" t="s">
        <v>762</v>
      </c>
      <c r="O173" s="433" t="s">
        <v>762</v>
      </c>
      <c r="P173" s="433" t="s">
        <v>762</v>
      </c>
      <c r="Q173" s="433" t="s">
        <v>762</v>
      </c>
      <c r="R173" s="433" t="s">
        <v>762</v>
      </c>
      <c r="S173" s="433" t="s">
        <v>762</v>
      </c>
      <c r="T173" s="433" t="s">
        <v>762</v>
      </c>
      <c r="U173" s="433" t="s">
        <v>762</v>
      </c>
      <c r="V173" s="433" t="s">
        <v>762</v>
      </c>
      <c r="W173" s="433" t="s">
        <v>762</v>
      </c>
      <c r="X173" s="433" t="s">
        <v>762</v>
      </c>
      <c r="Y173" s="433" t="s">
        <v>762</v>
      </c>
      <c r="Z173" s="433" t="s">
        <v>762</v>
      </c>
      <c r="AA173" s="433" t="s">
        <v>762</v>
      </c>
      <c r="AB173" s="433" t="s">
        <v>762</v>
      </c>
      <c r="AC173" s="433" t="s">
        <v>762</v>
      </c>
      <c r="AD173" s="433" t="s">
        <v>762</v>
      </c>
      <c r="AE173" s="433" t="s">
        <v>762</v>
      </c>
      <c r="AF173" s="433" t="s">
        <v>762</v>
      </c>
      <c r="AG173" s="433" t="s">
        <v>762</v>
      </c>
      <c r="AH173" s="433" t="s">
        <v>762</v>
      </c>
      <c r="AI173" s="433" t="s">
        <v>762</v>
      </c>
      <c r="AJ173" s="433" t="s">
        <v>762</v>
      </c>
      <c r="AK173" s="433" t="s">
        <v>762</v>
      </c>
      <c r="AL173" s="433" t="s">
        <v>762</v>
      </c>
      <c r="AM173" s="433" t="s">
        <v>762</v>
      </c>
      <c r="AN173" s="433" t="s">
        <v>762</v>
      </c>
      <c r="AO173" s="433" t="s">
        <v>762</v>
      </c>
      <c r="AP173" s="433" t="s">
        <v>762</v>
      </c>
      <c r="AQ173" s="433" t="s">
        <v>762</v>
      </c>
      <c r="AR173" s="433" t="s">
        <v>762</v>
      </c>
      <c r="AS173" s="433" t="s">
        <v>762</v>
      </c>
      <c r="AT173" s="433" t="s">
        <v>762</v>
      </c>
      <c r="AU173" s="433" t="s">
        <v>762</v>
      </c>
      <c r="AV173" s="433" t="s">
        <v>762</v>
      </c>
      <c r="AW173" s="433" t="s">
        <v>762</v>
      </c>
      <c r="AX173" s="433" t="s">
        <v>762</v>
      </c>
      <c r="AY173" s="433" t="s">
        <v>762</v>
      </c>
      <c r="AZ173" s="433" t="s">
        <v>762</v>
      </c>
      <c r="BA173" s="433" t="s">
        <v>762</v>
      </c>
      <c r="BB173" s="433" t="s">
        <v>762</v>
      </c>
      <c r="BC173" s="433" t="s">
        <v>762</v>
      </c>
      <c r="BD173" s="433" t="s">
        <v>762</v>
      </c>
      <c r="BE173" s="433" t="s">
        <v>762</v>
      </c>
      <c r="BF173" s="433" t="s">
        <v>762</v>
      </c>
      <c r="BG173" s="433" t="s">
        <v>762</v>
      </c>
      <c r="BH173" s="433" t="s">
        <v>762</v>
      </c>
      <c r="BI173" s="433" t="s">
        <v>762</v>
      </c>
      <c r="BJ173" s="433" t="s">
        <v>762</v>
      </c>
      <c r="BK173" s="433" t="s">
        <v>762</v>
      </c>
      <c r="BL173" s="433" t="s">
        <v>762</v>
      </c>
      <c r="BM173" s="433" t="s">
        <v>762</v>
      </c>
      <c r="BN173" s="433" t="s">
        <v>762</v>
      </c>
      <c r="BO173" s="433" t="s">
        <v>762</v>
      </c>
      <c r="BP173" s="433" t="s">
        <v>762</v>
      </c>
      <c r="BQ173" s="433" t="s">
        <v>762</v>
      </c>
      <c r="BR173" s="433" t="s">
        <v>762</v>
      </c>
      <c r="BS173" s="433" t="s">
        <v>762</v>
      </c>
      <c r="BT173" s="433" t="s">
        <v>762</v>
      </c>
      <c r="BU173" s="433" t="s">
        <v>762</v>
      </c>
      <c r="BV173" s="433" t="s">
        <v>762</v>
      </c>
      <c r="BW173" s="433" t="s">
        <v>762</v>
      </c>
      <c r="BX173" s="433" t="s">
        <v>762</v>
      </c>
      <c r="BY173" s="433" t="s">
        <v>762</v>
      </c>
      <c r="BZ173" s="433" t="s">
        <v>762</v>
      </c>
      <c r="CA173" s="433" t="s">
        <v>762</v>
      </c>
      <c r="CB173" s="433" t="s">
        <v>762</v>
      </c>
      <c r="CC173" s="433" t="s">
        <v>762</v>
      </c>
      <c r="CD173" s="433" t="s">
        <v>762</v>
      </c>
      <c r="CE173" s="433" t="s">
        <v>762</v>
      </c>
      <c r="CF173" s="433" t="s">
        <v>762</v>
      </c>
      <c r="CG173" s="239" t="s">
        <v>762</v>
      </c>
      <c r="CH173" s="239" t="s">
        <v>762</v>
      </c>
      <c r="CI173" s="239" t="s">
        <v>762</v>
      </c>
      <c r="CJ173" s="239" t="s">
        <v>762</v>
      </c>
      <c r="CK173" s="239" t="s">
        <v>762</v>
      </c>
      <c r="CL173" s="239" t="s">
        <v>762</v>
      </c>
    </row>
    <row r="174" spans="1:90" s="434" customFormat="1">
      <c r="A174" s="239" t="s">
        <v>568</v>
      </c>
      <c r="B174" s="239" t="s">
        <v>626</v>
      </c>
      <c r="C174" s="433" t="s">
        <v>762</v>
      </c>
      <c r="D174" s="433" t="s">
        <v>762</v>
      </c>
      <c r="E174" s="433" t="s">
        <v>762</v>
      </c>
      <c r="F174" s="433" t="s">
        <v>762</v>
      </c>
      <c r="G174" s="433" t="s">
        <v>762</v>
      </c>
      <c r="H174" s="433" t="s">
        <v>762</v>
      </c>
      <c r="I174" s="433" t="s">
        <v>762</v>
      </c>
      <c r="J174" s="433" t="s">
        <v>762</v>
      </c>
      <c r="K174" s="433" t="s">
        <v>762</v>
      </c>
      <c r="L174" s="433" t="s">
        <v>762</v>
      </c>
      <c r="M174" s="433" t="s">
        <v>762</v>
      </c>
      <c r="N174" s="433" t="s">
        <v>762</v>
      </c>
      <c r="O174" s="433" t="s">
        <v>762</v>
      </c>
      <c r="P174" s="433" t="s">
        <v>762</v>
      </c>
      <c r="Q174" s="433" t="s">
        <v>762</v>
      </c>
      <c r="R174" s="433" t="s">
        <v>762</v>
      </c>
      <c r="S174" s="433" t="s">
        <v>762</v>
      </c>
      <c r="T174" s="433" t="s">
        <v>762</v>
      </c>
      <c r="U174" s="433" t="s">
        <v>762</v>
      </c>
      <c r="V174" s="433" t="s">
        <v>762</v>
      </c>
      <c r="W174" s="433" t="s">
        <v>762</v>
      </c>
      <c r="X174" s="433" t="s">
        <v>762</v>
      </c>
      <c r="Y174" s="433" t="s">
        <v>762</v>
      </c>
      <c r="Z174" s="433" t="s">
        <v>762</v>
      </c>
      <c r="AA174" s="433" t="s">
        <v>762</v>
      </c>
      <c r="AB174" s="433" t="s">
        <v>762</v>
      </c>
      <c r="AC174" s="433" t="s">
        <v>762</v>
      </c>
      <c r="AD174" s="433" t="s">
        <v>762</v>
      </c>
      <c r="AE174" s="433" t="s">
        <v>762</v>
      </c>
      <c r="AF174" s="433" t="s">
        <v>762</v>
      </c>
      <c r="AG174" s="433" t="s">
        <v>762</v>
      </c>
      <c r="AH174" s="433" t="s">
        <v>762</v>
      </c>
      <c r="AI174" s="433" t="s">
        <v>762</v>
      </c>
      <c r="AJ174" s="433" t="s">
        <v>762</v>
      </c>
      <c r="AK174" s="433" t="s">
        <v>762</v>
      </c>
      <c r="AL174" s="433" t="s">
        <v>762</v>
      </c>
      <c r="AM174" s="433" t="s">
        <v>762</v>
      </c>
      <c r="AN174" s="433" t="s">
        <v>762</v>
      </c>
      <c r="AO174" s="433" t="s">
        <v>762</v>
      </c>
      <c r="AP174" s="433" t="s">
        <v>762</v>
      </c>
      <c r="AQ174" s="433" t="s">
        <v>762</v>
      </c>
      <c r="AR174" s="433" t="s">
        <v>762</v>
      </c>
      <c r="AS174" s="433" t="s">
        <v>762</v>
      </c>
      <c r="AT174" s="433" t="s">
        <v>762</v>
      </c>
      <c r="AU174" s="433" t="s">
        <v>762</v>
      </c>
      <c r="AV174" s="433" t="s">
        <v>762</v>
      </c>
      <c r="AW174" s="433" t="s">
        <v>762</v>
      </c>
      <c r="AX174" s="433" t="s">
        <v>762</v>
      </c>
      <c r="AY174" s="433" t="s">
        <v>762</v>
      </c>
      <c r="AZ174" s="433" t="s">
        <v>762</v>
      </c>
      <c r="BA174" s="433" t="s">
        <v>762</v>
      </c>
      <c r="BB174" s="433" t="s">
        <v>762</v>
      </c>
      <c r="BC174" s="433" t="s">
        <v>762</v>
      </c>
      <c r="BD174" s="433" t="s">
        <v>762</v>
      </c>
      <c r="BE174" s="433" t="s">
        <v>762</v>
      </c>
      <c r="BF174" s="433" t="s">
        <v>762</v>
      </c>
      <c r="BG174" s="433" t="s">
        <v>762</v>
      </c>
      <c r="BH174" s="433" t="s">
        <v>762</v>
      </c>
      <c r="BI174" s="433" t="s">
        <v>762</v>
      </c>
      <c r="BJ174" s="433" t="s">
        <v>762</v>
      </c>
      <c r="BK174" s="433" t="s">
        <v>762</v>
      </c>
      <c r="BL174" s="433" t="s">
        <v>762</v>
      </c>
      <c r="BM174" s="433" t="s">
        <v>762</v>
      </c>
      <c r="BN174" s="433" t="s">
        <v>762</v>
      </c>
      <c r="BO174" s="433" t="s">
        <v>762</v>
      </c>
      <c r="BP174" s="433" t="s">
        <v>762</v>
      </c>
      <c r="BQ174" s="433" t="s">
        <v>762</v>
      </c>
      <c r="BR174" s="433" t="s">
        <v>762</v>
      </c>
      <c r="BS174" s="433" t="s">
        <v>762</v>
      </c>
      <c r="BT174" s="433" t="s">
        <v>762</v>
      </c>
      <c r="BU174" s="433" t="s">
        <v>762</v>
      </c>
      <c r="BV174" s="433" t="s">
        <v>762</v>
      </c>
      <c r="BW174" s="433" t="s">
        <v>762</v>
      </c>
      <c r="BX174" s="433" t="s">
        <v>762</v>
      </c>
      <c r="BY174" s="433" t="s">
        <v>762</v>
      </c>
      <c r="BZ174" s="433" t="s">
        <v>762</v>
      </c>
      <c r="CA174" s="433" t="s">
        <v>762</v>
      </c>
      <c r="CB174" s="433" t="s">
        <v>762</v>
      </c>
      <c r="CC174" s="433" t="s">
        <v>762</v>
      </c>
      <c r="CD174" s="433" t="s">
        <v>762</v>
      </c>
      <c r="CE174" s="433" t="s">
        <v>762</v>
      </c>
      <c r="CF174" s="433" t="s">
        <v>762</v>
      </c>
      <c r="CG174" s="239" t="s">
        <v>762</v>
      </c>
      <c r="CH174" s="239" t="s">
        <v>762</v>
      </c>
      <c r="CI174" s="239" t="s">
        <v>762</v>
      </c>
      <c r="CJ174" s="239" t="s">
        <v>762</v>
      </c>
      <c r="CK174" s="239" t="s">
        <v>762</v>
      </c>
      <c r="CL174" s="239" t="s">
        <v>762</v>
      </c>
    </row>
    <row r="175" spans="1:90" s="434" customFormat="1">
      <c r="A175" s="239" t="s">
        <v>569</v>
      </c>
      <c r="B175" s="239" t="s">
        <v>626</v>
      </c>
      <c r="C175" s="433">
        <f t="shared" ref="C175:AD175" si="128">B916</f>
        <v>108</v>
      </c>
      <c r="D175" s="433">
        <f t="shared" si="128"/>
        <v>108</v>
      </c>
      <c r="E175" s="433">
        <f t="shared" si="128"/>
        <v>108</v>
      </c>
      <c r="F175" s="433">
        <f t="shared" si="128"/>
        <v>108</v>
      </c>
      <c r="G175" s="433">
        <f t="shared" si="128"/>
        <v>108</v>
      </c>
      <c r="H175" s="433">
        <f t="shared" si="128"/>
        <v>108</v>
      </c>
      <c r="I175" s="433">
        <f t="shared" si="128"/>
        <v>108</v>
      </c>
      <c r="J175" s="433">
        <f t="shared" si="128"/>
        <v>108</v>
      </c>
      <c r="K175" s="433">
        <f t="shared" si="128"/>
        <v>108</v>
      </c>
      <c r="L175" s="433">
        <f t="shared" si="128"/>
        <v>108</v>
      </c>
      <c r="M175" s="433">
        <f t="shared" si="128"/>
        <v>108</v>
      </c>
      <c r="N175" s="433">
        <f t="shared" si="128"/>
        <v>108</v>
      </c>
      <c r="O175" s="433">
        <f t="shared" si="128"/>
        <v>108</v>
      </c>
      <c r="P175" s="433">
        <f t="shared" si="128"/>
        <v>108</v>
      </c>
      <c r="Q175" s="433">
        <f t="shared" si="128"/>
        <v>108</v>
      </c>
      <c r="R175" s="433">
        <f t="shared" si="128"/>
        <v>108</v>
      </c>
      <c r="S175" s="433">
        <f t="shared" si="128"/>
        <v>108</v>
      </c>
      <c r="T175" s="433">
        <f t="shared" si="128"/>
        <v>108</v>
      </c>
      <c r="U175" s="433">
        <f t="shared" si="128"/>
        <v>108</v>
      </c>
      <c r="V175" s="433">
        <f t="shared" si="128"/>
        <v>108</v>
      </c>
      <c r="W175" s="433">
        <f t="shared" si="128"/>
        <v>108</v>
      </c>
      <c r="X175" s="433">
        <f t="shared" si="128"/>
        <v>108</v>
      </c>
      <c r="Y175" s="433">
        <f t="shared" si="128"/>
        <v>108</v>
      </c>
      <c r="Z175" s="433">
        <f t="shared" si="128"/>
        <v>108</v>
      </c>
      <c r="AA175" s="433">
        <f t="shared" si="128"/>
        <v>108</v>
      </c>
      <c r="AB175" s="433">
        <f t="shared" si="128"/>
        <v>108</v>
      </c>
      <c r="AC175" s="433">
        <f t="shared" si="128"/>
        <v>108</v>
      </c>
      <c r="AD175" s="433">
        <f t="shared" si="128"/>
        <v>108</v>
      </c>
      <c r="AE175" s="433">
        <f t="shared" ref="AE175:AJ176" si="129">AC916</f>
        <v>108</v>
      </c>
      <c r="AF175" s="433">
        <f t="shared" si="129"/>
        <v>136</v>
      </c>
      <c r="AG175" s="433">
        <f t="shared" si="129"/>
        <v>136</v>
      </c>
      <c r="AH175" s="433">
        <f t="shared" si="129"/>
        <v>136</v>
      </c>
      <c r="AI175" s="433">
        <f t="shared" si="129"/>
        <v>136</v>
      </c>
      <c r="AJ175" s="433">
        <f t="shared" si="129"/>
        <v>136</v>
      </c>
      <c r="AK175" s="433">
        <f t="shared" ref="AK175:BO175" si="130">AI915</f>
        <v>136</v>
      </c>
      <c r="AL175" s="433">
        <f t="shared" si="130"/>
        <v>136</v>
      </c>
      <c r="AM175" s="433">
        <f t="shared" si="130"/>
        <v>136</v>
      </c>
      <c r="AN175" s="433">
        <f t="shared" si="130"/>
        <v>136</v>
      </c>
      <c r="AO175" s="433">
        <f t="shared" si="130"/>
        <v>136</v>
      </c>
      <c r="AP175" s="433">
        <f t="shared" si="130"/>
        <v>136</v>
      </c>
      <c r="AQ175" s="433">
        <f t="shared" si="130"/>
        <v>136</v>
      </c>
      <c r="AR175" s="433">
        <f t="shared" si="130"/>
        <v>136</v>
      </c>
      <c r="AS175" s="433">
        <f t="shared" si="130"/>
        <v>136</v>
      </c>
      <c r="AT175" s="433">
        <f t="shared" si="130"/>
        <v>136</v>
      </c>
      <c r="AU175" s="433">
        <f t="shared" si="130"/>
        <v>136</v>
      </c>
      <c r="AV175" s="433">
        <f t="shared" si="130"/>
        <v>136</v>
      </c>
      <c r="AW175" s="433">
        <f t="shared" si="130"/>
        <v>136</v>
      </c>
      <c r="AX175" s="433">
        <f t="shared" si="130"/>
        <v>136</v>
      </c>
      <c r="AY175" s="433">
        <f t="shared" si="130"/>
        <v>157</v>
      </c>
      <c r="AZ175" s="433">
        <f t="shared" si="130"/>
        <v>157</v>
      </c>
      <c r="BA175" s="433">
        <f t="shared" si="130"/>
        <v>157</v>
      </c>
      <c r="BB175" s="433">
        <f t="shared" si="130"/>
        <v>157</v>
      </c>
      <c r="BC175" s="433">
        <f t="shared" si="130"/>
        <v>157</v>
      </c>
      <c r="BD175" s="433">
        <f t="shared" si="130"/>
        <v>157</v>
      </c>
      <c r="BE175" s="433">
        <f t="shared" si="130"/>
        <v>157</v>
      </c>
      <c r="BF175" s="433">
        <f t="shared" si="130"/>
        <v>157</v>
      </c>
      <c r="BG175" s="433">
        <f t="shared" si="130"/>
        <v>211</v>
      </c>
      <c r="BH175" s="433">
        <f t="shared" si="130"/>
        <v>211</v>
      </c>
      <c r="BI175" s="433">
        <f t="shared" si="130"/>
        <v>211</v>
      </c>
      <c r="BJ175" s="433">
        <f t="shared" si="130"/>
        <v>211</v>
      </c>
      <c r="BK175" s="433">
        <f t="shared" si="130"/>
        <v>211</v>
      </c>
      <c r="BL175" s="433">
        <f t="shared" si="130"/>
        <v>211</v>
      </c>
      <c r="BM175" s="433">
        <f t="shared" si="130"/>
        <v>246</v>
      </c>
      <c r="BN175" s="433">
        <f t="shared" si="130"/>
        <v>246</v>
      </c>
      <c r="BO175" s="433">
        <f t="shared" si="130"/>
        <v>246</v>
      </c>
      <c r="BP175" s="433">
        <f t="shared" ref="BP175:CF175" si="131">BN915</f>
        <v>246</v>
      </c>
      <c r="BQ175" s="433">
        <f t="shared" si="131"/>
        <v>246</v>
      </c>
      <c r="BR175" s="433">
        <f t="shared" si="131"/>
        <v>246</v>
      </c>
      <c r="BS175" s="433">
        <f t="shared" si="131"/>
        <v>272</v>
      </c>
      <c r="BT175" s="433">
        <f t="shared" si="131"/>
        <v>272</v>
      </c>
      <c r="BU175" s="433">
        <f t="shared" si="131"/>
        <v>289</v>
      </c>
      <c r="BV175" s="433">
        <f t="shared" si="131"/>
        <v>316</v>
      </c>
      <c r="BW175" s="433">
        <f t="shared" si="131"/>
        <v>330</v>
      </c>
      <c r="BX175" s="433">
        <f t="shared" si="131"/>
        <v>350</v>
      </c>
      <c r="BY175" s="433">
        <f t="shared" si="131"/>
        <v>363</v>
      </c>
      <c r="BZ175" s="433">
        <f t="shared" si="131"/>
        <v>378</v>
      </c>
      <c r="CA175" s="433">
        <f t="shared" si="131"/>
        <v>378</v>
      </c>
      <c r="CB175" s="433">
        <f t="shared" si="131"/>
        <v>415</v>
      </c>
      <c r="CC175" s="433">
        <f t="shared" si="131"/>
        <v>463</v>
      </c>
      <c r="CD175" s="433">
        <f t="shared" si="131"/>
        <v>476</v>
      </c>
      <c r="CE175" s="433">
        <f t="shared" si="131"/>
        <v>538</v>
      </c>
      <c r="CF175" s="433">
        <f t="shared" si="131"/>
        <v>573</v>
      </c>
      <c r="CG175" s="239" t="s">
        <v>762</v>
      </c>
      <c r="CH175" s="239" t="s">
        <v>762</v>
      </c>
      <c r="CI175" s="239" t="s">
        <v>762</v>
      </c>
      <c r="CJ175" s="239" t="s">
        <v>762</v>
      </c>
      <c r="CK175" s="239" t="s">
        <v>762</v>
      </c>
      <c r="CL175" s="239" t="s">
        <v>762</v>
      </c>
    </row>
    <row r="176" spans="1:90" s="434" customFormat="1">
      <c r="A176" s="239" t="s">
        <v>570</v>
      </c>
      <c r="B176" s="239" t="s">
        <v>626</v>
      </c>
      <c r="C176" s="433">
        <f t="shared" ref="C176:AD176" si="132">B917</f>
        <v>95</v>
      </c>
      <c r="D176" s="433">
        <f t="shared" si="132"/>
        <v>95</v>
      </c>
      <c r="E176" s="433">
        <f t="shared" si="132"/>
        <v>95</v>
      </c>
      <c r="F176" s="433">
        <f t="shared" si="132"/>
        <v>95</v>
      </c>
      <c r="G176" s="433">
        <f t="shared" si="132"/>
        <v>95</v>
      </c>
      <c r="H176" s="433">
        <f t="shared" si="132"/>
        <v>95</v>
      </c>
      <c r="I176" s="433">
        <f t="shared" si="132"/>
        <v>95</v>
      </c>
      <c r="J176" s="433">
        <f t="shared" si="132"/>
        <v>95</v>
      </c>
      <c r="K176" s="433">
        <f t="shared" si="132"/>
        <v>95</v>
      </c>
      <c r="L176" s="433">
        <f t="shared" si="132"/>
        <v>95</v>
      </c>
      <c r="M176" s="433">
        <f t="shared" si="132"/>
        <v>95</v>
      </c>
      <c r="N176" s="433">
        <f t="shared" si="132"/>
        <v>95</v>
      </c>
      <c r="O176" s="433">
        <f t="shared" si="132"/>
        <v>95</v>
      </c>
      <c r="P176" s="433">
        <f t="shared" si="132"/>
        <v>95</v>
      </c>
      <c r="Q176" s="433">
        <f t="shared" si="132"/>
        <v>95</v>
      </c>
      <c r="R176" s="433">
        <f t="shared" si="132"/>
        <v>95</v>
      </c>
      <c r="S176" s="433">
        <f t="shared" si="132"/>
        <v>95</v>
      </c>
      <c r="T176" s="433">
        <f t="shared" si="132"/>
        <v>95</v>
      </c>
      <c r="U176" s="433">
        <f t="shared" si="132"/>
        <v>95</v>
      </c>
      <c r="V176" s="433">
        <f t="shared" si="132"/>
        <v>95</v>
      </c>
      <c r="W176" s="433">
        <f t="shared" si="132"/>
        <v>95</v>
      </c>
      <c r="X176" s="433">
        <f t="shared" si="132"/>
        <v>95</v>
      </c>
      <c r="Y176" s="433">
        <f t="shared" si="132"/>
        <v>95</v>
      </c>
      <c r="Z176" s="433">
        <f t="shared" si="132"/>
        <v>95</v>
      </c>
      <c r="AA176" s="433">
        <f t="shared" si="132"/>
        <v>95</v>
      </c>
      <c r="AB176" s="433">
        <f t="shared" si="132"/>
        <v>95</v>
      </c>
      <c r="AC176" s="433">
        <f t="shared" si="132"/>
        <v>95</v>
      </c>
      <c r="AD176" s="433">
        <f t="shared" si="132"/>
        <v>95</v>
      </c>
      <c r="AE176" s="433">
        <f t="shared" si="129"/>
        <v>95</v>
      </c>
      <c r="AF176" s="433">
        <f t="shared" si="129"/>
        <v>118</v>
      </c>
      <c r="AG176" s="433">
        <f t="shared" si="129"/>
        <v>118</v>
      </c>
      <c r="AH176" s="433">
        <f t="shared" si="129"/>
        <v>118</v>
      </c>
      <c r="AI176" s="433">
        <f t="shared" si="129"/>
        <v>118</v>
      </c>
      <c r="AJ176" s="433">
        <f t="shared" si="129"/>
        <v>118</v>
      </c>
      <c r="AK176" s="433">
        <f t="shared" ref="AK176:BO176" si="133">AI916</f>
        <v>118</v>
      </c>
      <c r="AL176" s="433">
        <f t="shared" si="133"/>
        <v>118</v>
      </c>
      <c r="AM176" s="433">
        <f t="shared" si="133"/>
        <v>118</v>
      </c>
      <c r="AN176" s="433">
        <f t="shared" si="133"/>
        <v>118</v>
      </c>
      <c r="AO176" s="433">
        <f t="shared" si="133"/>
        <v>118</v>
      </c>
      <c r="AP176" s="433">
        <f t="shared" si="133"/>
        <v>118</v>
      </c>
      <c r="AQ176" s="433">
        <f t="shared" si="133"/>
        <v>118</v>
      </c>
      <c r="AR176" s="433">
        <f t="shared" si="133"/>
        <v>118</v>
      </c>
      <c r="AS176" s="433">
        <f t="shared" si="133"/>
        <v>118</v>
      </c>
      <c r="AT176" s="433">
        <f t="shared" si="133"/>
        <v>118</v>
      </c>
      <c r="AU176" s="433">
        <f t="shared" si="133"/>
        <v>118</v>
      </c>
      <c r="AV176" s="433">
        <f t="shared" si="133"/>
        <v>118</v>
      </c>
      <c r="AW176" s="433">
        <f t="shared" si="133"/>
        <v>118</v>
      </c>
      <c r="AX176" s="433">
        <f t="shared" si="133"/>
        <v>118</v>
      </c>
      <c r="AY176" s="433">
        <f t="shared" si="133"/>
        <v>142</v>
      </c>
      <c r="AZ176" s="433">
        <f t="shared" si="133"/>
        <v>142</v>
      </c>
      <c r="BA176" s="433">
        <f t="shared" si="133"/>
        <v>142</v>
      </c>
      <c r="BB176" s="433">
        <f t="shared" si="133"/>
        <v>142</v>
      </c>
      <c r="BC176" s="433">
        <f t="shared" si="133"/>
        <v>142</v>
      </c>
      <c r="BD176" s="433">
        <f t="shared" si="133"/>
        <v>142</v>
      </c>
      <c r="BE176" s="433">
        <f t="shared" si="133"/>
        <v>142</v>
      </c>
      <c r="BF176" s="433">
        <f t="shared" si="133"/>
        <v>142</v>
      </c>
      <c r="BG176" s="433">
        <f t="shared" si="133"/>
        <v>183</v>
      </c>
      <c r="BH176" s="433">
        <f t="shared" si="133"/>
        <v>183</v>
      </c>
      <c r="BI176" s="433">
        <f t="shared" si="133"/>
        <v>183</v>
      </c>
      <c r="BJ176" s="433">
        <f t="shared" si="133"/>
        <v>183</v>
      </c>
      <c r="BK176" s="433">
        <f t="shared" si="133"/>
        <v>183</v>
      </c>
      <c r="BL176" s="433">
        <f t="shared" si="133"/>
        <v>183</v>
      </c>
      <c r="BM176" s="433">
        <f t="shared" si="133"/>
        <v>193</v>
      </c>
      <c r="BN176" s="433">
        <f t="shared" si="133"/>
        <v>193</v>
      </c>
      <c r="BO176" s="433">
        <f t="shared" si="133"/>
        <v>193</v>
      </c>
      <c r="BP176" s="433">
        <f t="shared" ref="BP176:CF176" si="134">BN916</f>
        <v>193</v>
      </c>
      <c r="BQ176" s="433">
        <f t="shared" si="134"/>
        <v>193</v>
      </c>
      <c r="BR176" s="433">
        <f t="shared" si="134"/>
        <v>193</v>
      </c>
      <c r="BS176" s="433">
        <f t="shared" si="134"/>
        <v>212</v>
      </c>
      <c r="BT176" s="433">
        <f t="shared" si="134"/>
        <v>212</v>
      </c>
      <c r="BU176" s="433">
        <f t="shared" si="134"/>
        <v>225</v>
      </c>
      <c r="BV176" s="433">
        <f t="shared" si="134"/>
        <v>246</v>
      </c>
      <c r="BW176" s="433">
        <f t="shared" si="134"/>
        <v>259</v>
      </c>
      <c r="BX176" s="433">
        <f t="shared" si="134"/>
        <v>271</v>
      </c>
      <c r="BY176" s="433">
        <f t="shared" si="134"/>
        <v>285</v>
      </c>
      <c r="BZ176" s="433">
        <f t="shared" si="134"/>
        <v>295</v>
      </c>
      <c r="CA176" s="433">
        <f t="shared" si="134"/>
        <v>295</v>
      </c>
      <c r="CB176" s="433">
        <f t="shared" si="134"/>
        <v>328</v>
      </c>
      <c r="CC176" s="433">
        <f t="shared" si="134"/>
        <v>362</v>
      </c>
      <c r="CD176" s="433">
        <f t="shared" si="134"/>
        <v>376</v>
      </c>
      <c r="CE176" s="433">
        <f t="shared" si="134"/>
        <v>424</v>
      </c>
      <c r="CF176" s="433">
        <f t="shared" si="134"/>
        <v>448</v>
      </c>
      <c r="CG176" s="239" t="s">
        <v>762</v>
      </c>
      <c r="CH176" s="239" t="s">
        <v>762</v>
      </c>
      <c r="CI176" s="239" t="s">
        <v>762</v>
      </c>
      <c r="CJ176" s="239" t="s">
        <v>762</v>
      </c>
      <c r="CK176" s="239" t="s">
        <v>762</v>
      </c>
      <c r="CL176" s="239" t="s">
        <v>762</v>
      </c>
    </row>
    <row r="177" spans="1:90" s="434" customFormat="1">
      <c r="A177" s="239" t="s">
        <v>571</v>
      </c>
      <c r="B177" s="239" t="s">
        <v>626</v>
      </c>
      <c r="C177" s="433">
        <f t="shared" ref="C177:AD177" si="135">B919</f>
        <v>160</v>
      </c>
      <c r="D177" s="433">
        <f t="shared" si="135"/>
        <v>160</v>
      </c>
      <c r="E177" s="433">
        <f t="shared" si="135"/>
        <v>160</v>
      </c>
      <c r="F177" s="433">
        <f t="shared" si="135"/>
        <v>160</v>
      </c>
      <c r="G177" s="433">
        <f t="shared" si="135"/>
        <v>160</v>
      </c>
      <c r="H177" s="433">
        <f t="shared" si="135"/>
        <v>160</v>
      </c>
      <c r="I177" s="433">
        <f t="shared" si="135"/>
        <v>160</v>
      </c>
      <c r="J177" s="433">
        <f t="shared" si="135"/>
        <v>160</v>
      </c>
      <c r="K177" s="433">
        <f t="shared" si="135"/>
        <v>160</v>
      </c>
      <c r="L177" s="433">
        <f t="shared" si="135"/>
        <v>160</v>
      </c>
      <c r="M177" s="433">
        <f t="shared" si="135"/>
        <v>160</v>
      </c>
      <c r="N177" s="433">
        <f t="shared" si="135"/>
        <v>160</v>
      </c>
      <c r="O177" s="433">
        <f t="shared" si="135"/>
        <v>160</v>
      </c>
      <c r="P177" s="433">
        <f t="shared" si="135"/>
        <v>160</v>
      </c>
      <c r="Q177" s="433">
        <f t="shared" si="135"/>
        <v>160</v>
      </c>
      <c r="R177" s="433">
        <f t="shared" si="135"/>
        <v>160</v>
      </c>
      <c r="S177" s="433">
        <f t="shared" si="135"/>
        <v>160</v>
      </c>
      <c r="T177" s="433">
        <f t="shared" si="135"/>
        <v>160</v>
      </c>
      <c r="U177" s="433">
        <f t="shared" si="135"/>
        <v>160</v>
      </c>
      <c r="V177" s="433">
        <f t="shared" si="135"/>
        <v>160</v>
      </c>
      <c r="W177" s="433">
        <f t="shared" si="135"/>
        <v>160</v>
      </c>
      <c r="X177" s="433">
        <f t="shared" si="135"/>
        <v>160</v>
      </c>
      <c r="Y177" s="433">
        <f t="shared" si="135"/>
        <v>160</v>
      </c>
      <c r="Z177" s="433">
        <f t="shared" si="135"/>
        <v>160</v>
      </c>
      <c r="AA177" s="433">
        <f t="shared" si="135"/>
        <v>160</v>
      </c>
      <c r="AB177" s="433">
        <f t="shared" si="135"/>
        <v>160</v>
      </c>
      <c r="AC177" s="433">
        <f t="shared" si="135"/>
        <v>160</v>
      </c>
      <c r="AD177" s="433">
        <f t="shared" si="135"/>
        <v>160</v>
      </c>
      <c r="AE177" s="433">
        <f t="shared" ref="AE177:AJ177" si="136">AC919</f>
        <v>160</v>
      </c>
      <c r="AF177" s="433">
        <f t="shared" si="136"/>
        <v>200</v>
      </c>
      <c r="AG177" s="433">
        <f t="shared" si="136"/>
        <v>200</v>
      </c>
      <c r="AH177" s="433">
        <f t="shared" si="136"/>
        <v>200</v>
      </c>
      <c r="AI177" s="433">
        <f t="shared" si="136"/>
        <v>200</v>
      </c>
      <c r="AJ177" s="433">
        <f t="shared" si="136"/>
        <v>200</v>
      </c>
      <c r="AK177" s="433">
        <f t="shared" ref="AK177:BO177" si="137">AI918</f>
        <v>200</v>
      </c>
      <c r="AL177" s="433">
        <f t="shared" si="137"/>
        <v>200</v>
      </c>
      <c r="AM177" s="433">
        <f t="shared" si="137"/>
        <v>200</v>
      </c>
      <c r="AN177" s="433">
        <f t="shared" si="137"/>
        <v>200</v>
      </c>
      <c r="AO177" s="433">
        <f t="shared" si="137"/>
        <v>200</v>
      </c>
      <c r="AP177" s="433">
        <f t="shared" si="137"/>
        <v>200</v>
      </c>
      <c r="AQ177" s="433">
        <f t="shared" si="137"/>
        <v>200</v>
      </c>
      <c r="AR177" s="433">
        <f t="shared" si="137"/>
        <v>200</v>
      </c>
      <c r="AS177" s="433">
        <f t="shared" si="137"/>
        <v>200</v>
      </c>
      <c r="AT177" s="433">
        <f t="shared" si="137"/>
        <v>200</v>
      </c>
      <c r="AU177" s="433">
        <f t="shared" si="137"/>
        <v>200</v>
      </c>
      <c r="AV177" s="433">
        <f t="shared" si="137"/>
        <v>200</v>
      </c>
      <c r="AW177" s="433">
        <f t="shared" si="137"/>
        <v>200</v>
      </c>
      <c r="AX177" s="433">
        <f t="shared" si="137"/>
        <v>200</v>
      </c>
      <c r="AY177" s="433">
        <f t="shared" si="137"/>
        <v>245</v>
      </c>
      <c r="AZ177" s="433">
        <f t="shared" si="137"/>
        <v>245</v>
      </c>
      <c r="BA177" s="433">
        <f t="shared" si="137"/>
        <v>245</v>
      </c>
      <c r="BB177" s="433">
        <f t="shared" si="137"/>
        <v>245</v>
      </c>
      <c r="BC177" s="433">
        <f t="shared" si="137"/>
        <v>245</v>
      </c>
      <c r="BD177" s="433">
        <f t="shared" si="137"/>
        <v>245</v>
      </c>
      <c r="BE177" s="433">
        <f t="shared" si="137"/>
        <v>245</v>
      </c>
      <c r="BF177" s="433">
        <f t="shared" si="137"/>
        <v>245</v>
      </c>
      <c r="BG177" s="433">
        <f t="shared" si="137"/>
        <v>294</v>
      </c>
      <c r="BH177" s="433">
        <f t="shared" si="137"/>
        <v>294</v>
      </c>
      <c r="BI177" s="433">
        <f t="shared" si="137"/>
        <v>294</v>
      </c>
      <c r="BJ177" s="433">
        <f t="shared" si="137"/>
        <v>294</v>
      </c>
      <c r="BK177" s="433">
        <f t="shared" si="137"/>
        <v>294</v>
      </c>
      <c r="BL177" s="433">
        <f t="shared" si="137"/>
        <v>294</v>
      </c>
      <c r="BM177" s="433">
        <f t="shared" si="137"/>
        <v>329</v>
      </c>
      <c r="BN177" s="433">
        <f t="shared" si="137"/>
        <v>329</v>
      </c>
      <c r="BO177" s="433">
        <f t="shared" si="137"/>
        <v>329</v>
      </c>
      <c r="BP177" s="433">
        <f t="shared" ref="BP177:CF177" si="138">BN918</f>
        <v>329</v>
      </c>
      <c r="BQ177" s="433">
        <f t="shared" si="138"/>
        <v>329</v>
      </c>
      <c r="BR177" s="433">
        <f t="shared" si="138"/>
        <v>329</v>
      </c>
      <c r="BS177" s="433">
        <f t="shared" si="138"/>
        <v>362</v>
      </c>
      <c r="BT177" s="433">
        <f t="shared" si="138"/>
        <v>362</v>
      </c>
      <c r="BU177" s="433">
        <f t="shared" si="138"/>
        <v>386</v>
      </c>
      <c r="BV177" s="433">
        <f t="shared" si="138"/>
        <v>414</v>
      </c>
      <c r="BW177" s="433">
        <f t="shared" si="138"/>
        <v>443</v>
      </c>
      <c r="BX177" s="433">
        <f t="shared" si="138"/>
        <v>469</v>
      </c>
      <c r="BY177" s="433">
        <f t="shared" si="138"/>
        <v>485</v>
      </c>
      <c r="BZ177" s="433">
        <f t="shared" si="138"/>
        <v>506</v>
      </c>
      <c r="CA177" s="433">
        <f t="shared" si="138"/>
        <v>506</v>
      </c>
      <c r="CB177" s="433">
        <f t="shared" si="138"/>
        <v>558</v>
      </c>
      <c r="CC177" s="433">
        <f t="shared" si="138"/>
        <v>619</v>
      </c>
      <c r="CD177" s="433">
        <f t="shared" si="138"/>
        <v>637</v>
      </c>
      <c r="CE177" s="433">
        <f t="shared" si="138"/>
        <v>724</v>
      </c>
      <c r="CF177" s="433">
        <f t="shared" si="138"/>
        <v>766</v>
      </c>
      <c r="CG177" s="239" t="s">
        <v>762</v>
      </c>
      <c r="CH177" s="239" t="s">
        <v>762</v>
      </c>
      <c r="CI177" s="239" t="s">
        <v>762</v>
      </c>
      <c r="CJ177" s="239" t="s">
        <v>762</v>
      </c>
      <c r="CK177" s="239" t="s">
        <v>762</v>
      </c>
      <c r="CL177" s="239" t="s">
        <v>762</v>
      </c>
    </row>
    <row r="178" spans="1:90" s="434" customFormat="1">
      <c r="A178" s="239" t="s">
        <v>572</v>
      </c>
      <c r="B178" s="239" t="s">
        <v>626</v>
      </c>
      <c r="C178" s="433" t="s">
        <v>762</v>
      </c>
      <c r="D178" s="433" t="s">
        <v>762</v>
      </c>
      <c r="E178" s="433" t="s">
        <v>762</v>
      </c>
      <c r="F178" s="433" t="s">
        <v>762</v>
      </c>
      <c r="G178" s="433" t="s">
        <v>762</v>
      </c>
      <c r="H178" s="433" t="s">
        <v>762</v>
      </c>
      <c r="I178" s="433" t="s">
        <v>762</v>
      </c>
      <c r="J178" s="433" t="s">
        <v>762</v>
      </c>
      <c r="K178" s="433" t="s">
        <v>762</v>
      </c>
      <c r="L178" s="433" t="s">
        <v>762</v>
      </c>
      <c r="M178" s="433" t="s">
        <v>762</v>
      </c>
      <c r="N178" s="433" t="s">
        <v>762</v>
      </c>
      <c r="O178" s="433" t="s">
        <v>762</v>
      </c>
      <c r="P178" s="433" t="s">
        <v>762</v>
      </c>
      <c r="Q178" s="433" t="s">
        <v>762</v>
      </c>
      <c r="R178" s="433" t="s">
        <v>762</v>
      </c>
      <c r="S178" s="433" t="s">
        <v>762</v>
      </c>
      <c r="T178" s="433" t="s">
        <v>762</v>
      </c>
      <c r="U178" s="433" t="s">
        <v>762</v>
      </c>
      <c r="V178" s="433" t="s">
        <v>762</v>
      </c>
      <c r="W178" s="433" t="s">
        <v>762</v>
      </c>
      <c r="X178" s="433" t="s">
        <v>762</v>
      </c>
      <c r="Y178" s="433" t="s">
        <v>762</v>
      </c>
      <c r="Z178" s="433" t="s">
        <v>762</v>
      </c>
      <c r="AA178" s="433" t="s">
        <v>762</v>
      </c>
      <c r="AB178" s="433" t="s">
        <v>762</v>
      </c>
      <c r="AC178" s="433" t="s">
        <v>762</v>
      </c>
      <c r="AD178" s="433" t="s">
        <v>762</v>
      </c>
      <c r="AE178" s="433" t="s">
        <v>762</v>
      </c>
      <c r="AF178" s="433" t="s">
        <v>762</v>
      </c>
      <c r="AG178" s="433" t="s">
        <v>762</v>
      </c>
      <c r="AH178" s="433" t="s">
        <v>762</v>
      </c>
      <c r="AI178" s="433" t="s">
        <v>762</v>
      </c>
      <c r="AJ178" s="433" t="s">
        <v>762</v>
      </c>
      <c r="AK178" s="433" t="s">
        <v>762</v>
      </c>
      <c r="AL178" s="433" t="s">
        <v>762</v>
      </c>
      <c r="AM178" s="433" t="s">
        <v>762</v>
      </c>
      <c r="AN178" s="433" t="s">
        <v>762</v>
      </c>
      <c r="AO178" s="433" t="s">
        <v>762</v>
      </c>
      <c r="AP178" s="433" t="s">
        <v>762</v>
      </c>
      <c r="AQ178" s="433" t="s">
        <v>762</v>
      </c>
      <c r="AR178" s="433" t="s">
        <v>762</v>
      </c>
      <c r="AS178" s="433" t="s">
        <v>762</v>
      </c>
      <c r="AT178" s="433" t="s">
        <v>762</v>
      </c>
      <c r="AU178" s="433" t="s">
        <v>762</v>
      </c>
      <c r="AV178" s="433" t="s">
        <v>762</v>
      </c>
      <c r="AW178" s="433" t="s">
        <v>762</v>
      </c>
      <c r="AX178" s="433" t="s">
        <v>762</v>
      </c>
      <c r="AY178" s="433" t="s">
        <v>762</v>
      </c>
      <c r="AZ178" s="433" t="s">
        <v>762</v>
      </c>
      <c r="BA178" s="433" t="s">
        <v>762</v>
      </c>
      <c r="BB178" s="433" t="s">
        <v>762</v>
      </c>
      <c r="BC178" s="433" t="s">
        <v>762</v>
      </c>
      <c r="BD178" s="433" t="s">
        <v>762</v>
      </c>
      <c r="BE178" s="433" t="s">
        <v>762</v>
      </c>
      <c r="BF178" s="433" t="s">
        <v>762</v>
      </c>
      <c r="BG178" s="433" t="s">
        <v>762</v>
      </c>
      <c r="BH178" s="433" t="s">
        <v>762</v>
      </c>
      <c r="BI178" s="433" t="s">
        <v>762</v>
      </c>
      <c r="BJ178" s="433" t="s">
        <v>762</v>
      </c>
      <c r="BK178" s="433" t="s">
        <v>762</v>
      </c>
      <c r="BL178" s="433" t="s">
        <v>762</v>
      </c>
      <c r="BM178" s="433" t="s">
        <v>762</v>
      </c>
      <c r="BN178" s="433" t="s">
        <v>762</v>
      </c>
      <c r="BO178" s="433" t="s">
        <v>762</v>
      </c>
      <c r="BP178" s="433" t="s">
        <v>762</v>
      </c>
      <c r="BQ178" s="433" t="s">
        <v>762</v>
      </c>
      <c r="BR178" s="433" t="s">
        <v>762</v>
      </c>
      <c r="BS178" s="433" t="s">
        <v>762</v>
      </c>
      <c r="BT178" s="433" t="s">
        <v>762</v>
      </c>
      <c r="BU178" s="433" t="s">
        <v>762</v>
      </c>
      <c r="BV178" s="433" t="s">
        <v>762</v>
      </c>
      <c r="BW178" s="433" t="s">
        <v>762</v>
      </c>
      <c r="BX178" s="433" t="s">
        <v>762</v>
      </c>
      <c r="BY178" s="433" t="s">
        <v>762</v>
      </c>
      <c r="BZ178" s="433" t="s">
        <v>762</v>
      </c>
      <c r="CA178" s="433" t="s">
        <v>762</v>
      </c>
      <c r="CB178" s="433" t="s">
        <v>762</v>
      </c>
      <c r="CC178" s="433" t="s">
        <v>762</v>
      </c>
      <c r="CD178" s="433" t="s">
        <v>762</v>
      </c>
      <c r="CE178" s="433" t="s">
        <v>762</v>
      </c>
      <c r="CF178" s="433" t="s">
        <v>762</v>
      </c>
      <c r="CG178" s="239" t="s">
        <v>762</v>
      </c>
      <c r="CH178" s="239" t="s">
        <v>762</v>
      </c>
      <c r="CI178" s="239" t="s">
        <v>762</v>
      </c>
      <c r="CJ178" s="239" t="s">
        <v>762</v>
      </c>
      <c r="CK178" s="239" t="s">
        <v>762</v>
      </c>
      <c r="CL178" s="239" t="s">
        <v>762</v>
      </c>
    </row>
    <row r="179" spans="1:90" s="434" customFormat="1">
      <c r="A179" s="239" t="s">
        <v>573</v>
      </c>
      <c r="B179" s="239" t="s">
        <v>626</v>
      </c>
      <c r="C179" s="433">
        <f t="shared" ref="C179:AD179" si="139">B920</f>
        <v>85</v>
      </c>
      <c r="D179" s="433">
        <f t="shared" si="139"/>
        <v>85</v>
      </c>
      <c r="E179" s="433">
        <f t="shared" si="139"/>
        <v>85</v>
      </c>
      <c r="F179" s="433">
        <f t="shared" si="139"/>
        <v>85</v>
      </c>
      <c r="G179" s="433">
        <f t="shared" si="139"/>
        <v>85</v>
      </c>
      <c r="H179" s="433">
        <f t="shared" si="139"/>
        <v>85</v>
      </c>
      <c r="I179" s="433">
        <f t="shared" si="139"/>
        <v>85</v>
      </c>
      <c r="J179" s="433">
        <f t="shared" si="139"/>
        <v>85</v>
      </c>
      <c r="K179" s="433">
        <f t="shared" si="139"/>
        <v>85</v>
      </c>
      <c r="L179" s="433">
        <f t="shared" si="139"/>
        <v>85</v>
      </c>
      <c r="M179" s="433">
        <f t="shared" si="139"/>
        <v>85</v>
      </c>
      <c r="N179" s="433">
        <f t="shared" si="139"/>
        <v>85</v>
      </c>
      <c r="O179" s="433">
        <f t="shared" si="139"/>
        <v>85</v>
      </c>
      <c r="P179" s="433">
        <f t="shared" si="139"/>
        <v>85</v>
      </c>
      <c r="Q179" s="433">
        <f t="shared" si="139"/>
        <v>85</v>
      </c>
      <c r="R179" s="433">
        <f t="shared" si="139"/>
        <v>85</v>
      </c>
      <c r="S179" s="433">
        <f t="shared" si="139"/>
        <v>85</v>
      </c>
      <c r="T179" s="433">
        <f t="shared" si="139"/>
        <v>85</v>
      </c>
      <c r="U179" s="433">
        <f t="shared" si="139"/>
        <v>85</v>
      </c>
      <c r="V179" s="433">
        <f t="shared" si="139"/>
        <v>85</v>
      </c>
      <c r="W179" s="433">
        <f t="shared" si="139"/>
        <v>85</v>
      </c>
      <c r="X179" s="433">
        <f t="shared" si="139"/>
        <v>85</v>
      </c>
      <c r="Y179" s="433">
        <f t="shared" si="139"/>
        <v>85</v>
      </c>
      <c r="Z179" s="433">
        <f t="shared" si="139"/>
        <v>85</v>
      </c>
      <c r="AA179" s="433">
        <f t="shared" si="139"/>
        <v>85</v>
      </c>
      <c r="AB179" s="433">
        <f t="shared" si="139"/>
        <v>85</v>
      </c>
      <c r="AC179" s="433">
        <f t="shared" si="139"/>
        <v>85</v>
      </c>
      <c r="AD179" s="433">
        <f t="shared" si="139"/>
        <v>85</v>
      </c>
      <c r="AE179" s="433">
        <f t="shared" ref="AE179:AJ179" si="140">AC920</f>
        <v>85</v>
      </c>
      <c r="AF179" s="433">
        <f t="shared" si="140"/>
        <v>106</v>
      </c>
      <c r="AG179" s="433">
        <f t="shared" si="140"/>
        <v>106</v>
      </c>
      <c r="AH179" s="433">
        <f t="shared" si="140"/>
        <v>106</v>
      </c>
      <c r="AI179" s="433">
        <f t="shared" si="140"/>
        <v>106</v>
      </c>
      <c r="AJ179" s="433">
        <f t="shared" si="140"/>
        <v>106</v>
      </c>
      <c r="AK179" s="433">
        <f t="shared" ref="AK179:BO179" si="141">AI919</f>
        <v>106</v>
      </c>
      <c r="AL179" s="433">
        <f t="shared" si="141"/>
        <v>106</v>
      </c>
      <c r="AM179" s="433">
        <f t="shared" si="141"/>
        <v>106</v>
      </c>
      <c r="AN179" s="433">
        <f t="shared" si="141"/>
        <v>106</v>
      </c>
      <c r="AO179" s="433">
        <f t="shared" si="141"/>
        <v>106</v>
      </c>
      <c r="AP179" s="433">
        <f t="shared" si="141"/>
        <v>106</v>
      </c>
      <c r="AQ179" s="433">
        <f t="shared" si="141"/>
        <v>106</v>
      </c>
      <c r="AR179" s="433">
        <f t="shared" si="141"/>
        <v>106</v>
      </c>
      <c r="AS179" s="433">
        <f t="shared" si="141"/>
        <v>106</v>
      </c>
      <c r="AT179" s="433">
        <f t="shared" si="141"/>
        <v>106</v>
      </c>
      <c r="AU179" s="433">
        <f t="shared" si="141"/>
        <v>106</v>
      </c>
      <c r="AV179" s="433">
        <f t="shared" si="141"/>
        <v>106</v>
      </c>
      <c r="AW179" s="433">
        <f t="shared" si="141"/>
        <v>106</v>
      </c>
      <c r="AX179" s="433">
        <f t="shared" si="141"/>
        <v>106</v>
      </c>
      <c r="AY179" s="433">
        <f t="shared" si="141"/>
        <v>127</v>
      </c>
      <c r="AZ179" s="433">
        <f t="shared" si="141"/>
        <v>127</v>
      </c>
      <c r="BA179" s="433">
        <f t="shared" si="141"/>
        <v>127</v>
      </c>
      <c r="BB179" s="433">
        <f t="shared" si="141"/>
        <v>127</v>
      </c>
      <c r="BC179" s="433">
        <f t="shared" si="141"/>
        <v>127</v>
      </c>
      <c r="BD179" s="433">
        <f t="shared" si="141"/>
        <v>127</v>
      </c>
      <c r="BE179" s="433">
        <f t="shared" si="141"/>
        <v>127</v>
      </c>
      <c r="BF179" s="433">
        <f t="shared" si="141"/>
        <v>127</v>
      </c>
      <c r="BG179" s="433">
        <f t="shared" si="141"/>
        <v>151</v>
      </c>
      <c r="BH179" s="433">
        <f t="shared" si="141"/>
        <v>151</v>
      </c>
      <c r="BI179" s="433">
        <f t="shared" si="141"/>
        <v>151</v>
      </c>
      <c r="BJ179" s="433">
        <f t="shared" si="141"/>
        <v>151</v>
      </c>
      <c r="BK179" s="433">
        <f t="shared" si="141"/>
        <v>151</v>
      </c>
      <c r="BL179" s="433">
        <f t="shared" si="141"/>
        <v>151</v>
      </c>
      <c r="BM179" s="433">
        <f t="shared" si="141"/>
        <v>158</v>
      </c>
      <c r="BN179" s="433">
        <f t="shared" si="141"/>
        <v>158</v>
      </c>
      <c r="BO179" s="433">
        <f t="shared" si="141"/>
        <v>158</v>
      </c>
      <c r="BP179" s="433">
        <f t="shared" ref="BP179:CF179" si="142">BN919</f>
        <v>158</v>
      </c>
      <c r="BQ179" s="433">
        <f t="shared" si="142"/>
        <v>158</v>
      </c>
      <c r="BR179" s="433">
        <f t="shared" si="142"/>
        <v>158</v>
      </c>
      <c r="BS179" s="433">
        <f t="shared" si="142"/>
        <v>178</v>
      </c>
      <c r="BT179" s="433">
        <f t="shared" si="142"/>
        <v>178</v>
      </c>
      <c r="BU179" s="433">
        <f t="shared" si="142"/>
        <v>188</v>
      </c>
      <c r="BV179" s="433">
        <f t="shared" si="142"/>
        <v>204</v>
      </c>
      <c r="BW179" s="433">
        <f t="shared" si="142"/>
        <v>215</v>
      </c>
      <c r="BX179" s="433">
        <f t="shared" si="142"/>
        <v>225</v>
      </c>
      <c r="BY179" s="433">
        <f t="shared" si="142"/>
        <v>237</v>
      </c>
      <c r="BZ179" s="433">
        <f t="shared" si="142"/>
        <v>243</v>
      </c>
      <c r="CA179" s="433">
        <f t="shared" si="142"/>
        <v>243</v>
      </c>
      <c r="CB179" s="433">
        <f t="shared" si="142"/>
        <v>270</v>
      </c>
      <c r="CC179" s="433">
        <f t="shared" si="142"/>
        <v>299</v>
      </c>
      <c r="CD179" s="433">
        <f t="shared" si="142"/>
        <v>310</v>
      </c>
      <c r="CE179" s="433">
        <f t="shared" si="142"/>
        <v>350</v>
      </c>
      <c r="CF179" s="433">
        <f t="shared" si="142"/>
        <v>370</v>
      </c>
      <c r="CG179" s="239" t="s">
        <v>762</v>
      </c>
      <c r="CH179" s="239" t="s">
        <v>762</v>
      </c>
      <c r="CI179" s="239" t="s">
        <v>762</v>
      </c>
      <c r="CJ179" s="239" t="s">
        <v>762</v>
      </c>
      <c r="CK179" s="239" t="s">
        <v>762</v>
      </c>
      <c r="CL179" s="239" t="s">
        <v>762</v>
      </c>
    </row>
    <row r="180" spans="1:90" s="434" customFormat="1">
      <c r="A180" s="239" t="s">
        <v>574</v>
      </c>
      <c r="B180" s="239" t="s">
        <v>626</v>
      </c>
      <c r="C180" s="433" t="s">
        <v>762</v>
      </c>
      <c r="D180" s="433" t="s">
        <v>762</v>
      </c>
      <c r="E180" s="433" t="s">
        <v>762</v>
      </c>
      <c r="F180" s="433" t="s">
        <v>762</v>
      </c>
      <c r="G180" s="433" t="s">
        <v>762</v>
      </c>
      <c r="H180" s="433" t="s">
        <v>762</v>
      </c>
      <c r="I180" s="433" t="s">
        <v>762</v>
      </c>
      <c r="J180" s="433" t="s">
        <v>762</v>
      </c>
      <c r="K180" s="433" t="s">
        <v>762</v>
      </c>
      <c r="L180" s="433" t="s">
        <v>762</v>
      </c>
      <c r="M180" s="433" t="s">
        <v>762</v>
      </c>
      <c r="N180" s="433" t="s">
        <v>762</v>
      </c>
      <c r="O180" s="433" t="s">
        <v>762</v>
      </c>
      <c r="P180" s="433" t="s">
        <v>762</v>
      </c>
      <c r="Q180" s="433" t="s">
        <v>762</v>
      </c>
      <c r="R180" s="433" t="s">
        <v>762</v>
      </c>
      <c r="S180" s="433" t="s">
        <v>762</v>
      </c>
      <c r="T180" s="433" t="s">
        <v>762</v>
      </c>
      <c r="U180" s="433" t="s">
        <v>762</v>
      </c>
      <c r="V180" s="433" t="s">
        <v>762</v>
      </c>
      <c r="W180" s="433" t="s">
        <v>762</v>
      </c>
      <c r="X180" s="433" t="s">
        <v>762</v>
      </c>
      <c r="Y180" s="433" t="s">
        <v>762</v>
      </c>
      <c r="Z180" s="433" t="s">
        <v>762</v>
      </c>
      <c r="AA180" s="433" t="s">
        <v>762</v>
      </c>
      <c r="AB180" s="433" t="s">
        <v>762</v>
      </c>
      <c r="AC180" s="433" t="s">
        <v>762</v>
      </c>
      <c r="AD180" s="433" t="s">
        <v>762</v>
      </c>
      <c r="AE180" s="433" t="s">
        <v>762</v>
      </c>
      <c r="AF180" s="433" t="s">
        <v>762</v>
      </c>
      <c r="AG180" s="433" t="s">
        <v>762</v>
      </c>
      <c r="AH180" s="433" t="s">
        <v>762</v>
      </c>
      <c r="AI180" s="433" t="s">
        <v>762</v>
      </c>
      <c r="AJ180" s="433" t="s">
        <v>762</v>
      </c>
      <c r="AK180" s="433" t="s">
        <v>762</v>
      </c>
      <c r="AL180" s="433" t="s">
        <v>762</v>
      </c>
      <c r="AM180" s="433" t="s">
        <v>762</v>
      </c>
      <c r="AN180" s="433" t="s">
        <v>762</v>
      </c>
      <c r="AO180" s="433" t="s">
        <v>762</v>
      </c>
      <c r="AP180" s="433" t="s">
        <v>762</v>
      </c>
      <c r="AQ180" s="433" t="s">
        <v>762</v>
      </c>
      <c r="AR180" s="433" t="s">
        <v>762</v>
      </c>
      <c r="AS180" s="433" t="s">
        <v>762</v>
      </c>
      <c r="AT180" s="433" t="s">
        <v>762</v>
      </c>
      <c r="AU180" s="433" t="s">
        <v>762</v>
      </c>
      <c r="AV180" s="433" t="s">
        <v>762</v>
      </c>
      <c r="AW180" s="433" t="s">
        <v>762</v>
      </c>
      <c r="AX180" s="433" t="s">
        <v>762</v>
      </c>
      <c r="AY180" s="433" t="s">
        <v>762</v>
      </c>
      <c r="AZ180" s="433" t="s">
        <v>762</v>
      </c>
      <c r="BA180" s="433" t="s">
        <v>762</v>
      </c>
      <c r="BB180" s="433" t="s">
        <v>762</v>
      </c>
      <c r="BC180" s="433" t="s">
        <v>762</v>
      </c>
      <c r="BD180" s="433" t="s">
        <v>762</v>
      </c>
      <c r="BE180" s="433" t="s">
        <v>762</v>
      </c>
      <c r="BF180" s="433" t="s">
        <v>762</v>
      </c>
      <c r="BG180" s="433" t="s">
        <v>762</v>
      </c>
      <c r="BH180" s="433" t="s">
        <v>762</v>
      </c>
      <c r="BI180" s="433" t="s">
        <v>762</v>
      </c>
      <c r="BJ180" s="433" t="s">
        <v>762</v>
      </c>
      <c r="BK180" s="433" t="s">
        <v>762</v>
      </c>
      <c r="BL180" s="433" t="s">
        <v>762</v>
      </c>
      <c r="BM180" s="433" t="s">
        <v>762</v>
      </c>
      <c r="BN180" s="433" t="s">
        <v>762</v>
      </c>
      <c r="BO180" s="433" t="s">
        <v>762</v>
      </c>
      <c r="BP180" s="433" t="s">
        <v>762</v>
      </c>
      <c r="BQ180" s="433" t="s">
        <v>762</v>
      </c>
      <c r="BR180" s="433" t="s">
        <v>762</v>
      </c>
      <c r="BS180" s="433" t="s">
        <v>762</v>
      </c>
      <c r="BT180" s="433" t="s">
        <v>762</v>
      </c>
      <c r="BU180" s="433" t="s">
        <v>762</v>
      </c>
      <c r="BV180" s="433" t="s">
        <v>762</v>
      </c>
      <c r="BW180" s="433" t="s">
        <v>762</v>
      </c>
      <c r="BX180" s="433" t="s">
        <v>762</v>
      </c>
      <c r="BY180" s="433" t="s">
        <v>762</v>
      </c>
      <c r="BZ180" s="433" t="s">
        <v>762</v>
      </c>
      <c r="CA180" s="433" t="s">
        <v>762</v>
      </c>
      <c r="CB180" s="433" t="s">
        <v>762</v>
      </c>
      <c r="CC180" s="433" t="s">
        <v>762</v>
      </c>
      <c r="CD180" s="433" t="s">
        <v>762</v>
      </c>
      <c r="CE180" s="433" t="s">
        <v>762</v>
      </c>
      <c r="CF180" s="433" t="s">
        <v>762</v>
      </c>
      <c r="CG180" s="239" t="s">
        <v>762</v>
      </c>
      <c r="CH180" s="239" t="s">
        <v>762</v>
      </c>
      <c r="CI180" s="239" t="s">
        <v>762</v>
      </c>
      <c r="CJ180" s="239" t="s">
        <v>762</v>
      </c>
      <c r="CK180" s="239" t="s">
        <v>762</v>
      </c>
      <c r="CL180" s="239" t="s">
        <v>762</v>
      </c>
    </row>
    <row r="181" spans="1:90" s="434" customFormat="1">
      <c r="A181" s="239" t="s">
        <v>575</v>
      </c>
      <c r="B181" s="239" t="s">
        <v>626</v>
      </c>
      <c r="C181" s="433" t="s">
        <v>762</v>
      </c>
      <c r="D181" s="433" t="s">
        <v>762</v>
      </c>
      <c r="E181" s="433" t="s">
        <v>762</v>
      </c>
      <c r="F181" s="433" t="s">
        <v>762</v>
      </c>
      <c r="G181" s="433" t="s">
        <v>762</v>
      </c>
      <c r="H181" s="433" t="s">
        <v>762</v>
      </c>
      <c r="I181" s="433" t="s">
        <v>762</v>
      </c>
      <c r="J181" s="433" t="s">
        <v>762</v>
      </c>
      <c r="K181" s="433" t="s">
        <v>762</v>
      </c>
      <c r="L181" s="433" t="s">
        <v>762</v>
      </c>
      <c r="M181" s="433" t="s">
        <v>762</v>
      </c>
      <c r="N181" s="433" t="s">
        <v>762</v>
      </c>
      <c r="O181" s="433" t="s">
        <v>762</v>
      </c>
      <c r="P181" s="433" t="s">
        <v>762</v>
      </c>
      <c r="Q181" s="433" t="s">
        <v>762</v>
      </c>
      <c r="R181" s="433" t="s">
        <v>762</v>
      </c>
      <c r="S181" s="433" t="s">
        <v>762</v>
      </c>
      <c r="T181" s="433" t="s">
        <v>762</v>
      </c>
      <c r="U181" s="433" t="s">
        <v>762</v>
      </c>
      <c r="V181" s="433" t="s">
        <v>762</v>
      </c>
      <c r="W181" s="433" t="s">
        <v>762</v>
      </c>
      <c r="X181" s="433" t="s">
        <v>762</v>
      </c>
      <c r="Y181" s="433" t="s">
        <v>762</v>
      </c>
      <c r="Z181" s="433" t="s">
        <v>762</v>
      </c>
      <c r="AA181" s="433" t="s">
        <v>762</v>
      </c>
      <c r="AB181" s="433" t="s">
        <v>762</v>
      </c>
      <c r="AC181" s="433" t="s">
        <v>762</v>
      </c>
      <c r="AD181" s="433" t="s">
        <v>762</v>
      </c>
      <c r="AE181" s="433" t="s">
        <v>762</v>
      </c>
      <c r="AF181" s="433" t="s">
        <v>762</v>
      </c>
      <c r="AG181" s="433" t="s">
        <v>762</v>
      </c>
      <c r="AH181" s="433" t="s">
        <v>762</v>
      </c>
      <c r="AI181" s="433" t="s">
        <v>762</v>
      </c>
      <c r="AJ181" s="433" t="s">
        <v>762</v>
      </c>
      <c r="AK181" s="433" t="s">
        <v>762</v>
      </c>
      <c r="AL181" s="433" t="s">
        <v>762</v>
      </c>
      <c r="AM181" s="433" t="s">
        <v>762</v>
      </c>
      <c r="AN181" s="433" t="s">
        <v>762</v>
      </c>
      <c r="AO181" s="433" t="s">
        <v>762</v>
      </c>
      <c r="AP181" s="433" t="s">
        <v>762</v>
      </c>
      <c r="AQ181" s="433" t="s">
        <v>762</v>
      </c>
      <c r="AR181" s="433" t="s">
        <v>762</v>
      </c>
      <c r="AS181" s="433" t="s">
        <v>762</v>
      </c>
      <c r="AT181" s="433" t="s">
        <v>762</v>
      </c>
      <c r="AU181" s="433" t="s">
        <v>762</v>
      </c>
      <c r="AV181" s="433" t="s">
        <v>762</v>
      </c>
      <c r="AW181" s="433" t="s">
        <v>762</v>
      </c>
      <c r="AX181" s="433" t="s">
        <v>762</v>
      </c>
      <c r="AY181" s="433" t="s">
        <v>762</v>
      </c>
      <c r="AZ181" s="433" t="s">
        <v>762</v>
      </c>
      <c r="BA181" s="433" t="s">
        <v>762</v>
      </c>
      <c r="BB181" s="433" t="s">
        <v>762</v>
      </c>
      <c r="BC181" s="433" t="s">
        <v>762</v>
      </c>
      <c r="BD181" s="433" t="s">
        <v>762</v>
      </c>
      <c r="BE181" s="433" t="s">
        <v>762</v>
      </c>
      <c r="BF181" s="433" t="s">
        <v>762</v>
      </c>
      <c r="BG181" s="433" t="s">
        <v>762</v>
      </c>
      <c r="BH181" s="433" t="s">
        <v>762</v>
      </c>
      <c r="BI181" s="433" t="s">
        <v>762</v>
      </c>
      <c r="BJ181" s="433" t="s">
        <v>762</v>
      </c>
      <c r="BK181" s="433" t="s">
        <v>762</v>
      </c>
      <c r="BL181" s="433" t="s">
        <v>762</v>
      </c>
      <c r="BM181" s="433" t="s">
        <v>762</v>
      </c>
      <c r="BN181" s="433" t="s">
        <v>762</v>
      </c>
      <c r="BO181" s="433" t="s">
        <v>762</v>
      </c>
      <c r="BP181" s="433" t="s">
        <v>762</v>
      </c>
      <c r="BQ181" s="433" t="s">
        <v>762</v>
      </c>
      <c r="BR181" s="433" t="s">
        <v>762</v>
      </c>
      <c r="BS181" s="433" t="s">
        <v>762</v>
      </c>
      <c r="BT181" s="433" t="s">
        <v>762</v>
      </c>
      <c r="BU181" s="433" t="s">
        <v>762</v>
      </c>
      <c r="BV181" s="433" t="s">
        <v>762</v>
      </c>
      <c r="BW181" s="433" t="s">
        <v>762</v>
      </c>
      <c r="BX181" s="433" t="s">
        <v>762</v>
      </c>
      <c r="BY181" s="433" t="s">
        <v>762</v>
      </c>
      <c r="BZ181" s="433" t="s">
        <v>762</v>
      </c>
      <c r="CA181" s="433" t="s">
        <v>762</v>
      </c>
      <c r="CB181" s="433" t="s">
        <v>762</v>
      </c>
      <c r="CC181" s="433" t="s">
        <v>762</v>
      </c>
      <c r="CD181" s="433" t="s">
        <v>762</v>
      </c>
      <c r="CE181" s="433" t="s">
        <v>762</v>
      </c>
      <c r="CF181" s="433" t="s">
        <v>762</v>
      </c>
      <c r="CG181" s="239" t="s">
        <v>762</v>
      </c>
      <c r="CH181" s="239" t="s">
        <v>762</v>
      </c>
      <c r="CI181" s="239" t="s">
        <v>762</v>
      </c>
      <c r="CJ181" s="239" t="s">
        <v>762</v>
      </c>
      <c r="CK181" s="239" t="s">
        <v>762</v>
      </c>
      <c r="CL181" s="239" t="s">
        <v>762</v>
      </c>
    </row>
    <row r="182" spans="1:90" s="434" customFormat="1">
      <c r="A182" s="239" t="s">
        <v>576</v>
      </c>
      <c r="B182" s="239" t="s">
        <v>626</v>
      </c>
      <c r="C182" s="433">
        <f t="shared" ref="C182:AD182" si="143">B921</f>
        <v>125</v>
      </c>
      <c r="D182" s="433">
        <f t="shared" si="143"/>
        <v>125</v>
      </c>
      <c r="E182" s="433">
        <f t="shared" si="143"/>
        <v>125</v>
      </c>
      <c r="F182" s="433">
        <f t="shared" si="143"/>
        <v>125</v>
      </c>
      <c r="G182" s="433">
        <f t="shared" si="143"/>
        <v>125</v>
      </c>
      <c r="H182" s="433">
        <f t="shared" si="143"/>
        <v>125</v>
      </c>
      <c r="I182" s="433">
        <f t="shared" si="143"/>
        <v>125</v>
      </c>
      <c r="J182" s="433">
        <f t="shared" si="143"/>
        <v>125</v>
      </c>
      <c r="K182" s="433">
        <f t="shared" si="143"/>
        <v>125</v>
      </c>
      <c r="L182" s="433">
        <f t="shared" si="143"/>
        <v>125</v>
      </c>
      <c r="M182" s="433">
        <f t="shared" si="143"/>
        <v>125</v>
      </c>
      <c r="N182" s="433">
        <f t="shared" si="143"/>
        <v>125</v>
      </c>
      <c r="O182" s="433">
        <f t="shared" si="143"/>
        <v>125</v>
      </c>
      <c r="P182" s="433">
        <f t="shared" si="143"/>
        <v>125</v>
      </c>
      <c r="Q182" s="433">
        <f t="shared" si="143"/>
        <v>125</v>
      </c>
      <c r="R182" s="433">
        <f t="shared" si="143"/>
        <v>125</v>
      </c>
      <c r="S182" s="433">
        <f t="shared" si="143"/>
        <v>125</v>
      </c>
      <c r="T182" s="433">
        <f t="shared" si="143"/>
        <v>125</v>
      </c>
      <c r="U182" s="433">
        <f t="shared" si="143"/>
        <v>125</v>
      </c>
      <c r="V182" s="433">
        <f t="shared" si="143"/>
        <v>125</v>
      </c>
      <c r="W182" s="433">
        <f t="shared" si="143"/>
        <v>125</v>
      </c>
      <c r="X182" s="433">
        <f t="shared" si="143"/>
        <v>125</v>
      </c>
      <c r="Y182" s="433">
        <f t="shared" si="143"/>
        <v>125</v>
      </c>
      <c r="Z182" s="433">
        <f t="shared" si="143"/>
        <v>125</v>
      </c>
      <c r="AA182" s="433">
        <f t="shared" si="143"/>
        <v>125</v>
      </c>
      <c r="AB182" s="433">
        <f t="shared" si="143"/>
        <v>125</v>
      </c>
      <c r="AC182" s="433">
        <f t="shared" si="143"/>
        <v>125</v>
      </c>
      <c r="AD182" s="433">
        <f t="shared" si="143"/>
        <v>125</v>
      </c>
      <c r="AE182" s="433">
        <f t="shared" ref="AE182:AJ182" si="144">AC921</f>
        <v>125</v>
      </c>
      <c r="AF182" s="433">
        <f t="shared" si="144"/>
        <v>160</v>
      </c>
      <c r="AG182" s="433">
        <f t="shared" si="144"/>
        <v>160</v>
      </c>
      <c r="AH182" s="433">
        <f t="shared" si="144"/>
        <v>160</v>
      </c>
      <c r="AI182" s="433">
        <f t="shared" si="144"/>
        <v>160</v>
      </c>
      <c r="AJ182" s="433">
        <f t="shared" si="144"/>
        <v>160</v>
      </c>
      <c r="AK182" s="433">
        <f t="shared" ref="AK182:BO182" si="145">AI920</f>
        <v>160</v>
      </c>
      <c r="AL182" s="433">
        <f t="shared" si="145"/>
        <v>160</v>
      </c>
      <c r="AM182" s="433">
        <f t="shared" si="145"/>
        <v>160</v>
      </c>
      <c r="AN182" s="433">
        <f t="shared" si="145"/>
        <v>160</v>
      </c>
      <c r="AO182" s="433">
        <f t="shared" si="145"/>
        <v>160</v>
      </c>
      <c r="AP182" s="433">
        <f t="shared" si="145"/>
        <v>160</v>
      </c>
      <c r="AQ182" s="433">
        <f t="shared" si="145"/>
        <v>160</v>
      </c>
      <c r="AR182" s="433">
        <f t="shared" si="145"/>
        <v>160</v>
      </c>
      <c r="AS182" s="433">
        <f t="shared" si="145"/>
        <v>160</v>
      </c>
      <c r="AT182" s="433">
        <f t="shared" si="145"/>
        <v>160</v>
      </c>
      <c r="AU182" s="433">
        <f t="shared" si="145"/>
        <v>160</v>
      </c>
      <c r="AV182" s="433">
        <f t="shared" si="145"/>
        <v>160</v>
      </c>
      <c r="AW182" s="433">
        <f t="shared" si="145"/>
        <v>160</v>
      </c>
      <c r="AX182" s="433">
        <f t="shared" si="145"/>
        <v>160</v>
      </c>
      <c r="AY182" s="433">
        <f t="shared" si="145"/>
        <v>204</v>
      </c>
      <c r="AZ182" s="433">
        <f t="shared" si="145"/>
        <v>204</v>
      </c>
      <c r="BA182" s="433">
        <f t="shared" si="145"/>
        <v>204</v>
      </c>
      <c r="BB182" s="433">
        <f t="shared" si="145"/>
        <v>204</v>
      </c>
      <c r="BC182" s="433">
        <f t="shared" si="145"/>
        <v>204</v>
      </c>
      <c r="BD182" s="433">
        <f t="shared" si="145"/>
        <v>204</v>
      </c>
      <c r="BE182" s="433">
        <f t="shared" si="145"/>
        <v>204</v>
      </c>
      <c r="BF182" s="433">
        <f t="shared" si="145"/>
        <v>204</v>
      </c>
      <c r="BG182" s="433">
        <f t="shared" si="145"/>
        <v>242</v>
      </c>
      <c r="BH182" s="433">
        <f t="shared" si="145"/>
        <v>242</v>
      </c>
      <c r="BI182" s="433">
        <f t="shared" si="145"/>
        <v>242</v>
      </c>
      <c r="BJ182" s="433">
        <f t="shared" si="145"/>
        <v>242</v>
      </c>
      <c r="BK182" s="433">
        <f t="shared" si="145"/>
        <v>242</v>
      </c>
      <c r="BL182" s="433">
        <f t="shared" si="145"/>
        <v>242</v>
      </c>
      <c r="BM182" s="433">
        <f t="shared" si="145"/>
        <v>266</v>
      </c>
      <c r="BN182" s="433">
        <f t="shared" si="145"/>
        <v>266</v>
      </c>
      <c r="BO182" s="433">
        <f t="shared" si="145"/>
        <v>266</v>
      </c>
      <c r="BP182" s="433">
        <f t="shared" ref="BP182:CF182" si="146">BN920</f>
        <v>266</v>
      </c>
      <c r="BQ182" s="433">
        <f t="shared" si="146"/>
        <v>266</v>
      </c>
      <c r="BR182" s="433">
        <f t="shared" si="146"/>
        <v>266</v>
      </c>
      <c r="BS182" s="433">
        <f t="shared" si="146"/>
        <v>293</v>
      </c>
      <c r="BT182" s="433">
        <f t="shared" si="146"/>
        <v>293</v>
      </c>
      <c r="BU182" s="433">
        <f t="shared" si="146"/>
        <v>314</v>
      </c>
      <c r="BV182" s="433">
        <f t="shared" si="146"/>
        <v>347</v>
      </c>
      <c r="BW182" s="433">
        <f t="shared" si="146"/>
        <v>370</v>
      </c>
      <c r="BX182" s="433">
        <f t="shared" si="146"/>
        <v>397</v>
      </c>
      <c r="BY182" s="433">
        <f t="shared" si="146"/>
        <v>413</v>
      </c>
      <c r="BZ182" s="433">
        <f t="shared" si="146"/>
        <v>435</v>
      </c>
      <c r="CA182" s="433">
        <f t="shared" si="146"/>
        <v>435</v>
      </c>
      <c r="CB182" s="433">
        <f t="shared" si="146"/>
        <v>512</v>
      </c>
      <c r="CC182" s="433">
        <f t="shared" si="146"/>
        <v>559</v>
      </c>
      <c r="CD182" s="433">
        <f t="shared" si="146"/>
        <v>575</v>
      </c>
      <c r="CE182" s="433">
        <f t="shared" si="146"/>
        <v>644</v>
      </c>
      <c r="CF182" s="433">
        <f t="shared" si="146"/>
        <v>684</v>
      </c>
      <c r="CG182" s="239" t="s">
        <v>762</v>
      </c>
      <c r="CH182" s="239" t="s">
        <v>762</v>
      </c>
      <c r="CI182" s="239" t="s">
        <v>762</v>
      </c>
      <c r="CJ182" s="239" t="s">
        <v>762</v>
      </c>
      <c r="CK182" s="239" t="s">
        <v>762</v>
      </c>
      <c r="CL182" s="239" t="s">
        <v>762</v>
      </c>
    </row>
    <row r="183" spans="1:90" s="434" customFormat="1">
      <c r="A183" s="239" t="s">
        <v>577</v>
      </c>
      <c r="B183" s="239" t="s">
        <v>626</v>
      </c>
      <c r="C183" s="433" t="s">
        <v>762</v>
      </c>
      <c r="D183" s="433" t="s">
        <v>762</v>
      </c>
      <c r="E183" s="433" t="s">
        <v>762</v>
      </c>
      <c r="F183" s="433" t="s">
        <v>762</v>
      </c>
      <c r="G183" s="433" t="s">
        <v>762</v>
      </c>
      <c r="H183" s="433" t="s">
        <v>762</v>
      </c>
      <c r="I183" s="433" t="s">
        <v>762</v>
      </c>
      <c r="J183" s="433" t="s">
        <v>762</v>
      </c>
      <c r="K183" s="433" t="s">
        <v>762</v>
      </c>
      <c r="L183" s="433" t="s">
        <v>762</v>
      </c>
      <c r="M183" s="433" t="s">
        <v>762</v>
      </c>
      <c r="N183" s="433" t="s">
        <v>762</v>
      </c>
      <c r="O183" s="433" t="s">
        <v>762</v>
      </c>
      <c r="P183" s="433" t="s">
        <v>762</v>
      </c>
      <c r="Q183" s="433" t="s">
        <v>762</v>
      </c>
      <c r="R183" s="433" t="s">
        <v>762</v>
      </c>
      <c r="S183" s="433" t="s">
        <v>762</v>
      </c>
      <c r="T183" s="433" t="s">
        <v>762</v>
      </c>
      <c r="U183" s="433" t="s">
        <v>762</v>
      </c>
      <c r="V183" s="433" t="s">
        <v>762</v>
      </c>
      <c r="W183" s="433" t="s">
        <v>762</v>
      </c>
      <c r="X183" s="433" t="s">
        <v>762</v>
      </c>
      <c r="Y183" s="433" t="s">
        <v>762</v>
      </c>
      <c r="Z183" s="433" t="s">
        <v>762</v>
      </c>
      <c r="AA183" s="433" t="s">
        <v>762</v>
      </c>
      <c r="AB183" s="433" t="s">
        <v>762</v>
      </c>
      <c r="AC183" s="433" t="s">
        <v>762</v>
      </c>
      <c r="AD183" s="433" t="s">
        <v>762</v>
      </c>
      <c r="AE183" s="433" t="s">
        <v>762</v>
      </c>
      <c r="AF183" s="433" t="s">
        <v>762</v>
      </c>
      <c r="AG183" s="433" t="s">
        <v>762</v>
      </c>
      <c r="AH183" s="433" t="s">
        <v>762</v>
      </c>
      <c r="AI183" s="433" t="s">
        <v>762</v>
      </c>
      <c r="AJ183" s="433" t="s">
        <v>762</v>
      </c>
      <c r="AK183" s="433" t="s">
        <v>762</v>
      </c>
      <c r="AL183" s="433" t="s">
        <v>762</v>
      </c>
      <c r="AM183" s="433" t="s">
        <v>762</v>
      </c>
      <c r="AN183" s="433" t="s">
        <v>762</v>
      </c>
      <c r="AO183" s="433" t="s">
        <v>762</v>
      </c>
      <c r="AP183" s="433" t="s">
        <v>762</v>
      </c>
      <c r="AQ183" s="433" t="s">
        <v>762</v>
      </c>
      <c r="AR183" s="433" t="s">
        <v>762</v>
      </c>
      <c r="AS183" s="433" t="s">
        <v>762</v>
      </c>
      <c r="AT183" s="433" t="s">
        <v>762</v>
      </c>
      <c r="AU183" s="433" t="s">
        <v>762</v>
      </c>
      <c r="AV183" s="433" t="s">
        <v>762</v>
      </c>
      <c r="AW183" s="433" t="s">
        <v>762</v>
      </c>
      <c r="AX183" s="433" t="s">
        <v>762</v>
      </c>
      <c r="AY183" s="433" t="s">
        <v>762</v>
      </c>
      <c r="AZ183" s="433" t="s">
        <v>762</v>
      </c>
      <c r="BA183" s="433" t="s">
        <v>762</v>
      </c>
      <c r="BB183" s="433" t="s">
        <v>762</v>
      </c>
      <c r="BC183" s="433" t="s">
        <v>762</v>
      </c>
      <c r="BD183" s="433" t="s">
        <v>762</v>
      </c>
      <c r="BE183" s="433" t="s">
        <v>762</v>
      </c>
      <c r="BF183" s="433" t="s">
        <v>762</v>
      </c>
      <c r="BG183" s="433" t="s">
        <v>762</v>
      </c>
      <c r="BH183" s="433" t="s">
        <v>762</v>
      </c>
      <c r="BI183" s="433" t="s">
        <v>762</v>
      </c>
      <c r="BJ183" s="433" t="s">
        <v>762</v>
      </c>
      <c r="BK183" s="433" t="s">
        <v>762</v>
      </c>
      <c r="BL183" s="433" t="s">
        <v>762</v>
      </c>
      <c r="BM183" s="433" t="s">
        <v>762</v>
      </c>
      <c r="BN183" s="433" t="s">
        <v>762</v>
      </c>
      <c r="BO183" s="433" t="s">
        <v>762</v>
      </c>
      <c r="BP183" s="433" t="s">
        <v>762</v>
      </c>
      <c r="BQ183" s="433" t="s">
        <v>762</v>
      </c>
      <c r="BR183" s="433" t="s">
        <v>762</v>
      </c>
      <c r="BS183" s="433" t="s">
        <v>762</v>
      </c>
      <c r="BT183" s="433" t="s">
        <v>762</v>
      </c>
      <c r="BU183" s="433" t="s">
        <v>762</v>
      </c>
      <c r="BV183" s="433" t="s">
        <v>762</v>
      </c>
      <c r="BW183" s="433" t="s">
        <v>762</v>
      </c>
      <c r="BX183" s="433" t="s">
        <v>762</v>
      </c>
      <c r="BY183" s="433" t="s">
        <v>762</v>
      </c>
      <c r="BZ183" s="433" t="s">
        <v>762</v>
      </c>
      <c r="CA183" s="433" t="s">
        <v>762</v>
      </c>
      <c r="CB183" s="433" t="s">
        <v>762</v>
      </c>
      <c r="CC183" s="433" t="s">
        <v>762</v>
      </c>
      <c r="CD183" s="433" t="s">
        <v>762</v>
      </c>
      <c r="CE183" s="433" t="s">
        <v>762</v>
      </c>
      <c r="CF183" s="433" t="s">
        <v>762</v>
      </c>
      <c r="CG183" s="239" t="s">
        <v>762</v>
      </c>
      <c r="CH183" s="239" t="s">
        <v>762</v>
      </c>
      <c r="CI183" s="239" t="s">
        <v>762</v>
      </c>
      <c r="CJ183" s="239" t="s">
        <v>762</v>
      </c>
      <c r="CK183" s="239" t="s">
        <v>762</v>
      </c>
      <c r="CL183" s="239" t="s">
        <v>762</v>
      </c>
    </row>
    <row r="184" spans="1:90" s="434" customFormat="1">
      <c r="A184" s="239" t="s">
        <v>578</v>
      </c>
      <c r="B184" s="239" t="s">
        <v>626</v>
      </c>
      <c r="C184" s="433" t="s">
        <v>762</v>
      </c>
      <c r="D184" s="433" t="s">
        <v>762</v>
      </c>
      <c r="E184" s="433" t="s">
        <v>762</v>
      </c>
      <c r="F184" s="433" t="s">
        <v>762</v>
      </c>
      <c r="G184" s="433" t="s">
        <v>762</v>
      </c>
      <c r="H184" s="433" t="s">
        <v>762</v>
      </c>
      <c r="I184" s="433" t="s">
        <v>762</v>
      </c>
      <c r="J184" s="433" t="s">
        <v>762</v>
      </c>
      <c r="K184" s="433" t="s">
        <v>762</v>
      </c>
      <c r="L184" s="433" t="s">
        <v>762</v>
      </c>
      <c r="M184" s="433" t="s">
        <v>762</v>
      </c>
      <c r="N184" s="433" t="s">
        <v>762</v>
      </c>
      <c r="O184" s="433" t="s">
        <v>762</v>
      </c>
      <c r="P184" s="433" t="s">
        <v>762</v>
      </c>
      <c r="Q184" s="433" t="s">
        <v>762</v>
      </c>
      <c r="R184" s="433" t="s">
        <v>762</v>
      </c>
      <c r="S184" s="433" t="s">
        <v>762</v>
      </c>
      <c r="T184" s="433" t="s">
        <v>762</v>
      </c>
      <c r="U184" s="433" t="s">
        <v>762</v>
      </c>
      <c r="V184" s="433" t="s">
        <v>762</v>
      </c>
      <c r="W184" s="433" t="s">
        <v>762</v>
      </c>
      <c r="X184" s="433" t="s">
        <v>762</v>
      </c>
      <c r="Y184" s="433" t="s">
        <v>762</v>
      </c>
      <c r="Z184" s="433" t="s">
        <v>762</v>
      </c>
      <c r="AA184" s="433" t="s">
        <v>762</v>
      </c>
      <c r="AB184" s="433" t="s">
        <v>762</v>
      </c>
      <c r="AC184" s="433" t="s">
        <v>762</v>
      </c>
      <c r="AD184" s="433" t="s">
        <v>762</v>
      </c>
      <c r="AE184" s="433" t="s">
        <v>762</v>
      </c>
      <c r="AF184" s="433" t="s">
        <v>762</v>
      </c>
      <c r="AG184" s="433" t="s">
        <v>762</v>
      </c>
      <c r="AH184" s="433" t="s">
        <v>762</v>
      </c>
      <c r="AI184" s="433" t="s">
        <v>762</v>
      </c>
      <c r="AJ184" s="433" t="s">
        <v>762</v>
      </c>
      <c r="AK184" s="433" t="s">
        <v>762</v>
      </c>
      <c r="AL184" s="433" t="s">
        <v>762</v>
      </c>
      <c r="AM184" s="433" t="s">
        <v>762</v>
      </c>
      <c r="AN184" s="433" t="s">
        <v>762</v>
      </c>
      <c r="AO184" s="433" t="s">
        <v>762</v>
      </c>
      <c r="AP184" s="433" t="s">
        <v>762</v>
      </c>
      <c r="AQ184" s="433" t="s">
        <v>762</v>
      </c>
      <c r="AR184" s="433" t="s">
        <v>762</v>
      </c>
      <c r="AS184" s="433" t="s">
        <v>762</v>
      </c>
      <c r="AT184" s="433" t="s">
        <v>762</v>
      </c>
      <c r="AU184" s="433" t="s">
        <v>762</v>
      </c>
      <c r="AV184" s="433" t="s">
        <v>762</v>
      </c>
      <c r="AW184" s="433" t="s">
        <v>762</v>
      </c>
      <c r="AX184" s="433" t="s">
        <v>762</v>
      </c>
      <c r="AY184" s="433" t="s">
        <v>762</v>
      </c>
      <c r="AZ184" s="433" t="s">
        <v>762</v>
      </c>
      <c r="BA184" s="433" t="s">
        <v>762</v>
      </c>
      <c r="BB184" s="433" t="s">
        <v>762</v>
      </c>
      <c r="BC184" s="433" t="s">
        <v>762</v>
      </c>
      <c r="BD184" s="433" t="s">
        <v>762</v>
      </c>
      <c r="BE184" s="433" t="s">
        <v>762</v>
      </c>
      <c r="BF184" s="433" t="s">
        <v>762</v>
      </c>
      <c r="BG184" s="433" t="s">
        <v>762</v>
      </c>
      <c r="BH184" s="433" t="s">
        <v>762</v>
      </c>
      <c r="BI184" s="433" t="s">
        <v>762</v>
      </c>
      <c r="BJ184" s="433" t="s">
        <v>762</v>
      </c>
      <c r="BK184" s="433" t="s">
        <v>762</v>
      </c>
      <c r="BL184" s="433" t="s">
        <v>762</v>
      </c>
      <c r="BM184" s="433" t="s">
        <v>762</v>
      </c>
      <c r="BN184" s="433" t="s">
        <v>762</v>
      </c>
      <c r="BO184" s="433" t="s">
        <v>762</v>
      </c>
      <c r="BP184" s="433" t="s">
        <v>762</v>
      </c>
      <c r="BQ184" s="433" t="s">
        <v>762</v>
      </c>
      <c r="BR184" s="433" t="s">
        <v>762</v>
      </c>
      <c r="BS184" s="433" t="s">
        <v>762</v>
      </c>
      <c r="BT184" s="433" t="s">
        <v>762</v>
      </c>
      <c r="BU184" s="433" t="s">
        <v>762</v>
      </c>
      <c r="BV184" s="433" t="s">
        <v>762</v>
      </c>
      <c r="BW184" s="433" t="s">
        <v>762</v>
      </c>
      <c r="BX184" s="433" t="s">
        <v>762</v>
      </c>
      <c r="BY184" s="433" t="s">
        <v>762</v>
      </c>
      <c r="BZ184" s="433" t="s">
        <v>762</v>
      </c>
      <c r="CA184" s="433" t="s">
        <v>762</v>
      </c>
      <c r="CB184" s="433" t="s">
        <v>762</v>
      </c>
      <c r="CC184" s="433" t="s">
        <v>762</v>
      </c>
      <c r="CD184" s="433" t="s">
        <v>762</v>
      </c>
      <c r="CE184" s="433" t="s">
        <v>762</v>
      </c>
      <c r="CF184" s="433" t="s">
        <v>762</v>
      </c>
      <c r="CG184" s="239" t="s">
        <v>762</v>
      </c>
      <c r="CH184" s="239" t="s">
        <v>762</v>
      </c>
      <c r="CI184" s="239" t="s">
        <v>762</v>
      </c>
      <c r="CJ184" s="239" t="s">
        <v>762</v>
      </c>
      <c r="CK184" s="239" t="s">
        <v>762</v>
      </c>
      <c r="CL184" s="239" t="s">
        <v>762</v>
      </c>
    </row>
    <row r="185" spans="1:90" s="434" customFormat="1">
      <c r="A185" s="239" t="s">
        <v>579</v>
      </c>
      <c r="B185" s="239" t="s">
        <v>626</v>
      </c>
      <c r="C185" s="433" t="s">
        <v>762</v>
      </c>
      <c r="D185" s="433" t="s">
        <v>762</v>
      </c>
      <c r="E185" s="433" t="s">
        <v>762</v>
      </c>
      <c r="F185" s="433" t="s">
        <v>762</v>
      </c>
      <c r="G185" s="433" t="s">
        <v>762</v>
      </c>
      <c r="H185" s="433" t="s">
        <v>762</v>
      </c>
      <c r="I185" s="433" t="s">
        <v>762</v>
      </c>
      <c r="J185" s="433" t="s">
        <v>762</v>
      </c>
      <c r="K185" s="433" t="s">
        <v>762</v>
      </c>
      <c r="L185" s="433" t="s">
        <v>762</v>
      </c>
      <c r="M185" s="433" t="s">
        <v>762</v>
      </c>
      <c r="N185" s="433" t="s">
        <v>762</v>
      </c>
      <c r="O185" s="433" t="s">
        <v>762</v>
      </c>
      <c r="P185" s="433" t="s">
        <v>762</v>
      </c>
      <c r="Q185" s="433" t="s">
        <v>762</v>
      </c>
      <c r="R185" s="433" t="s">
        <v>762</v>
      </c>
      <c r="S185" s="433" t="s">
        <v>762</v>
      </c>
      <c r="T185" s="433" t="s">
        <v>762</v>
      </c>
      <c r="U185" s="433" t="s">
        <v>762</v>
      </c>
      <c r="V185" s="433" t="s">
        <v>762</v>
      </c>
      <c r="W185" s="433" t="s">
        <v>762</v>
      </c>
      <c r="X185" s="433" t="s">
        <v>762</v>
      </c>
      <c r="Y185" s="433" t="s">
        <v>762</v>
      </c>
      <c r="Z185" s="433" t="s">
        <v>762</v>
      </c>
      <c r="AA185" s="433" t="s">
        <v>762</v>
      </c>
      <c r="AB185" s="433" t="s">
        <v>762</v>
      </c>
      <c r="AC185" s="433" t="s">
        <v>762</v>
      </c>
      <c r="AD185" s="433" t="s">
        <v>762</v>
      </c>
      <c r="AE185" s="433" t="s">
        <v>762</v>
      </c>
      <c r="AF185" s="433" t="s">
        <v>762</v>
      </c>
      <c r="AG185" s="433" t="s">
        <v>762</v>
      </c>
      <c r="AH185" s="433" t="s">
        <v>762</v>
      </c>
      <c r="AI185" s="433" t="s">
        <v>762</v>
      </c>
      <c r="AJ185" s="433" t="s">
        <v>762</v>
      </c>
      <c r="AK185" s="433" t="s">
        <v>762</v>
      </c>
      <c r="AL185" s="433" t="s">
        <v>762</v>
      </c>
      <c r="AM185" s="433" t="s">
        <v>762</v>
      </c>
      <c r="AN185" s="433" t="s">
        <v>762</v>
      </c>
      <c r="AO185" s="433" t="s">
        <v>762</v>
      </c>
      <c r="AP185" s="433" t="s">
        <v>762</v>
      </c>
      <c r="AQ185" s="433" t="s">
        <v>762</v>
      </c>
      <c r="AR185" s="433" t="s">
        <v>762</v>
      </c>
      <c r="AS185" s="433" t="s">
        <v>762</v>
      </c>
      <c r="AT185" s="433" t="s">
        <v>762</v>
      </c>
      <c r="AU185" s="433" t="s">
        <v>762</v>
      </c>
      <c r="AV185" s="433" t="s">
        <v>762</v>
      </c>
      <c r="AW185" s="433" t="s">
        <v>762</v>
      </c>
      <c r="AX185" s="433" t="s">
        <v>762</v>
      </c>
      <c r="AY185" s="433" t="s">
        <v>762</v>
      </c>
      <c r="AZ185" s="433" t="s">
        <v>762</v>
      </c>
      <c r="BA185" s="433" t="s">
        <v>762</v>
      </c>
      <c r="BB185" s="433" t="s">
        <v>762</v>
      </c>
      <c r="BC185" s="433" t="s">
        <v>762</v>
      </c>
      <c r="BD185" s="433" t="s">
        <v>762</v>
      </c>
      <c r="BE185" s="433" t="s">
        <v>762</v>
      </c>
      <c r="BF185" s="433" t="s">
        <v>762</v>
      </c>
      <c r="BG185" s="433" t="s">
        <v>762</v>
      </c>
      <c r="BH185" s="433" t="s">
        <v>762</v>
      </c>
      <c r="BI185" s="433" t="s">
        <v>762</v>
      </c>
      <c r="BJ185" s="433" t="s">
        <v>762</v>
      </c>
      <c r="BK185" s="433" t="s">
        <v>762</v>
      </c>
      <c r="BL185" s="433" t="s">
        <v>762</v>
      </c>
      <c r="BM185" s="433" t="s">
        <v>762</v>
      </c>
      <c r="BN185" s="433" t="s">
        <v>762</v>
      </c>
      <c r="BO185" s="433" t="s">
        <v>762</v>
      </c>
      <c r="BP185" s="433" t="s">
        <v>762</v>
      </c>
      <c r="BQ185" s="433" t="s">
        <v>762</v>
      </c>
      <c r="BR185" s="433" t="s">
        <v>762</v>
      </c>
      <c r="BS185" s="433" t="s">
        <v>762</v>
      </c>
      <c r="BT185" s="433" t="s">
        <v>762</v>
      </c>
      <c r="BU185" s="433" t="s">
        <v>762</v>
      </c>
      <c r="BV185" s="433" t="s">
        <v>762</v>
      </c>
      <c r="BW185" s="433" t="s">
        <v>762</v>
      </c>
      <c r="BX185" s="433" t="s">
        <v>762</v>
      </c>
      <c r="BY185" s="433" t="s">
        <v>762</v>
      </c>
      <c r="BZ185" s="433" t="s">
        <v>762</v>
      </c>
      <c r="CA185" s="433" t="s">
        <v>762</v>
      </c>
      <c r="CB185" s="433" t="s">
        <v>762</v>
      </c>
      <c r="CC185" s="433" t="s">
        <v>762</v>
      </c>
      <c r="CD185" s="433" t="s">
        <v>762</v>
      </c>
      <c r="CE185" s="433" t="s">
        <v>762</v>
      </c>
      <c r="CF185" s="433" t="s">
        <v>762</v>
      </c>
      <c r="CG185" s="239" t="s">
        <v>762</v>
      </c>
      <c r="CH185" s="239" t="s">
        <v>762</v>
      </c>
      <c r="CI185" s="239" t="s">
        <v>762</v>
      </c>
      <c r="CJ185" s="239" t="s">
        <v>762</v>
      </c>
      <c r="CK185" s="239" t="s">
        <v>762</v>
      </c>
      <c r="CL185" s="239" t="s">
        <v>762</v>
      </c>
    </row>
    <row r="186" spans="1:90" s="434" customFormat="1">
      <c r="A186" s="239" t="s">
        <v>580</v>
      </c>
      <c r="B186" s="239" t="s">
        <v>626</v>
      </c>
      <c r="C186" s="433">
        <f t="shared" ref="C186:AD186" si="147">B922</f>
        <v>158</v>
      </c>
      <c r="D186" s="433">
        <f t="shared" si="147"/>
        <v>158</v>
      </c>
      <c r="E186" s="433">
        <f t="shared" si="147"/>
        <v>158</v>
      </c>
      <c r="F186" s="433">
        <f t="shared" si="147"/>
        <v>158</v>
      </c>
      <c r="G186" s="433">
        <f t="shared" si="147"/>
        <v>158</v>
      </c>
      <c r="H186" s="433">
        <f t="shared" si="147"/>
        <v>158</v>
      </c>
      <c r="I186" s="433">
        <f t="shared" si="147"/>
        <v>158</v>
      </c>
      <c r="J186" s="433">
        <f t="shared" si="147"/>
        <v>158</v>
      </c>
      <c r="K186" s="433">
        <f t="shared" si="147"/>
        <v>158</v>
      </c>
      <c r="L186" s="433">
        <f t="shared" si="147"/>
        <v>158</v>
      </c>
      <c r="M186" s="433">
        <f t="shared" si="147"/>
        <v>158</v>
      </c>
      <c r="N186" s="433">
        <f t="shared" si="147"/>
        <v>158</v>
      </c>
      <c r="O186" s="433">
        <f t="shared" si="147"/>
        <v>158</v>
      </c>
      <c r="P186" s="433">
        <f t="shared" si="147"/>
        <v>158</v>
      </c>
      <c r="Q186" s="433">
        <f t="shared" si="147"/>
        <v>158</v>
      </c>
      <c r="R186" s="433">
        <f t="shared" si="147"/>
        <v>158</v>
      </c>
      <c r="S186" s="433">
        <f t="shared" si="147"/>
        <v>158</v>
      </c>
      <c r="T186" s="433">
        <f t="shared" si="147"/>
        <v>158</v>
      </c>
      <c r="U186" s="433">
        <f t="shared" si="147"/>
        <v>158</v>
      </c>
      <c r="V186" s="433">
        <f t="shared" si="147"/>
        <v>158</v>
      </c>
      <c r="W186" s="433">
        <f t="shared" si="147"/>
        <v>158</v>
      </c>
      <c r="X186" s="433">
        <f t="shared" si="147"/>
        <v>158</v>
      </c>
      <c r="Y186" s="433">
        <f t="shared" si="147"/>
        <v>158</v>
      </c>
      <c r="Z186" s="433">
        <f t="shared" si="147"/>
        <v>158</v>
      </c>
      <c r="AA186" s="433">
        <f t="shared" si="147"/>
        <v>158</v>
      </c>
      <c r="AB186" s="433">
        <f t="shared" si="147"/>
        <v>158</v>
      </c>
      <c r="AC186" s="433">
        <f t="shared" si="147"/>
        <v>158</v>
      </c>
      <c r="AD186" s="433">
        <f t="shared" si="147"/>
        <v>158</v>
      </c>
      <c r="AE186" s="433">
        <f t="shared" ref="AE186:AJ189" si="148">AC922</f>
        <v>158</v>
      </c>
      <c r="AF186" s="433">
        <f t="shared" si="148"/>
        <v>196</v>
      </c>
      <c r="AG186" s="433">
        <f t="shared" si="148"/>
        <v>196</v>
      </c>
      <c r="AH186" s="433">
        <f t="shared" si="148"/>
        <v>196</v>
      </c>
      <c r="AI186" s="433">
        <f t="shared" si="148"/>
        <v>196</v>
      </c>
      <c r="AJ186" s="433">
        <f t="shared" si="148"/>
        <v>196</v>
      </c>
      <c r="AK186" s="433">
        <f t="shared" ref="AK186:BO186" si="149">AI921</f>
        <v>196</v>
      </c>
      <c r="AL186" s="433">
        <f t="shared" si="149"/>
        <v>196</v>
      </c>
      <c r="AM186" s="433">
        <f t="shared" si="149"/>
        <v>196</v>
      </c>
      <c r="AN186" s="433">
        <f t="shared" si="149"/>
        <v>196</v>
      </c>
      <c r="AO186" s="433">
        <f t="shared" si="149"/>
        <v>196</v>
      </c>
      <c r="AP186" s="433">
        <f t="shared" si="149"/>
        <v>196</v>
      </c>
      <c r="AQ186" s="433">
        <f t="shared" si="149"/>
        <v>196</v>
      </c>
      <c r="AR186" s="433">
        <f t="shared" si="149"/>
        <v>196</v>
      </c>
      <c r="AS186" s="433">
        <f t="shared" si="149"/>
        <v>196</v>
      </c>
      <c r="AT186" s="433">
        <f t="shared" si="149"/>
        <v>196</v>
      </c>
      <c r="AU186" s="433">
        <f t="shared" si="149"/>
        <v>196</v>
      </c>
      <c r="AV186" s="433">
        <f t="shared" si="149"/>
        <v>196</v>
      </c>
      <c r="AW186" s="433">
        <f t="shared" si="149"/>
        <v>196</v>
      </c>
      <c r="AX186" s="433">
        <f t="shared" si="149"/>
        <v>196</v>
      </c>
      <c r="AY186" s="433">
        <f t="shared" si="149"/>
        <v>242</v>
      </c>
      <c r="AZ186" s="433">
        <f t="shared" si="149"/>
        <v>242</v>
      </c>
      <c r="BA186" s="433">
        <f t="shared" si="149"/>
        <v>242</v>
      </c>
      <c r="BB186" s="433">
        <f t="shared" si="149"/>
        <v>242</v>
      </c>
      <c r="BC186" s="433">
        <f t="shared" si="149"/>
        <v>242</v>
      </c>
      <c r="BD186" s="433">
        <f t="shared" si="149"/>
        <v>242</v>
      </c>
      <c r="BE186" s="433">
        <f t="shared" si="149"/>
        <v>242</v>
      </c>
      <c r="BF186" s="433">
        <f t="shared" si="149"/>
        <v>242</v>
      </c>
      <c r="BG186" s="433">
        <f t="shared" si="149"/>
        <v>289</v>
      </c>
      <c r="BH186" s="433">
        <f t="shared" si="149"/>
        <v>289</v>
      </c>
      <c r="BI186" s="433">
        <f t="shared" si="149"/>
        <v>289</v>
      </c>
      <c r="BJ186" s="433">
        <f t="shared" si="149"/>
        <v>289</v>
      </c>
      <c r="BK186" s="433">
        <f t="shared" si="149"/>
        <v>289</v>
      </c>
      <c r="BL186" s="433">
        <f t="shared" si="149"/>
        <v>289</v>
      </c>
      <c r="BM186" s="433">
        <f t="shared" si="149"/>
        <v>324</v>
      </c>
      <c r="BN186" s="433">
        <f t="shared" si="149"/>
        <v>324</v>
      </c>
      <c r="BO186" s="433">
        <f t="shared" si="149"/>
        <v>324</v>
      </c>
      <c r="BP186" s="433">
        <f t="shared" ref="BP186:CF186" si="150">BN921</f>
        <v>324</v>
      </c>
      <c r="BQ186" s="433">
        <f t="shared" si="150"/>
        <v>324</v>
      </c>
      <c r="BR186" s="433">
        <f t="shared" si="150"/>
        <v>324</v>
      </c>
      <c r="BS186" s="433">
        <f t="shared" si="150"/>
        <v>357</v>
      </c>
      <c r="BT186" s="433">
        <f t="shared" si="150"/>
        <v>357</v>
      </c>
      <c r="BU186" s="433">
        <f t="shared" si="150"/>
        <v>381</v>
      </c>
      <c r="BV186" s="433">
        <f t="shared" si="150"/>
        <v>413</v>
      </c>
      <c r="BW186" s="433">
        <f t="shared" si="150"/>
        <v>436</v>
      </c>
      <c r="BX186" s="433">
        <f t="shared" si="150"/>
        <v>465</v>
      </c>
      <c r="BY186" s="433">
        <f t="shared" si="150"/>
        <v>478</v>
      </c>
      <c r="BZ186" s="433">
        <f t="shared" si="150"/>
        <v>494</v>
      </c>
      <c r="CA186" s="433">
        <f t="shared" si="150"/>
        <v>494</v>
      </c>
      <c r="CB186" s="433">
        <f t="shared" si="150"/>
        <v>549</v>
      </c>
      <c r="CC186" s="433">
        <f t="shared" si="150"/>
        <v>611</v>
      </c>
      <c r="CD186" s="433">
        <f t="shared" si="150"/>
        <v>628</v>
      </c>
      <c r="CE186" s="433">
        <f t="shared" si="150"/>
        <v>713</v>
      </c>
      <c r="CF186" s="433">
        <f t="shared" si="150"/>
        <v>754</v>
      </c>
      <c r="CG186" s="239" t="s">
        <v>762</v>
      </c>
      <c r="CH186" s="239" t="s">
        <v>762</v>
      </c>
      <c r="CI186" s="239" t="s">
        <v>762</v>
      </c>
      <c r="CJ186" s="239" t="s">
        <v>762</v>
      </c>
      <c r="CK186" s="239" t="s">
        <v>762</v>
      </c>
      <c r="CL186" s="239" t="s">
        <v>762</v>
      </c>
    </row>
    <row r="187" spans="1:90" s="434" customFormat="1">
      <c r="A187" s="239" t="s">
        <v>581</v>
      </c>
      <c r="B187" s="239" t="s">
        <v>626</v>
      </c>
      <c r="C187" s="433">
        <f t="shared" ref="C187:AD187" si="151">B923</f>
        <v>118</v>
      </c>
      <c r="D187" s="433">
        <f t="shared" si="151"/>
        <v>118</v>
      </c>
      <c r="E187" s="433">
        <f t="shared" si="151"/>
        <v>118</v>
      </c>
      <c r="F187" s="433">
        <f t="shared" si="151"/>
        <v>118</v>
      </c>
      <c r="G187" s="433">
        <f t="shared" si="151"/>
        <v>118</v>
      </c>
      <c r="H187" s="433">
        <f t="shared" si="151"/>
        <v>118</v>
      </c>
      <c r="I187" s="433">
        <f t="shared" si="151"/>
        <v>118</v>
      </c>
      <c r="J187" s="433">
        <f t="shared" si="151"/>
        <v>118</v>
      </c>
      <c r="K187" s="433">
        <f t="shared" si="151"/>
        <v>118</v>
      </c>
      <c r="L187" s="433">
        <f t="shared" si="151"/>
        <v>118</v>
      </c>
      <c r="M187" s="433">
        <f t="shared" si="151"/>
        <v>118</v>
      </c>
      <c r="N187" s="433">
        <f t="shared" si="151"/>
        <v>118</v>
      </c>
      <c r="O187" s="433">
        <f t="shared" si="151"/>
        <v>118</v>
      </c>
      <c r="P187" s="433">
        <f t="shared" si="151"/>
        <v>118</v>
      </c>
      <c r="Q187" s="433">
        <f t="shared" si="151"/>
        <v>118</v>
      </c>
      <c r="R187" s="433">
        <f t="shared" si="151"/>
        <v>118</v>
      </c>
      <c r="S187" s="433">
        <f t="shared" si="151"/>
        <v>118</v>
      </c>
      <c r="T187" s="433">
        <f t="shared" si="151"/>
        <v>118</v>
      </c>
      <c r="U187" s="433">
        <f t="shared" si="151"/>
        <v>118</v>
      </c>
      <c r="V187" s="433">
        <f t="shared" si="151"/>
        <v>118</v>
      </c>
      <c r="W187" s="433">
        <f t="shared" si="151"/>
        <v>118</v>
      </c>
      <c r="X187" s="433">
        <f t="shared" si="151"/>
        <v>118</v>
      </c>
      <c r="Y187" s="433">
        <f t="shared" si="151"/>
        <v>118</v>
      </c>
      <c r="Z187" s="433">
        <f t="shared" si="151"/>
        <v>118</v>
      </c>
      <c r="AA187" s="433">
        <f t="shared" si="151"/>
        <v>118</v>
      </c>
      <c r="AB187" s="433">
        <f t="shared" si="151"/>
        <v>118</v>
      </c>
      <c r="AC187" s="433">
        <f t="shared" si="151"/>
        <v>118</v>
      </c>
      <c r="AD187" s="433">
        <f t="shared" si="151"/>
        <v>118</v>
      </c>
      <c r="AE187" s="433">
        <f t="shared" si="148"/>
        <v>118</v>
      </c>
      <c r="AF187" s="433">
        <f t="shared" si="148"/>
        <v>148</v>
      </c>
      <c r="AG187" s="433">
        <f t="shared" si="148"/>
        <v>148</v>
      </c>
      <c r="AH187" s="433">
        <f t="shared" si="148"/>
        <v>148</v>
      </c>
      <c r="AI187" s="433">
        <f t="shared" si="148"/>
        <v>148</v>
      </c>
      <c r="AJ187" s="433">
        <f t="shared" si="148"/>
        <v>148</v>
      </c>
      <c r="AK187" s="433">
        <f t="shared" ref="AK187:BO187" si="152">AI922</f>
        <v>148</v>
      </c>
      <c r="AL187" s="433">
        <f t="shared" si="152"/>
        <v>148</v>
      </c>
      <c r="AM187" s="433">
        <f t="shared" si="152"/>
        <v>148</v>
      </c>
      <c r="AN187" s="433">
        <f t="shared" si="152"/>
        <v>148</v>
      </c>
      <c r="AO187" s="433">
        <f t="shared" si="152"/>
        <v>148</v>
      </c>
      <c r="AP187" s="433">
        <f t="shared" si="152"/>
        <v>148</v>
      </c>
      <c r="AQ187" s="433">
        <f t="shared" si="152"/>
        <v>148</v>
      </c>
      <c r="AR187" s="433">
        <f t="shared" si="152"/>
        <v>148</v>
      </c>
      <c r="AS187" s="433">
        <f t="shared" si="152"/>
        <v>148</v>
      </c>
      <c r="AT187" s="433">
        <f t="shared" si="152"/>
        <v>148</v>
      </c>
      <c r="AU187" s="433">
        <f t="shared" si="152"/>
        <v>148</v>
      </c>
      <c r="AV187" s="433">
        <f t="shared" si="152"/>
        <v>148</v>
      </c>
      <c r="AW187" s="433">
        <f t="shared" si="152"/>
        <v>148</v>
      </c>
      <c r="AX187" s="433">
        <f t="shared" si="152"/>
        <v>148</v>
      </c>
      <c r="AY187" s="433">
        <f t="shared" si="152"/>
        <v>242</v>
      </c>
      <c r="AZ187" s="433">
        <f t="shared" si="152"/>
        <v>242</v>
      </c>
      <c r="BA187" s="433">
        <f t="shared" si="152"/>
        <v>242</v>
      </c>
      <c r="BB187" s="433">
        <f t="shared" si="152"/>
        <v>242</v>
      </c>
      <c r="BC187" s="433">
        <f t="shared" si="152"/>
        <v>242</v>
      </c>
      <c r="BD187" s="433">
        <f t="shared" si="152"/>
        <v>242</v>
      </c>
      <c r="BE187" s="433">
        <f t="shared" si="152"/>
        <v>242</v>
      </c>
      <c r="BF187" s="433">
        <f t="shared" si="152"/>
        <v>242</v>
      </c>
      <c r="BG187" s="433">
        <f t="shared" si="152"/>
        <v>289</v>
      </c>
      <c r="BH187" s="433">
        <f t="shared" si="152"/>
        <v>289</v>
      </c>
      <c r="BI187" s="433">
        <f t="shared" si="152"/>
        <v>289</v>
      </c>
      <c r="BJ187" s="433">
        <f t="shared" si="152"/>
        <v>289</v>
      </c>
      <c r="BK187" s="433">
        <f t="shared" si="152"/>
        <v>289</v>
      </c>
      <c r="BL187" s="433">
        <f t="shared" si="152"/>
        <v>289</v>
      </c>
      <c r="BM187" s="433">
        <f t="shared" si="152"/>
        <v>324</v>
      </c>
      <c r="BN187" s="433">
        <f t="shared" si="152"/>
        <v>324</v>
      </c>
      <c r="BO187" s="433">
        <f t="shared" si="152"/>
        <v>324</v>
      </c>
      <c r="BP187" s="433">
        <f t="shared" ref="BP187:CF187" si="153">BN922</f>
        <v>324</v>
      </c>
      <c r="BQ187" s="433">
        <f t="shared" si="153"/>
        <v>324</v>
      </c>
      <c r="BR187" s="433">
        <f t="shared" si="153"/>
        <v>324</v>
      </c>
      <c r="BS187" s="433">
        <f t="shared" si="153"/>
        <v>357</v>
      </c>
      <c r="BT187" s="433">
        <f t="shared" si="153"/>
        <v>357</v>
      </c>
      <c r="BU187" s="433">
        <f t="shared" si="153"/>
        <v>381</v>
      </c>
      <c r="BV187" s="433">
        <f t="shared" si="153"/>
        <v>413</v>
      </c>
      <c r="BW187" s="433">
        <f t="shared" si="153"/>
        <v>436</v>
      </c>
      <c r="BX187" s="433">
        <f t="shared" si="153"/>
        <v>465</v>
      </c>
      <c r="BY187" s="433">
        <f t="shared" si="153"/>
        <v>478</v>
      </c>
      <c r="BZ187" s="433">
        <f t="shared" si="153"/>
        <v>494</v>
      </c>
      <c r="CA187" s="433">
        <f t="shared" si="153"/>
        <v>494</v>
      </c>
      <c r="CB187" s="433">
        <f t="shared" si="153"/>
        <v>549</v>
      </c>
      <c r="CC187" s="433">
        <f t="shared" si="153"/>
        <v>611</v>
      </c>
      <c r="CD187" s="433">
        <f t="shared" si="153"/>
        <v>628</v>
      </c>
      <c r="CE187" s="433">
        <f t="shared" si="153"/>
        <v>713</v>
      </c>
      <c r="CF187" s="433">
        <f t="shared" si="153"/>
        <v>754</v>
      </c>
      <c r="CG187" s="239" t="s">
        <v>762</v>
      </c>
      <c r="CH187" s="239" t="s">
        <v>762</v>
      </c>
      <c r="CI187" s="239" t="s">
        <v>762</v>
      </c>
      <c r="CJ187" s="239" t="s">
        <v>762</v>
      </c>
      <c r="CK187" s="239" t="s">
        <v>762</v>
      </c>
      <c r="CL187" s="239" t="s">
        <v>762</v>
      </c>
    </row>
    <row r="188" spans="1:90" s="434" customFormat="1">
      <c r="A188" s="239" t="s">
        <v>582</v>
      </c>
      <c r="B188" s="239" t="s">
        <v>626</v>
      </c>
      <c r="C188" s="433">
        <f t="shared" ref="C188:AD188" si="154">B924</f>
        <v>95</v>
      </c>
      <c r="D188" s="433">
        <f t="shared" si="154"/>
        <v>95</v>
      </c>
      <c r="E188" s="433">
        <f t="shared" si="154"/>
        <v>95</v>
      </c>
      <c r="F188" s="433">
        <f t="shared" si="154"/>
        <v>95</v>
      </c>
      <c r="G188" s="433">
        <f t="shared" si="154"/>
        <v>95</v>
      </c>
      <c r="H188" s="433">
        <f t="shared" si="154"/>
        <v>95</v>
      </c>
      <c r="I188" s="433">
        <f t="shared" si="154"/>
        <v>95</v>
      </c>
      <c r="J188" s="433">
        <f t="shared" si="154"/>
        <v>95</v>
      </c>
      <c r="K188" s="433">
        <f t="shared" si="154"/>
        <v>95</v>
      </c>
      <c r="L188" s="433">
        <f t="shared" si="154"/>
        <v>95</v>
      </c>
      <c r="M188" s="433">
        <f t="shared" si="154"/>
        <v>95</v>
      </c>
      <c r="N188" s="433">
        <f t="shared" si="154"/>
        <v>95</v>
      </c>
      <c r="O188" s="433">
        <f t="shared" si="154"/>
        <v>95</v>
      </c>
      <c r="P188" s="433">
        <f t="shared" si="154"/>
        <v>95</v>
      </c>
      <c r="Q188" s="433">
        <f t="shared" si="154"/>
        <v>95</v>
      </c>
      <c r="R188" s="433">
        <f t="shared" si="154"/>
        <v>95</v>
      </c>
      <c r="S188" s="433">
        <f t="shared" si="154"/>
        <v>95</v>
      </c>
      <c r="T188" s="433">
        <f t="shared" si="154"/>
        <v>95</v>
      </c>
      <c r="U188" s="433">
        <f t="shared" si="154"/>
        <v>95</v>
      </c>
      <c r="V188" s="433">
        <f t="shared" si="154"/>
        <v>95</v>
      </c>
      <c r="W188" s="433">
        <f t="shared" si="154"/>
        <v>95</v>
      </c>
      <c r="X188" s="433">
        <f t="shared" si="154"/>
        <v>95</v>
      </c>
      <c r="Y188" s="433">
        <f t="shared" si="154"/>
        <v>95</v>
      </c>
      <c r="Z188" s="433">
        <f t="shared" si="154"/>
        <v>95</v>
      </c>
      <c r="AA188" s="433">
        <f t="shared" si="154"/>
        <v>95</v>
      </c>
      <c r="AB188" s="433">
        <f t="shared" si="154"/>
        <v>95</v>
      </c>
      <c r="AC188" s="433">
        <f t="shared" si="154"/>
        <v>95</v>
      </c>
      <c r="AD188" s="433">
        <f t="shared" si="154"/>
        <v>95</v>
      </c>
      <c r="AE188" s="433">
        <f t="shared" si="148"/>
        <v>95</v>
      </c>
      <c r="AF188" s="433">
        <f t="shared" si="148"/>
        <v>118</v>
      </c>
      <c r="AG188" s="433">
        <f t="shared" si="148"/>
        <v>118</v>
      </c>
      <c r="AH188" s="433">
        <f t="shared" si="148"/>
        <v>118</v>
      </c>
      <c r="AI188" s="433">
        <f t="shared" si="148"/>
        <v>118</v>
      </c>
      <c r="AJ188" s="433">
        <f t="shared" si="148"/>
        <v>118</v>
      </c>
      <c r="AK188" s="433">
        <f t="shared" ref="AK188:BO188" si="155">AI923</f>
        <v>118</v>
      </c>
      <c r="AL188" s="433">
        <f t="shared" si="155"/>
        <v>118</v>
      </c>
      <c r="AM188" s="433">
        <f t="shared" si="155"/>
        <v>118</v>
      </c>
      <c r="AN188" s="433">
        <f t="shared" si="155"/>
        <v>118</v>
      </c>
      <c r="AO188" s="433">
        <f t="shared" si="155"/>
        <v>118</v>
      </c>
      <c r="AP188" s="433">
        <f t="shared" si="155"/>
        <v>118</v>
      </c>
      <c r="AQ188" s="433">
        <f t="shared" si="155"/>
        <v>118</v>
      </c>
      <c r="AR188" s="433">
        <f t="shared" si="155"/>
        <v>118</v>
      </c>
      <c r="AS188" s="433">
        <f t="shared" si="155"/>
        <v>118</v>
      </c>
      <c r="AT188" s="433">
        <f t="shared" si="155"/>
        <v>118</v>
      </c>
      <c r="AU188" s="433">
        <f t="shared" si="155"/>
        <v>118</v>
      </c>
      <c r="AV188" s="433">
        <f t="shared" si="155"/>
        <v>118</v>
      </c>
      <c r="AW188" s="433">
        <f t="shared" si="155"/>
        <v>118</v>
      </c>
      <c r="AX188" s="433">
        <f t="shared" si="155"/>
        <v>118</v>
      </c>
      <c r="AY188" s="433">
        <f t="shared" si="155"/>
        <v>142</v>
      </c>
      <c r="AZ188" s="433">
        <f t="shared" si="155"/>
        <v>142</v>
      </c>
      <c r="BA188" s="433">
        <f t="shared" si="155"/>
        <v>142</v>
      </c>
      <c r="BB188" s="433">
        <f t="shared" si="155"/>
        <v>142</v>
      </c>
      <c r="BC188" s="433">
        <f t="shared" si="155"/>
        <v>142</v>
      </c>
      <c r="BD188" s="433">
        <f t="shared" si="155"/>
        <v>142</v>
      </c>
      <c r="BE188" s="433">
        <f t="shared" si="155"/>
        <v>142</v>
      </c>
      <c r="BF188" s="433">
        <f t="shared" si="155"/>
        <v>142</v>
      </c>
      <c r="BG188" s="433">
        <f t="shared" si="155"/>
        <v>183</v>
      </c>
      <c r="BH188" s="433">
        <f t="shared" si="155"/>
        <v>183</v>
      </c>
      <c r="BI188" s="433">
        <f t="shared" si="155"/>
        <v>183</v>
      </c>
      <c r="BJ188" s="433">
        <f t="shared" si="155"/>
        <v>183</v>
      </c>
      <c r="BK188" s="433">
        <f t="shared" si="155"/>
        <v>183</v>
      </c>
      <c r="BL188" s="433">
        <f t="shared" si="155"/>
        <v>183</v>
      </c>
      <c r="BM188" s="433">
        <f t="shared" si="155"/>
        <v>193</v>
      </c>
      <c r="BN188" s="433">
        <f t="shared" si="155"/>
        <v>193</v>
      </c>
      <c r="BO188" s="433">
        <f t="shared" si="155"/>
        <v>193</v>
      </c>
      <c r="BP188" s="433">
        <f t="shared" ref="BP188:CF188" si="156">BN923</f>
        <v>193</v>
      </c>
      <c r="BQ188" s="433">
        <f t="shared" si="156"/>
        <v>193</v>
      </c>
      <c r="BR188" s="433">
        <f t="shared" si="156"/>
        <v>193</v>
      </c>
      <c r="BS188" s="433">
        <f t="shared" si="156"/>
        <v>212</v>
      </c>
      <c r="BT188" s="433">
        <f t="shared" si="156"/>
        <v>212</v>
      </c>
      <c r="BU188" s="433">
        <f t="shared" si="156"/>
        <v>225</v>
      </c>
      <c r="BV188" s="433">
        <f t="shared" si="156"/>
        <v>246</v>
      </c>
      <c r="BW188" s="433">
        <f t="shared" si="156"/>
        <v>259</v>
      </c>
      <c r="BX188" s="433">
        <f t="shared" si="156"/>
        <v>271</v>
      </c>
      <c r="BY188" s="433">
        <f t="shared" si="156"/>
        <v>285</v>
      </c>
      <c r="BZ188" s="433">
        <f t="shared" si="156"/>
        <v>295</v>
      </c>
      <c r="CA188" s="433">
        <f t="shared" si="156"/>
        <v>295</v>
      </c>
      <c r="CB188" s="433">
        <f t="shared" si="156"/>
        <v>328</v>
      </c>
      <c r="CC188" s="433">
        <f t="shared" si="156"/>
        <v>362</v>
      </c>
      <c r="CD188" s="433">
        <f t="shared" si="156"/>
        <v>376</v>
      </c>
      <c r="CE188" s="433">
        <f t="shared" si="156"/>
        <v>424</v>
      </c>
      <c r="CF188" s="433">
        <f t="shared" si="156"/>
        <v>448</v>
      </c>
      <c r="CG188" s="239" t="s">
        <v>762</v>
      </c>
      <c r="CH188" s="239" t="s">
        <v>762</v>
      </c>
      <c r="CI188" s="239" t="s">
        <v>762</v>
      </c>
      <c r="CJ188" s="239" t="s">
        <v>762</v>
      </c>
      <c r="CK188" s="239" t="s">
        <v>762</v>
      </c>
      <c r="CL188" s="239" t="s">
        <v>762</v>
      </c>
    </row>
    <row r="189" spans="1:90" s="434" customFormat="1">
      <c r="A189" s="239" t="s">
        <v>583</v>
      </c>
      <c r="B189" s="239" t="s">
        <v>626</v>
      </c>
      <c r="C189" s="433">
        <f t="shared" ref="C189:AD189" si="157">B925</f>
        <v>158</v>
      </c>
      <c r="D189" s="433">
        <f t="shared" si="157"/>
        <v>158</v>
      </c>
      <c r="E189" s="433">
        <f t="shared" si="157"/>
        <v>158</v>
      </c>
      <c r="F189" s="433">
        <f t="shared" si="157"/>
        <v>158</v>
      </c>
      <c r="G189" s="433">
        <f t="shared" si="157"/>
        <v>158</v>
      </c>
      <c r="H189" s="433">
        <f t="shared" si="157"/>
        <v>158</v>
      </c>
      <c r="I189" s="433">
        <f t="shared" si="157"/>
        <v>158</v>
      </c>
      <c r="J189" s="433">
        <f t="shared" si="157"/>
        <v>158</v>
      </c>
      <c r="K189" s="433">
        <f t="shared" si="157"/>
        <v>158</v>
      </c>
      <c r="L189" s="433">
        <f t="shared" si="157"/>
        <v>158</v>
      </c>
      <c r="M189" s="433">
        <f t="shared" si="157"/>
        <v>158</v>
      </c>
      <c r="N189" s="433">
        <f t="shared" si="157"/>
        <v>158</v>
      </c>
      <c r="O189" s="433">
        <f t="shared" si="157"/>
        <v>158</v>
      </c>
      <c r="P189" s="433">
        <f t="shared" si="157"/>
        <v>158</v>
      </c>
      <c r="Q189" s="433">
        <f t="shared" si="157"/>
        <v>158</v>
      </c>
      <c r="R189" s="433">
        <f t="shared" si="157"/>
        <v>158</v>
      </c>
      <c r="S189" s="433">
        <f t="shared" si="157"/>
        <v>158</v>
      </c>
      <c r="T189" s="433">
        <f t="shared" si="157"/>
        <v>158</v>
      </c>
      <c r="U189" s="433">
        <f t="shared" si="157"/>
        <v>158</v>
      </c>
      <c r="V189" s="433">
        <f t="shared" si="157"/>
        <v>158</v>
      </c>
      <c r="W189" s="433">
        <f t="shared" si="157"/>
        <v>158</v>
      </c>
      <c r="X189" s="433">
        <f t="shared" si="157"/>
        <v>158</v>
      </c>
      <c r="Y189" s="433">
        <f t="shared" si="157"/>
        <v>158</v>
      </c>
      <c r="Z189" s="433">
        <f t="shared" si="157"/>
        <v>158</v>
      </c>
      <c r="AA189" s="433">
        <f t="shared" si="157"/>
        <v>158</v>
      </c>
      <c r="AB189" s="433">
        <f t="shared" si="157"/>
        <v>158</v>
      </c>
      <c r="AC189" s="433">
        <f t="shared" si="157"/>
        <v>158</v>
      </c>
      <c r="AD189" s="433">
        <f t="shared" si="157"/>
        <v>158</v>
      </c>
      <c r="AE189" s="433">
        <f t="shared" si="148"/>
        <v>158</v>
      </c>
      <c r="AF189" s="433">
        <f t="shared" si="148"/>
        <v>196</v>
      </c>
      <c r="AG189" s="433">
        <f t="shared" si="148"/>
        <v>196</v>
      </c>
      <c r="AH189" s="433">
        <f t="shared" si="148"/>
        <v>196</v>
      </c>
      <c r="AI189" s="433">
        <f t="shared" si="148"/>
        <v>196</v>
      </c>
      <c r="AJ189" s="433">
        <f t="shared" si="148"/>
        <v>196</v>
      </c>
      <c r="AK189" s="433">
        <f t="shared" ref="AK189:BO189" si="158">AI924</f>
        <v>196</v>
      </c>
      <c r="AL189" s="433">
        <f t="shared" si="158"/>
        <v>196</v>
      </c>
      <c r="AM189" s="433">
        <f t="shared" si="158"/>
        <v>196</v>
      </c>
      <c r="AN189" s="433">
        <f t="shared" si="158"/>
        <v>196</v>
      </c>
      <c r="AO189" s="433">
        <f t="shared" si="158"/>
        <v>196</v>
      </c>
      <c r="AP189" s="433">
        <f t="shared" si="158"/>
        <v>196</v>
      </c>
      <c r="AQ189" s="433">
        <f t="shared" si="158"/>
        <v>196</v>
      </c>
      <c r="AR189" s="433">
        <f t="shared" si="158"/>
        <v>196</v>
      </c>
      <c r="AS189" s="433">
        <f t="shared" si="158"/>
        <v>196</v>
      </c>
      <c r="AT189" s="433">
        <f t="shared" si="158"/>
        <v>196</v>
      </c>
      <c r="AU189" s="433">
        <f t="shared" si="158"/>
        <v>196</v>
      </c>
      <c r="AV189" s="433">
        <f t="shared" si="158"/>
        <v>196</v>
      </c>
      <c r="AW189" s="433">
        <f t="shared" si="158"/>
        <v>196</v>
      </c>
      <c r="AX189" s="433">
        <f t="shared" si="158"/>
        <v>196</v>
      </c>
      <c r="AY189" s="433">
        <f t="shared" si="158"/>
        <v>242</v>
      </c>
      <c r="AZ189" s="433">
        <f t="shared" si="158"/>
        <v>242</v>
      </c>
      <c r="BA189" s="433">
        <f t="shared" si="158"/>
        <v>242</v>
      </c>
      <c r="BB189" s="433">
        <f t="shared" si="158"/>
        <v>242</v>
      </c>
      <c r="BC189" s="433">
        <f t="shared" si="158"/>
        <v>242</v>
      </c>
      <c r="BD189" s="433">
        <f t="shared" si="158"/>
        <v>242</v>
      </c>
      <c r="BE189" s="433">
        <f t="shared" si="158"/>
        <v>242</v>
      </c>
      <c r="BF189" s="433">
        <f t="shared" si="158"/>
        <v>242</v>
      </c>
      <c r="BG189" s="433">
        <f t="shared" si="158"/>
        <v>289</v>
      </c>
      <c r="BH189" s="433">
        <f t="shared" si="158"/>
        <v>289</v>
      </c>
      <c r="BI189" s="433">
        <f t="shared" si="158"/>
        <v>289</v>
      </c>
      <c r="BJ189" s="433">
        <f t="shared" si="158"/>
        <v>289</v>
      </c>
      <c r="BK189" s="433">
        <f t="shared" si="158"/>
        <v>289</v>
      </c>
      <c r="BL189" s="433">
        <f t="shared" si="158"/>
        <v>289</v>
      </c>
      <c r="BM189" s="433">
        <f t="shared" si="158"/>
        <v>324</v>
      </c>
      <c r="BN189" s="433">
        <f t="shared" si="158"/>
        <v>324</v>
      </c>
      <c r="BO189" s="433">
        <f t="shared" si="158"/>
        <v>324</v>
      </c>
      <c r="BP189" s="433">
        <f t="shared" ref="BP189:CF189" si="159">BN924</f>
        <v>324</v>
      </c>
      <c r="BQ189" s="433">
        <f t="shared" si="159"/>
        <v>324</v>
      </c>
      <c r="BR189" s="433">
        <f t="shared" si="159"/>
        <v>324</v>
      </c>
      <c r="BS189" s="433">
        <f t="shared" si="159"/>
        <v>357</v>
      </c>
      <c r="BT189" s="433">
        <f t="shared" si="159"/>
        <v>357</v>
      </c>
      <c r="BU189" s="433">
        <f t="shared" si="159"/>
        <v>381</v>
      </c>
      <c r="BV189" s="433">
        <f t="shared" si="159"/>
        <v>413</v>
      </c>
      <c r="BW189" s="433">
        <f t="shared" si="159"/>
        <v>436</v>
      </c>
      <c r="BX189" s="433">
        <f t="shared" si="159"/>
        <v>465</v>
      </c>
      <c r="BY189" s="433">
        <f t="shared" si="159"/>
        <v>478</v>
      </c>
      <c r="BZ189" s="433">
        <f t="shared" si="159"/>
        <v>494</v>
      </c>
      <c r="CA189" s="433">
        <f t="shared" si="159"/>
        <v>494</v>
      </c>
      <c r="CB189" s="433">
        <f t="shared" si="159"/>
        <v>549</v>
      </c>
      <c r="CC189" s="433">
        <f t="shared" si="159"/>
        <v>611</v>
      </c>
      <c r="CD189" s="433">
        <f t="shared" si="159"/>
        <v>628</v>
      </c>
      <c r="CE189" s="433">
        <f t="shared" si="159"/>
        <v>713</v>
      </c>
      <c r="CF189" s="433">
        <f t="shared" si="159"/>
        <v>754</v>
      </c>
      <c r="CG189" s="239" t="s">
        <v>762</v>
      </c>
      <c r="CH189" s="239" t="s">
        <v>762</v>
      </c>
      <c r="CI189" s="239" t="s">
        <v>762</v>
      </c>
      <c r="CJ189" s="239" t="s">
        <v>762</v>
      </c>
      <c r="CK189" s="239" t="s">
        <v>762</v>
      </c>
      <c r="CL189" s="239" t="s">
        <v>762</v>
      </c>
    </row>
    <row r="190" spans="1:90" s="434" customFormat="1">
      <c r="A190" s="239" t="s">
        <v>584</v>
      </c>
      <c r="B190" s="239" t="s">
        <v>626</v>
      </c>
      <c r="C190" s="433" t="s">
        <v>762</v>
      </c>
      <c r="D190" s="433" t="s">
        <v>762</v>
      </c>
      <c r="E190" s="433" t="s">
        <v>762</v>
      </c>
      <c r="F190" s="433" t="s">
        <v>762</v>
      </c>
      <c r="G190" s="433" t="s">
        <v>762</v>
      </c>
      <c r="H190" s="433" t="s">
        <v>762</v>
      </c>
      <c r="I190" s="433" t="s">
        <v>762</v>
      </c>
      <c r="J190" s="433" t="s">
        <v>762</v>
      </c>
      <c r="K190" s="433" t="s">
        <v>762</v>
      </c>
      <c r="L190" s="433" t="s">
        <v>762</v>
      </c>
      <c r="M190" s="433" t="s">
        <v>762</v>
      </c>
      <c r="N190" s="433" t="s">
        <v>762</v>
      </c>
      <c r="O190" s="433" t="s">
        <v>762</v>
      </c>
      <c r="P190" s="433" t="s">
        <v>762</v>
      </c>
      <c r="Q190" s="433" t="s">
        <v>762</v>
      </c>
      <c r="R190" s="433" t="s">
        <v>762</v>
      </c>
      <c r="S190" s="433" t="s">
        <v>762</v>
      </c>
      <c r="T190" s="433" t="s">
        <v>762</v>
      </c>
      <c r="U190" s="433" t="s">
        <v>762</v>
      </c>
      <c r="V190" s="433" t="s">
        <v>762</v>
      </c>
      <c r="W190" s="433" t="s">
        <v>762</v>
      </c>
      <c r="X190" s="433" t="s">
        <v>762</v>
      </c>
      <c r="Y190" s="433" t="s">
        <v>762</v>
      </c>
      <c r="Z190" s="433" t="s">
        <v>762</v>
      </c>
      <c r="AA190" s="433" t="s">
        <v>762</v>
      </c>
      <c r="AB190" s="433" t="s">
        <v>762</v>
      </c>
      <c r="AC190" s="433" t="s">
        <v>762</v>
      </c>
      <c r="AD190" s="433" t="s">
        <v>762</v>
      </c>
      <c r="AE190" s="433" t="s">
        <v>762</v>
      </c>
      <c r="AF190" s="433" t="s">
        <v>762</v>
      </c>
      <c r="AG190" s="433" t="s">
        <v>762</v>
      </c>
      <c r="AH190" s="433" t="s">
        <v>762</v>
      </c>
      <c r="AI190" s="433" t="s">
        <v>762</v>
      </c>
      <c r="AJ190" s="433" t="s">
        <v>762</v>
      </c>
      <c r="AK190" s="433" t="s">
        <v>762</v>
      </c>
      <c r="AL190" s="433" t="s">
        <v>762</v>
      </c>
      <c r="AM190" s="433" t="s">
        <v>762</v>
      </c>
      <c r="AN190" s="433" t="s">
        <v>762</v>
      </c>
      <c r="AO190" s="433" t="s">
        <v>762</v>
      </c>
      <c r="AP190" s="433" t="s">
        <v>762</v>
      </c>
      <c r="AQ190" s="433" t="s">
        <v>762</v>
      </c>
      <c r="AR190" s="433" t="s">
        <v>762</v>
      </c>
      <c r="AS190" s="433" t="s">
        <v>762</v>
      </c>
      <c r="AT190" s="433" t="s">
        <v>762</v>
      </c>
      <c r="AU190" s="433" t="s">
        <v>762</v>
      </c>
      <c r="AV190" s="433" t="s">
        <v>762</v>
      </c>
      <c r="AW190" s="433" t="s">
        <v>762</v>
      </c>
      <c r="AX190" s="433" t="s">
        <v>762</v>
      </c>
      <c r="AY190" s="433" t="s">
        <v>762</v>
      </c>
      <c r="AZ190" s="433" t="s">
        <v>762</v>
      </c>
      <c r="BA190" s="433" t="s">
        <v>762</v>
      </c>
      <c r="BB190" s="433" t="s">
        <v>762</v>
      </c>
      <c r="BC190" s="433" t="s">
        <v>762</v>
      </c>
      <c r="BD190" s="433" t="s">
        <v>762</v>
      </c>
      <c r="BE190" s="433" t="s">
        <v>762</v>
      </c>
      <c r="BF190" s="433" t="s">
        <v>762</v>
      </c>
      <c r="BG190" s="433" t="s">
        <v>762</v>
      </c>
      <c r="BH190" s="433" t="s">
        <v>762</v>
      </c>
      <c r="BI190" s="433" t="s">
        <v>762</v>
      </c>
      <c r="BJ190" s="433" t="s">
        <v>762</v>
      </c>
      <c r="BK190" s="433" t="s">
        <v>762</v>
      </c>
      <c r="BL190" s="433" t="s">
        <v>762</v>
      </c>
      <c r="BM190" s="433" t="s">
        <v>762</v>
      </c>
      <c r="BN190" s="433" t="s">
        <v>762</v>
      </c>
      <c r="BO190" s="433" t="s">
        <v>762</v>
      </c>
      <c r="BP190" s="433" t="s">
        <v>762</v>
      </c>
      <c r="BQ190" s="433" t="s">
        <v>762</v>
      </c>
      <c r="BR190" s="433" t="s">
        <v>762</v>
      </c>
      <c r="BS190" s="433" t="s">
        <v>762</v>
      </c>
      <c r="BT190" s="433" t="s">
        <v>762</v>
      </c>
      <c r="BU190" s="433" t="s">
        <v>762</v>
      </c>
      <c r="BV190" s="433" t="s">
        <v>762</v>
      </c>
      <c r="BW190" s="433" t="s">
        <v>762</v>
      </c>
      <c r="BX190" s="433" t="s">
        <v>762</v>
      </c>
      <c r="BY190" s="433" t="s">
        <v>762</v>
      </c>
      <c r="BZ190" s="433" t="s">
        <v>762</v>
      </c>
      <c r="CA190" s="433" t="s">
        <v>762</v>
      </c>
      <c r="CB190" s="433" t="s">
        <v>762</v>
      </c>
      <c r="CC190" s="433" t="s">
        <v>762</v>
      </c>
      <c r="CD190" s="433" t="s">
        <v>762</v>
      </c>
      <c r="CE190" s="433" t="s">
        <v>762</v>
      </c>
      <c r="CF190" s="433" t="s">
        <v>762</v>
      </c>
      <c r="CG190" s="239" t="s">
        <v>762</v>
      </c>
      <c r="CH190" s="239" t="s">
        <v>762</v>
      </c>
      <c r="CI190" s="239" t="s">
        <v>762</v>
      </c>
      <c r="CJ190" s="239" t="s">
        <v>762</v>
      </c>
      <c r="CK190" s="239" t="s">
        <v>762</v>
      </c>
      <c r="CL190" s="239" t="s">
        <v>762</v>
      </c>
    </row>
    <row r="191" spans="1:90" s="434" customFormat="1">
      <c r="A191" s="239" t="s">
        <v>585</v>
      </c>
      <c r="B191" s="239" t="s">
        <v>626</v>
      </c>
      <c r="C191" s="433" t="s">
        <v>762</v>
      </c>
      <c r="D191" s="433" t="s">
        <v>762</v>
      </c>
      <c r="E191" s="433" t="s">
        <v>762</v>
      </c>
      <c r="F191" s="433" t="s">
        <v>762</v>
      </c>
      <c r="G191" s="433" t="s">
        <v>762</v>
      </c>
      <c r="H191" s="433" t="s">
        <v>762</v>
      </c>
      <c r="I191" s="433" t="s">
        <v>762</v>
      </c>
      <c r="J191" s="433" t="s">
        <v>762</v>
      </c>
      <c r="K191" s="433" t="s">
        <v>762</v>
      </c>
      <c r="L191" s="433" t="s">
        <v>762</v>
      </c>
      <c r="M191" s="433" t="s">
        <v>762</v>
      </c>
      <c r="N191" s="433" t="s">
        <v>762</v>
      </c>
      <c r="O191" s="433" t="s">
        <v>762</v>
      </c>
      <c r="P191" s="433" t="s">
        <v>762</v>
      </c>
      <c r="Q191" s="433" t="s">
        <v>762</v>
      </c>
      <c r="R191" s="433" t="s">
        <v>762</v>
      </c>
      <c r="S191" s="433" t="s">
        <v>762</v>
      </c>
      <c r="T191" s="433" t="s">
        <v>762</v>
      </c>
      <c r="U191" s="433" t="s">
        <v>762</v>
      </c>
      <c r="V191" s="433" t="s">
        <v>762</v>
      </c>
      <c r="W191" s="433" t="s">
        <v>762</v>
      </c>
      <c r="X191" s="433" t="s">
        <v>762</v>
      </c>
      <c r="Y191" s="433" t="s">
        <v>762</v>
      </c>
      <c r="Z191" s="433" t="s">
        <v>762</v>
      </c>
      <c r="AA191" s="433" t="s">
        <v>762</v>
      </c>
      <c r="AB191" s="433" t="s">
        <v>762</v>
      </c>
      <c r="AC191" s="433" t="s">
        <v>762</v>
      </c>
      <c r="AD191" s="433" t="s">
        <v>762</v>
      </c>
      <c r="AE191" s="433" t="s">
        <v>762</v>
      </c>
      <c r="AF191" s="433" t="s">
        <v>762</v>
      </c>
      <c r="AG191" s="433" t="s">
        <v>762</v>
      </c>
      <c r="AH191" s="433" t="s">
        <v>762</v>
      </c>
      <c r="AI191" s="433" t="s">
        <v>762</v>
      </c>
      <c r="AJ191" s="433" t="s">
        <v>762</v>
      </c>
      <c r="AK191" s="433" t="s">
        <v>762</v>
      </c>
      <c r="AL191" s="433" t="s">
        <v>762</v>
      </c>
      <c r="AM191" s="433" t="s">
        <v>762</v>
      </c>
      <c r="AN191" s="433" t="s">
        <v>762</v>
      </c>
      <c r="AO191" s="433" t="s">
        <v>762</v>
      </c>
      <c r="AP191" s="433" t="s">
        <v>762</v>
      </c>
      <c r="AQ191" s="433" t="s">
        <v>762</v>
      </c>
      <c r="AR191" s="433" t="s">
        <v>762</v>
      </c>
      <c r="AS191" s="433" t="s">
        <v>762</v>
      </c>
      <c r="AT191" s="433" t="s">
        <v>762</v>
      </c>
      <c r="AU191" s="433" t="s">
        <v>762</v>
      </c>
      <c r="AV191" s="433" t="s">
        <v>762</v>
      </c>
      <c r="AW191" s="433" t="s">
        <v>762</v>
      </c>
      <c r="AX191" s="433" t="s">
        <v>762</v>
      </c>
      <c r="AY191" s="433" t="s">
        <v>762</v>
      </c>
      <c r="AZ191" s="433" t="s">
        <v>762</v>
      </c>
      <c r="BA191" s="433" t="s">
        <v>762</v>
      </c>
      <c r="BB191" s="433" t="s">
        <v>762</v>
      </c>
      <c r="BC191" s="433" t="s">
        <v>762</v>
      </c>
      <c r="BD191" s="433" t="s">
        <v>762</v>
      </c>
      <c r="BE191" s="433" t="s">
        <v>762</v>
      </c>
      <c r="BF191" s="433" t="s">
        <v>762</v>
      </c>
      <c r="BG191" s="433" t="s">
        <v>762</v>
      </c>
      <c r="BH191" s="433" t="s">
        <v>762</v>
      </c>
      <c r="BI191" s="433" t="s">
        <v>762</v>
      </c>
      <c r="BJ191" s="433" t="s">
        <v>762</v>
      </c>
      <c r="BK191" s="433" t="s">
        <v>762</v>
      </c>
      <c r="BL191" s="433" t="s">
        <v>762</v>
      </c>
      <c r="BM191" s="433" t="s">
        <v>762</v>
      </c>
      <c r="BN191" s="433" t="s">
        <v>762</v>
      </c>
      <c r="BO191" s="433" t="s">
        <v>762</v>
      </c>
      <c r="BP191" s="433" t="s">
        <v>762</v>
      </c>
      <c r="BQ191" s="433" t="s">
        <v>762</v>
      </c>
      <c r="BR191" s="433" t="s">
        <v>762</v>
      </c>
      <c r="BS191" s="433" t="s">
        <v>762</v>
      </c>
      <c r="BT191" s="433" t="s">
        <v>762</v>
      </c>
      <c r="BU191" s="433" t="s">
        <v>762</v>
      </c>
      <c r="BV191" s="433" t="s">
        <v>762</v>
      </c>
      <c r="BW191" s="433" t="s">
        <v>762</v>
      </c>
      <c r="BX191" s="433" t="s">
        <v>762</v>
      </c>
      <c r="BY191" s="433" t="s">
        <v>762</v>
      </c>
      <c r="BZ191" s="433" t="s">
        <v>762</v>
      </c>
      <c r="CA191" s="433" t="s">
        <v>762</v>
      </c>
      <c r="CB191" s="433" t="s">
        <v>762</v>
      </c>
      <c r="CC191" s="433" t="s">
        <v>762</v>
      </c>
      <c r="CD191" s="433" t="s">
        <v>762</v>
      </c>
      <c r="CE191" s="433" t="s">
        <v>762</v>
      </c>
      <c r="CF191" s="433" t="s">
        <v>762</v>
      </c>
      <c r="CG191" s="239" t="s">
        <v>762</v>
      </c>
      <c r="CH191" s="239" t="s">
        <v>762</v>
      </c>
      <c r="CI191" s="239" t="s">
        <v>762</v>
      </c>
      <c r="CJ191" s="239" t="s">
        <v>762</v>
      </c>
      <c r="CK191" s="239" t="s">
        <v>762</v>
      </c>
      <c r="CL191" s="239" t="s">
        <v>762</v>
      </c>
    </row>
    <row r="192" spans="1:90" s="434" customFormat="1">
      <c r="A192" s="239" t="s">
        <v>586</v>
      </c>
      <c r="B192" s="239" t="s">
        <v>626</v>
      </c>
      <c r="C192" s="433" t="s">
        <v>762</v>
      </c>
      <c r="D192" s="433" t="s">
        <v>762</v>
      </c>
      <c r="E192" s="433" t="s">
        <v>762</v>
      </c>
      <c r="F192" s="433" t="s">
        <v>762</v>
      </c>
      <c r="G192" s="433" t="s">
        <v>762</v>
      </c>
      <c r="H192" s="433" t="s">
        <v>762</v>
      </c>
      <c r="I192" s="433" t="s">
        <v>762</v>
      </c>
      <c r="J192" s="433" t="s">
        <v>762</v>
      </c>
      <c r="K192" s="433" t="s">
        <v>762</v>
      </c>
      <c r="L192" s="433" t="s">
        <v>762</v>
      </c>
      <c r="M192" s="433" t="s">
        <v>762</v>
      </c>
      <c r="N192" s="433" t="s">
        <v>762</v>
      </c>
      <c r="O192" s="433" t="s">
        <v>762</v>
      </c>
      <c r="P192" s="433" t="s">
        <v>762</v>
      </c>
      <c r="Q192" s="433" t="s">
        <v>762</v>
      </c>
      <c r="R192" s="433" t="s">
        <v>762</v>
      </c>
      <c r="S192" s="433" t="s">
        <v>762</v>
      </c>
      <c r="T192" s="433" t="s">
        <v>762</v>
      </c>
      <c r="U192" s="433" t="s">
        <v>762</v>
      </c>
      <c r="V192" s="433" t="s">
        <v>762</v>
      </c>
      <c r="W192" s="433" t="s">
        <v>762</v>
      </c>
      <c r="X192" s="433" t="s">
        <v>762</v>
      </c>
      <c r="Y192" s="433" t="s">
        <v>762</v>
      </c>
      <c r="Z192" s="433" t="s">
        <v>762</v>
      </c>
      <c r="AA192" s="433" t="s">
        <v>762</v>
      </c>
      <c r="AB192" s="433" t="s">
        <v>762</v>
      </c>
      <c r="AC192" s="433" t="s">
        <v>762</v>
      </c>
      <c r="AD192" s="433" t="s">
        <v>762</v>
      </c>
      <c r="AE192" s="433" t="s">
        <v>762</v>
      </c>
      <c r="AF192" s="433" t="s">
        <v>762</v>
      </c>
      <c r="AG192" s="433" t="s">
        <v>762</v>
      </c>
      <c r="AH192" s="433" t="s">
        <v>762</v>
      </c>
      <c r="AI192" s="433" t="s">
        <v>762</v>
      </c>
      <c r="AJ192" s="433" t="s">
        <v>762</v>
      </c>
      <c r="AK192" s="433" t="s">
        <v>762</v>
      </c>
      <c r="AL192" s="433" t="s">
        <v>762</v>
      </c>
      <c r="AM192" s="433" t="s">
        <v>762</v>
      </c>
      <c r="AN192" s="433" t="s">
        <v>762</v>
      </c>
      <c r="AO192" s="433" t="s">
        <v>762</v>
      </c>
      <c r="AP192" s="433" t="s">
        <v>762</v>
      </c>
      <c r="AQ192" s="433" t="s">
        <v>762</v>
      </c>
      <c r="AR192" s="433" t="s">
        <v>762</v>
      </c>
      <c r="AS192" s="433" t="s">
        <v>762</v>
      </c>
      <c r="AT192" s="433" t="s">
        <v>762</v>
      </c>
      <c r="AU192" s="433" t="s">
        <v>762</v>
      </c>
      <c r="AV192" s="433" t="s">
        <v>762</v>
      </c>
      <c r="AW192" s="433" t="s">
        <v>762</v>
      </c>
      <c r="AX192" s="433" t="s">
        <v>762</v>
      </c>
      <c r="AY192" s="433" t="s">
        <v>762</v>
      </c>
      <c r="AZ192" s="433" t="s">
        <v>762</v>
      </c>
      <c r="BA192" s="433" t="s">
        <v>762</v>
      </c>
      <c r="BB192" s="433" t="s">
        <v>762</v>
      </c>
      <c r="BC192" s="433" t="s">
        <v>762</v>
      </c>
      <c r="BD192" s="433" t="s">
        <v>762</v>
      </c>
      <c r="BE192" s="433" t="s">
        <v>762</v>
      </c>
      <c r="BF192" s="433" t="s">
        <v>762</v>
      </c>
      <c r="BG192" s="433" t="s">
        <v>762</v>
      </c>
      <c r="BH192" s="433" t="s">
        <v>762</v>
      </c>
      <c r="BI192" s="433" t="s">
        <v>762</v>
      </c>
      <c r="BJ192" s="433" t="s">
        <v>762</v>
      </c>
      <c r="BK192" s="433" t="s">
        <v>762</v>
      </c>
      <c r="BL192" s="433" t="s">
        <v>762</v>
      </c>
      <c r="BM192" s="433" t="s">
        <v>762</v>
      </c>
      <c r="BN192" s="433" t="s">
        <v>762</v>
      </c>
      <c r="BO192" s="433" t="s">
        <v>762</v>
      </c>
      <c r="BP192" s="433" t="s">
        <v>762</v>
      </c>
      <c r="BQ192" s="433" t="s">
        <v>762</v>
      </c>
      <c r="BR192" s="433" t="s">
        <v>762</v>
      </c>
      <c r="BS192" s="433" t="s">
        <v>762</v>
      </c>
      <c r="BT192" s="433" t="s">
        <v>762</v>
      </c>
      <c r="BU192" s="433" t="s">
        <v>762</v>
      </c>
      <c r="BV192" s="433" t="s">
        <v>762</v>
      </c>
      <c r="BW192" s="433" t="s">
        <v>762</v>
      </c>
      <c r="BX192" s="433" t="s">
        <v>762</v>
      </c>
      <c r="BY192" s="433" t="s">
        <v>762</v>
      </c>
      <c r="BZ192" s="433" t="s">
        <v>762</v>
      </c>
      <c r="CA192" s="433" t="s">
        <v>762</v>
      </c>
      <c r="CB192" s="433" t="s">
        <v>762</v>
      </c>
      <c r="CC192" s="433" t="s">
        <v>762</v>
      </c>
      <c r="CD192" s="433" t="s">
        <v>762</v>
      </c>
      <c r="CE192" s="433" t="s">
        <v>762</v>
      </c>
      <c r="CF192" s="433" t="s">
        <v>762</v>
      </c>
      <c r="CG192" s="239" t="s">
        <v>762</v>
      </c>
      <c r="CH192" s="239" t="s">
        <v>762</v>
      </c>
      <c r="CI192" s="239" t="s">
        <v>762</v>
      </c>
      <c r="CJ192" s="239" t="s">
        <v>762</v>
      </c>
      <c r="CK192" s="239" t="s">
        <v>762</v>
      </c>
      <c r="CL192" s="239" t="s">
        <v>762</v>
      </c>
    </row>
    <row r="193" spans="1:90" s="434" customFormat="1">
      <c r="A193" s="239" t="s">
        <v>587</v>
      </c>
      <c r="B193" s="239" t="s">
        <v>626</v>
      </c>
      <c r="C193" s="433" t="s">
        <v>762</v>
      </c>
      <c r="D193" s="433" t="s">
        <v>762</v>
      </c>
      <c r="E193" s="433" t="s">
        <v>762</v>
      </c>
      <c r="F193" s="433" t="s">
        <v>762</v>
      </c>
      <c r="G193" s="433" t="s">
        <v>762</v>
      </c>
      <c r="H193" s="433" t="s">
        <v>762</v>
      </c>
      <c r="I193" s="433" t="s">
        <v>762</v>
      </c>
      <c r="J193" s="433" t="s">
        <v>762</v>
      </c>
      <c r="K193" s="433" t="s">
        <v>762</v>
      </c>
      <c r="L193" s="433" t="s">
        <v>762</v>
      </c>
      <c r="M193" s="433" t="s">
        <v>762</v>
      </c>
      <c r="N193" s="433" t="s">
        <v>762</v>
      </c>
      <c r="O193" s="433" t="s">
        <v>762</v>
      </c>
      <c r="P193" s="433" t="s">
        <v>762</v>
      </c>
      <c r="Q193" s="433" t="s">
        <v>762</v>
      </c>
      <c r="R193" s="433" t="s">
        <v>762</v>
      </c>
      <c r="S193" s="433" t="s">
        <v>762</v>
      </c>
      <c r="T193" s="433" t="s">
        <v>762</v>
      </c>
      <c r="U193" s="433" t="s">
        <v>762</v>
      </c>
      <c r="V193" s="433" t="s">
        <v>762</v>
      </c>
      <c r="W193" s="433" t="s">
        <v>762</v>
      </c>
      <c r="X193" s="433" t="s">
        <v>762</v>
      </c>
      <c r="Y193" s="433" t="s">
        <v>762</v>
      </c>
      <c r="Z193" s="433" t="s">
        <v>762</v>
      </c>
      <c r="AA193" s="433" t="s">
        <v>762</v>
      </c>
      <c r="AB193" s="433" t="s">
        <v>762</v>
      </c>
      <c r="AC193" s="433" t="s">
        <v>762</v>
      </c>
      <c r="AD193" s="433" t="s">
        <v>762</v>
      </c>
      <c r="AE193" s="433" t="s">
        <v>762</v>
      </c>
      <c r="AF193" s="433" t="s">
        <v>762</v>
      </c>
      <c r="AG193" s="433" t="s">
        <v>762</v>
      </c>
      <c r="AH193" s="433" t="s">
        <v>762</v>
      </c>
      <c r="AI193" s="433" t="s">
        <v>762</v>
      </c>
      <c r="AJ193" s="433" t="s">
        <v>762</v>
      </c>
      <c r="AK193" s="433" t="s">
        <v>762</v>
      </c>
      <c r="AL193" s="433" t="s">
        <v>762</v>
      </c>
      <c r="AM193" s="433" t="s">
        <v>762</v>
      </c>
      <c r="AN193" s="433" t="s">
        <v>762</v>
      </c>
      <c r="AO193" s="433" t="s">
        <v>762</v>
      </c>
      <c r="AP193" s="433" t="s">
        <v>762</v>
      </c>
      <c r="AQ193" s="433" t="s">
        <v>762</v>
      </c>
      <c r="AR193" s="433" t="s">
        <v>762</v>
      </c>
      <c r="AS193" s="433" t="s">
        <v>762</v>
      </c>
      <c r="AT193" s="433" t="s">
        <v>762</v>
      </c>
      <c r="AU193" s="433" t="s">
        <v>762</v>
      </c>
      <c r="AV193" s="433" t="s">
        <v>762</v>
      </c>
      <c r="AW193" s="433" t="s">
        <v>762</v>
      </c>
      <c r="AX193" s="433" t="s">
        <v>762</v>
      </c>
      <c r="AY193" s="433" t="s">
        <v>762</v>
      </c>
      <c r="AZ193" s="433" t="s">
        <v>762</v>
      </c>
      <c r="BA193" s="433" t="s">
        <v>762</v>
      </c>
      <c r="BB193" s="433" t="s">
        <v>762</v>
      </c>
      <c r="BC193" s="433" t="s">
        <v>762</v>
      </c>
      <c r="BD193" s="433" t="s">
        <v>762</v>
      </c>
      <c r="BE193" s="433" t="s">
        <v>762</v>
      </c>
      <c r="BF193" s="433" t="s">
        <v>762</v>
      </c>
      <c r="BG193" s="433" t="s">
        <v>762</v>
      </c>
      <c r="BH193" s="433" t="s">
        <v>762</v>
      </c>
      <c r="BI193" s="433" t="s">
        <v>762</v>
      </c>
      <c r="BJ193" s="433" t="s">
        <v>762</v>
      </c>
      <c r="BK193" s="433" t="s">
        <v>762</v>
      </c>
      <c r="BL193" s="433" t="s">
        <v>762</v>
      </c>
      <c r="BM193" s="433" t="s">
        <v>762</v>
      </c>
      <c r="BN193" s="433" t="s">
        <v>762</v>
      </c>
      <c r="BO193" s="433" t="s">
        <v>762</v>
      </c>
      <c r="BP193" s="433" t="s">
        <v>762</v>
      </c>
      <c r="BQ193" s="433" t="s">
        <v>762</v>
      </c>
      <c r="BR193" s="433" t="s">
        <v>762</v>
      </c>
      <c r="BS193" s="433" t="s">
        <v>762</v>
      </c>
      <c r="BT193" s="433" t="s">
        <v>762</v>
      </c>
      <c r="BU193" s="433" t="s">
        <v>762</v>
      </c>
      <c r="BV193" s="433" t="s">
        <v>762</v>
      </c>
      <c r="BW193" s="433" t="s">
        <v>762</v>
      </c>
      <c r="BX193" s="433" t="s">
        <v>762</v>
      </c>
      <c r="BY193" s="433" t="s">
        <v>762</v>
      </c>
      <c r="BZ193" s="433" t="s">
        <v>762</v>
      </c>
      <c r="CA193" s="433" t="s">
        <v>762</v>
      </c>
      <c r="CB193" s="433" t="s">
        <v>762</v>
      </c>
      <c r="CC193" s="433" t="s">
        <v>762</v>
      </c>
      <c r="CD193" s="433" t="s">
        <v>762</v>
      </c>
      <c r="CE193" s="433" t="s">
        <v>762</v>
      </c>
      <c r="CF193" s="433" t="s">
        <v>762</v>
      </c>
      <c r="CG193" s="239" t="s">
        <v>762</v>
      </c>
      <c r="CH193" s="239" t="s">
        <v>762</v>
      </c>
      <c r="CI193" s="239" t="s">
        <v>762</v>
      </c>
      <c r="CJ193" s="239" t="s">
        <v>762</v>
      </c>
      <c r="CK193" s="239" t="s">
        <v>762</v>
      </c>
      <c r="CL193" s="239" t="s">
        <v>762</v>
      </c>
    </row>
    <row r="194" spans="1:90" s="434" customFormat="1">
      <c r="A194" s="239" t="s">
        <v>588</v>
      </c>
      <c r="B194" s="239" t="s">
        <v>626</v>
      </c>
      <c r="C194" s="433" t="s">
        <v>762</v>
      </c>
      <c r="D194" s="433" t="s">
        <v>762</v>
      </c>
      <c r="E194" s="433" t="s">
        <v>762</v>
      </c>
      <c r="F194" s="433" t="s">
        <v>762</v>
      </c>
      <c r="G194" s="433" t="s">
        <v>762</v>
      </c>
      <c r="H194" s="433" t="s">
        <v>762</v>
      </c>
      <c r="I194" s="433" t="s">
        <v>762</v>
      </c>
      <c r="J194" s="433" t="s">
        <v>762</v>
      </c>
      <c r="K194" s="433" t="s">
        <v>762</v>
      </c>
      <c r="L194" s="433" t="s">
        <v>762</v>
      </c>
      <c r="M194" s="433" t="s">
        <v>762</v>
      </c>
      <c r="N194" s="433" t="s">
        <v>762</v>
      </c>
      <c r="O194" s="433" t="s">
        <v>762</v>
      </c>
      <c r="P194" s="433" t="s">
        <v>762</v>
      </c>
      <c r="Q194" s="433" t="s">
        <v>762</v>
      </c>
      <c r="R194" s="433" t="s">
        <v>762</v>
      </c>
      <c r="S194" s="433" t="s">
        <v>762</v>
      </c>
      <c r="T194" s="433" t="s">
        <v>762</v>
      </c>
      <c r="U194" s="433" t="s">
        <v>762</v>
      </c>
      <c r="V194" s="433" t="s">
        <v>762</v>
      </c>
      <c r="W194" s="433" t="s">
        <v>762</v>
      </c>
      <c r="X194" s="433" t="s">
        <v>762</v>
      </c>
      <c r="Y194" s="433" t="s">
        <v>762</v>
      </c>
      <c r="Z194" s="433" t="s">
        <v>762</v>
      </c>
      <c r="AA194" s="433" t="s">
        <v>762</v>
      </c>
      <c r="AB194" s="433" t="s">
        <v>762</v>
      </c>
      <c r="AC194" s="433" t="s">
        <v>762</v>
      </c>
      <c r="AD194" s="433" t="s">
        <v>762</v>
      </c>
      <c r="AE194" s="433" t="s">
        <v>762</v>
      </c>
      <c r="AF194" s="433" t="s">
        <v>762</v>
      </c>
      <c r="AG194" s="433" t="s">
        <v>762</v>
      </c>
      <c r="AH194" s="433" t="s">
        <v>762</v>
      </c>
      <c r="AI194" s="433" t="s">
        <v>762</v>
      </c>
      <c r="AJ194" s="433" t="s">
        <v>762</v>
      </c>
      <c r="AK194" s="433" t="s">
        <v>762</v>
      </c>
      <c r="AL194" s="433" t="s">
        <v>762</v>
      </c>
      <c r="AM194" s="433" t="s">
        <v>762</v>
      </c>
      <c r="AN194" s="433" t="s">
        <v>762</v>
      </c>
      <c r="AO194" s="433" t="s">
        <v>762</v>
      </c>
      <c r="AP194" s="433" t="s">
        <v>762</v>
      </c>
      <c r="AQ194" s="433" t="s">
        <v>762</v>
      </c>
      <c r="AR194" s="433" t="s">
        <v>762</v>
      </c>
      <c r="AS194" s="433" t="s">
        <v>762</v>
      </c>
      <c r="AT194" s="433" t="s">
        <v>762</v>
      </c>
      <c r="AU194" s="433" t="s">
        <v>762</v>
      </c>
      <c r="AV194" s="433" t="s">
        <v>762</v>
      </c>
      <c r="AW194" s="433" t="s">
        <v>762</v>
      </c>
      <c r="AX194" s="433" t="s">
        <v>762</v>
      </c>
      <c r="AY194" s="433" t="s">
        <v>762</v>
      </c>
      <c r="AZ194" s="433" t="s">
        <v>762</v>
      </c>
      <c r="BA194" s="433" t="s">
        <v>762</v>
      </c>
      <c r="BB194" s="433" t="s">
        <v>762</v>
      </c>
      <c r="BC194" s="433" t="s">
        <v>762</v>
      </c>
      <c r="BD194" s="433" t="s">
        <v>762</v>
      </c>
      <c r="BE194" s="433" t="s">
        <v>762</v>
      </c>
      <c r="BF194" s="433" t="s">
        <v>762</v>
      </c>
      <c r="BG194" s="433" t="s">
        <v>762</v>
      </c>
      <c r="BH194" s="433" t="s">
        <v>762</v>
      </c>
      <c r="BI194" s="433" t="s">
        <v>762</v>
      </c>
      <c r="BJ194" s="433" t="s">
        <v>762</v>
      </c>
      <c r="BK194" s="433" t="s">
        <v>762</v>
      </c>
      <c r="BL194" s="433" t="s">
        <v>762</v>
      </c>
      <c r="BM194" s="433" t="s">
        <v>762</v>
      </c>
      <c r="BN194" s="433" t="s">
        <v>762</v>
      </c>
      <c r="BO194" s="433" t="s">
        <v>762</v>
      </c>
      <c r="BP194" s="433" t="s">
        <v>762</v>
      </c>
      <c r="BQ194" s="433" t="s">
        <v>762</v>
      </c>
      <c r="BR194" s="433" t="s">
        <v>762</v>
      </c>
      <c r="BS194" s="433" t="s">
        <v>762</v>
      </c>
      <c r="BT194" s="433" t="s">
        <v>762</v>
      </c>
      <c r="BU194" s="433" t="s">
        <v>762</v>
      </c>
      <c r="BV194" s="433" t="s">
        <v>762</v>
      </c>
      <c r="BW194" s="433" t="s">
        <v>762</v>
      </c>
      <c r="BX194" s="433" t="s">
        <v>762</v>
      </c>
      <c r="BY194" s="433" t="s">
        <v>762</v>
      </c>
      <c r="BZ194" s="433" t="s">
        <v>762</v>
      </c>
      <c r="CA194" s="433" t="s">
        <v>762</v>
      </c>
      <c r="CB194" s="433" t="s">
        <v>762</v>
      </c>
      <c r="CC194" s="433" t="s">
        <v>762</v>
      </c>
      <c r="CD194" s="433" t="s">
        <v>762</v>
      </c>
      <c r="CE194" s="433" t="s">
        <v>762</v>
      </c>
      <c r="CF194" s="433" t="s">
        <v>762</v>
      </c>
      <c r="CG194" s="239" t="s">
        <v>762</v>
      </c>
      <c r="CH194" s="239" t="s">
        <v>762</v>
      </c>
      <c r="CI194" s="239" t="s">
        <v>762</v>
      </c>
      <c r="CJ194" s="239" t="s">
        <v>762</v>
      </c>
      <c r="CK194" s="239" t="s">
        <v>762</v>
      </c>
      <c r="CL194" s="239" t="s">
        <v>762</v>
      </c>
    </row>
    <row r="195" spans="1:90" s="434" customFormat="1">
      <c r="A195" s="239" t="s">
        <v>589</v>
      </c>
      <c r="B195" s="239" t="s">
        <v>626</v>
      </c>
      <c r="C195" s="433" t="s">
        <v>762</v>
      </c>
      <c r="D195" s="433" t="s">
        <v>762</v>
      </c>
      <c r="E195" s="433" t="s">
        <v>762</v>
      </c>
      <c r="F195" s="433" t="s">
        <v>762</v>
      </c>
      <c r="G195" s="433" t="s">
        <v>762</v>
      </c>
      <c r="H195" s="433" t="s">
        <v>762</v>
      </c>
      <c r="I195" s="433" t="s">
        <v>762</v>
      </c>
      <c r="J195" s="433" t="s">
        <v>762</v>
      </c>
      <c r="K195" s="433" t="s">
        <v>762</v>
      </c>
      <c r="L195" s="433" t="s">
        <v>762</v>
      </c>
      <c r="M195" s="433" t="s">
        <v>762</v>
      </c>
      <c r="N195" s="433" t="s">
        <v>762</v>
      </c>
      <c r="O195" s="433" t="s">
        <v>762</v>
      </c>
      <c r="P195" s="433" t="s">
        <v>762</v>
      </c>
      <c r="Q195" s="433" t="s">
        <v>762</v>
      </c>
      <c r="R195" s="433" t="s">
        <v>762</v>
      </c>
      <c r="S195" s="433" t="s">
        <v>762</v>
      </c>
      <c r="T195" s="433" t="s">
        <v>762</v>
      </c>
      <c r="U195" s="433" t="s">
        <v>762</v>
      </c>
      <c r="V195" s="433" t="s">
        <v>762</v>
      </c>
      <c r="W195" s="433" t="s">
        <v>762</v>
      </c>
      <c r="X195" s="433" t="s">
        <v>762</v>
      </c>
      <c r="Y195" s="433" t="s">
        <v>762</v>
      </c>
      <c r="Z195" s="433" t="s">
        <v>762</v>
      </c>
      <c r="AA195" s="433" t="s">
        <v>762</v>
      </c>
      <c r="AB195" s="433" t="s">
        <v>762</v>
      </c>
      <c r="AC195" s="433" t="s">
        <v>762</v>
      </c>
      <c r="AD195" s="433" t="s">
        <v>762</v>
      </c>
      <c r="AE195" s="433" t="s">
        <v>762</v>
      </c>
      <c r="AF195" s="433" t="s">
        <v>762</v>
      </c>
      <c r="AG195" s="433" t="s">
        <v>762</v>
      </c>
      <c r="AH195" s="433" t="s">
        <v>762</v>
      </c>
      <c r="AI195" s="433" t="s">
        <v>762</v>
      </c>
      <c r="AJ195" s="433" t="s">
        <v>762</v>
      </c>
      <c r="AK195" s="433" t="s">
        <v>762</v>
      </c>
      <c r="AL195" s="433" t="s">
        <v>762</v>
      </c>
      <c r="AM195" s="433" t="s">
        <v>762</v>
      </c>
      <c r="AN195" s="433" t="s">
        <v>762</v>
      </c>
      <c r="AO195" s="433" t="s">
        <v>762</v>
      </c>
      <c r="AP195" s="433" t="s">
        <v>762</v>
      </c>
      <c r="AQ195" s="433" t="s">
        <v>762</v>
      </c>
      <c r="AR195" s="433" t="s">
        <v>762</v>
      </c>
      <c r="AS195" s="433" t="s">
        <v>762</v>
      </c>
      <c r="AT195" s="433" t="s">
        <v>762</v>
      </c>
      <c r="AU195" s="433" t="s">
        <v>762</v>
      </c>
      <c r="AV195" s="433" t="s">
        <v>762</v>
      </c>
      <c r="AW195" s="433" t="s">
        <v>762</v>
      </c>
      <c r="AX195" s="433" t="s">
        <v>762</v>
      </c>
      <c r="AY195" s="433" t="s">
        <v>762</v>
      </c>
      <c r="AZ195" s="433" t="s">
        <v>762</v>
      </c>
      <c r="BA195" s="433" t="s">
        <v>762</v>
      </c>
      <c r="BB195" s="433" t="s">
        <v>762</v>
      </c>
      <c r="BC195" s="433" t="s">
        <v>762</v>
      </c>
      <c r="BD195" s="433" t="s">
        <v>762</v>
      </c>
      <c r="BE195" s="433" t="s">
        <v>762</v>
      </c>
      <c r="BF195" s="433" t="s">
        <v>762</v>
      </c>
      <c r="BG195" s="433" t="s">
        <v>762</v>
      </c>
      <c r="BH195" s="433" t="s">
        <v>762</v>
      </c>
      <c r="BI195" s="433" t="s">
        <v>762</v>
      </c>
      <c r="BJ195" s="433" t="s">
        <v>762</v>
      </c>
      <c r="BK195" s="433" t="s">
        <v>762</v>
      </c>
      <c r="BL195" s="433" t="s">
        <v>762</v>
      </c>
      <c r="BM195" s="433" t="s">
        <v>762</v>
      </c>
      <c r="BN195" s="433" t="s">
        <v>762</v>
      </c>
      <c r="BO195" s="433" t="s">
        <v>762</v>
      </c>
      <c r="BP195" s="433" t="s">
        <v>762</v>
      </c>
      <c r="BQ195" s="433" t="s">
        <v>762</v>
      </c>
      <c r="BR195" s="433" t="s">
        <v>762</v>
      </c>
      <c r="BS195" s="433" t="s">
        <v>762</v>
      </c>
      <c r="BT195" s="433" t="s">
        <v>762</v>
      </c>
      <c r="BU195" s="433" t="s">
        <v>762</v>
      </c>
      <c r="BV195" s="433" t="s">
        <v>762</v>
      </c>
      <c r="BW195" s="433" t="s">
        <v>762</v>
      </c>
      <c r="BX195" s="433" t="s">
        <v>762</v>
      </c>
      <c r="BY195" s="433" t="s">
        <v>762</v>
      </c>
      <c r="BZ195" s="433" t="s">
        <v>762</v>
      </c>
      <c r="CA195" s="433" t="s">
        <v>762</v>
      </c>
      <c r="CB195" s="433" t="s">
        <v>762</v>
      </c>
      <c r="CC195" s="433" t="s">
        <v>762</v>
      </c>
      <c r="CD195" s="433" t="s">
        <v>762</v>
      </c>
      <c r="CE195" s="433" t="s">
        <v>762</v>
      </c>
      <c r="CF195" s="433" t="s">
        <v>762</v>
      </c>
      <c r="CG195" s="239" t="s">
        <v>762</v>
      </c>
      <c r="CH195" s="239" t="s">
        <v>762</v>
      </c>
      <c r="CI195" s="239" t="s">
        <v>762</v>
      </c>
      <c r="CJ195" s="239" t="s">
        <v>762</v>
      </c>
      <c r="CK195" s="239" t="s">
        <v>762</v>
      </c>
      <c r="CL195" s="239" t="s">
        <v>762</v>
      </c>
    </row>
    <row r="196" spans="1:90" s="434" customFormat="1">
      <c r="A196" s="239" t="s">
        <v>590</v>
      </c>
      <c r="B196" s="239" t="s">
        <v>626</v>
      </c>
      <c r="C196" s="433" t="s">
        <v>762</v>
      </c>
      <c r="D196" s="433" t="s">
        <v>762</v>
      </c>
      <c r="E196" s="433" t="s">
        <v>762</v>
      </c>
      <c r="F196" s="433" t="s">
        <v>762</v>
      </c>
      <c r="G196" s="433" t="s">
        <v>762</v>
      </c>
      <c r="H196" s="433" t="s">
        <v>762</v>
      </c>
      <c r="I196" s="433" t="s">
        <v>762</v>
      </c>
      <c r="J196" s="433" t="s">
        <v>762</v>
      </c>
      <c r="K196" s="433" t="s">
        <v>762</v>
      </c>
      <c r="L196" s="433" t="s">
        <v>762</v>
      </c>
      <c r="M196" s="433" t="s">
        <v>762</v>
      </c>
      <c r="N196" s="433" t="s">
        <v>762</v>
      </c>
      <c r="O196" s="433" t="s">
        <v>762</v>
      </c>
      <c r="P196" s="433" t="s">
        <v>762</v>
      </c>
      <c r="Q196" s="433" t="s">
        <v>762</v>
      </c>
      <c r="R196" s="433" t="s">
        <v>762</v>
      </c>
      <c r="S196" s="433" t="s">
        <v>762</v>
      </c>
      <c r="T196" s="433" t="s">
        <v>762</v>
      </c>
      <c r="U196" s="433" t="s">
        <v>762</v>
      </c>
      <c r="V196" s="433" t="s">
        <v>762</v>
      </c>
      <c r="W196" s="433" t="s">
        <v>762</v>
      </c>
      <c r="X196" s="433" t="s">
        <v>762</v>
      </c>
      <c r="Y196" s="433" t="s">
        <v>762</v>
      </c>
      <c r="Z196" s="433" t="s">
        <v>762</v>
      </c>
      <c r="AA196" s="433" t="s">
        <v>762</v>
      </c>
      <c r="AB196" s="433" t="s">
        <v>762</v>
      </c>
      <c r="AC196" s="433" t="s">
        <v>762</v>
      </c>
      <c r="AD196" s="433" t="s">
        <v>762</v>
      </c>
      <c r="AE196" s="433" t="s">
        <v>762</v>
      </c>
      <c r="AF196" s="433" t="s">
        <v>762</v>
      </c>
      <c r="AG196" s="433" t="s">
        <v>762</v>
      </c>
      <c r="AH196" s="433" t="s">
        <v>762</v>
      </c>
      <c r="AI196" s="433" t="s">
        <v>762</v>
      </c>
      <c r="AJ196" s="433" t="s">
        <v>762</v>
      </c>
      <c r="AK196" s="433" t="s">
        <v>762</v>
      </c>
      <c r="AL196" s="433" t="s">
        <v>762</v>
      </c>
      <c r="AM196" s="433" t="s">
        <v>762</v>
      </c>
      <c r="AN196" s="433" t="s">
        <v>762</v>
      </c>
      <c r="AO196" s="433" t="s">
        <v>762</v>
      </c>
      <c r="AP196" s="433" t="s">
        <v>762</v>
      </c>
      <c r="AQ196" s="433" t="s">
        <v>762</v>
      </c>
      <c r="AR196" s="433" t="s">
        <v>762</v>
      </c>
      <c r="AS196" s="433" t="s">
        <v>762</v>
      </c>
      <c r="AT196" s="433" t="s">
        <v>762</v>
      </c>
      <c r="AU196" s="433" t="s">
        <v>762</v>
      </c>
      <c r="AV196" s="433" t="s">
        <v>762</v>
      </c>
      <c r="AW196" s="433" t="s">
        <v>762</v>
      </c>
      <c r="AX196" s="433" t="s">
        <v>762</v>
      </c>
      <c r="AY196" s="433" t="s">
        <v>762</v>
      </c>
      <c r="AZ196" s="433" t="s">
        <v>762</v>
      </c>
      <c r="BA196" s="433" t="s">
        <v>762</v>
      </c>
      <c r="BB196" s="433" t="s">
        <v>762</v>
      </c>
      <c r="BC196" s="433" t="s">
        <v>762</v>
      </c>
      <c r="BD196" s="433" t="s">
        <v>762</v>
      </c>
      <c r="BE196" s="433" t="s">
        <v>762</v>
      </c>
      <c r="BF196" s="433" t="s">
        <v>762</v>
      </c>
      <c r="BG196" s="433" t="s">
        <v>762</v>
      </c>
      <c r="BH196" s="433" t="s">
        <v>762</v>
      </c>
      <c r="BI196" s="433" t="s">
        <v>762</v>
      </c>
      <c r="BJ196" s="433" t="s">
        <v>762</v>
      </c>
      <c r="BK196" s="433" t="s">
        <v>762</v>
      </c>
      <c r="BL196" s="433" t="s">
        <v>762</v>
      </c>
      <c r="BM196" s="433" t="s">
        <v>762</v>
      </c>
      <c r="BN196" s="433" t="s">
        <v>762</v>
      </c>
      <c r="BO196" s="433" t="s">
        <v>762</v>
      </c>
      <c r="BP196" s="433" t="s">
        <v>762</v>
      </c>
      <c r="BQ196" s="433" t="s">
        <v>762</v>
      </c>
      <c r="BR196" s="433" t="s">
        <v>762</v>
      </c>
      <c r="BS196" s="433" t="s">
        <v>762</v>
      </c>
      <c r="BT196" s="433" t="s">
        <v>762</v>
      </c>
      <c r="BU196" s="433" t="s">
        <v>762</v>
      </c>
      <c r="BV196" s="433" t="s">
        <v>762</v>
      </c>
      <c r="BW196" s="433" t="s">
        <v>762</v>
      </c>
      <c r="BX196" s="433" t="s">
        <v>762</v>
      </c>
      <c r="BY196" s="433" t="s">
        <v>762</v>
      </c>
      <c r="BZ196" s="433" t="s">
        <v>762</v>
      </c>
      <c r="CA196" s="433" t="s">
        <v>762</v>
      </c>
      <c r="CB196" s="433" t="s">
        <v>762</v>
      </c>
      <c r="CC196" s="433" t="s">
        <v>762</v>
      </c>
      <c r="CD196" s="433" t="s">
        <v>762</v>
      </c>
      <c r="CE196" s="433" t="s">
        <v>762</v>
      </c>
      <c r="CF196" s="433" t="s">
        <v>762</v>
      </c>
      <c r="CG196" s="239" t="s">
        <v>762</v>
      </c>
      <c r="CH196" s="239" t="s">
        <v>762</v>
      </c>
      <c r="CI196" s="239" t="s">
        <v>762</v>
      </c>
      <c r="CJ196" s="239" t="s">
        <v>762</v>
      </c>
      <c r="CK196" s="239" t="s">
        <v>762</v>
      </c>
      <c r="CL196" s="239" t="s">
        <v>762</v>
      </c>
    </row>
    <row r="197" spans="1:90" s="434" customFormat="1">
      <c r="A197" s="239" t="s">
        <v>591</v>
      </c>
      <c r="B197" s="239" t="s">
        <v>626</v>
      </c>
      <c r="C197" s="433" t="s">
        <v>762</v>
      </c>
      <c r="D197" s="433" t="s">
        <v>762</v>
      </c>
      <c r="E197" s="433" t="s">
        <v>762</v>
      </c>
      <c r="F197" s="433" t="s">
        <v>762</v>
      </c>
      <c r="G197" s="433" t="s">
        <v>762</v>
      </c>
      <c r="H197" s="433" t="s">
        <v>762</v>
      </c>
      <c r="I197" s="433" t="s">
        <v>762</v>
      </c>
      <c r="J197" s="433" t="s">
        <v>762</v>
      </c>
      <c r="K197" s="433" t="s">
        <v>762</v>
      </c>
      <c r="L197" s="433" t="s">
        <v>762</v>
      </c>
      <c r="M197" s="433" t="s">
        <v>762</v>
      </c>
      <c r="N197" s="433" t="s">
        <v>762</v>
      </c>
      <c r="O197" s="433" t="s">
        <v>762</v>
      </c>
      <c r="P197" s="433" t="s">
        <v>762</v>
      </c>
      <c r="Q197" s="433" t="s">
        <v>762</v>
      </c>
      <c r="R197" s="433" t="s">
        <v>762</v>
      </c>
      <c r="S197" s="433" t="s">
        <v>762</v>
      </c>
      <c r="T197" s="433" t="s">
        <v>762</v>
      </c>
      <c r="U197" s="433" t="s">
        <v>762</v>
      </c>
      <c r="V197" s="433" t="s">
        <v>762</v>
      </c>
      <c r="W197" s="433" t="s">
        <v>762</v>
      </c>
      <c r="X197" s="433" t="s">
        <v>762</v>
      </c>
      <c r="Y197" s="433" t="s">
        <v>762</v>
      </c>
      <c r="Z197" s="433" t="s">
        <v>762</v>
      </c>
      <c r="AA197" s="433" t="s">
        <v>762</v>
      </c>
      <c r="AB197" s="433" t="s">
        <v>762</v>
      </c>
      <c r="AC197" s="433" t="s">
        <v>762</v>
      </c>
      <c r="AD197" s="433" t="s">
        <v>762</v>
      </c>
      <c r="AE197" s="433" t="s">
        <v>762</v>
      </c>
      <c r="AF197" s="433" t="s">
        <v>762</v>
      </c>
      <c r="AG197" s="433" t="s">
        <v>762</v>
      </c>
      <c r="AH197" s="433" t="s">
        <v>762</v>
      </c>
      <c r="AI197" s="433" t="s">
        <v>762</v>
      </c>
      <c r="AJ197" s="433" t="s">
        <v>762</v>
      </c>
      <c r="AK197" s="433" t="s">
        <v>762</v>
      </c>
      <c r="AL197" s="433" t="s">
        <v>762</v>
      </c>
      <c r="AM197" s="433" t="s">
        <v>762</v>
      </c>
      <c r="AN197" s="433" t="s">
        <v>762</v>
      </c>
      <c r="AO197" s="433" t="s">
        <v>762</v>
      </c>
      <c r="AP197" s="433" t="s">
        <v>762</v>
      </c>
      <c r="AQ197" s="433" t="s">
        <v>762</v>
      </c>
      <c r="AR197" s="433" t="s">
        <v>762</v>
      </c>
      <c r="AS197" s="433" t="s">
        <v>762</v>
      </c>
      <c r="AT197" s="433" t="s">
        <v>762</v>
      </c>
      <c r="AU197" s="433" t="s">
        <v>762</v>
      </c>
      <c r="AV197" s="433" t="s">
        <v>762</v>
      </c>
      <c r="AW197" s="433" t="s">
        <v>762</v>
      </c>
      <c r="AX197" s="433" t="s">
        <v>762</v>
      </c>
      <c r="AY197" s="433" t="s">
        <v>762</v>
      </c>
      <c r="AZ197" s="433" t="s">
        <v>762</v>
      </c>
      <c r="BA197" s="433" t="s">
        <v>762</v>
      </c>
      <c r="BB197" s="433" t="s">
        <v>762</v>
      </c>
      <c r="BC197" s="433" t="s">
        <v>762</v>
      </c>
      <c r="BD197" s="433" t="s">
        <v>762</v>
      </c>
      <c r="BE197" s="433" t="s">
        <v>762</v>
      </c>
      <c r="BF197" s="433" t="s">
        <v>762</v>
      </c>
      <c r="BG197" s="433" t="s">
        <v>762</v>
      </c>
      <c r="BH197" s="433" t="s">
        <v>762</v>
      </c>
      <c r="BI197" s="433" t="s">
        <v>762</v>
      </c>
      <c r="BJ197" s="433" t="s">
        <v>762</v>
      </c>
      <c r="BK197" s="433" t="s">
        <v>762</v>
      </c>
      <c r="BL197" s="433" t="s">
        <v>762</v>
      </c>
      <c r="BM197" s="433" t="s">
        <v>762</v>
      </c>
      <c r="BN197" s="433" t="s">
        <v>762</v>
      </c>
      <c r="BO197" s="433" t="s">
        <v>762</v>
      </c>
      <c r="BP197" s="433" t="s">
        <v>762</v>
      </c>
      <c r="BQ197" s="433" t="s">
        <v>762</v>
      </c>
      <c r="BR197" s="433" t="s">
        <v>762</v>
      </c>
      <c r="BS197" s="433" t="s">
        <v>762</v>
      </c>
      <c r="BT197" s="433" t="s">
        <v>762</v>
      </c>
      <c r="BU197" s="433" t="s">
        <v>762</v>
      </c>
      <c r="BV197" s="433" t="s">
        <v>762</v>
      </c>
      <c r="BW197" s="433" t="s">
        <v>762</v>
      </c>
      <c r="BX197" s="433" t="s">
        <v>762</v>
      </c>
      <c r="BY197" s="433" t="s">
        <v>762</v>
      </c>
      <c r="BZ197" s="433" t="s">
        <v>762</v>
      </c>
      <c r="CA197" s="433" t="s">
        <v>762</v>
      </c>
      <c r="CB197" s="433" t="s">
        <v>762</v>
      </c>
      <c r="CC197" s="433" t="s">
        <v>762</v>
      </c>
      <c r="CD197" s="433" t="s">
        <v>762</v>
      </c>
      <c r="CE197" s="433" t="s">
        <v>762</v>
      </c>
      <c r="CF197" s="433" t="s">
        <v>762</v>
      </c>
      <c r="CG197" s="239" t="s">
        <v>762</v>
      </c>
      <c r="CH197" s="239" t="s">
        <v>762</v>
      </c>
      <c r="CI197" s="239" t="s">
        <v>762</v>
      </c>
      <c r="CJ197" s="239" t="s">
        <v>762</v>
      </c>
      <c r="CK197" s="239" t="s">
        <v>762</v>
      </c>
      <c r="CL197" s="239" t="s">
        <v>762</v>
      </c>
    </row>
    <row r="198" spans="1:90" s="434" customFormat="1">
      <c r="A198" s="239" t="s">
        <v>592</v>
      </c>
      <c r="B198" s="239" t="s">
        <v>626</v>
      </c>
      <c r="C198" s="433" t="s">
        <v>762</v>
      </c>
      <c r="D198" s="433" t="s">
        <v>762</v>
      </c>
      <c r="E198" s="433" t="s">
        <v>762</v>
      </c>
      <c r="F198" s="433" t="s">
        <v>762</v>
      </c>
      <c r="G198" s="433" t="s">
        <v>762</v>
      </c>
      <c r="H198" s="433" t="s">
        <v>762</v>
      </c>
      <c r="I198" s="433" t="s">
        <v>762</v>
      </c>
      <c r="J198" s="433" t="s">
        <v>762</v>
      </c>
      <c r="K198" s="433" t="s">
        <v>762</v>
      </c>
      <c r="L198" s="433" t="s">
        <v>762</v>
      </c>
      <c r="M198" s="433" t="s">
        <v>762</v>
      </c>
      <c r="N198" s="433" t="s">
        <v>762</v>
      </c>
      <c r="O198" s="433" t="s">
        <v>762</v>
      </c>
      <c r="P198" s="433" t="s">
        <v>762</v>
      </c>
      <c r="Q198" s="433" t="s">
        <v>762</v>
      </c>
      <c r="R198" s="433" t="s">
        <v>762</v>
      </c>
      <c r="S198" s="433" t="s">
        <v>762</v>
      </c>
      <c r="T198" s="433" t="s">
        <v>762</v>
      </c>
      <c r="U198" s="433" t="s">
        <v>762</v>
      </c>
      <c r="V198" s="433" t="s">
        <v>762</v>
      </c>
      <c r="W198" s="433" t="s">
        <v>762</v>
      </c>
      <c r="X198" s="433" t="s">
        <v>762</v>
      </c>
      <c r="Y198" s="433" t="s">
        <v>762</v>
      </c>
      <c r="Z198" s="433" t="s">
        <v>762</v>
      </c>
      <c r="AA198" s="433" t="s">
        <v>762</v>
      </c>
      <c r="AB198" s="433" t="s">
        <v>762</v>
      </c>
      <c r="AC198" s="433" t="s">
        <v>762</v>
      </c>
      <c r="AD198" s="433" t="s">
        <v>762</v>
      </c>
      <c r="AE198" s="433" t="s">
        <v>762</v>
      </c>
      <c r="AF198" s="433" t="s">
        <v>762</v>
      </c>
      <c r="AG198" s="433" t="s">
        <v>762</v>
      </c>
      <c r="AH198" s="433" t="s">
        <v>762</v>
      </c>
      <c r="AI198" s="433" t="s">
        <v>762</v>
      </c>
      <c r="AJ198" s="433" t="s">
        <v>762</v>
      </c>
      <c r="AK198" s="433" t="s">
        <v>762</v>
      </c>
      <c r="AL198" s="433" t="s">
        <v>762</v>
      </c>
      <c r="AM198" s="433" t="s">
        <v>762</v>
      </c>
      <c r="AN198" s="433" t="s">
        <v>762</v>
      </c>
      <c r="AO198" s="433" t="s">
        <v>762</v>
      </c>
      <c r="AP198" s="433" t="s">
        <v>762</v>
      </c>
      <c r="AQ198" s="433" t="s">
        <v>762</v>
      </c>
      <c r="AR198" s="433" t="s">
        <v>762</v>
      </c>
      <c r="AS198" s="433" t="s">
        <v>762</v>
      </c>
      <c r="AT198" s="433" t="s">
        <v>762</v>
      </c>
      <c r="AU198" s="433" t="s">
        <v>762</v>
      </c>
      <c r="AV198" s="433" t="s">
        <v>762</v>
      </c>
      <c r="AW198" s="433" t="s">
        <v>762</v>
      </c>
      <c r="AX198" s="433" t="s">
        <v>762</v>
      </c>
      <c r="AY198" s="433" t="s">
        <v>762</v>
      </c>
      <c r="AZ198" s="433" t="s">
        <v>762</v>
      </c>
      <c r="BA198" s="433" t="s">
        <v>762</v>
      </c>
      <c r="BB198" s="433" t="s">
        <v>762</v>
      </c>
      <c r="BC198" s="433" t="s">
        <v>762</v>
      </c>
      <c r="BD198" s="433" t="s">
        <v>762</v>
      </c>
      <c r="BE198" s="433" t="s">
        <v>762</v>
      </c>
      <c r="BF198" s="433" t="s">
        <v>762</v>
      </c>
      <c r="BG198" s="433" t="s">
        <v>762</v>
      </c>
      <c r="BH198" s="433" t="s">
        <v>762</v>
      </c>
      <c r="BI198" s="433" t="s">
        <v>762</v>
      </c>
      <c r="BJ198" s="433" t="s">
        <v>762</v>
      </c>
      <c r="BK198" s="433" t="s">
        <v>762</v>
      </c>
      <c r="BL198" s="433" t="s">
        <v>762</v>
      </c>
      <c r="BM198" s="433" t="s">
        <v>762</v>
      </c>
      <c r="BN198" s="433" t="s">
        <v>762</v>
      </c>
      <c r="BO198" s="433" t="s">
        <v>762</v>
      </c>
      <c r="BP198" s="433" t="s">
        <v>762</v>
      </c>
      <c r="BQ198" s="433" t="s">
        <v>762</v>
      </c>
      <c r="BR198" s="433" t="s">
        <v>762</v>
      </c>
      <c r="BS198" s="433" t="s">
        <v>762</v>
      </c>
      <c r="BT198" s="433" t="s">
        <v>762</v>
      </c>
      <c r="BU198" s="433" t="s">
        <v>762</v>
      </c>
      <c r="BV198" s="433" t="s">
        <v>762</v>
      </c>
      <c r="BW198" s="433" t="s">
        <v>762</v>
      </c>
      <c r="BX198" s="433" t="s">
        <v>762</v>
      </c>
      <c r="BY198" s="433" t="s">
        <v>762</v>
      </c>
      <c r="BZ198" s="433" t="s">
        <v>762</v>
      </c>
      <c r="CA198" s="433" t="s">
        <v>762</v>
      </c>
      <c r="CB198" s="433" t="s">
        <v>762</v>
      </c>
      <c r="CC198" s="433" t="s">
        <v>762</v>
      </c>
      <c r="CD198" s="433" t="s">
        <v>762</v>
      </c>
      <c r="CE198" s="433" t="s">
        <v>762</v>
      </c>
      <c r="CF198" s="433" t="s">
        <v>762</v>
      </c>
      <c r="CG198" s="239" t="s">
        <v>762</v>
      </c>
      <c r="CH198" s="239" t="s">
        <v>762</v>
      </c>
      <c r="CI198" s="239" t="s">
        <v>762</v>
      </c>
      <c r="CJ198" s="239" t="s">
        <v>762</v>
      </c>
      <c r="CK198" s="239" t="s">
        <v>762</v>
      </c>
      <c r="CL198" s="239" t="s">
        <v>762</v>
      </c>
    </row>
    <row r="199" spans="1:90" s="434" customFormat="1">
      <c r="A199" s="239" t="s">
        <v>593</v>
      </c>
      <c r="B199" s="239" t="s">
        <v>626</v>
      </c>
      <c r="C199" s="433">
        <f t="shared" ref="C199:AD199" si="160">B926</f>
        <v>211</v>
      </c>
      <c r="D199" s="433">
        <f t="shared" si="160"/>
        <v>211</v>
      </c>
      <c r="E199" s="433">
        <f t="shared" si="160"/>
        <v>211</v>
      </c>
      <c r="F199" s="433">
        <f t="shared" si="160"/>
        <v>211</v>
      </c>
      <c r="G199" s="433">
        <f t="shared" si="160"/>
        <v>211</v>
      </c>
      <c r="H199" s="433">
        <f t="shared" si="160"/>
        <v>211</v>
      </c>
      <c r="I199" s="433">
        <f t="shared" si="160"/>
        <v>211</v>
      </c>
      <c r="J199" s="433">
        <f t="shared" si="160"/>
        <v>211</v>
      </c>
      <c r="K199" s="433">
        <f t="shared" si="160"/>
        <v>211</v>
      </c>
      <c r="L199" s="433">
        <f t="shared" si="160"/>
        <v>211</v>
      </c>
      <c r="M199" s="433">
        <f t="shared" si="160"/>
        <v>211</v>
      </c>
      <c r="N199" s="433">
        <f t="shared" si="160"/>
        <v>211</v>
      </c>
      <c r="O199" s="433">
        <f t="shared" si="160"/>
        <v>211</v>
      </c>
      <c r="P199" s="433">
        <f t="shared" si="160"/>
        <v>211</v>
      </c>
      <c r="Q199" s="433">
        <f t="shared" si="160"/>
        <v>211</v>
      </c>
      <c r="R199" s="433">
        <f t="shared" si="160"/>
        <v>211</v>
      </c>
      <c r="S199" s="433">
        <f t="shared" si="160"/>
        <v>211</v>
      </c>
      <c r="T199" s="433">
        <f t="shared" si="160"/>
        <v>211</v>
      </c>
      <c r="U199" s="433">
        <f t="shared" si="160"/>
        <v>211</v>
      </c>
      <c r="V199" s="433">
        <f t="shared" si="160"/>
        <v>211</v>
      </c>
      <c r="W199" s="433">
        <f t="shared" si="160"/>
        <v>211</v>
      </c>
      <c r="X199" s="433">
        <f t="shared" si="160"/>
        <v>211</v>
      </c>
      <c r="Y199" s="433">
        <f t="shared" si="160"/>
        <v>211</v>
      </c>
      <c r="Z199" s="433">
        <f t="shared" si="160"/>
        <v>211</v>
      </c>
      <c r="AA199" s="433">
        <f t="shared" si="160"/>
        <v>211</v>
      </c>
      <c r="AB199" s="433">
        <f t="shared" si="160"/>
        <v>211</v>
      </c>
      <c r="AC199" s="433">
        <f t="shared" si="160"/>
        <v>211</v>
      </c>
      <c r="AD199" s="433">
        <f t="shared" si="160"/>
        <v>211</v>
      </c>
      <c r="AE199" s="433">
        <f t="shared" ref="AE199:AJ199" si="161">AC926</f>
        <v>211</v>
      </c>
      <c r="AF199" s="433">
        <f t="shared" si="161"/>
        <v>264</v>
      </c>
      <c r="AG199" s="433">
        <f t="shared" si="161"/>
        <v>264</v>
      </c>
      <c r="AH199" s="433">
        <f t="shared" si="161"/>
        <v>264</v>
      </c>
      <c r="AI199" s="433">
        <f t="shared" si="161"/>
        <v>264</v>
      </c>
      <c r="AJ199" s="433">
        <f t="shared" si="161"/>
        <v>264</v>
      </c>
      <c r="AK199" s="433">
        <f t="shared" ref="AK199:BO199" si="162">AI925</f>
        <v>264</v>
      </c>
      <c r="AL199" s="433">
        <f t="shared" si="162"/>
        <v>264</v>
      </c>
      <c r="AM199" s="433">
        <f t="shared" si="162"/>
        <v>264</v>
      </c>
      <c r="AN199" s="433">
        <f t="shared" si="162"/>
        <v>264</v>
      </c>
      <c r="AO199" s="433">
        <f t="shared" si="162"/>
        <v>264</v>
      </c>
      <c r="AP199" s="433">
        <f t="shared" si="162"/>
        <v>264</v>
      </c>
      <c r="AQ199" s="433">
        <f t="shared" si="162"/>
        <v>264</v>
      </c>
      <c r="AR199" s="433">
        <f t="shared" si="162"/>
        <v>264</v>
      </c>
      <c r="AS199" s="433">
        <f t="shared" si="162"/>
        <v>264</v>
      </c>
      <c r="AT199" s="433">
        <f t="shared" si="162"/>
        <v>264</v>
      </c>
      <c r="AU199" s="433">
        <f t="shared" si="162"/>
        <v>264</v>
      </c>
      <c r="AV199" s="433">
        <f t="shared" si="162"/>
        <v>264</v>
      </c>
      <c r="AW199" s="433">
        <f t="shared" si="162"/>
        <v>264</v>
      </c>
      <c r="AX199" s="433">
        <f t="shared" si="162"/>
        <v>264</v>
      </c>
      <c r="AY199" s="433">
        <f t="shared" si="162"/>
        <v>316</v>
      </c>
      <c r="AZ199" s="433">
        <f t="shared" si="162"/>
        <v>316</v>
      </c>
      <c r="BA199" s="433">
        <f t="shared" si="162"/>
        <v>316</v>
      </c>
      <c r="BB199" s="433">
        <f t="shared" si="162"/>
        <v>316</v>
      </c>
      <c r="BC199" s="433">
        <f t="shared" si="162"/>
        <v>316</v>
      </c>
      <c r="BD199" s="433">
        <f t="shared" si="162"/>
        <v>316</v>
      </c>
      <c r="BE199" s="433">
        <f t="shared" si="162"/>
        <v>316</v>
      </c>
      <c r="BF199" s="433">
        <f t="shared" si="162"/>
        <v>316</v>
      </c>
      <c r="BG199" s="433">
        <f t="shared" si="162"/>
        <v>392</v>
      </c>
      <c r="BH199" s="433">
        <f t="shared" si="162"/>
        <v>392</v>
      </c>
      <c r="BI199" s="433">
        <f t="shared" si="162"/>
        <v>392</v>
      </c>
      <c r="BJ199" s="433">
        <f t="shared" si="162"/>
        <v>392</v>
      </c>
      <c r="BK199" s="433">
        <f t="shared" si="162"/>
        <v>392</v>
      </c>
      <c r="BL199" s="433">
        <f t="shared" si="162"/>
        <v>392</v>
      </c>
      <c r="BM199" s="433">
        <f t="shared" si="162"/>
        <v>461</v>
      </c>
      <c r="BN199" s="433">
        <f t="shared" si="162"/>
        <v>461</v>
      </c>
      <c r="BO199" s="433">
        <f t="shared" si="162"/>
        <v>461</v>
      </c>
      <c r="BP199" s="433">
        <f t="shared" ref="BP199:CF199" si="163">BN925</f>
        <v>461</v>
      </c>
      <c r="BQ199" s="433">
        <f t="shared" si="163"/>
        <v>461</v>
      </c>
      <c r="BR199" s="433">
        <f t="shared" si="163"/>
        <v>461</v>
      </c>
      <c r="BS199" s="433">
        <f t="shared" si="163"/>
        <v>506</v>
      </c>
      <c r="BT199" s="433">
        <f t="shared" si="163"/>
        <v>506</v>
      </c>
      <c r="BU199" s="433">
        <f t="shared" si="163"/>
        <v>538</v>
      </c>
      <c r="BV199" s="433">
        <f t="shared" si="163"/>
        <v>583</v>
      </c>
      <c r="BW199" s="433">
        <f t="shared" si="163"/>
        <v>618</v>
      </c>
      <c r="BX199" s="433">
        <f t="shared" si="163"/>
        <v>652</v>
      </c>
      <c r="BY199" s="433">
        <f t="shared" si="163"/>
        <v>681</v>
      </c>
      <c r="BZ199" s="433">
        <f t="shared" si="163"/>
        <v>706</v>
      </c>
      <c r="CA199" s="433">
        <f t="shared" si="163"/>
        <v>706</v>
      </c>
      <c r="CB199" s="433">
        <f t="shared" si="163"/>
        <v>780</v>
      </c>
      <c r="CC199" s="433">
        <f t="shared" si="163"/>
        <v>864</v>
      </c>
      <c r="CD199" s="433">
        <f t="shared" si="163"/>
        <v>893</v>
      </c>
      <c r="CE199" s="433">
        <f t="shared" si="163"/>
        <v>1010</v>
      </c>
      <c r="CF199" s="433">
        <f t="shared" si="163"/>
        <v>1069</v>
      </c>
      <c r="CG199" s="239" t="s">
        <v>762</v>
      </c>
      <c r="CH199" s="239" t="s">
        <v>762</v>
      </c>
      <c r="CI199" s="239" t="s">
        <v>762</v>
      </c>
      <c r="CJ199" s="239" t="s">
        <v>762</v>
      </c>
      <c r="CK199" s="239" t="s">
        <v>762</v>
      </c>
      <c r="CL199" s="239" t="s">
        <v>762</v>
      </c>
    </row>
    <row r="200" spans="1:90" s="434" customFormat="1">
      <c r="A200" s="239" t="s">
        <v>594</v>
      </c>
      <c r="B200" s="239" t="s">
        <v>626</v>
      </c>
      <c r="C200" s="433" t="s">
        <v>762</v>
      </c>
      <c r="D200" s="433" t="s">
        <v>762</v>
      </c>
      <c r="E200" s="433" t="s">
        <v>762</v>
      </c>
      <c r="F200" s="433" t="s">
        <v>762</v>
      </c>
      <c r="G200" s="433" t="s">
        <v>762</v>
      </c>
      <c r="H200" s="433" t="s">
        <v>762</v>
      </c>
      <c r="I200" s="433" t="s">
        <v>762</v>
      </c>
      <c r="J200" s="433" t="s">
        <v>762</v>
      </c>
      <c r="K200" s="433" t="s">
        <v>762</v>
      </c>
      <c r="L200" s="433" t="s">
        <v>762</v>
      </c>
      <c r="M200" s="433" t="s">
        <v>762</v>
      </c>
      <c r="N200" s="433" t="s">
        <v>762</v>
      </c>
      <c r="O200" s="433" t="s">
        <v>762</v>
      </c>
      <c r="P200" s="433" t="s">
        <v>762</v>
      </c>
      <c r="Q200" s="433" t="s">
        <v>762</v>
      </c>
      <c r="R200" s="433" t="s">
        <v>762</v>
      </c>
      <c r="S200" s="433" t="s">
        <v>762</v>
      </c>
      <c r="T200" s="433" t="s">
        <v>762</v>
      </c>
      <c r="U200" s="433" t="s">
        <v>762</v>
      </c>
      <c r="V200" s="433" t="s">
        <v>762</v>
      </c>
      <c r="W200" s="433" t="s">
        <v>762</v>
      </c>
      <c r="X200" s="433" t="s">
        <v>762</v>
      </c>
      <c r="Y200" s="433" t="s">
        <v>762</v>
      </c>
      <c r="Z200" s="433" t="s">
        <v>762</v>
      </c>
      <c r="AA200" s="433" t="s">
        <v>762</v>
      </c>
      <c r="AB200" s="433" t="s">
        <v>762</v>
      </c>
      <c r="AC200" s="433" t="s">
        <v>762</v>
      </c>
      <c r="AD200" s="433" t="s">
        <v>762</v>
      </c>
      <c r="AE200" s="433" t="s">
        <v>762</v>
      </c>
      <c r="AF200" s="433" t="s">
        <v>762</v>
      </c>
      <c r="AG200" s="433" t="s">
        <v>762</v>
      </c>
      <c r="AH200" s="433" t="s">
        <v>762</v>
      </c>
      <c r="AI200" s="433" t="s">
        <v>762</v>
      </c>
      <c r="AJ200" s="433" t="s">
        <v>762</v>
      </c>
      <c r="AK200" s="433" t="s">
        <v>762</v>
      </c>
      <c r="AL200" s="433" t="s">
        <v>762</v>
      </c>
      <c r="AM200" s="433" t="s">
        <v>762</v>
      </c>
      <c r="AN200" s="433" t="s">
        <v>762</v>
      </c>
      <c r="AO200" s="433" t="s">
        <v>762</v>
      </c>
      <c r="AP200" s="433" t="s">
        <v>762</v>
      </c>
      <c r="AQ200" s="433" t="s">
        <v>762</v>
      </c>
      <c r="AR200" s="433" t="s">
        <v>762</v>
      </c>
      <c r="AS200" s="433" t="s">
        <v>762</v>
      </c>
      <c r="AT200" s="433" t="s">
        <v>762</v>
      </c>
      <c r="AU200" s="433" t="s">
        <v>762</v>
      </c>
      <c r="AV200" s="433" t="s">
        <v>762</v>
      </c>
      <c r="AW200" s="433" t="s">
        <v>762</v>
      </c>
      <c r="AX200" s="433" t="s">
        <v>762</v>
      </c>
      <c r="AY200" s="433" t="s">
        <v>762</v>
      </c>
      <c r="AZ200" s="433" t="s">
        <v>762</v>
      </c>
      <c r="BA200" s="433" t="s">
        <v>762</v>
      </c>
      <c r="BB200" s="433" t="s">
        <v>762</v>
      </c>
      <c r="BC200" s="433" t="s">
        <v>762</v>
      </c>
      <c r="BD200" s="433" t="s">
        <v>762</v>
      </c>
      <c r="BE200" s="433" t="s">
        <v>762</v>
      </c>
      <c r="BF200" s="433" t="s">
        <v>762</v>
      </c>
      <c r="BG200" s="433" t="s">
        <v>762</v>
      </c>
      <c r="BH200" s="433" t="s">
        <v>762</v>
      </c>
      <c r="BI200" s="433" t="s">
        <v>762</v>
      </c>
      <c r="BJ200" s="433" t="s">
        <v>762</v>
      </c>
      <c r="BK200" s="433" t="s">
        <v>762</v>
      </c>
      <c r="BL200" s="433" t="s">
        <v>762</v>
      </c>
      <c r="BM200" s="433" t="s">
        <v>762</v>
      </c>
      <c r="BN200" s="433" t="s">
        <v>762</v>
      </c>
      <c r="BO200" s="433" t="s">
        <v>762</v>
      </c>
      <c r="BP200" s="433" t="s">
        <v>762</v>
      </c>
      <c r="BQ200" s="433" t="s">
        <v>762</v>
      </c>
      <c r="BR200" s="433" t="s">
        <v>762</v>
      </c>
      <c r="BS200" s="433" t="s">
        <v>762</v>
      </c>
      <c r="BT200" s="433" t="s">
        <v>762</v>
      </c>
      <c r="BU200" s="433" t="s">
        <v>762</v>
      </c>
      <c r="BV200" s="433" t="s">
        <v>762</v>
      </c>
      <c r="BW200" s="433" t="s">
        <v>762</v>
      </c>
      <c r="BX200" s="433" t="s">
        <v>762</v>
      </c>
      <c r="BY200" s="433" t="s">
        <v>762</v>
      </c>
      <c r="BZ200" s="433" t="s">
        <v>762</v>
      </c>
      <c r="CA200" s="433" t="s">
        <v>762</v>
      </c>
      <c r="CB200" s="433" t="s">
        <v>762</v>
      </c>
      <c r="CC200" s="433" t="s">
        <v>762</v>
      </c>
      <c r="CD200" s="433" t="s">
        <v>762</v>
      </c>
      <c r="CE200" s="433" t="s">
        <v>762</v>
      </c>
      <c r="CF200" s="433" t="s">
        <v>762</v>
      </c>
      <c r="CG200" s="239" t="s">
        <v>762</v>
      </c>
      <c r="CH200" s="239" t="s">
        <v>762</v>
      </c>
      <c r="CI200" s="239" t="s">
        <v>762</v>
      </c>
      <c r="CJ200" s="239" t="s">
        <v>762</v>
      </c>
      <c r="CK200" s="239" t="s">
        <v>762</v>
      </c>
      <c r="CL200" s="239" t="s">
        <v>762</v>
      </c>
    </row>
    <row r="201" spans="1:90" s="434" customFormat="1">
      <c r="A201" s="239" t="s">
        <v>595</v>
      </c>
      <c r="B201" s="239" t="s">
        <v>626</v>
      </c>
      <c r="C201" s="433" t="s">
        <v>762</v>
      </c>
      <c r="D201" s="433" t="s">
        <v>762</v>
      </c>
      <c r="E201" s="433" t="s">
        <v>762</v>
      </c>
      <c r="F201" s="433" t="s">
        <v>762</v>
      </c>
      <c r="G201" s="433" t="s">
        <v>762</v>
      </c>
      <c r="H201" s="433" t="s">
        <v>762</v>
      </c>
      <c r="I201" s="433" t="s">
        <v>762</v>
      </c>
      <c r="J201" s="433" t="s">
        <v>762</v>
      </c>
      <c r="K201" s="433" t="s">
        <v>762</v>
      </c>
      <c r="L201" s="433" t="s">
        <v>762</v>
      </c>
      <c r="M201" s="433" t="s">
        <v>762</v>
      </c>
      <c r="N201" s="433" t="s">
        <v>762</v>
      </c>
      <c r="O201" s="433" t="s">
        <v>762</v>
      </c>
      <c r="P201" s="433" t="s">
        <v>762</v>
      </c>
      <c r="Q201" s="433" t="s">
        <v>762</v>
      </c>
      <c r="R201" s="433" t="s">
        <v>762</v>
      </c>
      <c r="S201" s="433" t="s">
        <v>762</v>
      </c>
      <c r="T201" s="433" t="s">
        <v>762</v>
      </c>
      <c r="U201" s="433" t="s">
        <v>762</v>
      </c>
      <c r="V201" s="433" t="s">
        <v>762</v>
      </c>
      <c r="W201" s="433" t="s">
        <v>762</v>
      </c>
      <c r="X201" s="433" t="s">
        <v>762</v>
      </c>
      <c r="Y201" s="433" t="s">
        <v>762</v>
      </c>
      <c r="Z201" s="433" t="s">
        <v>762</v>
      </c>
      <c r="AA201" s="433" t="s">
        <v>762</v>
      </c>
      <c r="AB201" s="433" t="s">
        <v>762</v>
      </c>
      <c r="AC201" s="433" t="s">
        <v>762</v>
      </c>
      <c r="AD201" s="433" t="s">
        <v>762</v>
      </c>
      <c r="AE201" s="433" t="s">
        <v>762</v>
      </c>
      <c r="AF201" s="433" t="s">
        <v>762</v>
      </c>
      <c r="AG201" s="433" t="s">
        <v>762</v>
      </c>
      <c r="AH201" s="433" t="s">
        <v>762</v>
      </c>
      <c r="AI201" s="433" t="s">
        <v>762</v>
      </c>
      <c r="AJ201" s="433" t="s">
        <v>762</v>
      </c>
      <c r="AK201" s="433" t="s">
        <v>762</v>
      </c>
      <c r="AL201" s="433" t="s">
        <v>762</v>
      </c>
      <c r="AM201" s="433" t="s">
        <v>762</v>
      </c>
      <c r="AN201" s="433" t="s">
        <v>762</v>
      </c>
      <c r="AO201" s="433" t="s">
        <v>762</v>
      </c>
      <c r="AP201" s="433" t="s">
        <v>762</v>
      </c>
      <c r="AQ201" s="433" t="s">
        <v>762</v>
      </c>
      <c r="AR201" s="433" t="s">
        <v>762</v>
      </c>
      <c r="AS201" s="433" t="s">
        <v>762</v>
      </c>
      <c r="AT201" s="433" t="s">
        <v>762</v>
      </c>
      <c r="AU201" s="433" t="s">
        <v>762</v>
      </c>
      <c r="AV201" s="433" t="s">
        <v>762</v>
      </c>
      <c r="AW201" s="433" t="s">
        <v>762</v>
      </c>
      <c r="AX201" s="433" t="s">
        <v>762</v>
      </c>
      <c r="AY201" s="433" t="s">
        <v>762</v>
      </c>
      <c r="AZ201" s="433" t="s">
        <v>762</v>
      </c>
      <c r="BA201" s="433" t="s">
        <v>762</v>
      </c>
      <c r="BB201" s="433" t="s">
        <v>762</v>
      </c>
      <c r="BC201" s="433" t="s">
        <v>762</v>
      </c>
      <c r="BD201" s="433" t="s">
        <v>762</v>
      </c>
      <c r="BE201" s="433" t="s">
        <v>762</v>
      </c>
      <c r="BF201" s="433" t="s">
        <v>762</v>
      </c>
      <c r="BG201" s="433" t="s">
        <v>762</v>
      </c>
      <c r="BH201" s="433" t="s">
        <v>762</v>
      </c>
      <c r="BI201" s="433" t="s">
        <v>762</v>
      </c>
      <c r="BJ201" s="433" t="s">
        <v>762</v>
      </c>
      <c r="BK201" s="433" t="s">
        <v>762</v>
      </c>
      <c r="BL201" s="433" t="s">
        <v>762</v>
      </c>
      <c r="BM201" s="433" t="s">
        <v>762</v>
      </c>
      <c r="BN201" s="433" t="s">
        <v>762</v>
      </c>
      <c r="BO201" s="433" t="s">
        <v>762</v>
      </c>
      <c r="BP201" s="433" t="s">
        <v>762</v>
      </c>
      <c r="BQ201" s="433" t="s">
        <v>762</v>
      </c>
      <c r="BR201" s="433" t="s">
        <v>762</v>
      </c>
      <c r="BS201" s="433" t="s">
        <v>762</v>
      </c>
      <c r="BT201" s="433" t="s">
        <v>762</v>
      </c>
      <c r="BU201" s="433" t="s">
        <v>762</v>
      </c>
      <c r="BV201" s="433" t="s">
        <v>762</v>
      </c>
      <c r="BW201" s="433" t="s">
        <v>762</v>
      </c>
      <c r="BX201" s="433" t="s">
        <v>762</v>
      </c>
      <c r="BY201" s="433" t="s">
        <v>762</v>
      </c>
      <c r="BZ201" s="433" t="s">
        <v>762</v>
      </c>
      <c r="CA201" s="433" t="s">
        <v>762</v>
      </c>
      <c r="CB201" s="433" t="s">
        <v>762</v>
      </c>
      <c r="CC201" s="433" t="s">
        <v>762</v>
      </c>
      <c r="CD201" s="433" t="s">
        <v>762</v>
      </c>
      <c r="CE201" s="433" t="s">
        <v>762</v>
      </c>
      <c r="CF201" s="433" t="s">
        <v>762</v>
      </c>
      <c r="CG201" s="239" t="s">
        <v>762</v>
      </c>
      <c r="CH201" s="239" t="s">
        <v>762</v>
      </c>
      <c r="CI201" s="239" t="s">
        <v>762</v>
      </c>
      <c r="CJ201" s="239" t="s">
        <v>762</v>
      </c>
      <c r="CK201" s="239" t="s">
        <v>762</v>
      </c>
      <c r="CL201" s="239" t="s">
        <v>762</v>
      </c>
    </row>
    <row r="202" spans="1:90" s="434" customFormat="1">
      <c r="A202" s="239" t="s">
        <v>596</v>
      </c>
      <c r="B202" s="239" t="s">
        <v>626</v>
      </c>
      <c r="C202" s="433">
        <f t="shared" ref="C202:AD202" si="164">B927</f>
        <v>93</v>
      </c>
      <c r="D202" s="433">
        <f t="shared" si="164"/>
        <v>93</v>
      </c>
      <c r="E202" s="433">
        <f t="shared" si="164"/>
        <v>93</v>
      </c>
      <c r="F202" s="433">
        <f t="shared" si="164"/>
        <v>93</v>
      </c>
      <c r="G202" s="433">
        <f t="shared" si="164"/>
        <v>93</v>
      </c>
      <c r="H202" s="433">
        <f t="shared" si="164"/>
        <v>93</v>
      </c>
      <c r="I202" s="433">
        <f t="shared" si="164"/>
        <v>93</v>
      </c>
      <c r="J202" s="433">
        <f t="shared" si="164"/>
        <v>93</v>
      </c>
      <c r="K202" s="433">
        <f t="shared" si="164"/>
        <v>93</v>
      </c>
      <c r="L202" s="433">
        <f t="shared" si="164"/>
        <v>93</v>
      </c>
      <c r="M202" s="433">
        <f t="shared" si="164"/>
        <v>93</v>
      </c>
      <c r="N202" s="433">
        <f t="shared" si="164"/>
        <v>93</v>
      </c>
      <c r="O202" s="433">
        <f t="shared" si="164"/>
        <v>93</v>
      </c>
      <c r="P202" s="433">
        <f t="shared" si="164"/>
        <v>93</v>
      </c>
      <c r="Q202" s="433">
        <f t="shared" si="164"/>
        <v>93</v>
      </c>
      <c r="R202" s="433">
        <f t="shared" si="164"/>
        <v>93</v>
      </c>
      <c r="S202" s="433">
        <f t="shared" si="164"/>
        <v>93</v>
      </c>
      <c r="T202" s="433">
        <f t="shared" si="164"/>
        <v>93</v>
      </c>
      <c r="U202" s="433">
        <f t="shared" si="164"/>
        <v>93</v>
      </c>
      <c r="V202" s="433">
        <f t="shared" si="164"/>
        <v>93</v>
      </c>
      <c r="W202" s="433">
        <f t="shared" si="164"/>
        <v>93</v>
      </c>
      <c r="X202" s="433">
        <f t="shared" si="164"/>
        <v>93</v>
      </c>
      <c r="Y202" s="433">
        <f t="shared" si="164"/>
        <v>93</v>
      </c>
      <c r="Z202" s="433">
        <f t="shared" si="164"/>
        <v>93</v>
      </c>
      <c r="AA202" s="433">
        <f t="shared" si="164"/>
        <v>93</v>
      </c>
      <c r="AB202" s="433">
        <f t="shared" si="164"/>
        <v>93</v>
      </c>
      <c r="AC202" s="433">
        <f t="shared" si="164"/>
        <v>93</v>
      </c>
      <c r="AD202" s="433">
        <f t="shared" si="164"/>
        <v>93</v>
      </c>
      <c r="AE202" s="433">
        <f t="shared" ref="AE202:AJ202" si="165">AC927</f>
        <v>93</v>
      </c>
      <c r="AF202" s="433">
        <f t="shared" si="165"/>
        <v>117</v>
      </c>
      <c r="AG202" s="433">
        <f t="shared" si="165"/>
        <v>117</v>
      </c>
      <c r="AH202" s="433">
        <f t="shared" si="165"/>
        <v>117</v>
      </c>
      <c r="AI202" s="433">
        <f t="shared" si="165"/>
        <v>117</v>
      </c>
      <c r="AJ202" s="433">
        <f t="shared" si="165"/>
        <v>117</v>
      </c>
      <c r="AK202" s="433">
        <f t="shared" ref="AK202:BO202" si="166">AI926</f>
        <v>117</v>
      </c>
      <c r="AL202" s="433">
        <f t="shared" si="166"/>
        <v>117</v>
      </c>
      <c r="AM202" s="433">
        <f t="shared" si="166"/>
        <v>117</v>
      </c>
      <c r="AN202" s="433">
        <f t="shared" si="166"/>
        <v>117</v>
      </c>
      <c r="AO202" s="433">
        <f t="shared" si="166"/>
        <v>117</v>
      </c>
      <c r="AP202" s="433">
        <f t="shared" si="166"/>
        <v>117</v>
      </c>
      <c r="AQ202" s="433">
        <f t="shared" si="166"/>
        <v>117</v>
      </c>
      <c r="AR202" s="433">
        <f t="shared" si="166"/>
        <v>117</v>
      </c>
      <c r="AS202" s="433">
        <f t="shared" si="166"/>
        <v>117</v>
      </c>
      <c r="AT202" s="433">
        <f t="shared" si="166"/>
        <v>117</v>
      </c>
      <c r="AU202" s="433">
        <f t="shared" si="166"/>
        <v>117</v>
      </c>
      <c r="AV202" s="433">
        <f t="shared" si="166"/>
        <v>117</v>
      </c>
      <c r="AW202" s="433">
        <f t="shared" si="166"/>
        <v>117</v>
      </c>
      <c r="AX202" s="433">
        <f t="shared" si="166"/>
        <v>117</v>
      </c>
      <c r="AY202" s="433">
        <f t="shared" si="166"/>
        <v>140</v>
      </c>
      <c r="AZ202" s="433">
        <f t="shared" si="166"/>
        <v>140</v>
      </c>
      <c r="BA202" s="433">
        <f t="shared" si="166"/>
        <v>140</v>
      </c>
      <c r="BB202" s="433">
        <f t="shared" si="166"/>
        <v>140</v>
      </c>
      <c r="BC202" s="433">
        <f t="shared" si="166"/>
        <v>140</v>
      </c>
      <c r="BD202" s="433">
        <f t="shared" si="166"/>
        <v>140</v>
      </c>
      <c r="BE202" s="433">
        <f t="shared" si="166"/>
        <v>140</v>
      </c>
      <c r="BF202" s="433">
        <f t="shared" si="166"/>
        <v>140</v>
      </c>
      <c r="BG202" s="433">
        <f t="shared" si="166"/>
        <v>170</v>
      </c>
      <c r="BH202" s="433">
        <f t="shared" si="166"/>
        <v>170</v>
      </c>
      <c r="BI202" s="433">
        <f t="shared" si="166"/>
        <v>170</v>
      </c>
      <c r="BJ202" s="433">
        <f t="shared" si="166"/>
        <v>170</v>
      </c>
      <c r="BK202" s="433">
        <f t="shared" si="166"/>
        <v>170</v>
      </c>
      <c r="BL202" s="433">
        <f t="shared" si="166"/>
        <v>170</v>
      </c>
      <c r="BM202" s="433">
        <f t="shared" si="166"/>
        <v>181</v>
      </c>
      <c r="BN202" s="433">
        <f t="shared" si="166"/>
        <v>181</v>
      </c>
      <c r="BO202" s="433">
        <f t="shared" si="166"/>
        <v>181</v>
      </c>
      <c r="BP202" s="433">
        <f t="shared" ref="BP202:CF202" si="167">BN926</f>
        <v>181</v>
      </c>
      <c r="BQ202" s="433">
        <f t="shared" si="167"/>
        <v>181</v>
      </c>
      <c r="BR202" s="433">
        <f t="shared" si="167"/>
        <v>181</v>
      </c>
      <c r="BS202" s="433">
        <f t="shared" si="167"/>
        <v>203</v>
      </c>
      <c r="BT202" s="433">
        <f t="shared" si="167"/>
        <v>203</v>
      </c>
      <c r="BU202" s="433">
        <f t="shared" si="167"/>
        <v>212</v>
      </c>
      <c r="BV202" s="433">
        <f t="shared" si="167"/>
        <v>230</v>
      </c>
      <c r="BW202" s="433">
        <f t="shared" si="167"/>
        <v>245</v>
      </c>
      <c r="BX202" s="433">
        <f t="shared" si="167"/>
        <v>257</v>
      </c>
      <c r="BY202" s="433">
        <f t="shared" si="167"/>
        <v>269</v>
      </c>
      <c r="BZ202" s="433">
        <f t="shared" si="167"/>
        <v>275</v>
      </c>
      <c r="CA202" s="433">
        <f t="shared" si="167"/>
        <v>275</v>
      </c>
      <c r="CB202" s="433">
        <f t="shared" si="167"/>
        <v>306</v>
      </c>
      <c r="CC202" s="433">
        <f t="shared" si="167"/>
        <v>338</v>
      </c>
      <c r="CD202" s="433">
        <f t="shared" si="167"/>
        <v>352</v>
      </c>
      <c r="CE202" s="433">
        <f t="shared" si="167"/>
        <v>397</v>
      </c>
      <c r="CF202" s="433">
        <f t="shared" si="167"/>
        <v>421</v>
      </c>
      <c r="CG202" s="239" t="s">
        <v>762</v>
      </c>
      <c r="CH202" s="239" t="s">
        <v>762</v>
      </c>
      <c r="CI202" s="239" t="s">
        <v>762</v>
      </c>
      <c r="CJ202" s="239" t="s">
        <v>762</v>
      </c>
      <c r="CK202" s="239" t="s">
        <v>762</v>
      </c>
      <c r="CL202" s="239" t="s">
        <v>762</v>
      </c>
    </row>
    <row r="203" spans="1:90" s="434" customFormat="1">
      <c r="A203" s="239" t="s">
        <v>597</v>
      </c>
      <c r="B203" s="239" t="s">
        <v>626</v>
      </c>
      <c r="C203" s="433" t="s">
        <v>762</v>
      </c>
      <c r="D203" s="433" t="s">
        <v>762</v>
      </c>
      <c r="E203" s="433" t="s">
        <v>762</v>
      </c>
      <c r="F203" s="433" t="s">
        <v>762</v>
      </c>
      <c r="G203" s="433" t="s">
        <v>762</v>
      </c>
      <c r="H203" s="433" t="s">
        <v>762</v>
      </c>
      <c r="I203" s="433" t="s">
        <v>762</v>
      </c>
      <c r="J203" s="433" t="s">
        <v>762</v>
      </c>
      <c r="K203" s="433" t="s">
        <v>762</v>
      </c>
      <c r="L203" s="433" t="s">
        <v>762</v>
      </c>
      <c r="M203" s="433" t="s">
        <v>762</v>
      </c>
      <c r="N203" s="433" t="s">
        <v>762</v>
      </c>
      <c r="O203" s="433" t="s">
        <v>762</v>
      </c>
      <c r="P203" s="433" t="s">
        <v>762</v>
      </c>
      <c r="Q203" s="433" t="s">
        <v>762</v>
      </c>
      <c r="R203" s="433" t="s">
        <v>762</v>
      </c>
      <c r="S203" s="433" t="s">
        <v>762</v>
      </c>
      <c r="T203" s="433" t="s">
        <v>762</v>
      </c>
      <c r="U203" s="433" t="s">
        <v>762</v>
      </c>
      <c r="V203" s="433" t="s">
        <v>762</v>
      </c>
      <c r="W203" s="433" t="s">
        <v>762</v>
      </c>
      <c r="X203" s="433" t="s">
        <v>762</v>
      </c>
      <c r="Y203" s="433" t="s">
        <v>762</v>
      </c>
      <c r="Z203" s="433" t="s">
        <v>762</v>
      </c>
      <c r="AA203" s="433" t="s">
        <v>762</v>
      </c>
      <c r="AB203" s="433" t="s">
        <v>762</v>
      </c>
      <c r="AC203" s="433" t="s">
        <v>762</v>
      </c>
      <c r="AD203" s="433" t="s">
        <v>762</v>
      </c>
      <c r="AE203" s="433" t="s">
        <v>762</v>
      </c>
      <c r="AF203" s="433" t="s">
        <v>762</v>
      </c>
      <c r="AG203" s="433" t="s">
        <v>762</v>
      </c>
      <c r="AH203" s="433" t="s">
        <v>762</v>
      </c>
      <c r="AI203" s="433" t="s">
        <v>762</v>
      </c>
      <c r="AJ203" s="433" t="s">
        <v>762</v>
      </c>
      <c r="AK203" s="433" t="s">
        <v>762</v>
      </c>
      <c r="AL203" s="433" t="s">
        <v>762</v>
      </c>
      <c r="AM203" s="433" t="s">
        <v>762</v>
      </c>
      <c r="AN203" s="433" t="s">
        <v>762</v>
      </c>
      <c r="AO203" s="433" t="s">
        <v>762</v>
      </c>
      <c r="AP203" s="433" t="s">
        <v>762</v>
      </c>
      <c r="AQ203" s="433" t="s">
        <v>762</v>
      </c>
      <c r="AR203" s="433" t="s">
        <v>762</v>
      </c>
      <c r="AS203" s="433" t="s">
        <v>762</v>
      </c>
      <c r="AT203" s="433" t="s">
        <v>762</v>
      </c>
      <c r="AU203" s="433" t="s">
        <v>762</v>
      </c>
      <c r="AV203" s="433" t="s">
        <v>762</v>
      </c>
      <c r="AW203" s="433" t="s">
        <v>762</v>
      </c>
      <c r="AX203" s="433" t="s">
        <v>762</v>
      </c>
      <c r="AY203" s="433" t="s">
        <v>762</v>
      </c>
      <c r="AZ203" s="433" t="s">
        <v>762</v>
      </c>
      <c r="BA203" s="433" t="s">
        <v>762</v>
      </c>
      <c r="BB203" s="433" t="s">
        <v>762</v>
      </c>
      <c r="BC203" s="433" t="s">
        <v>762</v>
      </c>
      <c r="BD203" s="433" t="s">
        <v>762</v>
      </c>
      <c r="BE203" s="433" t="s">
        <v>762</v>
      </c>
      <c r="BF203" s="433" t="s">
        <v>762</v>
      </c>
      <c r="BG203" s="433" t="s">
        <v>762</v>
      </c>
      <c r="BH203" s="433" t="s">
        <v>762</v>
      </c>
      <c r="BI203" s="433" t="s">
        <v>762</v>
      </c>
      <c r="BJ203" s="433" t="s">
        <v>762</v>
      </c>
      <c r="BK203" s="433" t="s">
        <v>762</v>
      </c>
      <c r="BL203" s="433" t="s">
        <v>762</v>
      </c>
      <c r="BM203" s="433" t="s">
        <v>762</v>
      </c>
      <c r="BN203" s="433" t="s">
        <v>762</v>
      </c>
      <c r="BO203" s="433" t="s">
        <v>762</v>
      </c>
      <c r="BP203" s="433" t="s">
        <v>762</v>
      </c>
      <c r="BQ203" s="433" t="s">
        <v>762</v>
      </c>
      <c r="BR203" s="433" t="s">
        <v>762</v>
      </c>
      <c r="BS203" s="433" t="s">
        <v>762</v>
      </c>
      <c r="BT203" s="433" t="s">
        <v>762</v>
      </c>
      <c r="BU203" s="433" t="s">
        <v>762</v>
      </c>
      <c r="BV203" s="433" t="s">
        <v>762</v>
      </c>
      <c r="BW203" s="433" t="s">
        <v>762</v>
      </c>
      <c r="BX203" s="433" t="s">
        <v>762</v>
      </c>
      <c r="BY203" s="433" t="s">
        <v>762</v>
      </c>
      <c r="BZ203" s="433" t="s">
        <v>762</v>
      </c>
      <c r="CA203" s="433" t="s">
        <v>762</v>
      </c>
      <c r="CB203" s="433" t="s">
        <v>762</v>
      </c>
      <c r="CC203" s="433" t="s">
        <v>762</v>
      </c>
      <c r="CD203" s="433" t="s">
        <v>762</v>
      </c>
      <c r="CE203" s="433" t="s">
        <v>762</v>
      </c>
      <c r="CF203" s="433" t="s">
        <v>762</v>
      </c>
      <c r="CG203" s="239" t="s">
        <v>762</v>
      </c>
      <c r="CH203" s="239" t="s">
        <v>762</v>
      </c>
      <c r="CI203" s="239" t="s">
        <v>762</v>
      </c>
      <c r="CJ203" s="239" t="s">
        <v>762</v>
      </c>
      <c r="CK203" s="239" t="s">
        <v>762</v>
      </c>
      <c r="CL203" s="239" t="s">
        <v>762</v>
      </c>
    </row>
    <row r="204" spans="1:90" s="434" customFormat="1">
      <c r="A204" s="239" t="s">
        <v>598</v>
      </c>
      <c r="B204" s="239" t="s">
        <v>626</v>
      </c>
      <c r="C204" s="433" t="s">
        <v>762</v>
      </c>
      <c r="D204" s="433" t="s">
        <v>762</v>
      </c>
      <c r="E204" s="433" t="s">
        <v>762</v>
      </c>
      <c r="F204" s="433" t="s">
        <v>762</v>
      </c>
      <c r="G204" s="433" t="s">
        <v>762</v>
      </c>
      <c r="H204" s="433" t="s">
        <v>762</v>
      </c>
      <c r="I204" s="433" t="s">
        <v>762</v>
      </c>
      <c r="J204" s="433" t="s">
        <v>762</v>
      </c>
      <c r="K204" s="433" t="s">
        <v>762</v>
      </c>
      <c r="L204" s="433" t="s">
        <v>762</v>
      </c>
      <c r="M204" s="433" t="s">
        <v>762</v>
      </c>
      <c r="N204" s="433" t="s">
        <v>762</v>
      </c>
      <c r="O204" s="433" t="s">
        <v>762</v>
      </c>
      <c r="P204" s="433" t="s">
        <v>762</v>
      </c>
      <c r="Q204" s="433" t="s">
        <v>762</v>
      </c>
      <c r="R204" s="433" t="s">
        <v>762</v>
      </c>
      <c r="S204" s="433" t="s">
        <v>762</v>
      </c>
      <c r="T204" s="433" t="s">
        <v>762</v>
      </c>
      <c r="U204" s="433" t="s">
        <v>762</v>
      </c>
      <c r="V204" s="433" t="s">
        <v>762</v>
      </c>
      <c r="W204" s="433" t="s">
        <v>762</v>
      </c>
      <c r="X204" s="433" t="s">
        <v>762</v>
      </c>
      <c r="Y204" s="433" t="s">
        <v>762</v>
      </c>
      <c r="Z204" s="433" t="s">
        <v>762</v>
      </c>
      <c r="AA204" s="433" t="s">
        <v>762</v>
      </c>
      <c r="AB204" s="433" t="s">
        <v>762</v>
      </c>
      <c r="AC204" s="433" t="s">
        <v>762</v>
      </c>
      <c r="AD204" s="433" t="s">
        <v>762</v>
      </c>
      <c r="AE204" s="433" t="s">
        <v>762</v>
      </c>
      <c r="AF204" s="433" t="s">
        <v>762</v>
      </c>
      <c r="AG204" s="433" t="s">
        <v>762</v>
      </c>
      <c r="AH204" s="433" t="s">
        <v>762</v>
      </c>
      <c r="AI204" s="433" t="s">
        <v>762</v>
      </c>
      <c r="AJ204" s="433" t="s">
        <v>762</v>
      </c>
      <c r="AK204" s="433" t="s">
        <v>762</v>
      </c>
      <c r="AL204" s="433" t="s">
        <v>762</v>
      </c>
      <c r="AM204" s="433" t="s">
        <v>762</v>
      </c>
      <c r="AN204" s="433" t="s">
        <v>762</v>
      </c>
      <c r="AO204" s="433" t="s">
        <v>762</v>
      </c>
      <c r="AP204" s="433" t="s">
        <v>762</v>
      </c>
      <c r="AQ204" s="433" t="s">
        <v>762</v>
      </c>
      <c r="AR204" s="433" t="s">
        <v>762</v>
      </c>
      <c r="AS204" s="433" t="s">
        <v>762</v>
      </c>
      <c r="AT204" s="433" t="s">
        <v>762</v>
      </c>
      <c r="AU204" s="433" t="s">
        <v>762</v>
      </c>
      <c r="AV204" s="433" t="s">
        <v>762</v>
      </c>
      <c r="AW204" s="433" t="s">
        <v>762</v>
      </c>
      <c r="AX204" s="433" t="s">
        <v>762</v>
      </c>
      <c r="AY204" s="433" t="s">
        <v>762</v>
      </c>
      <c r="AZ204" s="433" t="s">
        <v>762</v>
      </c>
      <c r="BA204" s="433" t="s">
        <v>762</v>
      </c>
      <c r="BB204" s="433" t="s">
        <v>762</v>
      </c>
      <c r="BC204" s="433" t="s">
        <v>762</v>
      </c>
      <c r="BD204" s="433" t="s">
        <v>762</v>
      </c>
      <c r="BE204" s="433" t="s">
        <v>762</v>
      </c>
      <c r="BF204" s="433" t="s">
        <v>762</v>
      </c>
      <c r="BG204" s="433" t="s">
        <v>762</v>
      </c>
      <c r="BH204" s="433" t="s">
        <v>762</v>
      </c>
      <c r="BI204" s="433" t="s">
        <v>762</v>
      </c>
      <c r="BJ204" s="433" t="s">
        <v>762</v>
      </c>
      <c r="BK204" s="433" t="s">
        <v>762</v>
      </c>
      <c r="BL204" s="433" t="s">
        <v>762</v>
      </c>
      <c r="BM204" s="433" t="s">
        <v>762</v>
      </c>
      <c r="BN204" s="433" t="s">
        <v>762</v>
      </c>
      <c r="BO204" s="433" t="s">
        <v>762</v>
      </c>
      <c r="BP204" s="433" t="s">
        <v>762</v>
      </c>
      <c r="BQ204" s="433" t="s">
        <v>762</v>
      </c>
      <c r="BR204" s="433" t="s">
        <v>762</v>
      </c>
      <c r="BS204" s="433" t="s">
        <v>762</v>
      </c>
      <c r="BT204" s="433" t="s">
        <v>762</v>
      </c>
      <c r="BU204" s="433" t="s">
        <v>762</v>
      </c>
      <c r="BV204" s="433" t="s">
        <v>762</v>
      </c>
      <c r="BW204" s="433" t="s">
        <v>762</v>
      </c>
      <c r="BX204" s="433" t="s">
        <v>762</v>
      </c>
      <c r="BY204" s="433" t="s">
        <v>762</v>
      </c>
      <c r="BZ204" s="433" t="s">
        <v>762</v>
      </c>
      <c r="CA204" s="433" t="s">
        <v>762</v>
      </c>
      <c r="CB204" s="433" t="s">
        <v>762</v>
      </c>
      <c r="CC204" s="433" t="s">
        <v>762</v>
      </c>
      <c r="CD204" s="433" t="s">
        <v>762</v>
      </c>
      <c r="CE204" s="433" t="s">
        <v>762</v>
      </c>
      <c r="CF204" s="433" t="s">
        <v>762</v>
      </c>
      <c r="CG204" s="239" t="s">
        <v>762</v>
      </c>
      <c r="CH204" s="239" t="s">
        <v>762</v>
      </c>
      <c r="CI204" s="239" t="s">
        <v>762</v>
      </c>
      <c r="CJ204" s="239" t="s">
        <v>762</v>
      </c>
      <c r="CK204" s="239" t="s">
        <v>762</v>
      </c>
      <c r="CL204" s="239" t="s">
        <v>762</v>
      </c>
    </row>
    <row r="205" spans="1:90" s="434" customFormat="1">
      <c r="A205" s="239" t="s">
        <v>599</v>
      </c>
      <c r="B205" s="239" t="s">
        <v>626</v>
      </c>
      <c r="C205" s="433" t="s">
        <v>762</v>
      </c>
      <c r="D205" s="433" t="s">
        <v>762</v>
      </c>
      <c r="E205" s="433" t="s">
        <v>762</v>
      </c>
      <c r="F205" s="433" t="s">
        <v>762</v>
      </c>
      <c r="G205" s="433" t="s">
        <v>762</v>
      </c>
      <c r="H205" s="433" t="s">
        <v>762</v>
      </c>
      <c r="I205" s="433" t="s">
        <v>762</v>
      </c>
      <c r="J205" s="433" t="s">
        <v>762</v>
      </c>
      <c r="K205" s="433" t="s">
        <v>762</v>
      </c>
      <c r="L205" s="433" t="s">
        <v>762</v>
      </c>
      <c r="M205" s="433" t="s">
        <v>762</v>
      </c>
      <c r="N205" s="433" t="s">
        <v>762</v>
      </c>
      <c r="O205" s="433" t="s">
        <v>762</v>
      </c>
      <c r="P205" s="433" t="s">
        <v>762</v>
      </c>
      <c r="Q205" s="433" t="s">
        <v>762</v>
      </c>
      <c r="R205" s="433" t="s">
        <v>762</v>
      </c>
      <c r="S205" s="433" t="s">
        <v>762</v>
      </c>
      <c r="T205" s="433" t="s">
        <v>762</v>
      </c>
      <c r="U205" s="433" t="s">
        <v>762</v>
      </c>
      <c r="V205" s="433" t="s">
        <v>762</v>
      </c>
      <c r="W205" s="433" t="s">
        <v>762</v>
      </c>
      <c r="X205" s="433" t="s">
        <v>762</v>
      </c>
      <c r="Y205" s="433" t="s">
        <v>762</v>
      </c>
      <c r="Z205" s="433" t="s">
        <v>762</v>
      </c>
      <c r="AA205" s="433" t="s">
        <v>762</v>
      </c>
      <c r="AB205" s="433" t="s">
        <v>762</v>
      </c>
      <c r="AC205" s="433" t="s">
        <v>762</v>
      </c>
      <c r="AD205" s="433" t="s">
        <v>762</v>
      </c>
      <c r="AE205" s="433" t="s">
        <v>762</v>
      </c>
      <c r="AF205" s="433" t="s">
        <v>762</v>
      </c>
      <c r="AG205" s="433" t="s">
        <v>762</v>
      </c>
      <c r="AH205" s="433" t="s">
        <v>762</v>
      </c>
      <c r="AI205" s="433" t="s">
        <v>762</v>
      </c>
      <c r="AJ205" s="433" t="s">
        <v>762</v>
      </c>
      <c r="AK205" s="433" t="s">
        <v>762</v>
      </c>
      <c r="AL205" s="433" t="s">
        <v>762</v>
      </c>
      <c r="AM205" s="433" t="s">
        <v>762</v>
      </c>
      <c r="AN205" s="433" t="s">
        <v>762</v>
      </c>
      <c r="AO205" s="433" t="s">
        <v>762</v>
      </c>
      <c r="AP205" s="433" t="s">
        <v>762</v>
      </c>
      <c r="AQ205" s="433" t="s">
        <v>762</v>
      </c>
      <c r="AR205" s="433" t="s">
        <v>762</v>
      </c>
      <c r="AS205" s="433" t="s">
        <v>762</v>
      </c>
      <c r="AT205" s="433" t="s">
        <v>762</v>
      </c>
      <c r="AU205" s="433" t="s">
        <v>762</v>
      </c>
      <c r="AV205" s="433" t="s">
        <v>762</v>
      </c>
      <c r="AW205" s="433" t="s">
        <v>762</v>
      </c>
      <c r="AX205" s="433" t="s">
        <v>762</v>
      </c>
      <c r="AY205" s="433" t="s">
        <v>762</v>
      </c>
      <c r="AZ205" s="433" t="s">
        <v>762</v>
      </c>
      <c r="BA205" s="433" t="s">
        <v>762</v>
      </c>
      <c r="BB205" s="433" t="s">
        <v>762</v>
      </c>
      <c r="BC205" s="433" t="s">
        <v>762</v>
      </c>
      <c r="BD205" s="433" t="s">
        <v>762</v>
      </c>
      <c r="BE205" s="433" t="s">
        <v>762</v>
      </c>
      <c r="BF205" s="433" t="s">
        <v>762</v>
      </c>
      <c r="BG205" s="433" t="s">
        <v>762</v>
      </c>
      <c r="BH205" s="433" t="s">
        <v>762</v>
      </c>
      <c r="BI205" s="433" t="s">
        <v>762</v>
      </c>
      <c r="BJ205" s="433" t="s">
        <v>762</v>
      </c>
      <c r="BK205" s="433" t="s">
        <v>762</v>
      </c>
      <c r="BL205" s="433" t="s">
        <v>762</v>
      </c>
      <c r="BM205" s="433" t="s">
        <v>762</v>
      </c>
      <c r="BN205" s="433" t="s">
        <v>762</v>
      </c>
      <c r="BO205" s="433" t="s">
        <v>762</v>
      </c>
      <c r="BP205" s="433" t="s">
        <v>762</v>
      </c>
      <c r="BQ205" s="433" t="s">
        <v>762</v>
      </c>
      <c r="BR205" s="433" t="s">
        <v>762</v>
      </c>
      <c r="BS205" s="433" t="s">
        <v>762</v>
      </c>
      <c r="BT205" s="433" t="s">
        <v>762</v>
      </c>
      <c r="BU205" s="433" t="s">
        <v>762</v>
      </c>
      <c r="BV205" s="433" t="s">
        <v>762</v>
      </c>
      <c r="BW205" s="433" t="s">
        <v>762</v>
      </c>
      <c r="BX205" s="433" t="s">
        <v>762</v>
      </c>
      <c r="BY205" s="433" t="s">
        <v>762</v>
      </c>
      <c r="BZ205" s="433" t="s">
        <v>762</v>
      </c>
      <c r="CA205" s="433" t="s">
        <v>762</v>
      </c>
      <c r="CB205" s="433" t="s">
        <v>762</v>
      </c>
      <c r="CC205" s="433" t="s">
        <v>762</v>
      </c>
      <c r="CD205" s="433" t="s">
        <v>762</v>
      </c>
      <c r="CE205" s="433" t="s">
        <v>762</v>
      </c>
      <c r="CF205" s="433" t="s">
        <v>762</v>
      </c>
      <c r="CG205" s="239" t="s">
        <v>762</v>
      </c>
      <c r="CH205" s="239" t="s">
        <v>762</v>
      </c>
      <c r="CI205" s="239" t="s">
        <v>762</v>
      </c>
      <c r="CJ205" s="239" t="s">
        <v>762</v>
      </c>
      <c r="CK205" s="239" t="s">
        <v>762</v>
      </c>
      <c r="CL205" s="239" t="s">
        <v>762</v>
      </c>
    </row>
    <row r="206" spans="1:90" s="434" customFormat="1">
      <c r="A206" s="239" t="s">
        <v>600</v>
      </c>
      <c r="B206" s="239" t="s">
        <v>626</v>
      </c>
      <c r="C206" s="433" t="s">
        <v>762</v>
      </c>
      <c r="D206" s="433" t="s">
        <v>762</v>
      </c>
      <c r="E206" s="433" t="s">
        <v>762</v>
      </c>
      <c r="F206" s="433" t="s">
        <v>762</v>
      </c>
      <c r="G206" s="433" t="s">
        <v>762</v>
      </c>
      <c r="H206" s="433" t="s">
        <v>762</v>
      </c>
      <c r="I206" s="433" t="s">
        <v>762</v>
      </c>
      <c r="J206" s="433" t="s">
        <v>762</v>
      </c>
      <c r="K206" s="433" t="s">
        <v>762</v>
      </c>
      <c r="L206" s="433" t="s">
        <v>762</v>
      </c>
      <c r="M206" s="433" t="s">
        <v>762</v>
      </c>
      <c r="N206" s="433" t="s">
        <v>762</v>
      </c>
      <c r="O206" s="433" t="s">
        <v>762</v>
      </c>
      <c r="P206" s="433" t="s">
        <v>762</v>
      </c>
      <c r="Q206" s="433" t="s">
        <v>762</v>
      </c>
      <c r="R206" s="433" t="s">
        <v>762</v>
      </c>
      <c r="S206" s="433" t="s">
        <v>762</v>
      </c>
      <c r="T206" s="433" t="s">
        <v>762</v>
      </c>
      <c r="U206" s="433" t="s">
        <v>762</v>
      </c>
      <c r="V206" s="433" t="s">
        <v>762</v>
      </c>
      <c r="W206" s="433" t="s">
        <v>762</v>
      </c>
      <c r="X206" s="433" t="s">
        <v>762</v>
      </c>
      <c r="Y206" s="433" t="s">
        <v>762</v>
      </c>
      <c r="Z206" s="433" t="s">
        <v>762</v>
      </c>
      <c r="AA206" s="433" t="s">
        <v>762</v>
      </c>
      <c r="AB206" s="433" t="s">
        <v>762</v>
      </c>
      <c r="AC206" s="433" t="s">
        <v>762</v>
      </c>
      <c r="AD206" s="433" t="s">
        <v>762</v>
      </c>
      <c r="AE206" s="433" t="s">
        <v>762</v>
      </c>
      <c r="AF206" s="433" t="s">
        <v>762</v>
      </c>
      <c r="AG206" s="433" t="s">
        <v>762</v>
      </c>
      <c r="AH206" s="433" t="s">
        <v>762</v>
      </c>
      <c r="AI206" s="433" t="s">
        <v>762</v>
      </c>
      <c r="AJ206" s="433" t="s">
        <v>762</v>
      </c>
      <c r="AK206" s="433" t="s">
        <v>762</v>
      </c>
      <c r="AL206" s="433" t="s">
        <v>762</v>
      </c>
      <c r="AM206" s="433" t="s">
        <v>762</v>
      </c>
      <c r="AN206" s="433" t="s">
        <v>762</v>
      </c>
      <c r="AO206" s="433" t="s">
        <v>762</v>
      </c>
      <c r="AP206" s="433" t="s">
        <v>762</v>
      </c>
      <c r="AQ206" s="433" t="s">
        <v>762</v>
      </c>
      <c r="AR206" s="433" t="s">
        <v>762</v>
      </c>
      <c r="AS206" s="433" t="s">
        <v>762</v>
      </c>
      <c r="AT206" s="433" t="s">
        <v>762</v>
      </c>
      <c r="AU206" s="433" t="s">
        <v>762</v>
      </c>
      <c r="AV206" s="433" t="s">
        <v>762</v>
      </c>
      <c r="AW206" s="433" t="s">
        <v>762</v>
      </c>
      <c r="AX206" s="433" t="s">
        <v>762</v>
      </c>
      <c r="AY206" s="433" t="s">
        <v>762</v>
      </c>
      <c r="AZ206" s="433" t="s">
        <v>762</v>
      </c>
      <c r="BA206" s="433" t="s">
        <v>762</v>
      </c>
      <c r="BB206" s="433" t="s">
        <v>762</v>
      </c>
      <c r="BC206" s="433" t="s">
        <v>762</v>
      </c>
      <c r="BD206" s="433" t="s">
        <v>762</v>
      </c>
      <c r="BE206" s="433" t="s">
        <v>762</v>
      </c>
      <c r="BF206" s="433" t="s">
        <v>762</v>
      </c>
      <c r="BG206" s="433" t="s">
        <v>762</v>
      </c>
      <c r="BH206" s="433" t="s">
        <v>762</v>
      </c>
      <c r="BI206" s="433" t="s">
        <v>762</v>
      </c>
      <c r="BJ206" s="433" t="s">
        <v>762</v>
      </c>
      <c r="BK206" s="433" t="s">
        <v>762</v>
      </c>
      <c r="BL206" s="433" t="s">
        <v>762</v>
      </c>
      <c r="BM206" s="433" t="s">
        <v>762</v>
      </c>
      <c r="BN206" s="433" t="s">
        <v>762</v>
      </c>
      <c r="BO206" s="433" t="s">
        <v>762</v>
      </c>
      <c r="BP206" s="433" t="s">
        <v>762</v>
      </c>
      <c r="BQ206" s="433" t="s">
        <v>762</v>
      </c>
      <c r="BR206" s="433" t="s">
        <v>762</v>
      </c>
      <c r="BS206" s="433" t="s">
        <v>762</v>
      </c>
      <c r="BT206" s="433" t="s">
        <v>762</v>
      </c>
      <c r="BU206" s="433" t="s">
        <v>762</v>
      </c>
      <c r="BV206" s="433" t="s">
        <v>762</v>
      </c>
      <c r="BW206" s="433" t="s">
        <v>762</v>
      </c>
      <c r="BX206" s="433" t="s">
        <v>762</v>
      </c>
      <c r="BY206" s="433" t="s">
        <v>762</v>
      </c>
      <c r="BZ206" s="433" t="s">
        <v>762</v>
      </c>
      <c r="CA206" s="433" t="s">
        <v>762</v>
      </c>
      <c r="CB206" s="433" t="s">
        <v>762</v>
      </c>
      <c r="CC206" s="433" t="s">
        <v>762</v>
      </c>
      <c r="CD206" s="433" t="s">
        <v>762</v>
      </c>
      <c r="CE206" s="433" t="s">
        <v>762</v>
      </c>
      <c r="CF206" s="433" t="s">
        <v>762</v>
      </c>
      <c r="CG206" s="239" t="s">
        <v>762</v>
      </c>
      <c r="CH206" s="239" t="s">
        <v>762</v>
      </c>
      <c r="CI206" s="239" t="s">
        <v>762</v>
      </c>
      <c r="CJ206" s="239" t="s">
        <v>762</v>
      </c>
      <c r="CK206" s="239" t="s">
        <v>762</v>
      </c>
      <c r="CL206" s="239" t="s">
        <v>762</v>
      </c>
    </row>
    <row r="207" spans="1:90" s="434" customFormat="1">
      <c r="A207" s="239" t="s">
        <v>601</v>
      </c>
      <c r="B207" s="239" t="s">
        <v>626</v>
      </c>
      <c r="C207" s="433">
        <f>C$576</f>
        <v>58.589999999999996</v>
      </c>
      <c r="D207" s="433">
        <f t="shared" ref="D207:AD209" si="168">D$576</f>
        <v>58.589999999999996</v>
      </c>
      <c r="E207" s="433">
        <f t="shared" si="168"/>
        <v>58.589999999999996</v>
      </c>
      <c r="F207" s="433">
        <f t="shared" si="168"/>
        <v>58.589999999999996</v>
      </c>
      <c r="G207" s="433">
        <f t="shared" si="168"/>
        <v>58.589999999999996</v>
      </c>
      <c r="H207" s="433">
        <f t="shared" si="168"/>
        <v>58.589999999999996</v>
      </c>
      <c r="I207" s="433">
        <f t="shared" si="168"/>
        <v>58.589999999999996</v>
      </c>
      <c r="J207" s="433">
        <f t="shared" si="168"/>
        <v>58.589999999999996</v>
      </c>
      <c r="K207" s="433">
        <f t="shared" si="168"/>
        <v>58.589999999999996</v>
      </c>
      <c r="L207" s="433">
        <f t="shared" si="168"/>
        <v>58.589999999999996</v>
      </c>
      <c r="M207" s="433">
        <f t="shared" si="168"/>
        <v>58.589999999999996</v>
      </c>
      <c r="N207" s="433">
        <f t="shared" si="168"/>
        <v>58.589999999999996</v>
      </c>
      <c r="O207" s="433">
        <f t="shared" si="168"/>
        <v>58.589999999999996</v>
      </c>
      <c r="P207" s="433">
        <f t="shared" si="168"/>
        <v>58.589999999999996</v>
      </c>
      <c r="Q207" s="433">
        <f t="shared" si="168"/>
        <v>58.589999999999996</v>
      </c>
      <c r="R207" s="433">
        <f t="shared" si="168"/>
        <v>58.589999999999996</v>
      </c>
      <c r="S207" s="433">
        <f t="shared" si="168"/>
        <v>58.589999999999996</v>
      </c>
      <c r="T207" s="433">
        <f t="shared" si="168"/>
        <v>58.589999999999996</v>
      </c>
      <c r="U207" s="433">
        <f t="shared" si="168"/>
        <v>58.589999999999996</v>
      </c>
      <c r="V207" s="433">
        <f t="shared" si="168"/>
        <v>58.589999999999996</v>
      </c>
      <c r="W207" s="433">
        <f t="shared" si="168"/>
        <v>58.589999999999996</v>
      </c>
      <c r="X207" s="433">
        <f t="shared" si="168"/>
        <v>58.589999999999996</v>
      </c>
      <c r="Y207" s="433">
        <f t="shared" si="168"/>
        <v>58.589999999999996</v>
      </c>
      <c r="Z207" s="433">
        <f t="shared" si="168"/>
        <v>58.589999999999996</v>
      </c>
      <c r="AA207" s="433">
        <f t="shared" si="168"/>
        <v>58.589999999999996</v>
      </c>
      <c r="AB207" s="433">
        <f t="shared" si="168"/>
        <v>58.589999999999996</v>
      </c>
      <c r="AC207" s="433">
        <f t="shared" si="168"/>
        <v>58.589999999999996</v>
      </c>
      <c r="AD207" s="433">
        <f t="shared" si="168"/>
        <v>58.589999999999996</v>
      </c>
      <c r="AE207" s="433">
        <f t="shared" ref="AE207:BP207" si="169">AD$576</f>
        <v>58.589999999999996</v>
      </c>
      <c r="AF207" s="433">
        <f t="shared" si="169"/>
        <v>83.100000000000009</v>
      </c>
      <c r="AG207" s="433">
        <f t="shared" si="169"/>
        <v>83.100000000000009</v>
      </c>
      <c r="AH207" s="433">
        <f t="shared" si="169"/>
        <v>83.100000000000009</v>
      </c>
      <c r="AI207" s="433">
        <f t="shared" si="169"/>
        <v>135.99</v>
      </c>
      <c r="AJ207" s="433">
        <f t="shared" si="169"/>
        <v>135.99</v>
      </c>
      <c r="AK207" s="433">
        <f t="shared" si="169"/>
        <v>135.99</v>
      </c>
      <c r="AL207" s="433">
        <f t="shared" si="169"/>
        <v>173.4</v>
      </c>
      <c r="AM207" s="433">
        <f t="shared" si="169"/>
        <v>173.4</v>
      </c>
      <c r="AN207" s="433">
        <f t="shared" si="169"/>
        <v>173.4</v>
      </c>
      <c r="AO207" s="433">
        <f t="shared" si="169"/>
        <v>173.4</v>
      </c>
      <c r="AP207" s="433">
        <f t="shared" si="169"/>
        <v>195.33</v>
      </c>
      <c r="AQ207" s="433">
        <f t="shared" si="169"/>
        <v>195.33</v>
      </c>
      <c r="AR207" s="433">
        <f t="shared" si="169"/>
        <v>195.33</v>
      </c>
      <c r="AS207" s="433">
        <f t="shared" si="169"/>
        <v>195.33</v>
      </c>
      <c r="AT207" s="433">
        <f t="shared" si="169"/>
        <v>218.55</v>
      </c>
      <c r="AU207" s="433">
        <f t="shared" si="169"/>
        <v>218.55</v>
      </c>
      <c r="AV207" s="433">
        <f t="shared" si="169"/>
        <v>218.55</v>
      </c>
      <c r="AW207" s="433">
        <f t="shared" si="169"/>
        <v>218.55</v>
      </c>
      <c r="AX207" s="433">
        <f t="shared" si="169"/>
        <v>232.74</v>
      </c>
      <c r="AY207" s="433">
        <f t="shared" si="169"/>
        <v>232.74</v>
      </c>
      <c r="AZ207" s="433">
        <f t="shared" si="169"/>
        <v>232.74</v>
      </c>
      <c r="BA207" s="433">
        <f t="shared" si="169"/>
        <v>232.74</v>
      </c>
      <c r="BB207" s="433">
        <f t="shared" si="169"/>
        <v>232.74</v>
      </c>
      <c r="BC207" s="433">
        <f t="shared" si="169"/>
        <v>232.74</v>
      </c>
      <c r="BD207" s="433">
        <f t="shared" si="169"/>
        <v>232.74</v>
      </c>
      <c r="BE207" s="433">
        <f t="shared" si="169"/>
        <v>232.74</v>
      </c>
      <c r="BF207" s="433">
        <f t="shared" si="169"/>
        <v>232.74</v>
      </c>
      <c r="BG207" s="433">
        <f t="shared" si="169"/>
        <v>258.85200000000003</v>
      </c>
      <c r="BH207" s="433">
        <f t="shared" si="169"/>
        <v>282.38400000000001</v>
      </c>
      <c r="BI207" s="433">
        <f t="shared" si="169"/>
        <v>294.14999999999998</v>
      </c>
      <c r="BJ207" s="433">
        <f t="shared" si="169"/>
        <v>305.916</v>
      </c>
      <c r="BK207" s="433">
        <f t="shared" si="169"/>
        <v>329.44800000000004</v>
      </c>
      <c r="BL207" s="433">
        <f t="shared" si="169"/>
        <v>352.98000000000008</v>
      </c>
      <c r="BM207" s="433">
        <f t="shared" si="169"/>
        <v>376.51200000000006</v>
      </c>
      <c r="BN207" s="433">
        <f t="shared" si="169"/>
        <v>400.04400000000004</v>
      </c>
      <c r="BO207" s="433">
        <f t="shared" si="169"/>
        <v>411.81000000000006</v>
      </c>
      <c r="BP207" s="433">
        <f t="shared" si="169"/>
        <v>423.57600000000008</v>
      </c>
      <c r="BQ207" s="433">
        <f t="shared" ref="BQ207:CF209" si="170">BP$576</f>
        <v>447.10800000000006</v>
      </c>
      <c r="BR207" s="433">
        <f t="shared" si="170"/>
        <v>367.44</v>
      </c>
      <c r="BS207" s="433">
        <f t="shared" si="170"/>
        <v>413.37</v>
      </c>
      <c r="BT207" s="433">
        <f t="shared" si="170"/>
        <v>459.3</v>
      </c>
      <c r="BU207" s="433">
        <f t="shared" si="170"/>
        <v>505.23</v>
      </c>
      <c r="BV207" s="433">
        <f t="shared" si="170"/>
        <v>435.06000000000006</v>
      </c>
      <c r="BW207" s="433">
        <f t="shared" si="170"/>
        <v>507.57000000000005</v>
      </c>
      <c r="BX207" s="433">
        <f t="shared" si="170"/>
        <v>580.08000000000004</v>
      </c>
      <c r="BY207" s="433">
        <f t="shared" si="170"/>
        <v>652.59</v>
      </c>
      <c r="BZ207" s="433">
        <f t="shared" si="170"/>
        <v>467.1</v>
      </c>
      <c r="CA207" s="433">
        <f t="shared" si="170"/>
        <v>513.80999999999995</v>
      </c>
      <c r="CB207" s="433">
        <f t="shared" si="170"/>
        <v>560.52</v>
      </c>
      <c r="CC207" s="433">
        <f t="shared" si="170"/>
        <v>563.6400000000001</v>
      </c>
      <c r="CD207" s="433">
        <f t="shared" si="170"/>
        <v>644.16000000000008</v>
      </c>
      <c r="CE207" s="433">
        <f t="shared" si="170"/>
        <v>724.68000000000006</v>
      </c>
      <c r="CF207" s="433">
        <f t="shared" si="170"/>
        <v>676.45800000000008</v>
      </c>
      <c r="CG207" s="239" t="s">
        <v>762</v>
      </c>
      <c r="CH207" s="239" t="s">
        <v>762</v>
      </c>
      <c r="CI207" s="239" t="s">
        <v>762</v>
      </c>
      <c r="CJ207" s="239" t="s">
        <v>762</v>
      </c>
      <c r="CK207" s="239" t="s">
        <v>762</v>
      </c>
      <c r="CL207" s="239" t="s">
        <v>762</v>
      </c>
    </row>
    <row r="208" spans="1:90" s="434" customFormat="1">
      <c r="A208" s="239" t="s">
        <v>602</v>
      </c>
      <c r="B208" s="239" t="s">
        <v>626</v>
      </c>
      <c r="C208" s="433">
        <f t="shared" ref="C208:AD208" si="171">B928</f>
        <v>90</v>
      </c>
      <c r="D208" s="433">
        <f t="shared" si="171"/>
        <v>90</v>
      </c>
      <c r="E208" s="433">
        <f t="shared" si="171"/>
        <v>90</v>
      </c>
      <c r="F208" s="433">
        <f t="shared" si="171"/>
        <v>90</v>
      </c>
      <c r="G208" s="433">
        <f t="shared" si="171"/>
        <v>90</v>
      </c>
      <c r="H208" s="433">
        <f t="shared" si="171"/>
        <v>90</v>
      </c>
      <c r="I208" s="433">
        <f t="shared" si="171"/>
        <v>90</v>
      </c>
      <c r="J208" s="433">
        <f t="shared" si="171"/>
        <v>90</v>
      </c>
      <c r="K208" s="433">
        <f t="shared" si="171"/>
        <v>90</v>
      </c>
      <c r="L208" s="433">
        <f t="shared" si="171"/>
        <v>90</v>
      </c>
      <c r="M208" s="433">
        <f t="shared" si="171"/>
        <v>90</v>
      </c>
      <c r="N208" s="433">
        <f t="shared" si="171"/>
        <v>90</v>
      </c>
      <c r="O208" s="433">
        <f t="shared" si="171"/>
        <v>90</v>
      </c>
      <c r="P208" s="433">
        <f t="shared" si="171"/>
        <v>90</v>
      </c>
      <c r="Q208" s="433">
        <f t="shared" si="171"/>
        <v>90</v>
      </c>
      <c r="R208" s="433">
        <f t="shared" si="171"/>
        <v>90</v>
      </c>
      <c r="S208" s="433">
        <f t="shared" si="171"/>
        <v>90</v>
      </c>
      <c r="T208" s="433">
        <f t="shared" si="171"/>
        <v>90</v>
      </c>
      <c r="U208" s="433">
        <f t="shared" si="171"/>
        <v>90</v>
      </c>
      <c r="V208" s="433">
        <f t="shared" si="171"/>
        <v>90</v>
      </c>
      <c r="W208" s="433">
        <f t="shared" si="171"/>
        <v>90</v>
      </c>
      <c r="X208" s="433">
        <f t="shared" si="171"/>
        <v>90</v>
      </c>
      <c r="Y208" s="433">
        <f t="shared" si="171"/>
        <v>90</v>
      </c>
      <c r="Z208" s="433">
        <f t="shared" si="171"/>
        <v>90</v>
      </c>
      <c r="AA208" s="433">
        <f t="shared" si="171"/>
        <v>90</v>
      </c>
      <c r="AB208" s="433">
        <f t="shared" si="171"/>
        <v>90</v>
      </c>
      <c r="AC208" s="433">
        <f t="shared" si="171"/>
        <v>90</v>
      </c>
      <c r="AD208" s="433">
        <f t="shared" si="171"/>
        <v>90</v>
      </c>
      <c r="AE208" s="433">
        <f t="shared" ref="AE208:AJ208" si="172">AC928</f>
        <v>90</v>
      </c>
      <c r="AF208" s="433">
        <f t="shared" si="172"/>
        <v>112</v>
      </c>
      <c r="AG208" s="433">
        <f t="shared" si="172"/>
        <v>112</v>
      </c>
      <c r="AH208" s="433">
        <f t="shared" si="172"/>
        <v>112</v>
      </c>
      <c r="AI208" s="433">
        <f t="shared" si="172"/>
        <v>112</v>
      </c>
      <c r="AJ208" s="433">
        <f t="shared" si="172"/>
        <v>112</v>
      </c>
      <c r="AK208" s="433">
        <f t="shared" ref="AK208:BO208" si="173">AI927</f>
        <v>112</v>
      </c>
      <c r="AL208" s="433">
        <f t="shared" si="173"/>
        <v>112</v>
      </c>
      <c r="AM208" s="433">
        <f t="shared" si="173"/>
        <v>112</v>
      </c>
      <c r="AN208" s="433">
        <f t="shared" si="173"/>
        <v>112</v>
      </c>
      <c r="AO208" s="433">
        <f t="shared" si="173"/>
        <v>112</v>
      </c>
      <c r="AP208" s="433">
        <f t="shared" si="173"/>
        <v>112</v>
      </c>
      <c r="AQ208" s="433">
        <f t="shared" si="173"/>
        <v>112</v>
      </c>
      <c r="AR208" s="433">
        <f t="shared" si="173"/>
        <v>112</v>
      </c>
      <c r="AS208" s="433">
        <f t="shared" si="173"/>
        <v>112</v>
      </c>
      <c r="AT208" s="433">
        <f t="shared" si="173"/>
        <v>112</v>
      </c>
      <c r="AU208" s="433">
        <f t="shared" si="173"/>
        <v>112</v>
      </c>
      <c r="AV208" s="433">
        <f t="shared" si="173"/>
        <v>112</v>
      </c>
      <c r="AW208" s="433">
        <f t="shared" si="173"/>
        <v>112</v>
      </c>
      <c r="AX208" s="433">
        <f t="shared" si="173"/>
        <v>112</v>
      </c>
      <c r="AY208" s="433">
        <f t="shared" si="173"/>
        <v>136</v>
      </c>
      <c r="AZ208" s="433">
        <f t="shared" si="173"/>
        <v>136</v>
      </c>
      <c r="BA208" s="433">
        <f t="shared" si="173"/>
        <v>136</v>
      </c>
      <c r="BB208" s="433">
        <f t="shared" si="173"/>
        <v>136</v>
      </c>
      <c r="BC208" s="433">
        <f t="shared" si="173"/>
        <v>136</v>
      </c>
      <c r="BD208" s="433">
        <f t="shared" si="173"/>
        <v>136</v>
      </c>
      <c r="BE208" s="433">
        <f t="shared" si="173"/>
        <v>136</v>
      </c>
      <c r="BF208" s="433">
        <f t="shared" si="173"/>
        <v>136</v>
      </c>
      <c r="BG208" s="433">
        <f t="shared" si="173"/>
        <v>158</v>
      </c>
      <c r="BH208" s="433">
        <f t="shared" si="173"/>
        <v>158</v>
      </c>
      <c r="BI208" s="433">
        <f t="shared" si="173"/>
        <v>158</v>
      </c>
      <c r="BJ208" s="433">
        <f t="shared" si="173"/>
        <v>158</v>
      </c>
      <c r="BK208" s="433">
        <f t="shared" si="173"/>
        <v>158</v>
      </c>
      <c r="BL208" s="433">
        <f t="shared" si="173"/>
        <v>158</v>
      </c>
      <c r="BM208" s="433">
        <f t="shared" si="173"/>
        <v>169</v>
      </c>
      <c r="BN208" s="433">
        <f t="shared" si="173"/>
        <v>169</v>
      </c>
      <c r="BO208" s="433">
        <f t="shared" si="173"/>
        <v>169</v>
      </c>
      <c r="BP208" s="433">
        <f t="shared" ref="BP208:CF208" si="174">BN927</f>
        <v>169</v>
      </c>
      <c r="BQ208" s="433">
        <f t="shared" si="174"/>
        <v>169</v>
      </c>
      <c r="BR208" s="433">
        <f t="shared" si="174"/>
        <v>169</v>
      </c>
      <c r="BS208" s="433">
        <f t="shared" si="174"/>
        <v>188</v>
      </c>
      <c r="BT208" s="433">
        <f t="shared" si="174"/>
        <v>188</v>
      </c>
      <c r="BU208" s="433">
        <f t="shared" si="174"/>
        <v>199</v>
      </c>
      <c r="BV208" s="433">
        <f t="shared" si="174"/>
        <v>215</v>
      </c>
      <c r="BW208" s="433">
        <f t="shared" si="174"/>
        <v>225</v>
      </c>
      <c r="BX208" s="433">
        <f t="shared" si="174"/>
        <v>241</v>
      </c>
      <c r="BY208" s="433">
        <f t="shared" si="174"/>
        <v>250</v>
      </c>
      <c r="BZ208" s="433">
        <f t="shared" si="174"/>
        <v>256</v>
      </c>
      <c r="CA208" s="433">
        <f t="shared" si="174"/>
        <v>256</v>
      </c>
      <c r="CB208" s="433">
        <f t="shared" si="174"/>
        <v>285</v>
      </c>
      <c r="CC208" s="433">
        <f t="shared" si="174"/>
        <v>316</v>
      </c>
      <c r="CD208" s="433">
        <f t="shared" si="174"/>
        <v>328</v>
      </c>
      <c r="CE208" s="433">
        <f t="shared" si="174"/>
        <v>370</v>
      </c>
      <c r="CF208" s="433">
        <f t="shared" si="174"/>
        <v>391</v>
      </c>
      <c r="CG208" s="239" t="s">
        <v>762</v>
      </c>
      <c r="CH208" s="239" t="s">
        <v>762</v>
      </c>
      <c r="CI208" s="239" t="s">
        <v>762</v>
      </c>
      <c r="CJ208" s="239" t="s">
        <v>762</v>
      </c>
      <c r="CK208" s="239" t="s">
        <v>762</v>
      </c>
      <c r="CL208" s="239" t="s">
        <v>762</v>
      </c>
    </row>
    <row r="209" spans="1:90" s="434" customFormat="1">
      <c r="A209" s="239" t="s">
        <v>603</v>
      </c>
      <c r="B209" s="239" t="s">
        <v>626</v>
      </c>
      <c r="C209" s="433">
        <f>C$576</f>
        <v>58.589999999999996</v>
      </c>
      <c r="D209" s="433">
        <f t="shared" si="168"/>
        <v>58.589999999999996</v>
      </c>
      <c r="E209" s="433">
        <f t="shared" si="168"/>
        <v>58.589999999999996</v>
      </c>
      <c r="F209" s="433">
        <f t="shared" si="168"/>
        <v>58.589999999999996</v>
      </c>
      <c r="G209" s="433">
        <f t="shared" si="168"/>
        <v>58.589999999999996</v>
      </c>
      <c r="H209" s="433">
        <f t="shared" si="168"/>
        <v>58.589999999999996</v>
      </c>
      <c r="I209" s="433">
        <f t="shared" si="168"/>
        <v>58.589999999999996</v>
      </c>
      <c r="J209" s="433">
        <f t="shared" si="168"/>
        <v>58.589999999999996</v>
      </c>
      <c r="K209" s="433">
        <f t="shared" si="168"/>
        <v>58.589999999999996</v>
      </c>
      <c r="L209" s="433">
        <f t="shared" si="168"/>
        <v>58.589999999999996</v>
      </c>
      <c r="M209" s="433">
        <f t="shared" si="168"/>
        <v>58.589999999999996</v>
      </c>
      <c r="N209" s="433">
        <f t="shared" si="168"/>
        <v>58.589999999999996</v>
      </c>
      <c r="O209" s="433">
        <f t="shared" si="168"/>
        <v>58.589999999999996</v>
      </c>
      <c r="P209" s="433">
        <f t="shared" si="168"/>
        <v>58.589999999999996</v>
      </c>
      <c r="Q209" s="433">
        <f t="shared" si="168"/>
        <v>58.589999999999996</v>
      </c>
      <c r="R209" s="433">
        <f t="shared" si="168"/>
        <v>58.589999999999996</v>
      </c>
      <c r="S209" s="433">
        <f t="shared" si="168"/>
        <v>58.589999999999996</v>
      </c>
      <c r="T209" s="433">
        <f t="shared" si="168"/>
        <v>58.589999999999996</v>
      </c>
      <c r="U209" s="433">
        <f t="shared" si="168"/>
        <v>58.589999999999996</v>
      </c>
      <c r="V209" s="433">
        <f t="shared" si="168"/>
        <v>58.589999999999996</v>
      </c>
      <c r="W209" s="433">
        <f t="shared" si="168"/>
        <v>58.589999999999996</v>
      </c>
      <c r="X209" s="433">
        <f t="shared" si="168"/>
        <v>58.589999999999996</v>
      </c>
      <c r="Y209" s="433">
        <f t="shared" si="168"/>
        <v>58.589999999999996</v>
      </c>
      <c r="Z209" s="433">
        <f t="shared" si="168"/>
        <v>58.589999999999996</v>
      </c>
      <c r="AA209" s="433">
        <f t="shared" si="168"/>
        <v>58.589999999999996</v>
      </c>
      <c r="AB209" s="433">
        <f t="shared" si="168"/>
        <v>58.589999999999996</v>
      </c>
      <c r="AC209" s="433">
        <f t="shared" si="168"/>
        <v>58.589999999999996</v>
      </c>
      <c r="AD209" s="433">
        <f t="shared" si="168"/>
        <v>58.589999999999996</v>
      </c>
      <c r="AE209" s="433">
        <f t="shared" ref="AE209:BP209" si="175">AD$576</f>
        <v>58.589999999999996</v>
      </c>
      <c r="AF209" s="433">
        <f t="shared" si="175"/>
        <v>83.100000000000009</v>
      </c>
      <c r="AG209" s="433">
        <f t="shared" si="175"/>
        <v>83.100000000000009</v>
      </c>
      <c r="AH209" s="433">
        <f t="shared" si="175"/>
        <v>83.100000000000009</v>
      </c>
      <c r="AI209" s="433">
        <f t="shared" si="175"/>
        <v>135.99</v>
      </c>
      <c r="AJ209" s="433">
        <f t="shared" si="175"/>
        <v>135.99</v>
      </c>
      <c r="AK209" s="433">
        <f t="shared" si="175"/>
        <v>135.99</v>
      </c>
      <c r="AL209" s="433">
        <f t="shared" si="175"/>
        <v>173.4</v>
      </c>
      <c r="AM209" s="433">
        <f t="shared" si="175"/>
        <v>173.4</v>
      </c>
      <c r="AN209" s="433">
        <f t="shared" si="175"/>
        <v>173.4</v>
      </c>
      <c r="AO209" s="433">
        <f t="shared" si="175"/>
        <v>173.4</v>
      </c>
      <c r="AP209" s="433">
        <f t="shared" si="175"/>
        <v>195.33</v>
      </c>
      <c r="AQ209" s="433">
        <f t="shared" si="175"/>
        <v>195.33</v>
      </c>
      <c r="AR209" s="433">
        <f t="shared" si="175"/>
        <v>195.33</v>
      </c>
      <c r="AS209" s="433">
        <f t="shared" si="175"/>
        <v>195.33</v>
      </c>
      <c r="AT209" s="433">
        <f t="shared" si="175"/>
        <v>218.55</v>
      </c>
      <c r="AU209" s="433">
        <f t="shared" si="175"/>
        <v>218.55</v>
      </c>
      <c r="AV209" s="433">
        <f t="shared" si="175"/>
        <v>218.55</v>
      </c>
      <c r="AW209" s="433">
        <f t="shared" si="175"/>
        <v>218.55</v>
      </c>
      <c r="AX209" s="433">
        <f t="shared" si="175"/>
        <v>232.74</v>
      </c>
      <c r="AY209" s="433">
        <f t="shared" si="175"/>
        <v>232.74</v>
      </c>
      <c r="AZ209" s="433">
        <f t="shared" si="175"/>
        <v>232.74</v>
      </c>
      <c r="BA209" s="433">
        <f t="shared" si="175"/>
        <v>232.74</v>
      </c>
      <c r="BB209" s="433">
        <f t="shared" si="175"/>
        <v>232.74</v>
      </c>
      <c r="BC209" s="433">
        <f t="shared" si="175"/>
        <v>232.74</v>
      </c>
      <c r="BD209" s="433">
        <f t="shared" si="175"/>
        <v>232.74</v>
      </c>
      <c r="BE209" s="433">
        <f t="shared" si="175"/>
        <v>232.74</v>
      </c>
      <c r="BF209" s="433">
        <f t="shared" si="175"/>
        <v>232.74</v>
      </c>
      <c r="BG209" s="433">
        <f t="shared" si="175"/>
        <v>258.85200000000003</v>
      </c>
      <c r="BH209" s="433">
        <f t="shared" si="175"/>
        <v>282.38400000000001</v>
      </c>
      <c r="BI209" s="433">
        <f t="shared" si="175"/>
        <v>294.14999999999998</v>
      </c>
      <c r="BJ209" s="433">
        <f t="shared" si="175"/>
        <v>305.916</v>
      </c>
      <c r="BK209" s="433">
        <f t="shared" si="175"/>
        <v>329.44800000000004</v>
      </c>
      <c r="BL209" s="433">
        <f t="shared" si="175"/>
        <v>352.98000000000008</v>
      </c>
      <c r="BM209" s="433">
        <f t="shared" si="175"/>
        <v>376.51200000000006</v>
      </c>
      <c r="BN209" s="433">
        <f t="shared" si="175"/>
        <v>400.04400000000004</v>
      </c>
      <c r="BO209" s="433">
        <f t="shared" si="175"/>
        <v>411.81000000000006</v>
      </c>
      <c r="BP209" s="433">
        <f t="shared" si="175"/>
        <v>423.57600000000008</v>
      </c>
      <c r="BQ209" s="433">
        <f t="shared" si="170"/>
        <v>447.10800000000006</v>
      </c>
      <c r="BR209" s="433">
        <f t="shared" si="170"/>
        <v>367.44</v>
      </c>
      <c r="BS209" s="433">
        <f t="shared" si="170"/>
        <v>413.37</v>
      </c>
      <c r="BT209" s="433">
        <f t="shared" si="170"/>
        <v>459.3</v>
      </c>
      <c r="BU209" s="433">
        <f t="shared" si="170"/>
        <v>505.23</v>
      </c>
      <c r="BV209" s="433">
        <f t="shared" si="170"/>
        <v>435.06000000000006</v>
      </c>
      <c r="BW209" s="433">
        <f t="shared" si="170"/>
        <v>507.57000000000005</v>
      </c>
      <c r="BX209" s="433">
        <f t="shared" si="170"/>
        <v>580.08000000000004</v>
      </c>
      <c r="BY209" s="433">
        <f t="shared" si="170"/>
        <v>652.59</v>
      </c>
      <c r="BZ209" s="433">
        <f t="shared" si="170"/>
        <v>467.1</v>
      </c>
      <c r="CA209" s="433">
        <f t="shared" si="170"/>
        <v>513.80999999999995</v>
      </c>
      <c r="CB209" s="433">
        <f t="shared" si="170"/>
        <v>560.52</v>
      </c>
      <c r="CC209" s="433">
        <f t="shared" si="170"/>
        <v>563.6400000000001</v>
      </c>
      <c r="CD209" s="433">
        <f t="shared" si="170"/>
        <v>644.16000000000008</v>
      </c>
      <c r="CE209" s="433">
        <f t="shared" si="170"/>
        <v>724.68000000000006</v>
      </c>
      <c r="CF209" s="433">
        <f t="shared" si="170"/>
        <v>676.45800000000008</v>
      </c>
      <c r="CG209" s="239" t="s">
        <v>762</v>
      </c>
      <c r="CH209" s="239" t="s">
        <v>762</v>
      </c>
      <c r="CI209" s="239" t="s">
        <v>762</v>
      </c>
      <c r="CJ209" s="239" t="s">
        <v>762</v>
      </c>
      <c r="CK209" s="239" t="s">
        <v>762</v>
      </c>
      <c r="CL209" s="239" t="s">
        <v>762</v>
      </c>
    </row>
    <row r="210" spans="1:90" s="434" customFormat="1">
      <c r="A210" s="239" t="s">
        <v>604</v>
      </c>
      <c r="B210" s="239" t="s">
        <v>626</v>
      </c>
      <c r="C210" s="433">
        <f>C$576</f>
        <v>58.589999999999996</v>
      </c>
      <c r="D210" s="433">
        <f t="shared" ref="D210:AD210" si="176">D$576</f>
        <v>58.589999999999996</v>
      </c>
      <c r="E210" s="433">
        <f t="shared" si="176"/>
        <v>58.589999999999996</v>
      </c>
      <c r="F210" s="433">
        <f t="shared" si="176"/>
        <v>58.589999999999996</v>
      </c>
      <c r="G210" s="433">
        <f t="shared" si="176"/>
        <v>58.589999999999996</v>
      </c>
      <c r="H210" s="433">
        <f t="shared" si="176"/>
        <v>58.589999999999996</v>
      </c>
      <c r="I210" s="433">
        <f t="shared" si="176"/>
        <v>58.589999999999996</v>
      </c>
      <c r="J210" s="433">
        <f t="shared" si="176"/>
        <v>58.589999999999996</v>
      </c>
      <c r="K210" s="433">
        <f t="shared" si="176"/>
        <v>58.589999999999996</v>
      </c>
      <c r="L210" s="433">
        <f t="shared" si="176"/>
        <v>58.589999999999996</v>
      </c>
      <c r="M210" s="433">
        <f t="shared" si="176"/>
        <v>58.589999999999996</v>
      </c>
      <c r="N210" s="433">
        <f t="shared" si="176"/>
        <v>58.589999999999996</v>
      </c>
      <c r="O210" s="433">
        <f t="shared" si="176"/>
        <v>58.589999999999996</v>
      </c>
      <c r="P210" s="433">
        <f t="shared" si="176"/>
        <v>58.589999999999996</v>
      </c>
      <c r="Q210" s="433">
        <f t="shared" si="176"/>
        <v>58.589999999999996</v>
      </c>
      <c r="R210" s="433">
        <f t="shared" si="176"/>
        <v>58.589999999999996</v>
      </c>
      <c r="S210" s="433">
        <f t="shared" si="176"/>
        <v>58.589999999999996</v>
      </c>
      <c r="T210" s="433">
        <f t="shared" si="176"/>
        <v>58.589999999999996</v>
      </c>
      <c r="U210" s="433">
        <f t="shared" si="176"/>
        <v>58.589999999999996</v>
      </c>
      <c r="V210" s="433">
        <f t="shared" si="176"/>
        <v>58.589999999999996</v>
      </c>
      <c r="W210" s="433">
        <f t="shared" si="176"/>
        <v>58.589999999999996</v>
      </c>
      <c r="X210" s="433">
        <f t="shared" si="176"/>
        <v>58.589999999999996</v>
      </c>
      <c r="Y210" s="433">
        <f t="shared" si="176"/>
        <v>58.589999999999996</v>
      </c>
      <c r="Z210" s="433">
        <f t="shared" si="176"/>
        <v>58.589999999999996</v>
      </c>
      <c r="AA210" s="433">
        <f t="shared" si="176"/>
        <v>58.589999999999996</v>
      </c>
      <c r="AB210" s="433">
        <f t="shared" si="176"/>
        <v>58.589999999999996</v>
      </c>
      <c r="AC210" s="433">
        <f t="shared" si="176"/>
        <v>58.589999999999996</v>
      </c>
      <c r="AD210" s="433">
        <f t="shared" si="176"/>
        <v>58.589999999999996</v>
      </c>
      <c r="AE210" s="433">
        <f t="shared" ref="AE210:BP210" si="177">AD$576</f>
        <v>58.589999999999996</v>
      </c>
      <c r="AF210" s="433">
        <f t="shared" si="177"/>
        <v>83.100000000000009</v>
      </c>
      <c r="AG210" s="433">
        <f t="shared" si="177"/>
        <v>83.100000000000009</v>
      </c>
      <c r="AH210" s="433">
        <f t="shared" si="177"/>
        <v>83.100000000000009</v>
      </c>
      <c r="AI210" s="433">
        <f t="shared" si="177"/>
        <v>135.99</v>
      </c>
      <c r="AJ210" s="433">
        <f t="shared" si="177"/>
        <v>135.99</v>
      </c>
      <c r="AK210" s="433">
        <f t="shared" si="177"/>
        <v>135.99</v>
      </c>
      <c r="AL210" s="433">
        <f t="shared" si="177"/>
        <v>173.4</v>
      </c>
      <c r="AM210" s="433">
        <f t="shared" si="177"/>
        <v>173.4</v>
      </c>
      <c r="AN210" s="433">
        <f t="shared" si="177"/>
        <v>173.4</v>
      </c>
      <c r="AO210" s="433">
        <f t="shared" si="177"/>
        <v>173.4</v>
      </c>
      <c r="AP210" s="433">
        <f t="shared" si="177"/>
        <v>195.33</v>
      </c>
      <c r="AQ210" s="433">
        <f t="shared" si="177"/>
        <v>195.33</v>
      </c>
      <c r="AR210" s="433">
        <f t="shared" si="177"/>
        <v>195.33</v>
      </c>
      <c r="AS210" s="433">
        <f t="shared" si="177"/>
        <v>195.33</v>
      </c>
      <c r="AT210" s="433">
        <f t="shared" si="177"/>
        <v>218.55</v>
      </c>
      <c r="AU210" s="433">
        <f t="shared" si="177"/>
        <v>218.55</v>
      </c>
      <c r="AV210" s="433">
        <f t="shared" si="177"/>
        <v>218.55</v>
      </c>
      <c r="AW210" s="433">
        <f t="shared" si="177"/>
        <v>218.55</v>
      </c>
      <c r="AX210" s="433">
        <f t="shared" si="177"/>
        <v>232.74</v>
      </c>
      <c r="AY210" s="433">
        <f t="shared" si="177"/>
        <v>232.74</v>
      </c>
      <c r="AZ210" s="433">
        <f t="shared" si="177"/>
        <v>232.74</v>
      </c>
      <c r="BA210" s="433">
        <f t="shared" si="177"/>
        <v>232.74</v>
      </c>
      <c r="BB210" s="433">
        <f t="shared" si="177"/>
        <v>232.74</v>
      </c>
      <c r="BC210" s="433">
        <f t="shared" si="177"/>
        <v>232.74</v>
      </c>
      <c r="BD210" s="433">
        <f t="shared" si="177"/>
        <v>232.74</v>
      </c>
      <c r="BE210" s="433">
        <f t="shared" si="177"/>
        <v>232.74</v>
      </c>
      <c r="BF210" s="433">
        <f t="shared" si="177"/>
        <v>232.74</v>
      </c>
      <c r="BG210" s="433">
        <f t="shared" si="177"/>
        <v>258.85200000000003</v>
      </c>
      <c r="BH210" s="433">
        <f t="shared" si="177"/>
        <v>282.38400000000001</v>
      </c>
      <c r="BI210" s="433">
        <f t="shared" si="177"/>
        <v>294.14999999999998</v>
      </c>
      <c r="BJ210" s="433">
        <f t="shared" si="177"/>
        <v>305.916</v>
      </c>
      <c r="BK210" s="433">
        <f t="shared" si="177"/>
        <v>329.44800000000004</v>
      </c>
      <c r="BL210" s="433">
        <f t="shared" si="177"/>
        <v>352.98000000000008</v>
      </c>
      <c r="BM210" s="433">
        <f t="shared" si="177"/>
        <v>376.51200000000006</v>
      </c>
      <c r="BN210" s="433">
        <f t="shared" si="177"/>
        <v>400.04400000000004</v>
      </c>
      <c r="BO210" s="433">
        <f t="shared" si="177"/>
        <v>411.81000000000006</v>
      </c>
      <c r="BP210" s="433">
        <f t="shared" si="177"/>
        <v>423.57600000000008</v>
      </c>
      <c r="BQ210" s="433">
        <f t="shared" ref="BQ210:CF210" si="178">BP$576</f>
        <v>447.10800000000006</v>
      </c>
      <c r="BR210" s="433">
        <f t="shared" si="178"/>
        <v>367.44</v>
      </c>
      <c r="BS210" s="433">
        <f t="shared" si="178"/>
        <v>413.37</v>
      </c>
      <c r="BT210" s="433">
        <f t="shared" si="178"/>
        <v>459.3</v>
      </c>
      <c r="BU210" s="433">
        <f t="shared" si="178"/>
        <v>505.23</v>
      </c>
      <c r="BV210" s="433">
        <f t="shared" si="178"/>
        <v>435.06000000000006</v>
      </c>
      <c r="BW210" s="433">
        <f t="shared" si="178"/>
        <v>507.57000000000005</v>
      </c>
      <c r="BX210" s="433">
        <f t="shared" si="178"/>
        <v>580.08000000000004</v>
      </c>
      <c r="BY210" s="433">
        <f t="shared" si="178"/>
        <v>652.59</v>
      </c>
      <c r="BZ210" s="433">
        <f t="shared" si="178"/>
        <v>467.1</v>
      </c>
      <c r="CA210" s="433">
        <f t="shared" si="178"/>
        <v>513.80999999999995</v>
      </c>
      <c r="CB210" s="433">
        <f t="shared" si="178"/>
        <v>560.52</v>
      </c>
      <c r="CC210" s="433">
        <f t="shared" si="178"/>
        <v>563.6400000000001</v>
      </c>
      <c r="CD210" s="433">
        <f t="shared" si="178"/>
        <v>644.16000000000008</v>
      </c>
      <c r="CE210" s="433">
        <f t="shared" si="178"/>
        <v>724.68000000000006</v>
      </c>
      <c r="CF210" s="433">
        <f t="shared" si="178"/>
        <v>676.45800000000008</v>
      </c>
      <c r="CG210" s="239" t="s">
        <v>762</v>
      </c>
      <c r="CH210" s="239" t="s">
        <v>762</v>
      </c>
      <c r="CI210" s="239" t="s">
        <v>762</v>
      </c>
      <c r="CJ210" s="239" t="s">
        <v>762</v>
      </c>
      <c r="CK210" s="239" t="s">
        <v>762</v>
      </c>
      <c r="CL210" s="239" t="s">
        <v>762</v>
      </c>
    </row>
    <row r="211" spans="1:90" s="434" customFormat="1">
      <c r="A211" s="239" t="s">
        <v>605</v>
      </c>
      <c r="B211" s="239" t="s">
        <v>626</v>
      </c>
      <c r="C211" s="433" t="s">
        <v>762</v>
      </c>
      <c r="D211" s="433" t="s">
        <v>762</v>
      </c>
      <c r="E211" s="433" t="s">
        <v>762</v>
      </c>
      <c r="F211" s="433" t="s">
        <v>762</v>
      </c>
      <c r="G211" s="433" t="s">
        <v>762</v>
      </c>
      <c r="H211" s="433" t="s">
        <v>762</v>
      </c>
      <c r="I211" s="433" t="s">
        <v>762</v>
      </c>
      <c r="J211" s="433" t="s">
        <v>762</v>
      </c>
      <c r="K211" s="433" t="s">
        <v>762</v>
      </c>
      <c r="L211" s="433" t="s">
        <v>762</v>
      </c>
      <c r="M211" s="433" t="s">
        <v>762</v>
      </c>
      <c r="N211" s="433" t="s">
        <v>762</v>
      </c>
      <c r="O211" s="433" t="s">
        <v>762</v>
      </c>
      <c r="P211" s="433" t="s">
        <v>762</v>
      </c>
      <c r="Q211" s="433" t="s">
        <v>762</v>
      </c>
      <c r="R211" s="433" t="s">
        <v>762</v>
      </c>
      <c r="S211" s="433" t="s">
        <v>762</v>
      </c>
      <c r="T211" s="433" t="s">
        <v>762</v>
      </c>
      <c r="U211" s="433" t="s">
        <v>762</v>
      </c>
      <c r="V211" s="433" t="s">
        <v>762</v>
      </c>
      <c r="W211" s="433" t="s">
        <v>762</v>
      </c>
      <c r="X211" s="433" t="s">
        <v>762</v>
      </c>
      <c r="Y211" s="433" t="s">
        <v>762</v>
      </c>
      <c r="Z211" s="433" t="s">
        <v>762</v>
      </c>
      <c r="AA211" s="433" t="s">
        <v>762</v>
      </c>
      <c r="AB211" s="433" t="s">
        <v>762</v>
      </c>
      <c r="AC211" s="433" t="s">
        <v>762</v>
      </c>
      <c r="AD211" s="433" t="s">
        <v>762</v>
      </c>
      <c r="AE211" s="433" t="s">
        <v>762</v>
      </c>
      <c r="AF211" s="433" t="s">
        <v>762</v>
      </c>
      <c r="AG211" s="433" t="s">
        <v>762</v>
      </c>
      <c r="AH211" s="433" t="s">
        <v>762</v>
      </c>
      <c r="AI211" s="433" t="s">
        <v>762</v>
      </c>
      <c r="AJ211" s="433" t="s">
        <v>762</v>
      </c>
      <c r="AK211" s="433" t="s">
        <v>762</v>
      </c>
      <c r="AL211" s="433" t="s">
        <v>762</v>
      </c>
      <c r="AM211" s="433" t="s">
        <v>762</v>
      </c>
      <c r="AN211" s="433" t="s">
        <v>762</v>
      </c>
      <c r="AO211" s="433" t="s">
        <v>762</v>
      </c>
      <c r="AP211" s="433" t="s">
        <v>762</v>
      </c>
      <c r="AQ211" s="433" t="s">
        <v>762</v>
      </c>
      <c r="AR211" s="433" t="s">
        <v>762</v>
      </c>
      <c r="AS211" s="433" t="s">
        <v>762</v>
      </c>
      <c r="AT211" s="433" t="s">
        <v>762</v>
      </c>
      <c r="AU211" s="433" t="s">
        <v>762</v>
      </c>
      <c r="AV211" s="433" t="s">
        <v>762</v>
      </c>
      <c r="AW211" s="433" t="s">
        <v>762</v>
      </c>
      <c r="AX211" s="433" t="s">
        <v>762</v>
      </c>
      <c r="AY211" s="433" t="s">
        <v>762</v>
      </c>
      <c r="AZ211" s="433" t="s">
        <v>762</v>
      </c>
      <c r="BA211" s="433" t="s">
        <v>762</v>
      </c>
      <c r="BB211" s="433" t="s">
        <v>762</v>
      </c>
      <c r="BC211" s="433" t="s">
        <v>762</v>
      </c>
      <c r="BD211" s="433" t="s">
        <v>762</v>
      </c>
      <c r="BE211" s="433" t="s">
        <v>762</v>
      </c>
      <c r="BF211" s="433" t="s">
        <v>762</v>
      </c>
      <c r="BG211" s="433" t="s">
        <v>762</v>
      </c>
      <c r="BH211" s="433" t="s">
        <v>762</v>
      </c>
      <c r="BI211" s="433" t="s">
        <v>762</v>
      </c>
      <c r="BJ211" s="433" t="s">
        <v>762</v>
      </c>
      <c r="BK211" s="433" t="s">
        <v>762</v>
      </c>
      <c r="BL211" s="433" t="s">
        <v>762</v>
      </c>
      <c r="BM211" s="433" t="s">
        <v>762</v>
      </c>
      <c r="BN211" s="433" t="s">
        <v>762</v>
      </c>
      <c r="BO211" s="433" t="s">
        <v>762</v>
      </c>
      <c r="BP211" s="433" t="s">
        <v>762</v>
      </c>
      <c r="BQ211" s="433" t="s">
        <v>762</v>
      </c>
      <c r="BR211" s="433" t="s">
        <v>762</v>
      </c>
      <c r="BS211" s="433" t="s">
        <v>762</v>
      </c>
      <c r="BT211" s="433" t="s">
        <v>762</v>
      </c>
      <c r="BU211" s="433" t="s">
        <v>762</v>
      </c>
      <c r="BV211" s="433" t="s">
        <v>762</v>
      </c>
      <c r="BW211" s="433" t="s">
        <v>762</v>
      </c>
      <c r="BX211" s="433" t="s">
        <v>762</v>
      </c>
      <c r="BY211" s="433" t="s">
        <v>762</v>
      </c>
      <c r="BZ211" s="433" t="s">
        <v>762</v>
      </c>
      <c r="CA211" s="433" t="s">
        <v>762</v>
      </c>
      <c r="CB211" s="433" t="s">
        <v>762</v>
      </c>
      <c r="CC211" s="433" t="s">
        <v>762</v>
      </c>
      <c r="CD211" s="433" t="s">
        <v>762</v>
      </c>
      <c r="CE211" s="433" t="s">
        <v>762</v>
      </c>
      <c r="CF211" s="433" t="s">
        <v>762</v>
      </c>
      <c r="CG211" s="239" t="s">
        <v>762</v>
      </c>
      <c r="CH211" s="239" t="s">
        <v>762</v>
      </c>
      <c r="CI211" s="239" t="s">
        <v>762</v>
      </c>
      <c r="CJ211" s="239" t="s">
        <v>762</v>
      </c>
      <c r="CK211" s="239" t="s">
        <v>762</v>
      </c>
      <c r="CL211" s="239" t="s">
        <v>762</v>
      </c>
    </row>
    <row r="212" spans="1:90" s="434" customFormat="1">
      <c r="A212" s="239" t="s">
        <v>606</v>
      </c>
      <c r="B212" s="239" t="s">
        <v>626</v>
      </c>
      <c r="C212" s="433">
        <f t="shared" ref="C212:AD212" si="179">B929</f>
        <v>162</v>
      </c>
      <c r="D212" s="433">
        <f t="shared" si="179"/>
        <v>162</v>
      </c>
      <c r="E212" s="433">
        <f t="shared" si="179"/>
        <v>162</v>
      </c>
      <c r="F212" s="433">
        <f t="shared" si="179"/>
        <v>162</v>
      </c>
      <c r="G212" s="433">
        <f t="shared" si="179"/>
        <v>162</v>
      </c>
      <c r="H212" s="433">
        <f t="shared" si="179"/>
        <v>162</v>
      </c>
      <c r="I212" s="433">
        <f t="shared" si="179"/>
        <v>162</v>
      </c>
      <c r="J212" s="433">
        <f t="shared" si="179"/>
        <v>162</v>
      </c>
      <c r="K212" s="433">
        <f t="shared" si="179"/>
        <v>162</v>
      </c>
      <c r="L212" s="433">
        <f t="shared" si="179"/>
        <v>162</v>
      </c>
      <c r="M212" s="433">
        <f t="shared" si="179"/>
        <v>162</v>
      </c>
      <c r="N212" s="433">
        <f t="shared" si="179"/>
        <v>162</v>
      </c>
      <c r="O212" s="433">
        <f t="shared" si="179"/>
        <v>162</v>
      </c>
      <c r="P212" s="433">
        <f t="shared" si="179"/>
        <v>162</v>
      </c>
      <c r="Q212" s="433">
        <f t="shared" si="179"/>
        <v>162</v>
      </c>
      <c r="R212" s="433">
        <f t="shared" si="179"/>
        <v>162</v>
      </c>
      <c r="S212" s="433">
        <f t="shared" si="179"/>
        <v>162</v>
      </c>
      <c r="T212" s="433">
        <f t="shared" si="179"/>
        <v>162</v>
      </c>
      <c r="U212" s="433">
        <f t="shared" si="179"/>
        <v>162</v>
      </c>
      <c r="V212" s="433">
        <f t="shared" si="179"/>
        <v>162</v>
      </c>
      <c r="W212" s="433">
        <f t="shared" si="179"/>
        <v>162</v>
      </c>
      <c r="X212" s="433">
        <f t="shared" si="179"/>
        <v>162</v>
      </c>
      <c r="Y212" s="433">
        <f t="shared" si="179"/>
        <v>162</v>
      </c>
      <c r="Z212" s="433">
        <f t="shared" si="179"/>
        <v>162</v>
      </c>
      <c r="AA212" s="433">
        <f t="shared" si="179"/>
        <v>162</v>
      </c>
      <c r="AB212" s="433">
        <f t="shared" si="179"/>
        <v>162</v>
      </c>
      <c r="AC212" s="433">
        <f t="shared" si="179"/>
        <v>162</v>
      </c>
      <c r="AD212" s="433">
        <f t="shared" si="179"/>
        <v>162</v>
      </c>
      <c r="AE212" s="433">
        <f t="shared" ref="AE212:AJ212" si="180">AC929</f>
        <v>162</v>
      </c>
      <c r="AF212" s="433">
        <f t="shared" si="180"/>
        <v>202</v>
      </c>
      <c r="AG212" s="433">
        <f t="shared" si="180"/>
        <v>202</v>
      </c>
      <c r="AH212" s="433">
        <f t="shared" si="180"/>
        <v>202</v>
      </c>
      <c r="AI212" s="433">
        <f t="shared" si="180"/>
        <v>202</v>
      </c>
      <c r="AJ212" s="433">
        <f t="shared" si="180"/>
        <v>202</v>
      </c>
      <c r="AK212" s="433">
        <f t="shared" ref="AK212:BO212" si="181">AI928</f>
        <v>202</v>
      </c>
      <c r="AL212" s="433">
        <f t="shared" si="181"/>
        <v>202</v>
      </c>
      <c r="AM212" s="433">
        <f t="shared" si="181"/>
        <v>202</v>
      </c>
      <c r="AN212" s="433">
        <f t="shared" si="181"/>
        <v>202</v>
      </c>
      <c r="AO212" s="433">
        <f t="shared" si="181"/>
        <v>202</v>
      </c>
      <c r="AP212" s="433">
        <f t="shared" si="181"/>
        <v>202</v>
      </c>
      <c r="AQ212" s="433">
        <f t="shared" si="181"/>
        <v>202</v>
      </c>
      <c r="AR212" s="433">
        <f t="shared" si="181"/>
        <v>202</v>
      </c>
      <c r="AS212" s="433">
        <f t="shared" si="181"/>
        <v>202</v>
      </c>
      <c r="AT212" s="433">
        <f t="shared" si="181"/>
        <v>202</v>
      </c>
      <c r="AU212" s="433">
        <f t="shared" si="181"/>
        <v>202</v>
      </c>
      <c r="AV212" s="433">
        <f t="shared" si="181"/>
        <v>202</v>
      </c>
      <c r="AW212" s="433">
        <f t="shared" si="181"/>
        <v>202</v>
      </c>
      <c r="AX212" s="433">
        <f t="shared" si="181"/>
        <v>202</v>
      </c>
      <c r="AY212" s="433">
        <f t="shared" si="181"/>
        <v>247</v>
      </c>
      <c r="AZ212" s="433">
        <f t="shared" si="181"/>
        <v>247</v>
      </c>
      <c r="BA212" s="433">
        <f t="shared" si="181"/>
        <v>247</v>
      </c>
      <c r="BB212" s="433">
        <f t="shared" si="181"/>
        <v>247</v>
      </c>
      <c r="BC212" s="433">
        <f t="shared" si="181"/>
        <v>247</v>
      </c>
      <c r="BD212" s="433">
        <f t="shared" si="181"/>
        <v>247</v>
      </c>
      <c r="BE212" s="433">
        <f t="shared" si="181"/>
        <v>247</v>
      </c>
      <c r="BF212" s="433">
        <f t="shared" si="181"/>
        <v>247</v>
      </c>
      <c r="BG212" s="433">
        <f t="shared" si="181"/>
        <v>298</v>
      </c>
      <c r="BH212" s="433">
        <f t="shared" si="181"/>
        <v>298</v>
      </c>
      <c r="BI212" s="433">
        <f t="shared" si="181"/>
        <v>298</v>
      </c>
      <c r="BJ212" s="433">
        <f t="shared" si="181"/>
        <v>298</v>
      </c>
      <c r="BK212" s="433">
        <f t="shared" si="181"/>
        <v>298</v>
      </c>
      <c r="BL212" s="433">
        <f t="shared" si="181"/>
        <v>298</v>
      </c>
      <c r="BM212" s="433">
        <f t="shared" si="181"/>
        <v>330</v>
      </c>
      <c r="BN212" s="433">
        <f t="shared" si="181"/>
        <v>330</v>
      </c>
      <c r="BO212" s="433">
        <f t="shared" si="181"/>
        <v>330</v>
      </c>
      <c r="BP212" s="433">
        <f t="shared" ref="BP212:CF212" si="182">BN928</f>
        <v>330</v>
      </c>
      <c r="BQ212" s="433">
        <f t="shared" si="182"/>
        <v>330</v>
      </c>
      <c r="BR212" s="433">
        <f t="shared" si="182"/>
        <v>330</v>
      </c>
      <c r="BS212" s="433">
        <f t="shared" si="182"/>
        <v>363</v>
      </c>
      <c r="BT212" s="433">
        <f t="shared" si="182"/>
        <v>363</v>
      </c>
      <c r="BU212" s="433">
        <f t="shared" si="182"/>
        <v>390</v>
      </c>
      <c r="BV212" s="433">
        <f t="shared" si="182"/>
        <v>416</v>
      </c>
      <c r="BW212" s="433">
        <f t="shared" si="182"/>
        <v>445</v>
      </c>
      <c r="BX212" s="433">
        <f t="shared" si="182"/>
        <v>470</v>
      </c>
      <c r="BY212" s="433">
        <f t="shared" si="182"/>
        <v>490</v>
      </c>
      <c r="BZ212" s="433">
        <f t="shared" si="182"/>
        <v>507</v>
      </c>
      <c r="CA212" s="433">
        <f t="shared" si="182"/>
        <v>507</v>
      </c>
      <c r="CB212" s="433">
        <f t="shared" si="182"/>
        <v>560</v>
      </c>
      <c r="CC212" s="433">
        <f t="shared" si="182"/>
        <v>621</v>
      </c>
      <c r="CD212" s="433">
        <f t="shared" si="182"/>
        <v>643</v>
      </c>
      <c r="CE212" s="433">
        <f t="shared" si="182"/>
        <v>726</v>
      </c>
      <c r="CF212" s="433">
        <f t="shared" si="182"/>
        <v>768</v>
      </c>
      <c r="CG212" s="239" t="s">
        <v>762</v>
      </c>
      <c r="CH212" s="239" t="s">
        <v>762</v>
      </c>
      <c r="CI212" s="239" t="s">
        <v>762</v>
      </c>
      <c r="CJ212" s="239" t="s">
        <v>762</v>
      </c>
      <c r="CK212" s="239" t="s">
        <v>762</v>
      </c>
      <c r="CL212" s="239" t="s">
        <v>762</v>
      </c>
    </row>
    <row r="213" spans="1:90" s="434" customFormat="1">
      <c r="A213" s="239" t="s">
        <v>607</v>
      </c>
      <c r="B213" s="239" t="s">
        <v>626</v>
      </c>
      <c r="C213" s="433" t="s">
        <v>762</v>
      </c>
      <c r="D213" s="433" t="s">
        <v>762</v>
      </c>
      <c r="E213" s="433" t="s">
        <v>762</v>
      </c>
      <c r="F213" s="433" t="s">
        <v>762</v>
      </c>
      <c r="G213" s="433" t="s">
        <v>762</v>
      </c>
      <c r="H213" s="433" t="s">
        <v>762</v>
      </c>
      <c r="I213" s="433" t="s">
        <v>762</v>
      </c>
      <c r="J213" s="433" t="s">
        <v>762</v>
      </c>
      <c r="K213" s="433" t="s">
        <v>762</v>
      </c>
      <c r="L213" s="433" t="s">
        <v>762</v>
      </c>
      <c r="M213" s="433" t="s">
        <v>762</v>
      </c>
      <c r="N213" s="433" t="s">
        <v>762</v>
      </c>
      <c r="O213" s="433" t="s">
        <v>762</v>
      </c>
      <c r="P213" s="433" t="s">
        <v>762</v>
      </c>
      <c r="Q213" s="433" t="s">
        <v>762</v>
      </c>
      <c r="R213" s="433" t="s">
        <v>762</v>
      </c>
      <c r="S213" s="433" t="s">
        <v>762</v>
      </c>
      <c r="T213" s="433" t="s">
        <v>762</v>
      </c>
      <c r="U213" s="433" t="s">
        <v>762</v>
      </c>
      <c r="V213" s="433" t="s">
        <v>762</v>
      </c>
      <c r="W213" s="433" t="s">
        <v>762</v>
      </c>
      <c r="X213" s="433" t="s">
        <v>762</v>
      </c>
      <c r="Y213" s="433" t="s">
        <v>762</v>
      </c>
      <c r="Z213" s="433" t="s">
        <v>762</v>
      </c>
      <c r="AA213" s="433" t="s">
        <v>762</v>
      </c>
      <c r="AB213" s="433" t="s">
        <v>762</v>
      </c>
      <c r="AC213" s="433" t="s">
        <v>762</v>
      </c>
      <c r="AD213" s="433" t="s">
        <v>762</v>
      </c>
      <c r="AE213" s="433" t="s">
        <v>762</v>
      </c>
      <c r="AF213" s="433" t="s">
        <v>762</v>
      </c>
      <c r="AG213" s="433" t="s">
        <v>762</v>
      </c>
      <c r="AH213" s="433" t="s">
        <v>762</v>
      </c>
      <c r="AI213" s="433" t="s">
        <v>762</v>
      </c>
      <c r="AJ213" s="433" t="s">
        <v>762</v>
      </c>
      <c r="AK213" s="433" t="s">
        <v>762</v>
      </c>
      <c r="AL213" s="433" t="s">
        <v>762</v>
      </c>
      <c r="AM213" s="433" t="s">
        <v>762</v>
      </c>
      <c r="AN213" s="433" t="s">
        <v>762</v>
      </c>
      <c r="AO213" s="433" t="s">
        <v>762</v>
      </c>
      <c r="AP213" s="433" t="s">
        <v>762</v>
      </c>
      <c r="AQ213" s="433" t="s">
        <v>762</v>
      </c>
      <c r="AR213" s="433" t="s">
        <v>762</v>
      </c>
      <c r="AS213" s="433" t="s">
        <v>762</v>
      </c>
      <c r="AT213" s="433" t="s">
        <v>762</v>
      </c>
      <c r="AU213" s="433" t="s">
        <v>762</v>
      </c>
      <c r="AV213" s="433" t="s">
        <v>762</v>
      </c>
      <c r="AW213" s="433" t="s">
        <v>762</v>
      </c>
      <c r="AX213" s="433" t="s">
        <v>762</v>
      </c>
      <c r="AY213" s="433" t="s">
        <v>762</v>
      </c>
      <c r="AZ213" s="433" t="s">
        <v>762</v>
      </c>
      <c r="BA213" s="433" t="s">
        <v>762</v>
      </c>
      <c r="BB213" s="433" t="s">
        <v>762</v>
      </c>
      <c r="BC213" s="433" t="s">
        <v>762</v>
      </c>
      <c r="BD213" s="433" t="s">
        <v>762</v>
      </c>
      <c r="BE213" s="433" t="s">
        <v>762</v>
      </c>
      <c r="BF213" s="433" t="s">
        <v>762</v>
      </c>
      <c r="BG213" s="433" t="s">
        <v>762</v>
      </c>
      <c r="BH213" s="433" t="s">
        <v>762</v>
      </c>
      <c r="BI213" s="433" t="s">
        <v>762</v>
      </c>
      <c r="BJ213" s="433" t="s">
        <v>762</v>
      </c>
      <c r="BK213" s="433" t="s">
        <v>762</v>
      </c>
      <c r="BL213" s="433" t="s">
        <v>762</v>
      </c>
      <c r="BM213" s="433" t="s">
        <v>762</v>
      </c>
      <c r="BN213" s="433" t="s">
        <v>762</v>
      </c>
      <c r="BO213" s="433" t="s">
        <v>762</v>
      </c>
      <c r="BP213" s="433" t="s">
        <v>762</v>
      </c>
      <c r="BQ213" s="433" t="s">
        <v>762</v>
      </c>
      <c r="BR213" s="433" t="s">
        <v>762</v>
      </c>
      <c r="BS213" s="433" t="s">
        <v>762</v>
      </c>
      <c r="BT213" s="433" t="s">
        <v>762</v>
      </c>
      <c r="BU213" s="433" t="s">
        <v>762</v>
      </c>
      <c r="BV213" s="433" t="s">
        <v>762</v>
      </c>
      <c r="BW213" s="433" t="s">
        <v>762</v>
      </c>
      <c r="BX213" s="433" t="s">
        <v>762</v>
      </c>
      <c r="BY213" s="433" t="s">
        <v>762</v>
      </c>
      <c r="BZ213" s="433" t="s">
        <v>762</v>
      </c>
      <c r="CA213" s="433" t="s">
        <v>762</v>
      </c>
      <c r="CB213" s="433" t="s">
        <v>762</v>
      </c>
      <c r="CC213" s="433" t="s">
        <v>762</v>
      </c>
      <c r="CD213" s="433" t="s">
        <v>762</v>
      </c>
      <c r="CE213" s="433" t="s">
        <v>762</v>
      </c>
      <c r="CF213" s="433" t="s">
        <v>762</v>
      </c>
      <c r="CG213" s="239" t="s">
        <v>762</v>
      </c>
      <c r="CH213" s="239" t="s">
        <v>762</v>
      </c>
      <c r="CI213" s="239" t="s">
        <v>762</v>
      </c>
      <c r="CJ213" s="239" t="s">
        <v>762</v>
      </c>
      <c r="CK213" s="239" t="s">
        <v>762</v>
      </c>
      <c r="CL213" s="239" t="s">
        <v>762</v>
      </c>
    </row>
    <row r="214" spans="1:90" s="434" customFormat="1">
      <c r="A214" s="239" t="s">
        <v>608</v>
      </c>
      <c r="B214" s="239" t="s">
        <v>626</v>
      </c>
      <c r="C214" s="433" t="s">
        <v>762</v>
      </c>
      <c r="D214" s="433" t="s">
        <v>762</v>
      </c>
      <c r="E214" s="433" t="s">
        <v>762</v>
      </c>
      <c r="F214" s="433" t="s">
        <v>762</v>
      </c>
      <c r="G214" s="433" t="s">
        <v>762</v>
      </c>
      <c r="H214" s="433" t="s">
        <v>762</v>
      </c>
      <c r="I214" s="433" t="s">
        <v>762</v>
      </c>
      <c r="J214" s="433" t="s">
        <v>762</v>
      </c>
      <c r="K214" s="433" t="s">
        <v>762</v>
      </c>
      <c r="L214" s="433" t="s">
        <v>762</v>
      </c>
      <c r="M214" s="433" t="s">
        <v>762</v>
      </c>
      <c r="N214" s="433" t="s">
        <v>762</v>
      </c>
      <c r="O214" s="433" t="s">
        <v>762</v>
      </c>
      <c r="P214" s="433" t="s">
        <v>762</v>
      </c>
      <c r="Q214" s="433" t="s">
        <v>762</v>
      </c>
      <c r="R214" s="433" t="s">
        <v>762</v>
      </c>
      <c r="S214" s="433" t="s">
        <v>762</v>
      </c>
      <c r="T214" s="433" t="s">
        <v>762</v>
      </c>
      <c r="U214" s="433" t="s">
        <v>762</v>
      </c>
      <c r="V214" s="433" t="s">
        <v>762</v>
      </c>
      <c r="W214" s="433" t="s">
        <v>762</v>
      </c>
      <c r="X214" s="433" t="s">
        <v>762</v>
      </c>
      <c r="Y214" s="433" t="s">
        <v>762</v>
      </c>
      <c r="Z214" s="433" t="s">
        <v>762</v>
      </c>
      <c r="AA214" s="433" t="s">
        <v>762</v>
      </c>
      <c r="AB214" s="433" t="s">
        <v>762</v>
      </c>
      <c r="AC214" s="433" t="s">
        <v>762</v>
      </c>
      <c r="AD214" s="433" t="s">
        <v>762</v>
      </c>
      <c r="AE214" s="433" t="s">
        <v>762</v>
      </c>
      <c r="AF214" s="433" t="s">
        <v>762</v>
      </c>
      <c r="AG214" s="433" t="s">
        <v>762</v>
      </c>
      <c r="AH214" s="433" t="s">
        <v>762</v>
      </c>
      <c r="AI214" s="433" t="s">
        <v>762</v>
      </c>
      <c r="AJ214" s="433" t="s">
        <v>762</v>
      </c>
      <c r="AK214" s="433" t="s">
        <v>762</v>
      </c>
      <c r="AL214" s="433" t="s">
        <v>762</v>
      </c>
      <c r="AM214" s="433" t="s">
        <v>762</v>
      </c>
      <c r="AN214" s="433" t="s">
        <v>762</v>
      </c>
      <c r="AO214" s="433" t="s">
        <v>762</v>
      </c>
      <c r="AP214" s="433" t="s">
        <v>762</v>
      </c>
      <c r="AQ214" s="433" t="s">
        <v>762</v>
      </c>
      <c r="AR214" s="433" t="s">
        <v>762</v>
      </c>
      <c r="AS214" s="433" t="s">
        <v>762</v>
      </c>
      <c r="AT214" s="433" t="s">
        <v>762</v>
      </c>
      <c r="AU214" s="433" t="s">
        <v>762</v>
      </c>
      <c r="AV214" s="433" t="s">
        <v>762</v>
      </c>
      <c r="AW214" s="433" t="s">
        <v>762</v>
      </c>
      <c r="AX214" s="433" t="s">
        <v>762</v>
      </c>
      <c r="AY214" s="433" t="s">
        <v>762</v>
      </c>
      <c r="AZ214" s="433" t="s">
        <v>762</v>
      </c>
      <c r="BA214" s="433" t="s">
        <v>762</v>
      </c>
      <c r="BB214" s="433" t="s">
        <v>762</v>
      </c>
      <c r="BC214" s="433" t="s">
        <v>762</v>
      </c>
      <c r="BD214" s="433" t="s">
        <v>762</v>
      </c>
      <c r="BE214" s="433" t="s">
        <v>762</v>
      </c>
      <c r="BF214" s="433" t="s">
        <v>762</v>
      </c>
      <c r="BG214" s="433" t="s">
        <v>762</v>
      </c>
      <c r="BH214" s="433" t="s">
        <v>762</v>
      </c>
      <c r="BI214" s="433" t="s">
        <v>762</v>
      </c>
      <c r="BJ214" s="433" t="s">
        <v>762</v>
      </c>
      <c r="BK214" s="433" t="s">
        <v>762</v>
      </c>
      <c r="BL214" s="433" t="s">
        <v>762</v>
      </c>
      <c r="BM214" s="433" t="s">
        <v>762</v>
      </c>
      <c r="BN214" s="433" t="s">
        <v>762</v>
      </c>
      <c r="BO214" s="433" t="s">
        <v>762</v>
      </c>
      <c r="BP214" s="433" t="s">
        <v>762</v>
      </c>
      <c r="BQ214" s="433" t="s">
        <v>762</v>
      </c>
      <c r="BR214" s="433" t="s">
        <v>762</v>
      </c>
      <c r="BS214" s="433" t="s">
        <v>762</v>
      </c>
      <c r="BT214" s="433" t="s">
        <v>762</v>
      </c>
      <c r="BU214" s="433" t="s">
        <v>762</v>
      </c>
      <c r="BV214" s="433" t="s">
        <v>762</v>
      </c>
      <c r="BW214" s="433" t="s">
        <v>762</v>
      </c>
      <c r="BX214" s="433" t="s">
        <v>762</v>
      </c>
      <c r="BY214" s="433" t="s">
        <v>762</v>
      </c>
      <c r="BZ214" s="433" t="s">
        <v>762</v>
      </c>
      <c r="CA214" s="433" t="s">
        <v>762</v>
      </c>
      <c r="CB214" s="433" t="s">
        <v>762</v>
      </c>
      <c r="CC214" s="433" t="s">
        <v>762</v>
      </c>
      <c r="CD214" s="433" t="s">
        <v>762</v>
      </c>
      <c r="CE214" s="433" t="s">
        <v>762</v>
      </c>
      <c r="CF214" s="433" t="s">
        <v>762</v>
      </c>
      <c r="CG214" s="239" t="s">
        <v>762</v>
      </c>
      <c r="CH214" s="239" t="s">
        <v>762</v>
      </c>
      <c r="CI214" s="239" t="s">
        <v>762</v>
      </c>
      <c r="CJ214" s="239" t="s">
        <v>762</v>
      </c>
      <c r="CK214" s="239" t="s">
        <v>762</v>
      </c>
      <c r="CL214" s="239" t="s">
        <v>762</v>
      </c>
    </row>
    <row r="215" spans="1:90" s="434" customFormat="1">
      <c r="A215" s="239" t="s">
        <v>609</v>
      </c>
      <c r="B215" s="239" t="s">
        <v>626</v>
      </c>
      <c r="C215" s="433" t="s">
        <v>762</v>
      </c>
      <c r="D215" s="433" t="s">
        <v>762</v>
      </c>
      <c r="E215" s="433" t="s">
        <v>762</v>
      </c>
      <c r="F215" s="433" t="s">
        <v>762</v>
      </c>
      <c r="G215" s="433" t="s">
        <v>762</v>
      </c>
      <c r="H215" s="433" t="s">
        <v>762</v>
      </c>
      <c r="I215" s="433" t="s">
        <v>762</v>
      </c>
      <c r="J215" s="433" t="s">
        <v>762</v>
      </c>
      <c r="K215" s="433" t="s">
        <v>762</v>
      </c>
      <c r="L215" s="433" t="s">
        <v>762</v>
      </c>
      <c r="M215" s="433" t="s">
        <v>762</v>
      </c>
      <c r="N215" s="433" t="s">
        <v>762</v>
      </c>
      <c r="O215" s="433" t="s">
        <v>762</v>
      </c>
      <c r="P215" s="433" t="s">
        <v>762</v>
      </c>
      <c r="Q215" s="433" t="s">
        <v>762</v>
      </c>
      <c r="R215" s="433" t="s">
        <v>762</v>
      </c>
      <c r="S215" s="433" t="s">
        <v>762</v>
      </c>
      <c r="T215" s="433" t="s">
        <v>762</v>
      </c>
      <c r="U215" s="433" t="s">
        <v>762</v>
      </c>
      <c r="V215" s="433" t="s">
        <v>762</v>
      </c>
      <c r="W215" s="433" t="s">
        <v>762</v>
      </c>
      <c r="X215" s="433" t="s">
        <v>762</v>
      </c>
      <c r="Y215" s="433" t="s">
        <v>762</v>
      </c>
      <c r="Z215" s="433" t="s">
        <v>762</v>
      </c>
      <c r="AA215" s="433" t="s">
        <v>762</v>
      </c>
      <c r="AB215" s="433" t="s">
        <v>762</v>
      </c>
      <c r="AC215" s="433" t="s">
        <v>762</v>
      </c>
      <c r="AD215" s="433" t="s">
        <v>762</v>
      </c>
      <c r="AE215" s="433" t="s">
        <v>762</v>
      </c>
      <c r="AF215" s="433" t="s">
        <v>762</v>
      </c>
      <c r="AG215" s="433" t="s">
        <v>762</v>
      </c>
      <c r="AH215" s="433" t="s">
        <v>762</v>
      </c>
      <c r="AI215" s="433" t="s">
        <v>762</v>
      </c>
      <c r="AJ215" s="433" t="s">
        <v>762</v>
      </c>
      <c r="AK215" s="433" t="s">
        <v>762</v>
      </c>
      <c r="AL215" s="433" t="s">
        <v>762</v>
      </c>
      <c r="AM215" s="433" t="s">
        <v>762</v>
      </c>
      <c r="AN215" s="433" t="s">
        <v>762</v>
      </c>
      <c r="AO215" s="433" t="s">
        <v>762</v>
      </c>
      <c r="AP215" s="433" t="s">
        <v>762</v>
      </c>
      <c r="AQ215" s="433" t="s">
        <v>762</v>
      </c>
      <c r="AR215" s="433" t="s">
        <v>762</v>
      </c>
      <c r="AS215" s="433" t="s">
        <v>762</v>
      </c>
      <c r="AT215" s="433" t="s">
        <v>762</v>
      </c>
      <c r="AU215" s="433" t="s">
        <v>762</v>
      </c>
      <c r="AV215" s="433" t="s">
        <v>762</v>
      </c>
      <c r="AW215" s="433" t="s">
        <v>762</v>
      </c>
      <c r="AX215" s="433" t="s">
        <v>762</v>
      </c>
      <c r="AY215" s="433" t="s">
        <v>762</v>
      </c>
      <c r="AZ215" s="433" t="s">
        <v>762</v>
      </c>
      <c r="BA215" s="433" t="s">
        <v>762</v>
      </c>
      <c r="BB215" s="433" t="s">
        <v>762</v>
      </c>
      <c r="BC215" s="433" t="s">
        <v>762</v>
      </c>
      <c r="BD215" s="433" t="s">
        <v>762</v>
      </c>
      <c r="BE215" s="433" t="s">
        <v>762</v>
      </c>
      <c r="BF215" s="433" t="s">
        <v>762</v>
      </c>
      <c r="BG215" s="433" t="s">
        <v>762</v>
      </c>
      <c r="BH215" s="433" t="s">
        <v>762</v>
      </c>
      <c r="BI215" s="433" t="s">
        <v>762</v>
      </c>
      <c r="BJ215" s="433" t="s">
        <v>762</v>
      </c>
      <c r="BK215" s="433" t="s">
        <v>762</v>
      </c>
      <c r="BL215" s="433" t="s">
        <v>762</v>
      </c>
      <c r="BM215" s="433" t="s">
        <v>762</v>
      </c>
      <c r="BN215" s="433" t="s">
        <v>762</v>
      </c>
      <c r="BO215" s="433" t="s">
        <v>762</v>
      </c>
      <c r="BP215" s="433" t="s">
        <v>762</v>
      </c>
      <c r="BQ215" s="433" t="s">
        <v>762</v>
      </c>
      <c r="BR215" s="433" t="s">
        <v>762</v>
      </c>
      <c r="BS215" s="433" t="s">
        <v>762</v>
      </c>
      <c r="BT215" s="433" t="s">
        <v>762</v>
      </c>
      <c r="BU215" s="433" t="s">
        <v>762</v>
      </c>
      <c r="BV215" s="433" t="s">
        <v>762</v>
      </c>
      <c r="BW215" s="433" t="s">
        <v>762</v>
      </c>
      <c r="BX215" s="433" t="s">
        <v>762</v>
      </c>
      <c r="BY215" s="433" t="s">
        <v>762</v>
      </c>
      <c r="BZ215" s="433" t="s">
        <v>762</v>
      </c>
      <c r="CA215" s="433" t="s">
        <v>762</v>
      </c>
      <c r="CB215" s="433" t="s">
        <v>762</v>
      </c>
      <c r="CC215" s="433" t="s">
        <v>762</v>
      </c>
      <c r="CD215" s="433" t="s">
        <v>762</v>
      </c>
      <c r="CE215" s="433" t="s">
        <v>762</v>
      </c>
      <c r="CF215" s="433" t="s">
        <v>762</v>
      </c>
      <c r="CG215" s="239" t="s">
        <v>762</v>
      </c>
      <c r="CH215" s="239" t="s">
        <v>762</v>
      </c>
      <c r="CI215" s="239" t="s">
        <v>762</v>
      </c>
      <c r="CJ215" s="239" t="s">
        <v>762</v>
      </c>
      <c r="CK215" s="239" t="s">
        <v>762</v>
      </c>
      <c r="CL215" s="239" t="s">
        <v>762</v>
      </c>
    </row>
    <row r="216" spans="1:90" s="434" customFormat="1">
      <c r="A216" s="239" t="s">
        <v>610</v>
      </c>
      <c r="B216" s="239" t="s">
        <v>626</v>
      </c>
      <c r="C216" s="433" t="s">
        <v>762</v>
      </c>
      <c r="D216" s="433" t="s">
        <v>762</v>
      </c>
      <c r="E216" s="433" t="s">
        <v>762</v>
      </c>
      <c r="F216" s="433" t="s">
        <v>762</v>
      </c>
      <c r="G216" s="433" t="s">
        <v>762</v>
      </c>
      <c r="H216" s="433" t="s">
        <v>762</v>
      </c>
      <c r="I216" s="433" t="s">
        <v>762</v>
      </c>
      <c r="J216" s="433" t="s">
        <v>762</v>
      </c>
      <c r="K216" s="433" t="s">
        <v>762</v>
      </c>
      <c r="L216" s="433" t="s">
        <v>762</v>
      </c>
      <c r="M216" s="433" t="s">
        <v>762</v>
      </c>
      <c r="N216" s="433" t="s">
        <v>762</v>
      </c>
      <c r="O216" s="433" t="s">
        <v>762</v>
      </c>
      <c r="P216" s="433" t="s">
        <v>762</v>
      </c>
      <c r="Q216" s="433" t="s">
        <v>762</v>
      </c>
      <c r="R216" s="433" t="s">
        <v>762</v>
      </c>
      <c r="S216" s="433" t="s">
        <v>762</v>
      </c>
      <c r="T216" s="433" t="s">
        <v>762</v>
      </c>
      <c r="U216" s="433" t="s">
        <v>762</v>
      </c>
      <c r="V216" s="433" t="s">
        <v>762</v>
      </c>
      <c r="W216" s="433" t="s">
        <v>762</v>
      </c>
      <c r="X216" s="433" t="s">
        <v>762</v>
      </c>
      <c r="Y216" s="433" t="s">
        <v>762</v>
      </c>
      <c r="Z216" s="433" t="s">
        <v>762</v>
      </c>
      <c r="AA216" s="433" t="s">
        <v>762</v>
      </c>
      <c r="AB216" s="433" t="s">
        <v>762</v>
      </c>
      <c r="AC216" s="433" t="s">
        <v>762</v>
      </c>
      <c r="AD216" s="433" t="s">
        <v>762</v>
      </c>
      <c r="AE216" s="433" t="s">
        <v>762</v>
      </c>
      <c r="AF216" s="433" t="s">
        <v>762</v>
      </c>
      <c r="AG216" s="433" t="s">
        <v>762</v>
      </c>
      <c r="AH216" s="433" t="s">
        <v>762</v>
      </c>
      <c r="AI216" s="433" t="s">
        <v>762</v>
      </c>
      <c r="AJ216" s="433" t="s">
        <v>762</v>
      </c>
      <c r="AK216" s="433" t="s">
        <v>762</v>
      </c>
      <c r="AL216" s="433" t="s">
        <v>762</v>
      </c>
      <c r="AM216" s="433" t="s">
        <v>762</v>
      </c>
      <c r="AN216" s="433" t="s">
        <v>762</v>
      </c>
      <c r="AO216" s="433" t="s">
        <v>762</v>
      </c>
      <c r="AP216" s="433" t="s">
        <v>762</v>
      </c>
      <c r="AQ216" s="433" t="s">
        <v>762</v>
      </c>
      <c r="AR216" s="433" t="s">
        <v>762</v>
      </c>
      <c r="AS216" s="433" t="s">
        <v>762</v>
      </c>
      <c r="AT216" s="433" t="s">
        <v>762</v>
      </c>
      <c r="AU216" s="433" t="s">
        <v>762</v>
      </c>
      <c r="AV216" s="433" t="s">
        <v>762</v>
      </c>
      <c r="AW216" s="433" t="s">
        <v>762</v>
      </c>
      <c r="AX216" s="433" t="s">
        <v>762</v>
      </c>
      <c r="AY216" s="433" t="s">
        <v>762</v>
      </c>
      <c r="AZ216" s="433" t="s">
        <v>762</v>
      </c>
      <c r="BA216" s="433" t="s">
        <v>762</v>
      </c>
      <c r="BB216" s="433" t="s">
        <v>762</v>
      </c>
      <c r="BC216" s="433" t="s">
        <v>762</v>
      </c>
      <c r="BD216" s="433" t="s">
        <v>762</v>
      </c>
      <c r="BE216" s="433" t="s">
        <v>762</v>
      </c>
      <c r="BF216" s="433" t="s">
        <v>762</v>
      </c>
      <c r="BG216" s="433" t="s">
        <v>762</v>
      </c>
      <c r="BH216" s="433" t="s">
        <v>762</v>
      </c>
      <c r="BI216" s="433" t="s">
        <v>762</v>
      </c>
      <c r="BJ216" s="433" t="s">
        <v>762</v>
      </c>
      <c r="BK216" s="433" t="s">
        <v>762</v>
      </c>
      <c r="BL216" s="433" t="s">
        <v>762</v>
      </c>
      <c r="BM216" s="433" t="s">
        <v>762</v>
      </c>
      <c r="BN216" s="433" t="s">
        <v>762</v>
      </c>
      <c r="BO216" s="433" t="s">
        <v>762</v>
      </c>
      <c r="BP216" s="433" t="s">
        <v>762</v>
      </c>
      <c r="BQ216" s="433" t="s">
        <v>762</v>
      </c>
      <c r="BR216" s="433" t="s">
        <v>762</v>
      </c>
      <c r="BS216" s="433" t="s">
        <v>762</v>
      </c>
      <c r="BT216" s="433" t="s">
        <v>762</v>
      </c>
      <c r="BU216" s="433" t="s">
        <v>762</v>
      </c>
      <c r="BV216" s="433" t="s">
        <v>762</v>
      </c>
      <c r="BW216" s="433" t="s">
        <v>762</v>
      </c>
      <c r="BX216" s="433" t="s">
        <v>762</v>
      </c>
      <c r="BY216" s="433" t="s">
        <v>762</v>
      </c>
      <c r="BZ216" s="433" t="s">
        <v>762</v>
      </c>
      <c r="CA216" s="433" t="s">
        <v>762</v>
      </c>
      <c r="CB216" s="433" t="s">
        <v>762</v>
      </c>
      <c r="CC216" s="433" t="s">
        <v>762</v>
      </c>
      <c r="CD216" s="433" t="s">
        <v>762</v>
      </c>
      <c r="CE216" s="433" t="s">
        <v>762</v>
      </c>
      <c r="CF216" s="433" t="s">
        <v>762</v>
      </c>
      <c r="CG216" s="239" t="s">
        <v>762</v>
      </c>
      <c r="CH216" s="239" t="s">
        <v>762</v>
      </c>
      <c r="CI216" s="239" t="s">
        <v>762</v>
      </c>
      <c r="CJ216" s="239" t="s">
        <v>762</v>
      </c>
      <c r="CK216" s="239" t="s">
        <v>762</v>
      </c>
      <c r="CL216" s="239" t="s">
        <v>762</v>
      </c>
    </row>
    <row r="217" spans="1:90" s="434" customFormat="1">
      <c r="A217" s="239" t="s">
        <v>611</v>
      </c>
      <c r="B217" s="239" t="s">
        <v>626</v>
      </c>
      <c r="C217" s="433" t="s">
        <v>762</v>
      </c>
      <c r="D217" s="433" t="s">
        <v>762</v>
      </c>
      <c r="E217" s="433" t="s">
        <v>762</v>
      </c>
      <c r="F217" s="433" t="s">
        <v>762</v>
      </c>
      <c r="G217" s="433" t="s">
        <v>762</v>
      </c>
      <c r="H217" s="433" t="s">
        <v>762</v>
      </c>
      <c r="I217" s="433" t="s">
        <v>762</v>
      </c>
      <c r="J217" s="433" t="s">
        <v>762</v>
      </c>
      <c r="K217" s="433" t="s">
        <v>762</v>
      </c>
      <c r="L217" s="433" t="s">
        <v>762</v>
      </c>
      <c r="M217" s="433" t="s">
        <v>762</v>
      </c>
      <c r="N217" s="433" t="s">
        <v>762</v>
      </c>
      <c r="O217" s="433" t="s">
        <v>762</v>
      </c>
      <c r="P217" s="433" t="s">
        <v>762</v>
      </c>
      <c r="Q217" s="433" t="s">
        <v>762</v>
      </c>
      <c r="R217" s="433" t="s">
        <v>762</v>
      </c>
      <c r="S217" s="433" t="s">
        <v>762</v>
      </c>
      <c r="T217" s="433" t="s">
        <v>762</v>
      </c>
      <c r="U217" s="433" t="s">
        <v>762</v>
      </c>
      <c r="V217" s="433" t="s">
        <v>762</v>
      </c>
      <c r="W217" s="433" t="s">
        <v>762</v>
      </c>
      <c r="X217" s="433" t="s">
        <v>762</v>
      </c>
      <c r="Y217" s="433" t="s">
        <v>762</v>
      </c>
      <c r="Z217" s="433" t="s">
        <v>762</v>
      </c>
      <c r="AA217" s="433" t="s">
        <v>762</v>
      </c>
      <c r="AB217" s="433" t="s">
        <v>762</v>
      </c>
      <c r="AC217" s="433" t="s">
        <v>762</v>
      </c>
      <c r="AD217" s="433" t="s">
        <v>762</v>
      </c>
      <c r="AE217" s="433" t="s">
        <v>762</v>
      </c>
      <c r="AF217" s="433" t="s">
        <v>762</v>
      </c>
      <c r="AG217" s="433" t="s">
        <v>762</v>
      </c>
      <c r="AH217" s="433" t="s">
        <v>762</v>
      </c>
      <c r="AI217" s="433" t="s">
        <v>762</v>
      </c>
      <c r="AJ217" s="433" t="s">
        <v>762</v>
      </c>
      <c r="AK217" s="433" t="s">
        <v>762</v>
      </c>
      <c r="AL217" s="433" t="s">
        <v>762</v>
      </c>
      <c r="AM217" s="433" t="s">
        <v>762</v>
      </c>
      <c r="AN217" s="433" t="s">
        <v>762</v>
      </c>
      <c r="AO217" s="433" t="s">
        <v>762</v>
      </c>
      <c r="AP217" s="433" t="s">
        <v>762</v>
      </c>
      <c r="AQ217" s="433" t="s">
        <v>762</v>
      </c>
      <c r="AR217" s="433" t="s">
        <v>762</v>
      </c>
      <c r="AS217" s="433" t="s">
        <v>762</v>
      </c>
      <c r="AT217" s="433" t="s">
        <v>762</v>
      </c>
      <c r="AU217" s="433" t="s">
        <v>762</v>
      </c>
      <c r="AV217" s="433" t="s">
        <v>762</v>
      </c>
      <c r="AW217" s="433" t="s">
        <v>762</v>
      </c>
      <c r="AX217" s="433" t="s">
        <v>762</v>
      </c>
      <c r="AY217" s="433" t="s">
        <v>762</v>
      </c>
      <c r="AZ217" s="433" t="s">
        <v>762</v>
      </c>
      <c r="BA217" s="433" t="s">
        <v>762</v>
      </c>
      <c r="BB217" s="433" t="s">
        <v>762</v>
      </c>
      <c r="BC217" s="433" t="s">
        <v>762</v>
      </c>
      <c r="BD217" s="433" t="s">
        <v>762</v>
      </c>
      <c r="BE217" s="433" t="s">
        <v>762</v>
      </c>
      <c r="BF217" s="433" t="s">
        <v>762</v>
      </c>
      <c r="BG217" s="433" t="s">
        <v>762</v>
      </c>
      <c r="BH217" s="433" t="s">
        <v>762</v>
      </c>
      <c r="BI217" s="433" t="s">
        <v>762</v>
      </c>
      <c r="BJ217" s="433" t="s">
        <v>762</v>
      </c>
      <c r="BK217" s="433" t="s">
        <v>762</v>
      </c>
      <c r="BL217" s="433" t="s">
        <v>762</v>
      </c>
      <c r="BM217" s="433" t="s">
        <v>762</v>
      </c>
      <c r="BN217" s="433" t="s">
        <v>762</v>
      </c>
      <c r="BO217" s="433" t="s">
        <v>762</v>
      </c>
      <c r="BP217" s="433" t="s">
        <v>762</v>
      </c>
      <c r="BQ217" s="433" t="s">
        <v>762</v>
      </c>
      <c r="BR217" s="433" t="s">
        <v>762</v>
      </c>
      <c r="BS217" s="433" t="s">
        <v>762</v>
      </c>
      <c r="BT217" s="433" t="s">
        <v>762</v>
      </c>
      <c r="BU217" s="433" t="s">
        <v>762</v>
      </c>
      <c r="BV217" s="433" t="s">
        <v>762</v>
      </c>
      <c r="BW217" s="433" t="s">
        <v>762</v>
      </c>
      <c r="BX217" s="433" t="s">
        <v>762</v>
      </c>
      <c r="BY217" s="433" t="s">
        <v>762</v>
      </c>
      <c r="BZ217" s="433" t="s">
        <v>762</v>
      </c>
      <c r="CA217" s="433" t="s">
        <v>762</v>
      </c>
      <c r="CB217" s="433" t="s">
        <v>762</v>
      </c>
      <c r="CC217" s="433" t="s">
        <v>762</v>
      </c>
      <c r="CD217" s="433" t="s">
        <v>762</v>
      </c>
      <c r="CE217" s="433" t="s">
        <v>762</v>
      </c>
      <c r="CF217" s="433" t="s">
        <v>762</v>
      </c>
      <c r="CG217" s="239" t="s">
        <v>762</v>
      </c>
      <c r="CH217" s="239" t="s">
        <v>762</v>
      </c>
      <c r="CI217" s="239" t="s">
        <v>762</v>
      </c>
      <c r="CJ217" s="239" t="s">
        <v>762</v>
      </c>
      <c r="CK217" s="239" t="s">
        <v>762</v>
      </c>
      <c r="CL217" s="239" t="s">
        <v>762</v>
      </c>
    </row>
    <row r="218" spans="1:90" s="434" customFormat="1">
      <c r="A218" s="239" t="s">
        <v>612</v>
      </c>
      <c r="B218" s="239" t="s">
        <v>626</v>
      </c>
      <c r="C218" s="433" t="s">
        <v>762</v>
      </c>
      <c r="D218" s="433" t="s">
        <v>762</v>
      </c>
      <c r="E218" s="433" t="s">
        <v>762</v>
      </c>
      <c r="F218" s="433" t="s">
        <v>762</v>
      </c>
      <c r="G218" s="433" t="s">
        <v>762</v>
      </c>
      <c r="H218" s="433" t="s">
        <v>762</v>
      </c>
      <c r="I218" s="433" t="s">
        <v>762</v>
      </c>
      <c r="J218" s="433" t="s">
        <v>762</v>
      </c>
      <c r="K218" s="433" t="s">
        <v>762</v>
      </c>
      <c r="L218" s="433" t="s">
        <v>762</v>
      </c>
      <c r="M218" s="433" t="s">
        <v>762</v>
      </c>
      <c r="N218" s="433" t="s">
        <v>762</v>
      </c>
      <c r="O218" s="433" t="s">
        <v>762</v>
      </c>
      <c r="P218" s="433" t="s">
        <v>762</v>
      </c>
      <c r="Q218" s="433" t="s">
        <v>762</v>
      </c>
      <c r="R218" s="433" t="s">
        <v>762</v>
      </c>
      <c r="S218" s="433" t="s">
        <v>762</v>
      </c>
      <c r="T218" s="433" t="s">
        <v>762</v>
      </c>
      <c r="U218" s="433" t="s">
        <v>762</v>
      </c>
      <c r="V218" s="433" t="s">
        <v>762</v>
      </c>
      <c r="W218" s="433" t="s">
        <v>762</v>
      </c>
      <c r="X218" s="433" t="s">
        <v>762</v>
      </c>
      <c r="Y218" s="433" t="s">
        <v>762</v>
      </c>
      <c r="Z218" s="433" t="s">
        <v>762</v>
      </c>
      <c r="AA218" s="433" t="s">
        <v>762</v>
      </c>
      <c r="AB218" s="433" t="s">
        <v>762</v>
      </c>
      <c r="AC218" s="433" t="s">
        <v>762</v>
      </c>
      <c r="AD218" s="433" t="s">
        <v>762</v>
      </c>
      <c r="AE218" s="433" t="s">
        <v>762</v>
      </c>
      <c r="AF218" s="433" t="s">
        <v>762</v>
      </c>
      <c r="AG218" s="433" t="s">
        <v>762</v>
      </c>
      <c r="AH218" s="433" t="s">
        <v>762</v>
      </c>
      <c r="AI218" s="433" t="s">
        <v>762</v>
      </c>
      <c r="AJ218" s="433" t="s">
        <v>762</v>
      </c>
      <c r="AK218" s="433" t="s">
        <v>762</v>
      </c>
      <c r="AL218" s="433" t="s">
        <v>762</v>
      </c>
      <c r="AM218" s="433" t="s">
        <v>762</v>
      </c>
      <c r="AN218" s="433" t="s">
        <v>762</v>
      </c>
      <c r="AO218" s="433" t="s">
        <v>762</v>
      </c>
      <c r="AP218" s="433" t="s">
        <v>762</v>
      </c>
      <c r="AQ218" s="433" t="s">
        <v>762</v>
      </c>
      <c r="AR218" s="433" t="s">
        <v>762</v>
      </c>
      <c r="AS218" s="433" t="s">
        <v>762</v>
      </c>
      <c r="AT218" s="433" t="s">
        <v>762</v>
      </c>
      <c r="AU218" s="433" t="s">
        <v>762</v>
      </c>
      <c r="AV218" s="433" t="s">
        <v>762</v>
      </c>
      <c r="AW218" s="433" t="s">
        <v>762</v>
      </c>
      <c r="AX218" s="433" t="s">
        <v>762</v>
      </c>
      <c r="AY218" s="433" t="s">
        <v>762</v>
      </c>
      <c r="AZ218" s="433" t="s">
        <v>762</v>
      </c>
      <c r="BA218" s="433" t="s">
        <v>762</v>
      </c>
      <c r="BB218" s="433" t="s">
        <v>762</v>
      </c>
      <c r="BC218" s="433" t="s">
        <v>762</v>
      </c>
      <c r="BD218" s="433" t="s">
        <v>762</v>
      </c>
      <c r="BE218" s="433" t="s">
        <v>762</v>
      </c>
      <c r="BF218" s="433" t="s">
        <v>762</v>
      </c>
      <c r="BG218" s="433" t="s">
        <v>762</v>
      </c>
      <c r="BH218" s="433" t="s">
        <v>762</v>
      </c>
      <c r="BI218" s="433" t="s">
        <v>762</v>
      </c>
      <c r="BJ218" s="433" t="s">
        <v>762</v>
      </c>
      <c r="BK218" s="433" t="s">
        <v>762</v>
      </c>
      <c r="BL218" s="433" t="s">
        <v>762</v>
      </c>
      <c r="BM218" s="433" t="s">
        <v>762</v>
      </c>
      <c r="BN218" s="433" t="s">
        <v>762</v>
      </c>
      <c r="BO218" s="433" t="s">
        <v>762</v>
      </c>
      <c r="BP218" s="433" t="s">
        <v>762</v>
      </c>
      <c r="BQ218" s="433" t="s">
        <v>762</v>
      </c>
      <c r="BR218" s="433" t="s">
        <v>762</v>
      </c>
      <c r="BS218" s="433" t="s">
        <v>762</v>
      </c>
      <c r="BT218" s="433" t="s">
        <v>762</v>
      </c>
      <c r="BU218" s="433" t="s">
        <v>762</v>
      </c>
      <c r="BV218" s="433" t="s">
        <v>762</v>
      </c>
      <c r="BW218" s="433" t="s">
        <v>762</v>
      </c>
      <c r="BX218" s="433" t="s">
        <v>762</v>
      </c>
      <c r="BY218" s="433" t="s">
        <v>762</v>
      </c>
      <c r="BZ218" s="433" t="s">
        <v>762</v>
      </c>
      <c r="CA218" s="433" t="s">
        <v>762</v>
      </c>
      <c r="CB218" s="433" t="s">
        <v>762</v>
      </c>
      <c r="CC218" s="433" t="s">
        <v>762</v>
      </c>
      <c r="CD218" s="433" t="s">
        <v>762</v>
      </c>
      <c r="CE218" s="433" t="s">
        <v>762</v>
      </c>
      <c r="CF218" s="433" t="s">
        <v>762</v>
      </c>
      <c r="CG218" s="239" t="s">
        <v>762</v>
      </c>
      <c r="CH218" s="239" t="s">
        <v>762</v>
      </c>
      <c r="CI218" s="239" t="s">
        <v>762</v>
      </c>
      <c r="CJ218" s="239" t="s">
        <v>762</v>
      </c>
      <c r="CK218" s="239" t="s">
        <v>762</v>
      </c>
      <c r="CL218" s="239" t="s">
        <v>762</v>
      </c>
    </row>
    <row r="219" spans="1:90" s="434" customFormat="1">
      <c r="A219" s="239" t="s">
        <v>613</v>
      </c>
      <c r="B219" s="239" t="s">
        <v>626</v>
      </c>
      <c r="C219" s="433" t="s">
        <v>762</v>
      </c>
      <c r="D219" s="433" t="s">
        <v>762</v>
      </c>
      <c r="E219" s="433" t="s">
        <v>762</v>
      </c>
      <c r="F219" s="433" t="s">
        <v>762</v>
      </c>
      <c r="G219" s="433" t="s">
        <v>762</v>
      </c>
      <c r="H219" s="433" t="s">
        <v>762</v>
      </c>
      <c r="I219" s="433" t="s">
        <v>762</v>
      </c>
      <c r="J219" s="433" t="s">
        <v>762</v>
      </c>
      <c r="K219" s="433" t="s">
        <v>762</v>
      </c>
      <c r="L219" s="433" t="s">
        <v>762</v>
      </c>
      <c r="M219" s="433" t="s">
        <v>762</v>
      </c>
      <c r="N219" s="433" t="s">
        <v>762</v>
      </c>
      <c r="O219" s="433" t="s">
        <v>762</v>
      </c>
      <c r="P219" s="433" t="s">
        <v>762</v>
      </c>
      <c r="Q219" s="433" t="s">
        <v>762</v>
      </c>
      <c r="R219" s="433" t="s">
        <v>762</v>
      </c>
      <c r="S219" s="433" t="s">
        <v>762</v>
      </c>
      <c r="T219" s="433" t="s">
        <v>762</v>
      </c>
      <c r="U219" s="433" t="s">
        <v>762</v>
      </c>
      <c r="V219" s="433" t="s">
        <v>762</v>
      </c>
      <c r="W219" s="433" t="s">
        <v>762</v>
      </c>
      <c r="X219" s="433" t="s">
        <v>762</v>
      </c>
      <c r="Y219" s="433" t="s">
        <v>762</v>
      </c>
      <c r="Z219" s="433" t="s">
        <v>762</v>
      </c>
      <c r="AA219" s="433" t="s">
        <v>762</v>
      </c>
      <c r="AB219" s="433" t="s">
        <v>762</v>
      </c>
      <c r="AC219" s="433" t="s">
        <v>762</v>
      </c>
      <c r="AD219" s="433" t="s">
        <v>762</v>
      </c>
      <c r="AE219" s="433" t="s">
        <v>762</v>
      </c>
      <c r="AF219" s="433" t="s">
        <v>762</v>
      </c>
      <c r="AG219" s="433" t="s">
        <v>762</v>
      </c>
      <c r="AH219" s="433" t="s">
        <v>762</v>
      </c>
      <c r="AI219" s="433" t="s">
        <v>762</v>
      </c>
      <c r="AJ219" s="433" t="s">
        <v>762</v>
      </c>
      <c r="AK219" s="433" t="s">
        <v>762</v>
      </c>
      <c r="AL219" s="433" t="s">
        <v>762</v>
      </c>
      <c r="AM219" s="433" t="s">
        <v>762</v>
      </c>
      <c r="AN219" s="433" t="s">
        <v>762</v>
      </c>
      <c r="AO219" s="433" t="s">
        <v>762</v>
      </c>
      <c r="AP219" s="433" t="s">
        <v>762</v>
      </c>
      <c r="AQ219" s="433" t="s">
        <v>762</v>
      </c>
      <c r="AR219" s="433" t="s">
        <v>762</v>
      </c>
      <c r="AS219" s="433" t="s">
        <v>762</v>
      </c>
      <c r="AT219" s="433" t="s">
        <v>762</v>
      </c>
      <c r="AU219" s="433" t="s">
        <v>762</v>
      </c>
      <c r="AV219" s="433" t="s">
        <v>762</v>
      </c>
      <c r="AW219" s="433" t="s">
        <v>762</v>
      </c>
      <c r="AX219" s="433" t="s">
        <v>762</v>
      </c>
      <c r="AY219" s="433" t="s">
        <v>762</v>
      </c>
      <c r="AZ219" s="433" t="s">
        <v>762</v>
      </c>
      <c r="BA219" s="433" t="s">
        <v>762</v>
      </c>
      <c r="BB219" s="433" t="s">
        <v>762</v>
      </c>
      <c r="BC219" s="433" t="s">
        <v>762</v>
      </c>
      <c r="BD219" s="433" t="s">
        <v>762</v>
      </c>
      <c r="BE219" s="433" t="s">
        <v>762</v>
      </c>
      <c r="BF219" s="433" t="s">
        <v>762</v>
      </c>
      <c r="BG219" s="433" t="s">
        <v>762</v>
      </c>
      <c r="BH219" s="433" t="s">
        <v>762</v>
      </c>
      <c r="BI219" s="433" t="s">
        <v>762</v>
      </c>
      <c r="BJ219" s="433" t="s">
        <v>762</v>
      </c>
      <c r="BK219" s="433" t="s">
        <v>762</v>
      </c>
      <c r="BL219" s="433" t="s">
        <v>762</v>
      </c>
      <c r="BM219" s="433" t="s">
        <v>762</v>
      </c>
      <c r="BN219" s="433" t="s">
        <v>762</v>
      </c>
      <c r="BO219" s="433" t="s">
        <v>762</v>
      </c>
      <c r="BP219" s="433" t="s">
        <v>762</v>
      </c>
      <c r="BQ219" s="433" t="s">
        <v>762</v>
      </c>
      <c r="BR219" s="433" t="s">
        <v>762</v>
      </c>
      <c r="BS219" s="433" t="s">
        <v>762</v>
      </c>
      <c r="BT219" s="433" t="s">
        <v>762</v>
      </c>
      <c r="BU219" s="433" t="s">
        <v>762</v>
      </c>
      <c r="BV219" s="433" t="s">
        <v>762</v>
      </c>
      <c r="BW219" s="433" t="s">
        <v>762</v>
      </c>
      <c r="BX219" s="433" t="s">
        <v>762</v>
      </c>
      <c r="BY219" s="433" t="s">
        <v>762</v>
      </c>
      <c r="BZ219" s="433" t="s">
        <v>762</v>
      </c>
      <c r="CA219" s="433" t="s">
        <v>762</v>
      </c>
      <c r="CB219" s="433" t="s">
        <v>762</v>
      </c>
      <c r="CC219" s="433" t="s">
        <v>762</v>
      </c>
      <c r="CD219" s="433" t="s">
        <v>762</v>
      </c>
      <c r="CE219" s="433" t="s">
        <v>762</v>
      </c>
      <c r="CF219" s="433" t="s">
        <v>762</v>
      </c>
      <c r="CG219" s="239" t="s">
        <v>762</v>
      </c>
      <c r="CH219" s="239" t="s">
        <v>762</v>
      </c>
      <c r="CI219" s="239" t="s">
        <v>762</v>
      </c>
      <c r="CJ219" s="239" t="s">
        <v>762</v>
      </c>
      <c r="CK219" s="239" t="s">
        <v>762</v>
      </c>
      <c r="CL219" s="239" t="s">
        <v>762</v>
      </c>
    </row>
    <row r="220" spans="1:90" s="434" customFormat="1">
      <c r="A220" s="239" t="s">
        <v>614</v>
      </c>
      <c r="B220" s="239" t="s">
        <v>626</v>
      </c>
      <c r="C220" s="433" t="s">
        <v>762</v>
      </c>
      <c r="D220" s="433" t="s">
        <v>762</v>
      </c>
      <c r="E220" s="433" t="s">
        <v>762</v>
      </c>
      <c r="F220" s="433" t="s">
        <v>762</v>
      </c>
      <c r="G220" s="433" t="s">
        <v>762</v>
      </c>
      <c r="H220" s="433" t="s">
        <v>762</v>
      </c>
      <c r="I220" s="433" t="s">
        <v>762</v>
      </c>
      <c r="J220" s="433" t="s">
        <v>762</v>
      </c>
      <c r="K220" s="433" t="s">
        <v>762</v>
      </c>
      <c r="L220" s="433" t="s">
        <v>762</v>
      </c>
      <c r="M220" s="433" t="s">
        <v>762</v>
      </c>
      <c r="N220" s="433" t="s">
        <v>762</v>
      </c>
      <c r="O220" s="433" t="s">
        <v>762</v>
      </c>
      <c r="P220" s="433" t="s">
        <v>762</v>
      </c>
      <c r="Q220" s="433" t="s">
        <v>762</v>
      </c>
      <c r="R220" s="433" t="s">
        <v>762</v>
      </c>
      <c r="S220" s="433" t="s">
        <v>762</v>
      </c>
      <c r="T220" s="433" t="s">
        <v>762</v>
      </c>
      <c r="U220" s="433" t="s">
        <v>762</v>
      </c>
      <c r="V220" s="433" t="s">
        <v>762</v>
      </c>
      <c r="W220" s="433" t="s">
        <v>762</v>
      </c>
      <c r="X220" s="433" t="s">
        <v>762</v>
      </c>
      <c r="Y220" s="433" t="s">
        <v>762</v>
      </c>
      <c r="Z220" s="433" t="s">
        <v>762</v>
      </c>
      <c r="AA220" s="433" t="s">
        <v>762</v>
      </c>
      <c r="AB220" s="433" t="s">
        <v>762</v>
      </c>
      <c r="AC220" s="433" t="s">
        <v>762</v>
      </c>
      <c r="AD220" s="433" t="s">
        <v>762</v>
      </c>
      <c r="AE220" s="433" t="s">
        <v>762</v>
      </c>
      <c r="AF220" s="433" t="s">
        <v>762</v>
      </c>
      <c r="AG220" s="433" t="s">
        <v>762</v>
      </c>
      <c r="AH220" s="433" t="s">
        <v>762</v>
      </c>
      <c r="AI220" s="433" t="s">
        <v>762</v>
      </c>
      <c r="AJ220" s="433" t="s">
        <v>762</v>
      </c>
      <c r="AK220" s="433" t="s">
        <v>762</v>
      </c>
      <c r="AL220" s="433" t="s">
        <v>762</v>
      </c>
      <c r="AM220" s="433" t="s">
        <v>762</v>
      </c>
      <c r="AN220" s="433" t="s">
        <v>762</v>
      </c>
      <c r="AO220" s="433" t="s">
        <v>762</v>
      </c>
      <c r="AP220" s="433" t="s">
        <v>762</v>
      </c>
      <c r="AQ220" s="433" t="s">
        <v>762</v>
      </c>
      <c r="AR220" s="433" t="s">
        <v>762</v>
      </c>
      <c r="AS220" s="433" t="s">
        <v>762</v>
      </c>
      <c r="AT220" s="433" t="s">
        <v>762</v>
      </c>
      <c r="AU220" s="433" t="s">
        <v>762</v>
      </c>
      <c r="AV220" s="433" t="s">
        <v>762</v>
      </c>
      <c r="AW220" s="433" t="s">
        <v>762</v>
      </c>
      <c r="AX220" s="433" t="s">
        <v>762</v>
      </c>
      <c r="AY220" s="433" t="s">
        <v>762</v>
      </c>
      <c r="AZ220" s="433" t="s">
        <v>762</v>
      </c>
      <c r="BA220" s="433" t="s">
        <v>762</v>
      </c>
      <c r="BB220" s="433" t="s">
        <v>762</v>
      </c>
      <c r="BC220" s="433" t="s">
        <v>762</v>
      </c>
      <c r="BD220" s="433" t="s">
        <v>762</v>
      </c>
      <c r="BE220" s="433" t="s">
        <v>762</v>
      </c>
      <c r="BF220" s="433" t="s">
        <v>762</v>
      </c>
      <c r="BG220" s="433" t="s">
        <v>762</v>
      </c>
      <c r="BH220" s="433" t="s">
        <v>762</v>
      </c>
      <c r="BI220" s="433" t="s">
        <v>762</v>
      </c>
      <c r="BJ220" s="433" t="s">
        <v>762</v>
      </c>
      <c r="BK220" s="433" t="s">
        <v>762</v>
      </c>
      <c r="BL220" s="433" t="s">
        <v>762</v>
      </c>
      <c r="BM220" s="433" t="s">
        <v>762</v>
      </c>
      <c r="BN220" s="433" t="s">
        <v>762</v>
      </c>
      <c r="BO220" s="433" t="s">
        <v>762</v>
      </c>
      <c r="BP220" s="433" t="s">
        <v>762</v>
      </c>
      <c r="BQ220" s="433" t="s">
        <v>762</v>
      </c>
      <c r="BR220" s="433" t="s">
        <v>762</v>
      </c>
      <c r="BS220" s="433" t="s">
        <v>762</v>
      </c>
      <c r="BT220" s="433" t="s">
        <v>762</v>
      </c>
      <c r="BU220" s="433" t="s">
        <v>762</v>
      </c>
      <c r="BV220" s="433" t="s">
        <v>762</v>
      </c>
      <c r="BW220" s="433" t="s">
        <v>762</v>
      </c>
      <c r="BX220" s="433" t="s">
        <v>762</v>
      </c>
      <c r="BY220" s="433" t="s">
        <v>762</v>
      </c>
      <c r="BZ220" s="433" t="s">
        <v>762</v>
      </c>
      <c r="CA220" s="433" t="s">
        <v>762</v>
      </c>
      <c r="CB220" s="433" t="s">
        <v>762</v>
      </c>
      <c r="CC220" s="433" t="s">
        <v>762</v>
      </c>
      <c r="CD220" s="433" t="s">
        <v>762</v>
      </c>
      <c r="CE220" s="433" t="s">
        <v>762</v>
      </c>
      <c r="CF220" s="433" t="s">
        <v>762</v>
      </c>
      <c r="CG220" s="239" t="s">
        <v>762</v>
      </c>
      <c r="CH220" s="239" t="s">
        <v>762</v>
      </c>
      <c r="CI220" s="239" t="s">
        <v>762</v>
      </c>
      <c r="CJ220" s="239" t="s">
        <v>762</v>
      </c>
      <c r="CK220" s="239" t="s">
        <v>762</v>
      </c>
      <c r="CL220" s="239" t="s">
        <v>762</v>
      </c>
    </row>
    <row r="221" spans="1:90" s="434" customFormat="1">
      <c r="A221" s="239" t="s">
        <v>615</v>
      </c>
      <c r="B221" s="239" t="s">
        <v>626</v>
      </c>
      <c r="C221" s="433" t="s">
        <v>762</v>
      </c>
      <c r="D221" s="433" t="s">
        <v>762</v>
      </c>
      <c r="E221" s="433" t="s">
        <v>762</v>
      </c>
      <c r="F221" s="433" t="s">
        <v>762</v>
      </c>
      <c r="G221" s="433" t="s">
        <v>762</v>
      </c>
      <c r="H221" s="433" t="s">
        <v>762</v>
      </c>
      <c r="I221" s="433" t="s">
        <v>762</v>
      </c>
      <c r="J221" s="433" t="s">
        <v>762</v>
      </c>
      <c r="K221" s="433" t="s">
        <v>762</v>
      </c>
      <c r="L221" s="433" t="s">
        <v>762</v>
      </c>
      <c r="M221" s="433" t="s">
        <v>762</v>
      </c>
      <c r="N221" s="433" t="s">
        <v>762</v>
      </c>
      <c r="O221" s="433" t="s">
        <v>762</v>
      </c>
      <c r="P221" s="433" t="s">
        <v>762</v>
      </c>
      <c r="Q221" s="433" t="s">
        <v>762</v>
      </c>
      <c r="R221" s="433" t="s">
        <v>762</v>
      </c>
      <c r="S221" s="433" t="s">
        <v>762</v>
      </c>
      <c r="T221" s="433" t="s">
        <v>762</v>
      </c>
      <c r="U221" s="433" t="s">
        <v>762</v>
      </c>
      <c r="V221" s="433" t="s">
        <v>762</v>
      </c>
      <c r="W221" s="433" t="s">
        <v>762</v>
      </c>
      <c r="X221" s="433" t="s">
        <v>762</v>
      </c>
      <c r="Y221" s="433" t="s">
        <v>762</v>
      </c>
      <c r="Z221" s="433" t="s">
        <v>762</v>
      </c>
      <c r="AA221" s="433" t="s">
        <v>762</v>
      </c>
      <c r="AB221" s="433" t="s">
        <v>762</v>
      </c>
      <c r="AC221" s="433" t="s">
        <v>762</v>
      </c>
      <c r="AD221" s="433" t="s">
        <v>762</v>
      </c>
      <c r="AE221" s="433" t="s">
        <v>762</v>
      </c>
      <c r="AF221" s="433" t="s">
        <v>762</v>
      </c>
      <c r="AG221" s="433" t="s">
        <v>762</v>
      </c>
      <c r="AH221" s="433" t="s">
        <v>762</v>
      </c>
      <c r="AI221" s="433" t="s">
        <v>762</v>
      </c>
      <c r="AJ221" s="433" t="s">
        <v>762</v>
      </c>
      <c r="AK221" s="433" t="s">
        <v>762</v>
      </c>
      <c r="AL221" s="433" t="s">
        <v>762</v>
      </c>
      <c r="AM221" s="433" t="s">
        <v>762</v>
      </c>
      <c r="AN221" s="433" t="s">
        <v>762</v>
      </c>
      <c r="AO221" s="433" t="s">
        <v>762</v>
      </c>
      <c r="AP221" s="433" t="s">
        <v>762</v>
      </c>
      <c r="AQ221" s="433" t="s">
        <v>762</v>
      </c>
      <c r="AR221" s="433" t="s">
        <v>762</v>
      </c>
      <c r="AS221" s="433" t="s">
        <v>762</v>
      </c>
      <c r="AT221" s="433" t="s">
        <v>762</v>
      </c>
      <c r="AU221" s="433" t="s">
        <v>762</v>
      </c>
      <c r="AV221" s="433" t="s">
        <v>762</v>
      </c>
      <c r="AW221" s="433" t="s">
        <v>762</v>
      </c>
      <c r="AX221" s="433" t="s">
        <v>762</v>
      </c>
      <c r="AY221" s="433" t="s">
        <v>762</v>
      </c>
      <c r="AZ221" s="433" t="s">
        <v>762</v>
      </c>
      <c r="BA221" s="433" t="s">
        <v>762</v>
      </c>
      <c r="BB221" s="433" t="s">
        <v>762</v>
      </c>
      <c r="BC221" s="433" t="s">
        <v>762</v>
      </c>
      <c r="BD221" s="433" t="s">
        <v>762</v>
      </c>
      <c r="BE221" s="433" t="s">
        <v>762</v>
      </c>
      <c r="BF221" s="433" t="s">
        <v>762</v>
      </c>
      <c r="BG221" s="433" t="s">
        <v>762</v>
      </c>
      <c r="BH221" s="433" t="s">
        <v>762</v>
      </c>
      <c r="BI221" s="433" t="s">
        <v>762</v>
      </c>
      <c r="BJ221" s="433" t="s">
        <v>762</v>
      </c>
      <c r="BK221" s="433" t="s">
        <v>762</v>
      </c>
      <c r="BL221" s="433" t="s">
        <v>762</v>
      </c>
      <c r="BM221" s="433" t="s">
        <v>762</v>
      </c>
      <c r="BN221" s="433" t="s">
        <v>762</v>
      </c>
      <c r="BO221" s="433" t="s">
        <v>762</v>
      </c>
      <c r="BP221" s="433" t="s">
        <v>762</v>
      </c>
      <c r="BQ221" s="433" t="s">
        <v>762</v>
      </c>
      <c r="BR221" s="433" t="s">
        <v>762</v>
      </c>
      <c r="BS221" s="433" t="s">
        <v>762</v>
      </c>
      <c r="BT221" s="433" t="s">
        <v>762</v>
      </c>
      <c r="BU221" s="433" t="s">
        <v>762</v>
      </c>
      <c r="BV221" s="433" t="s">
        <v>762</v>
      </c>
      <c r="BW221" s="433" t="s">
        <v>762</v>
      </c>
      <c r="BX221" s="433" t="s">
        <v>762</v>
      </c>
      <c r="BY221" s="433" t="s">
        <v>762</v>
      </c>
      <c r="BZ221" s="433" t="s">
        <v>762</v>
      </c>
      <c r="CA221" s="433" t="s">
        <v>762</v>
      </c>
      <c r="CB221" s="433" t="s">
        <v>762</v>
      </c>
      <c r="CC221" s="433" t="s">
        <v>762</v>
      </c>
      <c r="CD221" s="433" t="s">
        <v>762</v>
      </c>
      <c r="CE221" s="433" t="s">
        <v>762</v>
      </c>
      <c r="CF221" s="433" t="s">
        <v>762</v>
      </c>
      <c r="CG221" s="239" t="s">
        <v>762</v>
      </c>
      <c r="CH221" s="239" t="s">
        <v>762</v>
      </c>
      <c r="CI221" s="239" t="s">
        <v>762</v>
      </c>
      <c r="CJ221" s="239" t="s">
        <v>762</v>
      </c>
      <c r="CK221" s="239" t="s">
        <v>762</v>
      </c>
      <c r="CL221" s="239" t="s">
        <v>762</v>
      </c>
    </row>
    <row r="222" spans="1:90" s="434" customFormat="1">
      <c r="A222" s="239" t="s">
        <v>616</v>
      </c>
      <c r="B222" s="239" t="s">
        <v>626</v>
      </c>
      <c r="C222" s="433" t="s">
        <v>762</v>
      </c>
      <c r="D222" s="433" t="s">
        <v>762</v>
      </c>
      <c r="E222" s="433" t="s">
        <v>762</v>
      </c>
      <c r="F222" s="433" t="s">
        <v>762</v>
      </c>
      <c r="G222" s="433" t="s">
        <v>762</v>
      </c>
      <c r="H222" s="433" t="s">
        <v>762</v>
      </c>
      <c r="I222" s="433" t="s">
        <v>762</v>
      </c>
      <c r="J222" s="433" t="s">
        <v>762</v>
      </c>
      <c r="K222" s="433" t="s">
        <v>762</v>
      </c>
      <c r="L222" s="433" t="s">
        <v>762</v>
      </c>
      <c r="M222" s="433" t="s">
        <v>762</v>
      </c>
      <c r="N222" s="433" t="s">
        <v>762</v>
      </c>
      <c r="O222" s="433" t="s">
        <v>762</v>
      </c>
      <c r="P222" s="433" t="s">
        <v>762</v>
      </c>
      <c r="Q222" s="433" t="s">
        <v>762</v>
      </c>
      <c r="R222" s="433" t="s">
        <v>762</v>
      </c>
      <c r="S222" s="433" t="s">
        <v>762</v>
      </c>
      <c r="T222" s="433" t="s">
        <v>762</v>
      </c>
      <c r="U222" s="433" t="s">
        <v>762</v>
      </c>
      <c r="V222" s="433" t="s">
        <v>762</v>
      </c>
      <c r="W222" s="433" t="s">
        <v>762</v>
      </c>
      <c r="X222" s="433" t="s">
        <v>762</v>
      </c>
      <c r="Y222" s="433" t="s">
        <v>762</v>
      </c>
      <c r="Z222" s="433" t="s">
        <v>762</v>
      </c>
      <c r="AA222" s="433" t="s">
        <v>762</v>
      </c>
      <c r="AB222" s="433" t="s">
        <v>762</v>
      </c>
      <c r="AC222" s="433" t="s">
        <v>762</v>
      </c>
      <c r="AD222" s="433" t="s">
        <v>762</v>
      </c>
      <c r="AE222" s="433" t="s">
        <v>762</v>
      </c>
      <c r="AF222" s="433" t="s">
        <v>762</v>
      </c>
      <c r="AG222" s="433" t="s">
        <v>762</v>
      </c>
      <c r="AH222" s="433" t="s">
        <v>762</v>
      </c>
      <c r="AI222" s="433" t="s">
        <v>762</v>
      </c>
      <c r="AJ222" s="433" t="s">
        <v>762</v>
      </c>
      <c r="AK222" s="433" t="s">
        <v>762</v>
      </c>
      <c r="AL222" s="433" t="s">
        <v>762</v>
      </c>
      <c r="AM222" s="433" t="s">
        <v>762</v>
      </c>
      <c r="AN222" s="433" t="s">
        <v>762</v>
      </c>
      <c r="AO222" s="433" t="s">
        <v>762</v>
      </c>
      <c r="AP222" s="433" t="s">
        <v>762</v>
      </c>
      <c r="AQ222" s="433" t="s">
        <v>762</v>
      </c>
      <c r="AR222" s="433" t="s">
        <v>762</v>
      </c>
      <c r="AS222" s="433" t="s">
        <v>762</v>
      </c>
      <c r="AT222" s="433" t="s">
        <v>762</v>
      </c>
      <c r="AU222" s="433" t="s">
        <v>762</v>
      </c>
      <c r="AV222" s="433" t="s">
        <v>762</v>
      </c>
      <c r="AW222" s="433" t="s">
        <v>762</v>
      </c>
      <c r="AX222" s="433" t="s">
        <v>762</v>
      </c>
      <c r="AY222" s="433" t="s">
        <v>762</v>
      </c>
      <c r="AZ222" s="433" t="s">
        <v>762</v>
      </c>
      <c r="BA222" s="433" t="s">
        <v>762</v>
      </c>
      <c r="BB222" s="433" t="s">
        <v>762</v>
      </c>
      <c r="BC222" s="433" t="s">
        <v>762</v>
      </c>
      <c r="BD222" s="433" t="s">
        <v>762</v>
      </c>
      <c r="BE222" s="433" t="s">
        <v>762</v>
      </c>
      <c r="BF222" s="433" t="s">
        <v>762</v>
      </c>
      <c r="BG222" s="433" t="s">
        <v>762</v>
      </c>
      <c r="BH222" s="433" t="s">
        <v>762</v>
      </c>
      <c r="BI222" s="433" t="s">
        <v>762</v>
      </c>
      <c r="BJ222" s="433" t="s">
        <v>762</v>
      </c>
      <c r="BK222" s="433" t="s">
        <v>762</v>
      </c>
      <c r="BL222" s="433" t="s">
        <v>762</v>
      </c>
      <c r="BM222" s="433" t="s">
        <v>762</v>
      </c>
      <c r="BN222" s="433" t="s">
        <v>762</v>
      </c>
      <c r="BO222" s="433" t="s">
        <v>762</v>
      </c>
      <c r="BP222" s="433" t="s">
        <v>762</v>
      </c>
      <c r="BQ222" s="433" t="s">
        <v>762</v>
      </c>
      <c r="BR222" s="433" t="s">
        <v>762</v>
      </c>
      <c r="BS222" s="433" t="s">
        <v>762</v>
      </c>
      <c r="BT222" s="433" t="s">
        <v>762</v>
      </c>
      <c r="BU222" s="433" t="s">
        <v>762</v>
      </c>
      <c r="BV222" s="433" t="s">
        <v>762</v>
      </c>
      <c r="BW222" s="433" t="s">
        <v>762</v>
      </c>
      <c r="BX222" s="433" t="s">
        <v>762</v>
      </c>
      <c r="BY222" s="433" t="s">
        <v>762</v>
      </c>
      <c r="BZ222" s="433" t="s">
        <v>762</v>
      </c>
      <c r="CA222" s="433" t="s">
        <v>762</v>
      </c>
      <c r="CB222" s="433" t="s">
        <v>762</v>
      </c>
      <c r="CC222" s="433" t="s">
        <v>762</v>
      </c>
      <c r="CD222" s="433" t="s">
        <v>762</v>
      </c>
      <c r="CE222" s="433" t="s">
        <v>762</v>
      </c>
      <c r="CF222" s="433" t="s">
        <v>762</v>
      </c>
      <c r="CG222" s="239" t="s">
        <v>762</v>
      </c>
      <c r="CH222" s="239" t="s">
        <v>762</v>
      </c>
      <c r="CI222" s="239" t="s">
        <v>762</v>
      </c>
      <c r="CJ222" s="239" t="s">
        <v>762</v>
      </c>
      <c r="CK222" s="239" t="s">
        <v>762</v>
      </c>
      <c r="CL222" s="239" t="s">
        <v>762</v>
      </c>
    </row>
    <row r="223" spans="1:90" s="434" customFormat="1">
      <c r="A223" s="239" t="s">
        <v>617</v>
      </c>
      <c r="B223" s="239" t="s">
        <v>626</v>
      </c>
      <c r="C223" s="433">
        <f t="shared" ref="C223:AD223" si="183">B930</f>
        <v>160</v>
      </c>
      <c r="D223" s="433">
        <f t="shared" si="183"/>
        <v>160</v>
      </c>
      <c r="E223" s="433">
        <f t="shared" si="183"/>
        <v>160</v>
      </c>
      <c r="F223" s="433">
        <f t="shared" si="183"/>
        <v>160</v>
      </c>
      <c r="G223" s="433">
        <f t="shared" si="183"/>
        <v>160</v>
      </c>
      <c r="H223" s="433">
        <f t="shared" si="183"/>
        <v>160</v>
      </c>
      <c r="I223" s="433">
        <f t="shared" si="183"/>
        <v>160</v>
      </c>
      <c r="J223" s="433">
        <f t="shared" si="183"/>
        <v>160</v>
      </c>
      <c r="K223" s="433">
        <f t="shared" si="183"/>
        <v>160</v>
      </c>
      <c r="L223" s="433">
        <f t="shared" si="183"/>
        <v>160</v>
      </c>
      <c r="M223" s="433">
        <f t="shared" si="183"/>
        <v>160</v>
      </c>
      <c r="N223" s="433">
        <f t="shared" si="183"/>
        <v>160</v>
      </c>
      <c r="O223" s="433">
        <f t="shared" si="183"/>
        <v>160</v>
      </c>
      <c r="P223" s="433">
        <f t="shared" si="183"/>
        <v>160</v>
      </c>
      <c r="Q223" s="433">
        <f t="shared" si="183"/>
        <v>160</v>
      </c>
      <c r="R223" s="433">
        <f t="shared" si="183"/>
        <v>160</v>
      </c>
      <c r="S223" s="433">
        <f t="shared" si="183"/>
        <v>160</v>
      </c>
      <c r="T223" s="433">
        <f t="shared" si="183"/>
        <v>160</v>
      </c>
      <c r="U223" s="433">
        <f t="shared" si="183"/>
        <v>160</v>
      </c>
      <c r="V223" s="433">
        <f t="shared" si="183"/>
        <v>160</v>
      </c>
      <c r="W223" s="433">
        <f t="shared" si="183"/>
        <v>160</v>
      </c>
      <c r="X223" s="433">
        <f t="shared" si="183"/>
        <v>160</v>
      </c>
      <c r="Y223" s="433">
        <f t="shared" si="183"/>
        <v>160</v>
      </c>
      <c r="Z223" s="433">
        <f t="shared" si="183"/>
        <v>160</v>
      </c>
      <c r="AA223" s="433">
        <f t="shared" si="183"/>
        <v>160</v>
      </c>
      <c r="AB223" s="433">
        <f t="shared" si="183"/>
        <v>160</v>
      </c>
      <c r="AC223" s="433">
        <f t="shared" si="183"/>
        <v>160</v>
      </c>
      <c r="AD223" s="433">
        <f t="shared" si="183"/>
        <v>160</v>
      </c>
      <c r="AE223" s="433">
        <f t="shared" ref="AE223:AJ223" si="184">AC930</f>
        <v>160</v>
      </c>
      <c r="AF223" s="433">
        <f t="shared" si="184"/>
        <v>200</v>
      </c>
      <c r="AG223" s="433">
        <f t="shared" si="184"/>
        <v>200</v>
      </c>
      <c r="AH223" s="433">
        <f t="shared" si="184"/>
        <v>200</v>
      </c>
      <c r="AI223" s="433">
        <f t="shared" si="184"/>
        <v>200</v>
      </c>
      <c r="AJ223" s="433">
        <f t="shared" si="184"/>
        <v>200</v>
      </c>
      <c r="AK223" s="433">
        <f t="shared" ref="AK223:BO223" si="185">AI929</f>
        <v>200</v>
      </c>
      <c r="AL223" s="433">
        <f t="shared" si="185"/>
        <v>200</v>
      </c>
      <c r="AM223" s="433">
        <f t="shared" si="185"/>
        <v>200</v>
      </c>
      <c r="AN223" s="433">
        <f t="shared" si="185"/>
        <v>200</v>
      </c>
      <c r="AO223" s="433">
        <f t="shared" si="185"/>
        <v>200</v>
      </c>
      <c r="AP223" s="433">
        <f t="shared" si="185"/>
        <v>200</v>
      </c>
      <c r="AQ223" s="433">
        <f t="shared" si="185"/>
        <v>200</v>
      </c>
      <c r="AR223" s="433">
        <f t="shared" si="185"/>
        <v>200</v>
      </c>
      <c r="AS223" s="433">
        <f t="shared" si="185"/>
        <v>200</v>
      </c>
      <c r="AT223" s="433">
        <f t="shared" si="185"/>
        <v>200</v>
      </c>
      <c r="AU223" s="433">
        <f t="shared" si="185"/>
        <v>200</v>
      </c>
      <c r="AV223" s="433">
        <f t="shared" si="185"/>
        <v>200</v>
      </c>
      <c r="AW223" s="433">
        <f t="shared" si="185"/>
        <v>200</v>
      </c>
      <c r="AX223" s="433">
        <f t="shared" si="185"/>
        <v>200</v>
      </c>
      <c r="AY223" s="433">
        <f t="shared" si="185"/>
        <v>245</v>
      </c>
      <c r="AZ223" s="433">
        <f t="shared" si="185"/>
        <v>245</v>
      </c>
      <c r="BA223" s="433">
        <f t="shared" si="185"/>
        <v>245</v>
      </c>
      <c r="BB223" s="433">
        <f t="shared" si="185"/>
        <v>245</v>
      </c>
      <c r="BC223" s="433">
        <f t="shared" si="185"/>
        <v>245</v>
      </c>
      <c r="BD223" s="433">
        <f t="shared" si="185"/>
        <v>245</v>
      </c>
      <c r="BE223" s="433">
        <f t="shared" si="185"/>
        <v>245</v>
      </c>
      <c r="BF223" s="433">
        <f t="shared" si="185"/>
        <v>245</v>
      </c>
      <c r="BG223" s="433">
        <f t="shared" si="185"/>
        <v>294</v>
      </c>
      <c r="BH223" s="433">
        <f t="shared" si="185"/>
        <v>294</v>
      </c>
      <c r="BI223" s="433">
        <f t="shared" si="185"/>
        <v>294</v>
      </c>
      <c r="BJ223" s="433">
        <f t="shared" si="185"/>
        <v>294</v>
      </c>
      <c r="BK223" s="433">
        <f t="shared" si="185"/>
        <v>294</v>
      </c>
      <c r="BL223" s="433">
        <f t="shared" si="185"/>
        <v>294</v>
      </c>
      <c r="BM223" s="433">
        <f t="shared" si="185"/>
        <v>329</v>
      </c>
      <c r="BN223" s="433">
        <f t="shared" si="185"/>
        <v>329</v>
      </c>
      <c r="BO223" s="433">
        <f t="shared" si="185"/>
        <v>329</v>
      </c>
      <c r="BP223" s="433">
        <f t="shared" ref="BP223:CF223" si="186">BN929</f>
        <v>329</v>
      </c>
      <c r="BQ223" s="433">
        <f t="shared" si="186"/>
        <v>329</v>
      </c>
      <c r="BR223" s="433">
        <f t="shared" si="186"/>
        <v>329</v>
      </c>
      <c r="BS223" s="433">
        <f t="shared" si="186"/>
        <v>362</v>
      </c>
      <c r="BT223" s="433">
        <f t="shared" si="186"/>
        <v>362</v>
      </c>
      <c r="BU223" s="433">
        <f t="shared" si="186"/>
        <v>386</v>
      </c>
      <c r="BV223" s="433">
        <f t="shared" si="186"/>
        <v>414</v>
      </c>
      <c r="BW223" s="433">
        <f t="shared" si="186"/>
        <v>443</v>
      </c>
      <c r="BX223" s="433">
        <f t="shared" si="186"/>
        <v>469</v>
      </c>
      <c r="BY223" s="433">
        <f t="shared" si="186"/>
        <v>485</v>
      </c>
      <c r="BZ223" s="433">
        <f t="shared" si="186"/>
        <v>506</v>
      </c>
      <c r="CA223" s="433">
        <f t="shared" si="186"/>
        <v>506</v>
      </c>
      <c r="CB223" s="433">
        <f t="shared" si="186"/>
        <v>558</v>
      </c>
      <c r="CC223" s="433">
        <f t="shared" si="186"/>
        <v>619</v>
      </c>
      <c r="CD223" s="433">
        <f t="shared" si="186"/>
        <v>637</v>
      </c>
      <c r="CE223" s="433">
        <f t="shared" si="186"/>
        <v>724</v>
      </c>
      <c r="CF223" s="433">
        <f t="shared" si="186"/>
        <v>766</v>
      </c>
      <c r="CG223" s="239" t="s">
        <v>762</v>
      </c>
      <c r="CH223" s="239" t="s">
        <v>762</v>
      </c>
      <c r="CI223" s="239" t="s">
        <v>762</v>
      </c>
      <c r="CJ223" s="239" t="s">
        <v>762</v>
      </c>
      <c r="CK223" s="239" t="s">
        <v>762</v>
      </c>
      <c r="CL223" s="239" t="s">
        <v>762</v>
      </c>
    </row>
    <row r="224" spans="1:90" s="434" customFormat="1">
      <c r="A224" s="239" t="s">
        <v>618</v>
      </c>
      <c r="B224" s="239" t="s">
        <v>626</v>
      </c>
      <c r="C224" s="433" t="s">
        <v>762</v>
      </c>
      <c r="D224" s="433" t="s">
        <v>762</v>
      </c>
      <c r="E224" s="433" t="s">
        <v>762</v>
      </c>
      <c r="F224" s="433" t="s">
        <v>762</v>
      </c>
      <c r="G224" s="433" t="s">
        <v>762</v>
      </c>
      <c r="H224" s="433" t="s">
        <v>762</v>
      </c>
      <c r="I224" s="433" t="s">
        <v>762</v>
      </c>
      <c r="J224" s="433" t="s">
        <v>762</v>
      </c>
      <c r="K224" s="433" t="s">
        <v>762</v>
      </c>
      <c r="L224" s="433" t="s">
        <v>762</v>
      </c>
      <c r="M224" s="433" t="s">
        <v>762</v>
      </c>
      <c r="N224" s="433" t="s">
        <v>762</v>
      </c>
      <c r="O224" s="433" t="s">
        <v>762</v>
      </c>
      <c r="P224" s="433" t="s">
        <v>762</v>
      </c>
      <c r="Q224" s="433" t="s">
        <v>762</v>
      </c>
      <c r="R224" s="433" t="s">
        <v>762</v>
      </c>
      <c r="S224" s="433" t="s">
        <v>762</v>
      </c>
      <c r="T224" s="433" t="s">
        <v>762</v>
      </c>
      <c r="U224" s="433" t="s">
        <v>762</v>
      </c>
      <c r="V224" s="433" t="s">
        <v>762</v>
      </c>
      <c r="W224" s="433" t="s">
        <v>762</v>
      </c>
      <c r="X224" s="433" t="s">
        <v>762</v>
      </c>
      <c r="Y224" s="433" t="s">
        <v>762</v>
      </c>
      <c r="Z224" s="433" t="s">
        <v>762</v>
      </c>
      <c r="AA224" s="433" t="s">
        <v>762</v>
      </c>
      <c r="AB224" s="433" t="s">
        <v>762</v>
      </c>
      <c r="AC224" s="433" t="s">
        <v>762</v>
      </c>
      <c r="AD224" s="433" t="s">
        <v>762</v>
      </c>
      <c r="AE224" s="433" t="s">
        <v>762</v>
      </c>
      <c r="AF224" s="433" t="s">
        <v>762</v>
      </c>
      <c r="AG224" s="433" t="s">
        <v>762</v>
      </c>
      <c r="AH224" s="433" t="s">
        <v>762</v>
      </c>
      <c r="AI224" s="433" t="s">
        <v>762</v>
      </c>
      <c r="AJ224" s="433" t="s">
        <v>762</v>
      </c>
      <c r="AK224" s="433" t="s">
        <v>762</v>
      </c>
      <c r="AL224" s="433" t="s">
        <v>762</v>
      </c>
      <c r="AM224" s="433" t="s">
        <v>762</v>
      </c>
      <c r="AN224" s="433" t="s">
        <v>762</v>
      </c>
      <c r="AO224" s="433" t="s">
        <v>762</v>
      </c>
      <c r="AP224" s="433" t="s">
        <v>762</v>
      </c>
      <c r="AQ224" s="433" t="s">
        <v>762</v>
      </c>
      <c r="AR224" s="433" t="s">
        <v>762</v>
      </c>
      <c r="AS224" s="433" t="s">
        <v>762</v>
      </c>
      <c r="AT224" s="433" t="s">
        <v>762</v>
      </c>
      <c r="AU224" s="433" t="s">
        <v>762</v>
      </c>
      <c r="AV224" s="433" t="s">
        <v>762</v>
      </c>
      <c r="AW224" s="433" t="s">
        <v>762</v>
      </c>
      <c r="AX224" s="433" t="s">
        <v>762</v>
      </c>
      <c r="AY224" s="433" t="s">
        <v>762</v>
      </c>
      <c r="AZ224" s="433" t="s">
        <v>762</v>
      </c>
      <c r="BA224" s="433" t="s">
        <v>762</v>
      </c>
      <c r="BB224" s="433" t="s">
        <v>762</v>
      </c>
      <c r="BC224" s="433" t="s">
        <v>762</v>
      </c>
      <c r="BD224" s="433" t="s">
        <v>762</v>
      </c>
      <c r="BE224" s="433" t="s">
        <v>762</v>
      </c>
      <c r="BF224" s="433" t="s">
        <v>762</v>
      </c>
      <c r="BG224" s="433" t="s">
        <v>762</v>
      </c>
      <c r="BH224" s="433" t="s">
        <v>762</v>
      </c>
      <c r="BI224" s="433" t="s">
        <v>762</v>
      </c>
      <c r="BJ224" s="433" t="s">
        <v>762</v>
      </c>
      <c r="BK224" s="433" t="s">
        <v>762</v>
      </c>
      <c r="BL224" s="433" t="s">
        <v>762</v>
      </c>
      <c r="BM224" s="433" t="s">
        <v>762</v>
      </c>
      <c r="BN224" s="433" t="s">
        <v>762</v>
      </c>
      <c r="BO224" s="433" t="s">
        <v>762</v>
      </c>
      <c r="BP224" s="433" t="s">
        <v>762</v>
      </c>
      <c r="BQ224" s="433" t="s">
        <v>762</v>
      </c>
      <c r="BR224" s="433" t="s">
        <v>762</v>
      </c>
      <c r="BS224" s="433" t="s">
        <v>762</v>
      </c>
      <c r="BT224" s="433" t="s">
        <v>762</v>
      </c>
      <c r="BU224" s="433" t="s">
        <v>762</v>
      </c>
      <c r="BV224" s="433" t="s">
        <v>762</v>
      </c>
      <c r="BW224" s="433" t="s">
        <v>762</v>
      </c>
      <c r="BX224" s="433" t="s">
        <v>762</v>
      </c>
      <c r="BY224" s="433" t="s">
        <v>762</v>
      </c>
      <c r="BZ224" s="433" t="s">
        <v>762</v>
      </c>
      <c r="CA224" s="433" t="s">
        <v>762</v>
      </c>
      <c r="CB224" s="433" t="s">
        <v>762</v>
      </c>
      <c r="CC224" s="433" t="s">
        <v>762</v>
      </c>
      <c r="CD224" s="433" t="s">
        <v>762</v>
      </c>
      <c r="CE224" s="433" t="s">
        <v>762</v>
      </c>
      <c r="CF224" s="433" t="s">
        <v>762</v>
      </c>
      <c r="CG224" s="239" t="s">
        <v>762</v>
      </c>
      <c r="CH224" s="239" t="s">
        <v>762</v>
      </c>
      <c r="CI224" s="239" t="s">
        <v>762</v>
      </c>
      <c r="CJ224" s="239" t="s">
        <v>762</v>
      </c>
      <c r="CK224" s="239" t="s">
        <v>762</v>
      </c>
      <c r="CL224" s="239" t="s">
        <v>762</v>
      </c>
    </row>
    <row r="225" spans="1:92" s="434" customFormat="1">
      <c r="A225" s="239" t="s">
        <v>619</v>
      </c>
      <c r="B225" s="239" t="s">
        <v>626</v>
      </c>
      <c r="C225" s="433">
        <f t="shared" ref="C225:R229" si="187">C$576</f>
        <v>58.589999999999996</v>
      </c>
      <c r="D225" s="433">
        <f t="shared" si="187"/>
        <v>58.589999999999996</v>
      </c>
      <c r="E225" s="433">
        <f t="shared" si="187"/>
        <v>58.589999999999996</v>
      </c>
      <c r="F225" s="433">
        <f t="shared" si="187"/>
        <v>58.589999999999996</v>
      </c>
      <c r="G225" s="433">
        <f t="shared" si="187"/>
        <v>58.589999999999996</v>
      </c>
      <c r="H225" s="433">
        <f t="shared" si="187"/>
        <v>58.589999999999996</v>
      </c>
      <c r="I225" s="433">
        <f t="shared" si="187"/>
        <v>58.589999999999996</v>
      </c>
      <c r="J225" s="433">
        <f t="shared" si="187"/>
        <v>58.589999999999996</v>
      </c>
      <c r="K225" s="433">
        <f t="shared" si="187"/>
        <v>58.589999999999996</v>
      </c>
      <c r="L225" s="433">
        <f t="shared" si="187"/>
        <v>58.589999999999996</v>
      </c>
      <c r="M225" s="433">
        <f t="shared" si="187"/>
        <v>58.589999999999996</v>
      </c>
      <c r="N225" s="433">
        <f t="shared" si="187"/>
        <v>58.589999999999996</v>
      </c>
      <c r="O225" s="433">
        <f t="shared" si="187"/>
        <v>58.589999999999996</v>
      </c>
      <c r="P225" s="433">
        <f t="shared" si="187"/>
        <v>58.589999999999996</v>
      </c>
      <c r="Q225" s="433">
        <f t="shared" si="187"/>
        <v>58.589999999999996</v>
      </c>
      <c r="R225" s="433">
        <f t="shared" si="187"/>
        <v>58.589999999999996</v>
      </c>
      <c r="S225" s="433">
        <f t="shared" ref="S225:AD229" si="188">S$576</f>
        <v>58.589999999999996</v>
      </c>
      <c r="T225" s="433">
        <f t="shared" si="188"/>
        <v>58.589999999999996</v>
      </c>
      <c r="U225" s="433">
        <f t="shared" si="188"/>
        <v>58.589999999999996</v>
      </c>
      <c r="V225" s="433">
        <f t="shared" si="188"/>
        <v>58.589999999999996</v>
      </c>
      <c r="W225" s="433">
        <f t="shared" si="188"/>
        <v>58.589999999999996</v>
      </c>
      <c r="X225" s="433">
        <f t="shared" si="188"/>
        <v>58.589999999999996</v>
      </c>
      <c r="Y225" s="433">
        <f t="shared" si="188"/>
        <v>58.589999999999996</v>
      </c>
      <c r="Z225" s="433">
        <f t="shared" si="188"/>
        <v>58.589999999999996</v>
      </c>
      <c r="AA225" s="433">
        <f t="shared" si="188"/>
        <v>58.589999999999996</v>
      </c>
      <c r="AB225" s="433">
        <f t="shared" si="188"/>
        <v>58.589999999999996</v>
      </c>
      <c r="AC225" s="433">
        <f t="shared" si="188"/>
        <v>58.589999999999996</v>
      </c>
      <c r="AD225" s="433">
        <f t="shared" si="188"/>
        <v>58.589999999999996</v>
      </c>
      <c r="AE225" s="433">
        <f t="shared" ref="AE225:AI229" si="189">AD$576</f>
        <v>58.589999999999996</v>
      </c>
      <c r="AF225" s="433">
        <f t="shared" si="189"/>
        <v>83.100000000000009</v>
      </c>
      <c r="AG225" s="433">
        <f t="shared" si="189"/>
        <v>83.100000000000009</v>
      </c>
      <c r="AH225" s="433">
        <f t="shared" si="189"/>
        <v>83.100000000000009</v>
      </c>
      <c r="AI225" s="433">
        <f t="shared" si="189"/>
        <v>135.99</v>
      </c>
      <c r="AJ225" s="433">
        <f t="shared" ref="AJ225:AY229" si="190">AI$576</f>
        <v>135.99</v>
      </c>
      <c r="AK225" s="433">
        <f t="shared" si="190"/>
        <v>135.99</v>
      </c>
      <c r="AL225" s="433">
        <f t="shared" si="190"/>
        <v>173.4</v>
      </c>
      <c r="AM225" s="433">
        <f t="shared" si="190"/>
        <v>173.4</v>
      </c>
      <c r="AN225" s="433">
        <f t="shared" si="190"/>
        <v>173.4</v>
      </c>
      <c r="AO225" s="433">
        <f t="shared" si="190"/>
        <v>173.4</v>
      </c>
      <c r="AP225" s="433">
        <f t="shared" si="190"/>
        <v>195.33</v>
      </c>
      <c r="AQ225" s="433">
        <f t="shared" si="190"/>
        <v>195.33</v>
      </c>
      <c r="AR225" s="433">
        <f t="shared" si="190"/>
        <v>195.33</v>
      </c>
      <c r="AS225" s="433">
        <f t="shared" si="190"/>
        <v>195.33</v>
      </c>
      <c r="AT225" s="433">
        <f t="shared" si="190"/>
        <v>218.55</v>
      </c>
      <c r="AU225" s="433">
        <f t="shared" si="190"/>
        <v>218.55</v>
      </c>
      <c r="AV225" s="433">
        <f t="shared" si="190"/>
        <v>218.55</v>
      </c>
      <c r="AW225" s="433">
        <f t="shared" si="190"/>
        <v>218.55</v>
      </c>
      <c r="AX225" s="433">
        <f t="shared" si="190"/>
        <v>232.74</v>
      </c>
      <c r="AY225" s="433">
        <f t="shared" si="190"/>
        <v>232.74</v>
      </c>
      <c r="AZ225" s="433">
        <f t="shared" ref="AZ225:BO229" si="191">AY$576</f>
        <v>232.74</v>
      </c>
      <c r="BA225" s="433">
        <f t="shared" si="191"/>
        <v>232.74</v>
      </c>
      <c r="BB225" s="433">
        <f t="shared" si="191"/>
        <v>232.74</v>
      </c>
      <c r="BC225" s="433">
        <f t="shared" si="191"/>
        <v>232.74</v>
      </c>
      <c r="BD225" s="433">
        <f t="shared" si="191"/>
        <v>232.74</v>
      </c>
      <c r="BE225" s="433">
        <f t="shared" si="191"/>
        <v>232.74</v>
      </c>
      <c r="BF225" s="433">
        <f t="shared" si="191"/>
        <v>232.74</v>
      </c>
      <c r="BG225" s="433">
        <f t="shared" si="191"/>
        <v>258.85200000000003</v>
      </c>
      <c r="BH225" s="433">
        <f t="shared" si="191"/>
        <v>282.38400000000001</v>
      </c>
      <c r="BI225" s="433">
        <f t="shared" si="191"/>
        <v>294.14999999999998</v>
      </c>
      <c r="BJ225" s="433">
        <f t="shared" si="191"/>
        <v>305.916</v>
      </c>
      <c r="BK225" s="433">
        <f t="shared" si="191"/>
        <v>329.44800000000004</v>
      </c>
      <c r="BL225" s="433">
        <f t="shared" si="191"/>
        <v>352.98000000000008</v>
      </c>
      <c r="BM225" s="433">
        <f t="shared" si="191"/>
        <v>376.51200000000006</v>
      </c>
      <c r="BN225" s="433">
        <f t="shared" si="191"/>
        <v>400.04400000000004</v>
      </c>
      <c r="BO225" s="433">
        <f t="shared" si="191"/>
        <v>411.81000000000006</v>
      </c>
      <c r="BP225" s="433">
        <f t="shared" ref="BP225:CE229" si="192">BO$576</f>
        <v>423.57600000000008</v>
      </c>
      <c r="BQ225" s="433">
        <f t="shared" si="192"/>
        <v>447.10800000000006</v>
      </c>
      <c r="BR225" s="433">
        <f t="shared" si="192"/>
        <v>367.44</v>
      </c>
      <c r="BS225" s="433">
        <f t="shared" si="192"/>
        <v>413.37</v>
      </c>
      <c r="BT225" s="433">
        <f t="shared" si="192"/>
        <v>459.3</v>
      </c>
      <c r="BU225" s="433">
        <f t="shared" si="192"/>
        <v>505.23</v>
      </c>
      <c r="BV225" s="433">
        <f t="shared" si="192"/>
        <v>435.06000000000006</v>
      </c>
      <c r="BW225" s="433">
        <f t="shared" si="192"/>
        <v>507.57000000000005</v>
      </c>
      <c r="BX225" s="433">
        <f t="shared" si="192"/>
        <v>580.08000000000004</v>
      </c>
      <c r="BY225" s="433">
        <f t="shared" si="192"/>
        <v>652.59</v>
      </c>
      <c r="BZ225" s="433">
        <f t="shared" si="192"/>
        <v>467.1</v>
      </c>
      <c r="CA225" s="433">
        <f t="shared" si="192"/>
        <v>513.80999999999995</v>
      </c>
      <c r="CB225" s="433">
        <f t="shared" si="192"/>
        <v>560.52</v>
      </c>
      <c r="CC225" s="433">
        <f t="shared" si="192"/>
        <v>563.6400000000001</v>
      </c>
      <c r="CD225" s="433">
        <f t="shared" si="192"/>
        <v>644.16000000000008</v>
      </c>
      <c r="CE225" s="433">
        <f t="shared" si="192"/>
        <v>724.68000000000006</v>
      </c>
      <c r="CF225" s="433">
        <f t="shared" ref="BQ225:CF229" si="193">CE$576</f>
        <v>676.45800000000008</v>
      </c>
      <c r="CG225" s="239" t="s">
        <v>762</v>
      </c>
      <c r="CH225" s="239" t="s">
        <v>762</v>
      </c>
      <c r="CI225" s="239" t="s">
        <v>762</v>
      </c>
      <c r="CJ225" s="239" t="s">
        <v>762</v>
      </c>
      <c r="CK225" s="239" t="s">
        <v>762</v>
      </c>
      <c r="CL225" s="239" t="s">
        <v>762</v>
      </c>
    </row>
    <row r="226" spans="1:92" s="434" customFormat="1">
      <c r="A226" s="239" t="s">
        <v>620</v>
      </c>
      <c r="B226" s="239" t="s">
        <v>626</v>
      </c>
      <c r="C226" s="433">
        <f t="shared" si="187"/>
        <v>58.589999999999996</v>
      </c>
      <c r="D226" s="433">
        <f t="shared" si="187"/>
        <v>58.589999999999996</v>
      </c>
      <c r="E226" s="433">
        <f t="shared" si="187"/>
        <v>58.589999999999996</v>
      </c>
      <c r="F226" s="433">
        <f t="shared" si="187"/>
        <v>58.589999999999996</v>
      </c>
      <c r="G226" s="433">
        <f t="shared" si="187"/>
        <v>58.589999999999996</v>
      </c>
      <c r="H226" s="433">
        <f t="shared" si="187"/>
        <v>58.589999999999996</v>
      </c>
      <c r="I226" s="433">
        <f t="shared" si="187"/>
        <v>58.589999999999996</v>
      </c>
      <c r="J226" s="433">
        <f t="shared" si="187"/>
        <v>58.589999999999996</v>
      </c>
      <c r="K226" s="433">
        <f t="shared" si="187"/>
        <v>58.589999999999996</v>
      </c>
      <c r="L226" s="433">
        <f t="shared" si="187"/>
        <v>58.589999999999996</v>
      </c>
      <c r="M226" s="433">
        <f t="shared" si="187"/>
        <v>58.589999999999996</v>
      </c>
      <c r="N226" s="433">
        <f t="shared" si="187"/>
        <v>58.589999999999996</v>
      </c>
      <c r="O226" s="433">
        <f t="shared" si="187"/>
        <v>58.589999999999996</v>
      </c>
      <c r="P226" s="433">
        <f t="shared" si="187"/>
        <v>58.589999999999996</v>
      </c>
      <c r="Q226" s="433">
        <f t="shared" si="187"/>
        <v>58.589999999999996</v>
      </c>
      <c r="R226" s="433">
        <f t="shared" si="187"/>
        <v>58.589999999999996</v>
      </c>
      <c r="S226" s="433">
        <f t="shared" si="188"/>
        <v>58.589999999999996</v>
      </c>
      <c r="T226" s="433">
        <f t="shared" si="188"/>
        <v>58.589999999999996</v>
      </c>
      <c r="U226" s="433">
        <f t="shared" si="188"/>
        <v>58.589999999999996</v>
      </c>
      <c r="V226" s="433">
        <f t="shared" si="188"/>
        <v>58.589999999999996</v>
      </c>
      <c r="W226" s="433">
        <f t="shared" si="188"/>
        <v>58.589999999999996</v>
      </c>
      <c r="X226" s="433">
        <f t="shared" si="188"/>
        <v>58.589999999999996</v>
      </c>
      <c r="Y226" s="433">
        <f t="shared" si="188"/>
        <v>58.589999999999996</v>
      </c>
      <c r="Z226" s="433">
        <f t="shared" si="188"/>
        <v>58.589999999999996</v>
      </c>
      <c r="AA226" s="433">
        <f t="shared" si="188"/>
        <v>58.589999999999996</v>
      </c>
      <c r="AB226" s="433">
        <f t="shared" si="188"/>
        <v>58.589999999999996</v>
      </c>
      <c r="AC226" s="433">
        <f t="shared" si="188"/>
        <v>58.589999999999996</v>
      </c>
      <c r="AD226" s="433">
        <f t="shared" si="188"/>
        <v>58.589999999999996</v>
      </c>
      <c r="AE226" s="433">
        <f t="shared" si="189"/>
        <v>58.589999999999996</v>
      </c>
      <c r="AF226" s="433">
        <f t="shared" si="189"/>
        <v>83.100000000000009</v>
      </c>
      <c r="AG226" s="433">
        <f t="shared" si="189"/>
        <v>83.100000000000009</v>
      </c>
      <c r="AH226" s="433">
        <f t="shared" si="189"/>
        <v>83.100000000000009</v>
      </c>
      <c r="AI226" s="433">
        <f t="shared" si="189"/>
        <v>135.99</v>
      </c>
      <c r="AJ226" s="433">
        <f t="shared" si="190"/>
        <v>135.99</v>
      </c>
      <c r="AK226" s="433">
        <f t="shared" si="190"/>
        <v>135.99</v>
      </c>
      <c r="AL226" s="433">
        <f t="shared" si="190"/>
        <v>173.4</v>
      </c>
      <c r="AM226" s="433">
        <f t="shared" si="190"/>
        <v>173.4</v>
      </c>
      <c r="AN226" s="433">
        <f t="shared" si="190"/>
        <v>173.4</v>
      </c>
      <c r="AO226" s="433">
        <f t="shared" si="190"/>
        <v>173.4</v>
      </c>
      <c r="AP226" s="433">
        <f t="shared" si="190"/>
        <v>195.33</v>
      </c>
      <c r="AQ226" s="433">
        <f t="shared" si="190"/>
        <v>195.33</v>
      </c>
      <c r="AR226" s="433">
        <f t="shared" si="190"/>
        <v>195.33</v>
      </c>
      <c r="AS226" s="433">
        <f t="shared" si="190"/>
        <v>195.33</v>
      </c>
      <c r="AT226" s="433">
        <f t="shared" si="190"/>
        <v>218.55</v>
      </c>
      <c r="AU226" s="433">
        <f t="shared" si="190"/>
        <v>218.55</v>
      </c>
      <c r="AV226" s="433">
        <f t="shared" si="190"/>
        <v>218.55</v>
      </c>
      <c r="AW226" s="433">
        <f t="shared" si="190"/>
        <v>218.55</v>
      </c>
      <c r="AX226" s="433">
        <f t="shared" si="190"/>
        <v>232.74</v>
      </c>
      <c r="AY226" s="433">
        <f t="shared" si="190"/>
        <v>232.74</v>
      </c>
      <c r="AZ226" s="433">
        <f t="shared" si="191"/>
        <v>232.74</v>
      </c>
      <c r="BA226" s="433">
        <f t="shared" si="191"/>
        <v>232.74</v>
      </c>
      <c r="BB226" s="433">
        <f t="shared" si="191"/>
        <v>232.74</v>
      </c>
      <c r="BC226" s="433">
        <f t="shared" si="191"/>
        <v>232.74</v>
      </c>
      <c r="BD226" s="433">
        <f t="shared" si="191"/>
        <v>232.74</v>
      </c>
      <c r="BE226" s="433">
        <f t="shared" si="191"/>
        <v>232.74</v>
      </c>
      <c r="BF226" s="433">
        <f t="shared" si="191"/>
        <v>232.74</v>
      </c>
      <c r="BG226" s="433">
        <f t="shared" si="191"/>
        <v>258.85200000000003</v>
      </c>
      <c r="BH226" s="433">
        <f t="shared" si="191"/>
        <v>282.38400000000001</v>
      </c>
      <c r="BI226" s="433">
        <f t="shared" si="191"/>
        <v>294.14999999999998</v>
      </c>
      <c r="BJ226" s="433">
        <f t="shared" si="191"/>
        <v>305.916</v>
      </c>
      <c r="BK226" s="433">
        <f t="shared" si="191"/>
        <v>329.44800000000004</v>
      </c>
      <c r="BL226" s="433">
        <f t="shared" si="191"/>
        <v>352.98000000000008</v>
      </c>
      <c r="BM226" s="433">
        <f t="shared" si="191"/>
        <v>376.51200000000006</v>
      </c>
      <c r="BN226" s="433">
        <f t="shared" si="191"/>
        <v>400.04400000000004</v>
      </c>
      <c r="BO226" s="433">
        <f t="shared" si="191"/>
        <v>411.81000000000006</v>
      </c>
      <c r="BP226" s="433">
        <f t="shared" si="192"/>
        <v>423.57600000000008</v>
      </c>
      <c r="BQ226" s="433">
        <f t="shared" si="193"/>
        <v>447.10800000000006</v>
      </c>
      <c r="BR226" s="433">
        <f t="shared" si="193"/>
        <v>367.44</v>
      </c>
      <c r="BS226" s="433">
        <f t="shared" si="193"/>
        <v>413.37</v>
      </c>
      <c r="BT226" s="433">
        <f t="shared" si="193"/>
        <v>459.3</v>
      </c>
      <c r="BU226" s="433">
        <f t="shared" si="193"/>
        <v>505.23</v>
      </c>
      <c r="BV226" s="433">
        <f t="shared" si="193"/>
        <v>435.06000000000006</v>
      </c>
      <c r="BW226" s="433">
        <f t="shared" si="193"/>
        <v>507.57000000000005</v>
      </c>
      <c r="BX226" s="433">
        <f t="shared" si="193"/>
        <v>580.08000000000004</v>
      </c>
      <c r="BY226" s="433">
        <f t="shared" si="193"/>
        <v>652.59</v>
      </c>
      <c r="BZ226" s="433">
        <f t="shared" si="193"/>
        <v>467.1</v>
      </c>
      <c r="CA226" s="433">
        <f t="shared" si="193"/>
        <v>513.80999999999995</v>
      </c>
      <c r="CB226" s="433">
        <f t="shared" si="193"/>
        <v>560.52</v>
      </c>
      <c r="CC226" s="433">
        <f t="shared" si="193"/>
        <v>563.6400000000001</v>
      </c>
      <c r="CD226" s="433">
        <f t="shared" si="193"/>
        <v>644.16000000000008</v>
      </c>
      <c r="CE226" s="433">
        <f t="shared" si="193"/>
        <v>724.68000000000006</v>
      </c>
      <c r="CF226" s="433">
        <f t="shared" si="193"/>
        <v>676.45800000000008</v>
      </c>
      <c r="CG226" s="239" t="s">
        <v>762</v>
      </c>
      <c r="CH226" s="239" t="s">
        <v>762</v>
      </c>
      <c r="CI226" s="239" t="s">
        <v>762</v>
      </c>
      <c r="CJ226" s="239" t="s">
        <v>762</v>
      </c>
      <c r="CK226" s="239" t="s">
        <v>762</v>
      </c>
      <c r="CL226" s="239" t="s">
        <v>762</v>
      </c>
    </row>
    <row r="227" spans="1:92" s="434" customFormat="1">
      <c r="A227" s="239" t="s">
        <v>621</v>
      </c>
      <c r="B227" s="239" t="s">
        <v>626</v>
      </c>
      <c r="C227" s="433">
        <f t="shared" si="187"/>
        <v>58.589999999999996</v>
      </c>
      <c r="D227" s="433">
        <f t="shared" si="187"/>
        <v>58.589999999999996</v>
      </c>
      <c r="E227" s="433">
        <f t="shared" si="187"/>
        <v>58.589999999999996</v>
      </c>
      <c r="F227" s="433">
        <f t="shared" si="187"/>
        <v>58.589999999999996</v>
      </c>
      <c r="G227" s="433">
        <f t="shared" si="187"/>
        <v>58.589999999999996</v>
      </c>
      <c r="H227" s="433">
        <f t="shared" si="187"/>
        <v>58.589999999999996</v>
      </c>
      <c r="I227" s="433">
        <f t="shared" si="187"/>
        <v>58.589999999999996</v>
      </c>
      <c r="J227" s="433">
        <f t="shared" si="187"/>
        <v>58.589999999999996</v>
      </c>
      <c r="K227" s="433">
        <f t="shared" si="187"/>
        <v>58.589999999999996</v>
      </c>
      <c r="L227" s="433">
        <f t="shared" si="187"/>
        <v>58.589999999999996</v>
      </c>
      <c r="M227" s="433">
        <f t="shared" si="187"/>
        <v>58.589999999999996</v>
      </c>
      <c r="N227" s="433">
        <f t="shared" si="187"/>
        <v>58.589999999999996</v>
      </c>
      <c r="O227" s="433">
        <f t="shared" si="187"/>
        <v>58.589999999999996</v>
      </c>
      <c r="P227" s="433">
        <f t="shared" si="187"/>
        <v>58.589999999999996</v>
      </c>
      <c r="Q227" s="433">
        <f t="shared" si="187"/>
        <v>58.589999999999996</v>
      </c>
      <c r="R227" s="433">
        <f t="shared" si="187"/>
        <v>58.589999999999996</v>
      </c>
      <c r="S227" s="433">
        <f t="shared" si="188"/>
        <v>58.589999999999996</v>
      </c>
      <c r="T227" s="433">
        <f t="shared" si="188"/>
        <v>58.589999999999996</v>
      </c>
      <c r="U227" s="433">
        <f t="shared" si="188"/>
        <v>58.589999999999996</v>
      </c>
      <c r="V227" s="433">
        <f t="shared" si="188"/>
        <v>58.589999999999996</v>
      </c>
      <c r="W227" s="433">
        <f t="shared" si="188"/>
        <v>58.589999999999996</v>
      </c>
      <c r="X227" s="433">
        <f t="shared" si="188"/>
        <v>58.589999999999996</v>
      </c>
      <c r="Y227" s="433">
        <f t="shared" si="188"/>
        <v>58.589999999999996</v>
      </c>
      <c r="Z227" s="433">
        <f t="shared" si="188"/>
        <v>58.589999999999996</v>
      </c>
      <c r="AA227" s="433">
        <f t="shared" si="188"/>
        <v>58.589999999999996</v>
      </c>
      <c r="AB227" s="433">
        <f t="shared" si="188"/>
        <v>58.589999999999996</v>
      </c>
      <c r="AC227" s="433">
        <f t="shared" si="188"/>
        <v>58.589999999999996</v>
      </c>
      <c r="AD227" s="433">
        <f t="shared" si="188"/>
        <v>58.589999999999996</v>
      </c>
      <c r="AE227" s="433">
        <f t="shared" si="189"/>
        <v>58.589999999999996</v>
      </c>
      <c r="AF227" s="433">
        <f t="shared" si="189"/>
        <v>83.100000000000009</v>
      </c>
      <c r="AG227" s="433">
        <f t="shared" si="189"/>
        <v>83.100000000000009</v>
      </c>
      <c r="AH227" s="433">
        <f t="shared" si="189"/>
        <v>83.100000000000009</v>
      </c>
      <c r="AI227" s="433">
        <f t="shared" si="189"/>
        <v>135.99</v>
      </c>
      <c r="AJ227" s="433">
        <f t="shared" si="190"/>
        <v>135.99</v>
      </c>
      <c r="AK227" s="433">
        <f t="shared" si="190"/>
        <v>135.99</v>
      </c>
      <c r="AL227" s="433">
        <f t="shared" si="190"/>
        <v>173.4</v>
      </c>
      <c r="AM227" s="433">
        <f t="shared" si="190"/>
        <v>173.4</v>
      </c>
      <c r="AN227" s="433">
        <f t="shared" si="190"/>
        <v>173.4</v>
      </c>
      <c r="AO227" s="433">
        <f t="shared" si="190"/>
        <v>173.4</v>
      </c>
      <c r="AP227" s="433">
        <f t="shared" si="190"/>
        <v>195.33</v>
      </c>
      <c r="AQ227" s="433">
        <f t="shared" si="190"/>
        <v>195.33</v>
      </c>
      <c r="AR227" s="433">
        <f t="shared" si="190"/>
        <v>195.33</v>
      </c>
      <c r="AS227" s="433">
        <f t="shared" si="190"/>
        <v>195.33</v>
      </c>
      <c r="AT227" s="433">
        <f t="shared" si="190"/>
        <v>218.55</v>
      </c>
      <c r="AU227" s="433">
        <f t="shared" si="190"/>
        <v>218.55</v>
      </c>
      <c r="AV227" s="433">
        <f t="shared" si="190"/>
        <v>218.55</v>
      </c>
      <c r="AW227" s="433">
        <f t="shared" si="190"/>
        <v>218.55</v>
      </c>
      <c r="AX227" s="433">
        <f t="shared" si="190"/>
        <v>232.74</v>
      </c>
      <c r="AY227" s="433">
        <f t="shared" si="190"/>
        <v>232.74</v>
      </c>
      <c r="AZ227" s="433">
        <f t="shared" si="191"/>
        <v>232.74</v>
      </c>
      <c r="BA227" s="433">
        <f t="shared" si="191"/>
        <v>232.74</v>
      </c>
      <c r="BB227" s="433">
        <f t="shared" si="191"/>
        <v>232.74</v>
      </c>
      <c r="BC227" s="433">
        <f t="shared" si="191"/>
        <v>232.74</v>
      </c>
      <c r="BD227" s="433">
        <f t="shared" si="191"/>
        <v>232.74</v>
      </c>
      <c r="BE227" s="433">
        <f t="shared" si="191"/>
        <v>232.74</v>
      </c>
      <c r="BF227" s="433">
        <f t="shared" si="191"/>
        <v>232.74</v>
      </c>
      <c r="BG227" s="433">
        <f t="shared" si="191"/>
        <v>258.85200000000003</v>
      </c>
      <c r="BH227" s="433">
        <f t="shared" si="191"/>
        <v>282.38400000000001</v>
      </c>
      <c r="BI227" s="433">
        <f t="shared" si="191"/>
        <v>294.14999999999998</v>
      </c>
      <c r="BJ227" s="433">
        <f t="shared" si="191"/>
        <v>305.916</v>
      </c>
      <c r="BK227" s="433">
        <f t="shared" si="191"/>
        <v>329.44800000000004</v>
      </c>
      <c r="BL227" s="433">
        <f t="shared" si="191"/>
        <v>352.98000000000008</v>
      </c>
      <c r="BM227" s="433">
        <f t="shared" si="191"/>
        <v>376.51200000000006</v>
      </c>
      <c r="BN227" s="433">
        <f t="shared" si="191"/>
        <v>400.04400000000004</v>
      </c>
      <c r="BO227" s="433">
        <f t="shared" si="191"/>
        <v>411.81000000000006</v>
      </c>
      <c r="BP227" s="433">
        <f t="shared" si="192"/>
        <v>423.57600000000008</v>
      </c>
      <c r="BQ227" s="433">
        <f t="shared" si="193"/>
        <v>447.10800000000006</v>
      </c>
      <c r="BR227" s="433">
        <f t="shared" si="193"/>
        <v>367.44</v>
      </c>
      <c r="BS227" s="433">
        <f t="shared" si="193"/>
        <v>413.37</v>
      </c>
      <c r="BT227" s="433">
        <f t="shared" si="193"/>
        <v>459.3</v>
      </c>
      <c r="BU227" s="433">
        <f t="shared" si="193"/>
        <v>505.23</v>
      </c>
      <c r="BV227" s="433">
        <f t="shared" si="193"/>
        <v>435.06000000000006</v>
      </c>
      <c r="BW227" s="433">
        <f t="shared" si="193"/>
        <v>507.57000000000005</v>
      </c>
      <c r="BX227" s="433">
        <f t="shared" si="193"/>
        <v>580.08000000000004</v>
      </c>
      <c r="BY227" s="433">
        <f t="shared" si="193"/>
        <v>652.59</v>
      </c>
      <c r="BZ227" s="433">
        <f t="shared" si="193"/>
        <v>467.1</v>
      </c>
      <c r="CA227" s="433">
        <f t="shared" si="193"/>
        <v>513.80999999999995</v>
      </c>
      <c r="CB227" s="433">
        <f t="shared" si="193"/>
        <v>560.52</v>
      </c>
      <c r="CC227" s="433">
        <f t="shared" si="193"/>
        <v>563.6400000000001</v>
      </c>
      <c r="CD227" s="433">
        <f t="shared" si="193"/>
        <v>644.16000000000008</v>
      </c>
      <c r="CE227" s="433">
        <f t="shared" si="193"/>
        <v>724.68000000000006</v>
      </c>
      <c r="CF227" s="433">
        <f t="shared" si="193"/>
        <v>676.45800000000008</v>
      </c>
      <c r="CG227" s="239" t="s">
        <v>762</v>
      </c>
      <c r="CH227" s="239" t="s">
        <v>762</v>
      </c>
      <c r="CI227" s="239" t="s">
        <v>762</v>
      </c>
      <c r="CJ227" s="239" t="s">
        <v>762</v>
      </c>
      <c r="CK227" s="239" t="s">
        <v>762</v>
      </c>
      <c r="CL227" s="239" t="s">
        <v>762</v>
      </c>
    </row>
    <row r="228" spans="1:92" s="434" customFormat="1">
      <c r="A228" s="239" t="s">
        <v>622</v>
      </c>
      <c r="B228" s="239" t="s">
        <v>626</v>
      </c>
      <c r="C228" s="433">
        <f t="shared" si="187"/>
        <v>58.589999999999996</v>
      </c>
      <c r="D228" s="433">
        <f t="shared" si="187"/>
        <v>58.589999999999996</v>
      </c>
      <c r="E228" s="433">
        <f t="shared" si="187"/>
        <v>58.589999999999996</v>
      </c>
      <c r="F228" s="433">
        <f t="shared" si="187"/>
        <v>58.589999999999996</v>
      </c>
      <c r="G228" s="433">
        <f t="shared" si="187"/>
        <v>58.589999999999996</v>
      </c>
      <c r="H228" s="433">
        <f t="shared" si="187"/>
        <v>58.589999999999996</v>
      </c>
      <c r="I228" s="433">
        <f t="shared" si="187"/>
        <v>58.589999999999996</v>
      </c>
      <c r="J228" s="433">
        <f t="shared" si="187"/>
        <v>58.589999999999996</v>
      </c>
      <c r="K228" s="433">
        <f t="shared" si="187"/>
        <v>58.589999999999996</v>
      </c>
      <c r="L228" s="433">
        <f t="shared" si="187"/>
        <v>58.589999999999996</v>
      </c>
      <c r="M228" s="433">
        <f t="shared" si="187"/>
        <v>58.589999999999996</v>
      </c>
      <c r="N228" s="433">
        <f t="shared" si="187"/>
        <v>58.589999999999996</v>
      </c>
      <c r="O228" s="433">
        <f t="shared" si="187"/>
        <v>58.589999999999996</v>
      </c>
      <c r="P228" s="433">
        <f t="shared" si="187"/>
        <v>58.589999999999996</v>
      </c>
      <c r="Q228" s="433">
        <f t="shared" si="187"/>
        <v>58.589999999999996</v>
      </c>
      <c r="R228" s="433">
        <f t="shared" si="187"/>
        <v>58.589999999999996</v>
      </c>
      <c r="S228" s="433">
        <f t="shared" si="188"/>
        <v>58.589999999999996</v>
      </c>
      <c r="T228" s="433">
        <f t="shared" si="188"/>
        <v>58.589999999999996</v>
      </c>
      <c r="U228" s="433">
        <f t="shared" si="188"/>
        <v>58.589999999999996</v>
      </c>
      <c r="V228" s="433">
        <f t="shared" si="188"/>
        <v>58.589999999999996</v>
      </c>
      <c r="W228" s="433">
        <f t="shared" si="188"/>
        <v>58.589999999999996</v>
      </c>
      <c r="X228" s="433">
        <f t="shared" si="188"/>
        <v>58.589999999999996</v>
      </c>
      <c r="Y228" s="433">
        <f t="shared" si="188"/>
        <v>58.589999999999996</v>
      </c>
      <c r="Z228" s="433">
        <f t="shared" si="188"/>
        <v>58.589999999999996</v>
      </c>
      <c r="AA228" s="433">
        <f t="shared" si="188"/>
        <v>58.589999999999996</v>
      </c>
      <c r="AB228" s="433">
        <f t="shared" si="188"/>
        <v>58.589999999999996</v>
      </c>
      <c r="AC228" s="433">
        <f t="shared" si="188"/>
        <v>58.589999999999996</v>
      </c>
      <c r="AD228" s="433">
        <f t="shared" si="188"/>
        <v>58.589999999999996</v>
      </c>
      <c r="AE228" s="433">
        <f t="shared" si="189"/>
        <v>58.589999999999996</v>
      </c>
      <c r="AF228" s="433">
        <f t="shared" si="189"/>
        <v>83.100000000000009</v>
      </c>
      <c r="AG228" s="433">
        <f t="shared" si="189"/>
        <v>83.100000000000009</v>
      </c>
      <c r="AH228" s="433">
        <f t="shared" si="189"/>
        <v>83.100000000000009</v>
      </c>
      <c r="AI228" s="433">
        <f t="shared" si="189"/>
        <v>135.99</v>
      </c>
      <c r="AJ228" s="433">
        <f t="shared" si="190"/>
        <v>135.99</v>
      </c>
      <c r="AK228" s="433">
        <f t="shared" si="190"/>
        <v>135.99</v>
      </c>
      <c r="AL228" s="433">
        <f t="shared" si="190"/>
        <v>173.4</v>
      </c>
      <c r="AM228" s="433">
        <f t="shared" si="190"/>
        <v>173.4</v>
      </c>
      <c r="AN228" s="433">
        <f t="shared" si="190"/>
        <v>173.4</v>
      </c>
      <c r="AO228" s="433">
        <f t="shared" si="190"/>
        <v>173.4</v>
      </c>
      <c r="AP228" s="433">
        <f t="shared" si="190"/>
        <v>195.33</v>
      </c>
      <c r="AQ228" s="433">
        <f t="shared" si="190"/>
        <v>195.33</v>
      </c>
      <c r="AR228" s="433">
        <f t="shared" si="190"/>
        <v>195.33</v>
      </c>
      <c r="AS228" s="433">
        <f t="shared" si="190"/>
        <v>195.33</v>
      </c>
      <c r="AT228" s="433">
        <f t="shared" si="190"/>
        <v>218.55</v>
      </c>
      <c r="AU228" s="433">
        <f t="shared" si="190"/>
        <v>218.55</v>
      </c>
      <c r="AV228" s="433">
        <f t="shared" si="190"/>
        <v>218.55</v>
      </c>
      <c r="AW228" s="433">
        <f t="shared" si="190"/>
        <v>218.55</v>
      </c>
      <c r="AX228" s="433">
        <f t="shared" si="190"/>
        <v>232.74</v>
      </c>
      <c r="AY228" s="433">
        <f t="shared" si="190"/>
        <v>232.74</v>
      </c>
      <c r="AZ228" s="433">
        <f t="shared" si="191"/>
        <v>232.74</v>
      </c>
      <c r="BA228" s="433">
        <f t="shared" si="191"/>
        <v>232.74</v>
      </c>
      <c r="BB228" s="433">
        <f t="shared" si="191"/>
        <v>232.74</v>
      </c>
      <c r="BC228" s="433">
        <f t="shared" si="191"/>
        <v>232.74</v>
      </c>
      <c r="BD228" s="433">
        <f t="shared" si="191"/>
        <v>232.74</v>
      </c>
      <c r="BE228" s="433">
        <f t="shared" si="191"/>
        <v>232.74</v>
      </c>
      <c r="BF228" s="433">
        <f t="shared" si="191"/>
        <v>232.74</v>
      </c>
      <c r="BG228" s="433">
        <f t="shared" si="191"/>
        <v>258.85200000000003</v>
      </c>
      <c r="BH228" s="433">
        <f t="shared" si="191"/>
        <v>282.38400000000001</v>
      </c>
      <c r="BI228" s="433">
        <f t="shared" si="191"/>
        <v>294.14999999999998</v>
      </c>
      <c r="BJ228" s="433">
        <f t="shared" si="191"/>
        <v>305.916</v>
      </c>
      <c r="BK228" s="433">
        <f t="shared" si="191"/>
        <v>329.44800000000004</v>
      </c>
      <c r="BL228" s="433">
        <f t="shared" si="191"/>
        <v>352.98000000000008</v>
      </c>
      <c r="BM228" s="433">
        <f t="shared" si="191"/>
        <v>376.51200000000006</v>
      </c>
      <c r="BN228" s="433">
        <f t="shared" si="191"/>
        <v>400.04400000000004</v>
      </c>
      <c r="BO228" s="433">
        <f t="shared" si="191"/>
        <v>411.81000000000006</v>
      </c>
      <c r="BP228" s="433">
        <f t="shared" si="192"/>
        <v>423.57600000000008</v>
      </c>
      <c r="BQ228" s="433">
        <f t="shared" si="193"/>
        <v>447.10800000000006</v>
      </c>
      <c r="BR228" s="433">
        <f t="shared" si="193"/>
        <v>367.44</v>
      </c>
      <c r="BS228" s="433">
        <f t="shared" si="193"/>
        <v>413.37</v>
      </c>
      <c r="BT228" s="433">
        <f t="shared" si="193"/>
        <v>459.3</v>
      </c>
      <c r="BU228" s="433">
        <f t="shared" si="193"/>
        <v>505.23</v>
      </c>
      <c r="BV228" s="433">
        <f t="shared" si="193"/>
        <v>435.06000000000006</v>
      </c>
      <c r="BW228" s="433">
        <f t="shared" si="193"/>
        <v>507.57000000000005</v>
      </c>
      <c r="BX228" s="433">
        <f t="shared" si="193"/>
        <v>580.08000000000004</v>
      </c>
      <c r="BY228" s="433">
        <f t="shared" si="193"/>
        <v>652.59</v>
      </c>
      <c r="BZ228" s="433">
        <f t="shared" si="193"/>
        <v>467.1</v>
      </c>
      <c r="CA228" s="433">
        <f t="shared" si="193"/>
        <v>513.80999999999995</v>
      </c>
      <c r="CB228" s="433">
        <f t="shared" si="193"/>
        <v>560.52</v>
      </c>
      <c r="CC228" s="433">
        <f t="shared" si="193"/>
        <v>563.6400000000001</v>
      </c>
      <c r="CD228" s="433">
        <f t="shared" si="193"/>
        <v>644.16000000000008</v>
      </c>
      <c r="CE228" s="433">
        <f t="shared" si="193"/>
        <v>724.68000000000006</v>
      </c>
      <c r="CF228" s="433">
        <f t="shared" si="193"/>
        <v>676.45800000000008</v>
      </c>
      <c r="CG228" s="239" t="s">
        <v>762</v>
      </c>
      <c r="CH228" s="239" t="s">
        <v>762</v>
      </c>
      <c r="CI228" s="239" t="s">
        <v>762</v>
      </c>
      <c r="CJ228" s="239" t="s">
        <v>762</v>
      </c>
      <c r="CK228" s="239" t="s">
        <v>762</v>
      </c>
      <c r="CL228" s="239" t="s">
        <v>762</v>
      </c>
    </row>
    <row r="229" spans="1:92" s="434" customFormat="1">
      <c r="A229" s="239" t="s">
        <v>623</v>
      </c>
      <c r="B229" s="239" t="s">
        <v>626</v>
      </c>
      <c r="C229" s="433">
        <f t="shared" si="187"/>
        <v>58.589999999999996</v>
      </c>
      <c r="D229" s="433">
        <f t="shared" si="187"/>
        <v>58.589999999999996</v>
      </c>
      <c r="E229" s="433">
        <f t="shared" si="187"/>
        <v>58.589999999999996</v>
      </c>
      <c r="F229" s="433">
        <f t="shared" si="187"/>
        <v>58.589999999999996</v>
      </c>
      <c r="G229" s="433">
        <f t="shared" si="187"/>
        <v>58.589999999999996</v>
      </c>
      <c r="H229" s="433">
        <f t="shared" si="187"/>
        <v>58.589999999999996</v>
      </c>
      <c r="I229" s="433">
        <f t="shared" si="187"/>
        <v>58.589999999999996</v>
      </c>
      <c r="J229" s="433">
        <f t="shared" si="187"/>
        <v>58.589999999999996</v>
      </c>
      <c r="K229" s="433">
        <f t="shared" si="187"/>
        <v>58.589999999999996</v>
      </c>
      <c r="L229" s="433">
        <f t="shared" si="187"/>
        <v>58.589999999999996</v>
      </c>
      <c r="M229" s="433">
        <f t="shared" si="187"/>
        <v>58.589999999999996</v>
      </c>
      <c r="N229" s="433">
        <f t="shared" si="187"/>
        <v>58.589999999999996</v>
      </c>
      <c r="O229" s="433">
        <f t="shared" si="187"/>
        <v>58.589999999999996</v>
      </c>
      <c r="P229" s="433">
        <f t="shared" si="187"/>
        <v>58.589999999999996</v>
      </c>
      <c r="Q229" s="433">
        <f t="shared" si="187"/>
        <v>58.589999999999996</v>
      </c>
      <c r="R229" s="433">
        <f t="shared" si="187"/>
        <v>58.589999999999996</v>
      </c>
      <c r="S229" s="433">
        <f t="shared" si="188"/>
        <v>58.589999999999996</v>
      </c>
      <c r="T229" s="433">
        <f t="shared" si="188"/>
        <v>58.589999999999996</v>
      </c>
      <c r="U229" s="433">
        <f t="shared" si="188"/>
        <v>58.589999999999996</v>
      </c>
      <c r="V229" s="433">
        <f t="shared" si="188"/>
        <v>58.589999999999996</v>
      </c>
      <c r="W229" s="433">
        <f t="shared" si="188"/>
        <v>58.589999999999996</v>
      </c>
      <c r="X229" s="433">
        <f t="shared" si="188"/>
        <v>58.589999999999996</v>
      </c>
      <c r="Y229" s="433">
        <f t="shared" si="188"/>
        <v>58.589999999999996</v>
      </c>
      <c r="Z229" s="433">
        <f t="shared" si="188"/>
        <v>58.589999999999996</v>
      </c>
      <c r="AA229" s="433">
        <f t="shared" si="188"/>
        <v>58.589999999999996</v>
      </c>
      <c r="AB229" s="433">
        <f t="shared" si="188"/>
        <v>58.589999999999996</v>
      </c>
      <c r="AC229" s="433">
        <f t="shared" si="188"/>
        <v>58.589999999999996</v>
      </c>
      <c r="AD229" s="433">
        <f t="shared" si="188"/>
        <v>58.589999999999996</v>
      </c>
      <c r="AE229" s="433">
        <f t="shared" si="189"/>
        <v>58.589999999999996</v>
      </c>
      <c r="AF229" s="433">
        <f t="shared" si="189"/>
        <v>83.100000000000009</v>
      </c>
      <c r="AG229" s="433">
        <f t="shared" si="189"/>
        <v>83.100000000000009</v>
      </c>
      <c r="AH229" s="433">
        <f t="shared" si="189"/>
        <v>83.100000000000009</v>
      </c>
      <c r="AI229" s="433">
        <f t="shared" si="189"/>
        <v>135.99</v>
      </c>
      <c r="AJ229" s="433">
        <f t="shared" si="190"/>
        <v>135.99</v>
      </c>
      <c r="AK229" s="433">
        <f t="shared" si="190"/>
        <v>135.99</v>
      </c>
      <c r="AL229" s="433">
        <f t="shared" si="190"/>
        <v>173.4</v>
      </c>
      <c r="AM229" s="433">
        <f t="shared" si="190"/>
        <v>173.4</v>
      </c>
      <c r="AN229" s="433">
        <f t="shared" si="190"/>
        <v>173.4</v>
      </c>
      <c r="AO229" s="433">
        <f t="shared" si="190"/>
        <v>173.4</v>
      </c>
      <c r="AP229" s="433">
        <f t="shared" si="190"/>
        <v>195.33</v>
      </c>
      <c r="AQ229" s="433">
        <f t="shared" si="190"/>
        <v>195.33</v>
      </c>
      <c r="AR229" s="433">
        <f t="shared" si="190"/>
        <v>195.33</v>
      </c>
      <c r="AS229" s="433">
        <f t="shared" si="190"/>
        <v>195.33</v>
      </c>
      <c r="AT229" s="433">
        <f t="shared" si="190"/>
        <v>218.55</v>
      </c>
      <c r="AU229" s="433">
        <f t="shared" si="190"/>
        <v>218.55</v>
      </c>
      <c r="AV229" s="433">
        <f t="shared" si="190"/>
        <v>218.55</v>
      </c>
      <c r="AW229" s="433">
        <f t="shared" si="190"/>
        <v>218.55</v>
      </c>
      <c r="AX229" s="433">
        <f t="shared" si="190"/>
        <v>232.74</v>
      </c>
      <c r="AY229" s="433">
        <f t="shared" si="190"/>
        <v>232.74</v>
      </c>
      <c r="AZ229" s="433">
        <f t="shared" si="191"/>
        <v>232.74</v>
      </c>
      <c r="BA229" s="433">
        <f t="shared" si="191"/>
        <v>232.74</v>
      </c>
      <c r="BB229" s="433">
        <f t="shared" si="191"/>
        <v>232.74</v>
      </c>
      <c r="BC229" s="433">
        <f t="shared" si="191"/>
        <v>232.74</v>
      </c>
      <c r="BD229" s="433">
        <f t="shared" si="191"/>
        <v>232.74</v>
      </c>
      <c r="BE229" s="433">
        <f t="shared" si="191"/>
        <v>232.74</v>
      </c>
      <c r="BF229" s="433">
        <f t="shared" si="191"/>
        <v>232.74</v>
      </c>
      <c r="BG229" s="433">
        <f t="shared" si="191"/>
        <v>258.85200000000003</v>
      </c>
      <c r="BH229" s="433">
        <f t="shared" si="191"/>
        <v>282.38400000000001</v>
      </c>
      <c r="BI229" s="433">
        <f t="shared" si="191"/>
        <v>294.14999999999998</v>
      </c>
      <c r="BJ229" s="433">
        <f t="shared" si="191"/>
        <v>305.916</v>
      </c>
      <c r="BK229" s="433">
        <f t="shared" si="191"/>
        <v>329.44800000000004</v>
      </c>
      <c r="BL229" s="433">
        <f t="shared" si="191"/>
        <v>352.98000000000008</v>
      </c>
      <c r="BM229" s="433">
        <f t="shared" si="191"/>
        <v>376.51200000000006</v>
      </c>
      <c r="BN229" s="433">
        <f t="shared" si="191"/>
        <v>400.04400000000004</v>
      </c>
      <c r="BO229" s="433">
        <f t="shared" si="191"/>
        <v>411.81000000000006</v>
      </c>
      <c r="BP229" s="433">
        <f t="shared" si="192"/>
        <v>423.57600000000008</v>
      </c>
      <c r="BQ229" s="433">
        <f t="shared" si="193"/>
        <v>447.10800000000006</v>
      </c>
      <c r="BR229" s="433">
        <f t="shared" si="193"/>
        <v>367.44</v>
      </c>
      <c r="BS229" s="433">
        <f t="shared" si="193"/>
        <v>413.37</v>
      </c>
      <c r="BT229" s="433">
        <f t="shared" si="193"/>
        <v>459.3</v>
      </c>
      <c r="BU229" s="433">
        <f t="shared" si="193"/>
        <v>505.23</v>
      </c>
      <c r="BV229" s="433">
        <f t="shared" si="193"/>
        <v>435.06000000000006</v>
      </c>
      <c r="BW229" s="433">
        <f t="shared" si="193"/>
        <v>507.57000000000005</v>
      </c>
      <c r="BX229" s="433">
        <f t="shared" si="193"/>
        <v>580.08000000000004</v>
      </c>
      <c r="BY229" s="433">
        <f t="shared" si="193"/>
        <v>652.59</v>
      </c>
      <c r="BZ229" s="433">
        <f t="shared" si="193"/>
        <v>467.1</v>
      </c>
      <c r="CA229" s="433">
        <f t="shared" si="193"/>
        <v>513.80999999999995</v>
      </c>
      <c r="CB229" s="433">
        <f t="shared" si="193"/>
        <v>560.52</v>
      </c>
      <c r="CC229" s="433">
        <f t="shared" si="193"/>
        <v>563.6400000000001</v>
      </c>
      <c r="CD229" s="433">
        <f t="shared" si="193"/>
        <v>644.16000000000008</v>
      </c>
      <c r="CE229" s="433">
        <f t="shared" si="193"/>
        <v>724.68000000000006</v>
      </c>
      <c r="CF229" s="433">
        <f t="shared" si="193"/>
        <v>676.45800000000008</v>
      </c>
      <c r="CG229" s="239" t="s">
        <v>762</v>
      </c>
      <c r="CH229" s="239" t="s">
        <v>762</v>
      </c>
      <c r="CI229" s="239" t="s">
        <v>762</v>
      </c>
      <c r="CJ229" s="239" t="s">
        <v>762</v>
      </c>
      <c r="CK229" s="239" t="s">
        <v>762</v>
      </c>
      <c r="CL229" s="239" t="s">
        <v>762</v>
      </c>
    </row>
    <row r="230" spans="1:92" s="426" customFormat="1">
      <c r="A230" s="424" t="s">
        <v>510</v>
      </c>
      <c r="B230" s="424" t="s">
        <v>630</v>
      </c>
      <c r="C230" s="425">
        <f>$B722</f>
        <v>46.1</v>
      </c>
      <c r="D230" s="425">
        <f t="shared" ref="D230:W230" si="194">$B722</f>
        <v>46.1</v>
      </c>
      <c r="E230" s="425">
        <f t="shared" si="194"/>
        <v>46.1</v>
      </c>
      <c r="F230" s="425">
        <f t="shared" si="194"/>
        <v>46.1</v>
      </c>
      <c r="G230" s="425">
        <f t="shared" si="194"/>
        <v>46.1</v>
      </c>
      <c r="H230" s="425">
        <f t="shared" si="194"/>
        <v>46.1</v>
      </c>
      <c r="I230" s="425">
        <f t="shared" si="194"/>
        <v>46.1</v>
      </c>
      <c r="J230" s="425">
        <f t="shared" si="194"/>
        <v>46.1</v>
      </c>
      <c r="K230" s="425">
        <f t="shared" si="194"/>
        <v>46.1</v>
      </c>
      <c r="L230" s="425">
        <f t="shared" si="194"/>
        <v>46.1</v>
      </c>
      <c r="M230" s="425" t="s">
        <v>762</v>
      </c>
      <c r="N230" s="425" t="s">
        <v>762</v>
      </c>
      <c r="O230" s="425" t="s">
        <v>762</v>
      </c>
      <c r="P230" s="425" t="s">
        <v>762</v>
      </c>
      <c r="Q230" s="425" t="s">
        <v>762</v>
      </c>
      <c r="R230" s="425" t="s">
        <v>762</v>
      </c>
      <c r="S230" s="425" t="s">
        <v>762</v>
      </c>
      <c r="T230" s="425" t="s">
        <v>762</v>
      </c>
      <c r="U230" s="425" t="s">
        <v>762</v>
      </c>
      <c r="V230" s="425">
        <f t="shared" si="194"/>
        <v>46.1</v>
      </c>
      <c r="W230" s="425">
        <f t="shared" si="194"/>
        <v>46.1</v>
      </c>
      <c r="X230" s="425">
        <f>$D722</f>
        <v>53.84</v>
      </c>
      <c r="Y230" s="425">
        <f>$E722</f>
        <v>55.92</v>
      </c>
      <c r="Z230" s="425">
        <f>$F722</f>
        <v>61.58</v>
      </c>
      <c r="AA230" s="425">
        <f>$G722</f>
        <v>63.75</v>
      </c>
      <c r="AB230" s="425">
        <f>$H722</f>
        <v>65.98</v>
      </c>
      <c r="AC230" s="425">
        <f>$I722</f>
        <v>68.16</v>
      </c>
      <c r="AD230" s="425">
        <f>$I722</f>
        <v>68.16</v>
      </c>
      <c r="AE230" s="425" t="s">
        <v>762</v>
      </c>
      <c r="AF230" s="425" t="s">
        <v>762</v>
      </c>
      <c r="AG230" s="425">
        <f t="shared" ref="AG230:AG244" si="195">CH230*1.5</f>
        <v>82.640250000000009</v>
      </c>
      <c r="AH230" s="425" t="s">
        <v>762</v>
      </c>
      <c r="AI230" s="425">
        <f t="shared" ref="AI230:AI244" si="196">CH230*2</f>
        <v>110.18700000000001</v>
      </c>
      <c r="AJ230" s="425" t="s">
        <v>762</v>
      </c>
      <c r="AK230" s="425">
        <f t="shared" ref="AK230:AK244" si="197">CH230*2.5</f>
        <v>137.73375000000001</v>
      </c>
      <c r="AL230" s="425">
        <f t="shared" ref="AL230:AL244" si="198">CI230*3</f>
        <v>116.59950000000001</v>
      </c>
      <c r="AM230" s="425" t="s">
        <v>762</v>
      </c>
      <c r="AN230" s="425">
        <f t="shared" ref="AN230:AN244" si="199">CI230*3.5</f>
        <v>136.03275000000002</v>
      </c>
      <c r="AO230" s="425" t="s">
        <v>762</v>
      </c>
      <c r="AP230" s="425">
        <f t="shared" ref="AP230:AP244" si="200">CI230*4</f>
        <v>155.46600000000001</v>
      </c>
      <c r="AQ230" s="425" t="s">
        <v>762</v>
      </c>
      <c r="AR230" s="425">
        <f t="shared" ref="AR230:AR244" si="201">CI230*4.5</f>
        <v>174.89924999999999</v>
      </c>
      <c r="AS230" s="425" t="s">
        <v>762</v>
      </c>
      <c r="AT230" s="425">
        <f t="shared" ref="AT230:AT244" si="202">CJ230*5</f>
        <v>211.68</v>
      </c>
      <c r="AU230" s="425" t="s">
        <v>762</v>
      </c>
      <c r="AV230" s="425" t="s">
        <v>762</v>
      </c>
      <c r="AW230" s="425" t="s">
        <v>762</v>
      </c>
      <c r="AX230" s="425" t="s">
        <v>762</v>
      </c>
      <c r="AY230" s="425" t="s">
        <v>762</v>
      </c>
      <c r="AZ230" s="425" t="s">
        <v>762</v>
      </c>
      <c r="BA230" s="425">
        <f t="shared" ref="BA230:BA244" si="203">7.5*CK230</f>
        <v>278.33625000000001</v>
      </c>
      <c r="BB230" s="425" t="s">
        <v>762</v>
      </c>
      <c r="BC230" s="425" t="s">
        <v>762</v>
      </c>
      <c r="BD230" s="425" t="s">
        <v>762</v>
      </c>
      <c r="BE230" s="425" t="s">
        <v>762</v>
      </c>
      <c r="BF230" s="425">
        <f t="shared" ref="BF230:BF244" si="204">10*CL230</f>
        <v>380.16000000000008</v>
      </c>
      <c r="BG230" s="425" t="s">
        <v>762</v>
      </c>
      <c r="BH230" s="425" t="s">
        <v>762</v>
      </c>
      <c r="BI230" s="425">
        <f t="shared" ref="BI230:BI244" si="205">12.5*CL230</f>
        <v>475.20000000000005</v>
      </c>
      <c r="BJ230" s="425" t="s">
        <v>762</v>
      </c>
      <c r="BK230" s="425" t="s">
        <v>762</v>
      </c>
      <c r="BL230" s="425">
        <f t="shared" ref="BL230:BL244" si="206">CL230*15</f>
        <v>570.24000000000012</v>
      </c>
      <c r="BM230" s="425" t="s">
        <v>762</v>
      </c>
      <c r="BN230" s="425" t="s">
        <v>762</v>
      </c>
      <c r="BO230" s="425" t="s">
        <v>762</v>
      </c>
      <c r="BP230" s="425" t="s">
        <v>762</v>
      </c>
      <c r="BQ230" s="425" t="s">
        <v>762</v>
      </c>
      <c r="BR230" s="425" t="s">
        <v>762</v>
      </c>
      <c r="BS230" s="425" t="s">
        <v>762</v>
      </c>
      <c r="BT230" s="425" t="s">
        <v>762</v>
      </c>
      <c r="BU230" s="425" t="s">
        <v>762</v>
      </c>
      <c r="BV230" s="425" t="s">
        <v>762</v>
      </c>
      <c r="BW230" s="425" t="s">
        <v>762</v>
      </c>
      <c r="BX230" s="425" t="s">
        <v>762</v>
      </c>
      <c r="BY230" s="425" t="s">
        <v>762</v>
      </c>
      <c r="BZ230" s="425" t="s">
        <v>762</v>
      </c>
      <c r="CA230" s="425" t="s">
        <v>762</v>
      </c>
      <c r="CB230" s="425" t="s">
        <v>762</v>
      </c>
      <c r="CC230" s="425" t="s">
        <v>762</v>
      </c>
      <c r="CD230" s="425" t="s">
        <v>762</v>
      </c>
      <c r="CE230" s="425" t="s">
        <v>762</v>
      </c>
      <c r="CF230" s="425" t="s">
        <v>762</v>
      </c>
      <c r="CG230" s="424" t="s">
        <v>762</v>
      </c>
      <c r="CH230" s="425">
        <f>J722*1.35</f>
        <v>55.093500000000006</v>
      </c>
      <c r="CI230" s="425">
        <f t="shared" ref="CI230:CL244" si="207">K722*1.35</f>
        <v>38.866500000000002</v>
      </c>
      <c r="CJ230" s="425">
        <f t="shared" si="207"/>
        <v>42.335999999999999</v>
      </c>
      <c r="CK230" s="425">
        <f t="shared" si="207"/>
        <v>37.111499999999999</v>
      </c>
      <c r="CL230" s="425">
        <f t="shared" si="207"/>
        <v>38.016000000000005</v>
      </c>
      <c r="CN230" s="438"/>
    </row>
    <row r="231" spans="1:92" s="426" customFormat="1">
      <c r="A231" s="424" t="s">
        <v>511</v>
      </c>
      <c r="B231" s="424" t="s">
        <v>630</v>
      </c>
      <c r="C231" s="425">
        <f t="shared" ref="C231:W294" si="208">$B723</f>
        <v>37.200000000000003</v>
      </c>
      <c r="D231" s="425">
        <f t="shared" si="208"/>
        <v>37.200000000000003</v>
      </c>
      <c r="E231" s="425">
        <f t="shared" si="208"/>
        <v>37.200000000000003</v>
      </c>
      <c r="F231" s="425">
        <f t="shared" si="208"/>
        <v>37.200000000000003</v>
      </c>
      <c r="G231" s="425">
        <f t="shared" si="208"/>
        <v>37.200000000000003</v>
      </c>
      <c r="H231" s="425">
        <f t="shared" si="208"/>
        <v>37.200000000000003</v>
      </c>
      <c r="I231" s="425">
        <f t="shared" si="208"/>
        <v>37.200000000000003</v>
      </c>
      <c r="J231" s="425">
        <f t="shared" si="208"/>
        <v>37.200000000000003</v>
      </c>
      <c r="K231" s="425">
        <f t="shared" si="208"/>
        <v>37.200000000000003</v>
      </c>
      <c r="L231" s="425">
        <f t="shared" si="208"/>
        <v>37.200000000000003</v>
      </c>
      <c r="M231" s="425" t="s">
        <v>762</v>
      </c>
      <c r="N231" s="425" t="s">
        <v>762</v>
      </c>
      <c r="O231" s="425" t="s">
        <v>762</v>
      </c>
      <c r="P231" s="425" t="s">
        <v>762</v>
      </c>
      <c r="Q231" s="425" t="s">
        <v>762</v>
      </c>
      <c r="R231" s="425" t="s">
        <v>762</v>
      </c>
      <c r="S231" s="425" t="s">
        <v>762</v>
      </c>
      <c r="T231" s="425" t="s">
        <v>762</v>
      </c>
      <c r="U231" s="425" t="s">
        <v>762</v>
      </c>
      <c r="V231" s="425">
        <f t="shared" si="208"/>
        <v>37.200000000000003</v>
      </c>
      <c r="W231" s="425">
        <f t="shared" si="208"/>
        <v>37.200000000000003</v>
      </c>
      <c r="X231" s="425">
        <f t="shared" ref="X231:X294" si="209">$D723</f>
        <v>43.46</v>
      </c>
      <c r="Y231" s="425">
        <f t="shared" ref="Y231:Y294" si="210">$E723</f>
        <v>45.14</v>
      </c>
      <c r="Z231" s="425">
        <f t="shared" ref="Z231:Z294" si="211">$F723</f>
        <v>48.87</v>
      </c>
      <c r="AA231" s="425">
        <f t="shared" ref="AA231:AA294" si="212">$G723</f>
        <v>50.62</v>
      </c>
      <c r="AB231" s="425">
        <f t="shared" ref="AB231:AB294" si="213">$H723</f>
        <v>52.35</v>
      </c>
      <c r="AC231" s="425">
        <f t="shared" ref="AC231:AD231" si="214">$I723</f>
        <v>54.1</v>
      </c>
      <c r="AD231" s="425">
        <f t="shared" si="214"/>
        <v>54.1</v>
      </c>
      <c r="AE231" s="425" t="s">
        <v>762</v>
      </c>
      <c r="AF231" s="425" t="s">
        <v>762</v>
      </c>
      <c r="AG231" s="425">
        <f t="shared" si="195"/>
        <v>65.528999999999996</v>
      </c>
      <c r="AH231" s="425" t="s">
        <v>762</v>
      </c>
      <c r="AI231" s="425">
        <f t="shared" si="196"/>
        <v>87.372</v>
      </c>
      <c r="AJ231" s="425" t="s">
        <v>762</v>
      </c>
      <c r="AK231" s="425">
        <f t="shared" si="197"/>
        <v>109.215</v>
      </c>
      <c r="AL231" s="425">
        <f t="shared" si="198"/>
        <v>92.542500000000018</v>
      </c>
      <c r="AM231" s="425" t="s">
        <v>762</v>
      </c>
      <c r="AN231" s="425">
        <f t="shared" si="199"/>
        <v>107.96625000000002</v>
      </c>
      <c r="AO231" s="425" t="s">
        <v>762</v>
      </c>
      <c r="AP231" s="425">
        <f t="shared" si="200"/>
        <v>123.39000000000001</v>
      </c>
      <c r="AQ231" s="425" t="s">
        <v>762</v>
      </c>
      <c r="AR231" s="425">
        <f t="shared" si="201"/>
        <v>138.81375000000003</v>
      </c>
      <c r="AS231" s="425" t="s">
        <v>762</v>
      </c>
      <c r="AT231" s="425">
        <f t="shared" si="202"/>
        <v>167.8725</v>
      </c>
      <c r="AU231" s="425" t="s">
        <v>762</v>
      </c>
      <c r="AV231" s="425" t="s">
        <v>762</v>
      </c>
      <c r="AW231" s="425" t="s">
        <v>762</v>
      </c>
      <c r="AX231" s="425" t="s">
        <v>762</v>
      </c>
      <c r="AY231" s="425" t="s">
        <v>762</v>
      </c>
      <c r="AZ231" s="425" t="s">
        <v>762</v>
      </c>
      <c r="BA231" s="425">
        <f t="shared" si="203"/>
        <v>220.82625000000002</v>
      </c>
      <c r="BB231" s="425" t="s">
        <v>762</v>
      </c>
      <c r="BC231" s="425" t="s">
        <v>762</v>
      </c>
      <c r="BD231" s="425" t="s">
        <v>762</v>
      </c>
      <c r="BE231" s="425" t="s">
        <v>762</v>
      </c>
      <c r="BF231" s="425">
        <f t="shared" si="204"/>
        <v>301.59000000000003</v>
      </c>
      <c r="BG231" s="425" t="s">
        <v>762</v>
      </c>
      <c r="BH231" s="425" t="s">
        <v>762</v>
      </c>
      <c r="BI231" s="425">
        <f t="shared" si="205"/>
        <v>376.98750000000001</v>
      </c>
      <c r="BJ231" s="425" t="s">
        <v>762</v>
      </c>
      <c r="BK231" s="425" t="s">
        <v>762</v>
      </c>
      <c r="BL231" s="425">
        <f t="shared" si="206"/>
        <v>452.38500000000005</v>
      </c>
      <c r="BM231" s="425" t="s">
        <v>762</v>
      </c>
      <c r="BN231" s="425" t="s">
        <v>762</v>
      </c>
      <c r="BO231" s="425" t="s">
        <v>762</v>
      </c>
      <c r="BP231" s="425" t="s">
        <v>762</v>
      </c>
      <c r="BQ231" s="425" t="s">
        <v>762</v>
      </c>
      <c r="BR231" s="425" t="s">
        <v>762</v>
      </c>
      <c r="BS231" s="425" t="s">
        <v>762</v>
      </c>
      <c r="BT231" s="425" t="s">
        <v>762</v>
      </c>
      <c r="BU231" s="425" t="s">
        <v>762</v>
      </c>
      <c r="BV231" s="425" t="s">
        <v>762</v>
      </c>
      <c r="BW231" s="425" t="s">
        <v>762</v>
      </c>
      <c r="BX231" s="425" t="s">
        <v>762</v>
      </c>
      <c r="BY231" s="425" t="s">
        <v>762</v>
      </c>
      <c r="BZ231" s="425" t="s">
        <v>762</v>
      </c>
      <c r="CA231" s="425" t="s">
        <v>762</v>
      </c>
      <c r="CB231" s="425" t="s">
        <v>762</v>
      </c>
      <c r="CC231" s="425" t="s">
        <v>762</v>
      </c>
      <c r="CD231" s="425" t="s">
        <v>762</v>
      </c>
      <c r="CE231" s="425" t="s">
        <v>762</v>
      </c>
      <c r="CF231" s="425" t="s">
        <v>762</v>
      </c>
      <c r="CG231" s="424" t="s">
        <v>762</v>
      </c>
      <c r="CH231" s="425">
        <f t="shared" ref="CH231:CH294" si="215">J723*1.35</f>
        <v>43.686</v>
      </c>
      <c r="CI231" s="425">
        <f t="shared" si="207"/>
        <v>30.847500000000004</v>
      </c>
      <c r="CJ231" s="425">
        <f t="shared" si="207"/>
        <v>33.5745</v>
      </c>
      <c r="CK231" s="425">
        <f t="shared" si="207"/>
        <v>29.4435</v>
      </c>
      <c r="CL231" s="425">
        <f t="shared" si="207"/>
        <v>30.159000000000002</v>
      </c>
      <c r="CN231" s="438"/>
    </row>
    <row r="232" spans="1:92" s="426" customFormat="1">
      <c r="A232" s="424" t="s">
        <v>512</v>
      </c>
      <c r="B232" s="424" t="s">
        <v>630</v>
      </c>
      <c r="C232" s="425">
        <f t="shared" si="208"/>
        <v>43.18</v>
      </c>
      <c r="D232" s="425">
        <f t="shared" si="208"/>
        <v>43.18</v>
      </c>
      <c r="E232" s="425">
        <f t="shared" si="208"/>
        <v>43.18</v>
      </c>
      <c r="F232" s="425">
        <f t="shared" si="208"/>
        <v>43.18</v>
      </c>
      <c r="G232" s="425">
        <f t="shared" si="208"/>
        <v>43.18</v>
      </c>
      <c r="H232" s="425">
        <f t="shared" si="208"/>
        <v>43.18</v>
      </c>
      <c r="I232" s="425">
        <f t="shared" si="208"/>
        <v>43.18</v>
      </c>
      <c r="J232" s="425">
        <f t="shared" si="208"/>
        <v>43.18</v>
      </c>
      <c r="K232" s="425">
        <f t="shared" si="208"/>
        <v>43.18</v>
      </c>
      <c r="L232" s="425">
        <f t="shared" si="208"/>
        <v>43.18</v>
      </c>
      <c r="M232" s="425" t="s">
        <v>762</v>
      </c>
      <c r="N232" s="425" t="s">
        <v>762</v>
      </c>
      <c r="O232" s="425" t="s">
        <v>762</v>
      </c>
      <c r="P232" s="425" t="s">
        <v>762</v>
      </c>
      <c r="Q232" s="425" t="s">
        <v>762</v>
      </c>
      <c r="R232" s="425" t="s">
        <v>762</v>
      </c>
      <c r="S232" s="425" t="s">
        <v>762</v>
      </c>
      <c r="T232" s="425" t="s">
        <v>762</v>
      </c>
      <c r="U232" s="425" t="s">
        <v>762</v>
      </c>
      <c r="V232" s="425">
        <f t="shared" si="208"/>
        <v>43.18</v>
      </c>
      <c r="W232" s="425">
        <f t="shared" si="208"/>
        <v>43.18</v>
      </c>
      <c r="X232" s="425">
        <f t="shared" si="209"/>
        <v>50.45</v>
      </c>
      <c r="Y232" s="425">
        <f t="shared" si="210"/>
        <v>52.4</v>
      </c>
      <c r="Z232" s="425">
        <f t="shared" si="211"/>
        <v>57.43</v>
      </c>
      <c r="AA232" s="425">
        <f t="shared" si="212"/>
        <v>59.46</v>
      </c>
      <c r="AB232" s="425">
        <f t="shared" si="213"/>
        <v>61.53</v>
      </c>
      <c r="AC232" s="425">
        <f t="shared" ref="AC232:AD232" si="216">$I724</f>
        <v>63.58</v>
      </c>
      <c r="AD232" s="425">
        <f t="shared" si="216"/>
        <v>63.58</v>
      </c>
      <c r="AE232" s="425" t="s">
        <v>762</v>
      </c>
      <c r="AF232" s="425" t="s">
        <v>762</v>
      </c>
      <c r="AG232" s="425">
        <f t="shared" si="195"/>
        <v>77.051249999999996</v>
      </c>
      <c r="AH232" s="425" t="s">
        <v>762</v>
      </c>
      <c r="AI232" s="425">
        <f t="shared" si="196"/>
        <v>102.735</v>
      </c>
      <c r="AJ232" s="425" t="s">
        <v>762</v>
      </c>
      <c r="AK232" s="425">
        <f t="shared" si="197"/>
        <v>128.41874999999999</v>
      </c>
      <c r="AL232" s="425">
        <f t="shared" si="198"/>
        <v>108.74250000000001</v>
      </c>
      <c r="AM232" s="425" t="s">
        <v>762</v>
      </c>
      <c r="AN232" s="425">
        <f t="shared" si="199"/>
        <v>126.86625000000001</v>
      </c>
      <c r="AO232" s="425" t="s">
        <v>762</v>
      </c>
      <c r="AP232" s="425">
        <f t="shared" si="200"/>
        <v>144.99</v>
      </c>
      <c r="AQ232" s="425" t="s">
        <v>762</v>
      </c>
      <c r="AR232" s="425">
        <f t="shared" si="201"/>
        <v>163.11375000000001</v>
      </c>
      <c r="AS232" s="425" t="s">
        <v>762</v>
      </c>
      <c r="AT232" s="425">
        <f t="shared" si="202"/>
        <v>197.37</v>
      </c>
      <c r="AU232" s="425" t="s">
        <v>762</v>
      </c>
      <c r="AV232" s="425" t="s">
        <v>762</v>
      </c>
      <c r="AW232" s="425" t="s">
        <v>762</v>
      </c>
      <c r="AX232" s="425" t="s">
        <v>762</v>
      </c>
      <c r="AY232" s="425" t="s">
        <v>762</v>
      </c>
      <c r="AZ232" s="425" t="s">
        <v>762</v>
      </c>
      <c r="BA232" s="425">
        <f t="shared" si="203"/>
        <v>259.50375000000003</v>
      </c>
      <c r="BB232" s="425" t="s">
        <v>762</v>
      </c>
      <c r="BC232" s="425" t="s">
        <v>762</v>
      </c>
      <c r="BD232" s="425" t="s">
        <v>762</v>
      </c>
      <c r="BE232" s="425" t="s">
        <v>762</v>
      </c>
      <c r="BF232" s="425">
        <f t="shared" si="204"/>
        <v>354.375</v>
      </c>
      <c r="BG232" s="425" t="s">
        <v>762</v>
      </c>
      <c r="BH232" s="425" t="s">
        <v>762</v>
      </c>
      <c r="BI232" s="425">
        <f t="shared" si="205"/>
        <v>442.96875</v>
      </c>
      <c r="BJ232" s="425" t="s">
        <v>762</v>
      </c>
      <c r="BK232" s="425" t="s">
        <v>762</v>
      </c>
      <c r="BL232" s="425">
        <f t="shared" si="206"/>
        <v>531.5625</v>
      </c>
      <c r="BM232" s="425" t="s">
        <v>762</v>
      </c>
      <c r="BN232" s="425" t="s">
        <v>762</v>
      </c>
      <c r="BO232" s="425" t="s">
        <v>762</v>
      </c>
      <c r="BP232" s="425" t="s">
        <v>762</v>
      </c>
      <c r="BQ232" s="425" t="s">
        <v>762</v>
      </c>
      <c r="BR232" s="425" t="s">
        <v>762</v>
      </c>
      <c r="BS232" s="425" t="s">
        <v>762</v>
      </c>
      <c r="BT232" s="425" t="s">
        <v>762</v>
      </c>
      <c r="BU232" s="425" t="s">
        <v>762</v>
      </c>
      <c r="BV232" s="425" t="s">
        <v>762</v>
      </c>
      <c r="BW232" s="425" t="s">
        <v>762</v>
      </c>
      <c r="BX232" s="425" t="s">
        <v>762</v>
      </c>
      <c r="BY232" s="425" t="s">
        <v>762</v>
      </c>
      <c r="BZ232" s="425" t="s">
        <v>762</v>
      </c>
      <c r="CA232" s="425" t="s">
        <v>762</v>
      </c>
      <c r="CB232" s="425" t="s">
        <v>762</v>
      </c>
      <c r="CC232" s="425" t="s">
        <v>762</v>
      </c>
      <c r="CD232" s="425" t="s">
        <v>762</v>
      </c>
      <c r="CE232" s="425" t="s">
        <v>762</v>
      </c>
      <c r="CF232" s="425" t="s">
        <v>762</v>
      </c>
      <c r="CG232" s="424" t="s">
        <v>762</v>
      </c>
      <c r="CH232" s="425">
        <f t="shared" si="215"/>
        <v>51.3675</v>
      </c>
      <c r="CI232" s="425">
        <f t="shared" si="207"/>
        <v>36.247500000000002</v>
      </c>
      <c r="CJ232" s="425">
        <f t="shared" si="207"/>
        <v>39.474000000000004</v>
      </c>
      <c r="CK232" s="425">
        <f t="shared" si="207"/>
        <v>34.600500000000004</v>
      </c>
      <c r="CL232" s="425">
        <f t="shared" si="207"/>
        <v>35.4375</v>
      </c>
      <c r="CN232" s="438"/>
    </row>
    <row r="233" spans="1:92" s="426" customFormat="1">
      <c r="A233" s="424" t="s">
        <v>513</v>
      </c>
      <c r="B233" s="424" t="s">
        <v>630</v>
      </c>
      <c r="C233" s="425">
        <f t="shared" si="208"/>
        <v>63.16</v>
      </c>
      <c r="D233" s="425">
        <f t="shared" si="208"/>
        <v>63.16</v>
      </c>
      <c r="E233" s="425">
        <f t="shared" si="208"/>
        <v>63.16</v>
      </c>
      <c r="F233" s="425">
        <f t="shared" si="208"/>
        <v>63.16</v>
      </c>
      <c r="G233" s="425">
        <f t="shared" si="208"/>
        <v>63.16</v>
      </c>
      <c r="H233" s="425">
        <f t="shared" si="208"/>
        <v>63.16</v>
      </c>
      <c r="I233" s="425">
        <f t="shared" si="208"/>
        <v>63.16</v>
      </c>
      <c r="J233" s="425">
        <f t="shared" si="208"/>
        <v>63.16</v>
      </c>
      <c r="K233" s="425">
        <f t="shared" si="208"/>
        <v>63.16</v>
      </c>
      <c r="L233" s="425">
        <f t="shared" si="208"/>
        <v>63.16</v>
      </c>
      <c r="M233" s="425" t="s">
        <v>762</v>
      </c>
      <c r="N233" s="425" t="s">
        <v>762</v>
      </c>
      <c r="O233" s="425" t="s">
        <v>762</v>
      </c>
      <c r="P233" s="425" t="s">
        <v>762</v>
      </c>
      <c r="Q233" s="425" t="s">
        <v>762</v>
      </c>
      <c r="R233" s="425" t="s">
        <v>762</v>
      </c>
      <c r="S233" s="425" t="s">
        <v>762</v>
      </c>
      <c r="T233" s="425" t="s">
        <v>762</v>
      </c>
      <c r="U233" s="425" t="s">
        <v>762</v>
      </c>
      <c r="V233" s="425">
        <f t="shared" si="208"/>
        <v>63.16</v>
      </c>
      <c r="W233" s="425">
        <f t="shared" si="208"/>
        <v>63.16</v>
      </c>
      <c r="X233" s="425">
        <f t="shared" si="209"/>
        <v>73.819999999999993</v>
      </c>
      <c r="Y233" s="425">
        <f t="shared" si="210"/>
        <v>76.64</v>
      </c>
      <c r="Z233" s="425">
        <f t="shared" si="211"/>
        <v>85.35</v>
      </c>
      <c r="AA233" s="425">
        <f t="shared" si="212"/>
        <v>88.39</v>
      </c>
      <c r="AB233" s="425">
        <f t="shared" si="213"/>
        <v>91.45</v>
      </c>
      <c r="AC233" s="425">
        <f t="shared" ref="AC233:AD233" si="217">$I725</f>
        <v>94.49</v>
      </c>
      <c r="AD233" s="425">
        <f t="shared" si="217"/>
        <v>94.49</v>
      </c>
      <c r="AE233" s="425" t="s">
        <v>762</v>
      </c>
      <c r="AF233" s="425" t="s">
        <v>762</v>
      </c>
      <c r="AG233" s="425">
        <f t="shared" si="195"/>
        <v>114.53400000000002</v>
      </c>
      <c r="AH233" s="425" t="s">
        <v>762</v>
      </c>
      <c r="AI233" s="425">
        <f t="shared" si="196"/>
        <v>152.71200000000002</v>
      </c>
      <c r="AJ233" s="425" t="s">
        <v>762</v>
      </c>
      <c r="AK233" s="425">
        <f t="shared" si="197"/>
        <v>190.89000000000001</v>
      </c>
      <c r="AL233" s="425">
        <f t="shared" si="198"/>
        <v>161.67600000000002</v>
      </c>
      <c r="AM233" s="425" t="s">
        <v>762</v>
      </c>
      <c r="AN233" s="425">
        <f t="shared" si="199"/>
        <v>188.62200000000001</v>
      </c>
      <c r="AO233" s="425" t="s">
        <v>762</v>
      </c>
      <c r="AP233" s="425">
        <f t="shared" si="200"/>
        <v>215.56800000000001</v>
      </c>
      <c r="AQ233" s="425" t="s">
        <v>762</v>
      </c>
      <c r="AR233" s="425">
        <f t="shared" si="201"/>
        <v>242.51400000000001</v>
      </c>
      <c r="AS233" s="425" t="s">
        <v>762</v>
      </c>
      <c r="AT233" s="425">
        <f t="shared" si="202"/>
        <v>293.42250000000001</v>
      </c>
      <c r="AU233" s="425" t="s">
        <v>762</v>
      </c>
      <c r="AV233" s="425" t="s">
        <v>762</v>
      </c>
      <c r="AW233" s="425" t="s">
        <v>762</v>
      </c>
      <c r="AX233" s="425" t="s">
        <v>762</v>
      </c>
      <c r="AY233" s="425" t="s">
        <v>762</v>
      </c>
      <c r="AZ233" s="425" t="s">
        <v>762</v>
      </c>
      <c r="BA233" s="425">
        <f t="shared" si="203"/>
        <v>385.86375000000004</v>
      </c>
      <c r="BB233" s="425" t="s">
        <v>762</v>
      </c>
      <c r="BC233" s="425" t="s">
        <v>762</v>
      </c>
      <c r="BD233" s="425" t="s">
        <v>762</v>
      </c>
      <c r="BE233" s="425" t="s">
        <v>762</v>
      </c>
      <c r="BF233" s="425">
        <f t="shared" si="204"/>
        <v>526.7700000000001</v>
      </c>
      <c r="BG233" s="425" t="s">
        <v>762</v>
      </c>
      <c r="BH233" s="425" t="s">
        <v>762</v>
      </c>
      <c r="BI233" s="425">
        <f t="shared" si="205"/>
        <v>658.46250000000009</v>
      </c>
      <c r="BJ233" s="425" t="s">
        <v>762</v>
      </c>
      <c r="BK233" s="425" t="s">
        <v>762</v>
      </c>
      <c r="BL233" s="425">
        <f t="shared" si="206"/>
        <v>790.15500000000009</v>
      </c>
      <c r="BM233" s="425" t="s">
        <v>762</v>
      </c>
      <c r="BN233" s="425" t="s">
        <v>762</v>
      </c>
      <c r="BO233" s="425" t="s">
        <v>762</v>
      </c>
      <c r="BP233" s="425" t="s">
        <v>762</v>
      </c>
      <c r="BQ233" s="425" t="s">
        <v>762</v>
      </c>
      <c r="BR233" s="425" t="s">
        <v>762</v>
      </c>
      <c r="BS233" s="425" t="s">
        <v>762</v>
      </c>
      <c r="BT233" s="425" t="s">
        <v>762</v>
      </c>
      <c r="BU233" s="425" t="s">
        <v>762</v>
      </c>
      <c r="BV233" s="425" t="s">
        <v>762</v>
      </c>
      <c r="BW233" s="425" t="s">
        <v>762</v>
      </c>
      <c r="BX233" s="425" t="s">
        <v>762</v>
      </c>
      <c r="BY233" s="425" t="s">
        <v>762</v>
      </c>
      <c r="BZ233" s="425" t="s">
        <v>762</v>
      </c>
      <c r="CA233" s="425" t="s">
        <v>762</v>
      </c>
      <c r="CB233" s="425" t="s">
        <v>762</v>
      </c>
      <c r="CC233" s="425" t="s">
        <v>762</v>
      </c>
      <c r="CD233" s="425" t="s">
        <v>762</v>
      </c>
      <c r="CE233" s="425" t="s">
        <v>762</v>
      </c>
      <c r="CF233" s="425" t="s">
        <v>762</v>
      </c>
      <c r="CG233" s="424" t="s">
        <v>762</v>
      </c>
      <c r="CH233" s="425">
        <f t="shared" si="215"/>
        <v>76.356000000000009</v>
      </c>
      <c r="CI233" s="425">
        <f t="shared" si="207"/>
        <v>53.892000000000003</v>
      </c>
      <c r="CJ233" s="425">
        <f t="shared" si="207"/>
        <v>58.6845</v>
      </c>
      <c r="CK233" s="425">
        <f t="shared" si="207"/>
        <v>51.448500000000003</v>
      </c>
      <c r="CL233" s="425">
        <f t="shared" si="207"/>
        <v>52.677000000000007</v>
      </c>
      <c r="CN233" s="438"/>
    </row>
    <row r="234" spans="1:92" s="426" customFormat="1">
      <c r="A234" s="424" t="s">
        <v>514</v>
      </c>
      <c r="B234" s="424" t="s">
        <v>630</v>
      </c>
      <c r="C234" s="425">
        <f t="shared" si="208"/>
        <v>78.95</v>
      </c>
      <c r="D234" s="425">
        <f t="shared" si="208"/>
        <v>78.95</v>
      </c>
      <c r="E234" s="425">
        <f t="shared" si="208"/>
        <v>78.95</v>
      </c>
      <c r="F234" s="425">
        <f t="shared" si="208"/>
        <v>78.95</v>
      </c>
      <c r="G234" s="425">
        <f t="shared" si="208"/>
        <v>78.95</v>
      </c>
      <c r="H234" s="425">
        <f t="shared" si="208"/>
        <v>78.95</v>
      </c>
      <c r="I234" s="425">
        <f t="shared" si="208"/>
        <v>78.95</v>
      </c>
      <c r="J234" s="425">
        <f t="shared" si="208"/>
        <v>78.95</v>
      </c>
      <c r="K234" s="425">
        <f t="shared" si="208"/>
        <v>78.95</v>
      </c>
      <c r="L234" s="425">
        <f t="shared" si="208"/>
        <v>78.95</v>
      </c>
      <c r="M234" s="425" t="s">
        <v>762</v>
      </c>
      <c r="N234" s="425" t="s">
        <v>762</v>
      </c>
      <c r="O234" s="425" t="s">
        <v>762</v>
      </c>
      <c r="P234" s="425" t="s">
        <v>762</v>
      </c>
      <c r="Q234" s="425" t="s">
        <v>762</v>
      </c>
      <c r="R234" s="425" t="s">
        <v>762</v>
      </c>
      <c r="S234" s="425" t="s">
        <v>762</v>
      </c>
      <c r="T234" s="425" t="s">
        <v>762</v>
      </c>
      <c r="U234" s="425" t="s">
        <v>762</v>
      </c>
      <c r="V234" s="425">
        <f t="shared" si="208"/>
        <v>78.95</v>
      </c>
      <c r="W234" s="425">
        <f t="shared" si="208"/>
        <v>78.95</v>
      </c>
      <c r="X234" s="425">
        <f t="shared" si="209"/>
        <v>92.25</v>
      </c>
      <c r="Y234" s="425">
        <f t="shared" si="210"/>
        <v>95.82</v>
      </c>
      <c r="Z234" s="425">
        <f t="shared" si="211"/>
        <v>106.69</v>
      </c>
      <c r="AA234" s="425">
        <f t="shared" si="212"/>
        <v>110.48</v>
      </c>
      <c r="AB234" s="425">
        <f t="shared" si="213"/>
        <v>114.32</v>
      </c>
      <c r="AC234" s="425">
        <f t="shared" ref="AC234:AD234" si="218">$I726</f>
        <v>118.12</v>
      </c>
      <c r="AD234" s="425">
        <f t="shared" si="218"/>
        <v>118.12</v>
      </c>
      <c r="AE234" s="425" t="s">
        <v>762</v>
      </c>
      <c r="AF234" s="425" t="s">
        <v>762</v>
      </c>
      <c r="AG234" s="425">
        <f t="shared" si="195"/>
        <v>143.16750000000002</v>
      </c>
      <c r="AH234" s="425" t="s">
        <v>762</v>
      </c>
      <c r="AI234" s="425">
        <f t="shared" si="196"/>
        <v>190.89000000000001</v>
      </c>
      <c r="AJ234" s="425" t="s">
        <v>762</v>
      </c>
      <c r="AK234" s="425">
        <f t="shared" si="197"/>
        <v>238.61250000000001</v>
      </c>
      <c r="AL234" s="425">
        <f t="shared" si="198"/>
        <v>202.09500000000003</v>
      </c>
      <c r="AM234" s="425" t="s">
        <v>762</v>
      </c>
      <c r="AN234" s="425">
        <f t="shared" si="199"/>
        <v>235.77750000000003</v>
      </c>
      <c r="AO234" s="425" t="s">
        <v>762</v>
      </c>
      <c r="AP234" s="425">
        <f t="shared" si="200"/>
        <v>269.46000000000004</v>
      </c>
      <c r="AQ234" s="425" t="s">
        <v>762</v>
      </c>
      <c r="AR234" s="425">
        <f t="shared" si="201"/>
        <v>303.14250000000004</v>
      </c>
      <c r="AS234" s="425" t="s">
        <v>762</v>
      </c>
      <c r="AT234" s="425">
        <f t="shared" si="202"/>
        <v>366.79500000000007</v>
      </c>
      <c r="AU234" s="425" t="s">
        <v>762</v>
      </c>
      <c r="AV234" s="425" t="s">
        <v>762</v>
      </c>
      <c r="AW234" s="425" t="s">
        <v>762</v>
      </c>
      <c r="AX234" s="425" t="s">
        <v>762</v>
      </c>
      <c r="AY234" s="425" t="s">
        <v>762</v>
      </c>
      <c r="AZ234" s="425" t="s">
        <v>762</v>
      </c>
      <c r="BA234" s="425">
        <f t="shared" si="203"/>
        <v>482.15250000000003</v>
      </c>
      <c r="BB234" s="425" t="s">
        <v>762</v>
      </c>
      <c r="BC234" s="425" t="s">
        <v>762</v>
      </c>
      <c r="BD234" s="425" t="s">
        <v>762</v>
      </c>
      <c r="BE234" s="425" t="s">
        <v>762</v>
      </c>
      <c r="BF234" s="425">
        <f t="shared" si="204"/>
        <v>658.8</v>
      </c>
      <c r="BG234" s="425" t="s">
        <v>762</v>
      </c>
      <c r="BH234" s="425" t="s">
        <v>762</v>
      </c>
      <c r="BI234" s="425">
        <f t="shared" si="205"/>
        <v>823.5</v>
      </c>
      <c r="BJ234" s="425" t="s">
        <v>762</v>
      </c>
      <c r="BK234" s="425" t="s">
        <v>762</v>
      </c>
      <c r="BL234" s="425">
        <f t="shared" si="206"/>
        <v>988.19999999999993</v>
      </c>
      <c r="BM234" s="425" t="s">
        <v>762</v>
      </c>
      <c r="BN234" s="425" t="s">
        <v>762</v>
      </c>
      <c r="BO234" s="425" t="s">
        <v>762</v>
      </c>
      <c r="BP234" s="425" t="s">
        <v>762</v>
      </c>
      <c r="BQ234" s="425" t="s">
        <v>762</v>
      </c>
      <c r="BR234" s="425" t="s">
        <v>762</v>
      </c>
      <c r="BS234" s="425" t="s">
        <v>762</v>
      </c>
      <c r="BT234" s="425" t="s">
        <v>762</v>
      </c>
      <c r="BU234" s="425" t="s">
        <v>762</v>
      </c>
      <c r="BV234" s="425" t="s">
        <v>762</v>
      </c>
      <c r="BW234" s="425" t="s">
        <v>762</v>
      </c>
      <c r="BX234" s="425" t="s">
        <v>762</v>
      </c>
      <c r="BY234" s="425" t="s">
        <v>762</v>
      </c>
      <c r="BZ234" s="425" t="s">
        <v>762</v>
      </c>
      <c r="CA234" s="425" t="s">
        <v>762</v>
      </c>
      <c r="CB234" s="425" t="s">
        <v>762</v>
      </c>
      <c r="CC234" s="425" t="s">
        <v>762</v>
      </c>
      <c r="CD234" s="425" t="s">
        <v>762</v>
      </c>
      <c r="CE234" s="425" t="s">
        <v>762</v>
      </c>
      <c r="CF234" s="425" t="s">
        <v>762</v>
      </c>
      <c r="CG234" s="424" t="s">
        <v>762</v>
      </c>
      <c r="CH234" s="425">
        <f t="shared" si="215"/>
        <v>95.445000000000007</v>
      </c>
      <c r="CI234" s="425">
        <f t="shared" si="207"/>
        <v>67.365000000000009</v>
      </c>
      <c r="CJ234" s="425">
        <f t="shared" si="207"/>
        <v>73.359000000000009</v>
      </c>
      <c r="CK234" s="425">
        <f t="shared" si="207"/>
        <v>64.287000000000006</v>
      </c>
      <c r="CL234" s="425">
        <f t="shared" si="207"/>
        <v>65.88</v>
      </c>
      <c r="CM234" s="438"/>
      <c r="CN234" s="438"/>
    </row>
    <row r="235" spans="1:92" s="426" customFormat="1">
      <c r="A235" s="424" t="s">
        <v>515</v>
      </c>
      <c r="B235" s="424" t="s">
        <v>630</v>
      </c>
      <c r="C235" s="425">
        <f t="shared" si="208"/>
        <v>58.24</v>
      </c>
      <c r="D235" s="425">
        <f t="shared" si="208"/>
        <v>58.24</v>
      </c>
      <c r="E235" s="425">
        <f t="shared" si="208"/>
        <v>58.24</v>
      </c>
      <c r="F235" s="425">
        <f t="shared" si="208"/>
        <v>58.24</v>
      </c>
      <c r="G235" s="425">
        <f t="shared" si="208"/>
        <v>58.24</v>
      </c>
      <c r="H235" s="425">
        <f t="shared" si="208"/>
        <v>58.24</v>
      </c>
      <c r="I235" s="425">
        <f t="shared" si="208"/>
        <v>58.24</v>
      </c>
      <c r="J235" s="425">
        <f t="shared" si="208"/>
        <v>58.24</v>
      </c>
      <c r="K235" s="425">
        <f t="shared" si="208"/>
        <v>58.24</v>
      </c>
      <c r="L235" s="425">
        <f t="shared" si="208"/>
        <v>58.24</v>
      </c>
      <c r="M235" s="425" t="s">
        <v>762</v>
      </c>
      <c r="N235" s="425" t="s">
        <v>762</v>
      </c>
      <c r="O235" s="425" t="s">
        <v>762</v>
      </c>
      <c r="P235" s="425" t="s">
        <v>762</v>
      </c>
      <c r="Q235" s="425" t="s">
        <v>762</v>
      </c>
      <c r="R235" s="425" t="s">
        <v>762</v>
      </c>
      <c r="S235" s="425" t="s">
        <v>762</v>
      </c>
      <c r="T235" s="425" t="s">
        <v>762</v>
      </c>
      <c r="U235" s="425" t="s">
        <v>762</v>
      </c>
      <c r="V235" s="425">
        <f t="shared" si="208"/>
        <v>58.24</v>
      </c>
      <c r="W235" s="425">
        <f t="shared" si="208"/>
        <v>58.24</v>
      </c>
      <c r="X235" s="425">
        <f t="shared" si="209"/>
        <v>68.05</v>
      </c>
      <c r="Y235" s="425">
        <f t="shared" si="210"/>
        <v>70.67</v>
      </c>
      <c r="Z235" s="425">
        <f t="shared" si="211"/>
        <v>78.28</v>
      </c>
      <c r="AA235" s="425">
        <f t="shared" si="212"/>
        <v>81.099999999999994</v>
      </c>
      <c r="AB235" s="425">
        <f t="shared" si="213"/>
        <v>83.89</v>
      </c>
      <c r="AC235" s="425">
        <f t="shared" ref="AC235:AD235" si="219">$I727</f>
        <v>86.68</v>
      </c>
      <c r="AD235" s="425">
        <f t="shared" si="219"/>
        <v>86.68</v>
      </c>
      <c r="AE235" s="425" t="s">
        <v>762</v>
      </c>
      <c r="AF235" s="425" t="s">
        <v>762</v>
      </c>
      <c r="AG235" s="425">
        <f t="shared" si="195"/>
        <v>105.05700000000002</v>
      </c>
      <c r="AH235" s="425" t="s">
        <v>762</v>
      </c>
      <c r="AI235" s="425">
        <f t="shared" si="196"/>
        <v>140.07600000000002</v>
      </c>
      <c r="AJ235" s="425" t="s">
        <v>762</v>
      </c>
      <c r="AK235" s="425">
        <f t="shared" si="197"/>
        <v>175.09500000000003</v>
      </c>
      <c r="AL235" s="425">
        <f t="shared" si="198"/>
        <v>148.27050000000003</v>
      </c>
      <c r="AM235" s="425" t="s">
        <v>762</v>
      </c>
      <c r="AN235" s="425">
        <f t="shared" si="199"/>
        <v>172.98225000000002</v>
      </c>
      <c r="AO235" s="425" t="s">
        <v>762</v>
      </c>
      <c r="AP235" s="425">
        <f t="shared" si="200"/>
        <v>197.69400000000002</v>
      </c>
      <c r="AQ235" s="425" t="s">
        <v>762</v>
      </c>
      <c r="AR235" s="425">
        <f t="shared" si="201"/>
        <v>222.40575000000001</v>
      </c>
      <c r="AS235" s="425" t="s">
        <v>762</v>
      </c>
      <c r="AT235" s="425">
        <f t="shared" si="202"/>
        <v>268.92</v>
      </c>
      <c r="AU235" s="425" t="s">
        <v>762</v>
      </c>
      <c r="AV235" s="425" t="s">
        <v>762</v>
      </c>
      <c r="AW235" s="425" t="s">
        <v>762</v>
      </c>
      <c r="AX235" s="425" t="s">
        <v>762</v>
      </c>
      <c r="AY235" s="425" t="s">
        <v>762</v>
      </c>
      <c r="AZ235" s="425" t="s">
        <v>762</v>
      </c>
      <c r="BA235" s="425">
        <f t="shared" si="203"/>
        <v>353.86875000000003</v>
      </c>
      <c r="BB235" s="425" t="s">
        <v>762</v>
      </c>
      <c r="BC235" s="425" t="s">
        <v>762</v>
      </c>
      <c r="BD235" s="425" t="s">
        <v>762</v>
      </c>
      <c r="BE235" s="425" t="s">
        <v>762</v>
      </c>
      <c r="BF235" s="425">
        <f t="shared" si="204"/>
        <v>483.16500000000008</v>
      </c>
      <c r="BG235" s="425" t="s">
        <v>762</v>
      </c>
      <c r="BH235" s="425" t="s">
        <v>762</v>
      </c>
      <c r="BI235" s="425">
        <f t="shared" si="205"/>
        <v>603.95625000000007</v>
      </c>
      <c r="BJ235" s="425" t="s">
        <v>762</v>
      </c>
      <c r="BK235" s="425" t="s">
        <v>762</v>
      </c>
      <c r="BL235" s="425">
        <f t="shared" si="206"/>
        <v>724.74750000000006</v>
      </c>
      <c r="BM235" s="425" t="s">
        <v>762</v>
      </c>
      <c r="BN235" s="425" t="s">
        <v>762</v>
      </c>
      <c r="BO235" s="425" t="s">
        <v>762</v>
      </c>
      <c r="BP235" s="425" t="s">
        <v>762</v>
      </c>
      <c r="BQ235" s="425" t="s">
        <v>762</v>
      </c>
      <c r="BR235" s="425" t="s">
        <v>762</v>
      </c>
      <c r="BS235" s="425" t="s">
        <v>762</v>
      </c>
      <c r="BT235" s="425" t="s">
        <v>762</v>
      </c>
      <c r="BU235" s="425" t="s">
        <v>762</v>
      </c>
      <c r="BV235" s="425" t="s">
        <v>762</v>
      </c>
      <c r="BW235" s="425" t="s">
        <v>762</v>
      </c>
      <c r="BX235" s="425" t="s">
        <v>762</v>
      </c>
      <c r="BY235" s="425" t="s">
        <v>762</v>
      </c>
      <c r="BZ235" s="425" t="s">
        <v>762</v>
      </c>
      <c r="CA235" s="425" t="s">
        <v>762</v>
      </c>
      <c r="CB235" s="425" t="s">
        <v>762</v>
      </c>
      <c r="CC235" s="425" t="s">
        <v>762</v>
      </c>
      <c r="CD235" s="425" t="s">
        <v>762</v>
      </c>
      <c r="CE235" s="425" t="s">
        <v>762</v>
      </c>
      <c r="CF235" s="425" t="s">
        <v>762</v>
      </c>
      <c r="CG235" s="424" t="s">
        <v>762</v>
      </c>
      <c r="CH235" s="425">
        <f t="shared" si="215"/>
        <v>70.038000000000011</v>
      </c>
      <c r="CI235" s="425">
        <f t="shared" si="207"/>
        <v>49.423500000000004</v>
      </c>
      <c r="CJ235" s="425">
        <f t="shared" si="207"/>
        <v>53.784000000000006</v>
      </c>
      <c r="CK235" s="425">
        <f t="shared" si="207"/>
        <v>47.182500000000005</v>
      </c>
      <c r="CL235" s="425">
        <f t="shared" si="207"/>
        <v>48.316500000000005</v>
      </c>
      <c r="CN235" s="438"/>
    </row>
    <row r="236" spans="1:92" s="426" customFormat="1">
      <c r="A236" s="424" t="s">
        <v>516</v>
      </c>
      <c r="B236" s="424" t="s">
        <v>630</v>
      </c>
      <c r="C236" s="425">
        <f t="shared" si="208"/>
        <v>72.8</v>
      </c>
      <c r="D236" s="425">
        <f t="shared" si="208"/>
        <v>72.8</v>
      </c>
      <c r="E236" s="425">
        <f t="shared" si="208"/>
        <v>72.8</v>
      </c>
      <c r="F236" s="425">
        <f t="shared" si="208"/>
        <v>72.8</v>
      </c>
      <c r="G236" s="425">
        <f t="shared" si="208"/>
        <v>72.8</v>
      </c>
      <c r="H236" s="425">
        <f t="shared" si="208"/>
        <v>72.8</v>
      </c>
      <c r="I236" s="425">
        <f t="shared" si="208"/>
        <v>72.8</v>
      </c>
      <c r="J236" s="425">
        <f t="shared" si="208"/>
        <v>72.8</v>
      </c>
      <c r="K236" s="425">
        <f t="shared" si="208"/>
        <v>72.8</v>
      </c>
      <c r="L236" s="425">
        <f t="shared" si="208"/>
        <v>72.8</v>
      </c>
      <c r="M236" s="425" t="s">
        <v>762</v>
      </c>
      <c r="N236" s="425" t="s">
        <v>762</v>
      </c>
      <c r="O236" s="425" t="s">
        <v>762</v>
      </c>
      <c r="P236" s="425" t="s">
        <v>762</v>
      </c>
      <c r="Q236" s="425" t="s">
        <v>762</v>
      </c>
      <c r="R236" s="425" t="s">
        <v>762</v>
      </c>
      <c r="S236" s="425" t="s">
        <v>762</v>
      </c>
      <c r="T236" s="425" t="s">
        <v>762</v>
      </c>
      <c r="U236" s="425" t="s">
        <v>762</v>
      </c>
      <c r="V236" s="425">
        <f t="shared" si="208"/>
        <v>72.8</v>
      </c>
      <c r="W236" s="425">
        <f t="shared" si="208"/>
        <v>72.8</v>
      </c>
      <c r="X236" s="425">
        <f t="shared" si="209"/>
        <v>85.06</v>
      </c>
      <c r="Y236" s="425">
        <f t="shared" si="210"/>
        <v>88.32</v>
      </c>
      <c r="Z236" s="425">
        <f t="shared" si="211"/>
        <v>97.86</v>
      </c>
      <c r="AA236" s="425">
        <f t="shared" si="212"/>
        <v>101.36</v>
      </c>
      <c r="AB236" s="425">
        <f t="shared" si="213"/>
        <v>104.84</v>
      </c>
      <c r="AC236" s="425">
        <f t="shared" ref="AC236:AD236" si="220">$I728</f>
        <v>108.35</v>
      </c>
      <c r="AD236" s="425">
        <f t="shared" si="220"/>
        <v>108.35</v>
      </c>
      <c r="AE236" s="425" t="s">
        <v>762</v>
      </c>
      <c r="AF236" s="425" t="s">
        <v>762</v>
      </c>
      <c r="AG236" s="425">
        <f t="shared" si="195"/>
        <v>131.30100000000002</v>
      </c>
      <c r="AH236" s="425" t="s">
        <v>762</v>
      </c>
      <c r="AI236" s="425">
        <f t="shared" si="196"/>
        <v>175.06800000000001</v>
      </c>
      <c r="AJ236" s="425" t="s">
        <v>762</v>
      </c>
      <c r="AK236" s="425">
        <f t="shared" si="197"/>
        <v>218.83500000000001</v>
      </c>
      <c r="AL236" s="425">
        <f t="shared" si="198"/>
        <v>185.36850000000004</v>
      </c>
      <c r="AM236" s="425" t="s">
        <v>762</v>
      </c>
      <c r="AN236" s="425">
        <f t="shared" si="199"/>
        <v>216.26325000000003</v>
      </c>
      <c r="AO236" s="425" t="s">
        <v>762</v>
      </c>
      <c r="AP236" s="425">
        <f t="shared" si="200"/>
        <v>247.15800000000004</v>
      </c>
      <c r="AQ236" s="425" t="s">
        <v>762</v>
      </c>
      <c r="AR236" s="425">
        <f t="shared" si="201"/>
        <v>278.05275000000006</v>
      </c>
      <c r="AS236" s="425" t="s">
        <v>762</v>
      </c>
      <c r="AT236" s="425">
        <f t="shared" si="202"/>
        <v>336.35249999999996</v>
      </c>
      <c r="AU236" s="425" t="s">
        <v>762</v>
      </c>
      <c r="AV236" s="425" t="s">
        <v>762</v>
      </c>
      <c r="AW236" s="425" t="s">
        <v>762</v>
      </c>
      <c r="AX236" s="425" t="s">
        <v>762</v>
      </c>
      <c r="AY236" s="425" t="s">
        <v>762</v>
      </c>
      <c r="AZ236" s="425" t="s">
        <v>762</v>
      </c>
      <c r="BA236" s="425">
        <f t="shared" si="203"/>
        <v>442.26000000000005</v>
      </c>
      <c r="BB236" s="425" t="s">
        <v>762</v>
      </c>
      <c r="BC236" s="425" t="s">
        <v>762</v>
      </c>
      <c r="BD236" s="425" t="s">
        <v>762</v>
      </c>
      <c r="BE236" s="425" t="s">
        <v>762</v>
      </c>
      <c r="BF236" s="425">
        <f t="shared" si="204"/>
        <v>604.125</v>
      </c>
      <c r="BG236" s="425" t="s">
        <v>762</v>
      </c>
      <c r="BH236" s="425" t="s">
        <v>762</v>
      </c>
      <c r="BI236" s="425">
        <f t="shared" si="205"/>
        <v>755.15625</v>
      </c>
      <c r="BJ236" s="425" t="s">
        <v>762</v>
      </c>
      <c r="BK236" s="425" t="s">
        <v>762</v>
      </c>
      <c r="BL236" s="425">
        <f t="shared" si="206"/>
        <v>906.1875</v>
      </c>
      <c r="BM236" s="425" t="s">
        <v>762</v>
      </c>
      <c r="BN236" s="425" t="s">
        <v>762</v>
      </c>
      <c r="BO236" s="425" t="s">
        <v>762</v>
      </c>
      <c r="BP236" s="425" t="s">
        <v>762</v>
      </c>
      <c r="BQ236" s="425" t="s">
        <v>762</v>
      </c>
      <c r="BR236" s="425" t="s">
        <v>762</v>
      </c>
      <c r="BS236" s="425" t="s">
        <v>762</v>
      </c>
      <c r="BT236" s="425" t="s">
        <v>762</v>
      </c>
      <c r="BU236" s="425" t="s">
        <v>762</v>
      </c>
      <c r="BV236" s="425" t="s">
        <v>762</v>
      </c>
      <c r="BW236" s="425" t="s">
        <v>762</v>
      </c>
      <c r="BX236" s="425" t="s">
        <v>762</v>
      </c>
      <c r="BY236" s="425" t="s">
        <v>762</v>
      </c>
      <c r="BZ236" s="425" t="s">
        <v>762</v>
      </c>
      <c r="CA236" s="425" t="s">
        <v>762</v>
      </c>
      <c r="CB236" s="425" t="s">
        <v>762</v>
      </c>
      <c r="CC236" s="425" t="s">
        <v>762</v>
      </c>
      <c r="CD236" s="425" t="s">
        <v>762</v>
      </c>
      <c r="CE236" s="425" t="s">
        <v>762</v>
      </c>
      <c r="CF236" s="425" t="s">
        <v>762</v>
      </c>
      <c r="CG236" s="424" t="s">
        <v>762</v>
      </c>
      <c r="CH236" s="425">
        <f t="shared" si="215"/>
        <v>87.534000000000006</v>
      </c>
      <c r="CI236" s="425">
        <f t="shared" si="207"/>
        <v>61.789500000000011</v>
      </c>
      <c r="CJ236" s="425">
        <f t="shared" si="207"/>
        <v>67.270499999999998</v>
      </c>
      <c r="CK236" s="425">
        <f t="shared" si="207"/>
        <v>58.968000000000004</v>
      </c>
      <c r="CL236" s="425">
        <f t="shared" si="207"/>
        <v>60.412500000000001</v>
      </c>
      <c r="CN236" s="438"/>
    </row>
    <row r="237" spans="1:92" s="426" customFormat="1">
      <c r="A237" s="424" t="s">
        <v>517</v>
      </c>
      <c r="B237" s="424" t="s">
        <v>630</v>
      </c>
      <c r="C237" s="425">
        <f t="shared" si="208"/>
        <v>62.29</v>
      </c>
      <c r="D237" s="425">
        <f t="shared" si="208"/>
        <v>62.29</v>
      </c>
      <c r="E237" s="425">
        <f t="shared" si="208"/>
        <v>62.29</v>
      </c>
      <c r="F237" s="425">
        <f t="shared" si="208"/>
        <v>62.29</v>
      </c>
      <c r="G237" s="425">
        <f t="shared" si="208"/>
        <v>62.29</v>
      </c>
      <c r="H237" s="425">
        <f t="shared" si="208"/>
        <v>62.29</v>
      </c>
      <c r="I237" s="425">
        <f t="shared" si="208"/>
        <v>62.29</v>
      </c>
      <c r="J237" s="425">
        <f t="shared" si="208"/>
        <v>62.29</v>
      </c>
      <c r="K237" s="425">
        <f t="shared" si="208"/>
        <v>62.29</v>
      </c>
      <c r="L237" s="425">
        <f t="shared" si="208"/>
        <v>62.29</v>
      </c>
      <c r="M237" s="425" t="s">
        <v>762</v>
      </c>
      <c r="N237" s="425" t="s">
        <v>762</v>
      </c>
      <c r="O237" s="425" t="s">
        <v>762</v>
      </c>
      <c r="P237" s="425" t="s">
        <v>762</v>
      </c>
      <c r="Q237" s="425" t="s">
        <v>762</v>
      </c>
      <c r="R237" s="425" t="s">
        <v>762</v>
      </c>
      <c r="S237" s="425" t="s">
        <v>762</v>
      </c>
      <c r="T237" s="425" t="s">
        <v>762</v>
      </c>
      <c r="U237" s="425" t="s">
        <v>762</v>
      </c>
      <c r="V237" s="425">
        <f t="shared" si="208"/>
        <v>62.29</v>
      </c>
      <c r="W237" s="425">
        <f t="shared" si="208"/>
        <v>62.29</v>
      </c>
      <c r="X237" s="425">
        <f t="shared" si="209"/>
        <v>72.819999999999993</v>
      </c>
      <c r="Y237" s="425">
        <f t="shared" si="210"/>
        <v>75.61</v>
      </c>
      <c r="Z237" s="425">
        <f t="shared" si="211"/>
        <v>84.78</v>
      </c>
      <c r="AA237" s="425">
        <f t="shared" si="212"/>
        <v>87.8</v>
      </c>
      <c r="AB237" s="425">
        <f t="shared" si="213"/>
        <v>90.83</v>
      </c>
      <c r="AC237" s="425">
        <f t="shared" ref="AC237:AD237" si="221">$I729</f>
        <v>93.86</v>
      </c>
      <c r="AD237" s="425">
        <f t="shared" si="221"/>
        <v>93.86</v>
      </c>
      <c r="AE237" s="425" t="s">
        <v>762</v>
      </c>
      <c r="AF237" s="425" t="s">
        <v>762</v>
      </c>
      <c r="AG237" s="425">
        <f t="shared" si="195"/>
        <v>113.74425000000002</v>
      </c>
      <c r="AH237" s="425" t="s">
        <v>762</v>
      </c>
      <c r="AI237" s="425">
        <f t="shared" si="196"/>
        <v>151.65900000000002</v>
      </c>
      <c r="AJ237" s="425" t="s">
        <v>762</v>
      </c>
      <c r="AK237" s="425">
        <f t="shared" si="197"/>
        <v>189.57375000000002</v>
      </c>
      <c r="AL237" s="425">
        <f t="shared" si="198"/>
        <v>160.542</v>
      </c>
      <c r="AM237" s="425" t="s">
        <v>762</v>
      </c>
      <c r="AN237" s="425">
        <f t="shared" si="199"/>
        <v>187.29900000000001</v>
      </c>
      <c r="AO237" s="425" t="s">
        <v>762</v>
      </c>
      <c r="AP237" s="425">
        <f t="shared" si="200"/>
        <v>214.05600000000001</v>
      </c>
      <c r="AQ237" s="425" t="s">
        <v>762</v>
      </c>
      <c r="AR237" s="425">
        <f t="shared" si="201"/>
        <v>240.81300000000002</v>
      </c>
      <c r="AS237" s="425" t="s">
        <v>762</v>
      </c>
      <c r="AT237" s="425">
        <f t="shared" si="202"/>
        <v>291.39750000000004</v>
      </c>
      <c r="AU237" s="425" t="s">
        <v>762</v>
      </c>
      <c r="AV237" s="425" t="s">
        <v>762</v>
      </c>
      <c r="AW237" s="425" t="s">
        <v>762</v>
      </c>
      <c r="AX237" s="425" t="s">
        <v>762</v>
      </c>
      <c r="AY237" s="425" t="s">
        <v>762</v>
      </c>
      <c r="AZ237" s="425" t="s">
        <v>762</v>
      </c>
      <c r="BA237" s="425">
        <f t="shared" si="203"/>
        <v>383.33250000000004</v>
      </c>
      <c r="BB237" s="425" t="s">
        <v>762</v>
      </c>
      <c r="BC237" s="425" t="s">
        <v>762</v>
      </c>
      <c r="BD237" s="425" t="s">
        <v>762</v>
      </c>
      <c r="BE237" s="425" t="s">
        <v>762</v>
      </c>
      <c r="BF237" s="425">
        <f t="shared" si="204"/>
        <v>523.3950000000001</v>
      </c>
      <c r="BG237" s="425" t="s">
        <v>762</v>
      </c>
      <c r="BH237" s="425" t="s">
        <v>762</v>
      </c>
      <c r="BI237" s="425">
        <f t="shared" si="205"/>
        <v>654.24375000000009</v>
      </c>
      <c r="BJ237" s="425" t="s">
        <v>762</v>
      </c>
      <c r="BK237" s="425" t="s">
        <v>762</v>
      </c>
      <c r="BL237" s="425">
        <f t="shared" si="206"/>
        <v>785.09250000000009</v>
      </c>
      <c r="BM237" s="425" t="s">
        <v>762</v>
      </c>
      <c r="BN237" s="425" t="s">
        <v>762</v>
      </c>
      <c r="BO237" s="425" t="s">
        <v>762</v>
      </c>
      <c r="BP237" s="425" t="s">
        <v>762</v>
      </c>
      <c r="BQ237" s="425" t="s">
        <v>762</v>
      </c>
      <c r="BR237" s="425" t="s">
        <v>762</v>
      </c>
      <c r="BS237" s="425" t="s">
        <v>762</v>
      </c>
      <c r="BT237" s="425" t="s">
        <v>762</v>
      </c>
      <c r="BU237" s="425" t="s">
        <v>762</v>
      </c>
      <c r="BV237" s="425" t="s">
        <v>762</v>
      </c>
      <c r="BW237" s="425" t="s">
        <v>762</v>
      </c>
      <c r="BX237" s="425" t="s">
        <v>762</v>
      </c>
      <c r="BY237" s="425" t="s">
        <v>762</v>
      </c>
      <c r="BZ237" s="425" t="s">
        <v>762</v>
      </c>
      <c r="CA237" s="425" t="s">
        <v>762</v>
      </c>
      <c r="CB237" s="425" t="s">
        <v>762</v>
      </c>
      <c r="CC237" s="425" t="s">
        <v>762</v>
      </c>
      <c r="CD237" s="425" t="s">
        <v>762</v>
      </c>
      <c r="CE237" s="425" t="s">
        <v>762</v>
      </c>
      <c r="CF237" s="425" t="s">
        <v>762</v>
      </c>
      <c r="CG237" s="424" t="s">
        <v>762</v>
      </c>
      <c r="CH237" s="425">
        <f t="shared" si="215"/>
        <v>75.82950000000001</v>
      </c>
      <c r="CI237" s="425">
        <f t="shared" si="207"/>
        <v>53.514000000000003</v>
      </c>
      <c r="CJ237" s="425">
        <f t="shared" si="207"/>
        <v>58.279500000000006</v>
      </c>
      <c r="CK237" s="425">
        <f t="shared" si="207"/>
        <v>51.111000000000004</v>
      </c>
      <c r="CL237" s="425">
        <f t="shared" si="207"/>
        <v>52.339500000000008</v>
      </c>
      <c r="CN237" s="438"/>
    </row>
    <row r="238" spans="1:92" s="426" customFormat="1">
      <c r="A238" s="424" t="s">
        <v>518</v>
      </c>
      <c r="B238" s="424" t="s">
        <v>630</v>
      </c>
      <c r="C238" s="425">
        <f t="shared" si="208"/>
        <v>77.89</v>
      </c>
      <c r="D238" s="425">
        <f t="shared" si="208"/>
        <v>77.89</v>
      </c>
      <c r="E238" s="425">
        <f t="shared" si="208"/>
        <v>77.89</v>
      </c>
      <c r="F238" s="425">
        <f t="shared" si="208"/>
        <v>77.89</v>
      </c>
      <c r="G238" s="425">
        <f t="shared" si="208"/>
        <v>77.89</v>
      </c>
      <c r="H238" s="425">
        <f t="shared" si="208"/>
        <v>77.89</v>
      </c>
      <c r="I238" s="425">
        <f t="shared" si="208"/>
        <v>77.89</v>
      </c>
      <c r="J238" s="425">
        <f t="shared" si="208"/>
        <v>77.89</v>
      </c>
      <c r="K238" s="425">
        <f t="shared" si="208"/>
        <v>77.89</v>
      </c>
      <c r="L238" s="425">
        <f t="shared" si="208"/>
        <v>77.89</v>
      </c>
      <c r="M238" s="425" t="s">
        <v>762</v>
      </c>
      <c r="N238" s="425" t="s">
        <v>762</v>
      </c>
      <c r="O238" s="425" t="s">
        <v>762</v>
      </c>
      <c r="P238" s="425" t="s">
        <v>762</v>
      </c>
      <c r="Q238" s="425" t="s">
        <v>762</v>
      </c>
      <c r="R238" s="425" t="s">
        <v>762</v>
      </c>
      <c r="S238" s="425" t="s">
        <v>762</v>
      </c>
      <c r="T238" s="425" t="s">
        <v>762</v>
      </c>
      <c r="U238" s="425" t="s">
        <v>762</v>
      </c>
      <c r="V238" s="425">
        <f t="shared" si="208"/>
        <v>77.89</v>
      </c>
      <c r="W238" s="425">
        <f t="shared" si="208"/>
        <v>77.89</v>
      </c>
      <c r="X238" s="425">
        <f t="shared" si="209"/>
        <v>91.02</v>
      </c>
      <c r="Y238" s="425">
        <f t="shared" si="210"/>
        <v>94.5</v>
      </c>
      <c r="Z238" s="425">
        <f t="shared" si="211"/>
        <v>105.98</v>
      </c>
      <c r="AA238" s="425">
        <f t="shared" si="212"/>
        <v>109.75</v>
      </c>
      <c r="AB238" s="425">
        <f t="shared" si="213"/>
        <v>113.54</v>
      </c>
      <c r="AC238" s="425">
        <f t="shared" ref="AC238:AD238" si="222">$I730</f>
        <v>117.31</v>
      </c>
      <c r="AD238" s="425">
        <f t="shared" si="222"/>
        <v>117.31</v>
      </c>
      <c r="AE238" s="425" t="s">
        <v>762</v>
      </c>
      <c r="AF238" s="425" t="s">
        <v>762</v>
      </c>
      <c r="AG238" s="425">
        <f t="shared" si="195"/>
        <v>142.19550000000001</v>
      </c>
      <c r="AH238" s="425" t="s">
        <v>762</v>
      </c>
      <c r="AI238" s="425">
        <f t="shared" si="196"/>
        <v>189.59400000000002</v>
      </c>
      <c r="AJ238" s="425" t="s">
        <v>762</v>
      </c>
      <c r="AK238" s="425">
        <f t="shared" si="197"/>
        <v>236.99250000000004</v>
      </c>
      <c r="AL238" s="425">
        <f t="shared" si="198"/>
        <v>200.71800000000002</v>
      </c>
      <c r="AM238" s="425" t="s">
        <v>762</v>
      </c>
      <c r="AN238" s="425">
        <f t="shared" si="199"/>
        <v>234.17100000000002</v>
      </c>
      <c r="AO238" s="425" t="s">
        <v>762</v>
      </c>
      <c r="AP238" s="425">
        <f t="shared" si="200"/>
        <v>267.62400000000002</v>
      </c>
      <c r="AQ238" s="425" t="s">
        <v>762</v>
      </c>
      <c r="AR238" s="425">
        <f t="shared" si="201"/>
        <v>301.077</v>
      </c>
      <c r="AS238" s="425" t="s">
        <v>762</v>
      </c>
      <c r="AT238" s="425">
        <f t="shared" si="202"/>
        <v>364.29750000000001</v>
      </c>
      <c r="AU238" s="425" t="s">
        <v>762</v>
      </c>
      <c r="AV238" s="425" t="s">
        <v>762</v>
      </c>
      <c r="AW238" s="425" t="s">
        <v>762</v>
      </c>
      <c r="AX238" s="425" t="s">
        <v>762</v>
      </c>
      <c r="AY238" s="425" t="s">
        <v>762</v>
      </c>
      <c r="AZ238" s="425" t="s">
        <v>762</v>
      </c>
      <c r="BA238" s="425">
        <f t="shared" si="203"/>
        <v>479.11500000000001</v>
      </c>
      <c r="BB238" s="425" t="s">
        <v>762</v>
      </c>
      <c r="BC238" s="425" t="s">
        <v>762</v>
      </c>
      <c r="BD238" s="425" t="s">
        <v>762</v>
      </c>
      <c r="BE238" s="425" t="s">
        <v>762</v>
      </c>
      <c r="BF238" s="425">
        <f t="shared" si="204"/>
        <v>654.21</v>
      </c>
      <c r="BG238" s="425" t="s">
        <v>762</v>
      </c>
      <c r="BH238" s="425" t="s">
        <v>762</v>
      </c>
      <c r="BI238" s="425">
        <f t="shared" si="205"/>
        <v>817.76250000000005</v>
      </c>
      <c r="BJ238" s="425" t="s">
        <v>762</v>
      </c>
      <c r="BK238" s="425" t="s">
        <v>762</v>
      </c>
      <c r="BL238" s="425">
        <f t="shared" si="206"/>
        <v>981.31500000000005</v>
      </c>
      <c r="BM238" s="425" t="s">
        <v>762</v>
      </c>
      <c r="BN238" s="425" t="s">
        <v>762</v>
      </c>
      <c r="BO238" s="425" t="s">
        <v>762</v>
      </c>
      <c r="BP238" s="425" t="s">
        <v>762</v>
      </c>
      <c r="BQ238" s="425" t="s">
        <v>762</v>
      </c>
      <c r="BR238" s="425" t="s">
        <v>762</v>
      </c>
      <c r="BS238" s="425" t="s">
        <v>762</v>
      </c>
      <c r="BT238" s="425" t="s">
        <v>762</v>
      </c>
      <c r="BU238" s="425" t="s">
        <v>762</v>
      </c>
      <c r="BV238" s="425" t="s">
        <v>762</v>
      </c>
      <c r="BW238" s="425" t="s">
        <v>762</v>
      </c>
      <c r="BX238" s="425" t="s">
        <v>762</v>
      </c>
      <c r="BY238" s="425" t="s">
        <v>762</v>
      </c>
      <c r="BZ238" s="425" t="s">
        <v>762</v>
      </c>
      <c r="CA238" s="425" t="s">
        <v>762</v>
      </c>
      <c r="CB238" s="425" t="s">
        <v>762</v>
      </c>
      <c r="CC238" s="425" t="s">
        <v>762</v>
      </c>
      <c r="CD238" s="425" t="s">
        <v>762</v>
      </c>
      <c r="CE238" s="425" t="s">
        <v>762</v>
      </c>
      <c r="CF238" s="425" t="s">
        <v>762</v>
      </c>
      <c r="CG238" s="424" t="s">
        <v>762</v>
      </c>
      <c r="CH238" s="425">
        <f t="shared" si="215"/>
        <v>94.797000000000011</v>
      </c>
      <c r="CI238" s="425">
        <f t="shared" si="207"/>
        <v>66.906000000000006</v>
      </c>
      <c r="CJ238" s="425">
        <f t="shared" si="207"/>
        <v>72.859499999999997</v>
      </c>
      <c r="CK238" s="425">
        <f t="shared" si="207"/>
        <v>63.882000000000005</v>
      </c>
      <c r="CL238" s="425">
        <f t="shared" si="207"/>
        <v>65.421000000000006</v>
      </c>
      <c r="CN238" s="438"/>
    </row>
    <row r="239" spans="1:92" s="426" customFormat="1">
      <c r="A239" s="424" t="s">
        <v>519</v>
      </c>
      <c r="B239" s="424" t="s">
        <v>630</v>
      </c>
      <c r="C239" s="425">
        <f t="shared" si="208"/>
        <v>50.43</v>
      </c>
      <c r="D239" s="425">
        <f t="shared" si="208"/>
        <v>50.43</v>
      </c>
      <c r="E239" s="425">
        <f t="shared" si="208"/>
        <v>50.43</v>
      </c>
      <c r="F239" s="425">
        <f t="shared" si="208"/>
        <v>50.43</v>
      </c>
      <c r="G239" s="425">
        <f t="shared" si="208"/>
        <v>50.43</v>
      </c>
      <c r="H239" s="425">
        <f t="shared" si="208"/>
        <v>50.43</v>
      </c>
      <c r="I239" s="425">
        <f t="shared" si="208"/>
        <v>50.43</v>
      </c>
      <c r="J239" s="425">
        <f t="shared" si="208"/>
        <v>50.43</v>
      </c>
      <c r="K239" s="425">
        <f t="shared" si="208"/>
        <v>50.43</v>
      </c>
      <c r="L239" s="425">
        <f t="shared" si="208"/>
        <v>50.43</v>
      </c>
      <c r="M239" s="425" t="s">
        <v>762</v>
      </c>
      <c r="N239" s="425" t="s">
        <v>762</v>
      </c>
      <c r="O239" s="425" t="s">
        <v>762</v>
      </c>
      <c r="P239" s="425" t="s">
        <v>762</v>
      </c>
      <c r="Q239" s="425" t="s">
        <v>762</v>
      </c>
      <c r="R239" s="425" t="s">
        <v>762</v>
      </c>
      <c r="S239" s="425" t="s">
        <v>762</v>
      </c>
      <c r="T239" s="425" t="s">
        <v>762</v>
      </c>
      <c r="U239" s="425" t="s">
        <v>762</v>
      </c>
      <c r="V239" s="425">
        <f t="shared" si="208"/>
        <v>50.43</v>
      </c>
      <c r="W239" s="425">
        <f t="shared" si="208"/>
        <v>50.43</v>
      </c>
      <c r="X239" s="425">
        <f t="shared" si="209"/>
        <v>58.93</v>
      </c>
      <c r="Y239" s="425">
        <f t="shared" si="210"/>
        <v>61.21</v>
      </c>
      <c r="Z239" s="425">
        <f t="shared" si="211"/>
        <v>67.8</v>
      </c>
      <c r="AA239" s="425">
        <f t="shared" si="212"/>
        <v>70.22</v>
      </c>
      <c r="AB239" s="425">
        <f t="shared" si="213"/>
        <v>72.63</v>
      </c>
      <c r="AC239" s="425">
        <f t="shared" ref="AC239:AD239" si="223">$I731</f>
        <v>75.069999999999993</v>
      </c>
      <c r="AD239" s="425">
        <f t="shared" si="223"/>
        <v>75.069999999999993</v>
      </c>
      <c r="AE239" s="425" t="s">
        <v>762</v>
      </c>
      <c r="AF239" s="425" t="s">
        <v>762</v>
      </c>
      <c r="AG239" s="425">
        <f t="shared" si="195"/>
        <v>91.003500000000003</v>
      </c>
      <c r="AH239" s="425" t="s">
        <v>762</v>
      </c>
      <c r="AI239" s="425">
        <f t="shared" si="196"/>
        <v>121.33800000000001</v>
      </c>
      <c r="AJ239" s="425" t="s">
        <v>762</v>
      </c>
      <c r="AK239" s="425">
        <f t="shared" si="197"/>
        <v>151.67250000000001</v>
      </c>
      <c r="AL239" s="425">
        <f t="shared" si="198"/>
        <v>128.4255</v>
      </c>
      <c r="AM239" s="425" t="s">
        <v>762</v>
      </c>
      <c r="AN239" s="425">
        <f t="shared" si="199"/>
        <v>149.82975000000002</v>
      </c>
      <c r="AO239" s="425" t="s">
        <v>762</v>
      </c>
      <c r="AP239" s="425">
        <f t="shared" si="200"/>
        <v>171.23400000000001</v>
      </c>
      <c r="AQ239" s="425" t="s">
        <v>762</v>
      </c>
      <c r="AR239" s="425">
        <f t="shared" si="201"/>
        <v>192.63825</v>
      </c>
      <c r="AS239" s="425" t="s">
        <v>762</v>
      </c>
      <c r="AT239" s="425">
        <f t="shared" si="202"/>
        <v>233.01000000000002</v>
      </c>
      <c r="AU239" s="425" t="s">
        <v>762</v>
      </c>
      <c r="AV239" s="425" t="s">
        <v>762</v>
      </c>
      <c r="AW239" s="425" t="s">
        <v>762</v>
      </c>
      <c r="AX239" s="425" t="s">
        <v>762</v>
      </c>
      <c r="AY239" s="425" t="s">
        <v>762</v>
      </c>
      <c r="AZ239" s="425" t="s">
        <v>762</v>
      </c>
      <c r="BA239" s="425">
        <f t="shared" si="203"/>
        <v>306.48374999999999</v>
      </c>
      <c r="BB239" s="425" t="s">
        <v>762</v>
      </c>
      <c r="BC239" s="425" t="s">
        <v>762</v>
      </c>
      <c r="BD239" s="425" t="s">
        <v>762</v>
      </c>
      <c r="BE239" s="425" t="s">
        <v>762</v>
      </c>
      <c r="BF239" s="425">
        <f t="shared" si="204"/>
        <v>418.5</v>
      </c>
      <c r="BG239" s="425" t="s">
        <v>762</v>
      </c>
      <c r="BH239" s="425" t="s">
        <v>762</v>
      </c>
      <c r="BI239" s="425">
        <f t="shared" si="205"/>
        <v>523.125</v>
      </c>
      <c r="BJ239" s="425" t="s">
        <v>762</v>
      </c>
      <c r="BK239" s="425" t="s">
        <v>762</v>
      </c>
      <c r="BL239" s="425">
        <f t="shared" si="206"/>
        <v>627.75</v>
      </c>
      <c r="BM239" s="425" t="s">
        <v>762</v>
      </c>
      <c r="BN239" s="425" t="s">
        <v>762</v>
      </c>
      <c r="BO239" s="425" t="s">
        <v>762</v>
      </c>
      <c r="BP239" s="425" t="s">
        <v>762</v>
      </c>
      <c r="BQ239" s="425" t="s">
        <v>762</v>
      </c>
      <c r="BR239" s="425" t="s">
        <v>762</v>
      </c>
      <c r="BS239" s="425" t="s">
        <v>762</v>
      </c>
      <c r="BT239" s="425" t="s">
        <v>762</v>
      </c>
      <c r="BU239" s="425" t="s">
        <v>762</v>
      </c>
      <c r="BV239" s="425" t="s">
        <v>762</v>
      </c>
      <c r="BW239" s="425" t="s">
        <v>762</v>
      </c>
      <c r="BX239" s="425" t="s">
        <v>762</v>
      </c>
      <c r="BY239" s="425" t="s">
        <v>762</v>
      </c>
      <c r="BZ239" s="425" t="s">
        <v>762</v>
      </c>
      <c r="CA239" s="425" t="s">
        <v>762</v>
      </c>
      <c r="CB239" s="425" t="s">
        <v>762</v>
      </c>
      <c r="CC239" s="425" t="s">
        <v>762</v>
      </c>
      <c r="CD239" s="425" t="s">
        <v>762</v>
      </c>
      <c r="CE239" s="425" t="s">
        <v>762</v>
      </c>
      <c r="CF239" s="425" t="s">
        <v>762</v>
      </c>
      <c r="CG239" s="424" t="s">
        <v>762</v>
      </c>
      <c r="CH239" s="425">
        <f t="shared" si="215"/>
        <v>60.669000000000004</v>
      </c>
      <c r="CI239" s="425">
        <f t="shared" si="207"/>
        <v>42.808500000000002</v>
      </c>
      <c r="CJ239" s="425">
        <f t="shared" si="207"/>
        <v>46.602000000000004</v>
      </c>
      <c r="CK239" s="425">
        <f t="shared" si="207"/>
        <v>40.8645</v>
      </c>
      <c r="CL239" s="425">
        <f t="shared" si="207"/>
        <v>41.85</v>
      </c>
      <c r="CN239" s="438"/>
    </row>
    <row r="240" spans="1:92" s="426" customFormat="1">
      <c r="A240" s="424" t="s">
        <v>520</v>
      </c>
      <c r="B240" s="424" t="s">
        <v>630</v>
      </c>
      <c r="C240" s="425">
        <f t="shared" si="208"/>
        <v>40.1</v>
      </c>
      <c r="D240" s="425">
        <f t="shared" si="208"/>
        <v>40.1</v>
      </c>
      <c r="E240" s="425">
        <f t="shared" si="208"/>
        <v>40.1</v>
      </c>
      <c r="F240" s="425">
        <f t="shared" si="208"/>
        <v>40.1</v>
      </c>
      <c r="G240" s="425">
        <f t="shared" si="208"/>
        <v>40.1</v>
      </c>
      <c r="H240" s="425">
        <f t="shared" si="208"/>
        <v>40.1</v>
      </c>
      <c r="I240" s="425">
        <f t="shared" si="208"/>
        <v>40.1</v>
      </c>
      <c r="J240" s="425">
        <f t="shared" si="208"/>
        <v>40.1</v>
      </c>
      <c r="K240" s="425">
        <f t="shared" si="208"/>
        <v>40.1</v>
      </c>
      <c r="L240" s="425">
        <f t="shared" si="208"/>
        <v>40.1</v>
      </c>
      <c r="M240" s="425" t="s">
        <v>762</v>
      </c>
      <c r="N240" s="425" t="s">
        <v>762</v>
      </c>
      <c r="O240" s="425" t="s">
        <v>762</v>
      </c>
      <c r="P240" s="425" t="s">
        <v>762</v>
      </c>
      <c r="Q240" s="425" t="s">
        <v>762</v>
      </c>
      <c r="R240" s="425" t="s">
        <v>762</v>
      </c>
      <c r="S240" s="425" t="s">
        <v>762</v>
      </c>
      <c r="T240" s="425" t="s">
        <v>762</v>
      </c>
      <c r="U240" s="425" t="s">
        <v>762</v>
      </c>
      <c r="V240" s="425">
        <f t="shared" si="208"/>
        <v>40.1</v>
      </c>
      <c r="W240" s="425">
        <f t="shared" si="208"/>
        <v>40.1</v>
      </c>
      <c r="X240" s="425">
        <f t="shared" si="209"/>
        <v>46.87</v>
      </c>
      <c r="Y240" s="425">
        <f t="shared" si="210"/>
        <v>48.66</v>
      </c>
      <c r="Z240" s="425">
        <f t="shared" si="211"/>
        <v>53.02</v>
      </c>
      <c r="AA240" s="425">
        <f t="shared" si="212"/>
        <v>54.92</v>
      </c>
      <c r="AB240" s="425">
        <f t="shared" si="213"/>
        <v>56.8</v>
      </c>
      <c r="AC240" s="425">
        <f t="shared" ref="AC240:AD240" si="224">$I732</f>
        <v>58.7</v>
      </c>
      <c r="AD240" s="425">
        <f t="shared" si="224"/>
        <v>58.7</v>
      </c>
      <c r="AE240" s="425" t="s">
        <v>762</v>
      </c>
      <c r="AF240" s="425" t="s">
        <v>762</v>
      </c>
      <c r="AG240" s="425">
        <f t="shared" si="195"/>
        <v>71.138250000000014</v>
      </c>
      <c r="AH240" s="425" t="s">
        <v>762</v>
      </c>
      <c r="AI240" s="425">
        <f t="shared" si="196"/>
        <v>94.851000000000013</v>
      </c>
      <c r="AJ240" s="425" t="s">
        <v>762</v>
      </c>
      <c r="AK240" s="425">
        <f t="shared" si="197"/>
        <v>118.56375000000001</v>
      </c>
      <c r="AL240" s="425">
        <f t="shared" si="198"/>
        <v>100.39950000000002</v>
      </c>
      <c r="AM240" s="425" t="s">
        <v>762</v>
      </c>
      <c r="AN240" s="425">
        <f t="shared" si="199"/>
        <v>117.13275000000002</v>
      </c>
      <c r="AO240" s="425" t="s">
        <v>762</v>
      </c>
      <c r="AP240" s="425">
        <f t="shared" si="200"/>
        <v>133.86600000000001</v>
      </c>
      <c r="AQ240" s="425" t="s">
        <v>762</v>
      </c>
      <c r="AR240" s="425">
        <f t="shared" si="201"/>
        <v>150.59925000000001</v>
      </c>
      <c r="AS240" s="425" t="s">
        <v>762</v>
      </c>
      <c r="AT240" s="425">
        <f t="shared" si="202"/>
        <v>182.25</v>
      </c>
      <c r="AU240" s="425" t="s">
        <v>762</v>
      </c>
      <c r="AV240" s="425" t="s">
        <v>762</v>
      </c>
      <c r="AW240" s="425" t="s">
        <v>762</v>
      </c>
      <c r="AX240" s="425" t="s">
        <v>762</v>
      </c>
      <c r="AY240" s="425" t="s">
        <v>762</v>
      </c>
      <c r="AZ240" s="425" t="s">
        <v>762</v>
      </c>
      <c r="BA240" s="425">
        <f t="shared" si="203"/>
        <v>239.5575</v>
      </c>
      <c r="BB240" s="425" t="s">
        <v>762</v>
      </c>
      <c r="BC240" s="425" t="s">
        <v>762</v>
      </c>
      <c r="BD240" s="425" t="s">
        <v>762</v>
      </c>
      <c r="BE240" s="425" t="s">
        <v>762</v>
      </c>
      <c r="BF240" s="425">
        <f t="shared" si="204"/>
        <v>327.10500000000002</v>
      </c>
      <c r="BG240" s="425" t="s">
        <v>762</v>
      </c>
      <c r="BH240" s="425" t="s">
        <v>762</v>
      </c>
      <c r="BI240" s="425">
        <f t="shared" si="205"/>
        <v>408.88125000000002</v>
      </c>
      <c r="BJ240" s="425" t="s">
        <v>762</v>
      </c>
      <c r="BK240" s="425" t="s">
        <v>762</v>
      </c>
      <c r="BL240" s="425">
        <f t="shared" si="206"/>
        <v>490.65750000000003</v>
      </c>
      <c r="BM240" s="425" t="s">
        <v>762</v>
      </c>
      <c r="BN240" s="425" t="s">
        <v>762</v>
      </c>
      <c r="BO240" s="425" t="s">
        <v>762</v>
      </c>
      <c r="BP240" s="425" t="s">
        <v>762</v>
      </c>
      <c r="BQ240" s="425" t="s">
        <v>762</v>
      </c>
      <c r="BR240" s="425" t="s">
        <v>762</v>
      </c>
      <c r="BS240" s="425" t="s">
        <v>762</v>
      </c>
      <c r="BT240" s="425" t="s">
        <v>762</v>
      </c>
      <c r="BU240" s="425" t="s">
        <v>762</v>
      </c>
      <c r="BV240" s="425" t="s">
        <v>762</v>
      </c>
      <c r="BW240" s="425" t="s">
        <v>762</v>
      </c>
      <c r="BX240" s="425" t="s">
        <v>762</v>
      </c>
      <c r="BY240" s="425" t="s">
        <v>762</v>
      </c>
      <c r="BZ240" s="425" t="s">
        <v>762</v>
      </c>
      <c r="CA240" s="425" t="s">
        <v>762</v>
      </c>
      <c r="CB240" s="425" t="s">
        <v>762</v>
      </c>
      <c r="CC240" s="425" t="s">
        <v>762</v>
      </c>
      <c r="CD240" s="425" t="s">
        <v>762</v>
      </c>
      <c r="CE240" s="425" t="s">
        <v>762</v>
      </c>
      <c r="CF240" s="425" t="s">
        <v>762</v>
      </c>
      <c r="CG240" s="424" t="s">
        <v>762</v>
      </c>
      <c r="CH240" s="425">
        <f t="shared" si="215"/>
        <v>47.425500000000007</v>
      </c>
      <c r="CI240" s="425">
        <f t="shared" si="207"/>
        <v>33.466500000000003</v>
      </c>
      <c r="CJ240" s="425">
        <f t="shared" si="207"/>
        <v>36.450000000000003</v>
      </c>
      <c r="CK240" s="425">
        <f t="shared" si="207"/>
        <v>31.941000000000003</v>
      </c>
      <c r="CL240" s="425">
        <f t="shared" si="207"/>
        <v>32.710500000000003</v>
      </c>
      <c r="CN240" s="438"/>
    </row>
    <row r="241" spans="1:92" s="426" customFormat="1">
      <c r="A241" s="424" t="s">
        <v>521</v>
      </c>
      <c r="B241" s="424" t="s">
        <v>630</v>
      </c>
      <c r="C241" s="425">
        <f t="shared" si="208"/>
        <v>58.95</v>
      </c>
      <c r="D241" s="425">
        <f t="shared" si="208"/>
        <v>58.95</v>
      </c>
      <c r="E241" s="425">
        <f t="shared" si="208"/>
        <v>58.95</v>
      </c>
      <c r="F241" s="425">
        <f t="shared" si="208"/>
        <v>58.95</v>
      </c>
      <c r="G241" s="425">
        <f t="shared" si="208"/>
        <v>58.95</v>
      </c>
      <c r="H241" s="425">
        <f t="shared" si="208"/>
        <v>58.95</v>
      </c>
      <c r="I241" s="425">
        <f t="shared" si="208"/>
        <v>58.95</v>
      </c>
      <c r="J241" s="425">
        <f t="shared" si="208"/>
        <v>58.95</v>
      </c>
      <c r="K241" s="425">
        <f t="shared" si="208"/>
        <v>58.95</v>
      </c>
      <c r="L241" s="425">
        <f t="shared" si="208"/>
        <v>58.95</v>
      </c>
      <c r="M241" s="425" t="s">
        <v>762</v>
      </c>
      <c r="N241" s="425" t="s">
        <v>762</v>
      </c>
      <c r="O241" s="425" t="s">
        <v>762</v>
      </c>
      <c r="P241" s="425" t="s">
        <v>762</v>
      </c>
      <c r="Q241" s="425" t="s">
        <v>762</v>
      </c>
      <c r="R241" s="425" t="s">
        <v>762</v>
      </c>
      <c r="S241" s="425" t="s">
        <v>762</v>
      </c>
      <c r="T241" s="425" t="s">
        <v>762</v>
      </c>
      <c r="U241" s="425" t="s">
        <v>762</v>
      </c>
      <c r="V241" s="425">
        <f t="shared" si="208"/>
        <v>58.95</v>
      </c>
      <c r="W241" s="425">
        <f t="shared" si="208"/>
        <v>58.95</v>
      </c>
      <c r="X241" s="425">
        <f t="shared" si="209"/>
        <v>68.89</v>
      </c>
      <c r="Y241" s="425">
        <f t="shared" si="210"/>
        <v>71.540000000000006</v>
      </c>
      <c r="Z241" s="425">
        <f t="shared" si="211"/>
        <v>79.349999999999994</v>
      </c>
      <c r="AA241" s="425">
        <f t="shared" si="212"/>
        <v>82.18</v>
      </c>
      <c r="AB241" s="425">
        <f t="shared" si="213"/>
        <v>85</v>
      </c>
      <c r="AC241" s="425">
        <f t="shared" ref="AC241:AD241" si="225">$I733</f>
        <v>87.84</v>
      </c>
      <c r="AD241" s="425">
        <f t="shared" si="225"/>
        <v>87.84</v>
      </c>
      <c r="AE241" s="425" t="s">
        <v>762</v>
      </c>
      <c r="AF241" s="425" t="s">
        <v>762</v>
      </c>
      <c r="AG241" s="425">
        <f t="shared" si="195"/>
        <v>106.45425000000002</v>
      </c>
      <c r="AH241" s="425" t="s">
        <v>762</v>
      </c>
      <c r="AI241" s="425">
        <f t="shared" si="196"/>
        <v>141.93900000000002</v>
      </c>
      <c r="AJ241" s="425" t="s">
        <v>762</v>
      </c>
      <c r="AK241" s="425">
        <f t="shared" si="197"/>
        <v>177.42375000000004</v>
      </c>
      <c r="AL241" s="425">
        <f t="shared" si="198"/>
        <v>150.25500000000002</v>
      </c>
      <c r="AM241" s="425" t="s">
        <v>762</v>
      </c>
      <c r="AN241" s="425">
        <f t="shared" si="199"/>
        <v>175.29750000000001</v>
      </c>
      <c r="AO241" s="425" t="s">
        <v>762</v>
      </c>
      <c r="AP241" s="425">
        <f t="shared" si="200"/>
        <v>200.34000000000003</v>
      </c>
      <c r="AQ241" s="425" t="s">
        <v>762</v>
      </c>
      <c r="AR241" s="425">
        <f t="shared" si="201"/>
        <v>225.38250000000005</v>
      </c>
      <c r="AS241" s="425" t="s">
        <v>762</v>
      </c>
      <c r="AT241" s="425">
        <f t="shared" si="202"/>
        <v>272.63250000000005</v>
      </c>
      <c r="AU241" s="425" t="s">
        <v>762</v>
      </c>
      <c r="AV241" s="425" t="s">
        <v>762</v>
      </c>
      <c r="AW241" s="425" t="s">
        <v>762</v>
      </c>
      <c r="AX241" s="425" t="s">
        <v>762</v>
      </c>
      <c r="AY241" s="425" t="s">
        <v>762</v>
      </c>
      <c r="AZ241" s="425" t="s">
        <v>762</v>
      </c>
      <c r="BA241" s="425">
        <f t="shared" si="203"/>
        <v>358.52625</v>
      </c>
      <c r="BB241" s="425" t="s">
        <v>762</v>
      </c>
      <c r="BC241" s="425" t="s">
        <v>762</v>
      </c>
      <c r="BD241" s="425" t="s">
        <v>762</v>
      </c>
      <c r="BE241" s="425" t="s">
        <v>762</v>
      </c>
      <c r="BF241" s="425">
        <f t="shared" si="204"/>
        <v>489.78000000000003</v>
      </c>
      <c r="BG241" s="425" t="s">
        <v>762</v>
      </c>
      <c r="BH241" s="425" t="s">
        <v>762</v>
      </c>
      <c r="BI241" s="425">
        <f t="shared" si="205"/>
        <v>612.22500000000002</v>
      </c>
      <c r="BJ241" s="425" t="s">
        <v>762</v>
      </c>
      <c r="BK241" s="425" t="s">
        <v>762</v>
      </c>
      <c r="BL241" s="425">
        <f t="shared" si="206"/>
        <v>734.67000000000007</v>
      </c>
      <c r="BM241" s="425" t="s">
        <v>762</v>
      </c>
      <c r="BN241" s="425" t="s">
        <v>762</v>
      </c>
      <c r="BO241" s="425" t="s">
        <v>762</v>
      </c>
      <c r="BP241" s="425" t="s">
        <v>762</v>
      </c>
      <c r="BQ241" s="425" t="s">
        <v>762</v>
      </c>
      <c r="BR241" s="425" t="s">
        <v>762</v>
      </c>
      <c r="BS241" s="425" t="s">
        <v>762</v>
      </c>
      <c r="BT241" s="425" t="s">
        <v>762</v>
      </c>
      <c r="BU241" s="425" t="s">
        <v>762</v>
      </c>
      <c r="BV241" s="425" t="s">
        <v>762</v>
      </c>
      <c r="BW241" s="425" t="s">
        <v>762</v>
      </c>
      <c r="BX241" s="425" t="s">
        <v>762</v>
      </c>
      <c r="BY241" s="425" t="s">
        <v>762</v>
      </c>
      <c r="BZ241" s="425" t="s">
        <v>762</v>
      </c>
      <c r="CA241" s="425" t="s">
        <v>762</v>
      </c>
      <c r="CB241" s="425" t="s">
        <v>762</v>
      </c>
      <c r="CC241" s="425" t="s">
        <v>762</v>
      </c>
      <c r="CD241" s="425" t="s">
        <v>762</v>
      </c>
      <c r="CE241" s="425" t="s">
        <v>762</v>
      </c>
      <c r="CF241" s="425" t="s">
        <v>762</v>
      </c>
      <c r="CG241" s="424" t="s">
        <v>762</v>
      </c>
      <c r="CH241" s="425">
        <f t="shared" si="215"/>
        <v>70.969500000000011</v>
      </c>
      <c r="CI241" s="425">
        <f t="shared" si="207"/>
        <v>50.085000000000008</v>
      </c>
      <c r="CJ241" s="425">
        <f t="shared" si="207"/>
        <v>54.526500000000006</v>
      </c>
      <c r="CK241" s="425">
        <f t="shared" si="207"/>
        <v>47.8035</v>
      </c>
      <c r="CL241" s="425">
        <f t="shared" si="207"/>
        <v>48.978000000000002</v>
      </c>
      <c r="CN241" s="438"/>
    </row>
    <row r="242" spans="1:92" s="426" customFormat="1">
      <c r="A242" s="424" t="s">
        <v>522</v>
      </c>
      <c r="B242" s="424" t="s">
        <v>630</v>
      </c>
      <c r="C242" s="425">
        <f t="shared" si="208"/>
        <v>73.69</v>
      </c>
      <c r="D242" s="425">
        <f t="shared" si="208"/>
        <v>73.69</v>
      </c>
      <c r="E242" s="425">
        <f t="shared" si="208"/>
        <v>73.69</v>
      </c>
      <c r="F242" s="425">
        <f t="shared" si="208"/>
        <v>73.69</v>
      </c>
      <c r="G242" s="425">
        <f t="shared" si="208"/>
        <v>73.69</v>
      </c>
      <c r="H242" s="425">
        <f t="shared" si="208"/>
        <v>73.69</v>
      </c>
      <c r="I242" s="425">
        <f t="shared" si="208"/>
        <v>73.69</v>
      </c>
      <c r="J242" s="425">
        <f t="shared" si="208"/>
        <v>73.69</v>
      </c>
      <c r="K242" s="425">
        <f t="shared" si="208"/>
        <v>73.69</v>
      </c>
      <c r="L242" s="425">
        <f t="shared" si="208"/>
        <v>73.69</v>
      </c>
      <c r="M242" s="425" t="s">
        <v>762</v>
      </c>
      <c r="N242" s="425" t="s">
        <v>762</v>
      </c>
      <c r="O242" s="425" t="s">
        <v>762</v>
      </c>
      <c r="P242" s="425" t="s">
        <v>762</v>
      </c>
      <c r="Q242" s="425" t="s">
        <v>762</v>
      </c>
      <c r="R242" s="425" t="s">
        <v>762</v>
      </c>
      <c r="S242" s="425" t="s">
        <v>762</v>
      </c>
      <c r="T242" s="425" t="s">
        <v>762</v>
      </c>
      <c r="U242" s="425" t="s">
        <v>762</v>
      </c>
      <c r="V242" s="425">
        <f t="shared" si="208"/>
        <v>73.69</v>
      </c>
      <c r="W242" s="425">
        <f t="shared" si="208"/>
        <v>73.69</v>
      </c>
      <c r="X242" s="425">
        <f t="shared" si="209"/>
        <v>86.1</v>
      </c>
      <c r="Y242" s="425">
        <f t="shared" si="210"/>
        <v>89.43</v>
      </c>
      <c r="Z242" s="425">
        <f t="shared" si="211"/>
        <v>99.17</v>
      </c>
      <c r="AA242" s="425">
        <f t="shared" si="212"/>
        <v>102.71</v>
      </c>
      <c r="AB242" s="425">
        <f t="shared" si="213"/>
        <v>106.26</v>
      </c>
      <c r="AC242" s="425">
        <f t="shared" ref="AC242:AD242" si="226">$I734</f>
        <v>109.8</v>
      </c>
      <c r="AD242" s="425">
        <f t="shared" si="226"/>
        <v>109.8</v>
      </c>
      <c r="AE242" s="425" t="s">
        <v>762</v>
      </c>
      <c r="AF242" s="425" t="s">
        <v>762</v>
      </c>
      <c r="AG242" s="425">
        <f t="shared" si="195"/>
        <v>133.06274999999999</v>
      </c>
      <c r="AH242" s="425" t="s">
        <v>762</v>
      </c>
      <c r="AI242" s="425">
        <f t="shared" si="196"/>
        <v>177.417</v>
      </c>
      <c r="AJ242" s="425" t="s">
        <v>762</v>
      </c>
      <c r="AK242" s="425">
        <f t="shared" si="197"/>
        <v>221.77125000000001</v>
      </c>
      <c r="AL242" s="425">
        <f t="shared" si="198"/>
        <v>187.83900000000003</v>
      </c>
      <c r="AM242" s="425" t="s">
        <v>762</v>
      </c>
      <c r="AN242" s="425">
        <f t="shared" si="199"/>
        <v>219.14550000000003</v>
      </c>
      <c r="AO242" s="425" t="s">
        <v>762</v>
      </c>
      <c r="AP242" s="425">
        <f t="shared" si="200"/>
        <v>250.45200000000003</v>
      </c>
      <c r="AQ242" s="425" t="s">
        <v>762</v>
      </c>
      <c r="AR242" s="425">
        <f t="shared" si="201"/>
        <v>281.75850000000003</v>
      </c>
      <c r="AS242" s="425" t="s">
        <v>762</v>
      </c>
      <c r="AT242" s="425">
        <f t="shared" si="202"/>
        <v>340.87500000000006</v>
      </c>
      <c r="AU242" s="425" t="s">
        <v>762</v>
      </c>
      <c r="AV242" s="425" t="s">
        <v>762</v>
      </c>
      <c r="AW242" s="425" t="s">
        <v>762</v>
      </c>
      <c r="AX242" s="425" t="s">
        <v>762</v>
      </c>
      <c r="AY242" s="425" t="s">
        <v>762</v>
      </c>
      <c r="AZ242" s="425" t="s">
        <v>762</v>
      </c>
      <c r="BA242" s="425">
        <f t="shared" si="203"/>
        <v>448.33500000000004</v>
      </c>
      <c r="BB242" s="425" t="s">
        <v>762</v>
      </c>
      <c r="BC242" s="425" t="s">
        <v>762</v>
      </c>
      <c r="BD242" s="425" t="s">
        <v>762</v>
      </c>
      <c r="BE242" s="425" t="s">
        <v>762</v>
      </c>
      <c r="BF242" s="425">
        <f t="shared" si="204"/>
        <v>612.09000000000015</v>
      </c>
      <c r="BG242" s="425" t="s">
        <v>762</v>
      </c>
      <c r="BH242" s="425" t="s">
        <v>762</v>
      </c>
      <c r="BI242" s="425">
        <f t="shared" si="205"/>
        <v>765.11250000000018</v>
      </c>
      <c r="BJ242" s="425" t="s">
        <v>762</v>
      </c>
      <c r="BK242" s="425" t="s">
        <v>762</v>
      </c>
      <c r="BL242" s="425">
        <f t="shared" si="206"/>
        <v>918.1350000000001</v>
      </c>
      <c r="BM242" s="425" t="s">
        <v>762</v>
      </c>
      <c r="BN242" s="425" t="s">
        <v>762</v>
      </c>
      <c r="BO242" s="425" t="s">
        <v>762</v>
      </c>
      <c r="BP242" s="425" t="s">
        <v>762</v>
      </c>
      <c r="BQ242" s="425" t="s">
        <v>762</v>
      </c>
      <c r="BR242" s="425" t="s">
        <v>762</v>
      </c>
      <c r="BS242" s="425" t="s">
        <v>762</v>
      </c>
      <c r="BT242" s="425" t="s">
        <v>762</v>
      </c>
      <c r="BU242" s="425" t="s">
        <v>762</v>
      </c>
      <c r="BV242" s="425" t="s">
        <v>762</v>
      </c>
      <c r="BW242" s="425" t="s">
        <v>762</v>
      </c>
      <c r="BX242" s="425" t="s">
        <v>762</v>
      </c>
      <c r="BY242" s="425" t="s">
        <v>762</v>
      </c>
      <c r="BZ242" s="425" t="s">
        <v>762</v>
      </c>
      <c r="CA242" s="425" t="s">
        <v>762</v>
      </c>
      <c r="CB242" s="425" t="s">
        <v>762</v>
      </c>
      <c r="CC242" s="425" t="s">
        <v>762</v>
      </c>
      <c r="CD242" s="425" t="s">
        <v>762</v>
      </c>
      <c r="CE242" s="425" t="s">
        <v>762</v>
      </c>
      <c r="CF242" s="425" t="s">
        <v>762</v>
      </c>
      <c r="CG242" s="424" t="s">
        <v>762</v>
      </c>
      <c r="CH242" s="425">
        <f t="shared" si="215"/>
        <v>88.708500000000001</v>
      </c>
      <c r="CI242" s="425">
        <f t="shared" si="207"/>
        <v>62.613000000000007</v>
      </c>
      <c r="CJ242" s="425">
        <f t="shared" si="207"/>
        <v>68.175000000000011</v>
      </c>
      <c r="CK242" s="425">
        <f t="shared" si="207"/>
        <v>59.778000000000006</v>
      </c>
      <c r="CL242" s="425">
        <f t="shared" si="207"/>
        <v>61.20900000000001</v>
      </c>
      <c r="CN242" s="438"/>
    </row>
    <row r="243" spans="1:92" s="426" customFormat="1">
      <c r="A243" s="424" t="s">
        <v>523</v>
      </c>
      <c r="B243" s="424" t="s">
        <v>630</v>
      </c>
      <c r="C243" s="425">
        <f t="shared" si="208"/>
        <v>37.630000000000003</v>
      </c>
      <c r="D243" s="425">
        <f t="shared" si="208"/>
        <v>37.630000000000003</v>
      </c>
      <c r="E243" s="425">
        <f t="shared" si="208"/>
        <v>37.630000000000003</v>
      </c>
      <c r="F243" s="425">
        <f t="shared" si="208"/>
        <v>37.630000000000003</v>
      </c>
      <c r="G243" s="425">
        <f t="shared" si="208"/>
        <v>37.630000000000003</v>
      </c>
      <c r="H243" s="425">
        <f t="shared" si="208"/>
        <v>37.630000000000003</v>
      </c>
      <c r="I243" s="425">
        <f t="shared" si="208"/>
        <v>37.630000000000003</v>
      </c>
      <c r="J243" s="425">
        <f t="shared" si="208"/>
        <v>37.630000000000003</v>
      </c>
      <c r="K243" s="425">
        <f t="shared" si="208"/>
        <v>37.630000000000003</v>
      </c>
      <c r="L243" s="425">
        <f t="shared" si="208"/>
        <v>37.630000000000003</v>
      </c>
      <c r="M243" s="425" t="s">
        <v>762</v>
      </c>
      <c r="N243" s="425" t="s">
        <v>762</v>
      </c>
      <c r="O243" s="425" t="s">
        <v>762</v>
      </c>
      <c r="P243" s="425" t="s">
        <v>762</v>
      </c>
      <c r="Q243" s="425" t="s">
        <v>762</v>
      </c>
      <c r="R243" s="425" t="s">
        <v>762</v>
      </c>
      <c r="S243" s="425" t="s">
        <v>762</v>
      </c>
      <c r="T243" s="425" t="s">
        <v>762</v>
      </c>
      <c r="U243" s="425" t="s">
        <v>762</v>
      </c>
      <c r="V243" s="425">
        <f t="shared" si="208"/>
        <v>37.630000000000003</v>
      </c>
      <c r="W243" s="425">
        <f t="shared" si="208"/>
        <v>37.630000000000003</v>
      </c>
      <c r="X243" s="425">
        <f t="shared" si="209"/>
        <v>43.95</v>
      </c>
      <c r="Y243" s="425">
        <f t="shared" si="210"/>
        <v>45.66</v>
      </c>
      <c r="Z243" s="425">
        <f t="shared" si="211"/>
        <v>49.47</v>
      </c>
      <c r="AA243" s="425">
        <f t="shared" si="212"/>
        <v>51.24</v>
      </c>
      <c r="AB243" s="425">
        <f t="shared" si="213"/>
        <v>53.01</v>
      </c>
      <c r="AC243" s="425">
        <f t="shared" ref="AC243:AD243" si="227">$I735</f>
        <v>54.78</v>
      </c>
      <c r="AD243" s="425">
        <f t="shared" si="227"/>
        <v>54.78</v>
      </c>
      <c r="AE243" s="425" t="s">
        <v>762</v>
      </c>
      <c r="AF243" s="425" t="s">
        <v>762</v>
      </c>
      <c r="AG243" s="425">
        <f t="shared" si="195"/>
        <v>66.42</v>
      </c>
      <c r="AH243" s="425" t="s">
        <v>762</v>
      </c>
      <c r="AI243" s="425">
        <f t="shared" si="196"/>
        <v>88.56</v>
      </c>
      <c r="AJ243" s="425" t="s">
        <v>762</v>
      </c>
      <c r="AK243" s="425">
        <f t="shared" si="197"/>
        <v>110.7</v>
      </c>
      <c r="AL243" s="425">
        <f t="shared" si="198"/>
        <v>93.676500000000004</v>
      </c>
      <c r="AM243" s="425" t="s">
        <v>762</v>
      </c>
      <c r="AN243" s="425">
        <f t="shared" si="199"/>
        <v>109.28925</v>
      </c>
      <c r="AO243" s="425" t="s">
        <v>762</v>
      </c>
      <c r="AP243" s="425">
        <f t="shared" si="200"/>
        <v>124.902</v>
      </c>
      <c r="AQ243" s="425" t="s">
        <v>762</v>
      </c>
      <c r="AR243" s="425">
        <f t="shared" si="201"/>
        <v>140.51474999999999</v>
      </c>
      <c r="AS243" s="425" t="s">
        <v>762</v>
      </c>
      <c r="AT243" s="425">
        <f t="shared" si="202"/>
        <v>170.10000000000002</v>
      </c>
      <c r="AU243" s="425" t="s">
        <v>762</v>
      </c>
      <c r="AV243" s="425" t="s">
        <v>762</v>
      </c>
      <c r="AW243" s="425" t="s">
        <v>762</v>
      </c>
      <c r="AX243" s="425" t="s">
        <v>762</v>
      </c>
      <c r="AY243" s="425" t="s">
        <v>762</v>
      </c>
      <c r="AZ243" s="425" t="s">
        <v>762</v>
      </c>
      <c r="BA243" s="425">
        <f t="shared" si="203"/>
        <v>223.66125</v>
      </c>
      <c r="BB243" s="425" t="s">
        <v>762</v>
      </c>
      <c r="BC243" s="425" t="s">
        <v>762</v>
      </c>
      <c r="BD243" s="425" t="s">
        <v>762</v>
      </c>
      <c r="BE243" s="425" t="s">
        <v>762</v>
      </c>
      <c r="BF243" s="425">
        <f t="shared" si="204"/>
        <v>305.23500000000001</v>
      </c>
      <c r="BG243" s="425" t="s">
        <v>762</v>
      </c>
      <c r="BH243" s="425" t="s">
        <v>762</v>
      </c>
      <c r="BI243" s="425">
        <f t="shared" si="205"/>
        <v>381.54375000000005</v>
      </c>
      <c r="BJ243" s="425" t="s">
        <v>762</v>
      </c>
      <c r="BK243" s="425" t="s">
        <v>762</v>
      </c>
      <c r="BL243" s="425">
        <f t="shared" si="206"/>
        <v>457.85250000000002</v>
      </c>
      <c r="BM243" s="425" t="s">
        <v>762</v>
      </c>
      <c r="BN243" s="425" t="s">
        <v>762</v>
      </c>
      <c r="BO243" s="425" t="s">
        <v>762</v>
      </c>
      <c r="BP243" s="425" t="s">
        <v>762</v>
      </c>
      <c r="BQ243" s="425" t="s">
        <v>762</v>
      </c>
      <c r="BR243" s="425" t="s">
        <v>762</v>
      </c>
      <c r="BS243" s="425" t="s">
        <v>762</v>
      </c>
      <c r="BT243" s="425" t="s">
        <v>762</v>
      </c>
      <c r="BU243" s="425" t="s">
        <v>762</v>
      </c>
      <c r="BV243" s="425" t="s">
        <v>762</v>
      </c>
      <c r="BW243" s="425" t="s">
        <v>762</v>
      </c>
      <c r="BX243" s="425" t="s">
        <v>762</v>
      </c>
      <c r="BY243" s="425" t="s">
        <v>762</v>
      </c>
      <c r="BZ243" s="425" t="s">
        <v>762</v>
      </c>
      <c r="CA243" s="425" t="s">
        <v>762</v>
      </c>
      <c r="CB243" s="425" t="s">
        <v>762</v>
      </c>
      <c r="CC243" s="425" t="s">
        <v>762</v>
      </c>
      <c r="CD243" s="425" t="s">
        <v>762</v>
      </c>
      <c r="CE243" s="425" t="s">
        <v>762</v>
      </c>
      <c r="CF243" s="425" t="s">
        <v>762</v>
      </c>
      <c r="CG243" s="424" t="s">
        <v>762</v>
      </c>
      <c r="CH243" s="425">
        <f t="shared" si="215"/>
        <v>44.28</v>
      </c>
      <c r="CI243" s="425">
        <f t="shared" si="207"/>
        <v>31.2255</v>
      </c>
      <c r="CJ243" s="425">
        <f t="shared" si="207"/>
        <v>34.020000000000003</v>
      </c>
      <c r="CK243" s="425">
        <f t="shared" si="207"/>
        <v>29.8215</v>
      </c>
      <c r="CL243" s="425">
        <f t="shared" si="207"/>
        <v>30.523500000000002</v>
      </c>
      <c r="CN243" s="438"/>
    </row>
    <row r="244" spans="1:92" s="426" customFormat="1">
      <c r="A244" s="424" t="s">
        <v>524</v>
      </c>
      <c r="B244" s="424" t="s">
        <v>630</v>
      </c>
      <c r="C244" s="425">
        <f t="shared" si="208"/>
        <v>54.1</v>
      </c>
      <c r="D244" s="425">
        <f t="shared" si="208"/>
        <v>54.1</v>
      </c>
      <c r="E244" s="425">
        <f t="shared" si="208"/>
        <v>54.1</v>
      </c>
      <c r="F244" s="425">
        <f t="shared" si="208"/>
        <v>54.1</v>
      </c>
      <c r="G244" s="425">
        <f t="shared" si="208"/>
        <v>54.1</v>
      </c>
      <c r="H244" s="425">
        <f t="shared" si="208"/>
        <v>54.1</v>
      </c>
      <c r="I244" s="425">
        <f t="shared" si="208"/>
        <v>54.1</v>
      </c>
      <c r="J244" s="425">
        <f t="shared" si="208"/>
        <v>54.1</v>
      </c>
      <c r="K244" s="425">
        <f t="shared" si="208"/>
        <v>54.1</v>
      </c>
      <c r="L244" s="425">
        <f t="shared" si="208"/>
        <v>54.1</v>
      </c>
      <c r="M244" s="425" t="s">
        <v>762</v>
      </c>
      <c r="N244" s="425" t="s">
        <v>762</v>
      </c>
      <c r="O244" s="425" t="s">
        <v>762</v>
      </c>
      <c r="P244" s="425" t="s">
        <v>762</v>
      </c>
      <c r="Q244" s="425" t="s">
        <v>762</v>
      </c>
      <c r="R244" s="425" t="s">
        <v>762</v>
      </c>
      <c r="S244" s="425" t="s">
        <v>762</v>
      </c>
      <c r="T244" s="425" t="s">
        <v>762</v>
      </c>
      <c r="U244" s="425" t="s">
        <v>762</v>
      </c>
      <c r="V244" s="425">
        <f t="shared" si="208"/>
        <v>54.1</v>
      </c>
      <c r="W244" s="425">
        <f t="shared" si="208"/>
        <v>54.1</v>
      </c>
      <c r="X244" s="425">
        <f t="shared" si="209"/>
        <v>63.2</v>
      </c>
      <c r="Y244" s="425">
        <f t="shared" si="210"/>
        <v>65.63</v>
      </c>
      <c r="Z244" s="425">
        <f t="shared" si="211"/>
        <v>73.040000000000006</v>
      </c>
      <c r="AA244" s="425">
        <f t="shared" si="212"/>
        <v>75.64</v>
      </c>
      <c r="AB244" s="425">
        <f t="shared" si="213"/>
        <v>78.239999999999995</v>
      </c>
      <c r="AC244" s="425">
        <f t="shared" ref="AC244:AD244" si="228">$I736</f>
        <v>80.86</v>
      </c>
      <c r="AD244" s="425">
        <f t="shared" si="228"/>
        <v>80.86</v>
      </c>
      <c r="AE244" s="425" t="s">
        <v>762</v>
      </c>
      <c r="AF244" s="425" t="s">
        <v>762</v>
      </c>
      <c r="AG244" s="425">
        <f t="shared" si="195"/>
        <v>97.989750000000015</v>
      </c>
      <c r="AH244" s="425" t="s">
        <v>762</v>
      </c>
      <c r="AI244" s="425">
        <f t="shared" si="196"/>
        <v>130.65300000000002</v>
      </c>
      <c r="AJ244" s="425" t="s">
        <v>762</v>
      </c>
      <c r="AK244" s="425">
        <f t="shared" si="197"/>
        <v>163.31625000000003</v>
      </c>
      <c r="AL244" s="425">
        <f t="shared" si="198"/>
        <v>138.34800000000001</v>
      </c>
      <c r="AM244" s="425" t="s">
        <v>762</v>
      </c>
      <c r="AN244" s="425">
        <f t="shared" si="199"/>
        <v>161.40600000000001</v>
      </c>
      <c r="AO244" s="425" t="s">
        <v>762</v>
      </c>
      <c r="AP244" s="425">
        <f t="shared" si="200"/>
        <v>184.464</v>
      </c>
      <c r="AQ244" s="425" t="s">
        <v>762</v>
      </c>
      <c r="AR244" s="425">
        <f t="shared" si="201"/>
        <v>207.52199999999999</v>
      </c>
      <c r="AS244" s="425" t="s">
        <v>762</v>
      </c>
      <c r="AT244" s="425">
        <f t="shared" si="202"/>
        <v>251.0325</v>
      </c>
      <c r="AU244" s="425" t="s">
        <v>762</v>
      </c>
      <c r="AV244" s="425" t="s">
        <v>762</v>
      </c>
      <c r="AW244" s="425" t="s">
        <v>762</v>
      </c>
      <c r="AX244" s="425" t="s">
        <v>762</v>
      </c>
      <c r="AY244" s="425" t="s">
        <v>762</v>
      </c>
      <c r="AZ244" s="425" t="s">
        <v>762</v>
      </c>
      <c r="BA244" s="425">
        <f t="shared" si="203"/>
        <v>330.27749999999997</v>
      </c>
      <c r="BB244" s="425" t="s">
        <v>762</v>
      </c>
      <c r="BC244" s="425" t="s">
        <v>762</v>
      </c>
      <c r="BD244" s="425" t="s">
        <v>762</v>
      </c>
      <c r="BE244" s="425" t="s">
        <v>762</v>
      </c>
      <c r="BF244" s="425">
        <f t="shared" si="204"/>
        <v>450.76500000000004</v>
      </c>
      <c r="BG244" s="425" t="s">
        <v>762</v>
      </c>
      <c r="BH244" s="425" t="s">
        <v>762</v>
      </c>
      <c r="BI244" s="425">
        <f t="shared" si="205"/>
        <v>563.45625000000007</v>
      </c>
      <c r="BJ244" s="425" t="s">
        <v>762</v>
      </c>
      <c r="BK244" s="425" t="s">
        <v>762</v>
      </c>
      <c r="BL244" s="425">
        <f t="shared" si="206"/>
        <v>676.14750000000004</v>
      </c>
      <c r="BM244" s="425" t="s">
        <v>762</v>
      </c>
      <c r="BN244" s="425" t="s">
        <v>762</v>
      </c>
      <c r="BO244" s="425" t="s">
        <v>762</v>
      </c>
      <c r="BP244" s="425" t="s">
        <v>762</v>
      </c>
      <c r="BQ244" s="425" t="s">
        <v>762</v>
      </c>
      <c r="BR244" s="425" t="s">
        <v>762</v>
      </c>
      <c r="BS244" s="425" t="s">
        <v>762</v>
      </c>
      <c r="BT244" s="425" t="s">
        <v>762</v>
      </c>
      <c r="BU244" s="425" t="s">
        <v>762</v>
      </c>
      <c r="BV244" s="425" t="s">
        <v>762</v>
      </c>
      <c r="BW244" s="425" t="s">
        <v>762</v>
      </c>
      <c r="BX244" s="425" t="s">
        <v>762</v>
      </c>
      <c r="BY244" s="425" t="s">
        <v>762</v>
      </c>
      <c r="BZ244" s="425" t="s">
        <v>762</v>
      </c>
      <c r="CA244" s="425" t="s">
        <v>762</v>
      </c>
      <c r="CB244" s="425" t="s">
        <v>762</v>
      </c>
      <c r="CC244" s="425" t="s">
        <v>762</v>
      </c>
      <c r="CD244" s="425" t="s">
        <v>762</v>
      </c>
      <c r="CE244" s="425" t="s">
        <v>762</v>
      </c>
      <c r="CF244" s="425" t="s">
        <v>762</v>
      </c>
      <c r="CG244" s="424" t="s">
        <v>762</v>
      </c>
      <c r="CH244" s="425">
        <f t="shared" si="215"/>
        <v>65.32650000000001</v>
      </c>
      <c r="CI244" s="425">
        <f t="shared" si="207"/>
        <v>46.116</v>
      </c>
      <c r="CJ244" s="425">
        <f t="shared" si="207"/>
        <v>50.206499999999998</v>
      </c>
      <c r="CK244" s="425">
        <f t="shared" si="207"/>
        <v>44.036999999999999</v>
      </c>
      <c r="CL244" s="425">
        <f t="shared" si="207"/>
        <v>45.076500000000003</v>
      </c>
      <c r="CN244" s="438"/>
    </row>
    <row r="245" spans="1:92" s="426" customFormat="1">
      <c r="A245" s="424" t="s">
        <v>525</v>
      </c>
      <c r="B245" s="424" t="s">
        <v>630</v>
      </c>
      <c r="C245" s="425" t="s">
        <v>762</v>
      </c>
      <c r="D245" s="425" t="s">
        <v>762</v>
      </c>
      <c r="E245" s="425" t="s">
        <v>762</v>
      </c>
      <c r="F245" s="425" t="s">
        <v>762</v>
      </c>
      <c r="G245" s="425" t="s">
        <v>762</v>
      </c>
      <c r="H245" s="425" t="s">
        <v>762</v>
      </c>
      <c r="I245" s="425" t="s">
        <v>762</v>
      </c>
      <c r="J245" s="425" t="s">
        <v>762</v>
      </c>
      <c r="K245" s="425" t="s">
        <v>762</v>
      </c>
      <c r="L245" s="425" t="s">
        <v>762</v>
      </c>
      <c r="M245" s="425" t="s">
        <v>762</v>
      </c>
      <c r="N245" s="425" t="s">
        <v>762</v>
      </c>
      <c r="O245" s="425" t="s">
        <v>762</v>
      </c>
      <c r="P245" s="425" t="s">
        <v>762</v>
      </c>
      <c r="Q245" s="425" t="s">
        <v>762</v>
      </c>
      <c r="R245" s="425" t="s">
        <v>762</v>
      </c>
      <c r="S245" s="425" t="s">
        <v>762</v>
      </c>
      <c r="T245" s="425" t="s">
        <v>762</v>
      </c>
      <c r="U245" s="425" t="s">
        <v>762</v>
      </c>
      <c r="V245" s="425" t="s">
        <v>762</v>
      </c>
      <c r="W245" s="425" t="s">
        <v>762</v>
      </c>
      <c r="X245" s="425" t="s">
        <v>762</v>
      </c>
      <c r="Y245" s="425" t="s">
        <v>762</v>
      </c>
      <c r="Z245" s="425" t="s">
        <v>762</v>
      </c>
      <c r="AA245" s="425" t="s">
        <v>762</v>
      </c>
      <c r="AB245" s="425" t="s">
        <v>762</v>
      </c>
      <c r="AC245" s="425" t="s">
        <v>762</v>
      </c>
      <c r="AD245" s="425" t="s">
        <v>762</v>
      </c>
      <c r="AE245" s="425" t="s">
        <v>762</v>
      </c>
      <c r="AF245" s="425" t="s">
        <v>762</v>
      </c>
      <c r="AG245" s="425" t="s">
        <v>762</v>
      </c>
      <c r="AH245" s="425" t="s">
        <v>762</v>
      </c>
      <c r="AI245" s="425" t="s">
        <v>762</v>
      </c>
      <c r="AJ245" s="425" t="s">
        <v>762</v>
      </c>
      <c r="AK245" s="425" t="s">
        <v>762</v>
      </c>
      <c r="AL245" s="425" t="s">
        <v>762</v>
      </c>
      <c r="AM245" s="425" t="s">
        <v>762</v>
      </c>
      <c r="AN245" s="425" t="s">
        <v>762</v>
      </c>
      <c r="AO245" s="425" t="s">
        <v>762</v>
      </c>
      <c r="AP245" s="425" t="s">
        <v>762</v>
      </c>
      <c r="AQ245" s="425" t="s">
        <v>762</v>
      </c>
      <c r="AR245" s="425" t="s">
        <v>762</v>
      </c>
      <c r="AS245" s="425" t="s">
        <v>762</v>
      </c>
      <c r="AT245" s="425" t="s">
        <v>762</v>
      </c>
      <c r="AU245" s="425" t="s">
        <v>762</v>
      </c>
      <c r="AV245" s="425" t="s">
        <v>762</v>
      </c>
      <c r="AW245" s="425" t="s">
        <v>762</v>
      </c>
      <c r="AX245" s="425" t="s">
        <v>762</v>
      </c>
      <c r="AY245" s="425" t="s">
        <v>762</v>
      </c>
      <c r="AZ245" s="425" t="s">
        <v>762</v>
      </c>
      <c r="BA245" s="425" t="s">
        <v>762</v>
      </c>
      <c r="BB245" s="425" t="s">
        <v>762</v>
      </c>
      <c r="BC245" s="425" t="s">
        <v>762</v>
      </c>
      <c r="BD245" s="425" t="s">
        <v>762</v>
      </c>
      <c r="BE245" s="425" t="s">
        <v>762</v>
      </c>
      <c r="BF245" s="425" t="s">
        <v>762</v>
      </c>
      <c r="BG245" s="425" t="s">
        <v>762</v>
      </c>
      <c r="BH245" s="425" t="s">
        <v>762</v>
      </c>
      <c r="BI245" s="425" t="s">
        <v>762</v>
      </c>
      <c r="BJ245" s="425" t="s">
        <v>762</v>
      </c>
      <c r="BK245" s="425" t="s">
        <v>762</v>
      </c>
      <c r="BL245" s="425" t="s">
        <v>762</v>
      </c>
      <c r="BM245" s="425" t="s">
        <v>762</v>
      </c>
      <c r="BN245" s="425" t="s">
        <v>762</v>
      </c>
      <c r="BO245" s="425" t="s">
        <v>762</v>
      </c>
      <c r="BP245" s="425" t="s">
        <v>762</v>
      </c>
      <c r="BQ245" s="425" t="s">
        <v>762</v>
      </c>
      <c r="BR245" s="425" t="s">
        <v>762</v>
      </c>
      <c r="BS245" s="425" t="s">
        <v>762</v>
      </c>
      <c r="BT245" s="425" t="s">
        <v>762</v>
      </c>
      <c r="BU245" s="425" t="s">
        <v>762</v>
      </c>
      <c r="BV245" s="425" t="s">
        <v>762</v>
      </c>
      <c r="BW245" s="425" t="s">
        <v>762</v>
      </c>
      <c r="BX245" s="425" t="s">
        <v>762</v>
      </c>
      <c r="BY245" s="425" t="s">
        <v>762</v>
      </c>
      <c r="BZ245" s="425" t="s">
        <v>762</v>
      </c>
      <c r="CA245" s="425" t="s">
        <v>762</v>
      </c>
      <c r="CB245" s="425" t="s">
        <v>762</v>
      </c>
      <c r="CC245" s="425" t="s">
        <v>762</v>
      </c>
      <c r="CD245" s="425" t="s">
        <v>762</v>
      </c>
      <c r="CE245" s="425" t="s">
        <v>762</v>
      </c>
      <c r="CF245" s="425" t="s">
        <v>762</v>
      </c>
      <c r="CG245" s="425" t="s">
        <v>762</v>
      </c>
      <c r="CH245" s="425" t="s">
        <v>762</v>
      </c>
      <c r="CI245" s="425" t="s">
        <v>762</v>
      </c>
      <c r="CJ245" s="425" t="s">
        <v>762</v>
      </c>
      <c r="CK245" s="425" t="s">
        <v>762</v>
      </c>
      <c r="CL245" s="425" t="s">
        <v>762</v>
      </c>
      <c r="CN245" s="438"/>
    </row>
    <row r="246" spans="1:92" s="426" customFormat="1">
      <c r="A246" s="424" t="s">
        <v>526</v>
      </c>
      <c r="B246" s="424" t="s">
        <v>630</v>
      </c>
      <c r="C246" s="425">
        <f t="shared" si="208"/>
        <v>51.53</v>
      </c>
      <c r="D246" s="425">
        <f t="shared" si="208"/>
        <v>51.53</v>
      </c>
      <c r="E246" s="425">
        <f t="shared" si="208"/>
        <v>51.53</v>
      </c>
      <c r="F246" s="425">
        <f t="shared" si="208"/>
        <v>51.53</v>
      </c>
      <c r="G246" s="425">
        <f t="shared" si="208"/>
        <v>51.53</v>
      </c>
      <c r="H246" s="425">
        <f t="shared" si="208"/>
        <v>51.53</v>
      </c>
      <c r="I246" s="425">
        <f t="shared" si="208"/>
        <v>51.53</v>
      </c>
      <c r="J246" s="425">
        <f t="shared" si="208"/>
        <v>51.53</v>
      </c>
      <c r="K246" s="425">
        <f t="shared" si="208"/>
        <v>51.53</v>
      </c>
      <c r="L246" s="425">
        <f t="shared" si="208"/>
        <v>51.53</v>
      </c>
      <c r="M246" s="425" t="s">
        <v>762</v>
      </c>
      <c r="N246" s="425" t="s">
        <v>762</v>
      </c>
      <c r="O246" s="425" t="s">
        <v>762</v>
      </c>
      <c r="P246" s="425" t="s">
        <v>762</v>
      </c>
      <c r="Q246" s="425" t="s">
        <v>762</v>
      </c>
      <c r="R246" s="425" t="s">
        <v>762</v>
      </c>
      <c r="S246" s="425" t="s">
        <v>762</v>
      </c>
      <c r="T246" s="425" t="s">
        <v>762</v>
      </c>
      <c r="U246" s="425" t="s">
        <v>762</v>
      </c>
      <c r="V246" s="425">
        <f t="shared" si="208"/>
        <v>51.53</v>
      </c>
      <c r="W246" s="425">
        <f t="shared" si="208"/>
        <v>51.53</v>
      </c>
      <c r="X246" s="425">
        <f t="shared" si="209"/>
        <v>60.21</v>
      </c>
      <c r="Y246" s="425">
        <f t="shared" si="210"/>
        <v>62.52</v>
      </c>
      <c r="Z246" s="425">
        <f t="shared" si="211"/>
        <v>69.34</v>
      </c>
      <c r="AA246" s="425">
        <f t="shared" si="212"/>
        <v>71.849999999999994</v>
      </c>
      <c r="AB246" s="425">
        <f t="shared" si="213"/>
        <v>74.3</v>
      </c>
      <c r="AC246" s="425">
        <f t="shared" ref="AC246:AD246" si="229">$I738</f>
        <v>76.78</v>
      </c>
      <c r="AD246" s="425">
        <f t="shared" si="229"/>
        <v>76.78</v>
      </c>
      <c r="AE246" s="425" t="s">
        <v>762</v>
      </c>
      <c r="AF246" s="425" t="s">
        <v>762</v>
      </c>
      <c r="AG246" s="425">
        <f t="shared" ref="AG246:AG267" si="230">CH246*1.5</f>
        <v>93.048750000000013</v>
      </c>
      <c r="AH246" s="425" t="s">
        <v>762</v>
      </c>
      <c r="AI246" s="425">
        <f t="shared" ref="AI246:AI267" si="231">CH246*2</f>
        <v>124.06500000000001</v>
      </c>
      <c r="AJ246" s="425" t="s">
        <v>762</v>
      </c>
      <c r="AK246" s="425">
        <f t="shared" ref="AK246:AK267" si="232">CH246*2.5</f>
        <v>155.08125000000001</v>
      </c>
      <c r="AL246" s="425">
        <f t="shared" ref="AL246:AL267" si="233">CI246*3</f>
        <v>131.38200000000001</v>
      </c>
      <c r="AM246" s="425" t="s">
        <v>762</v>
      </c>
      <c r="AN246" s="425">
        <f t="shared" ref="AN246:AN267" si="234">CI246*3.5</f>
        <v>153.279</v>
      </c>
      <c r="AO246" s="425" t="s">
        <v>762</v>
      </c>
      <c r="AP246" s="425">
        <f t="shared" ref="AP246:AP267" si="235">CI246*4</f>
        <v>175.17599999999999</v>
      </c>
      <c r="AQ246" s="425" t="s">
        <v>762</v>
      </c>
      <c r="AR246" s="425">
        <f t="shared" ref="AR246:AR267" si="236">CI246*4.5</f>
        <v>197.07299999999998</v>
      </c>
      <c r="AS246" s="425" t="s">
        <v>762</v>
      </c>
      <c r="AT246" s="425">
        <f t="shared" ref="AT246:AT267" si="237">CJ246*5</f>
        <v>238.34250000000003</v>
      </c>
      <c r="AU246" s="425" t="s">
        <v>762</v>
      </c>
      <c r="AV246" s="425" t="s">
        <v>762</v>
      </c>
      <c r="AW246" s="425" t="s">
        <v>762</v>
      </c>
      <c r="AX246" s="425" t="s">
        <v>762</v>
      </c>
      <c r="AY246" s="425" t="s">
        <v>762</v>
      </c>
      <c r="AZ246" s="425" t="s">
        <v>762</v>
      </c>
      <c r="BA246" s="425">
        <f t="shared" ref="BA246:BA267" si="238">7.5*CK246</f>
        <v>313.47000000000003</v>
      </c>
      <c r="BB246" s="425" t="s">
        <v>762</v>
      </c>
      <c r="BC246" s="425" t="s">
        <v>762</v>
      </c>
      <c r="BD246" s="425" t="s">
        <v>762</v>
      </c>
      <c r="BE246" s="425" t="s">
        <v>762</v>
      </c>
      <c r="BF246" s="425">
        <f t="shared" ref="BF246:BF267" si="239">10*CL246</f>
        <v>428.08500000000004</v>
      </c>
      <c r="BG246" s="425" t="s">
        <v>762</v>
      </c>
      <c r="BH246" s="425" t="s">
        <v>762</v>
      </c>
      <c r="BI246" s="425">
        <f t="shared" ref="BI246:BI267" si="240">12.5*CL246</f>
        <v>535.10625000000005</v>
      </c>
      <c r="BJ246" s="425" t="s">
        <v>762</v>
      </c>
      <c r="BK246" s="425" t="s">
        <v>762</v>
      </c>
      <c r="BL246" s="425">
        <f t="shared" ref="BL246:BL267" si="241">CL246*15</f>
        <v>642.12750000000005</v>
      </c>
      <c r="BM246" s="425" t="s">
        <v>762</v>
      </c>
      <c r="BN246" s="425" t="s">
        <v>762</v>
      </c>
      <c r="BO246" s="425" t="s">
        <v>762</v>
      </c>
      <c r="BP246" s="425" t="s">
        <v>762</v>
      </c>
      <c r="BQ246" s="425" t="s">
        <v>762</v>
      </c>
      <c r="BR246" s="425" t="s">
        <v>762</v>
      </c>
      <c r="BS246" s="425" t="s">
        <v>762</v>
      </c>
      <c r="BT246" s="425" t="s">
        <v>762</v>
      </c>
      <c r="BU246" s="425" t="s">
        <v>762</v>
      </c>
      <c r="BV246" s="425" t="s">
        <v>762</v>
      </c>
      <c r="BW246" s="425" t="s">
        <v>762</v>
      </c>
      <c r="BX246" s="425" t="s">
        <v>762</v>
      </c>
      <c r="BY246" s="425" t="s">
        <v>762</v>
      </c>
      <c r="BZ246" s="425" t="s">
        <v>762</v>
      </c>
      <c r="CA246" s="425" t="s">
        <v>762</v>
      </c>
      <c r="CB246" s="425" t="s">
        <v>762</v>
      </c>
      <c r="CC246" s="425" t="s">
        <v>762</v>
      </c>
      <c r="CD246" s="425" t="s">
        <v>762</v>
      </c>
      <c r="CE246" s="425" t="s">
        <v>762</v>
      </c>
      <c r="CF246" s="425" t="s">
        <v>762</v>
      </c>
      <c r="CG246" s="424" t="s">
        <v>762</v>
      </c>
      <c r="CH246" s="425">
        <f t="shared" si="215"/>
        <v>62.032500000000006</v>
      </c>
      <c r="CI246" s="425">
        <f t="shared" ref="CI246:CI309" si="242">K738*1.35</f>
        <v>43.793999999999997</v>
      </c>
      <c r="CJ246" s="425">
        <f t="shared" ref="CJ246:CJ309" si="243">L738*1.35</f>
        <v>47.668500000000009</v>
      </c>
      <c r="CK246" s="425">
        <f t="shared" ref="CK246:CK309" si="244">M738*1.35</f>
        <v>41.796000000000006</v>
      </c>
      <c r="CL246" s="425">
        <f t="shared" ref="CL246:CL309" si="245">N738*1.35</f>
        <v>42.808500000000002</v>
      </c>
      <c r="CN246" s="438"/>
    </row>
    <row r="247" spans="1:92" s="426" customFormat="1">
      <c r="A247" s="424" t="s">
        <v>527</v>
      </c>
      <c r="B247" s="424" t="s">
        <v>630</v>
      </c>
      <c r="C247" s="425">
        <f t="shared" si="208"/>
        <v>55.36</v>
      </c>
      <c r="D247" s="425">
        <f t="shared" si="208"/>
        <v>55.36</v>
      </c>
      <c r="E247" s="425">
        <f t="shared" si="208"/>
        <v>55.36</v>
      </c>
      <c r="F247" s="425">
        <f t="shared" si="208"/>
        <v>55.36</v>
      </c>
      <c r="G247" s="425">
        <f t="shared" si="208"/>
        <v>55.36</v>
      </c>
      <c r="H247" s="425">
        <f t="shared" si="208"/>
        <v>55.36</v>
      </c>
      <c r="I247" s="425">
        <f t="shared" si="208"/>
        <v>55.36</v>
      </c>
      <c r="J247" s="425">
        <f t="shared" si="208"/>
        <v>55.36</v>
      </c>
      <c r="K247" s="425">
        <f t="shared" si="208"/>
        <v>55.36</v>
      </c>
      <c r="L247" s="425">
        <f t="shared" si="208"/>
        <v>55.36</v>
      </c>
      <c r="M247" s="425" t="s">
        <v>762</v>
      </c>
      <c r="N247" s="425" t="s">
        <v>762</v>
      </c>
      <c r="O247" s="425" t="s">
        <v>762</v>
      </c>
      <c r="P247" s="425" t="s">
        <v>762</v>
      </c>
      <c r="Q247" s="425" t="s">
        <v>762</v>
      </c>
      <c r="R247" s="425" t="s">
        <v>762</v>
      </c>
      <c r="S247" s="425" t="s">
        <v>762</v>
      </c>
      <c r="T247" s="425" t="s">
        <v>762</v>
      </c>
      <c r="U247" s="425" t="s">
        <v>762</v>
      </c>
      <c r="V247" s="425">
        <f t="shared" si="208"/>
        <v>55.36</v>
      </c>
      <c r="W247" s="425">
        <f t="shared" si="208"/>
        <v>55.36</v>
      </c>
      <c r="X247" s="425">
        <f t="shared" si="209"/>
        <v>64.680000000000007</v>
      </c>
      <c r="Y247" s="425">
        <f t="shared" si="210"/>
        <v>67.17</v>
      </c>
      <c r="Z247" s="425">
        <f t="shared" si="211"/>
        <v>74.83</v>
      </c>
      <c r="AA247" s="425">
        <f t="shared" si="212"/>
        <v>77.5</v>
      </c>
      <c r="AB247" s="425">
        <f t="shared" si="213"/>
        <v>80.180000000000007</v>
      </c>
      <c r="AC247" s="425">
        <f t="shared" ref="AC247:AD247" si="246">$I739</f>
        <v>82.85</v>
      </c>
      <c r="AD247" s="425">
        <f t="shared" si="246"/>
        <v>82.85</v>
      </c>
      <c r="AE247" s="425" t="s">
        <v>762</v>
      </c>
      <c r="AF247" s="425" t="s">
        <v>762</v>
      </c>
      <c r="AG247" s="425">
        <f t="shared" si="230"/>
        <v>100.41975000000002</v>
      </c>
      <c r="AH247" s="425" t="s">
        <v>762</v>
      </c>
      <c r="AI247" s="425">
        <f t="shared" si="231"/>
        <v>133.89300000000003</v>
      </c>
      <c r="AJ247" s="425" t="s">
        <v>762</v>
      </c>
      <c r="AK247" s="425">
        <f t="shared" si="232"/>
        <v>167.36625000000004</v>
      </c>
      <c r="AL247" s="425">
        <f t="shared" si="233"/>
        <v>141.75</v>
      </c>
      <c r="AM247" s="425" t="s">
        <v>762</v>
      </c>
      <c r="AN247" s="425">
        <f t="shared" si="234"/>
        <v>165.375</v>
      </c>
      <c r="AO247" s="425" t="s">
        <v>762</v>
      </c>
      <c r="AP247" s="425">
        <f t="shared" si="235"/>
        <v>189</v>
      </c>
      <c r="AQ247" s="425" t="s">
        <v>762</v>
      </c>
      <c r="AR247" s="425">
        <f t="shared" si="236"/>
        <v>212.625</v>
      </c>
      <c r="AS247" s="425" t="s">
        <v>762</v>
      </c>
      <c r="AT247" s="425">
        <f t="shared" si="237"/>
        <v>257.31</v>
      </c>
      <c r="AU247" s="425" t="s">
        <v>762</v>
      </c>
      <c r="AV247" s="425" t="s">
        <v>762</v>
      </c>
      <c r="AW247" s="425" t="s">
        <v>762</v>
      </c>
      <c r="AX247" s="425" t="s">
        <v>762</v>
      </c>
      <c r="AY247" s="425" t="s">
        <v>762</v>
      </c>
      <c r="AZ247" s="425" t="s">
        <v>762</v>
      </c>
      <c r="BA247" s="425">
        <f t="shared" si="238"/>
        <v>338.37750000000005</v>
      </c>
      <c r="BB247" s="425" t="s">
        <v>762</v>
      </c>
      <c r="BC247" s="425" t="s">
        <v>762</v>
      </c>
      <c r="BD247" s="425" t="s">
        <v>762</v>
      </c>
      <c r="BE247" s="425" t="s">
        <v>762</v>
      </c>
      <c r="BF247" s="425">
        <f t="shared" si="239"/>
        <v>462.10499999999996</v>
      </c>
      <c r="BG247" s="425" t="s">
        <v>762</v>
      </c>
      <c r="BH247" s="425" t="s">
        <v>762</v>
      </c>
      <c r="BI247" s="425">
        <f t="shared" si="240"/>
        <v>577.63124999999991</v>
      </c>
      <c r="BJ247" s="425" t="s">
        <v>762</v>
      </c>
      <c r="BK247" s="425" t="s">
        <v>762</v>
      </c>
      <c r="BL247" s="425">
        <f t="shared" si="241"/>
        <v>693.15749999999991</v>
      </c>
      <c r="BM247" s="425" t="s">
        <v>762</v>
      </c>
      <c r="BN247" s="425" t="s">
        <v>762</v>
      </c>
      <c r="BO247" s="425" t="s">
        <v>762</v>
      </c>
      <c r="BP247" s="425" t="s">
        <v>762</v>
      </c>
      <c r="BQ247" s="425" t="s">
        <v>762</v>
      </c>
      <c r="BR247" s="425" t="s">
        <v>762</v>
      </c>
      <c r="BS247" s="425" t="s">
        <v>762</v>
      </c>
      <c r="BT247" s="425" t="s">
        <v>762</v>
      </c>
      <c r="BU247" s="425" t="s">
        <v>762</v>
      </c>
      <c r="BV247" s="425" t="s">
        <v>762</v>
      </c>
      <c r="BW247" s="425" t="s">
        <v>762</v>
      </c>
      <c r="BX247" s="425" t="s">
        <v>762</v>
      </c>
      <c r="BY247" s="425" t="s">
        <v>762</v>
      </c>
      <c r="BZ247" s="425" t="s">
        <v>762</v>
      </c>
      <c r="CA247" s="425" t="s">
        <v>762</v>
      </c>
      <c r="CB247" s="425" t="s">
        <v>762</v>
      </c>
      <c r="CC247" s="425" t="s">
        <v>762</v>
      </c>
      <c r="CD247" s="425" t="s">
        <v>762</v>
      </c>
      <c r="CE247" s="425" t="s">
        <v>762</v>
      </c>
      <c r="CF247" s="425" t="s">
        <v>762</v>
      </c>
      <c r="CG247" s="424" t="s">
        <v>762</v>
      </c>
      <c r="CH247" s="425">
        <f t="shared" si="215"/>
        <v>66.946500000000015</v>
      </c>
      <c r="CI247" s="425">
        <f t="shared" si="242"/>
        <v>47.25</v>
      </c>
      <c r="CJ247" s="425">
        <f t="shared" si="243"/>
        <v>51.462000000000003</v>
      </c>
      <c r="CK247" s="425">
        <f t="shared" si="244"/>
        <v>45.117000000000004</v>
      </c>
      <c r="CL247" s="425">
        <f t="shared" si="245"/>
        <v>46.210499999999996</v>
      </c>
      <c r="CN247" s="438"/>
    </row>
    <row r="248" spans="1:92" s="426" customFormat="1">
      <c r="A248" s="424" t="s">
        <v>528</v>
      </c>
      <c r="B248" s="424" t="s">
        <v>630</v>
      </c>
      <c r="C248" s="425" t="s">
        <v>762</v>
      </c>
      <c r="D248" s="425" t="s">
        <v>762</v>
      </c>
      <c r="E248" s="425" t="s">
        <v>762</v>
      </c>
      <c r="F248" s="425" t="s">
        <v>762</v>
      </c>
      <c r="G248" s="425" t="s">
        <v>762</v>
      </c>
      <c r="H248" s="425" t="s">
        <v>762</v>
      </c>
      <c r="I248" s="425" t="s">
        <v>762</v>
      </c>
      <c r="J248" s="425" t="s">
        <v>762</v>
      </c>
      <c r="K248" s="425" t="s">
        <v>762</v>
      </c>
      <c r="L248" s="425" t="s">
        <v>762</v>
      </c>
      <c r="M248" s="425" t="s">
        <v>762</v>
      </c>
      <c r="N248" s="425" t="s">
        <v>762</v>
      </c>
      <c r="O248" s="425" t="s">
        <v>762</v>
      </c>
      <c r="P248" s="425" t="s">
        <v>762</v>
      </c>
      <c r="Q248" s="425" t="s">
        <v>762</v>
      </c>
      <c r="R248" s="425" t="s">
        <v>762</v>
      </c>
      <c r="S248" s="425" t="s">
        <v>762</v>
      </c>
      <c r="T248" s="425" t="s">
        <v>762</v>
      </c>
      <c r="U248" s="425" t="s">
        <v>762</v>
      </c>
      <c r="V248" s="425" t="s">
        <v>762</v>
      </c>
      <c r="W248" s="425" t="s">
        <v>762</v>
      </c>
      <c r="X248" s="425" t="s">
        <v>762</v>
      </c>
      <c r="Y248" s="425" t="s">
        <v>762</v>
      </c>
      <c r="Z248" s="425" t="s">
        <v>762</v>
      </c>
      <c r="AA248" s="425" t="s">
        <v>762</v>
      </c>
      <c r="AB248" s="425" t="s">
        <v>762</v>
      </c>
      <c r="AC248" s="425" t="s">
        <v>762</v>
      </c>
      <c r="AD248" s="425" t="s">
        <v>762</v>
      </c>
      <c r="AE248" s="425" t="s">
        <v>762</v>
      </c>
      <c r="AF248" s="425" t="s">
        <v>762</v>
      </c>
      <c r="AG248" s="425" t="s">
        <v>762</v>
      </c>
      <c r="AH248" s="425" t="s">
        <v>762</v>
      </c>
      <c r="AI248" s="425" t="s">
        <v>762</v>
      </c>
      <c r="AJ248" s="425" t="s">
        <v>762</v>
      </c>
      <c r="AK248" s="425" t="s">
        <v>762</v>
      </c>
      <c r="AL248" s="425" t="s">
        <v>762</v>
      </c>
      <c r="AM248" s="425" t="s">
        <v>762</v>
      </c>
      <c r="AN248" s="425" t="s">
        <v>762</v>
      </c>
      <c r="AO248" s="425" t="s">
        <v>762</v>
      </c>
      <c r="AP248" s="425" t="s">
        <v>762</v>
      </c>
      <c r="AQ248" s="425" t="s">
        <v>762</v>
      </c>
      <c r="AR248" s="425" t="s">
        <v>762</v>
      </c>
      <c r="AS248" s="425" t="s">
        <v>762</v>
      </c>
      <c r="AT248" s="425" t="s">
        <v>762</v>
      </c>
      <c r="AU248" s="425" t="s">
        <v>762</v>
      </c>
      <c r="AV248" s="425" t="s">
        <v>762</v>
      </c>
      <c r="AW248" s="425" t="s">
        <v>762</v>
      </c>
      <c r="AX248" s="425" t="s">
        <v>762</v>
      </c>
      <c r="AY248" s="425" t="s">
        <v>762</v>
      </c>
      <c r="AZ248" s="425" t="s">
        <v>762</v>
      </c>
      <c r="BA248" s="425" t="s">
        <v>762</v>
      </c>
      <c r="BB248" s="425" t="s">
        <v>762</v>
      </c>
      <c r="BC248" s="425" t="s">
        <v>762</v>
      </c>
      <c r="BD248" s="425" t="s">
        <v>762</v>
      </c>
      <c r="BE248" s="425" t="s">
        <v>762</v>
      </c>
      <c r="BF248" s="425" t="s">
        <v>762</v>
      </c>
      <c r="BG248" s="425" t="s">
        <v>762</v>
      </c>
      <c r="BH248" s="425" t="s">
        <v>762</v>
      </c>
      <c r="BI248" s="425" t="s">
        <v>762</v>
      </c>
      <c r="BJ248" s="425" t="s">
        <v>762</v>
      </c>
      <c r="BK248" s="425" t="s">
        <v>762</v>
      </c>
      <c r="BL248" s="425" t="s">
        <v>762</v>
      </c>
      <c r="BM248" s="425" t="s">
        <v>762</v>
      </c>
      <c r="BN248" s="425" t="s">
        <v>762</v>
      </c>
      <c r="BO248" s="425" t="s">
        <v>762</v>
      </c>
      <c r="BP248" s="425" t="s">
        <v>762</v>
      </c>
      <c r="BQ248" s="425" t="s">
        <v>762</v>
      </c>
      <c r="BR248" s="425" t="s">
        <v>762</v>
      </c>
      <c r="BS248" s="425" t="s">
        <v>762</v>
      </c>
      <c r="BT248" s="425" t="s">
        <v>762</v>
      </c>
      <c r="BU248" s="425" t="s">
        <v>762</v>
      </c>
      <c r="BV248" s="425" t="s">
        <v>762</v>
      </c>
      <c r="BW248" s="425" t="s">
        <v>762</v>
      </c>
      <c r="BX248" s="425" t="s">
        <v>762</v>
      </c>
      <c r="BY248" s="425" t="s">
        <v>762</v>
      </c>
      <c r="BZ248" s="425" t="s">
        <v>762</v>
      </c>
      <c r="CA248" s="425" t="s">
        <v>762</v>
      </c>
      <c r="CB248" s="425" t="s">
        <v>762</v>
      </c>
      <c r="CC248" s="425" t="s">
        <v>762</v>
      </c>
      <c r="CD248" s="425" t="s">
        <v>762</v>
      </c>
      <c r="CE248" s="425" t="s">
        <v>762</v>
      </c>
      <c r="CF248" s="425" t="s">
        <v>762</v>
      </c>
      <c r="CG248" s="425" t="s">
        <v>762</v>
      </c>
      <c r="CH248" s="425" t="s">
        <v>762</v>
      </c>
      <c r="CI248" s="425" t="s">
        <v>762</v>
      </c>
      <c r="CJ248" s="425" t="s">
        <v>762</v>
      </c>
      <c r="CK248" s="425" t="s">
        <v>762</v>
      </c>
      <c r="CL248" s="425" t="s">
        <v>762</v>
      </c>
      <c r="CN248" s="438"/>
    </row>
    <row r="249" spans="1:92" s="426" customFormat="1">
      <c r="A249" s="424" t="s">
        <v>529</v>
      </c>
      <c r="B249" s="424" t="s">
        <v>630</v>
      </c>
      <c r="C249" s="425">
        <f t="shared" si="208"/>
        <v>45.98</v>
      </c>
      <c r="D249" s="425">
        <f t="shared" ref="D249:W263" si="247">$B741</f>
        <v>45.98</v>
      </c>
      <c r="E249" s="425">
        <f t="shared" si="247"/>
        <v>45.98</v>
      </c>
      <c r="F249" s="425">
        <f t="shared" si="247"/>
        <v>45.98</v>
      </c>
      <c r="G249" s="425">
        <f t="shared" si="247"/>
        <v>45.98</v>
      </c>
      <c r="H249" s="425">
        <f t="shared" si="247"/>
        <v>45.98</v>
      </c>
      <c r="I249" s="425">
        <f t="shared" si="247"/>
        <v>45.98</v>
      </c>
      <c r="J249" s="425">
        <f t="shared" si="247"/>
        <v>45.98</v>
      </c>
      <c r="K249" s="425">
        <f t="shared" si="247"/>
        <v>45.98</v>
      </c>
      <c r="L249" s="425">
        <f t="shared" si="247"/>
        <v>45.98</v>
      </c>
      <c r="M249" s="425" t="s">
        <v>762</v>
      </c>
      <c r="N249" s="425" t="s">
        <v>762</v>
      </c>
      <c r="O249" s="425" t="s">
        <v>762</v>
      </c>
      <c r="P249" s="425" t="s">
        <v>762</v>
      </c>
      <c r="Q249" s="425" t="s">
        <v>762</v>
      </c>
      <c r="R249" s="425" t="s">
        <v>762</v>
      </c>
      <c r="S249" s="425" t="s">
        <v>762</v>
      </c>
      <c r="T249" s="425" t="s">
        <v>762</v>
      </c>
      <c r="U249" s="425" t="s">
        <v>762</v>
      </c>
      <c r="V249" s="425">
        <f t="shared" si="247"/>
        <v>45.98</v>
      </c>
      <c r="W249" s="425">
        <f t="shared" si="247"/>
        <v>45.98</v>
      </c>
      <c r="X249" s="425">
        <f t="shared" si="209"/>
        <v>53.73</v>
      </c>
      <c r="Y249" s="425">
        <f t="shared" si="210"/>
        <v>55.81</v>
      </c>
      <c r="Z249" s="425">
        <f t="shared" si="211"/>
        <v>61.44</v>
      </c>
      <c r="AA249" s="425">
        <f t="shared" si="212"/>
        <v>63.63</v>
      </c>
      <c r="AB249" s="425">
        <f t="shared" si="213"/>
        <v>65.81</v>
      </c>
      <c r="AC249" s="425">
        <f t="shared" ref="AC249:AD249" si="248">$I741</f>
        <v>68.03</v>
      </c>
      <c r="AD249" s="425">
        <f t="shared" si="248"/>
        <v>68.03</v>
      </c>
      <c r="AE249" s="425" t="s">
        <v>762</v>
      </c>
      <c r="AF249" s="425" t="s">
        <v>762</v>
      </c>
      <c r="AG249" s="425">
        <f t="shared" si="230"/>
        <v>82.437750000000008</v>
      </c>
      <c r="AH249" s="425" t="s">
        <v>762</v>
      </c>
      <c r="AI249" s="425">
        <f t="shared" si="231"/>
        <v>109.91700000000002</v>
      </c>
      <c r="AJ249" s="425" t="s">
        <v>762</v>
      </c>
      <c r="AK249" s="425">
        <f t="shared" si="232"/>
        <v>137.39625000000001</v>
      </c>
      <c r="AL249" s="425">
        <f t="shared" si="233"/>
        <v>116.316</v>
      </c>
      <c r="AM249" s="425" t="s">
        <v>762</v>
      </c>
      <c r="AN249" s="425">
        <f t="shared" si="234"/>
        <v>135.702</v>
      </c>
      <c r="AO249" s="425" t="s">
        <v>762</v>
      </c>
      <c r="AP249" s="425">
        <f t="shared" si="235"/>
        <v>155.08799999999999</v>
      </c>
      <c r="AQ249" s="425" t="s">
        <v>762</v>
      </c>
      <c r="AR249" s="425">
        <f t="shared" si="236"/>
        <v>174.47399999999999</v>
      </c>
      <c r="AS249" s="425" t="s">
        <v>762</v>
      </c>
      <c r="AT249" s="425">
        <f t="shared" si="237"/>
        <v>211.20750000000001</v>
      </c>
      <c r="AU249" s="425" t="s">
        <v>762</v>
      </c>
      <c r="AV249" s="425" t="s">
        <v>762</v>
      </c>
      <c r="AW249" s="425" t="s">
        <v>762</v>
      </c>
      <c r="AX249" s="425" t="s">
        <v>762</v>
      </c>
      <c r="AY249" s="425" t="s">
        <v>762</v>
      </c>
      <c r="AZ249" s="425" t="s">
        <v>762</v>
      </c>
      <c r="BA249" s="425">
        <f t="shared" si="238"/>
        <v>277.6275</v>
      </c>
      <c r="BB249" s="425" t="s">
        <v>762</v>
      </c>
      <c r="BC249" s="425" t="s">
        <v>762</v>
      </c>
      <c r="BD249" s="425" t="s">
        <v>762</v>
      </c>
      <c r="BE249" s="425" t="s">
        <v>762</v>
      </c>
      <c r="BF249" s="425">
        <f t="shared" si="239"/>
        <v>379.21500000000003</v>
      </c>
      <c r="BG249" s="425" t="s">
        <v>762</v>
      </c>
      <c r="BH249" s="425" t="s">
        <v>762</v>
      </c>
      <c r="BI249" s="425">
        <f t="shared" si="240"/>
        <v>474.01875000000001</v>
      </c>
      <c r="BJ249" s="425" t="s">
        <v>762</v>
      </c>
      <c r="BK249" s="425" t="s">
        <v>762</v>
      </c>
      <c r="BL249" s="425">
        <f t="shared" si="241"/>
        <v>568.82249999999999</v>
      </c>
      <c r="BM249" s="425" t="s">
        <v>762</v>
      </c>
      <c r="BN249" s="425" t="s">
        <v>762</v>
      </c>
      <c r="BO249" s="425" t="s">
        <v>762</v>
      </c>
      <c r="BP249" s="425" t="s">
        <v>762</v>
      </c>
      <c r="BQ249" s="425" t="s">
        <v>762</v>
      </c>
      <c r="BR249" s="425" t="s">
        <v>762</v>
      </c>
      <c r="BS249" s="425" t="s">
        <v>762</v>
      </c>
      <c r="BT249" s="425" t="s">
        <v>762</v>
      </c>
      <c r="BU249" s="425" t="s">
        <v>762</v>
      </c>
      <c r="BV249" s="425" t="s">
        <v>762</v>
      </c>
      <c r="BW249" s="425" t="s">
        <v>762</v>
      </c>
      <c r="BX249" s="425" t="s">
        <v>762</v>
      </c>
      <c r="BY249" s="425" t="s">
        <v>762</v>
      </c>
      <c r="BZ249" s="425" t="s">
        <v>762</v>
      </c>
      <c r="CA249" s="425" t="s">
        <v>762</v>
      </c>
      <c r="CB249" s="425" t="s">
        <v>762</v>
      </c>
      <c r="CC249" s="425" t="s">
        <v>762</v>
      </c>
      <c r="CD249" s="425" t="s">
        <v>762</v>
      </c>
      <c r="CE249" s="425" t="s">
        <v>762</v>
      </c>
      <c r="CF249" s="425" t="s">
        <v>762</v>
      </c>
      <c r="CG249" s="424" t="s">
        <v>762</v>
      </c>
      <c r="CH249" s="425">
        <f t="shared" si="215"/>
        <v>54.958500000000008</v>
      </c>
      <c r="CI249" s="425">
        <f t="shared" si="242"/>
        <v>38.771999999999998</v>
      </c>
      <c r="CJ249" s="425">
        <f t="shared" si="243"/>
        <v>42.241500000000002</v>
      </c>
      <c r="CK249" s="425">
        <f t="shared" si="244"/>
        <v>37.017000000000003</v>
      </c>
      <c r="CL249" s="425">
        <f t="shared" si="245"/>
        <v>37.921500000000002</v>
      </c>
      <c r="CN249" s="438"/>
    </row>
    <row r="250" spans="1:92" s="426" customFormat="1">
      <c r="A250" s="424" t="s">
        <v>530</v>
      </c>
      <c r="B250" s="424" t="s">
        <v>630</v>
      </c>
      <c r="C250" s="425">
        <f t="shared" si="208"/>
        <v>40.26</v>
      </c>
      <c r="D250" s="425">
        <f t="shared" si="247"/>
        <v>40.26</v>
      </c>
      <c r="E250" s="425">
        <f t="shared" si="247"/>
        <v>40.26</v>
      </c>
      <c r="F250" s="425">
        <f t="shared" si="247"/>
        <v>40.26</v>
      </c>
      <c r="G250" s="425">
        <f t="shared" si="247"/>
        <v>40.26</v>
      </c>
      <c r="H250" s="425">
        <f t="shared" si="247"/>
        <v>40.26</v>
      </c>
      <c r="I250" s="425">
        <f t="shared" si="247"/>
        <v>40.26</v>
      </c>
      <c r="J250" s="425">
        <f t="shared" si="247"/>
        <v>40.26</v>
      </c>
      <c r="K250" s="425">
        <f t="shared" si="247"/>
        <v>40.26</v>
      </c>
      <c r="L250" s="425">
        <f t="shared" si="247"/>
        <v>40.26</v>
      </c>
      <c r="M250" s="425" t="s">
        <v>762</v>
      </c>
      <c r="N250" s="425" t="s">
        <v>762</v>
      </c>
      <c r="O250" s="425" t="s">
        <v>762</v>
      </c>
      <c r="P250" s="425" t="s">
        <v>762</v>
      </c>
      <c r="Q250" s="425" t="s">
        <v>762</v>
      </c>
      <c r="R250" s="425" t="s">
        <v>762</v>
      </c>
      <c r="S250" s="425" t="s">
        <v>762</v>
      </c>
      <c r="T250" s="425" t="s">
        <v>762</v>
      </c>
      <c r="U250" s="425" t="s">
        <v>762</v>
      </c>
      <c r="V250" s="425">
        <f t="shared" si="247"/>
        <v>40.26</v>
      </c>
      <c r="W250" s="425">
        <f t="shared" si="247"/>
        <v>40.26</v>
      </c>
      <c r="X250" s="425">
        <f t="shared" si="209"/>
        <v>47.01</v>
      </c>
      <c r="Y250" s="425">
        <f t="shared" si="210"/>
        <v>48.83</v>
      </c>
      <c r="Z250" s="425">
        <f t="shared" si="211"/>
        <v>53.22</v>
      </c>
      <c r="AA250" s="425">
        <f t="shared" si="212"/>
        <v>55.12</v>
      </c>
      <c r="AB250" s="425">
        <f t="shared" si="213"/>
        <v>57.02</v>
      </c>
      <c r="AC250" s="425">
        <f t="shared" ref="AC250:AD250" si="249">$I742</f>
        <v>58.91</v>
      </c>
      <c r="AD250" s="425">
        <f t="shared" si="249"/>
        <v>58.91</v>
      </c>
      <c r="AE250" s="425" t="s">
        <v>762</v>
      </c>
      <c r="AF250" s="425" t="s">
        <v>762</v>
      </c>
      <c r="AG250" s="425">
        <f t="shared" si="230"/>
        <v>71.421750000000003</v>
      </c>
      <c r="AH250" s="425" t="s">
        <v>762</v>
      </c>
      <c r="AI250" s="425">
        <f t="shared" si="231"/>
        <v>95.229000000000013</v>
      </c>
      <c r="AJ250" s="425" t="s">
        <v>762</v>
      </c>
      <c r="AK250" s="425">
        <f t="shared" si="232"/>
        <v>119.03625000000002</v>
      </c>
      <c r="AL250" s="425">
        <f t="shared" si="233"/>
        <v>100.8045</v>
      </c>
      <c r="AM250" s="425" t="s">
        <v>762</v>
      </c>
      <c r="AN250" s="425">
        <f t="shared" si="234"/>
        <v>117.60525000000001</v>
      </c>
      <c r="AO250" s="425" t="s">
        <v>762</v>
      </c>
      <c r="AP250" s="425">
        <f t="shared" si="235"/>
        <v>134.40600000000001</v>
      </c>
      <c r="AQ250" s="425" t="s">
        <v>762</v>
      </c>
      <c r="AR250" s="425">
        <f t="shared" si="236"/>
        <v>151.20675</v>
      </c>
      <c r="AS250" s="425" t="s">
        <v>762</v>
      </c>
      <c r="AT250" s="425">
        <f t="shared" si="237"/>
        <v>182.85750000000002</v>
      </c>
      <c r="AU250" s="425" t="s">
        <v>762</v>
      </c>
      <c r="AV250" s="425" t="s">
        <v>762</v>
      </c>
      <c r="AW250" s="425" t="s">
        <v>762</v>
      </c>
      <c r="AX250" s="425" t="s">
        <v>762</v>
      </c>
      <c r="AY250" s="425" t="s">
        <v>762</v>
      </c>
      <c r="AZ250" s="425" t="s">
        <v>762</v>
      </c>
      <c r="BA250" s="425">
        <f t="shared" si="238"/>
        <v>240.57000000000005</v>
      </c>
      <c r="BB250" s="425" t="s">
        <v>762</v>
      </c>
      <c r="BC250" s="425" t="s">
        <v>762</v>
      </c>
      <c r="BD250" s="425" t="s">
        <v>762</v>
      </c>
      <c r="BE250" s="425" t="s">
        <v>762</v>
      </c>
      <c r="BF250" s="425">
        <f t="shared" si="239"/>
        <v>328.45500000000004</v>
      </c>
      <c r="BG250" s="425" t="s">
        <v>762</v>
      </c>
      <c r="BH250" s="425" t="s">
        <v>762</v>
      </c>
      <c r="BI250" s="425">
        <f t="shared" si="240"/>
        <v>410.56875000000002</v>
      </c>
      <c r="BJ250" s="425" t="s">
        <v>762</v>
      </c>
      <c r="BK250" s="425" t="s">
        <v>762</v>
      </c>
      <c r="BL250" s="425">
        <f t="shared" si="241"/>
        <v>492.6825</v>
      </c>
      <c r="BM250" s="425" t="s">
        <v>762</v>
      </c>
      <c r="BN250" s="425" t="s">
        <v>762</v>
      </c>
      <c r="BO250" s="425" t="s">
        <v>762</v>
      </c>
      <c r="BP250" s="425" t="s">
        <v>762</v>
      </c>
      <c r="BQ250" s="425" t="s">
        <v>762</v>
      </c>
      <c r="BR250" s="425" t="s">
        <v>762</v>
      </c>
      <c r="BS250" s="425" t="s">
        <v>762</v>
      </c>
      <c r="BT250" s="425" t="s">
        <v>762</v>
      </c>
      <c r="BU250" s="425" t="s">
        <v>762</v>
      </c>
      <c r="BV250" s="425" t="s">
        <v>762</v>
      </c>
      <c r="BW250" s="425" t="s">
        <v>762</v>
      </c>
      <c r="BX250" s="425" t="s">
        <v>762</v>
      </c>
      <c r="BY250" s="425" t="s">
        <v>762</v>
      </c>
      <c r="BZ250" s="425" t="s">
        <v>762</v>
      </c>
      <c r="CA250" s="425" t="s">
        <v>762</v>
      </c>
      <c r="CB250" s="425" t="s">
        <v>762</v>
      </c>
      <c r="CC250" s="425" t="s">
        <v>762</v>
      </c>
      <c r="CD250" s="425" t="s">
        <v>762</v>
      </c>
      <c r="CE250" s="425" t="s">
        <v>762</v>
      </c>
      <c r="CF250" s="425" t="s">
        <v>762</v>
      </c>
      <c r="CG250" s="424" t="s">
        <v>762</v>
      </c>
      <c r="CH250" s="425">
        <f t="shared" si="215"/>
        <v>47.614500000000007</v>
      </c>
      <c r="CI250" s="425">
        <f t="shared" si="242"/>
        <v>33.601500000000001</v>
      </c>
      <c r="CJ250" s="425">
        <f t="shared" si="243"/>
        <v>36.5715</v>
      </c>
      <c r="CK250" s="425">
        <f t="shared" si="244"/>
        <v>32.076000000000008</v>
      </c>
      <c r="CL250" s="425">
        <f t="shared" si="245"/>
        <v>32.845500000000001</v>
      </c>
      <c r="CN250" s="438"/>
    </row>
    <row r="251" spans="1:92" s="426" customFormat="1">
      <c r="A251" s="424" t="s">
        <v>531</v>
      </c>
      <c r="B251" s="424" t="s">
        <v>630</v>
      </c>
      <c r="C251" s="425">
        <f t="shared" si="208"/>
        <v>40.28</v>
      </c>
      <c r="D251" s="425">
        <f t="shared" si="247"/>
        <v>40.28</v>
      </c>
      <c r="E251" s="425">
        <f t="shared" si="247"/>
        <v>40.28</v>
      </c>
      <c r="F251" s="425">
        <f t="shared" si="247"/>
        <v>40.28</v>
      </c>
      <c r="G251" s="425">
        <f t="shared" si="247"/>
        <v>40.28</v>
      </c>
      <c r="H251" s="425">
        <f t="shared" si="247"/>
        <v>40.28</v>
      </c>
      <c r="I251" s="425">
        <f t="shared" si="247"/>
        <v>40.28</v>
      </c>
      <c r="J251" s="425">
        <f t="shared" si="247"/>
        <v>40.28</v>
      </c>
      <c r="K251" s="425">
        <f t="shared" si="247"/>
        <v>40.28</v>
      </c>
      <c r="L251" s="425">
        <f t="shared" si="247"/>
        <v>40.28</v>
      </c>
      <c r="M251" s="425" t="s">
        <v>762</v>
      </c>
      <c r="N251" s="425" t="s">
        <v>762</v>
      </c>
      <c r="O251" s="425" t="s">
        <v>762</v>
      </c>
      <c r="P251" s="425" t="s">
        <v>762</v>
      </c>
      <c r="Q251" s="425" t="s">
        <v>762</v>
      </c>
      <c r="R251" s="425" t="s">
        <v>762</v>
      </c>
      <c r="S251" s="425" t="s">
        <v>762</v>
      </c>
      <c r="T251" s="425" t="s">
        <v>762</v>
      </c>
      <c r="U251" s="425" t="s">
        <v>762</v>
      </c>
      <c r="V251" s="425">
        <f t="shared" si="247"/>
        <v>40.28</v>
      </c>
      <c r="W251" s="425">
        <f t="shared" si="247"/>
        <v>40.28</v>
      </c>
      <c r="X251" s="425">
        <f t="shared" si="209"/>
        <v>47.06</v>
      </c>
      <c r="Y251" s="425">
        <f t="shared" si="210"/>
        <v>48.87</v>
      </c>
      <c r="Z251" s="425">
        <f t="shared" si="211"/>
        <v>53.27</v>
      </c>
      <c r="AA251" s="425">
        <f t="shared" si="212"/>
        <v>55.15</v>
      </c>
      <c r="AB251" s="425">
        <f t="shared" si="213"/>
        <v>57.06</v>
      </c>
      <c r="AC251" s="425">
        <f t="shared" ref="AC251:AD251" si="250">$I743</f>
        <v>58.96</v>
      </c>
      <c r="AD251" s="425">
        <f t="shared" si="250"/>
        <v>58.96</v>
      </c>
      <c r="AE251" s="425" t="s">
        <v>762</v>
      </c>
      <c r="AF251" s="425" t="s">
        <v>762</v>
      </c>
      <c r="AG251" s="425">
        <f t="shared" si="230"/>
        <v>71.462249999999997</v>
      </c>
      <c r="AH251" s="425" t="s">
        <v>762</v>
      </c>
      <c r="AI251" s="425">
        <f t="shared" si="231"/>
        <v>95.283000000000001</v>
      </c>
      <c r="AJ251" s="425" t="s">
        <v>762</v>
      </c>
      <c r="AK251" s="425">
        <f t="shared" si="232"/>
        <v>119.10375000000001</v>
      </c>
      <c r="AL251" s="425">
        <f t="shared" si="233"/>
        <v>100.845</v>
      </c>
      <c r="AM251" s="425" t="s">
        <v>762</v>
      </c>
      <c r="AN251" s="425">
        <f t="shared" si="234"/>
        <v>117.6525</v>
      </c>
      <c r="AO251" s="425" t="s">
        <v>762</v>
      </c>
      <c r="AP251" s="425">
        <f t="shared" si="235"/>
        <v>134.46</v>
      </c>
      <c r="AQ251" s="425" t="s">
        <v>762</v>
      </c>
      <c r="AR251" s="425">
        <f t="shared" si="236"/>
        <v>151.26750000000001</v>
      </c>
      <c r="AS251" s="425" t="s">
        <v>762</v>
      </c>
      <c r="AT251" s="425">
        <f t="shared" si="237"/>
        <v>183.06</v>
      </c>
      <c r="AU251" s="425" t="s">
        <v>762</v>
      </c>
      <c r="AV251" s="425" t="s">
        <v>762</v>
      </c>
      <c r="AW251" s="425" t="s">
        <v>762</v>
      </c>
      <c r="AX251" s="425" t="s">
        <v>762</v>
      </c>
      <c r="AY251" s="425" t="s">
        <v>762</v>
      </c>
      <c r="AZ251" s="425" t="s">
        <v>762</v>
      </c>
      <c r="BA251" s="425">
        <f t="shared" si="238"/>
        <v>240.77250000000001</v>
      </c>
      <c r="BB251" s="425" t="s">
        <v>762</v>
      </c>
      <c r="BC251" s="425" t="s">
        <v>762</v>
      </c>
      <c r="BD251" s="425" t="s">
        <v>762</v>
      </c>
      <c r="BE251" s="425" t="s">
        <v>762</v>
      </c>
      <c r="BF251" s="425">
        <f t="shared" si="239"/>
        <v>328.86</v>
      </c>
      <c r="BG251" s="425" t="s">
        <v>762</v>
      </c>
      <c r="BH251" s="425" t="s">
        <v>762</v>
      </c>
      <c r="BI251" s="425">
        <f t="shared" si="240"/>
        <v>411.07500000000005</v>
      </c>
      <c r="BJ251" s="425" t="s">
        <v>762</v>
      </c>
      <c r="BK251" s="425" t="s">
        <v>762</v>
      </c>
      <c r="BL251" s="425">
        <f t="shared" si="241"/>
        <v>493.29</v>
      </c>
      <c r="BM251" s="425" t="s">
        <v>762</v>
      </c>
      <c r="BN251" s="425" t="s">
        <v>762</v>
      </c>
      <c r="BO251" s="425" t="s">
        <v>762</v>
      </c>
      <c r="BP251" s="425" t="s">
        <v>762</v>
      </c>
      <c r="BQ251" s="425" t="s">
        <v>762</v>
      </c>
      <c r="BR251" s="425" t="s">
        <v>762</v>
      </c>
      <c r="BS251" s="425" t="s">
        <v>762</v>
      </c>
      <c r="BT251" s="425" t="s">
        <v>762</v>
      </c>
      <c r="BU251" s="425" t="s">
        <v>762</v>
      </c>
      <c r="BV251" s="425" t="s">
        <v>762</v>
      </c>
      <c r="BW251" s="425" t="s">
        <v>762</v>
      </c>
      <c r="BX251" s="425" t="s">
        <v>762</v>
      </c>
      <c r="BY251" s="425" t="s">
        <v>762</v>
      </c>
      <c r="BZ251" s="425" t="s">
        <v>762</v>
      </c>
      <c r="CA251" s="425" t="s">
        <v>762</v>
      </c>
      <c r="CB251" s="425" t="s">
        <v>762</v>
      </c>
      <c r="CC251" s="425" t="s">
        <v>762</v>
      </c>
      <c r="CD251" s="425" t="s">
        <v>762</v>
      </c>
      <c r="CE251" s="425" t="s">
        <v>762</v>
      </c>
      <c r="CF251" s="425" t="s">
        <v>762</v>
      </c>
      <c r="CG251" s="424" t="s">
        <v>762</v>
      </c>
      <c r="CH251" s="425">
        <f t="shared" si="215"/>
        <v>47.641500000000001</v>
      </c>
      <c r="CI251" s="425">
        <f t="shared" si="242"/>
        <v>33.615000000000002</v>
      </c>
      <c r="CJ251" s="425">
        <f t="shared" si="243"/>
        <v>36.612000000000002</v>
      </c>
      <c r="CK251" s="425">
        <f t="shared" si="244"/>
        <v>32.103000000000002</v>
      </c>
      <c r="CL251" s="425">
        <f t="shared" si="245"/>
        <v>32.886000000000003</v>
      </c>
      <c r="CN251" s="438"/>
    </row>
    <row r="252" spans="1:92" s="426" customFormat="1">
      <c r="A252" s="424" t="s">
        <v>532</v>
      </c>
      <c r="B252" s="424" t="s">
        <v>630</v>
      </c>
      <c r="C252" s="425">
        <f t="shared" si="208"/>
        <v>50.35</v>
      </c>
      <c r="D252" s="425">
        <f t="shared" si="247"/>
        <v>50.35</v>
      </c>
      <c r="E252" s="425">
        <f t="shared" si="247"/>
        <v>50.35</v>
      </c>
      <c r="F252" s="425">
        <f t="shared" si="247"/>
        <v>50.35</v>
      </c>
      <c r="G252" s="425">
        <f t="shared" si="247"/>
        <v>50.35</v>
      </c>
      <c r="H252" s="425">
        <f t="shared" si="247"/>
        <v>50.35</v>
      </c>
      <c r="I252" s="425">
        <f t="shared" si="247"/>
        <v>50.35</v>
      </c>
      <c r="J252" s="425">
        <f t="shared" si="247"/>
        <v>50.35</v>
      </c>
      <c r="K252" s="425">
        <f t="shared" si="247"/>
        <v>50.35</v>
      </c>
      <c r="L252" s="425">
        <f t="shared" si="247"/>
        <v>50.35</v>
      </c>
      <c r="M252" s="425" t="s">
        <v>762</v>
      </c>
      <c r="N252" s="425" t="s">
        <v>762</v>
      </c>
      <c r="O252" s="425" t="s">
        <v>762</v>
      </c>
      <c r="P252" s="425" t="s">
        <v>762</v>
      </c>
      <c r="Q252" s="425" t="s">
        <v>762</v>
      </c>
      <c r="R252" s="425" t="s">
        <v>762</v>
      </c>
      <c r="S252" s="425" t="s">
        <v>762</v>
      </c>
      <c r="T252" s="425" t="s">
        <v>762</v>
      </c>
      <c r="U252" s="425" t="s">
        <v>762</v>
      </c>
      <c r="V252" s="425">
        <f t="shared" si="247"/>
        <v>50.35</v>
      </c>
      <c r="W252" s="425">
        <f t="shared" si="247"/>
        <v>50.35</v>
      </c>
      <c r="X252" s="425">
        <f t="shared" si="209"/>
        <v>58.83</v>
      </c>
      <c r="Y252" s="425">
        <f t="shared" si="210"/>
        <v>61.09</v>
      </c>
      <c r="Z252" s="425">
        <f t="shared" si="211"/>
        <v>66.56</v>
      </c>
      <c r="AA252" s="425">
        <f t="shared" si="212"/>
        <v>68.97</v>
      </c>
      <c r="AB252" s="425">
        <f t="shared" si="213"/>
        <v>71.33</v>
      </c>
      <c r="AC252" s="425">
        <f t="shared" ref="AC252:AD252" si="251">$I744</f>
        <v>73.7</v>
      </c>
      <c r="AD252" s="425">
        <f t="shared" si="251"/>
        <v>73.7</v>
      </c>
      <c r="AE252" s="425" t="s">
        <v>762</v>
      </c>
      <c r="AF252" s="425" t="s">
        <v>762</v>
      </c>
      <c r="AG252" s="425">
        <f t="shared" si="230"/>
        <v>89.363250000000008</v>
      </c>
      <c r="AH252" s="425" t="s">
        <v>762</v>
      </c>
      <c r="AI252" s="425">
        <f t="shared" si="231"/>
        <v>119.15100000000001</v>
      </c>
      <c r="AJ252" s="425" t="s">
        <v>762</v>
      </c>
      <c r="AK252" s="425">
        <f t="shared" si="232"/>
        <v>148.93875000000003</v>
      </c>
      <c r="AL252" s="425">
        <f t="shared" si="233"/>
        <v>126.117</v>
      </c>
      <c r="AM252" s="425" t="s">
        <v>762</v>
      </c>
      <c r="AN252" s="425">
        <f t="shared" si="234"/>
        <v>147.13650000000001</v>
      </c>
      <c r="AO252" s="425" t="s">
        <v>762</v>
      </c>
      <c r="AP252" s="425">
        <f t="shared" si="235"/>
        <v>168.15600000000001</v>
      </c>
      <c r="AQ252" s="425" t="s">
        <v>762</v>
      </c>
      <c r="AR252" s="425">
        <f t="shared" si="236"/>
        <v>189.1755</v>
      </c>
      <c r="AS252" s="425" t="s">
        <v>762</v>
      </c>
      <c r="AT252" s="425">
        <f t="shared" si="237"/>
        <v>228.69000000000003</v>
      </c>
      <c r="AU252" s="425" t="s">
        <v>762</v>
      </c>
      <c r="AV252" s="425" t="s">
        <v>762</v>
      </c>
      <c r="AW252" s="425" t="s">
        <v>762</v>
      </c>
      <c r="AX252" s="425" t="s">
        <v>762</v>
      </c>
      <c r="AY252" s="425" t="s">
        <v>762</v>
      </c>
      <c r="AZ252" s="425" t="s">
        <v>762</v>
      </c>
      <c r="BA252" s="425">
        <f t="shared" si="238"/>
        <v>300.91500000000002</v>
      </c>
      <c r="BB252" s="425" t="s">
        <v>762</v>
      </c>
      <c r="BC252" s="425" t="s">
        <v>762</v>
      </c>
      <c r="BD252" s="425" t="s">
        <v>762</v>
      </c>
      <c r="BE252" s="425" t="s">
        <v>762</v>
      </c>
      <c r="BF252" s="425">
        <f t="shared" si="239"/>
        <v>411.07500000000005</v>
      </c>
      <c r="BG252" s="425" t="s">
        <v>762</v>
      </c>
      <c r="BH252" s="425" t="s">
        <v>762</v>
      </c>
      <c r="BI252" s="425">
        <f t="shared" si="240"/>
        <v>513.84375</v>
      </c>
      <c r="BJ252" s="425" t="s">
        <v>762</v>
      </c>
      <c r="BK252" s="425" t="s">
        <v>762</v>
      </c>
      <c r="BL252" s="425">
        <f t="shared" si="241"/>
        <v>616.61250000000007</v>
      </c>
      <c r="BM252" s="425" t="s">
        <v>762</v>
      </c>
      <c r="BN252" s="425" t="s">
        <v>762</v>
      </c>
      <c r="BO252" s="425" t="s">
        <v>762</v>
      </c>
      <c r="BP252" s="425" t="s">
        <v>762</v>
      </c>
      <c r="BQ252" s="425" t="s">
        <v>762</v>
      </c>
      <c r="BR252" s="425" t="s">
        <v>762</v>
      </c>
      <c r="BS252" s="425" t="s">
        <v>762</v>
      </c>
      <c r="BT252" s="425" t="s">
        <v>762</v>
      </c>
      <c r="BU252" s="425" t="s">
        <v>762</v>
      </c>
      <c r="BV252" s="425" t="s">
        <v>762</v>
      </c>
      <c r="BW252" s="425" t="s">
        <v>762</v>
      </c>
      <c r="BX252" s="425" t="s">
        <v>762</v>
      </c>
      <c r="BY252" s="425" t="s">
        <v>762</v>
      </c>
      <c r="BZ252" s="425" t="s">
        <v>762</v>
      </c>
      <c r="CA252" s="425" t="s">
        <v>762</v>
      </c>
      <c r="CB252" s="425" t="s">
        <v>762</v>
      </c>
      <c r="CC252" s="425" t="s">
        <v>762</v>
      </c>
      <c r="CD252" s="425" t="s">
        <v>762</v>
      </c>
      <c r="CE252" s="425" t="s">
        <v>762</v>
      </c>
      <c r="CF252" s="425" t="s">
        <v>762</v>
      </c>
      <c r="CG252" s="424" t="s">
        <v>762</v>
      </c>
      <c r="CH252" s="425">
        <f t="shared" si="215"/>
        <v>59.575500000000005</v>
      </c>
      <c r="CI252" s="425">
        <f t="shared" si="242"/>
        <v>42.039000000000001</v>
      </c>
      <c r="CJ252" s="425">
        <f t="shared" si="243"/>
        <v>45.738000000000007</v>
      </c>
      <c r="CK252" s="425">
        <f t="shared" si="244"/>
        <v>40.122</v>
      </c>
      <c r="CL252" s="425">
        <f t="shared" si="245"/>
        <v>41.107500000000002</v>
      </c>
      <c r="CN252" s="438"/>
    </row>
    <row r="253" spans="1:92" s="426" customFormat="1">
      <c r="A253" s="424" t="s">
        <v>533</v>
      </c>
      <c r="B253" s="424" t="s">
        <v>630</v>
      </c>
      <c r="C253" s="425">
        <f t="shared" si="208"/>
        <v>38.74</v>
      </c>
      <c r="D253" s="425">
        <f t="shared" si="247"/>
        <v>38.74</v>
      </c>
      <c r="E253" s="425">
        <f t="shared" si="247"/>
        <v>38.74</v>
      </c>
      <c r="F253" s="425">
        <f t="shared" si="247"/>
        <v>38.74</v>
      </c>
      <c r="G253" s="425">
        <f t="shared" si="247"/>
        <v>38.74</v>
      </c>
      <c r="H253" s="425">
        <f t="shared" si="247"/>
        <v>38.74</v>
      </c>
      <c r="I253" s="425">
        <f t="shared" si="247"/>
        <v>38.74</v>
      </c>
      <c r="J253" s="425">
        <f t="shared" si="247"/>
        <v>38.74</v>
      </c>
      <c r="K253" s="425">
        <f t="shared" si="247"/>
        <v>38.74</v>
      </c>
      <c r="L253" s="425">
        <f t="shared" si="247"/>
        <v>38.74</v>
      </c>
      <c r="M253" s="425" t="s">
        <v>762</v>
      </c>
      <c r="N253" s="425" t="s">
        <v>762</v>
      </c>
      <c r="O253" s="425" t="s">
        <v>762</v>
      </c>
      <c r="P253" s="425" t="s">
        <v>762</v>
      </c>
      <c r="Q253" s="425" t="s">
        <v>762</v>
      </c>
      <c r="R253" s="425" t="s">
        <v>762</v>
      </c>
      <c r="S253" s="425" t="s">
        <v>762</v>
      </c>
      <c r="T253" s="425" t="s">
        <v>762</v>
      </c>
      <c r="U253" s="425" t="s">
        <v>762</v>
      </c>
      <c r="V253" s="425">
        <f t="shared" si="247"/>
        <v>38.74</v>
      </c>
      <c r="W253" s="425">
        <f t="shared" si="247"/>
        <v>38.74</v>
      </c>
      <c r="X253" s="425">
        <f t="shared" si="209"/>
        <v>45.25</v>
      </c>
      <c r="Y253" s="425">
        <f t="shared" si="210"/>
        <v>46.99</v>
      </c>
      <c r="Z253" s="425">
        <f t="shared" si="211"/>
        <v>51.06</v>
      </c>
      <c r="AA253" s="425">
        <f t="shared" si="212"/>
        <v>52.84</v>
      </c>
      <c r="AB253" s="425">
        <f t="shared" si="213"/>
        <v>54.7</v>
      </c>
      <c r="AC253" s="425">
        <f t="shared" ref="AC253:AD253" si="252">$I745</f>
        <v>56.53</v>
      </c>
      <c r="AD253" s="425">
        <f t="shared" si="252"/>
        <v>56.53</v>
      </c>
      <c r="AE253" s="425" t="s">
        <v>762</v>
      </c>
      <c r="AF253" s="425" t="s">
        <v>762</v>
      </c>
      <c r="AG253" s="425">
        <f t="shared" si="230"/>
        <v>68.52600000000001</v>
      </c>
      <c r="AH253" s="425" t="s">
        <v>762</v>
      </c>
      <c r="AI253" s="425">
        <f t="shared" si="231"/>
        <v>91.368000000000009</v>
      </c>
      <c r="AJ253" s="425" t="s">
        <v>762</v>
      </c>
      <c r="AK253" s="425">
        <f t="shared" si="232"/>
        <v>114.21000000000001</v>
      </c>
      <c r="AL253" s="425">
        <f t="shared" si="233"/>
        <v>96.713999999999999</v>
      </c>
      <c r="AM253" s="425" t="s">
        <v>762</v>
      </c>
      <c r="AN253" s="425">
        <f t="shared" si="234"/>
        <v>112.833</v>
      </c>
      <c r="AO253" s="425" t="s">
        <v>762</v>
      </c>
      <c r="AP253" s="425">
        <f t="shared" si="235"/>
        <v>128.952</v>
      </c>
      <c r="AQ253" s="425" t="s">
        <v>762</v>
      </c>
      <c r="AR253" s="425">
        <f t="shared" si="236"/>
        <v>145.071</v>
      </c>
      <c r="AS253" s="425" t="s">
        <v>762</v>
      </c>
      <c r="AT253" s="425">
        <f t="shared" si="237"/>
        <v>175.4325</v>
      </c>
      <c r="AU253" s="425" t="s">
        <v>762</v>
      </c>
      <c r="AV253" s="425" t="s">
        <v>762</v>
      </c>
      <c r="AW253" s="425" t="s">
        <v>762</v>
      </c>
      <c r="AX253" s="425" t="s">
        <v>762</v>
      </c>
      <c r="AY253" s="425" t="s">
        <v>762</v>
      </c>
      <c r="AZ253" s="425" t="s">
        <v>762</v>
      </c>
      <c r="BA253" s="425">
        <f t="shared" si="238"/>
        <v>230.85000000000002</v>
      </c>
      <c r="BB253" s="425" t="s">
        <v>762</v>
      </c>
      <c r="BC253" s="425" t="s">
        <v>762</v>
      </c>
      <c r="BD253" s="425" t="s">
        <v>762</v>
      </c>
      <c r="BE253" s="425" t="s">
        <v>762</v>
      </c>
      <c r="BF253" s="425">
        <f t="shared" si="239"/>
        <v>315.09000000000003</v>
      </c>
      <c r="BG253" s="425" t="s">
        <v>762</v>
      </c>
      <c r="BH253" s="425" t="s">
        <v>762</v>
      </c>
      <c r="BI253" s="425">
        <f t="shared" si="240"/>
        <v>393.86250000000001</v>
      </c>
      <c r="BJ253" s="425" t="s">
        <v>762</v>
      </c>
      <c r="BK253" s="425" t="s">
        <v>762</v>
      </c>
      <c r="BL253" s="425">
        <f t="shared" si="241"/>
        <v>472.63499999999999</v>
      </c>
      <c r="BM253" s="425" t="s">
        <v>762</v>
      </c>
      <c r="BN253" s="425" t="s">
        <v>762</v>
      </c>
      <c r="BO253" s="425" t="s">
        <v>762</v>
      </c>
      <c r="BP253" s="425" t="s">
        <v>762</v>
      </c>
      <c r="BQ253" s="425" t="s">
        <v>762</v>
      </c>
      <c r="BR253" s="425" t="s">
        <v>762</v>
      </c>
      <c r="BS253" s="425" t="s">
        <v>762</v>
      </c>
      <c r="BT253" s="425" t="s">
        <v>762</v>
      </c>
      <c r="BU253" s="425" t="s">
        <v>762</v>
      </c>
      <c r="BV253" s="425" t="s">
        <v>762</v>
      </c>
      <c r="BW253" s="425" t="s">
        <v>762</v>
      </c>
      <c r="BX253" s="425" t="s">
        <v>762</v>
      </c>
      <c r="BY253" s="425" t="s">
        <v>762</v>
      </c>
      <c r="BZ253" s="425" t="s">
        <v>762</v>
      </c>
      <c r="CA253" s="425" t="s">
        <v>762</v>
      </c>
      <c r="CB253" s="425" t="s">
        <v>762</v>
      </c>
      <c r="CC253" s="425" t="s">
        <v>762</v>
      </c>
      <c r="CD253" s="425" t="s">
        <v>762</v>
      </c>
      <c r="CE253" s="425" t="s">
        <v>762</v>
      </c>
      <c r="CF253" s="425" t="s">
        <v>762</v>
      </c>
      <c r="CG253" s="424" t="s">
        <v>762</v>
      </c>
      <c r="CH253" s="425">
        <f t="shared" si="215"/>
        <v>45.684000000000005</v>
      </c>
      <c r="CI253" s="425">
        <f t="shared" si="242"/>
        <v>32.238</v>
      </c>
      <c r="CJ253" s="425">
        <f t="shared" si="243"/>
        <v>35.086500000000001</v>
      </c>
      <c r="CK253" s="425">
        <f t="shared" si="244"/>
        <v>30.780000000000005</v>
      </c>
      <c r="CL253" s="425">
        <f t="shared" si="245"/>
        <v>31.509</v>
      </c>
      <c r="CN253" s="438"/>
    </row>
    <row r="254" spans="1:92" s="426" customFormat="1">
      <c r="A254" s="424" t="s">
        <v>534</v>
      </c>
      <c r="B254" s="424" t="s">
        <v>630</v>
      </c>
      <c r="C254" s="425">
        <f t="shared" si="208"/>
        <v>52.84</v>
      </c>
      <c r="D254" s="425">
        <f t="shared" si="247"/>
        <v>52.84</v>
      </c>
      <c r="E254" s="425">
        <f t="shared" si="247"/>
        <v>52.84</v>
      </c>
      <c r="F254" s="425">
        <f t="shared" si="247"/>
        <v>52.84</v>
      </c>
      <c r="G254" s="425">
        <f t="shared" si="247"/>
        <v>52.84</v>
      </c>
      <c r="H254" s="425">
        <f t="shared" si="247"/>
        <v>52.84</v>
      </c>
      <c r="I254" s="425">
        <f t="shared" si="247"/>
        <v>52.84</v>
      </c>
      <c r="J254" s="425">
        <f t="shared" si="247"/>
        <v>52.84</v>
      </c>
      <c r="K254" s="425">
        <f t="shared" si="247"/>
        <v>52.84</v>
      </c>
      <c r="L254" s="425">
        <f t="shared" si="247"/>
        <v>52.84</v>
      </c>
      <c r="M254" s="425" t="s">
        <v>762</v>
      </c>
      <c r="N254" s="425" t="s">
        <v>762</v>
      </c>
      <c r="O254" s="425" t="s">
        <v>762</v>
      </c>
      <c r="P254" s="425" t="s">
        <v>762</v>
      </c>
      <c r="Q254" s="425" t="s">
        <v>762</v>
      </c>
      <c r="R254" s="425" t="s">
        <v>762</v>
      </c>
      <c r="S254" s="425" t="s">
        <v>762</v>
      </c>
      <c r="T254" s="425" t="s">
        <v>762</v>
      </c>
      <c r="U254" s="425" t="s">
        <v>762</v>
      </c>
      <c r="V254" s="425">
        <f t="shared" si="247"/>
        <v>52.84</v>
      </c>
      <c r="W254" s="425">
        <f t="shared" si="247"/>
        <v>52.84</v>
      </c>
      <c r="X254" s="425">
        <f t="shared" si="209"/>
        <v>61.8</v>
      </c>
      <c r="Y254" s="425">
        <f t="shared" si="210"/>
        <v>64.150000000000006</v>
      </c>
      <c r="Z254" s="425">
        <f t="shared" si="211"/>
        <v>70.66</v>
      </c>
      <c r="AA254" s="425">
        <f t="shared" si="212"/>
        <v>73.17</v>
      </c>
      <c r="AB254" s="425">
        <f t="shared" si="213"/>
        <v>75.69</v>
      </c>
      <c r="AC254" s="425">
        <f t="shared" ref="AC254:AD254" si="253">$I746</f>
        <v>78.2</v>
      </c>
      <c r="AD254" s="425">
        <f t="shared" si="253"/>
        <v>78.2</v>
      </c>
      <c r="AE254" s="425" t="s">
        <v>762</v>
      </c>
      <c r="AF254" s="425" t="s">
        <v>762</v>
      </c>
      <c r="AG254" s="425">
        <f t="shared" si="230"/>
        <v>94.810500000000019</v>
      </c>
      <c r="AH254" s="425" t="s">
        <v>762</v>
      </c>
      <c r="AI254" s="425">
        <f t="shared" si="231"/>
        <v>126.41400000000002</v>
      </c>
      <c r="AJ254" s="425" t="s">
        <v>762</v>
      </c>
      <c r="AK254" s="425">
        <f t="shared" si="232"/>
        <v>158.01750000000001</v>
      </c>
      <c r="AL254" s="425">
        <f t="shared" si="233"/>
        <v>133.81200000000001</v>
      </c>
      <c r="AM254" s="425" t="s">
        <v>762</v>
      </c>
      <c r="AN254" s="425">
        <f t="shared" si="234"/>
        <v>156.114</v>
      </c>
      <c r="AO254" s="425" t="s">
        <v>762</v>
      </c>
      <c r="AP254" s="425">
        <f t="shared" si="235"/>
        <v>178.416</v>
      </c>
      <c r="AQ254" s="425" t="s">
        <v>762</v>
      </c>
      <c r="AR254" s="425">
        <f t="shared" si="236"/>
        <v>200.71799999999999</v>
      </c>
      <c r="AS254" s="425" t="s">
        <v>762</v>
      </c>
      <c r="AT254" s="425">
        <f t="shared" si="237"/>
        <v>242.73000000000002</v>
      </c>
      <c r="AU254" s="425" t="s">
        <v>762</v>
      </c>
      <c r="AV254" s="425" t="s">
        <v>762</v>
      </c>
      <c r="AW254" s="425" t="s">
        <v>762</v>
      </c>
      <c r="AX254" s="425" t="s">
        <v>762</v>
      </c>
      <c r="AY254" s="425" t="s">
        <v>762</v>
      </c>
      <c r="AZ254" s="425" t="s">
        <v>762</v>
      </c>
      <c r="BA254" s="425">
        <f t="shared" si="238"/>
        <v>319.34250000000003</v>
      </c>
      <c r="BB254" s="425" t="s">
        <v>762</v>
      </c>
      <c r="BC254" s="425" t="s">
        <v>762</v>
      </c>
      <c r="BD254" s="425" t="s">
        <v>762</v>
      </c>
      <c r="BE254" s="425" t="s">
        <v>762</v>
      </c>
      <c r="BF254" s="425">
        <f t="shared" si="239"/>
        <v>436.04999999999995</v>
      </c>
      <c r="BG254" s="425" t="s">
        <v>762</v>
      </c>
      <c r="BH254" s="425" t="s">
        <v>762</v>
      </c>
      <c r="BI254" s="425">
        <f t="shared" si="240"/>
        <v>545.0625</v>
      </c>
      <c r="BJ254" s="425" t="s">
        <v>762</v>
      </c>
      <c r="BK254" s="425" t="s">
        <v>762</v>
      </c>
      <c r="BL254" s="425">
        <f t="shared" si="241"/>
        <v>654.07499999999993</v>
      </c>
      <c r="BM254" s="425" t="s">
        <v>762</v>
      </c>
      <c r="BN254" s="425" t="s">
        <v>762</v>
      </c>
      <c r="BO254" s="425" t="s">
        <v>762</v>
      </c>
      <c r="BP254" s="425" t="s">
        <v>762</v>
      </c>
      <c r="BQ254" s="425" t="s">
        <v>762</v>
      </c>
      <c r="BR254" s="425" t="s">
        <v>762</v>
      </c>
      <c r="BS254" s="425" t="s">
        <v>762</v>
      </c>
      <c r="BT254" s="425" t="s">
        <v>762</v>
      </c>
      <c r="BU254" s="425" t="s">
        <v>762</v>
      </c>
      <c r="BV254" s="425" t="s">
        <v>762</v>
      </c>
      <c r="BW254" s="425" t="s">
        <v>762</v>
      </c>
      <c r="BX254" s="425" t="s">
        <v>762</v>
      </c>
      <c r="BY254" s="425" t="s">
        <v>762</v>
      </c>
      <c r="BZ254" s="425" t="s">
        <v>762</v>
      </c>
      <c r="CA254" s="425" t="s">
        <v>762</v>
      </c>
      <c r="CB254" s="425" t="s">
        <v>762</v>
      </c>
      <c r="CC254" s="425" t="s">
        <v>762</v>
      </c>
      <c r="CD254" s="425" t="s">
        <v>762</v>
      </c>
      <c r="CE254" s="425" t="s">
        <v>762</v>
      </c>
      <c r="CF254" s="425" t="s">
        <v>762</v>
      </c>
      <c r="CG254" s="424" t="s">
        <v>762</v>
      </c>
      <c r="CH254" s="425">
        <f t="shared" si="215"/>
        <v>63.207000000000008</v>
      </c>
      <c r="CI254" s="425">
        <f t="shared" si="242"/>
        <v>44.603999999999999</v>
      </c>
      <c r="CJ254" s="425">
        <f t="shared" si="243"/>
        <v>48.546000000000006</v>
      </c>
      <c r="CK254" s="425">
        <f t="shared" si="244"/>
        <v>42.579000000000001</v>
      </c>
      <c r="CL254" s="425">
        <f t="shared" si="245"/>
        <v>43.604999999999997</v>
      </c>
      <c r="CN254" s="438"/>
    </row>
    <row r="255" spans="1:92" s="426" customFormat="1">
      <c r="A255" s="424" t="s">
        <v>535</v>
      </c>
      <c r="B255" s="424" t="s">
        <v>630</v>
      </c>
      <c r="C255" s="425">
        <f t="shared" si="208"/>
        <v>114.05</v>
      </c>
      <c r="D255" s="425">
        <f t="shared" si="247"/>
        <v>114.05</v>
      </c>
      <c r="E255" s="425">
        <f t="shared" si="247"/>
        <v>114.05</v>
      </c>
      <c r="F255" s="425">
        <f t="shared" si="247"/>
        <v>114.05</v>
      </c>
      <c r="G255" s="425">
        <f t="shared" si="247"/>
        <v>114.05</v>
      </c>
      <c r="H255" s="425">
        <f t="shared" si="247"/>
        <v>114.05</v>
      </c>
      <c r="I255" s="425">
        <f t="shared" si="247"/>
        <v>114.05</v>
      </c>
      <c r="J255" s="425">
        <f t="shared" si="247"/>
        <v>114.05</v>
      </c>
      <c r="K255" s="425">
        <f t="shared" si="247"/>
        <v>114.05</v>
      </c>
      <c r="L255" s="425">
        <f t="shared" si="247"/>
        <v>114.05</v>
      </c>
      <c r="M255" s="425" t="s">
        <v>762</v>
      </c>
      <c r="N255" s="425" t="s">
        <v>762</v>
      </c>
      <c r="O255" s="425" t="s">
        <v>762</v>
      </c>
      <c r="P255" s="425" t="s">
        <v>762</v>
      </c>
      <c r="Q255" s="425" t="s">
        <v>762</v>
      </c>
      <c r="R255" s="425" t="s">
        <v>762</v>
      </c>
      <c r="S255" s="425" t="s">
        <v>762</v>
      </c>
      <c r="T255" s="425" t="s">
        <v>762</v>
      </c>
      <c r="U255" s="425" t="s">
        <v>762</v>
      </c>
      <c r="V255" s="425">
        <f t="shared" si="247"/>
        <v>114.05</v>
      </c>
      <c r="W255" s="425">
        <f t="shared" si="247"/>
        <v>114.05</v>
      </c>
      <c r="X255" s="425">
        <f t="shared" si="209"/>
        <v>133.24</v>
      </c>
      <c r="Y255" s="425">
        <f t="shared" si="210"/>
        <v>138.38999999999999</v>
      </c>
      <c r="Z255" s="425">
        <f t="shared" si="211"/>
        <v>154.15</v>
      </c>
      <c r="AA255" s="425">
        <f t="shared" si="212"/>
        <v>159.66</v>
      </c>
      <c r="AB255" s="425">
        <f t="shared" si="213"/>
        <v>165.18</v>
      </c>
      <c r="AC255" s="425">
        <f t="shared" ref="AC255:AD255" si="254">$I747</f>
        <v>170.68</v>
      </c>
      <c r="AD255" s="425">
        <f t="shared" si="254"/>
        <v>170.68</v>
      </c>
      <c r="AE255" s="425" t="s">
        <v>762</v>
      </c>
      <c r="AF255" s="425" t="s">
        <v>762</v>
      </c>
      <c r="AG255" s="425">
        <f t="shared" si="230"/>
        <v>206.874</v>
      </c>
      <c r="AH255" s="425" t="s">
        <v>762</v>
      </c>
      <c r="AI255" s="425">
        <f t="shared" si="231"/>
        <v>275.83199999999999</v>
      </c>
      <c r="AJ255" s="425" t="s">
        <v>762</v>
      </c>
      <c r="AK255" s="425">
        <f t="shared" si="232"/>
        <v>344.78999999999996</v>
      </c>
      <c r="AL255" s="425">
        <f t="shared" si="233"/>
        <v>291.96450000000004</v>
      </c>
      <c r="AM255" s="425" t="s">
        <v>762</v>
      </c>
      <c r="AN255" s="425">
        <f t="shared" si="234"/>
        <v>340.62525000000005</v>
      </c>
      <c r="AO255" s="425" t="s">
        <v>762</v>
      </c>
      <c r="AP255" s="425">
        <f t="shared" si="235"/>
        <v>389.28600000000006</v>
      </c>
      <c r="AQ255" s="425" t="s">
        <v>762</v>
      </c>
      <c r="AR255" s="425">
        <f t="shared" si="236"/>
        <v>437.94675000000007</v>
      </c>
      <c r="AS255" s="425" t="s">
        <v>762</v>
      </c>
      <c r="AT255" s="425">
        <f t="shared" si="237"/>
        <v>529.875</v>
      </c>
      <c r="AU255" s="425" t="s">
        <v>762</v>
      </c>
      <c r="AV255" s="425" t="s">
        <v>762</v>
      </c>
      <c r="AW255" s="425" t="s">
        <v>762</v>
      </c>
      <c r="AX255" s="425" t="s">
        <v>762</v>
      </c>
      <c r="AY255" s="425" t="s">
        <v>762</v>
      </c>
      <c r="AZ255" s="425" t="s">
        <v>762</v>
      </c>
      <c r="BA255" s="425">
        <f t="shared" si="238"/>
        <v>696.70125000000007</v>
      </c>
      <c r="BB255" s="425" t="s">
        <v>762</v>
      </c>
      <c r="BC255" s="425" t="s">
        <v>762</v>
      </c>
      <c r="BD255" s="425" t="s">
        <v>762</v>
      </c>
      <c r="BE255" s="425" t="s">
        <v>762</v>
      </c>
      <c r="BF255" s="425">
        <f t="shared" si="239"/>
        <v>951.48000000000013</v>
      </c>
      <c r="BG255" s="425" t="s">
        <v>762</v>
      </c>
      <c r="BH255" s="425" t="s">
        <v>762</v>
      </c>
      <c r="BI255" s="425">
        <f t="shared" si="240"/>
        <v>1189.3500000000001</v>
      </c>
      <c r="BJ255" s="425" t="s">
        <v>762</v>
      </c>
      <c r="BK255" s="425" t="s">
        <v>762</v>
      </c>
      <c r="BL255" s="425">
        <f t="shared" si="241"/>
        <v>1427.2200000000003</v>
      </c>
      <c r="BM255" s="425" t="s">
        <v>762</v>
      </c>
      <c r="BN255" s="425" t="s">
        <v>762</v>
      </c>
      <c r="BO255" s="425" t="s">
        <v>762</v>
      </c>
      <c r="BP255" s="425" t="s">
        <v>762</v>
      </c>
      <c r="BQ255" s="425" t="s">
        <v>762</v>
      </c>
      <c r="BR255" s="425" t="s">
        <v>762</v>
      </c>
      <c r="BS255" s="425" t="s">
        <v>762</v>
      </c>
      <c r="BT255" s="425" t="s">
        <v>762</v>
      </c>
      <c r="BU255" s="425" t="s">
        <v>762</v>
      </c>
      <c r="BV255" s="425" t="s">
        <v>762</v>
      </c>
      <c r="BW255" s="425" t="s">
        <v>762</v>
      </c>
      <c r="BX255" s="425" t="s">
        <v>762</v>
      </c>
      <c r="BY255" s="425" t="s">
        <v>762</v>
      </c>
      <c r="BZ255" s="425" t="s">
        <v>762</v>
      </c>
      <c r="CA255" s="425" t="s">
        <v>762</v>
      </c>
      <c r="CB255" s="425" t="s">
        <v>762</v>
      </c>
      <c r="CC255" s="425" t="s">
        <v>762</v>
      </c>
      <c r="CD255" s="425" t="s">
        <v>762</v>
      </c>
      <c r="CE255" s="425" t="s">
        <v>762</v>
      </c>
      <c r="CF255" s="425" t="s">
        <v>762</v>
      </c>
      <c r="CG255" s="424" t="s">
        <v>762</v>
      </c>
      <c r="CH255" s="425">
        <f t="shared" si="215"/>
        <v>137.916</v>
      </c>
      <c r="CI255" s="425">
        <f t="shared" si="242"/>
        <v>97.321500000000015</v>
      </c>
      <c r="CJ255" s="425">
        <f t="shared" si="243"/>
        <v>105.97500000000001</v>
      </c>
      <c r="CK255" s="425">
        <f t="shared" si="244"/>
        <v>92.893500000000003</v>
      </c>
      <c r="CL255" s="425">
        <f t="shared" si="245"/>
        <v>95.14800000000001</v>
      </c>
      <c r="CN255" s="438"/>
    </row>
    <row r="256" spans="1:92" s="426" customFormat="1">
      <c r="A256" s="424" t="s">
        <v>536</v>
      </c>
      <c r="B256" s="424" t="s">
        <v>630</v>
      </c>
      <c r="C256" s="425">
        <f t="shared" si="208"/>
        <v>42.55</v>
      </c>
      <c r="D256" s="425">
        <f t="shared" si="247"/>
        <v>42.55</v>
      </c>
      <c r="E256" s="425">
        <f t="shared" si="247"/>
        <v>42.55</v>
      </c>
      <c r="F256" s="425">
        <f t="shared" si="247"/>
        <v>42.55</v>
      </c>
      <c r="G256" s="425">
        <f t="shared" si="247"/>
        <v>42.55</v>
      </c>
      <c r="H256" s="425">
        <f t="shared" si="247"/>
        <v>42.55</v>
      </c>
      <c r="I256" s="425">
        <f t="shared" si="247"/>
        <v>42.55</v>
      </c>
      <c r="J256" s="425">
        <f t="shared" si="247"/>
        <v>42.55</v>
      </c>
      <c r="K256" s="425">
        <f t="shared" si="247"/>
        <v>42.55</v>
      </c>
      <c r="L256" s="425">
        <f t="shared" si="247"/>
        <v>42.55</v>
      </c>
      <c r="M256" s="425" t="s">
        <v>762</v>
      </c>
      <c r="N256" s="425" t="s">
        <v>762</v>
      </c>
      <c r="O256" s="425" t="s">
        <v>762</v>
      </c>
      <c r="P256" s="425" t="s">
        <v>762</v>
      </c>
      <c r="Q256" s="425" t="s">
        <v>762</v>
      </c>
      <c r="R256" s="425" t="s">
        <v>762</v>
      </c>
      <c r="S256" s="425" t="s">
        <v>762</v>
      </c>
      <c r="T256" s="425" t="s">
        <v>762</v>
      </c>
      <c r="U256" s="425" t="s">
        <v>762</v>
      </c>
      <c r="V256" s="425">
        <f t="shared" si="247"/>
        <v>42.55</v>
      </c>
      <c r="W256" s="425">
        <f t="shared" si="247"/>
        <v>42.55</v>
      </c>
      <c r="X256" s="425">
        <f t="shared" si="209"/>
        <v>49.72</v>
      </c>
      <c r="Y256" s="425">
        <f t="shared" si="210"/>
        <v>51.64</v>
      </c>
      <c r="Z256" s="425">
        <f t="shared" si="211"/>
        <v>56.52</v>
      </c>
      <c r="AA256" s="425">
        <f t="shared" si="212"/>
        <v>58.53</v>
      </c>
      <c r="AB256" s="425">
        <f t="shared" si="213"/>
        <v>60.56</v>
      </c>
      <c r="AC256" s="425">
        <f t="shared" ref="AC256:AD256" si="255">$I748</f>
        <v>62.58</v>
      </c>
      <c r="AD256" s="425">
        <f t="shared" si="255"/>
        <v>62.58</v>
      </c>
      <c r="AE256" s="425" t="s">
        <v>762</v>
      </c>
      <c r="AF256" s="425" t="s">
        <v>762</v>
      </c>
      <c r="AG256" s="425">
        <f t="shared" si="230"/>
        <v>75.836250000000007</v>
      </c>
      <c r="AH256" s="425" t="s">
        <v>762</v>
      </c>
      <c r="AI256" s="425">
        <f t="shared" si="231"/>
        <v>101.11500000000001</v>
      </c>
      <c r="AJ256" s="425" t="s">
        <v>762</v>
      </c>
      <c r="AK256" s="425">
        <f t="shared" si="232"/>
        <v>126.39375000000001</v>
      </c>
      <c r="AL256" s="425">
        <f t="shared" si="233"/>
        <v>107.08200000000001</v>
      </c>
      <c r="AM256" s="425" t="s">
        <v>762</v>
      </c>
      <c r="AN256" s="425">
        <f t="shared" si="234"/>
        <v>124.929</v>
      </c>
      <c r="AO256" s="425" t="s">
        <v>762</v>
      </c>
      <c r="AP256" s="425">
        <f t="shared" si="235"/>
        <v>142.77600000000001</v>
      </c>
      <c r="AQ256" s="425" t="s">
        <v>762</v>
      </c>
      <c r="AR256" s="425">
        <f t="shared" si="236"/>
        <v>160.62300000000002</v>
      </c>
      <c r="AS256" s="425" t="s">
        <v>762</v>
      </c>
      <c r="AT256" s="425">
        <f t="shared" si="237"/>
        <v>194.33250000000001</v>
      </c>
      <c r="AU256" s="425" t="s">
        <v>762</v>
      </c>
      <c r="AV256" s="425" t="s">
        <v>762</v>
      </c>
      <c r="AW256" s="425" t="s">
        <v>762</v>
      </c>
      <c r="AX256" s="425" t="s">
        <v>762</v>
      </c>
      <c r="AY256" s="425" t="s">
        <v>762</v>
      </c>
      <c r="AZ256" s="425" t="s">
        <v>762</v>
      </c>
      <c r="BA256" s="425">
        <f t="shared" si="238"/>
        <v>255.45375000000004</v>
      </c>
      <c r="BB256" s="425" t="s">
        <v>762</v>
      </c>
      <c r="BC256" s="425" t="s">
        <v>762</v>
      </c>
      <c r="BD256" s="425" t="s">
        <v>762</v>
      </c>
      <c r="BE256" s="425" t="s">
        <v>762</v>
      </c>
      <c r="BF256" s="425">
        <f t="shared" si="239"/>
        <v>348.70499999999998</v>
      </c>
      <c r="BG256" s="425" t="s">
        <v>762</v>
      </c>
      <c r="BH256" s="425" t="s">
        <v>762</v>
      </c>
      <c r="BI256" s="425">
        <f t="shared" si="240"/>
        <v>435.88125000000002</v>
      </c>
      <c r="BJ256" s="425" t="s">
        <v>762</v>
      </c>
      <c r="BK256" s="425" t="s">
        <v>762</v>
      </c>
      <c r="BL256" s="425">
        <f t="shared" si="241"/>
        <v>523.0575</v>
      </c>
      <c r="BM256" s="425" t="s">
        <v>762</v>
      </c>
      <c r="BN256" s="425" t="s">
        <v>762</v>
      </c>
      <c r="BO256" s="425" t="s">
        <v>762</v>
      </c>
      <c r="BP256" s="425" t="s">
        <v>762</v>
      </c>
      <c r="BQ256" s="425" t="s">
        <v>762</v>
      </c>
      <c r="BR256" s="425" t="s">
        <v>762</v>
      </c>
      <c r="BS256" s="425" t="s">
        <v>762</v>
      </c>
      <c r="BT256" s="425" t="s">
        <v>762</v>
      </c>
      <c r="BU256" s="425" t="s">
        <v>762</v>
      </c>
      <c r="BV256" s="425" t="s">
        <v>762</v>
      </c>
      <c r="BW256" s="425" t="s">
        <v>762</v>
      </c>
      <c r="BX256" s="425" t="s">
        <v>762</v>
      </c>
      <c r="BY256" s="425" t="s">
        <v>762</v>
      </c>
      <c r="BZ256" s="425" t="s">
        <v>762</v>
      </c>
      <c r="CA256" s="425" t="s">
        <v>762</v>
      </c>
      <c r="CB256" s="425" t="s">
        <v>762</v>
      </c>
      <c r="CC256" s="425" t="s">
        <v>762</v>
      </c>
      <c r="CD256" s="425" t="s">
        <v>762</v>
      </c>
      <c r="CE256" s="425" t="s">
        <v>762</v>
      </c>
      <c r="CF256" s="425" t="s">
        <v>762</v>
      </c>
      <c r="CG256" s="424" t="s">
        <v>762</v>
      </c>
      <c r="CH256" s="425">
        <f t="shared" si="215"/>
        <v>50.557500000000005</v>
      </c>
      <c r="CI256" s="425">
        <f t="shared" si="242"/>
        <v>35.694000000000003</v>
      </c>
      <c r="CJ256" s="425">
        <f t="shared" si="243"/>
        <v>38.866500000000002</v>
      </c>
      <c r="CK256" s="425">
        <f t="shared" si="244"/>
        <v>34.060500000000005</v>
      </c>
      <c r="CL256" s="425">
        <f t="shared" si="245"/>
        <v>34.8705</v>
      </c>
      <c r="CN256" s="438"/>
    </row>
    <row r="257" spans="1:92" s="426" customFormat="1">
      <c r="A257" s="424" t="s">
        <v>537</v>
      </c>
      <c r="B257" s="424" t="s">
        <v>630</v>
      </c>
      <c r="C257" s="425">
        <f t="shared" si="208"/>
        <v>32.17</v>
      </c>
      <c r="D257" s="425">
        <f t="shared" si="247"/>
        <v>32.17</v>
      </c>
      <c r="E257" s="425">
        <f t="shared" si="247"/>
        <v>32.17</v>
      </c>
      <c r="F257" s="425">
        <f t="shared" si="247"/>
        <v>32.17</v>
      </c>
      <c r="G257" s="425">
        <f t="shared" si="247"/>
        <v>32.17</v>
      </c>
      <c r="H257" s="425">
        <f t="shared" si="247"/>
        <v>32.17</v>
      </c>
      <c r="I257" s="425">
        <f t="shared" si="247"/>
        <v>32.17</v>
      </c>
      <c r="J257" s="425">
        <f t="shared" si="247"/>
        <v>32.17</v>
      </c>
      <c r="K257" s="425">
        <f t="shared" si="247"/>
        <v>32.17</v>
      </c>
      <c r="L257" s="425">
        <f t="shared" si="247"/>
        <v>32.17</v>
      </c>
      <c r="M257" s="425" t="s">
        <v>762</v>
      </c>
      <c r="N257" s="425" t="s">
        <v>762</v>
      </c>
      <c r="O257" s="425" t="s">
        <v>762</v>
      </c>
      <c r="P257" s="425" t="s">
        <v>762</v>
      </c>
      <c r="Q257" s="425" t="s">
        <v>762</v>
      </c>
      <c r="R257" s="425" t="s">
        <v>762</v>
      </c>
      <c r="S257" s="425" t="s">
        <v>762</v>
      </c>
      <c r="T257" s="425" t="s">
        <v>762</v>
      </c>
      <c r="U257" s="425" t="s">
        <v>762</v>
      </c>
      <c r="V257" s="425">
        <f t="shared" si="247"/>
        <v>32.17</v>
      </c>
      <c r="W257" s="425">
        <f t="shared" si="247"/>
        <v>32.17</v>
      </c>
      <c r="X257" s="425">
        <f t="shared" si="209"/>
        <v>37.590000000000003</v>
      </c>
      <c r="Y257" s="425">
        <f t="shared" si="210"/>
        <v>39.06</v>
      </c>
      <c r="Z257" s="425">
        <f t="shared" si="211"/>
        <v>41.68</v>
      </c>
      <c r="AA257" s="425">
        <f t="shared" si="212"/>
        <v>43.17</v>
      </c>
      <c r="AB257" s="425">
        <f t="shared" si="213"/>
        <v>44.65</v>
      </c>
      <c r="AC257" s="425">
        <f t="shared" ref="AC257:AD257" si="256">$I749</f>
        <v>46.14</v>
      </c>
      <c r="AD257" s="425">
        <f t="shared" si="256"/>
        <v>46.14</v>
      </c>
      <c r="AE257" s="425" t="s">
        <v>762</v>
      </c>
      <c r="AF257" s="425" t="s">
        <v>762</v>
      </c>
      <c r="AG257" s="425">
        <f t="shared" si="230"/>
        <v>55.971000000000004</v>
      </c>
      <c r="AH257" s="425" t="s">
        <v>762</v>
      </c>
      <c r="AI257" s="425">
        <f t="shared" si="231"/>
        <v>74.628</v>
      </c>
      <c r="AJ257" s="425" t="s">
        <v>762</v>
      </c>
      <c r="AK257" s="425">
        <f t="shared" si="232"/>
        <v>93.284999999999997</v>
      </c>
      <c r="AL257" s="425">
        <f t="shared" si="233"/>
        <v>78.975000000000009</v>
      </c>
      <c r="AM257" s="425" t="s">
        <v>762</v>
      </c>
      <c r="AN257" s="425">
        <f t="shared" si="234"/>
        <v>92.137500000000017</v>
      </c>
      <c r="AO257" s="425" t="s">
        <v>762</v>
      </c>
      <c r="AP257" s="425">
        <f t="shared" si="235"/>
        <v>105.30000000000001</v>
      </c>
      <c r="AQ257" s="425" t="s">
        <v>762</v>
      </c>
      <c r="AR257" s="425">
        <f t="shared" si="236"/>
        <v>118.46250000000001</v>
      </c>
      <c r="AS257" s="425" t="s">
        <v>762</v>
      </c>
      <c r="AT257" s="425">
        <f t="shared" si="237"/>
        <v>143.23500000000001</v>
      </c>
      <c r="AU257" s="425" t="s">
        <v>762</v>
      </c>
      <c r="AV257" s="425" t="s">
        <v>762</v>
      </c>
      <c r="AW257" s="425" t="s">
        <v>762</v>
      </c>
      <c r="AX257" s="425" t="s">
        <v>762</v>
      </c>
      <c r="AY257" s="425" t="s">
        <v>762</v>
      </c>
      <c r="AZ257" s="425" t="s">
        <v>762</v>
      </c>
      <c r="BA257" s="425">
        <f t="shared" si="238"/>
        <v>188.42625000000001</v>
      </c>
      <c r="BB257" s="425" t="s">
        <v>762</v>
      </c>
      <c r="BC257" s="425" t="s">
        <v>762</v>
      </c>
      <c r="BD257" s="425" t="s">
        <v>762</v>
      </c>
      <c r="BE257" s="425" t="s">
        <v>762</v>
      </c>
      <c r="BF257" s="425">
        <f t="shared" si="239"/>
        <v>257.31</v>
      </c>
      <c r="BG257" s="425" t="s">
        <v>762</v>
      </c>
      <c r="BH257" s="425" t="s">
        <v>762</v>
      </c>
      <c r="BI257" s="425">
        <f t="shared" si="240"/>
        <v>321.63750000000005</v>
      </c>
      <c r="BJ257" s="425" t="s">
        <v>762</v>
      </c>
      <c r="BK257" s="425" t="s">
        <v>762</v>
      </c>
      <c r="BL257" s="425">
        <f t="shared" si="241"/>
        <v>385.96500000000003</v>
      </c>
      <c r="BM257" s="425" t="s">
        <v>762</v>
      </c>
      <c r="BN257" s="425" t="s">
        <v>762</v>
      </c>
      <c r="BO257" s="425" t="s">
        <v>762</v>
      </c>
      <c r="BP257" s="425" t="s">
        <v>762</v>
      </c>
      <c r="BQ257" s="425" t="s">
        <v>762</v>
      </c>
      <c r="BR257" s="425" t="s">
        <v>762</v>
      </c>
      <c r="BS257" s="425" t="s">
        <v>762</v>
      </c>
      <c r="BT257" s="425" t="s">
        <v>762</v>
      </c>
      <c r="BU257" s="425" t="s">
        <v>762</v>
      </c>
      <c r="BV257" s="425" t="s">
        <v>762</v>
      </c>
      <c r="BW257" s="425" t="s">
        <v>762</v>
      </c>
      <c r="BX257" s="425" t="s">
        <v>762</v>
      </c>
      <c r="BY257" s="425" t="s">
        <v>762</v>
      </c>
      <c r="BZ257" s="425" t="s">
        <v>762</v>
      </c>
      <c r="CA257" s="425" t="s">
        <v>762</v>
      </c>
      <c r="CB257" s="425" t="s">
        <v>762</v>
      </c>
      <c r="CC257" s="425" t="s">
        <v>762</v>
      </c>
      <c r="CD257" s="425" t="s">
        <v>762</v>
      </c>
      <c r="CE257" s="425" t="s">
        <v>762</v>
      </c>
      <c r="CF257" s="425" t="s">
        <v>762</v>
      </c>
      <c r="CG257" s="424" t="s">
        <v>762</v>
      </c>
      <c r="CH257" s="425">
        <f t="shared" si="215"/>
        <v>37.314</v>
      </c>
      <c r="CI257" s="425">
        <f t="shared" si="242"/>
        <v>26.325000000000003</v>
      </c>
      <c r="CJ257" s="425">
        <f t="shared" si="243"/>
        <v>28.647000000000002</v>
      </c>
      <c r="CK257" s="425">
        <f t="shared" si="244"/>
        <v>25.1235</v>
      </c>
      <c r="CL257" s="425">
        <f t="shared" si="245"/>
        <v>25.731000000000002</v>
      </c>
      <c r="CN257" s="438"/>
    </row>
    <row r="258" spans="1:92" s="426" customFormat="1">
      <c r="A258" s="424" t="s">
        <v>538</v>
      </c>
      <c r="B258" s="424" t="s">
        <v>630</v>
      </c>
      <c r="C258" s="425">
        <f t="shared" si="208"/>
        <v>40.24</v>
      </c>
      <c r="D258" s="425">
        <f t="shared" si="247"/>
        <v>40.24</v>
      </c>
      <c r="E258" s="425">
        <f t="shared" si="247"/>
        <v>40.24</v>
      </c>
      <c r="F258" s="425">
        <f t="shared" si="247"/>
        <v>40.24</v>
      </c>
      <c r="G258" s="425">
        <f t="shared" si="247"/>
        <v>40.24</v>
      </c>
      <c r="H258" s="425">
        <f t="shared" si="247"/>
        <v>40.24</v>
      </c>
      <c r="I258" s="425">
        <f t="shared" si="247"/>
        <v>40.24</v>
      </c>
      <c r="J258" s="425">
        <f t="shared" si="247"/>
        <v>40.24</v>
      </c>
      <c r="K258" s="425">
        <f t="shared" si="247"/>
        <v>40.24</v>
      </c>
      <c r="L258" s="425">
        <f t="shared" si="247"/>
        <v>40.24</v>
      </c>
      <c r="M258" s="425" t="s">
        <v>762</v>
      </c>
      <c r="N258" s="425" t="s">
        <v>762</v>
      </c>
      <c r="O258" s="425" t="s">
        <v>762</v>
      </c>
      <c r="P258" s="425" t="s">
        <v>762</v>
      </c>
      <c r="Q258" s="425" t="s">
        <v>762</v>
      </c>
      <c r="R258" s="425" t="s">
        <v>762</v>
      </c>
      <c r="S258" s="425" t="s">
        <v>762</v>
      </c>
      <c r="T258" s="425" t="s">
        <v>762</v>
      </c>
      <c r="U258" s="425" t="s">
        <v>762</v>
      </c>
      <c r="V258" s="425">
        <f t="shared" si="247"/>
        <v>40.24</v>
      </c>
      <c r="W258" s="425">
        <f t="shared" si="247"/>
        <v>40.24</v>
      </c>
      <c r="X258" s="425">
        <f t="shared" si="209"/>
        <v>46.99</v>
      </c>
      <c r="Y258" s="425">
        <f t="shared" si="210"/>
        <v>48.8</v>
      </c>
      <c r="Z258" s="425">
        <f t="shared" si="211"/>
        <v>52.12</v>
      </c>
      <c r="AA258" s="425">
        <f t="shared" si="212"/>
        <v>53.98</v>
      </c>
      <c r="AB258" s="425">
        <f t="shared" si="213"/>
        <v>55.85</v>
      </c>
      <c r="AC258" s="425">
        <f t="shared" ref="AC258:AD258" si="257">$I750</f>
        <v>57.68</v>
      </c>
      <c r="AD258" s="425">
        <f t="shared" si="257"/>
        <v>57.68</v>
      </c>
      <c r="AE258" s="425" t="s">
        <v>762</v>
      </c>
      <c r="AF258" s="425" t="s">
        <v>762</v>
      </c>
      <c r="AG258" s="425">
        <f t="shared" si="230"/>
        <v>69.903000000000006</v>
      </c>
      <c r="AH258" s="425" t="s">
        <v>762</v>
      </c>
      <c r="AI258" s="425">
        <f t="shared" si="231"/>
        <v>93.204000000000008</v>
      </c>
      <c r="AJ258" s="425" t="s">
        <v>762</v>
      </c>
      <c r="AK258" s="425">
        <f t="shared" si="232"/>
        <v>116.50500000000001</v>
      </c>
      <c r="AL258" s="425">
        <f t="shared" si="233"/>
        <v>98.69850000000001</v>
      </c>
      <c r="AM258" s="425" t="s">
        <v>762</v>
      </c>
      <c r="AN258" s="425">
        <f t="shared" si="234"/>
        <v>115.14825000000002</v>
      </c>
      <c r="AO258" s="425" t="s">
        <v>762</v>
      </c>
      <c r="AP258" s="425">
        <f t="shared" si="235"/>
        <v>131.59800000000001</v>
      </c>
      <c r="AQ258" s="425" t="s">
        <v>762</v>
      </c>
      <c r="AR258" s="425">
        <f t="shared" si="236"/>
        <v>148.04775000000001</v>
      </c>
      <c r="AS258" s="425" t="s">
        <v>762</v>
      </c>
      <c r="AT258" s="425">
        <f t="shared" si="237"/>
        <v>179.07750000000004</v>
      </c>
      <c r="AU258" s="425" t="s">
        <v>762</v>
      </c>
      <c r="AV258" s="425" t="s">
        <v>762</v>
      </c>
      <c r="AW258" s="425" t="s">
        <v>762</v>
      </c>
      <c r="AX258" s="425" t="s">
        <v>762</v>
      </c>
      <c r="AY258" s="425" t="s">
        <v>762</v>
      </c>
      <c r="AZ258" s="425" t="s">
        <v>762</v>
      </c>
      <c r="BA258" s="425">
        <f t="shared" si="238"/>
        <v>235.50750000000002</v>
      </c>
      <c r="BB258" s="425" t="s">
        <v>762</v>
      </c>
      <c r="BC258" s="425" t="s">
        <v>762</v>
      </c>
      <c r="BD258" s="425" t="s">
        <v>762</v>
      </c>
      <c r="BE258" s="425" t="s">
        <v>762</v>
      </c>
      <c r="BF258" s="425">
        <f t="shared" si="239"/>
        <v>321.70499999999998</v>
      </c>
      <c r="BG258" s="425" t="s">
        <v>762</v>
      </c>
      <c r="BH258" s="425" t="s">
        <v>762</v>
      </c>
      <c r="BI258" s="425">
        <f t="shared" si="240"/>
        <v>402.13124999999997</v>
      </c>
      <c r="BJ258" s="425" t="s">
        <v>762</v>
      </c>
      <c r="BK258" s="425" t="s">
        <v>762</v>
      </c>
      <c r="BL258" s="425">
        <f t="shared" si="241"/>
        <v>482.55749999999995</v>
      </c>
      <c r="BM258" s="425" t="s">
        <v>762</v>
      </c>
      <c r="BN258" s="425" t="s">
        <v>762</v>
      </c>
      <c r="BO258" s="425" t="s">
        <v>762</v>
      </c>
      <c r="BP258" s="425" t="s">
        <v>762</v>
      </c>
      <c r="BQ258" s="425" t="s">
        <v>762</v>
      </c>
      <c r="BR258" s="425" t="s">
        <v>762</v>
      </c>
      <c r="BS258" s="425" t="s">
        <v>762</v>
      </c>
      <c r="BT258" s="425" t="s">
        <v>762</v>
      </c>
      <c r="BU258" s="425" t="s">
        <v>762</v>
      </c>
      <c r="BV258" s="425" t="s">
        <v>762</v>
      </c>
      <c r="BW258" s="425" t="s">
        <v>762</v>
      </c>
      <c r="BX258" s="425" t="s">
        <v>762</v>
      </c>
      <c r="BY258" s="425" t="s">
        <v>762</v>
      </c>
      <c r="BZ258" s="425" t="s">
        <v>762</v>
      </c>
      <c r="CA258" s="425" t="s">
        <v>762</v>
      </c>
      <c r="CB258" s="425" t="s">
        <v>762</v>
      </c>
      <c r="CC258" s="425" t="s">
        <v>762</v>
      </c>
      <c r="CD258" s="425" t="s">
        <v>762</v>
      </c>
      <c r="CE258" s="425" t="s">
        <v>762</v>
      </c>
      <c r="CF258" s="425" t="s">
        <v>762</v>
      </c>
      <c r="CG258" s="424" t="s">
        <v>762</v>
      </c>
      <c r="CH258" s="425">
        <f t="shared" si="215"/>
        <v>46.602000000000004</v>
      </c>
      <c r="CI258" s="425">
        <f t="shared" si="242"/>
        <v>32.899500000000003</v>
      </c>
      <c r="CJ258" s="425">
        <f t="shared" si="243"/>
        <v>35.815500000000007</v>
      </c>
      <c r="CK258" s="425">
        <f t="shared" si="244"/>
        <v>31.401000000000003</v>
      </c>
      <c r="CL258" s="425">
        <f t="shared" si="245"/>
        <v>32.170499999999997</v>
      </c>
      <c r="CN258" s="438"/>
    </row>
    <row r="259" spans="1:92" s="426" customFormat="1">
      <c r="A259" s="424" t="s">
        <v>539</v>
      </c>
      <c r="B259" s="424" t="s">
        <v>630</v>
      </c>
      <c r="C259" s="425">
        <f t="shared" si="208"/>
        <v>43.83</v>
      </c>
      <c r="D259" s="425">
        <f t="shared" si="247"/>
        <v>43.83</v>
      </c>
      <c r="E259" s="425">
        <f t="shared" si="247"/>
        <v>43.83</v>
      </c>
      <c r="F259" s="425">
        <f t="shared" si="247"/>
        <v>43.83</v>
      </c>
      <c r="G259" s="425">
        <f t="shared" si="247"/>
        <v>43.83</v>
      </c>
      <c r="H259" s="425">
        <f t="shared" si="247"/>
        <v>43.83</v>
      </c>
      <c r="I259" s="425">
        <f t="shared" si="247"/>
        <v>43.83</v>
      </c>
      <c r="J259" s="425">
        <f t="shared" si="247"/>
        <v>43.83</v>
      </c>
      <c r="K259" s="425">
        <f t="shared" si="247"/>
        <v>43.83</v>
      </c>
      <c r="L259" s="425">
        <f t="shared" si="247"/>
        <v>43.83</v>
      </c>
      <c r="M259" s="425" t="s">
        <v>762</v>
      </c>
      <c r="N259" s="425" t="s">
        <v>762</v>
      </c>
      <c r="O259" s="425" t="s">
        <v>762</v>
      </c>
      <c r="P259" s="425" t="s">
        <v>762</v>
      </c>
      <c r="Q259" s="425" t="s">
        <v>762</v>
      </c>
      <c r="R259" s="425" t="s">
        <v>762</v>
      </c>
      <c r="S259" s="425" t="s">
        <v>762</v>
      </c>
      <c r="T259" s="425" t="s">
        <v>762</v>
      </c>
      <c r="U259" s="425" t="s">
        <v>762</v>
      </c>
      <c r="V259" s="425">
        <f t="shared" si="247"/>
        <v>43.83</v>
      </c>
      <c r="W259" s="425">
        <f t="shared" si="247"/>
        <v>43.83</v>
      </c>
      <c r="X259" s="425">
        <f t="shared" si="209"/>
        <v>51.23</v>
      </c>
      <c r="Y259" s="425">
        <f t="shared" si="210"/>
        <v>53.2</v>
      </c>
      <c r="Z259" s="425">
        <f t="shared" si="211"/>
        <v>58.16</v>
      </c>
      <c r="AA259" s="425">
        <f t="shared" si="212"/>
        <v>60.22</v>
      </c>
      <c r="AB259" s="425">
        <f t="shared" si="213"/>
        <v>62.31</v>
      </c>
      <c r="AC259" s="425">
        <f t="shared" ref="AC259:AD259" si="258">$I751</f>
        <v>64.39</v>
      </c>
      <c r="AD259" s="425">
        <f t="shared" si="258"/>
        <v>64.39</v>
      </c>
      <c r="AE259" s="425" t="s">
        <v>762</v>
      </c>
      <c r="AF259" s="425" t="s">
        <v>762</v>
      </c>
      <c r="AG259" s="425">
        <f t="shared" si="230"/>
        <v>78.023250000000004</v>
      </c>
      <c r="AH259" s="425" t="s">
        <v>762</v>
      </c>
      <c r="AI259" s="425">
        <f t="shared" si="231"/>
        <v>104.03100000000001</v>
      </c>
      <c r="AJ259" s="425" t="s">
        <v>762</v>
      </c>
      <c r="AK259" s="425">
        <f t="shared" si="232"/>
        <v>130.03874999999999</v>
      </c>
      <c r="AL259" s="425">
        <f t="shared" si="233"/>
        <v>110.16</v>
      </c>
      <c r="AM259" s="425" t="s">
        <v>762</v>
      </c>
      <c r="AN259" s="425">
        <f t="shared" si="234"/>
        <v>128.51999999999998</v>
      </c>
      <c r="AO259" s="425" t="s">
        <v>762</v>
      </c>
      <c r="AP259" s="425">
        <f t="shared" si="235"/>
        <v>146.88</v>
      </c>
      <c r="AQ259" s="425" t="s">
        <v>762</v>
      </c>
      <c r="AR259" s="425">
        <f t="shared" si="236"/>
        <v>165.24</v>
      </c>
      <c r="AS259" s="425" t="s">
        <v>762</v>
      </c>
      <c r="AT259" s="425">
        <f t="shared" si="237"/>
        <v>199.80000000000004</v>
      </c>
      <c r="AU259" s="425" t="s">
        <v>762</v>
      </c>
      <c r="AV259" s="425" t="s">
        <v>762</v>
      </c>
      <c r="AW259" s="425" t="s">
        <v>762</v>
      </c>
      <c r="AX259" s="425" t="s">
        <v>762</v>
      </c>
      <c r="AY259" s="425" t="s">
        <v>762</v>
      </c>
      <c r="AZ259" s="425" t="s">
        <v>762</v>
      </c>
      <c r="BA259" s="425">
        <f t="shared" si="238"/>
        <v>262.84500000000003</v>
      </c>
      <c r="BB259" s="425" t="s">
        <v>762</v>
      </c>
      <c r="BC259" s="425" t="s">
        <v>762</v>
      </c>
      <c r="BD259" s="425" t="s">
        <v>762</v>
      </c>
      <c r="BE259" s="425" t="s">
        <v>762</v>
      </c>
      <c r="BF259" s="425">
        <f t="shared" si="239"/>
        <v>358.83000000000004</v>
      </c>
      <c r="BG259" s="425" t="s">
        <v>762</v>
      </c>
      <c r="BH259" s="425" t="s">
        <v>762</v>
      </c>
      <c r="BI259" s="425">
        <f t="shared" si="240"/>
        <v>448.53750000000002</v>
      </c>
      <c r="BJ259" s="425" t="s">
        <v>762</v>
      </c>
      <c r="BK259" s="425" t="s">
        <v>762</v>
      </c>
      <c r="BL259" s="425">
        <f t="shared" si="241"/>
        <v>538.245</v>
      </c>
      <c r="BM259" s="425" t="s">
        <v>762</v>
      </c>
      <c r="BN259" s="425" t="s">
        <v>762</v>
      </c>
      <c r="BO259" s="425" t="s">
        <v>762</v>
      </c>
      <c r="BP259" s="425" t="s">
        <v>762</v>
      </c>
      <c r="BQ259" s="425" t="s">
        <v>762</v>
      </c>
      <c r="BR259" s="425" t="s">
        <v>762</v>
      </c>
      <c r="BS259" s="425" t="s">
        <v>762</v>
      </c>
      <c r="BT259" s="425" t="s">
        <v>762</v>
      </c>
      <c r="BU259" s="425" t="s">
        <v>762</v>
      </c>
      <c r="BV259" s="425" t="s">
        <v>762</v>
      </c>
      <c r="BW259" s="425" t="s">
        <v>762</v>
      </c>
      <c r="BX259" s="425" t="s">
        <v>762</v>
      </c>
      <c r="BY259" s="425" t="s">
        <v>762</v>
      </c>
      <c r="BZ259" s="425" t="s">
        <v>762</v>
      </c>
      <c r="CA259" s="425" t="s">
        <v>762</v>
      </c>
      <c r="CB259" s="425" t="s">
        <v>762</v>
      </c>
      <c r="CC259" s="425" t="s">
        <v>762</v>
      </c>
      <c r="CD259" s="425" t="s">
        <v>762</v>
      </c>
      <c r="CE259" s="425" t="s">
        <v>762</v>
      </c>
      <c r="CF259" s="425" t="s">
        <v>762</v>
      </c>
      <c r="CG259" s="424" t="s">
        <v>762</v>
      </c>
      <c r="CH259" s="425">
        <f t="shared" si="215"/>
        <v>52.015500000000003</v>
      </c>
      <c r="CI259" s="425">
        <f t="shared" si="242"/>
        <v>36.72</v>
      </c>
      <c r="CJ259" s="425">
        <f t="shared" si="243"/>
        <v>39.960000000000008</v>
      </c>
      <c r="CK259" s="425">
        <f t="shared" si="244"/>
        <v>35.046000000000006</v>
      </c>
      <c r="CL259" s="425">
        <f t="shared" si="245"/>
        <v>35.883000000000003</v>
      </c>
      <c r="CN259" s="438"/>
    </row>
    <row r="260" spans="1:92" s="426" customFormat="1">
      <c r="A260" s="424" t="s">
        <v>540</v>
      </c>
      <c r="B260" s="424" t="s">
        <v>630</v>
      </c>
      <c r="C260" s="425">
        <f t="shared" si="208"/>
        <v>43.07</v>
      </c>
      <c r="D260" s="425">
        <f t="shared" si="247"/>
        <v>43.07</v>
      </c>
      <c r="E260" s="425">
        <f t="shared" si="247"/>
        <v>43.07</v>
      </c>
      <c r="F260" s="425">
        <f t="shared" si="247"/>
        <v>43.07</v>
      </c>
      <c r="G260" s="425">
        <f t="shared" si="247"/>
        <v>43.07</v>
      </c>
      <c r="H260" s="425">
        <f t="shared" si="247"/>
        <v>43.07</v>
      </c>
      <c r="I260" s="425">
        <f t="shared" si="247"/>
        <v>43.07</v>
      </c>
      <c r="J260" s="425">
        <f t="shared" si="247"/>
        <v>43.07</v>
      </c>
      <c r="K260" s="425">
        <f t="shared" si="247"/>
        <v>43.07</v>
      </c>
      <c r="L260" s="425">
        <f t="shared" si="247"/>
        <v>43.07</v>
      </c>
      <c r="M260" s="425" t="s">
        <v>762</v>
      </c>
      <c r="N260" s="425" t="s">
        <v>762</v>
      </c>
      <c r="O260" s="425" t="s">
        <v>762</v>
      </c>
      <c r="P260" s="425" t="s">
        <v>762</v>
      </c>
      <c r="Q260" s="425" t="s">
        <v>762</v>
      </c>
      <c r="R260" s="425" t="s">
        <v>762</v>
      </c>
      <c r="S260" s="425" t="s">
        <v>762</v>
      </c>
      <c r="T260" s="425" t="s">
        <v>762</v>
      </c>
      <c r="U260" s="425" t="s">
        <v>762</v>
      </c>
      <c r="V260" s="425">
        <f t="shared" si="247"/>
        <v>43.07</v>
      </c>
      <c r="W260" s="425">
        <f t="shared" si="247"/>
        <v>43.07</v>
      </c>
      <c r="X260" s="425">
        <f t="shared" si="209"/>
        <v>50.32</v>
      </c>
      <c r="Y260" s="425">
        <f t="shared" si="210"/>
        <v>52.25</v>
      </c>
      <c r="Z260" s="425">
        <f t="shared" si="211"/>
        <v>57.27</v>
      </c>
      <c r="AA260" s="425">
        <f t="shared" si="212"/>
        <v>59.31</v>
      </c>
      <c r="AB260" s="425">
        <f t="shared" si="213"/>
        <v>61.32</v>
      </c>
      <c r="AC260" s="425">
        <f t="shared" ref="AC260:AD260" si="259">$I752</f>
        <v>63.39</v>
      </c>
      <c r="AD260" s="425">
        <f t="shared" si="259"/>
        <v>63.39</v>
      </c>
      <c r="AE260" s="425" t="s">
        <v>762</v>
      </c>
      <c r="AF260" s="425" t="s">
        <v>762</v>
      </c>
      <c r="AG260" s="425">
        <f t="shared" si="230"/>
        <v>76.808250000000001</v>
      </c>
      <c r="AH260" s="425" t="s">
        <v>762</v>
      </c>
      <c r="AI260" s="425">
        <f t="shared" si="231"/>
        <v>102.411</v>
      </c>
      <c r="AJ260" s="425" t="s">
        <v>762</v>
      </c>
      <c r="AK260" s="425">
        <f t="shared" si="232"/>
        <v>128.01375000000002</v>
      </c>
      <c r="AL260" s="425">
        <f t="shared" si="233"/>
        <v>108.41850000000002</v>
      </c>
      <c r="AM260" s="425" t="s">
        <v>762</v>
      </c>
      <c r="AN260" s="425">
        <f t="shared" si="234"/>
        <v>126.48825000000002</v>
      </c>
      <c r="AO260" s="425" t="s">
        <v>762</v>
      </c>
      <c r="AP260" s="425">
        <f t="shared" si="235"/>
        <v>144.55800000000002</v>
      </c>
      <c r="AQ260" s="425" t="s">
        <v>762</v>
      </c>
      <c r="AR260" s="425">
        <f t="shared" si="236"/>
        <v>162.62775000000002</v>
      </c>
      <c r="AS260" s="425" t="s">
        <v>762</v>
      </c>
      <c r="AT260" s="425">
        <f t="shared" si="237"/>
        <v>196.82999999999998</v>
      </c>
      <c r="AU260" s="425" t="s">
        <v>762</v>
      </c>
      <c r="AV260" s="425" t="s">
        <v>762</v>
      </c>
      <c r="AW260" s="425" t="s">
        <v>762</v>
      </c>
      <c r="AX260" s="425" t="s">
        <v>762</v>
      </c>
      <c r="AY260" s="425" t="s">
        <v>762</v>
      </c>
      <c r="AZ260" s="425" t="s">
        <v>762</v>
      </c>
      <c r="BA260" s="425">
        <f t="shared" si="238"/>
        <v>258.79500000000002</v>
      </c>
      <c r="BB260" s="425" t="s">
        <v>762</v>
      </c>
      <c r="BC260" s="425" t="s">
        <v>762</v>
      </c>
      <c r="BD260" s="425" t="s">
        <v>762</v>
      </c>
      <c r="BE260" s="425" t="s">
        <v>762</v>
      </c>
      <c r="BF260" s="425">
        <f t="shared" si="239"/>
        <v>353.43000000000006</v>
      </c>
      <c r="BG260" s="425" t="s">
        <v>762</v>
      </c>
      <c r="BH260" s="425" t="s">
        <v>762</v>
      </c>
      <c r="BI260" s="425">
        <f t="shared" si="240"/>
        <v>441.78750000000002</v>
      </c>
      <c r="BJ260" s="425" t="s">
        <v>762</v>
      </c>
      <c r="BK260" s="425" t="s">
        <v>762</v>
      </c>
      <c r="BL260" s="425">
        <f t="shared" si="241"/>
        <v>530.1450000000001</v>
      </c>
      <c r="BM260" s="425" t="s">
        <v>762</v>
      </c>
      <c r="BN260" s="425" t="s">
        <v>762</v>
      </c>
      <c r="BO260" s="425" t="s">
        <v>762</v>
      </c>
      <c r="BP260" s="425" t="s">
        <v>762</v>
      </c>
      <c r="BQ260" s="425" t="s">
        <v>762</v>
      </c>
      <c r="BR260" s="425" t="s">
        <v>762</v>
      </c>
      <c r="BS260" s="425" t="s">
        <v>762</v>
      </c>
      <c r="BT260" s="425" t="s">
        <v>762</v>
      </c>
      <c r="BU260" s="425" t="s">
        <v>762</v>
      </c>
      <c r="BV260" s="425" t="s">
        <v>762</v>
      </c>
      <c r="BW260" s="425" t="s">
        <v>762</v>
      </c>
      <c r="BX260" s="425" t="s">
        <v>762</v>
      </c>
      <c r="BY260" s="425" t="s">
        <v>762</v>
      </c>
      <c r="BZ260" s="425" t="s">
        <v>762</v>
      </c>
      <c r="CA260" s="425" t="s">
        <v>762</v>
      </c>
      <c r="CB260" s="425" t="s">
        <v>762</v>
      </c>
      <c r="CC260" s="425" t="s">
        <v>762</v>
      </c>
      <c r="CD260" s="425" t="s">
        <v>762</v>
      </c>
      <c r="CE260" s="425" t="s">
        <v>762</v>
      </c>
      <c r="CF260" s="425" t="s">
        <v>762</v>
      </c>
      <c r="CG260" s="424" t="s">
        <v>762</v>
      </c>
      <c r="CH260" s="425">
        <f t="shared" si="215"/>
        <v>51.205500000000001</v>
      </c>
      <c r="CI260" s="425">
        <f t="shared" si="242"/>
        <v>36.139500000000005</v>
      </c>
      <c r="CJ260" s="425">
        <f t="shared" si="243"/>
        <v>39.366</v>
      </c>
      <c r="CK260" s="425">
        <f t="shared" si="244"/>
        <v>34.506</v>
      </c>
      <c r="CL260" s="425">
        <f t="shared" si="245"/>
        <v>35.343000000000004</v>
      </c>
      <c r="CN260" s="438"/>
    </row>
    <row r="261" spans="1:92" s="426" customFormat="1">
      <c r="A261" s="424" t="s">
        <v>541</v>
      </c>
      <c r="B261" s="424" t="s">
        <v>630</v>
      </c>
      <c r="C261" s="425">
        <f t="shared" si="208"/>
        <v>45.33</v>
      </c>
      <c r="D261" s="425">
        <f t="shared" si="247"/>
        <v>45.33</v>
      </c>
      <c r="E261" s="425">
        <f t="shared" si="247"/>
        <v>45.33</v>
      </c>
      <c r="F261" s="425">
        <f t="shared" si="247"/>
        <v>45.33</v>
      </c>
      <c r="G261" s="425">
        <f t="shared" si="247"/>
        <v>45.33</v>
      </c>
      <c r="H261" s="425">
        <f t="shared" si="247"/>
        <v>45.33</v>
      </c>
      <c r="I261" s="425">
        <f t="shared" si="247"/>
        <v>45.33</v>
      </c>
      <c r="J261" s="425">
        <f t="shared" si="247"/>
        <v>45.33</v>
      </c>
      <c r="K261" s="425">
        <f t="shared" si="247"/>
        <v>45.33</v>
      </c>
      <c r="L261" s="425">
        <f t="shared" si="247"/>
        <v>45.33</v>
      </c>
      <c r="M261" s="425" t="s">
        <v>762</v>
      </c>
      <c r="N261" s="425" t="s">
        <v>762</v>
      </c>
      <c r="O261" s="425" t="s">
        <v>762</v>
      </c>
      <c r="P261" s="425" t="s">
        <v>762</v>
      </c>
      <c r="Q261" s="425" t="s">
        <v>762</v>
      </c>
      <c r="R261" s="425" t="s">
        <v>762</v>
      </c>
      <c r="S261" s="425" t="s">
        <v>762</v>
      </c>
      <c r="T261" s="425" t="s">
        <v>762</v>
      </c>
      <c r="U261" s="425" t="s">
        <v>762</v>
      </c>
      <c r="V261" s="425">
        <f t="shared" si="247"/>
        <v>45.33</v>
      </c>
      <c r="W261" s="425">
        <f t="shared" si="247"/>
        <v>45.33</v>
      </c>
      <c r="X261" s="425">
        <f t="shared" si="209"/>
        <v>52.97</v>
      </c>
      <c r="Y261" s="425">
        <f t="shared" si="210"/>
        <v>55</v>
      </c>
      <c r="Z261" s="425">
        <f t="shared" si="211"/>
        <v>60.49</v>
      </c>
      <c r="AA261" s="425">
        <f t="shared" si="212"/>
        <v>62.63</v>
      </c>
      <c r="AB261" s="425">
        <f t="shared" si="213"/>
        <v>64.8</v>
      </c>
      <c r="AC261" s="425">
        <f t="shared" ref="AC261:AD261" si="260">$I753</f>
        <v>66.97</v>
      </c>
      <c r="AD261" s="425">
        <f t="shared" si="260"/>
        <v>66.97</v>
      </c>
      <c r="AE261" s="425" t="s">
        <v>762</v>
      </c>
      <c r="AF261" s="425" t="s">
        <v>762</v>
      </c>
      <c r="AG261" s="425">
        <f t="shared" si="230"/>
        <v>81.141750000000002</v>
      </c>
      <c r="AH261" s="425" t="s">
        <v>762</v>
      </c>
      <c r="AI261" s="425">
        <f t="shared" si="231"/>
        <v>108.18900000000001</v>
      </c>
      <c r="AJ261" s="425" t="s">
        <v>762</v>
      </c>
      <c r="AK261" s="425">
        <f t="shared" si="232"/>
        <v>135.23625000000001</v>
      </c>
      <c r="AL261" s="425">
        <f t="shared" si="233"/>
        <v>114.49350000000001</v>
      </c>
      <c r="AM261" s="425" t="s">
        <v>762</v>
      </c>
      <c r="AN261" s="425">
        <f t="shared" si="234"/>
        <v>133.57575000000003</v>
      </c>
      <c r="AO261" s="425" t="s">
        <v>762</v>
      </c>
      <c r="AP261" s="425">
        <f t="shared" si="235"/>
        <v>152.65800000000002</v>
      </c>
      <c r="AQ261" s="425" t="s">
        <v>762</v>
      </c>
      <c r="AR261" s="425">
        <f t="shared" si="236"/>
        <v>171.74025</v>
      </c>
      <c r="AS261" s="425" t="s">
        <v>762</v>
      </c>
      <c r="AT261" s="425">
        <f t="shared" si="237"/>
        <v>207.83250000000004</v>
      </c>
      <c r="AU261" s="425" t="s">
        <v>762</v>
      </c>
      <c r="AV261" s="425" t="s">
        <v>762</v>
      </c>
      <c r="AW261" s="425" t="s">
        <v>762</v>
      </c>
      <c r="AX261" s="425" t="s">
        <v>762</v>
      </c>
      <c r="AY261" s="425" t="s">
        <v>762</v>
      </c>
      <c r="AZ261" s="425" t="s">
        <v>762</v>
      </c>
      <c r="BA261" s="425">
        <f t="shared" si="238"/>
        <v>273.47625000000005</v>
      </c>
      <c r="BB261" s="425" t="s">
        <v>762</v>
      </c>
      <c r="BC261" s="425" t="s">
        <v>762</v>
      </c>
      <c r="BD261" s="425" t="s">
        <v>762</v>
      </c>
      <c r="BE261" s="425" t="s">
        <v>762</v>
      </c>
      <c r="BF261" s="425">
        <f t="shared" si="239"/>
        <v>373.27499999999998</v>
      </c>
      <c r="BG261" s="425" t="s">
        <v>762</v>
      </c>
      <c r="BH261" s="425" t="s">
        <v>762</v>
      </c>
      <c r="BI261" s="425">
        <f t="shared" si="240"/>
        <v>466.59375</v>
      </c>
      <c r="BJ261" s="425" t="s">
        <v>762</v>
      </c>
      <c r="BK261" s="425" t="s">
        <v>762</v>
      </c>
      <c r="BL261" s="425">
        <f t="shared" si="241"/>
        <v>559.91250000000002</v>
      </c>
      <c r="BM261" s="425" t="s">
        <v>762</v>
      </c>
      <c r="BN261" s="425" t="s">
        <v>762</v>
      </c>
      <c r="BO261" s="425" t="s">
        <v>762</v>
      </c>
      <c r="BP261" s="425" t="s">
        <v>762</v>
      </c>
      <c r="BQ261" s="425" t="s">
        <v>762</v>
      </c>
      <c r="BR261" s="425" t="s">
        <v>762</v>
      </c>
      <c r="BS261" s="425" t="s">
        <v>762</v>
      </c>
      <c r="BT261" s="425" t="s">
        <v>762</v>
      </c>
      <c r="BU261" s="425" t="s">
        <v>762</v>
      </c>
      <c r="BV261" s="425" t="s">
        <v>762</v>
      </c>
      <c r="BW261" s="425" t="s">
        <v>762</v>
      </c>
      <c r="BX261" s="425" t="s">
        <v>762</v>
      </c>
      <c r="BY261" s="425" t="s">
        <v>762</v>
      </c>
      <c r="BZ261" s="425" t="s">
        <v>762</v>
      </c>
      <c r="CA261" s="425" t="s">
        <v>762</v>
      </c>
      <c r="CB261" s="425" t="s">
        <v>762</v>
      </c>
      <c r="CC261" s="425" t="s">
        <v>762</v>
      </c>
      <c r="CD261" s="425" t="s">
        <v>762</v>
      </c>
      <c r="CE261" s="425" t="s">
        <v>762</v>
      </c>
      <c r="CF261" s="425" t="s">
        <v>762</v>
      </c>
      <c r="CG261" s="424" t="s">
        <v>762</v>
      </c>
      <c r="CH261" s="425">
        <f t="shared" si="215"/>
        <v>54.094500000000004</v>
      </c>
      <c r="CI261" s="425">
        <f t="shared" si="242"/>
        <v>38.164500000000004</v>
      </c>
      <c r="CJ261" s="425">
        <f t="shared" si="243"/>
        <v>41.566500000000005</v>
      </c>
      <c r="CK261" s="425">
        <f t="shared" si="244"/>
        <v>36.463500000000003</v>
      </c>
      <c r="CL261" s="425">
        <f t="shared" si="245"/>
        <v>37.327500000000001</v>
      </c>
      <c r="CN261" s="438"/>
    </row>
    <row r="262" spans="1:92" s="426" customFormat="1">
      <c r="A262" s="424" t="s">
        <v>542</v>
      </c>
      <c r="B262" s="424" t="s">
        <v>630</v>
      </c>
      <c r="C262" s="425">
        <f t="shared" si="208"/>
        <v>50.46</v>
      </c>
      <c r="D262" s="425">
        <f t="shared" si="247"/>
        <v>50.46</v>
      </c>
      <c r="E262" s="425">
        <f t="shared" si="247"/>
        <v>50.46</v>
      </c>
      <c r="F262" s="425">
        <f t="shared" si="247"/>
        <v>50.46</v>
      </c>
      <c r="G262" s="425">
        <f t="shared" si="247"/>
        <v>50.46</v>
      </c>
      <c r="H262" s="425">
        <f t="shared" si="247"/>
        <v>50.46</v>
      </c>
      <c r="I262" s="425">
        <f t="shared" si="247"/>
        <v>50.46</v>
      </c>
      <c r="J262" s="425">
        <f t="shared" si="247"/>
        <v>50.46</v>
      </c>
      <c r="K262" s="425">
        <f t="shared" si="247"/>
        <v>50.46</v>
      </c>
      <c r="L262" s="425">
        <f t="shared" si="247"/>
        <v>50.46</v>
      </c>
      <c r="M262" s="425" t="s">
        <v>762</v>
      </c>
      <c r="N262" s="425" t="s">
        <v>762</v>
      </c>
      <c r="O262" s="425" t="s">
        <v>762</v>
      </c>
      <c r="P262" s="425" t="s">
        <v>762</v>
      </c>
      <c r="Q262" s="425" t="s">
        <v>762</v>
      </c>
      <c r="R262" s="425" t="s">
        <v>762</v>
      </c>
      <c r="S262" s="425" t="s">
        <v>762</v>
      </c>
      <c r="T262" s="425" t="s">
        <v>762</v>
      </c>
      <c r="U262" s="425" t="s">
        <v>762</v>
      </c>
      <c r="V262" s="425">
        <f t="shared" si="247"/>
        <v>50.46</v>
      </c>
      <c r="W262" s="425">
        <f t="shared" si="247"/>
        <v>50.46</v>
      </c>
      <c r="X262" s="425">
        <f t="shared" si="209"/>
        <v>58.96</v>
      </c>
      <c r="Y262" s="425">
        <f t="shared" si="210"/>
        <v>61.25</v>
      </c>
      <c r="Z262" s="425">
        <f t="shared" si="211"/>
        <v>67.84</v>
      </c>
      <c r="AA262" s="425">
        <f t="shared" si="212"/>
        <v>70.28</v>
      </c>
      <c r="AB262" s="425">
        <f t="shared" si="213"/>
        <v>72.69</v>
      </c>
      <c r="AC262" s="425">
        <f t="shared" ref="AC262:AD262" si="261">$I754</f>
        <v>75.11</v>
      </c>
      <c r="AD262" s="425">
        <f t="shared" si="261"/>
        <v>75.11</v>
      </c>
      <c r="AE262" s="425" t="s">
        <v>762</v>
      </c>
      <c r="AF262" s="425" t="s">
        <v>762</v>
      </c>
      <c r="AG262" s="425">
        <f t="shared" si="230"/>
        <v>91.044000000000011</v>
      </c>
      <c r="AH262" s="425" t="s">
        <v>762</v>
      </c>
      <c r="AI262" s="425">
        <f t="shared" si="231"/>
        <v>121.39200000000001</v>
      </c>
      <c r="AJ262" s="425" t="s">
        <v>762</v>
      </c>
      <c r="AK262" s="425">
        <f t="shared" si="232"/>
        <v>151.74</v>
      </c>
      <c r="AL262" s="425">
        <f t="shared" si="233"/>
        <v>128.46600000000001</v>
      </c>
      <c r="AM262" s="425" t="s">
        <v>762</v>
      </c>
      <c r="AN262" s="425">
        <f t="shared" si="234"/>
        <v>149.87700000000001</v>
      </c>
      <c r="AO262" s="425" t="s">
        <v>762</v>
      </c>
      <c r="AP262" s="425">
        <f t="shared" si="235"/>
        <v>171.28800000000001</v>
      </c>
      <c r="AQ262" s="425" t="s">
        <v>762</v>
      </c>
      <c r="AR262" s="425">
        <f t="shared" si="236"/>
        <v>192.69900000000001</v>
      </c>
      <c r="AS262" s="425" t="s">
        <v>762</v>
      </c>
      <c r="AT262" s="425">
        <f t="shared" si="237"/>
        <v>233.21249999999998</v>
      </c>
      <c r="AU262" s="425" t="s">
        <v>762</v>
      </c>
      <c r="AV262" s="425" t="s">
        <v>762</v>
      </c>
      <c r="AW262" s="425" t="s">
        <v>762</v>
      </c>
      <c r="AX262" s="425" t="s">
        <v>762</v>
      </c>
      <c r="AY262" s="425" t="s">
        <v>762</v>
      </c>
      <c r="AZ262" s="425" t="s">
        <v>762</v>
      </c>
      <c r="BA262" s="425">
        <f t="shared" si="238"/>
        <v>306.58500000000004</v>
      </c>
      <c r="BB262" s="425" t="s">
        <v>762</v>
      </c>
      <c r="BC262" s="425" t="s">
        <v>762</v>
      </c>
      <c r="BD262" s="425" t="s">
        <v>762</v>
      </c>
      <c r="BE262" s="425" t="s">
        <v>762</v>
      </c>
      <c r="BF262" s="425">
        <f t="shared" si="239"/>
        <v>418.77000000000004</v>
      </c>
      <c r="BG262" s="425" t="s">
        <v>762</v>
      </c>
      <c r="BH262" s="425" t="s">
        <v>762</v>
      </c>
      <c r="BI262" s="425">
        <f t="shared" si="240"/>
        <v>523.46249999999998</v>
      </c>
      <c r="BJ262" s="425" t="s">
        <v>762</v>
      </c>
      <c r="BK262" s="425" t="s">
        <v>762</v>
      </c>
      <c r="BL262" s="425">
        <f t="shared" si="241"/>
        <v>628.15500000000009</v>
      </c>
      <c r="BM262" s="425" t="s">
        <v>762</v>
      </c>
      <c r="BN262" s="425" t="s">
        <v>762</v>
      </c>
      <c r="BO262" s="425" t="s">
        <v>762</v>
      </c>
      <c r="BP262" s="425" t="s">
        <v>762</v>
      </c>
      <c r="BQ262" s="425" t="s">
        <v>762</v>
      </c>
      <c r="BR262" s="425" t="s">
        <v>762</v>
      </c>
      <c r="BS262" s="425" t="s">
        <v>762</v>
      </c>
      <c r="BT262" s="425" t="s">
        <v>762</v>
      </c>
      <c r="BU262" s="425" t="s">
        <v>762</v>
      </c>
      <c r="BV262" s="425" t="s">
        <v>762</v>
      </c>
      <c r="BW262" s="425" t="s">
        <v>762</v>
      </c>
      <c r="BX262" s="425" t="s">
        <v>762</v>
      </c>
      <c r="BY262" s="425" t="s">
        <v>762</v>
      </c>
      <c r="BZ262" s="425" t="s">
        <v>762</v>
      </c>
      <c r="CA262" s="425" t="s">
        <v>762</v>
      </c>
      <c r="CB262" s="425" t="s">
        <v>762</v>
      </c>
      <c r="CC262" s="425" t="s">
        <v>762</v>
      </c>
      <c r="CD262" s="425" t="s">
        <v>762</v>
      </c>
      <c r="CE262" s="425" t="s">
        <v>762</v>
      </c>
      <c r="CF262" s="425" t="s">
        <v>762</v>
      </c>
      <c r="CG262" s="424" t="s">
        <v>762</v>
      </c>
      <c r="CH262" s="425">
        <f t="shared" si="215"/>
        <v>60.696000000000005</v>
      </c>
      <c r="CI262" s="425">
        <f t="shared" si="242"/>
        <v>42.822000000000003</v>
      </c>
      <c r="CJ262" s="425">
        <f t="shared" si="243"/>
        <v>46.642499999999998</v>
      </c>
      <c r="CK262" s="425">
        <f t="shared" si="244"/>
        <v>40.878000000000007</v>
      </c>
      <c r="CL262" s="425">
        <f t="shared" si="245"/>
        <v>41.877000000000002</v>
      </c>
      <c r="CN262" s="438"/>
    </row>
    <row r="263" spans="1:92" s="426" customFormat="1">
      <c r="A263" s="424" t="s">
        <v>543</v>
      </c>
      <c r="B263" s="424" t="s">
        <v>630</v>
      </c>
      <c r="C263" s="425">
        <f t="shared" si="208"/>
        <v>29.89</v>
      </c>
      <c r="D263" s="425">
        <f t="shared" si="247"/>
        <v>29.89</v>
      </c>
      <c r="E263" s="425">
        <f t="shared" si="247"/>
        <v>29.89</v>
      </c>
      <c r="F263" s="425">
        <f t="shared" si="247"/>
        <v>29.89</v>
      </c>
      <c r="G263" s="425">
        <f t="shared" si="247"/>
        <v>29.89</v>
      </c>
      <c r="H263" s="425">
        <f t="shared" si="247"/>
        <v>29.89</v>
      </c>
      <c r="I263" s="425">
        <f t="shared" si="247"/>
        <v>29.89</v>
      </c>
      <c r="J263" s="425">
        <f t="shared" si="247"/>
        <v>29.89</v>
      </c>
      <c r="K263" s="425">
        <f t="shared" si="247"/>
        <v>29.89</v>
      </c>
      <c r="L263" s="425">
        <f t="shared" si="247"/>
        <v>29.89</v>
      </c>
      <c r="M263" s="425" t="s">
        <v>762</v>
      </c>
      <c r="N263" s="425" t="s">
        <v>762</v>
      </c>
      <c r="O263" s="425" t="s">
        <v>762</v>
      </c>
      <c r="P263" s="425" t="s">
        <v>762</v>
      </c>
      <c r="Q263" s="425" t="s">
        <v>762</v>
      </c>
      <c r="R263" s="425" t="s">
        <v>762</v>
      </c>
      <c r="S263" s="425" t="s">
        <v>762</v>
      </c>
      <c r="T263" s="425" t="s">
        <v>762</v>
      </c>
      <c r="U263" s="425" t="s">
        <v>762</v>
      </c>
      <c r="V263" s="425">
        <f t="shared" si="247"/>
        <v>29.89</v>
      </c>
      <c r="W263" s="425">
        <f t="shared" si="247"/>
        <v>29.89</v>
      </c>
      <c r="X263" s="425">
        <f t="shared" si="209"/>
        <v>34.92</v>
      </c>
      <c r="Y263" s="425">
        <f t="shared" si="210"/>
        <v>36.26</v>
      </c>
      <c r="Z263" s="425">
        <f t="shared" si="211"/>
        <v>38.409999999999997</v>
      </c>
      <c r="AA263" s="425">
        <f t="shared" si="212"/>
        <v>39.770000000000003</v>
      </c>
      <c r="AB263" s="425">
        <f t="shared" si="213"/>
        <v>41.16</v>
      </c>
      <c r="AC263" s="425">
        <f t="shared" ref="AC263:AD263" si="262">$I755</f>
        <v>42.53</v>
      </c>
      <c r="AD263" s="425">
        <f t="shared" si="262"/>
        <v>42.53</v>
      </c>
      <c r="AE263" s="425" t="s">
        <v>762</v>
      </c>
      <c r="AF263" s="425" t="s">
        <v>762</v>
      </c>
      <c r="AG263" s="425">
        <f t="shared" si="230"/>
        <v>51.495750000000001</v>
      </c>
      <c r="AH263" s="425" t="s">
        <v>762</v>
      </c>
      <c r="AI263" s="425">
        <f t="shared" si="231"/>
        <v>68.661000000000001</v>
      </c>
      <c r="AJ263" s="425" t="s">
        <v>762</v>
      </c>
      <c r="AK263" s="425">
        <f t="shared" si="232"/>
        <v>85.826250000000002</v>
      </c>
      <c r="AL263" s="425">
        <f t="shared" si="233"/>
        <v>72.738</v>
      </c>
      <c r="AM263" s="425" t="s">
        <v>762</v>
      </c>
      <c r="AN263" s="425">
        <f t="shared" si="234"/>
        <v>84.861000000000004</v>
      </c>
      <c r="AO263" s="425" t="s">
        <v>762</v>
      </c>
      <c r="AP263" s="425">
        <f t="shared" si="235"/>
        <v>96.984000000000009</v>
      </c>
      <c r="AQ263" s="425" t="s">
        <v>762</v>
      </c>
      <c r="AR263" s="425">
        <f t="shared" si="236"/>
        <v>109.10700000000001</v>
      </c>
      <c r="AS263" s="425" t="s">
        <v>762</v>
      </c>
      <c r="AT263" s="425">
        <f t="shared" si="237"/>
        <v>131.96250000000001</v>
      </c>
      <c r="AU263" s="425" t="s">
        <v>762</v>
      </c>
      <c r="AV263" s="425" t="s">
        <v>762</v>
      </c>
      <c r="AW263" s="425" t="s">
        <v>762</v>
      </c>
      <c r="AX263" s="425" t="s">
        <v>762</v>
      </c>
      <c r="AY263" s="425" t="s">
        <v>762</v>
      </c>
      <c r="AZ263" s="425" t="s">
        <v>762</v>
      </c>
      <c r="BA263" s="425">
        <f t="shared" si="238"/>
        <v>173.54250000000002</v>
      </c>
      <c r="BB263" s="425" t="s">
        <v>762</v>
      </c>
      <c r="BC263" s="425" t="s">
        <v>762</v>
      </c>
      <c r="BD263" s="425" t="s">
        <v>762</v>
      </c>
      <c r="BE263" s="425" t="s">
        <v>762</v>
      </c>
      <c r="BF263" s="425">
        <f t="shared" si="239"/>
        <v>237.06</v>
      </c>
      <c r="BG263" s="425" t="s">
        <v>762</v>
      </c>
      <c r="BH263" s="425" t="s">
        <v>762</v>
      </c>
      <c r="BI263" s="425">
        <f t="shared" si="240"/>
        <v>296.32499999999999</v>
      </c>
      <c r="BJ263" s="425" t="s">
        <v>762</v>
      </c>
      <c r="BK263" s="425" t="s">
        <v>762</v>
      </c>
      <c r="BL263" s="425">
        <f t="shared" si="241"/>
        <v>355.59</v>
      </c>
      <c r="BM263" s="425" t="s">
        <v>762</v>
      </c>
      <c r="BN263" s="425" t="s">
        <v>762</v>
      </c>
      <c r="BO263" s="425" t="s">
        <v>762</v>
      </c>
      <c r="BP263" s="425" t="s">
        <v>762</v>
      </c>
      <c r="BQ263" s="425" t="s">
        <v>762</v>
      </c>
      <c r="BR263" s="425" t="s">
        <v>762</v>
      </c>
      <c r="BS263" s="425" t="s">
        <v>762</v>
      </c>
      <c r="BT263" s="425" t="s">
        <v>762</v>
      </c>
      <c r="BU263" s="425" t="s">
        <v>762</v>
      </c>
      <c r="BV263" s="425" t="s">
        <v>762</v>
      </c>
      <c r="BW263" s="425" t="s">
        <v>762</v>
      </c>
      <c r="BX263" s="425" t="s">
        <v>762</v>
      </c>
      <c r="BY263" s="425" t="s">
        <v>762</v>
      </c>
      <c r="BZ263" s="425" t="s">
        <v>762</v>
      </c>
      <c r="CA263" s="425" t="s">
        <v>762</v>
      </c>
      <c r="CB263" s="425" t="s">
        <v>762</v>
      </c>
      <c r="CC263" s="425" t="s">
        <v>762</v>
      </c>
      <c r="CD263" s="425" t="s">
        <v>762</v>
      </c>
      <c r="CE263" s="425" t="s">
        <v>762</v>
      </c>
      <c r="CF263" s="425" t="s">
        <v>762</v>
      </c>
      <c r="CG263" s="424" t="s">
        <v>762</v>
      </c>
      <c r="CH263" s="425">
        <f t="shared" si="215"/>
        <v>34.330500000000001</v>
      </c>
      <c r="CI263" s="425">
        <f t="shared" si="242"/>
        <v>24.246000000000002</v>
      </c>
      <c r="CJ263" s="425">
        <f t="shared" si="243"/>
        <v>26.392500000000002</v>
      </c>
      <c r="CK263" s="425">
        <f t="shared" si="244"/>
        <v>23.139000000000003</v>
      </c>
      <c r="CL263" s="425">
        <f t="shared" si="245"/>
        <v>23.706</v>
      </c>
      <c r="CN263" s="438"/>
    </row>
    <row r="264" spans="1:92" s="426" customFormat="1">
      <c r="A264" s="424" t="s">
        <v>544</v>
      </c>
      <c r="B264" s="424" t="s">
        <v>630</v>
      </c>
      <c r="C264" s="425">
        <f t="shared" si="208"/>
        <v>32.51</v>
      </c>
      <c r="D264" s="425">
        <f t="shared" ref="D264:W279" si="263">$B756</f>
        <v>32.51</v>
      </c>
      <c r="E264" s="425">
        <f t="shared" si="263"/>
        <v>32.51</v>
      </c>
      <c r="F264" s="425">
        <f t="shared" si="263"/>
        <v>32.51</v>
      </c>
      <c r="G264" s="425">
        <f t="shared" si="263"/>
        <v>32.51</v>
      </c>
      <c r="H264" s="425">
        <f t="shared" si="263"/>
        <v>32.51</v>
      </c>
      <c r="I264" s="425">
        <f t="shared" si="263"/>
        <v>32.51</v>
      </c>
      <c r="J264" s="425">
        <f t="shared" si="263"/>
        <v>32.51</v>
      </c>
      <c r="K264" s="425">
        <f t="shared" si="263"/>
        <v>32.51</v>
      </c>
      <c r="L264" s="425">
        <f t="shared" si="263"/>
        <v>32.51</v>
      </c>
      <c r="M264" s="425" t="s">
        <v>762</v>
      </c>
      <c r="N264" s="425" t="s">
        <v>762</v>
      </c>
      <c r="O264" s="425" t="s">
        <v>762</v>
      </c>
      <c r="P264" s="425" t="s">
        <v>762</v>
      </c>
      <c r="Q264" s="425" t="s">
        <v>762</v>
      </c>
      <c r="R264" s="425" t="s">
        <v>762</v>
      </c>
      <c r="S264" s="425" t="s">
        <v>762</v>
      </c>
      <c r="T264" s="425" t="s">
        <v>762</v>
      </c>
      <c r="U264" s="425" t="s">
        <v>762</v>
      </c>
      <c r="V264" s="425">
        <f t="shared" si="263"/>
        <v>32.51</v>
      </c>
      <c r="W264" s="425">
        <f t="shared" si="263"/>
        <v>32.51</v>
      </c>
      <c r="X264" s="425">
        <f t="shared" si="209"/>
        <v>37.97</v>
      </c>
      <c r="Y264" s="425">
        <f t="shared" si="210"/>
        <v>39.409999999999997</v>
      </c>
      <c r="Z264" s="425">
        <f t="shared" si="211"/>
        <v>42.13</v>
      </c>
      <c r="AA264" s="425">
        <f t="shared" si="212"/>
        <v>43.64</v>
      </c>
      <c r="AB264" s="425">
        <f t="shared" si="213"/>
        <v>45.17</v>
      </c>
      <c r="AC264" s="425">
        <f t="shared" ref="AC264:AD264" si="264">$I756</f>
        <v>46.65</v>
      </c>
      <c r="AD264" s="425">
        <f t="shared" si="264"/>
        <v>46.65</v>
      </c>
      <c r="AE264" s="425" t="s">
        <v>762</v>
      </c>
      <c r="AF264" s="425" t="s">
        <v>762</v>
      </c>
      <c r="AG264" s="425">
        <f t="shared" si="230"/>
        <v>56.538000000000011</v>
      </c>
      <c r="AH264" s="425" t="s">
        <v>762</v>
      </c>
      <c r="AI264" s="425">
        <f t="shared" si="231"/>
        <v>75.384000000000015</v>
      </c>
      <c r="AJ264" s="425" t="s">
        <v>762</v>
      </c>
      <c r="AK264" s="425">
        <f t="shared" si="232"/>
        <v>94.230000000000018</v>
      </c>
      <c r="AL264" s="425">
        <f t="shared" si="233"/>
        <v>79.825500000000005</v>
      </c>
      <c r="AM264" s="425" t="s">
        <v>762</v>
      </c>
      <c r="AN264" s="425">
        <f t="shared" si="234"/>
        <v>93.129750000000016</v>
      </c>
      <c r="AO264" s="425" t="s">
        <v>762</v>
      </c>
      <c r="AP264" s="425">
        <f t="shared" si="235"/>
        <v>106.43400000000001</v>
      </c>
      <c r="AQ264" s="425" t="s">
        <v>762</v>
      </c>
      <c r="AR264" s="425">
        <f t="shared" si="236"/>
        <v>119.73825000000001</v>
      </c>
      <c r="AS264" s="425" t="s">
        <v>762</v>
      </c>
      <c r="AT264" s="425">
        <f t="shared" si="237"/>
        <v>144.99</v>
      </c>
      <c r="AU264" s="425" t="s">
        <v>762</v>
      </c>
      <c r="AV264" s="425" t="s">
        <v>762</v>
      </c>
      <c r="AW264" s="425" t="s">
        <v>762</v>
      </c>
      <c r="AX264" s="425" t="s">
        <v>762</v>
      </c>
      <c r="AY264" s="425" t="s">
        <v>762</v>
      </c>
      <c r="AZ264" s="425" t="s">
        <v>762</v>
      </c>
      <c r="BA264" s="425">
        <f t="shared" si="238"/>
        <v>190.45124999999999</v>
      </c>
      <c r="BB264" s="425" t="s">
        <v>762</v>
      </c>
      <c r="BC264" s="425" t="s">
        <v>762</v>
      </c>
      <c r="BD264" s="425" t="s">
        <v>762</v>
      </c>
      <c r="BE264" s="425" t="s">
        <v>762</v>
      </c>
      <c r="BF264" s="425">
        <f t="shared" si="239"/>
        <v>260.14500000000004</v>
      </c>
      <c r="BG264" s="425" t="s">
        <v>762</v>
      </c>
      <c r="BH264" s="425" t="s">
        <v>762</v>
      </c>
      <c r="BI264" s="425">
        <f t="shared" si="240"/>
        <v>325.18125000000003</v>
      </c>
      <c r="BJ264" s="425" t="s">
        <v>762</v>
      </c>
      <c r="BK264" s="425" t="s">
        <v>762</v>
      </c>
      <c r="BL264" s="425">
        <f t="shared" si="241"/>
        <v>390.21750000000003</v>
      </c>
      <c r="BM264" s="425" t="s">
        <v>762</v>
      </c>
      <c r="BN264" s="425" t="s">
        <v>762</v>
      </c>
      <c r="BO264" s="425" t="s">
        <v>762</v>
      </c>
      <c r="BP264" s="425" t="s">
        <v>762</v>
      </c>
      <c r="BQ264" s="425" t="s">
        <v>762</v>
      </c>
      <c r="BR264" s="425" t="s">
        <v>762</v>
      </c>
      <c r="BS264" s="425" t="s">
        <v>762</v>
      </c>
      <c r="BT264" s="425" t="s">
        <v>762</v>
      </c>
      <c r="BU264" s="425" t="s">
        <v>762</v>
      </c>
      <c r="BV264" s="425" t="s">
        <v>762</v>
      </c>
      <c r="BW264" s="425" t="s">
        <v>762</v>
      </c>
      <c r="BX264" s="425" t="s">
        <v>762</v>
      </c>
      <c r="BY264" s="425" t="s">
        <v>762</v>
      </c>
      <c r="BZ264" s="425" t="s">
        <v>762</v>
      </c>
      <c r="CA264" s="425" t="s">
        <v>762</v>
      </c>
      <c r="CB264" s="425" t="s">
        <v>762</v>
      </c>
      <c r="CC264" s="425" t="s">
        <v>762</v>
      </c>
      <c r="CD264" s="425" t="s">
        <v>762</v>
      </c>
      <c r="CE264" s="425" t="s">
        <v>762</v>
      </c>
      <c r="CF264" s="425" t="s">
        <v>762</v>
      </c>
      <c r="CG264" s="424" t="s">
        <v>762</v>
      </c>
      <c r="CH264" s="425">
        <f t="shared" si="215"/>
        <v>37.692000000000007</v>
      </c>
      <c r="CI264" s="425">
        <f t="shared" si="242"/>
        <v>26.608500000000003</v>
      </c>
      <c r="CJ264" s="425">
        <f t="shared" si="243"/>
        <v>28.998000000000001</v>
      </c>
      <c r="CK264" s="425">
        <f t="shared" si="244"/>
        <v>25.3935</v>
      </c>
      <c r="CL264" s="425">
        <f t="shared" si="245"/>
        <v>26.014500000000002</v>
      </c>
      <c r="CN264" s="438"/>
    </row>
    <row r="265" spans="1:92" s="426" customFormat="1">
      <c r="A265" s="424" t="s">
        <v>545</v>
      </c>
      <c r="B265" s="424" t="s">
        <v>630</v>
      </c>
      <c r="C265" s="425">
        <f t="shared" si="208"/>
        <v>36.520000000000003</v>
      </c>
      <c r="D265" s="425">
        <f t="shared" si="263"/>
        <v>36.520000000000003</v>
      </c>
      <c r="E265" s="425">
        <f t="shared" si="263"/>
        <v>36.520000000000003</v>
      </c>
      <c r="F265" s="425">
        <f t="shared" si="263"/>
        <v>36.520000000000003</v>
      </c>
      <c r="G265" s="425">
        <f t="shared" si="263"/>
        <v>36.520000000000003</v>
      </c>
      <c r="H265" s="425">
        <f t="shared" si="263"/>
        <v>36.520000000000003</v>
      </c>
      <c r="I265" s="425">
        <f t="shared" si="263"/>
        <v>36.520000000000003</v>
      </c>
      <c r="J265" s="425">
        <f t="shared" si="263"/>
        <v>36.520000000000003</v>
      </c>
      <c r="K265" s="425">
        <f t="shared" si="263"/>
        <v>36.520000000000003</v>
      </c>
      <c r="L265" s="425">
        <f t="shared" si="263"/>
        <v>36.520000000000003</v>
      </c>
      <c r="M265" s="425" t="s">
        <v>762</v>
      </c>
      <c r="N265" s="425" t="s">
        <v>762</v>
      </c>
      <c r="O265" s="425" t="s">
        <v>762</v>
      </c>
      <c r="P265" s="425" t="s">
        <v>762</v>
      </c>
      <c r="Q265" s="425" t="s">
        <v>762</v>
      </c>
      <c r="R265" s="425" t="s">
        <v>762</v>
      </c>
      <c r="S265" s="425" t="s">
        <v>762</v>
      </c>
      <c r="T265" s="425" t="s">
        <v>762</v>
      </c>
      <c r="U265" s="425" t="s">
        <v>762</v>
      </c>
      <c r="V265" s="425">
        <f t="shared" si="263"/>
        <v>36.520000000000003</v>
      </c>
      <c r="W265" s="425">
        <f t="shared" si="263"/>
        <v>36.520000000000003</v>
      </c>
      <c r="X265" s="425">
        <f t="shared" si="209"/>
        <v>42.68</v>
      </c>
      <c r="Y265" s="425">
        <f t="shared" si="210"/>
        <v>44.35</v>
      </c>
      <c r="Z265" s="425">
        <f t="shared" si="211"/>
        <v>47.91</v>
      </c>
      <c r="AA265" s="425">
        <f t="shared" si="212"/>
        <v>49.64</v>
      </c>
      <c r="AB265" s="425">
        <f t="shared" si="213"/>
        <v>51.33</v>
      </c>
      <c r="AC265" s="425">
        <f t="shared" ref="AC265:AD265" si="265">$I757</f>
        <v>53.07</v>
      </c>
      <c r="AD265" s="425">
        <f t="shared" si="265"/>
        <v>53.07</v>
      </c>
      <c r="AE265" s="425" t="s">
        <v>762</v>
      </c>
      <c r="AF265" s="425" t="s">
        <v>762</v>
      </c>
      <c r="AG265" s="425">
        <f t="shared" si="230"/>
        <v>64.293750000000003</v>
      </c>
      <c r="AH265" s="425" t="s">
        <v>762</v>
      </c>
      <c r="AI265" s="425">
        <f t="shared" si="231"/>
        <v>85.725000000000009</v>
      </c>
      <c r="AJ265" s="425" t="s">
        <v>762</v>
      </c>
      <c r="AK265" s="425">
        <f t="shared" si="232"/>
        <v>107.15625000000001</v>
      </c>
      <c r="AL265" s="425">
        <f t="shared" si="233"/>
        <v>90.72</v>
      </c>
      <c r="AM265" s="425" t="s">
        <v>762</v>
      </c>
      <c r="AN265" s="425">
        <f t="shared" si="234"/>
        <v>105.83999999999999</v>
      </c>
      <c r="AO265" s="425" t="s">
        <v>762</v>
      </c>
      <c r="AP265" s="425">
        <f t="shared" si="235"/>
        <v>120.96</v>
      </c>
      <c r="AQ265" s="425" t="s">
        <v>762</v>
      </c>
      <c r="AR265" s="425">
        <f t="shared" si="236"/>
        <v>136.07999999999998</v>
      </c>
      <c r="AS265" s="425" t="s">
        <v>762</v>
      </c>
      <c r="AT265" s="425">
        <f t="shared" si="237"/>
        <v>164.76750000000004</v>
      </c>
      <c r="AU265" s="425" t="s">
        <v>762</v>
      </c>
      <c r="AV265" s="425" t="s">
        <v>762</v>
      </c>
      <c r="AW265" s="425" t="s">
        <v>762</v>
      </c>
      <c r="AX265" s="425" t="s">
        <v>762</v>
      </c>
      <c r="AY265" s="425" t="s">
        <v>762</v>
      </c>
      <c r="AZ265" s="425" t="s">
        <v>762</v>
      </c>
      <c r="BA265" s="425">
        <f t="shared" si="238"/>
        <v>216.57375000000002</v>
      </c>
      <c r="BB265" s="425" t="s">
        <v>762</v>
      </c>
      <c r="BC265" s="425" t="s">
        <v>762</v>
      </c>
      <c r="BD265" s="425" t="s">
        <v>762</v>
      </c>
      <c r="BE265" s="425" t="s">
        <v>762</v>
      </c>
      <c r="BF265" s="425">
        <f t="shared" si="239"/>
        <v>295.65000000000003</v>
      </c>
      <c r="BG265" s="425" t="s">
        <v>762</v>
      </c>
      <c r="BH265" s="425" t="s">
        <v>762</v>
      </c>
      <c r="BI265" s="425">
        <f t="shared" si="240"/>
        <v>369.5625</v>
      </c>
      <c r="BJ265" s="425" t="s">
        <v>762</v>
      </c>
      <c r="BK265" s="425" t="s">
        <v>762</v>
      </c>
      <c r="BL265" s="425">
        <f t="shared" si="241"/>
        <v>443.47500000000002</v>
      </c>
      <c r="BM265" s="425" t="s">
        <v>762</v>
      </c>
      <c r="BN265" s="425" t="s">
        <v>762</v>
      </c>
      <c r="BO265" s="425" t="s">
        <v>762</v>
      </c>
      <c r="BP265" s="425" t="s">
        <v>762</v>
      </c>
      <c r="BQ265" s="425" t="s">
        <v>762</v>
      </c>
      <c r="BR265" s="425" t="s">
        <v>762</v>
      </c>
      <c r="BS265" s="425" t="s">
        <v>762</v>
      </c>
      <c r="BT265" s="425" t="s">
        <v>762</v>
      </c>
      <c r="BU265" s="425" t="s">
        <v>762</v>
      </c>
      <c r="BV265" s="425" t="s">
        <v>762</v>
      </c>
      <c r="BW265" s="425" t="s">
        <v>762</v>
      </c>
      <c r="BX265" s="425" t="s">
        <v>762</v>
      </c>
      <c r="BY265" s="425" t="s">
        <v>762</v>
      </c>
      <c r="BZ265" s="425" t="s">
        <v>762</v>
      </c>
      <c r="CA265" s="425" t="s">
        <v>762</v>
      </c>
      <c r="CB265" s="425" t="s">
        <v>762</v>
      </c>
      <c r="CC265" s="425" t="s">
        <v>762</v>
      </c>
      <c r="CD265" s="425" t="s">
        <v>762</v>
      </c>
      <c r="CE265" s="425" t="s">
        <v>762</v>
      </c>
      <c r="CF265" s="425" t="s">
        <v>762</v>
      </c>
      <c r="CG265" s="424" t="s">
        <v>762</v>
      </c>
      <c r="CH265" s="425">
        <f t="shared" si="215"/>
        <v>42.862500000000004</v>
      </c>
      <c r="CI265" s="425">
        <f t="shared" si="242"/>
        <v>30.24</v>
      </c>
      <c r="CJ265" s="425">
        <f t="shared" si="243"/>
        <v>32.953500000000005</v>
      </c>
      <c r="CK265" s="425">
        <f t="shared" si="244"/>
        <v>28.876500000000004</v>
      </c>
      <c r="CL265" s="425">
        <f t="shared" si="245"/>
        <v>29.565000000000001</v>
      </c>
      <c r="CN265" s="438"/>
    </row>
    <row r="266" spans="1:92" s="426" customFormat="1">
      <c r="A266" s="424" t="s">
        <v>546</v>
      </c>
      <c r="B266" s="424" t="s">
        <v>630</v>
      </c>
      <c r="C266" s="425">
        <f t="shared" si="208"/>
        <v>45.67</v>
      </c>
      <c r="D266" s="425">
        <f t="shared" si="263"/>
        <v>45.67</v>
      </c>
      <c r="E266" s="425">
        <f t="shared" si="263"/>
        <v>45.67</v>
      </c>
      <c r="F266" s="425">
        <f t="shared" si="263"/>
        <v>45.67</v>
      </c>
      <c r="G266" s="425">
        <f t="shared" si="263"/>
        <v>45.67</v>
      </c>
      <c r="H266" s="425">
        <f t="shared" si="263"/>
        <v>45.67</v>
      </c>
      <c r="I266" s="425">
        <f t="shared" si="263"/>
        <v>45.67</v>
      </c>
      <c r="J266" s="425">
        <f t="shared" si="263"/>
        <v>45.67</v>
      </c>
      <c r="K266" s="425">
        <f t="shared" si="263"/>
        <v>45.67</v>
      </c>
      <c r="L266" s="425">
        <f t="shared" si="263"/>
        <v>45.67</v>
      </c>
      <c r="M266" s="425" t="s">
        <v>762</v>
      </c>
      <c r="N266" s="425" t="s">
        <v>762</v>
      </c>
      <c r="O266" s="425" t="s">
        <v>762</v>
      </c>
      <c r="P266" s="425" t="s">
        <v>762</v>
      </c>
      <c r="Q266" s="425" t="s">
        <v>762</v>
      </c>
      <c r="R266" s="425" t="s">
        <v>762</v>
      </c>
      <c r="S266" s="425" t="s">
        <v>762</v>
      </c>
      <c r="T266" s="425" t="s">
        <v>762</v>
      </c>
      <c r="U266" s="425" t="s">
        <v>762</v>
      </c>
      <c r="V266" s="425">
        <f t="shared" si="263"/>
        <v>45.67</v>
      </c>
      <c r="W266" s="425">
        <f t="shared" si="263"/>
        <v>45.67</v>
      </c>
      <c r="X266" s="425">
        <f t="shared" si="209"/>
        <v>53.36</v>
      </c>
      <c r="Y266" s="425">
        <f t="shared" si="210"/>
        <v>55.42</v>
      </c>
      <c r="Z266" s="425">
        <f t="shared" si="211"/>
        <v>59.89</v>
      </c>
      <c r="AA266" s="425">
        <f t="shared" si="212"/>
        <v>62.04</v>
      </c>
      <c r="AB266" s="425">
        <f t="shared" si="213"/>
        <v>64.16</v>
      </c>
      <c r="AC266" s="425">
        <f t="shared" ref="AC266:AD266" si="266">$I758</f>
        <v>66.31</v>
      </c>
      <c r="AD266" s="425">
        <f t="shared" si="266"/>
        <v>66.31</v>
      </c>
      <c r="AE266" s="425" t="s">
        <v>762</v>
      </c>
      <c r="AF266" s="425" t="s">
        <v>762</v>
      </c>
      <c r="AG266" s="425">
        <f t="shared" si="230"/>
        <v>80.392500000000013</v>
      </c>
      <c r="AH266" s="425" t="s">
        <v>762</v>
      </c>
      <c r="AI266" s="425">
        <f t="shared" si="231"/>
        <v>107.19000000000001</v>
      </c>
      <c r="AJ266" s="425" t="s">
        <v>762</v>
      </c>
      <c r="AK266" s="425">
        <f t="shared" si="232"/>
        <v>133.98750000000001</v>
      </c>
      <c r="AL266" s="425">
        <f t="shared" si="233"/>
        <v>113.48100000000002</v>
      </c>
      <c r="AM266" s="425" t="s">
        <v>762</v>
      </c>
      <c r="AN266" s="425">
        <f t="shared" si="234"/>
        <v>132.39450000000002</v>
      </c>
      <c r="AO266" s="425" t="s">
        <v>762</v>
      </c>
      <c r="AP266" s="425">
        <f t="shared" si="235"/>
        <v>151.30800000000002</v>
      </c>
      <c r="AQ266" s="425" t="s">
        <v>762</v>
      </c>
      <c r="AR266" s="425">
        <f t="shared" si="236"/>
        <v>170.22150000000002</v>
      </c>
      <c r="AS266" s="425" t="s">
        <v>762</v>
      </c>
      <c r="AT266" s="425">
        <f t="shared" si="237"/>
        <v>205.87500000000003</v>
      </c>
      <c r="AU266" s="425" t="s">
        <v>762</v>
      </c>
      <c r="AV266" s="425" t="s">
        <v>762</v>
      </c>
      <c r="AW266" s="425" t="s">
        <v>762</v>
      </c>
      <c r="AX266" s="425" t="s">
        <v>762</v>
      </c>
      <c r="AY266" s="425" t="s">
        <v>762</v>
      </c>
      <c r="AZ266" s="425" t="s">
        <v>762</v>
      </c>
      <c r="BA266" s="425">
        <f t="shared" si="238"/>
        <v>270.74250000000001</v>
      </c>
      <c r="BB266" s="425" t="s">
        <v>762</v>
      </c>
      <c r="BC266" s="425" t="s">
        <v>762</v>
      </c>
      <c r="BD266" s="425" t="s">
        <v>762</v>
      </c>
      <c r="BE266" s="425" t="s">
        <v>762</v>
      </c>
      <c r="BF266" s="425">
        <f t="shared" si="239"/>
        <v>369.76499999999999</v>
      </c>
      <c r="BG266" s="425" t="s">
        <v>762</v>
      </c>
      <c r="BH266" s="425" t="s">
        <v>762</v>
      </c>
      <c r="BI266" s="425">
        <f t="shared" si="240"/>
        <v>462.20625000000001</v>
      </c>
      <c r="BJ266" s="425" t="s">
        <v>762</v>
      </c>
      <c r="BK266" s="425" t="s">
        <v>762</v>
      </c>
      <c r="BL266" s="425">
        <f t="shared" si="241"/>
        <v>554.64750000000004</v>
      </c>
      <c r="BM266" s="425" t="s">
        <v>762</v>
      </c>
      <c r="BN266" s="425" t="s">
        <v>762</v>
      </c>
      <c r="BO266" s="425" t="s">
        <v>762</v>
      </c>
      <c r="BP266" s="425" t="s">
        <v>762</v>
      </c>
      <c r="BQ266" s="425" t="s">
        <v>762</v>
      </c>
      <c r="BR266" s="425" t="s">
        <v>762</v>
      </c>
      <c r="BS266" s="425" t="s">
        <v>762</v>
      </c>
      <c r="BT266" s="425" t="s">
        <v>762</v>
      </c>
      <c r="BU266" s="425" t="s">
        <v>762</v>
      </c>
      <c r="BV266" s="425" t="s">
        <v>762</v>
      </c>
      <c r="BW266" s="425" t="s">
        <v>762</v>
      </c>
      <c r="BX266" s="425" t="s">
        <v>762</v>
      </c>
      <c r="BY266" s="425" t="s">
        <v>762</v>
      </c>
      <c r="BZ266" s="425" t="s">
        <v>762</v>
      </c>
      <c r="CA266" s="425" t="s">
        <v>762</v>
      </c>
      <c r="CB266" s="425" t="s">
        <v>762</v>
      </c>
      <c r="CC266" s="425" t="s">
        <v>762</v>
      </c>
      <c r="CD266" s="425" t="s">
        <v>762</v>
      </c>
      <c r="CE266" s="425" t="s">
        <v>762</v>
      </c>
      <c r="CF266" s="425" t="s">
        <v>762</v>
      </c>
      <c r="CG266" s="424" t="s">
        <v>762</v>
      </c>
      <c r="CH266" s="425">
        <f t="shared" si="215"/>
        <v>53.595000000000006</v>
      </c>
      <c r="CI266" s="425">
        <f t="shared" si="242"/>
        <v>37.827000000000005</v>
      </c>
      <c r="CJ266" s="425">
        <f t="shared" si="243"/>
        <v>41.175000000000004</v>
      </c>
      <c r="CK266" s="425">
        <f t="shared" si="244"/>
        <v>36.099000000000004</v>
      </c>
      <c r="CL266" s="425">
        <f t="shared" si="245"/>
        <v>36.976500000000001</v>
      </c>
      <c r="CN266" s="438"/>
    </row>
    <row r="267" spans="1:92" s="426" customFormat="1">
      <c r="A267" s="424" t="s">
        <v>547</v>
      </c>
      <c r="B267" s="424" t="s">
        <v>630</v>
      </c>
      <c r="C267" s="425">
        <f t="shared" si="208"/>
        <v>55.38</v>
      </c>
      <c r="D267" s="425">
        <f t="shared" si="263"/>
        <v>55.38</v>
      </c>
      <c r="E267" s="425">
        <f t="shared" si="263"/>
        <v>55.38</v>
      </c>
      <c r="F267" s="425">
        <f t="shared" si="263"/>
        <v>55.38</v>
      </c>
      <c r="G267" s="425">
        <f t="shared" si="263"/>
        <v>55.38</v>
      </c>
      <c r="H267" s="425">
        <f t="shared" si="263"/>
        <v>55.38</v>
      </c>
      <c r="I267" s="425">
        <f t="shared" si="263"/>
        <v>55.38</v>
      </c>
      <c r="J267" s="425">
        <f t="shared" si="263"/>
        <v>55.38</v>
      </c>
      <c r="K267" s="425">
        <f t="shared" si="263"/>
        <v>55.38</v>
      </c>
      <c r="L267" s="425">
        <f t="shared" si="263"/>
        <v>55.38</v>
      </c>
      <c r="M267" s="425" t="s">
        <v>762</v>
      </c>
      <c r="N267" s="425" t="s">
        <v>762</v>
      </c>
      <c r="O267" s="425" t="s">
        <v>762</v>
      </c>
      <c r="P267" s="425" t="s">
        <v>762</v>
      </c>
      <c r="Q267" s="425" t="s">
        <v>762</v>
      </c>
      <c r="R267" s="425" t="s">
        <v>762</v>
      </c>
      <c r="S267" s="425" t="s">
        <v>762</v>
      </c>
      <c r="T267" s="425" t="s">
        <v>762</v>
      </c>
      <c r="U267" s="425" t="s">
        <v>762</v>
      </c>
      <c r="V267" s="425">
        <f t="shared" si="263"/>
        <v>55.38</v>
      </c>
      <c r="W267" s="425">
        <f t="shared" si="263"/>
        <v>55.38</v>
      </c>
      <c r="X267" s="425">
        <f t="shared" si="209"/>
        <v>64.680000000000007</v>
      </c>
      <c r="Y267" s="425">
        <f t="shared" si="210"/>
        <v>67.180000000000007</v>
      </c>
      <c r="Z267" s="425">
        <f t="shared" si="211"/>
        <v>74.84</v>
      </c>
      <c r="AA267" s="425">
        <f t="shared" si="212"/>
        <v>77.53</v>
      </c>
      <c r="AB267" s="425">
        <f t="shared" si="213"/>
        <v>80.180000000000007</v>
      </c>
      <c r="AC267" s="425">
        <f t="shared" ref="AC267:AD267" si="267">$I759</f>
        <v>82.86</v>
      </c>
      <c r="AD267" s="425">
        <f t="shared" si="267"/>
        <v>82.86</v>
      </c>
      <c r="AE267" s="425" t="s">
        <v>762</v>
      </c>
      <c r="AF267" s="425" t="s">
        <v>762</v>
      </c>
      <c r="AG267" s="425">
        <f t="shared" si="230"/>
        <v>100.41975000000002</v>
      </c>
      <c r="AH267" s="425" t="s">
        <v>762</v>
      </c>
      <c r="AI267" s="425">
        <f t="shared" si="231"/>
        <v>133.89300000000003</v>
      </c>
      <c r="AJ267" s="425" t="s">
        <v>762</v>
      </c>
      <c r="AK267" s="425">
        <f t="shared" si="232"/>
        <v>167.36625000000004</v>
      </c>
      <c r="AL267" s="425">
        <f t="shared" si="233"/>
        <v>141.79050000000001</v>
      </c>
      <c r="AM267" s="425" t="s">
        <v>762</v>
      </c>
      <c r="AN267" s="425">
        <f t="shared" si="234"/>
        <v>165.42224999999999</v>
      </c>
      <c r="AO267" s="425" t="s">
        <v>762</v>
      </c>
      <c r="AP267" s="425">
        <f t="shared" si="235"/>
        <v>189.054</v>
      </c>
      <c r="AQ267" s="425" t="s">
        <v>762</v>
      </c>
      <c r="AR267" s="425">
        <f t="shared" si="236"/>
        <v>212.68575000000001</v>
      </c>
      <c r="AS267" s="425" t="s">
        <v>762</v>
      </c>
      <c r="AT267" s="425">
        <f t="shared" si="237"/>
        <v>257.31</v>
      </c>
      <c r="AU267" s="425" t="s">
        <v>762</v>
      </c>
      <c r="AV267" s="425" t="s">
        <v>762</v>
      </c>
      <c r="AW267" s="425" t="s">
        <v>762</v>
      </c>
      <c r="AX267" s="425" t="s">
        <v>762</v>
      </c>
      <c r="AY267" s="425" t="s">
        <v>762</v>
      </c>
      <c r="AZ267" s="425" t="s">
        <v>762</v>
      </c>
      <c r="BA267" s="425">
        <f t="shared" si="238"/>
        <v>338.37750000000005</v>
      </c>
      <c r="BB267" s="425" t="s">
        <v>762</v>
      </c>
      <c r="BC267" s="425" t="s">
        <v>762</v>
      </c>
      <c r="BD267" s="425" t="s">
        <v>762</v>
      </c>
      <c r="BE267" s="425" t="s">
        <v>762</v>
      </c>
      <c r="BF267" s="425">
        <f t="shared" si="239"/>
        <v>462.10499999999996</v>
      </c>
      <c r="BG267" s="425" t="s">
        <v>762</v>
      </c>
      <c r="BH267" s="425" t="s">
        <v>762</v>
      </c>
      <c r="BI267" s="425">
        <f t="shared" si="240"/>
        <v>577.63124999999991</v>
      </c>
      <c r="BJ267" s="425" t="s">
        <v>762</v>
      </c>
      <c r="BK267" s="425" t="s">
        <v>762</v>
      </c>
      <c r="BL267" s="425">
        <f t="shared" si="241"/>
        <v>693.15749999999991</v>
      </c>
      <c r="BM267" s="425" t="s">
        <v>762</v>
      </c>
      <c r="BN267" s="425" t="s">
        <v>762</v>
      </c>
      <c r="BO267" s="425" t="s">
        <v>762</v>
      </c>
      <c r="BP267" s="425" t="s">
        <v>762</v>
      </c>
      <c r="BQ267" s="425" t="s">
        <v>762</v>
      </c>
      <c r="BR267" s="425" t="s">
        <v>762</v>
      </c>
      <c r="BS267" s="425" t="s">
        <v>762</v>
      </c>
      <c r="BT267" s="425" t="s">
        <v>762</v>
      </c>
      <c r="BU267" s="425" t="s">
        <v>762</v>
      </c>
      <c r="BV267" s="425" t="s">
        <v>762</v>
      </c>
      <c r="BW267" s="425" t="s">
        <v>762</v>
      </c>
      <c r="BX267" s="425" t="s">
        <v>762</v>
      </c>
      <c r="BY267" s="425" t="s">
        <v>762</v>
      </c>
      <c r="BZ267" s="425" t="s">
        <v>762</v>
      </c>
      <c r="CA267" s="425" t="s">
        <v>762</v>
      </c>
      <c r="CB267" s="425" t="s">
        <v>762</v>
      </c>
      <c r="CC267" s="425" t="s">
        <v>762</v>
      </c>
      <c r="CD267" s="425" t="s">
        <v>762</v>
      </c>
      <c r="CE267" s="425" t="s">
        <v>762</v>
      </c>
      <c r="CF267" s="425" t="s">
        <v>762</v>
      </c>
      <c r="CG267" s="424" t="s">
        <v>762</v>
      </c>
      <c r="CH267" s="425">
        <f t="shared" si="215"/>
        <v>66.946500000000015</v>
      </c>
      <c r="CI267" s="425">
        <f t="shared" si="242"/>
        <v>47.263500000000001</v>
      </c>
      <c r="CJ267" s="425">
        <f t="shared" si="243"/>
        <v>51.462000000000003</v>
      </c>
      <c r="CK267" s="425">
        <f t="shared" si="244"/>
        <v>45.117000000000004</v>
      </c>
      <c r="CL267" s="425">
        <f t="shared" si="245"/>
        <v>46.210499999999996</v>
      </c>
      <c r="CN267" s="438"/>
    </row>
    <row r="268" spans="1:92" s="426" customFormat="1">
      <c r="A268" s="424" t="s">
        <v>548</v>
      </c>
      <c r="B268" s="424" t="s">
        <v>630</v>
      </c>
      <c r="C268" s="425" t="s">
        <v>762</v>
      </c>
      <c r="D268" s="425" t="s">
        <v>762</v>
      </c>
      <c r="E268" s="425" t="s">
        <v>762</v>
      </c>
      <c r="F268" s="425" t="s">
        <v>762</v>
      </c>
      <c r="G268" s="425" t="s">
        <v>762</v>
      </c>
      <c r="H268" s="425" t="s">
        <v>762</v>
      </c>
      <c r="I268" s="425" t="s">
        <v>762</v>
      </c>
      <c r="J268" s="425" t="s">
        <v>762</v>
      </c>
      <c r="K268" s="425" t="s">
        <v>762</v>
      </c>
      <c r="L268" s="425" t="s">
        <v>762</v>
      </c>
      <c r="M268" s="425" t="s">
        <v>762</v>
      </c>
      <c r="N268" s="425" t="s">
        <v>762</v>
      </c>
      <c r="O268" s="425" t="s">
        <v>762</v>
      </c>
      <c r="P268" s="425" t="s">
        <v>762</v>
      </c>
      <c r="Q268" s="425" t="s">
        <v>762</v>
      </c>
      <c r="R268" s="425" t="s">
        <v>762</v>
      </c>
      <c r="S268" s="425" t="s">
        <v>762</v>
      </c>
      <c r="T268" s="425" t="s">
        <v>762</v>
      </c>
      <c r="U268" s="425" t="s">
        <v>762</v>
      </c>
      <c r="V268" s="425" t="s">
        <v>762</v>
      </c>
      <c r="W268" s="425" t="s">
        <v>762</v>
      </c>
      <c r="X268" s="425" t="s">
        <v>762</v>
      </c>
      <c r="Y268" s="425" t="s">
        <v>762</v>
      </c>
      <c r="Z268" s="425" t="s">
        <v>762</v>
      </c>
      <c r="AA268" s="425" t="s">
        <v>762</v>
      </c>
      <c r="AB268" s="425" t="s">
        <v>762</v>
      </c>
      <c r="AC268" s="425" t="s">
        <v>762</v>
      </c>
      <c r="AD268" s="425" t="s">
        <v>762</v>
      </c>
      <c r="AE268" s="425" t="s">
        <v>762</v>
      </c>
      <c r="AF268" s="425" t="s">
        <v>762</v>
      </c>
      <c r="AG268" s="425" t="s">
        <v>762</v>
      </c>
      <c r="AH268" s="425" t="s">
        <v>762</v>
      </c>
      <c r="AI268" s="425" t="s">
        <v>762</v>
      </c>
      <c r="AJ268" s="425" t="s">
        <v>762</v>
      </c>
      <c r="AK268" s="425" t="s">
        <v>762</v>
      </c>
      <c r="AL268" s="425" t="s">
        <v>762</v>
      </c>
      <c r="AM268" s="425" t="s">
        <v>762</v>
      </c>
      <c r="AN268" s="425" t="s">
        <v>762</v>
      </c>
      <c r="AO268" s="425" t="s">
        <v>762</v>
      </c>
      <c r="AP268" s="425" t="s">
        <v>762</v>
      </c>
      <c r="AQ268" s="425" t="s">
        <v>762</v>
      </c>
      <c r="AR268" s="425" t="s">
        <v>762</v>
      </c>
      <c r="AS268" s="425" t="s">
        <v>762</v>
      </c>
      <c r="AT268" s="425" t="s">
        <v>762</v>
      </c>
      <c r="AU268" s="425" t="s">
        <v>762</v>
      </c>
      <c r="AV268" s="425" t="s">
        <v>762</v>
      </c>
      <c r="AW268" s="425" t="s">
        <v>762</v>
      </c>
      <c r="AX268" s="425" t="s">
        <v>762</v>
      </c>
      <c r="AY268" s="425" t="s">
        <v>762</v>
      </c>
      <c r="AZ268" s="425" t="s">
        <v>762</v>
      </c>
      <c r="BA268" s="425" t="s">
        <v>762</v>
      </c>
      <c r="BB268" s="425" t="s">
        <v>762</v>
      </c>
      <c r="BC268" s="425" t="s">
        <v>762</v>
      </c>
      <c r="BD268" s="425" t="s">
        <v>762</v>
      </c>
      <c r="BE268" s="425" t="s">
        <v>762</v>
      </c>
      <c r="BF268" s="425" t="s">
        <v>762</v>
      </c>
      <c r="BG268" s="425" t="s">
        <v>762</v>
      </c>
      <c r="BH268" s="425" t="s">
        <v>762</v>
      </c>
      <c r="BI268" s="425" t="s">
        <v>762</v>
      </c>
      <c r="BJ268" s="425" t="s">
        <v>762</v>
      </c>
      <c r="BK268" s="425" t="s">
        <v>762</v>
      </c>
      <c r="BL268" s="425" t="s">
        <v>762</v>
      </c>
      <c r="BM268" s="425" t="s">
        <v>762</v>
      </c>
      <c r="BN268" s="425" t="s">
        <v>762</v>
      </c>
      <c r="BO268" s="425" t="s">
        <v>762</v>
      </c>
      <c r="BP268" s="425" t="s">
        <v>762</v>
      </c>
      <c r="BQ268" s="425" t="s">
        <v>762</v>
      </c>
      <c r="BR268" s="425" t="s">
        <v>762</v>
      </c>
      <c r="BS268" s="425" t="s">
        <v>762</v>
      </c>
      <c r="BT268" s="425" t="s">
        <v>762</v>
      </c>
      <c r="BU268" s="425" t="s">
        <v>762</v>
      </c>
      <c r="BV268" s="425" t="s">
        <v>762</v>
      </c>
      <c r="BW268" s="425" t="s">
        <v>762</v>
      </c>
      <c r="BX268" s="425" t="s">
        <v>762</v>
      </c>
      <c r="BY268" s="425" t="s">
        <v>762</v>
      </c>
      <c r="BZ268" s="425" t="s">
        <v>762</v>
      </c>
      <c r="CA268" s="425" t="s">
        <v>762</v>
      </c>
      <c r="CB268" s="425" t="s">
        <v>762</v>
      </c>
      <c r="CC268" s="425" t="s">
        <v>762</v>
      </c>
      <c r="CD268" s="425" t="s">
        <v>762</v>
      </c>
      <c r="CE268" s="425" t="s">
        <v>762</v>
      </c>
      <c r="CF268" s="425" t="s">
        <v>762</v>
      </c>
      <c r="CG268" s="425" t="s">
        <v>762</v>
      </c>
      <c r="CH268" s="425" t="s">
        <v>762</v>
      </c>
      <c r="CI268" s="425" t="s">
        <v>762</v>
      </c>
      <c r="CJ268" s="425" t="s">
        <v>762</v>
      </c>
      <c r="CK268" s="425" t="s">
        <v>762</v>
      </c>
      <c r="CL268" s="425" t="s">
        <v>762</v>
      </c>
      <c r="CN268" s="438"/>
    </row>
    <row r="269" spans="1:92" s="426" customFormat="1">
      <c r="A269" s="424" t="s">
        <v>549</v>
      </c>
      <c r="B269" s="424" t="s">
        <v>630</v>
      </c>
      <c r="C269" s="425">
        <f t="shared" si="208"/>
        <v>49.4</v>
      </c>
      <c r="D269" s="425">
        <f t="shared" si="263"/>
        <v>49.4</v>
      </c>
      <c r="E269" s="425">
        <f t="shared" si="263"/>
        <v>49.4</v>
      </c>
      <c r="F269" s="425">
        <f t="shared" si="263"/>
        <v>49.4</v>
      </c>
      <c r="G269" s="425">
        <f t="shared" si="263"/>
        <v>49.4</v>
      </c>
      <c r="H269" s="425">
        <f t="shared" si="263"/>
        <v>49.4</v>
      </c>
      <c r="I269" s="425">
        <f t="shared" si="263"/>
        <v>49.4</v>
      </c>
      <c r="J269" s="425">
        <f t="shared" si="263"/>
        <v>49.4</v>
      </c>
      <c r="K269" s="425">
        <f t="shared" si="263"/>
        <v>49.4</v>
      </c>
      <c r="L269" s="425">
        <f t="shared" si="263"/>
        <v>49.4</v>
      </c>
      <c r="M269" s="425" t="s">
        <v>762</v>
      </c>
      <c r="N269" s="425" t="s">
        <v>762</v>
      </c>
      <c r="O269" s="425" t="s">
        <v>762</v>
      </c>
      <c r="P269" s="425" t="s">
        <v>762</v>
      </c>
      <c r="Q269" s="425" t="s">
        <v>762</v>
      </c>
      <c r="R269" s="425" t="s">
        <v>762</v>
      </c>
      <c r="S269" s="425" t="s">
        <v>762</v>
      </c>
      <c r="T269" s="425" t="s">
        <v>762</v>
      </c>
      <c r="U269" s="425" t="s">
        <v>762</v>
      </c>
      <c r="V269" s="425">
        <f t="shared" si="263"/>
        <v>49.4</v>
      </c>
      <c r="W269" s="425">
        <f t="shared" si="263"/>
        <v>49.4</v>
      </c>
      <c r="X269" s="425">
        <f t="shared" si="209"/>
        <v>57.72</v>
      </c>
      <c r="Y269" s="425">
        <f t="shared" si="210"/>
        <v>59.91</v>
      </c>
      <c r="Z269" s="425">
        <f t="shared" si="211"/>
        <v>66.290000000000006</v>
      </c>
      <c r="AA269" s="425">
        <f t="shared" si="212"/>
        <v>68.67</v>
      </c>
      <c r="AB269" s="425">
        <f t="shared" si="213"/>
        <v>71.040000000000006</v>
      </c>
      <c r="AC269" s="425">
        <f t="shared" ref="AC269:AD269" si="268">$I761</f>
        <v>73.39</v>
      </c>
      <c r="AD269" s="425">
        <f t="shared" si="268"/>
        <v>73.39</v>
      </c>
      <c r="AE269" s="425" t="s">
        <v>762</v>
      </c>
      <c r="AF269" s="425" t="s">
        <v>762</v>
      </c>
      <c r="AG269" s="425">
        <f>CH269*1.5</f>
        <v>88.998750000000015</v>
      </c>
      <c r="AH269" s="425" t="s">
        <v>762</v>
      </c>
      <c r="AI269" s="425">
        <f>CH269*2</f>
        <v>118.66500000000002</v>
      </c>
      <c r="AJ269" s="425" t="s">
        <v>762</v>
      </c>
      <c r="AK269" s="425">
        <f>CH269*2.5</f>
        <v>148.33125000000001</v>
      </c>
      <c r="AL269" s="425">
        <f>CI269*3</f>
        <v>125.59050000000001</v>
      </c>
      <c r="AM269" s="425" t="s">
        <v>762</v>
      </c>
      <c r="AN269" s="425">
        <f>CI269*3.5</f>
        <v>146.52225000000001</v>
      </c>
      <c r="AO269" s="425" t="s">
        <v>762</v>
      </c>
      <c r="AP269" s="425">
        <f>CI269*4</f>
        <v>167.45400000000001</v>
      </c>
      <c r="AQ269" s="425" t="s">
        <v>762</v>
      </c>
      <c r="AR269" s="425">
        <f>CI269*4.5</f>
        <v>188.38575</v>
      </c>
      <c r="AS269" s="425" t="s">
        <v>762</v>
      </c>
      <c r="AT269" s="425">
        <f>CJ269*5</f>
        <v>227.88</v>
      </c>
      <c r="AU269" s="425" t="s">
        <v>762</v>
      </c>
      <c r="AV269" s="425" t="s">
        <v>762</v>
      </c>
      <c r="AW269" s="425" t="s">
        <v>762</v>
      </c>
      <c r="AX269" s="425" t="s">
        <v>762</v>
      </c>
      <c r="AY269" s="425" t="s">
        <v>762</v>
      </c>
      <c r="AZ269" s="425" t="s">
        <v>762</v>
      </c>
      <c r="BA269" s="425">
        <f>7.5*CK269</f>
        <v>299.59875</v>
      </c>
      <c r="BB269" s="425" t="s">
        <v>762</v>
      </c>
      <c r="BC269" s="425" t="s">
        <v>762</v>
      </c>
      <c r="BD269" s="425" t="s">
        <v>762</v>
      </c>
      <c r="BE269" s="425" t="s">
        <v>762</v>
      </c>
      <c r="BF269" s="425">
        <f>10*CL269</f>
        <v>409.32000000000005</v>
      </c>
      <c r="BG269" s="425" t="s">
        <v>762</v>
      </c>
      <c r="BH269" s="425" t="s">
        <v>762</v>
      </c>
      <c r="BI269" s="425">
        <f>12.5*CL269</f>
        <v>511.65000000000003</v>
      </c>
      <c r="BJ269" s="425" t="s">
        <v>762</v>
      </c>
      <c r="BK269" s="425" t="s">
        <v>762</v>
      </c>
      <c r="BL269" s="425">
        <f>CL269*15</f>
        <v>613.98</v>
      </c>
      <c r="BM269" s="425" t="s">
        <v>762</v>
      </c>
      <c r="BN269" s="425" t="s">
        <v>762</v>
      </c>
      <c r="BO269" s="425" t="s">
        <v>762</v>
      </c>
      <c r="BP269" s="425" t="s">
        <v>762</v>
      </c>
      <c r="BQ269" s="425" t="s">
        <v>762</v>
      </c>
      <c r="BR269" s="425" t="s">
        <v>762</v>
      </c>
      <c r="BS269" s="425" t="s">
        <v>762</v>
      </c>
      <c r="BT269" s="425" t="s">
        <v>762</v>
      </c>
      <c r="BU269" s="425" t="s">
        <v>762</v>
      </c>
      <c r="BV269" s="425" t="s">
        <v>762</v>
      </c>
      <c r="BW269" s="425" t="s">
        <v>762</v>
      </c>
      <c r="BX269" s="425" t="s">
        <v>762</v>
      </c>
      <c r="BY269" s="425" t="s">
        <v>762</v>
      </c>
      <c r="BZ269" s="425" t="s">
        <v>762</v>
      </c>
      <c r="CA269" s="425" t="s">
        <v>762</v>
      </c>
      <c r="CB269" s="425" t="s">
        <v>762</v>
      </c>
      <c r="CC269" s="425" t="s">
        <v>762</v>
      </c>
      <c r="CD269" s="425" t="s">
        <v>762</v>
      </c>
      <c r="CE269" s="425" t="s">
        <v>762</v>
      </c>
      <c r="CF269" s="425" t="s">
        <v>762</v>
      </c>
      <c r="CG269" s="424" t="s">
        <v>762</v>
      </c>
      <c r="CH269" s="425">
        <f t="shared" si="215"/>
        <v>59.33250000000001</v>
      </c>
      <c r="CI269" s="425">
        <f t="shared" si="242"/>
        <v>41.863500000000002</v>
      </c>
      <c r="CJ269" s="425">
        <f t="shared" si="243"/>
        <v>45.576000000000001</v>
      </c>
      <c r="CK269" s="425">
        <f t="shared" si="244"/>
        <v>39.9465</v>
      </c>
      <c r="CL269" s="425">
        <f t="shared" si="245"/>
        <v>40.932000000000002</v>
      </c>
      <c r="CN269" s="438"/>
    </row>
    <row r="270" spans="1:92" s="426" customFormat="1">
      <c r="A270" s="424" t="s">
        <v>550</v>
      </c>
      <c r="B270" s="424" t="s">
        <v>630</v>
      </c>
      <c r="C270" s="425" t="s">
        <v>762</v>
      </c>
      <c r="D270" s="425" t="s">
        <v>762</v>
      </c>
      <c r="E270" s="425" t="s">
        <v>762</v>
      </c>
      <c r="F270" s="425" t="s">
        <v>762</v>
      </c>
      <c r="G270" s="425" t="s">
        <v>762</v>
      </c>
      <c r="H270" s="425" t="s">
        <v>762</v>
      </c>
      <c r="I270" s="425" t="s">
        <v>762</v>
      </c>
      <c r="J270" s="425" t="s">
        <v>762</v>
      </c>
      <c r="K270" s="425" t="s">
        <v>762</v>
      </c>
      <c r="L270" s="425" t="s">
        <v>762</v>
      </c>
      <c r="M270" s="425" t="s">
        <v>762</v>
      </c>
      <c r="N270" s="425" t="s">
        <v>762</v>
      </c>
      <c r="O270" s="425" t="s">
        <v>762</v>
      </c>
      <c r="P270" s="425" t="s">
        <v>762</v>
      </c>
      <c r="Q270" s="425" t="s">
        <v>762</v>
      </c>
      <c r="R270" s="425" t="s">
        <v>762</v>
      </c>
      <c r="S270" s="425" t="s">
        <v>762</v>
      </c>
      <c r="T270" s="425" t="s">
        <v>762</v>
      </c>
      <c r="U270" s="425" t="s">
        <v>762</v>
      </c>
      <c r="V270" s="425" t="s">
        <v>762</v>
      </c>
      <c r="W270" s="425" t="s">
        <v>762</v>
      </c>
      <c r="X270" s="425" t="s">
        <v>762</v>
      </c>
      <c r="Y270" s="425" t="s">
        <v>762</v>
      </c>
      <c r="Z270" s="425" t="s">
        <v>762</v>
      </c>
      <c r="AA270" s="425" t="s">
        <v>762</v>
      </c>
      <c r="AB270" s="425" t="s">
        <v>762</v>
      </c>
      <c r="AC270" s="425" t="s">
        <v>762</v>
      </c>
      <c r="AD270" s="425" t="s">
        <v>762</v>
      </c>
      <c r="AE270" s="425" t="s">
        <v>762</v>
      </c>
      <c r="AF270" s="425" t="s">
        <v>762</v>
      </c>
      <c r="AG270" s="425" t="s">
        <v>762</v>
      </c>
      <c r="AH270" s="425" t="s">
        <v>762</v>
      </c>
      <c r="AI270" s="425" t="s">
        <v>762</v>
      </c>
      <c r="AJ270" s="425" t="s">
        <v>762</v>
      </c>
      <c r="AK270" s="425" t="s">
        <v>762</v>
      </c>
      <c r="AL270" s="425" t="s">
        <v>762</v>
      </c>
      <c r="AM270" s="425" t="s">
        <v>762</v>
      </c>
      <c r="AN270" s="425" t="s">
        <v>762</v>
      </c>
      <c r="AO270" s="425" t="s">
        <v>762</v>
      </c>
      <c r="AP270" s="425" t="s">
        <v>762</v>
      </c>
      <c r="AQ270" s="425" t="s">
        <v>762</v>
      </c>
      <c r="AR270" s="425" t="s">
        <v>762</v>
      </c>
      <c r="AS270" s="425" t="s">
        <v>762</v>
      </c>
      <c r="AT270" s="425" t="s">
        <v>762</v>
      </c>
      <c r="AU270" s="425" t="s">
        <v>762</v>
      </c>
      <c r="AV270" s="425" t="s">
        <v>762</v>
      </c>
      <c r="AW270" s="425" t="s">
        <v>762</v>
      </c>
      <c r="AX270" s="425" t="s">
        <v>762</v>
      </c>
      <c r="AY270" s="425" t="s">
        <v>762</v>
      </c>
      <c r="AZ270" s="425" t="s">
        <v>762</v>
      </c>
      <c r="BA270" s="425" t="s">
        <v>762</v>
      </c>
      <c r="BB270" s="425" t="s">
        <v>762</v>
      </c>
      <c r="BC270" s="425" t="s">
        <v>762</v>
      </c>
      <c r="BD270" s="425" t="s">
        <v>762</v>
      </c>
      <c r="BE270" s="425" t="s">
        <v>762</v>
      </c>
      <c r="BF270" s="425" t="s">
        <v>762</v>
      </c>
      <c r="BG270" s="425" t="s">
        <v>762</v>
      </c>
      <c r="BH270" s="425" t="s">
        <v>762</v>
      </c>
      <c r="BI270" s="425" t="s">
        <v>762</v>
      </c>
      <c r="BJ270" s="425" t="s">
        <v>762</v>
      </c>
      <c r="BK270" s="425" t="s">
        <v>762</v>
      </c>
      <c r="BL270" s="425" t="s">
        <v>762</v>
      </c>
      <c r="BM270" s="425" t="s">
        <v>762</v>
      </c>
      <c r="BN270" s="425" t="s">
        <v>762</v>
      </c>
      <c r="BO270" s="425" t="s">
        <v>762</v>
      </c>
      <c r="BP270" s="425" t="s">
        <v>762</v>
      </c>
      <c r="BQ270" s="425" t="s">
        <v>762</v>
      </c>
      <c r="BR270" s="425" t="s">
        <v>762</v>
      </c>
      <c r="BS270" s="425" t="s">
        <v>762</v>
      </c>
      <c r="BT270" s="425" t="s">
        <v>762</v>
      </c>
      <c r="BU270" s="425" t="s">
        <v>762</v>
      </c>
      <c r="BV270" s="425" t="s">
        <v>762</v>
      </c>
      <c r="BW270" s="425" t="s">
        <v>762</v>
      </c>
      <c r="BX270" s="425" t="s">
        <v>762</v>
      </c>
      <c r="BY270" s="425" t="s">
        <v>762</v>
      </c>
      <c r="BZ270" s="425" t="s">
        <v>762</v>
      </c>
      <c r="CA270" s="425" t="s">
        <v>762</v>
      </c>
      <c r="CB270" s="425" t="s">
        <v>762</v>
      </c>
      <c r="CC270" s="425" t="s">
        <v>762</v>
      </c>
      <c r="CD270" s="425" t="s">
        <v>762</v>
      </c>
      <c r="CE270" s="425" t="s">
        <v>762</v>
      </c>
      <c r="CF270" s="425" t="s">
        <v>762</v>
      </c>
      <c r="CG270" s="425" t="s">
        <v>762</v>
      </c>
      <c r="CH270" s="425" t="s">
        <v>762</v>
      </c>
      <c r="CI270" s="425" t="s">
        <v>762</v>
      </c>
      <c r="CJ270" s="425" t="s">
        <v>762</v>
      </c>
      <c r="CK270" s="425" t="s">
        <v>762</v>
      </c>
      <c r="CL270" s="425" t="s">
        <v>762</v>
      </c>
      <c r="CN270" s="438"/>
    </row>
    <row r="271" spans="1:92" s="426" customFormat="1">
      <c r="A271" s="424" t="s">
        <v>551</v>
      </c>
      <c r="B271" s="424" t="s">
        <v>630</v>
      </c>
      <c r="C271" s="425">
        <f t="shared" si="208"/>
        <v>49.6</v>
      </c>
      <c r="D271" s="425">
        <f t="shared" si="263"/>
        <v>49.6</v>
      </c>
      <c r="E271" s="425">
        <f t="shared" si="263"/>
        <v>49.6</v>
      </c>
      <c r="F271" s="425">
        <f t="shared" si="263"/>
        <v>49.6</v>
      </c>
      <c r="G271" s="425">
        <f t="shared" si="263"/>
        <v>49.6</v>
      </c>
      <c r="H271" s="425">
        <f t="shared" si="263"/>
        <v>49.6</v>
      </c>
      <c r="I271" s="425">
        <f t="shared" si="263"/>
        <v>49.6</v>
      </c>
      <c r="J271" s="425">
        <f t="shared" si="263"/>
        <v>49.6</v>
      </c>
      <c r="K271" s="425">
        <f t="shared" si="263"/>
        <v>49.6</v>
      </c>
      <c r="L271" s="425">
        <f t="shared" si="263"/>
        <v>49.6</v>
      </c>
      <c r="M271" s="425" t="s">
        <v>762</v>
      </c>
      <c r="N271" s="425" t="s">
        <v>762</v>
      </c>
      <c r="O271" s="425" t="s">
        <v>762</v>
      </c>
      <c r="P271" s="425" t="s">
        <v>762</v>
      </c>
      <c r="Q271" s="425" t="s">
        <v>762</v>
      </c>
      <c r="R271" s="425" t="s">
        <v>762</v>
      </c>
      <c r="S271" s="425" t="s">
        <v>762</v>
      </c>
      <c r="T271" s="425" t="s">
        <v>762</v>
      </c>
      <c r="U271" s="425" t="s">
        <v>762</v>
      </c>
      <c r="V271" s="425">
        <f t="shared" si="263"/>
        <v>49.6</v>
      </c>
      <c r="W271" s="425">
        <f t="shared" si="263"/>
        <v>49.6</v>
      </c>
      <c r="X271" s="425">
        <f t="shared" si="209"/>
        <v>57.95</v>
      </c>
      <c r="Y271" s="425">
        <f t="shared" si="210"/>
        <v>60.18</v>
      </c>
      <c r="Z271" s="425">
        <f t="shared" si="211"/>
        <v>66.599999999999994</v>
      </c>
      <c r="AA271" s="425">
        <f t="shared" si="212"/>
        <v>68.98</v>
      </c>
      <c r="AB271" s="425">
        <f t="shared" si="213"/>
        <v>71.34</v>
      </c>
      <c r="AC271" s="425">
        <f t="shared" ref="AC271:AD271" si="269">$I763</f>
        <v>73.72</v>
      </c>
      <c r="AD271" s="425">
        <f t="shared" si="269"/>
        <v>73.72</v>
      </c>
      <c r="AE271" s="425" t="s">
        <v>762</v>
      </c>
      <c r="AF271" s="425" t="s">
        <v>762</v>
      </c>
      <c r="AG271" s="425">
        <f t="shared" ref="AG271:AG302" si="270">CH271*1.5</f>
        <v>89.383500000000012</v>
      </c>
      <c r="AH271" s="425" t="s">
        <v>762</v>
      </c>
      <c r="AI271" s="425">
        <f t="shared" ref="AI271:AI302" si="271">CH271*2</f>
        <v>119.17800000000001</v>
      </c>
      <c r="AJ271" s="425" t="s">
        <v>762</v>
      </c>
      <c r="AK271" s="425">
        <f t="shared" ref="AK271:AK302" si="272">CH271*2.5</f>
        <v>148.97250000000003</v>
      </c>
      <c r="AL271" s="425">
        <f t="shared" ref="AL271:AL302" si="273">CI271*3</f>
        <v>126.117</v>
      </c>
      <c r="AM271" s="425" t="s">
        <v>762</v>
      </c>
      <c r="AN271" s="425">
        <f t="shared" ref="AN271:AN302" si="274">CI271*3.5</f>
        <v>147.13650000000001</v>
      </c>
      <c r="AO271" s="425" t="s">
        <v>762</v>
      </c>
      <c r="AP271" s="425">
        <f t="shared" ref="AP271:AP302" si="275">CI271*4</f>
        <v>168.15600000000001</v>
      </c>
      <c r="AQ271" s="425" t="s">
        <v>762</v>
      </c>
      <c r="AR271" s="425">
        <f t="shared" ref="AR271:AR302" si="276">CI271*4.5</f>
        <v>189.1755</v>
      </c>
      <c r="AS271" s="425" t="s">
        <v>762</v>
      </c>
      <c r="AT271" s="425">
        <f t="shared" ref="AT271:AT302" si="277">CJ271*5</f>
        <v>228.75750000000005</v>
      </c>
      <c r="AU271" s="425" t="s">
        <v>762</v>
      </c>
      <c r="AV271" s="425" t="s">
        <v>762</v>
      </c>
      <c r="AW271" s="425" t="s">
        <v>762</v>
      </c>
      <c r="AX271" s="425" t="s">
        <v>762</v>
      </c>
      <c r="AY271" s="425" t="s">
        <v>762</v>
      </c>
      <c r="AZ271" s="425" t="s">
        <v>762</v>
      </c>
      <c r="BA271" s="425">
        <f t="shared" ref="BA271:BA302" si="278">7.5*CK271</f>
        <v>301.01625000000001</v>
      </c>
      <c r="BB271" s="425" t="s">
        <v>762</v>
      </c>
      <c r="BC271" s="425" t="s">
        <v>762</v>
      </c>
      <c r="BD271" s="425" t="s">
        <v>762</v>
      </c>
      <c r="BE271" s="425" t="s">
        <v>762</v>
      </c>
      <c r="BF271" s="425">
        <f t="shared" ref="BF271:BF302" si="279">10*CL271</f>
        <v>411.21000000000004</v>
      </c>
      <c r="BG271" s="425" t="s">
        <v>762</v>
      </c>
      <c r="BH271" s="425" t="s">
        <v>762</v>
      </c>
      <c r="BI271" s="425">
        <f t="shared" ref="BI271:BI302" si="280">12.5*CL271</f>
        <v>514.01250000000005</v>
      </c>
      <c r="BJ271" s="425" t="s">
        <v>762</v>
      </c>
      <c r="BK271" s="425" t="s">
        <v>762</v>
      </c>
      <c r="BL271" s="425">
        <f t="shared" ref="BL271:BL302" si="281">CL271*15</f>
        <v>616.81500000000005</v>
      </c>
      <c r="BM271" s="425" t="s">
        <v>762</v>
      </c>
      <c r="BN271" s="425" t="s">
        <v>762</v>
      </c>
      <c r="BO271" s="425" t="s">
        <v>762</v>
      </c>
      <c r="BP271" s="425" t="s">
        <v>762</v>
      </c>
      <c r="BQ271" s="425" t="s">
        <v>762</v>
      </c>
      <c r="BR271" s="425" t="s">
        <v>762</v>
      </c>
      <c r="BS271" s="425" t="s">
        <v>762</v>
      </c>
      <c r="BT271" s="425" t="s">
        <v>762</v>
      </c>
      <c r="BU271" s="425" t="s">
        <v>762</v>
      </c>
      <c r="BV271" s="425" t="s">
        <v>762</v>
      </c>
      <c r="BW271" s="425" t="s">
        <v>762</v>
      </c>
      <c r="BX271" s="425" t="s">
        <v>762</v>
      </c>
      <c r="BY271" s="425" t="s">
        <v>762</v>
      </c>
      <c r="BZ271" s="425" t="s">
        <v>762</v>
      </c>
      <c r="CA271" s="425" t="s">
        <v>762</v>
      </c>
      <c r="CB271" s="425" t="s">
        <v>762</v>
      </c>
      <c r="CC271" s="425" t="s">
        <v>762</v>
      </c>
      <c r="CD271" s="425" t="s">
        <v>762</v>
      </c>
      <c r="CE271" s="425" t="s">
        <v>762</v>
      </c>
      <c r="CF271" s="425" t="s">
        <v>762</v>
      </c>
      <c r="CG271" s="424" t="s">
        <v>762</v>
      </c>
      <c r="CH271" s="425">
        <f t="shared" si="215"/>
        <v>59.589000000000006</v>
      </c>
      <c r="CI271" s="425">
        <f t="shared" si="242"/>
        <v>42.039000000000001</v>
      </c>
      <c r="CJ271" s="425">
        <f t="shared" si="243"/>
        <v>45.751500000000007</v>
      </c>
      <c r="CK271" s="425">
        <f t="shared" si="244"/>
        <v>40.1355</v>
      </c>
      <c r="CL271" s="425">
        <f t="shared" si="245"/>
        <v>41.121000000000002</v>
      </c>
      <c r="CN271" s="438"/>
    </row>
    <row r="272" spans="1:92" s="426" customFormat="1">
      <c r="A272" s="424" t="s">
        <v>552</v>
      </c>
      <c r="B272" s="424" t="s">
        <v>630</v>
      </c>
      <c r="C272" s="425">
        <f t="shared" si="208"/>
        <v>44.94</v>
      </c>
      <c r="D272" s="425">
        <f t="shared" si="263"/>
        <v>44.94</v>
      </c>
      <c r="E272" s="425">
        <f t="shared" si="263"/>
        <v>44.94</v>
      </c>
      <c r="F272" s="425">
        <f t="shared" si="263"/>
        <v>44.94</v>
      </c>
      <c r="G272" s="425">
        <f t="shared" si="263"/>
        <v>44.94</v>
      </c>
      <c r="H272" s="425">
        <f t="shared" si="263"/>
        <v>44.94</v>
      </c>
      <c r="I272" s="425">
        <f t="shared" si="263"/>
        <v>44.94</v>
      </c>
      <c r="J272" s="425">
        <f t="shared" si="263"/>
        <v>44.94</v>
      </c>
      <c r="K272" s="425">
        <f t="shared" si="263"/>
        <v>44.94</v>
      </c>
      <c r="L272" s="425">
        <f t="shared" si="263"/>
        <v>44.94</v>
      </c>
      <c r="M272" s="425" t="s">
        <v>762</v>
      </c>
      <c r="N272" s="425" t="s">
        <v>762</v>
      </c>
      <c r="O272" s="425" t="s">
        <v>762</v>
      </c>
      <c r="P272" s="425" t="s">
        <v>762</v>
      </c>
      <c r="Q272" s="425" t="s">
        <v>762</v>
      </c>
      <c r="R272" s="425" t="s">
        <v>762</v>
      </c>
      <c r="S272" s="425" t="s">
        <v>762</v>
      </c>
      <c r="T272" s="425" t="s">
        <v>762</v>
      </c>
      <c r="U272" s="425" t="s">
        <v>762</v>
      </c>
      <c r="V272" s="425">
        <f t="shared" si="263"/>
        <v>44.94</v>
      </c>
      <c r="W272" s="425">
        <f t="shared" si="263"/>
        <v>44.94</v>
      </c>
      <c r="X272" s="425">
        <f t="shared" si="209"/>
        <v>52.51</v>
      </c>
      <c r="Y272" s="425">
        <f t="shared" si="210"/>
        <v>54.53</v>
      </c>
      <c r="Z272" s="425">
        <f t="shared" si="211"/>
        <v>59.91</v>
      </c>
      <c r="AA272" s="425">
        <f t="shared" si="212"/>
        <v>62.09</v>
      </c>
      <c r="AB272" s="425">
        <f t="shared" si="213"/>
        <v>64.19</v>
      </c>
      <c r="AC272" s="425">
        <f t="shared" ref="AC272:AD272" si="282">$I764</f>
        <v>66.349999999999994</v>
      </c>
      <c r="AD272" s="425">
        <f t="shared" si="282"/>
        <v>66.349999999999994</v>
      </c>
      <c r="AE272" s="425" t="s">
        <v>762</v>
      </c>
      <c r="AF272" s="425" t="s">
        <v>762</v>
      </c>
      <c r="AG272" s="425">
        <f t="shared" si="270"/>
        <v>80.432999999999993</v>
      </c>
      <c r="AH272" s="425" t="s">
        <v>762</v>
      </c>
      <c r="AI272" s="425">
        <f t="shared" si="271"/>
        <v>107.244</v>
      </c>
      <c r="AJ272" s="425" t="s">
        <v>762</v>
      </c>
      <c r="AK272" s="425">
        <f t="shared" si="272"/>
        <v>134.05500000000001</v>
      </c>
      <c r="AL272" s="425">
        <f t="shared" si="273"/>
        <v>113.48100000000002</v>
      </c>
      <c r="AM272" s="425" t="s">
        <v>762</v>
      </c>
      <c r="AN272" s="425">
        <f t="shared" si="274"/>
        <v>132.39450000000002</v>
      </c>
      <c r="AO272" s="425" t="s">
        <v>762</v>
      </c>
      <c r="AP272" s="425">
        <f t="shared" si="275"/>
        <v>151.30800000000002</v>
      </c>
      <c r="AQ272" s="425" t="s">
        <v>762</v>
      </c>
      <c r="AR272" s="425">
        <f t="shared" si="276"/>
        <v>170.22150000000002</v>
      </c>
      <c r="AS272" s="425" t="s">
        <v>762</v>
      </c>
      <c r="AT272" s="425">
        <f t="shared" si="277"/>
        <v>205.94250000000002</v>
      </c>
      <c r="AU272" s="425" t="s">
        <v>762</v>
      </c>
      <c r="AV272" s="425" t="s">
        <v>762</v>
      </c>
      <c r="AW272" s="425" t="s">
        <v>762</v>
      </c>
      <c r="AX272" s="425" t="s">
        <v>762</v>
      </c>
      <c r="AY272" s="425" t="s">
        <v>762</v>
      </c>
      <c r="AZ272" s="425" t="s">
        <v>762</v>
      </c>
      <c r="BA272" s="425">
        <f t="shared" si="278"/>
        <v>270.84375000000006</v>
      </c>
      <c r="BB272" s="425" t="s">
        <v>762</v>
      </c>
      <c r="BC272" s="425" t="s">
        <v>762</v>
      </c>
      <c r="BD272" s="425" t="s">
        <v>762</v>
      </c>
      <c r="BE272" s="425" t="s">
        <v>762</v>
      </c>
      <c r="BF272" s="425">
        <f t="shared" si="279"/>
        <v>369.90000000000003</v>
      </c>
      <c r="BG272" s="425" t="s">
        <v>762</v>
      </c>
      <c r="BH272" s="425" t="s">
        <v>762</v>
      </c>
      <c r="BI272" s="425">
        <f t="shared" si="280"/>
        <v>462.375</v>
      </c>
      <c r="BJ272" s="425" t="s">
        <v>762</v>
      </c>
      <c r="BK272" s="425" t="s">
        <v>762</v>
      </c>
      <c r="BL272" s="425">
        <f t="shared" si="281"/>
        <v>554.85</v>
      </c>
      <c r="BM272" s="425" t="s">
        <v>762</v>
      </c>
      <c r="BN272" s="425" t="s">
        <v>762</v>
      </c>
      <c r="BO272" s="425" t="s">
        <v>762</v>
      </c>
      <c r="BP272" s="425" t="s">
        <v>762</v>
      </c>
      <c r="BQ272" s="425" t="s">
        <v>762</v>
      </c>
      <c r="BR272" s="425" t="s">
        <v>762</v>
      </c>
      <c r="BS272" s="425" t="s">
        <v>762</v>
      </c>
      <c r="BT272" s="425" t="s">
        <v>762</v>
      </c>
      <c r="BU272" s="425" t="s">
        <v>762</v>
      </c>
      <c r="BV272" s="425" t="s">
        <v>762</v>
      </c>
      <c r="BW272" s="425" t="s">
        <v>762</v>
      </c>
      <c r="BX272" s="425" t="s">
        <v>762</v>
      </c>
      <c r="BY272" s="425" t="s">
        <v>762</v>
      </c>
      <c r="BZ272" s="425" t="s">
        <v>762</v>
      </c>
      <c r="CA272" s="425" t="s">
        <v>762</v>
      </c>
      <c r="CB272" s="425" t="s">
        <v>762</v>
      </c>
      <c r="CC272" s="425" t="s">
        <v>762</v>
      </c>
      <c r="CD272" s="425" t="s">
        <v>762</v>
      </c>
      <c r="CE272" s="425" t="s">
        <v>762</v>
      </c>
      <c r="CF272" s="425" t="s">
        <v>762</v>
      </c>
      <c r="CG272" s="424" t="s">
        <v>762</v>
      </c>
      <c r="CH272" s="425">
        <f t="shared" si="215"/>
        <v>53.622</v>
      </c>
      <c r="CI272" s="425">
        <f t="shared" si="242"/>
        <v>37.827000000000005</v>
      </c>
      <c r="CJ272" s="425">
        <f t="shared" si="243"/>
        <v>41.188500000000005</v>
      </c>
      <c r="CK272" s="425">
        <f t="shared" si="244"/>
        <v>36.112500000000004</v>
      </c>
      <c r="CL272" s="425">
        <f t="shared" si="245"/>
        <v>36.99</v>
      </c>
      <c r="CN272" s="438"/>
    </row>
    <row r="273" spans="1:92" s="426" customFormat="1">
      <c r="A273" s="424" t="s">
        <v>553</v>
      </c>
      <c r="B273" s="424" t="s">
        <v>630</v>
      </c>
      <c r="C273" s="425">
        <f t="shared" si="208"/>
        <v>55.16</v>
      </c>
      <c r="D273" s="425">
        <f t="shared" si="263"/>
        <v>55.16</v>
      </c>
      <c r="E273" s="425">
        <f t="shared" si="263"/>
        <v>55.16</v>
      </c>
      <c r="F273" s="425">
        <f t="shared" si="263"/>
        <v>55.16</v>
      </c>
      <c r="G273" s="425">
        <f t="shared" si="263"/>
        <v>55.16</v>
      </c>
      <c r="H273" s="425">
        <f t="shared" si="263"/>
        <v>55.16</v>
      </c>
      <c r="I273" s="425">
        <f t="shared" si="263"/>
        <v>55.16</v>
      </c>
      <c r="J273" s="425">
        <f t="shared" si="263"/>
        <v>55.16</v>
      </c>
      <c r="K273" s="425">
        <f t="shared" si="263"/>
        <v>55.16</v>
      </c>
      <c r="L273" s="425">
        <f t="shared" si="263"/>
        <v>55.16</v>
      </c>
      <c r="M273" s="425" t="s">
        <v>762</v>
      </c>
      <c r="N273" s="425" t="s">
        <v>762</v>
      </c>
      <c r="O273" s="425" t="s">
        <v>762</v>
      </c>
      <c r="P273" s="425" t="s">
        <v>762</v>
      </c>
      <c r="Q273" s="425" t="s">
        <v>762</v>
      </c>
      <c r="R273" s="425" t="s">
        <v>762</v>
      </c>
      <c r="S273" s="425" t="s">
        <v>762</v>
      </c>
      <c r="T273" s="425" t="s">
        <v>762</v>
      </c>
      <c r="U273" s="425" t="s">
        <v>762</v>
      </c>
      <c r="V273" s="425">
        <f t="shared" si="263"/>
        <v>55.16</v>
      </c>
      <c r="W273" s="425">
        <f t="shared" si="263"/>
        <v>55.16</v>
      </c>
      <c r="X273" s="425">
        <f t="shared" si="209"/>
        <v>64.489999999999995</v>
      </c>
      <c r="Y273" s="425">
        <f t="shared" si="210"/>
        <v>66.97</v>
      </c>
      <c r="Z273" s="425">
        <f t="shared" si="211"/>
        <v>74.58</v>
      </c>
      <c r="AA273" s="425">
        <f t="shared" si="212"/>
        <v>77.23</v>
      </c>
      <c r="AB273" s="425">
        <f t="shared" si="213"/>
        <v>79.91</v>
      </c>
      <c r="AC273" s="425">
        <f t="shared" ref="AC273:AD273" si="283">$I765</f>
        <v>82.58</v>
      </c>
      <c r="AD273" s="425">
        <f t="shared" si="283"/>
        <v>82.58</v>
      </c>
      <c r="AE273" s="425" t="s">
        <v>762</v>
      </c>
      <c r="AF273" s="425" t="s">
        <v>762</v>
      </c>
      <c r="AG273" s="425">
        <f t="shared" si="270"/>
        <v>100.07550000000002</v>
      </c>
      <c r="AH273" s="425" t="s">
        <v>762</v>
      </c>
      <c r="AI273" s="425">
        <f t="shared" si="271"/>
        <v>133.43400000000003</v>
      </c>
      <c r="AJ273" s="425" t="s">
        <v>762</v>
      </c>
      <c r="AK273" s="425">
        <f t="shared" si="272"/>
        <v>166.79250000000002</v>
      </c>
      <c r="AL273" s="425">
        <f t="shared" si="273"/>
        <v>141.26400000000001</v>
      </c>
      <c r="AM273" s="425" t="s">
        <v>762</v>
      </c>
      <c r="AN273" s="425">
        <f t="shared" si="274"/>
        <v>164.80800000000002</v>
      </c>
      <c r="AO273" s="425" t="s">
        <v>762</v>
      </c>
      <c r="AP273" s="425">
        <f t="shared" si="275"/>
        <v>188.35200000000003</v>
      </c>
      <c r="AQ273" s="425" t="s">
        <v>762</v>
      </c>
      <c r="AR273" s="425">
        <f t="shared" si="276"/>
        <v>211.89600000000004</v>
      </c>
      <c r="AS273" s="425" t="s">
        <v>762</v>
      </c>
      <c r="AT273" s="425">
        <f t="shared" si="277"/>
        <v>256.36500000000001</v>
      </c>
      <c r="AU273" s="425" t="s">
        <v>762</v>
      </c>
      <c r="AV273" s="425" t="s">
        <v>762</v>
      </c>
      <c r="AW273" s="425" t="s">
        <v>762</v>
      </c>
      <c r="AX273" s="425" t="s">
        <v>762</v>
      </c>
      <c r="AY273" s="425" t="s">
        <v>762</v>
      </c>
      <c r="AZ273" s="425" t="s">
        <v>762</v>
      </c>
      <c r="BA273" s="425">
        <f t="shared" si="278"/>
        <v>336.96000000000004</v>
      </c>
      <c r="BB273" s="425" t="s">
        <v>762</v>
      </c>
      <c r="BC273" s="425" t="s">
        <v>762</v>
      </c>
      <c r="BD273" s="425" t="s">
        <v>762</v>
      </c>
      <c r="BE273" s="425" t="s">
        <v>762</v>
      </c>
      <c r="BF273" s="425">
        <f t="shared" si="279"/>
        <v>460.48500000000001</v>
      </c>
      <c r="BG273" s="425" t="s">
        <v>762</v>
      </c>
      <c r="BH273" s="425" t="s">
        <v>762</v>
      </c>
      <c r="BI273" s="425">
        <f t="shared" si="280"/>
        <v>575.60625000000005</v>
      </c>
      <c r="BJ273" s="425" t="s">
        <v>762</v>
      </c>
      <c r="BK273" s="425" t="s">
        <v>762</v>
      </c>
      <c r="BL273" s="425">
        <f t="shared" si="281"/>
        <v>690.72750000000008</v>
      </c>
      <c r="BM273" s="425" t="s">
        <v>762</v>
      </c>
      <c r="BN273" s="425" t="s">
        <v>762</v>
      </c>
      <c r="BO273" s="425" t="s">
        <v>762</v>
      </c>
      <c r="BP273" s="425" t="s">
        <v>762</v>
      </c>
      <c r="BQ273" s="425" t="s">
        <v>762</v>
      </c>
      <c r="BR273" s="425" t="s">
        <v>762</v>
      </c>
      <c r="BS273" s="425" t="s">
        <v>762</v>
      </c>
      <c r="BT273" s="425" t="s">
        <v>762</v>
      </c>
      <c r="BU273" s="425" t="s">
        <v>762</v>
      </c>
      <c r="BV273" s="425" t="s">
        <v>762</v>
      </c>
      <c r="BW273" s="425" t="s">
        <v>762</v>
      </c>
      <c r="BX273" s="425" t="s">
        <v>762</v>
      </c>
      <c r="BY273" s="425" t="s">
        <v>762</v>
      </c>
      <c r="BZ273" s="425" t="s">
        <v>762</v>
      </c>
      <c r="CA273" s="425" t="s">
        <v>762</v>
      </c>
      <c r="CB273" s="425" t="s">
        <v>762</v>
      </c>
      <c r="CC273" s="425" t="s">
        <v>762</v>
      </c>
      <c r="CD273" s="425" t="s">
        <v>762</v>
      </c>
      <c r="CE273" s="425" t="s">
        <v>762</v>
      </c>
      <c r="CF273" s="425" t="s">
        <v>762</v>
      </c>
      <c r="CG273" s="424" t="s">
        <v>762</v>
      </c>
      <c r="CH273" s="425">
        <f t="shared" si="215"/>
        <v>66.717000000000013</v>
      </c>
      <c r="CI273" s="425">
        <f t="shared" si="242"/>
        <v>47.088000000000008</v>
      </c>
      <c r="CJ273" s="425">
        <f t="shared" si="243"/>
        <v>51.272999999999996</v>
      </c>
      <c r="CK273" s="425">
        <f t="shared" si="244"/>
        <v>44.928000000000004</v>
      </c>
      <c r="CL273" s="425">
        <f t="shared" si="245"/>
        <v>46.048500000000004</v>
      </c>
      <c r="CN273" s="438"/>
    </row>
    <row r="274" spans="1:92" s="426" customFormat="1">
      <c r="A274" s="424" t="s">
        <v>554</v>
      </c>
      <c r="B274" s="424" t="s">
        <v>630</v>
      </c>
      <c r="C274" s="425">
        <f t="shared" si="208"/>
        <v>31.16</v>
      </c>
      <c r="D274" s="425">
        <f t="shared" si="263"/>
        <v>31.16</v>
      </c>
      <c r="E274" s="425">
        <f t="shared" si="263"/>
        <v>31.16</v>
      </c>
      <c r="F274" s="425">
        <f t="shared" si="263"/>
        <v>31.16</v>
      </c>
      <c r="G274" s="425">
        <f t="shared" si="263"/>
        <v>31.16</v>
      </c>
      <c r="H274" s="425">
        <f t="shared" si="263"/>
        <v>31.16</v>
      </c>
      <c r="I274" s="425">
        <f t="shared" si="263"/>
        <v>31.16</v>
      </c>
      <c r="J274" s="425">
        <f t="shared" si="263"/>
        <v>31.16</v>
      </c>
      <c r="K274" s="425">
        <f t="shared" si="263"/>
        <v>31.16</v>
      </c>
      <c r="L274" s="425">
        <f t="shared" si="263"/>
        <v>31.16</v>
      </c>
      <c r="M274" s="425" t="s">
        <v>762</v>
      </c>
      <c r="N274" s="425" t="s">
        <v>762</v>
      </c>
      <c r="O274" s="425" t="s">
        <v>762</v>
      </c>
      <c r="P274" s="425" t="s">
        <v>762</v>
      </c>
      <c r="Q274" s="425" t="s">
        <v>762</v>
      </c>
      <c r="R274" s="425" t="s">
        <v>762</v>
      </c>
      <c r="S274" s="425" t="s">
        <v>762</v>
      </c>
      <c r="T274" s="425" t="s">
        <v>762</v>
      </c>
      <c r="U274" s="425" t="s">
        <v>762</v>
      </c>
      <c r="V274" s="425">
        <f t="shared" si="263"/>
        <v>31.16</v>
      </c>
      <c r="W274" s="425">
        <f t="shared" si="263"/>
        <v>31.16</v>
      </c>
      <c r="X274" s="425">
        <f t="shared" si="209"/>
        <v>36.39</v>
      </c>
      <c r="Y274" s="425">
        <f t="shared" si="210"/>
        <v>37.79</v>
      </c>
      <c r="Z274" s="425">
        <f t="shared" si="211"/>
        <v>40.22</v>
      </c>
      <c r="AA274" s="425">
        <f t="shared" si="212"/>
        <v>41.65</v>
      </c>
      <c r="AB274" s="425">
        <f t="shared" si="213"/>
        <v>43.09</v>
      </c>
      <c r="AC274" s="425">
        <f t="shared" ref="AC274:AD274" si="284">$I766</f>
        <v>44.52</v>
      </c>
      <c r="AD274" s="425">
        <f t="shared" si="284"/>
        <v>44.52</v>
      </c>
      <c r="AE274" s="425" t="s">
        <v>762</v>
      </c>
      <c r="AF274" s="425" t="s">
        <v>762</v>
      </c>
      <c r="AG274" s="425">
        <f t="shared" si="270"/>
        <v>53.946000000000012</v>
      </c>
      <c r="AH274" s="425" t="s">
        <v>762</v>
      </c>
      <c r="AI274" s="425">
        <f t="shared" si="271"/>
        <v>71.928000000000011</v>
      </c>
      <c r="AJ274" s="425" t="s">
        <v>762</v>
      </c>
      <c r="AK274" s="425">
        <f t="shared" si="272"/>
        <v>89.910000000000011</v>
      </c>
      <c r="AL274" s="425">
        <f t="shared" si="273"/>
        <v>76.140000000000015</v>
      </c>
      <c r="AM274" s="425" t="s">
        <v>762</v>
      </c>
      <c r="AN274" s="425">
        <f t="shared" si="274"/>
        <v>88.830000000000013</v>
      </c>
      <c r="AO274" s="425" t="s">
        <v>762</v>
      </c>
      <c r="AP274" s="425">
        <f t="shared" si="275"/>
        <v>101.52000000000001</v>
      </c>
      <c r="AQ274" s="425" t="s">
        <v>762</v>
      </c>
      <c r="AR274" s="425">
        <f t="shared" si="276"/>
        <v>114.21000000000001</v>
      </c>
      <c r="AS274" s="425" t="s">
        <v>762</v>
      </c>
      <c r="AT274" s="425">
        <f t="shared" si="277"/>
        <v>138.24</v>
      </c>
      <c r="AU274" s="425" t="s">
        <v>762</v>
      </c>
      <c r="AV274" s="425" t="s">
        <v>762</v>
      </c>
      <c r="AW274" s="425" t="s">
        <v>762</v>
      </c>
      <c r="AX274" s="425" t="s">
        <v>762</v>
      </c>
      <c r="AY274" s="425" t="s">
        <v>762</v>
      </c>
      <c r="AZ274" s="425" t="s">
        <v>762</v>
      </c>
      <c r="BA274" s="425">
        <f t="shared" si="278"/>
        <v>181.64250000000004</v>
      </c>
      <c r="BB274" s="425" t="s">
        <v>762</v>
      </c>
      <c r="BC274" s="425" t="s">
        <v>762</v>
      </c>
      <c r="BD274" s="425" t="s">
        <v>762</v>
      </c>
      <c r="BE274" s="425" t="s">
        <v>762</v>
      </c>
      <c r="BF274" s="425">
        <f t="shared" si="279"/>
        <v>248.26500000000004</v>
      </c>
      <c r="BG274" s="425" t="s">
        <v>762</v>
      </c>
      <c r="BH274" s="425" t="s">
        <v>762</v>
      </c>
      <c r="BI274" s="425">
        <f t="shared" si="280"/>
        <v>310.33125000000001</v>
      </c>
      <c r="BJ274" s="425" t="s">
        <v>762</v>
      </c>
      <c r="BK274" s="425" t="s">
        <v>762</v>
      </c>
      <c r="BL274" s="425">
        <f t="shared" si="281"/>
        <v>372.39750000000004</v>
      </c>
      <c r="BM274" s="425" t="s">
        <v>762</v>
      </c>
      <c r="BN274" s="425" t="s">
        <v>762</v>
      </c>
      <c r="BO274" s="425" t="s">
        <v>762</v>
      </c>
      <c r="BP274" s="425" t="s">
        <v>762</v>
      </c>
      <c r="BQ274" s="425" t="s">
        <v>762</v>
      </c>
      <c r="BR274" s="425" t="s">
        <v>762</v>
      </c>
      <c r="BS274" s="425" t="s">
        <v>762</v>
      </c>
      <c r="BT274" s="425" t="s">
        <v>762</v>
      </c>
      <c r="BU274" s="425" t="s">
        <v>762</v>
      </c>
      <c r="BV274" s="425" t="s">
        <v>762</v>
      </c>
      <c r="BW274" s="425" t="s">
        <v>762</v>
      </c>
      <c r="BX274" s="425" t="s">
        <v>762</v>
      </c>
      <c r="BY274" s="425" t="s">
        <v>762</v>
      </c>
      <c r="BZ274" s="425" t="s">
        <v>762</v>
      </c>
      <c r="CA274" s="425" t="s">
        <v>762</v>
      </c>
      <c r="CB274" s="425" t="s">
        <v>762</v>
      </c>
      <c r="CC274" s="425" t="s">
        <v>762</v>
      </c>
      <c r="CD274" s="425" t="s">
        <v>762</v>
      </c>
      <c r="CE274" s="425" t="s">
        <v>762</v>
      </c>
      <c r="CF274" s="425" t="s">
        <v>762</v>
      </c>
      <c r="CG274" s="424" t="s">
        <v>762</v>
      </c>
      <c r="CH274" s="425">
        <f t="shared" si="215"/>
        <v>35.964000000000006</v>
      </c>
      <c r="CI274" s="425">
        <f t="shared" si="242"/>
        <v>25.380000000000003</v>
      </c>
      <c r="CJ274" s="425">
        <f t="shared" si="243"/>
        <v>27.648000000000003</v>
      </c>
      <c r="CK274" s="425">
        <f t="shared" si="244"/>
        <v>24.219000000000005</v>
      </c>
      <c r="CL274" s="425">
        <f t="shared" si="245"/>
        <v>24.826500000000003</v>
      </c>
      <c r="CN274" s="438"/>
    </row>
    <row r="275" spans="1:92" s="426" customFormat="1">
      <c r="A275" s="424" t="s">
        <v>555</v>
      </c>
      <c r="B275" s="424" t="s">
        <v>630</v>
      </c>
      <c r="C275" s="425">
        <f t="shared" si="208"/>
        <v>39.159999999999997</v>
      </c>
      <c r="D275" s="425">
        <f t="shared" si="263"/>
        <v>39.159999999999997</v>
      </c>
      <c r="E275" s="425">
        <f t="shared" si="263"/>
        <v>39.159999999999997</v>
      </c>
      <c r="F275" s="425">
        <f t="shared" si="263"/>
        <v>39.159999999999997</v>
      </c>
      <c r="G275" s="425">
        <f t="shared" si="263"/>
        <v>39.159999999999997</v>
      </c>
      <c r="H275" s="425">
        <f t="shared" si="263"/>
        <v>39.159999999999997</v>
      </c>
      <c r="I275" s="425">
        <f t="shared" si="263"/>
        <v>39.159999999999997</v>
      </c>
      <c r="J275" s="425">
        <f t="shared" si="263"/>
        <v>39.159999999999997</v>
      </c>
      <c r="K275" s="425">
        <f t="shared" si="263"/>
        <v>39.159999999999997</v>
      </c>
      <c r="L275" s="425">
        <f t="shared" si="263"/>
        <v>39.159999999999997</v>
      </c>
      <c r="M275" s="425" t="s">
        <v>762</v>
      </c>
      <c r="N275" s="425" t="s">
        <v>762</v>
      </c>
      <c r="O275" s="425" t="s">
        <v>762</v>
      </c>
      <c r="P275" s="425" t="s">
        <v>762</v>
      </c>
      <c r="Q275" s="425" t="s">
        <v>762</v>
      </c>
      <c r="R275" s="425" t="s">
        <v>762</v>
      </c>
      <c r="S275" s="425" t="s">
        <v>762</v>
      </c>
      <c r="T275" s="425" t="s">
        <v>762</v>
      </c>
      <c r="U275" s="425" t="s">
        <v>762</v>
      </c>
      <c r="V275" s="425">
        <f t="shared" si="263"/>
        <v>39.159999999999997</v>
      </c>
      <c r="W275" s="425">
        <f t="shared" si="263"/>
        <v>39.159999999999997</v>
      </c>
      <c r="X275" s="425">
        <f t="shared" si="209"/>
        <v>45.76</v>
      </c>
      <c r="Y275" s="425">
        <f t="shared" si="210"/>
        <v>47.52</v>
      </c>
      <c r="Z275" s="425">
        <f t="shared" si="211"/>
        <v>51.67</v>
      </c>
      <c r="AA275" s="425">
        <f t="shared" si="212"/>
        <v>53.52</v>
      </c>
      <c r="AB275" s="425">
        <f t="shared" si="213"/>
        <v>55.36</v>
      </c>
      <c r="AC275" s="425">
        <f t="shared" ref="AC275:AD275" si="285">$I767</f>
        <v>57.2</v>
      </c>
      <c r="AD275" s="425">
        <f t="shared" si="285"/>
        <v>57.2</v>
      </c>
      <c r="AE275" s="425" t="s">
        <v>762</v>
      </c>
      <c r="AF275" s="425" t="s">
        <v>762</v>
      </c>
      <c r="AG275" s="425">
        <f t="shared" si="270"/>
        <v>69.336000000000013</v>
      </c>
      <c r="AH275" s="425" t="s">
        <v>762</v>
      </c>
      <c r="AI275" s="425">
        <f t="shared" si="271"/>
        <v>92.448000000000008</v>
      </c>
      <c r="AJ275" s="425" t="s">
        <v>762</v>
      </c>
      <c r="AK275" s="425">
        <f t="shared" si="272"/>
        <v>115.56</v>
      </c>
      <c r="AL275" s="425">
        <f t="shared" si="273"/>
        <v>97.888500000000022</v>
      </c>
      <c r="AM275" s="425" t="s">
        <v>762</v>
      </c>
      <c r="AN275" s="425">
        <f t="shared" si="274"/>
        <v>114.20325000000003</v>
      </c>
      <c r="AO275" s="425" t="s">
        <v>762</v>
      </c>
      <c r="AP275" s="425">
        <f t="shared" si="275"/>
        <v>130.51800000000003</v>
      </c>
      <c r="AQ275" s="425" t="s">
        <v>762</v>
      </c>
      <c r="AR275" s="425">
        <f t="shared" si="276"/>
        <v>146.83275000000003</v>
      </c>
      <c r="AS275" s="425" t="s">
        <v>762</v>
      </c>
      <c r="AT275" s="425">
        <f t="shared" si="277"/>
        <v>177.59250000000003</v>
      </c>
      <c r="AU275" s="425" t="s">
        <v>762</v>
      </c>
      <c r="AV275" s="425" t="s">
        <v>762</v>
      </c>
      <c r="AW275" s="425" t="s">
        <v>762</v>
      </c>
      <c r="AX275" s="425" t="s">
        <v>762</v>
      </c>
      <c r="AY275" s="425" t="s">
        <v>762</v>
      </c>
      <c r="AZ275" s="425" t="s">
        <v>762</v>
      </c>
      <c r="BA275" s="425">
        <f t="shared" si="278"/>
        <v>233.48250000000002</v>
      </c>
      <c r="BB275" s="425" t="s">
        <v>762</v>
      </c>
      <c r="BC275" s="425" t="s">
        <v>762</v>
      </c>
      <c r="BD275" s="425" t="s">
        <v>762</v>
      </c>
      <c r="BE275" s="425" t="s">
        <v>762</v>
      </c>
      <c r="BF275" s="425">
        <f t="shared" si="279"/>
        <v>318.87000000000006</v>
      </c>
      <c r="BG275" s="425" t="s">
        <v>762</v>
      </c>
      <c r="BH275" s="425" t="s">
        <v>762</v>
      </c>
      <c r="BI275" s="425">
        <f t="shared" si="280"/>
        <v>398.58750000000003</v>
      </c>
      <c r="BJ275" s="425" t="s">
        <v>762</v>
      </c>
      <c r="BK275" s="425" t="s">
        <v>762</v>
      </c>
      <c r="BL275" s="425">
        <f t="shared" si="281"/>
        <v>478.30500000000006</v>
      </c>
      <c r="BM275" s="425" t="s">
        <v>762</v>
      </c>
      <c r="BN275" s="425" t="s">
        <v>762</v>
      </c>
      <c r="BO275" s="425" t="s">
        <v>762</v>
      </c>
      <c r="BP275" s="425" t="s">
        <v>762</v>
      </c>
      <c r="BQ275" s="425" t="s">
        <v>762</v>
      </c>
      <c r="BR275" s="425" t="s">
        <v>762</v>
      </c>
      <c r="BS275" s="425" t="s">
        <v>762</v>
      </c>
      <c r="BT275" s="425" t="s">
        <v>762</v>
      </c>
      <c r="BU275" s="425" t="s">
        <v>762</v>
      </c>
      <c r="BV275" s="425" t="s">
        <v>762</v>
      </c>
      <c r="BW275" s="425" t="s">
        <v>762</v>
      </c>
      <c r="BX275" s="425" t="s">
        <v>762</v>
      </c>
      <c r="BY275" s="425" t="s">
        <v>762</v>
      </c>
      <c r="BZ275" s="425" t="s">
        <v>762</v>
      </c>
      <c r="CA275" s="425" t="s">
        <v>762</v>
      </c>
      <c r="CB275" s="425" t="s">
        <v>762</v>
      </c>
      <c r="CC275" s="425" t="s">
        <v>762</v>
      </c>
      <c r="CD275" s="425" t="s">
        <v>762</v>
      </c>
      <c r="CE275" s="425" t="s">
        <v>762</v>
      </c>
      <c r="CF275" s="425" t="s">
        <v>762</v>
      </c>
      <c r="CG275" s="424" t="s">
        <v>762</v>
      </c>
      <c r="CH275" s="425">
        <f t="shared" si="215"/>
        <v>46.224000000000004</v>
      </c>
      <c r="CI275" s="425">
        <f t="shared" si="242"/>
        <v>32.629500000000007</v>
      </c>
      <c r="CJ275" s="425">
        <f t="shared" si="243"/>
        <v>35.518500000000003</v>
      </c>
      <c r="CK275" s="425">
        <f t="shared" si="244"/>
        <v>31.131</v>
      </c>
      <c r="CL275" s="425">
        <f t="shared" si="245"/>
        <v>31.887000000000004</v>
      </c>
      <c r="CN275" s="438"/>
    </row>
    <row r="276" spans="1:92" s="426" customFormat="1">
      <c r="A276" s="424" t="s">
        <v>556</v>
      </c>
      <c r="B276" s="424" t="s">
        <v>630</v>
      </c>
      <c r="C276" s="425">
        <f t="shared" si="208"/>
        <v>33.74</v>
      </c>
      <c r="D276" s="425">
        <f t="shared" si="263"/>
        <v>33.74</v>
      </c>
      <c r="E276" s="425">
        <f t="shared" si="263"/>
        <v>33.74</v>
      </c>
      <c r="F276" s="425">
        <f t="shared" si="263"/>
        <v>33.74</v>
      </c>
      <c r="G276" s="425">
        <f t="shared" si="263"/>
        <v>33.74</v>
      </c>
      <c r="H276" s="425">
        <f t="shared" si="263"/>
        <v>33.74</v>
      </c>
      <c r="I276" s="425">
        <f t="shared" si="263"/>
        <v>33.74</v>
      </c>
      <c r="J276" s="425">
        <f t="shared" si="263"/>
        <v>33.74</v>
      </c>
      <c r="K276" s="425">
        <f t="shared" si="263"/>
        <v>33.74</v>
      </c>
      <c r="L276" s="425">
        <f t="shared" si="263"/>
        <v>33.74</v>
      </c>
      <c r="M276" s="425" t="s">
        <v>762</v>
      </c>
      <c r="N276" s="425" t="s">
        <v>762</v>
      </c>
      <c r="O276" s="425" t="s">
        <v>762</v>
      </c>
      <c r="P276" s="425" t="s">
        <v>762</v>
      </c>
      <c r="Q276" s="425" t="s">
        <v>762</v>
      </c>
      <c r="R276" s="425" t="s">
        <v>762</v>
      </c>
      <c r="S276" s="425" t="s">
        <v>762</v>
      </c>
      <c r="T276" s="425" t="s">
        <v>762</v>
      </c>
      <c r="U276" s="425" t="s">
        <v>762</v>
      </c>
      <c r="V276" s="425">
        <f t="shared" si="263"/>
        <v>33.74</v>
      </c>
      <c r="W276" s="425">
        <f t="shared" si="263"/>
        <v>33.74</v>
      </c>
      <c r="X276" s="425">
        <f t="shared" si="209"/>
        <v>39.42</v>
      </c>
      <c r="Y276" s="425">
        <f t="shared" si="210"/>
        <v>40.96</v>
      </c>
      <c r="Z276" s="425">
        <f t="shared" si="211"/>
        <v>43.94</v>
      </c>
      <c r="AA276" s="425">
        <f t="shared" si="212"/>
        <v>45.51</v>
      </c>
      <c r="AB276" s="425">
        <f t="shared" si="213"/>
        <v>47.08</v>
      </c>
      <c r="AC276" s="425">
        <f t="shared" ref="AC276:AD276" si="286">$I768</f>
        <v>48.65</v>
      </c>
      <c r="AD276" s="425">
        <f t="shared" si="286"/>
        <v>48.65</v>
      </c>
      <c r="AE276" s="425" t="s">
        <v>762</v>
      </c>
      <c r="AF276" s="425" t="s">
        <v>762</v>
      </c>
      <c r="AG276" s="425">
        <f t="shared" si="270"/>
        <v>58.988249999999994</v>
      </c>
      <c r="AH276" s="425" t="s">
        <v>762</v>
      </c>
      <c r="AI276" s="425">
        <f t="shared" si="271"/>
        <v>78.650999999999996</v>
      </c>
      <c r="AJ276" s="425" t="s">
        <v>762</v>
      </c>
      <c r="AK276" s="425">
        <f t="shared" si="272"/>
        <v>98.313749999999999</v>
      </c>
      <c r="AL276" s="425">
        <f t="shared" si="273"/>
        <v>83.227500000000006</v>
      </c>
      <c r="AM276" s="425" t="s">
        <v>762</v>
      </c>
      <c r="AN276" s="425">
        <f t="shared" si="274"/>
        <v>97.09875000000001</v>
      </c>
      <c r="AO276" s="425" t="s">
        <v>762</v>
      </c>
      <c r="AP276" s="425">
        <f t="shared" si="275"/>
        <v>110.97000000000001</v>
      </c>
      <c r="AQ276" s="425" t="s">
        <v>762</v>
      </c>
      <c r="AR276" s="425">
        <f t="shared" si="276"/>
        <v>124.84125000000002</v>
      </c>
      <c r="AS276" s="425" t="s">
        <v>762</v>
      </c>
      <c r="AT276" s="425">
        <f t="shared" si="277"/>
        <v>151.065</v>
      </c>
      <c r="AU276" s="425" t="s">
        <v>762</v>
      </c>
      <c r="AV276" s="425" t="s">
        <v>762</v>
      </c>
      <c r="AW276" s="425" t="s">
        <v>762</v>
      </c>
      <c r="AX276" s="425" t="s">
        <v>762</v>
      </c>
      <c r="AY276" s="425" t="s">
        <v>762</v>
      </c>
      <c r="AZ276" s="425" t="s">
        <v>762</v>
      </c>
      <c r="BA276" s="425">
        <f t="shared" si="278"/>
        <v>198.6525</v>
      </c>
      <c r="BB276" s="425" t="s">
        <v>762</v>
      </c>
      <c r="BC276" s="425" t="s">
        <v>762</v>
      </c>
      <c r="BD276" s="425" t="s">
        <v>762</v>
      </c>
      <c r="BE276" s="425" t="s">
        <v>762</v>
      </c>
      <c r="BF276" s="425">
        <f t="shared" si="279"/>
        <v>271.21500000000003</v>
      </c>
      <c r="BG276" s="425" t="s">
        <v>762</v>
      </c>
      <c r="BH276" s="425" t="s">
        <v>762</v>
      </c>
      <c r="BI276" s="425">
        <f t="shared" si="280"/>
        <v>339.01875000000001</v>
      </c>
      <c r="BJ276" s="425" t="s">
        <v>762</v>
      </c>
      <c r="BK276" s="425" t="s">
        <v>762</v>
      </c>
      <c r="BL276" s="425">
        <f t="shared" si="281"/>
        <v>406.82249999999999</v>
      </c>
      <c r="BM276" s="425" t="s">
        <v>762</v>
      </c>
      <c r="BN276" s="425" t="s">
        <v>762</v>
      </c>
      <c r="BO276" s="425" t="s">
        <v>762</v>
      </c>
      <c r="BP276" s="425" t="s">
        <v>762</v>
      </c>
      <c r="BQ276" s="425" t="s">
        <v>762</v>
      </c>
      <c r="BR276" s="425" t="s">
        <v>762</v>
      </c>
      <c r="BS276" s="425" t="s">
        <v>762</v>
      </c>
      <c r="BT276" s="425" t="s">
        <v>762</v>
      </c>
      <c r="BU276" s="425" t="s">
        <v>762</v>
      </c>
      <c r="BV276" s="425" t="s">
        <v>762</v>
      </c>
      <c r="BW276" s="425" t="s">
        <v>762</v>
      </c>
      <c r="BX276" s="425" t="s">
        <v>762</v>
      </c>
      <c r="BY276" s="425" t="s">
        <v>762</v>
      </c>
      <c r="BZ276" s="425" t="s">
        <v>762</v>
      </c>
      <c r="CA276" s="425" t="s">
        <v>762</v>
      </c>
      <c r="CB276" s="425" t="s">
        <v>762</v>
      </c>
      <c r="CC276" s="425" t="s">
        <v>762</v>
      </c>
      <c r="CD276" s="425" t="s">
        <v>762</v>
      </c>
      <c r="CE276" s="425" t="s">
        <v>762</v>
      </c>
      <c r="CF276" s="425" t="s">
        <v>762</v>
      </c>
      <c r="CG276" s="424" t="s">
        <v>762</v>
      </c>
      <c r="CH276" s="425">
        <f t="shared" si="215"/>
        <v>39.325499999999998</v>
      </c>
      <c r="CI276" s="425">
        <f t="shared" si="242"/>
        <v>27.742500000000003</v>
      </c>
      <c r="CJ276" s="425">
        <f t="shared" si="243"/>
        <v>30.213000000000001</v>
      </c>
      <c r="CK276" s="425">
        <f t="shared" si="244"/>
        <v>26.487000000000002</v>
      </c>
      <c r="CL276" s="425">
        <f t="shared" si="245"/>
        <v>27.121500000000001</v>
      </c>
      <c r="CN276" s="438"/>
    </row>
    <row r="277" spans="1:92" s="426" customFormat="1">
      <c r="A277" s="424" t="s">
        <v>557</v>
      </c>
      <c r="B277" s="424" t="s">
        <v>630</v>
      </c>
      <c r="C277" s="425">
        <f t="shared" si="208"/>
        <v>49.51</v>
      </c>
      <c r="D277" s="425">
        <f t="shared" si="263"/>
        <v>49.51</v>
      </c>
      <c r="E277" s="425">
        <f t="shared" si="263"/>
        <v>49.51</v>
      </c>
      <c r="F277" s="425">
        <f t="shared" si="263"/>
        <v>49.51</v>
      </c>
      <c r="G277" s="425">
        <f t="shared" si="263"/>
        <v>49.51</v>
      </c>
      <c r="H277" s="425">
        <f t="shared" si="263"/>
        <v>49.51</v>
      </c>
      <c r="I277" s="425">
        <f t="shared" si="263"/>
        <v>49.51</v>
      </c>
      <c r="J277" s="425">
        <f t="shared" si="263"/>
        <v>49.51</v>
      </c>
      <c r="K277" s="425">
        <f t="shared" si="263"/>
        <v>49.51</v>
      </c>
      <c r="L277" s="425">
        <f t="shared" si="263"/>
        <v>49.51</v>
      </c>
      <c r="M277" s="425" t="s">
        <v>762</v>
      </c>
      <c r="N277" s="425" t="s">
        <v>762</v>
      </c>
      <c r="O277" s="425" t="s">
        <v>762</v>
      </c>
      <c r="P277" s="425" t="s">
        <v>762</v>
      </c>
      <c r="Q277" s="425" t="s">
        <v>762</v>
      </c>
      <c r="R277" s="425" t="s">
        <v>762</v>
      </c>
      <c r="S277" s="425" t="s">
        <v>762</v>
      </c>
      <c r="T277" s="425" t="s">
        <v>762</v>
      </c>
      <c r="U277" s="425" t="s">
        <v>762</v>
      </c>
      <c r="V277" s="425">
        <f t="shared" si="263"/>
        <v>49.51</v>
      </c>
      <c r="W277" s="425">
        <f t="shared" si="263"/>
        <v>49.51</v>
      </c>
      <c r="X277" s="425">
        <f t="shared" si="209"/>
        <v>57.89</v>
      </c>
      <c r="Y277" s="425">
        <f t="shared" si="210"/>
        <v>60.1</v>
      </c>
      <c r="Z277" s="425">
        <f t="shared" si="211"/>
        <v>66.5</v>
      </c>
      <c r="AA277" s="425">
        <f t="shared" si="212"/>
        <v>68.87</v>
      </c>
      <c r="AB277" s="425">
        <f t="shared" si="213"/>
        <v>71.25</v>
      </c>
      <c r="AC277" s="425">
        <f t="shared" ref="AC277:AD277" si="287">$I769</f>
        <v>73.62</v>
      </c>
      <c r="AD277" s="425">
        <f t="shared" si="287"/>
        <v>73.62</v>
      </c>
      <c r="AE277" s="425" t="s">
        <v>762</v>
      </c>
      <c r="AF277" s="425" t="s">
        <v>762</v>
      </c>
      <c r="AG277" s="425">
        <f t="shared" si="270"/>
        <v>89.22150000000002</v>
      </c>
      <c r="AH277" s="425" t="s">
        <v>762</v>
      </c>
      <c r="AI277" s="425">
        <f t="shared" si="271"/>
        <v>118.96200000000002</v>
      </c>
      <c r="AJ277" s="425" t="s">
        <v>762</v>
      </c>
      <c r="AK277" s="425">
        <f t="shared" si="272"/>
        <v>148.70250000000001</v>
      </c>
      <c r="AL277" s="425">
        <f t="shared" si="273"/>
        <v>125.99549999999999</v>
      </c>
      <c r="AM277" s="425" t="s">
        <v>762</v>
      </c>
      <c r="AN277" s="425">
        <f t="shared" si="274"/>
        <v>146.99475000000001</v>
      </c>
      <c r="AO277" s="425" t="s">
        <v>762</v>
      </c>
      <c r="AP277" s="425">
        <f t="shared" si="275"/>
        <v>167.994</v>
      </c>
      <c r="AQ277" s="425" t="s">
        <v>762</v>
      </c>
      <c r="AR277" s="425">
        <f t="shared" si="276"/>
        <v>188.99324999999999</v>
      </c>
      <c r="AS277" s="425" t="s">
        <v>762</v>
      </c>
      <c r="AT277" s="425">
        <f t="shared" si="277"/>
        <v>228.42000000000002</v>
      </c>
      <c r="AU277" s="425" t="s">
        <v>762</v>
      </c>
      <c r="AV277" s="425" t="s">
        <v>762</v>
      </c>
      <c r="AW277" s="425" t="s">
        <v>762</v>
      </c>
      <c r="AX277" s="425" t="s">
        <v>762</v>
      </c>
      <c r="AY277" s="425" t="s">
        <v>762</v>
      </c>
      <c r="AZ277" s="425" t="s">
        <v>762</v>
      </c>
      <c r="BA277" s="425">
        <f t="shared" si="278"/>
        <v>300.61125000000004</v>
      </c>
      <c r="BB277" s="425" t="s">
        <v>762</v>
      </c>
      <c r="BC277" s="425" t="s">
        <v>762</v>
      </c>
      <c r="BD277" s="425" t="s">
        <v>762</v>
      </c>
      <c r="BE277" s="425" t="s">
        <v>762</v>
      </c>
      <c r="BF277" s="425">
        <f t="shared" si="279"/>
        <v>410.53499999999997</v>
      </c>
      <c r="BG277" s="425" t="s">
        <v>762</v>
      </c>
      <c r="BH277" s="425" t="s">
        <v>762</v>
      </c>
      <c r="BI277" s="425">
        <f t="shared" si="280"/>
        <v>513.16875000000005</v>
      </c>
      <c r="BJ277" s="425" t="s">
        <v>762</v>
      </c>
      <c r="BK277" s="425" t="s">
        <v>762</v>
      </c>
      <c r="BL277" s="425">
        <f t="shared" si="281"/>
        <v>615.80250000000001</v>
      </c>
      <c r="BM277" s="425" t="s">
        <v>762</v>
      </c>
      <c r="BN277" s="425" t="s">
        <v>762</v>
      </c>
      <c r="BO277" s="425" t="s">
        <v>762</v>
      </c>
      <c r="BP277" s="425" t="s">
        <v>762</v>
      </c>
      <c r="BQ277" s="425" t="s">
        <v>762</v>
      </c>
      <c r="BR277" s="425" t="s">
        <v>762</v>
      </c>
      <c r="BS277" s="425" t="s">
        <v>762</v>
      </c>
      <c r="BT277" s="425" t="s">
        <v>762</v>
      </c>
      <c r="BU277" s="425" t="s">
        <v>762</v>
      </c>
      <c r="BV277" s="425" t="s">
        <v>762</v>
      </c>
      <c r="BW277" s="425" t="s">
        <v>762</v>
      </c>
      <c r="BX277" s="425" t="s">
        <v>762</v>
      </c>
      <c r="BY277" s="425" t="s">
        <v>762</v>
      </c>
      <c r="BZ277" s="425" t="s">
        <v>762</v>
      </c>
      <c r="CA277" s="425" t="s">
        <v>762</v>
      </c>
      <c r="CB277" s="425" t="s">
        <v>762</v>
      </c>
      <c r="CC277" s="425" t="s">
        <v>762</v>
      </c>
      <c r="CD277" s="425" t="s">
        <v>762</v>
      </c>
      <c r="CE277" s="425" t="s">
        <v>762</v>
      </c>
      <c r="CF277" s="425" t="s">
        <v>762</v>
      </c>
      <c r="CG277" s="424" t="s">
        <v>762</v>
      </c>
      <c r="CH277" s="425">
        <f t="shared" si="215"/>
        <v>59.481000000000009</v>
      </c>
      <c r="CI277" s="425">
        <f t="shared" si="242"/>
        <v>41.9985</v>
      </c>
      <c r="CJ277" s="425">
        <f t="shared" si="243"/>
        <v>45.684000000000005</v>
      </c>
      <c r="CK277" s="425">
        <f t="shared" si="244"/>
        <v>40.081500000000005</v>
      </c>
      <c r="CL277" s="425">
        <f t="shared" si="245"/>
        <v>41.0535</v>
      </c>
      <c r="CN277" s="438"/>
    </row>
    <row r="278" spans="1:92" s="426" customFormat="1">
      <c r="A278" s="424" t="s">
        <v>558</v>
      </c>
      <c r="B278" s="424" t="s">
        <v>630</v>
      </c>
      <c r="C278" s="425">
        <f t="shared" si="208"/>
        <v>61.91</v>
      </c>
      <c r="D278" s="425">
        <f t="shared" si="263"/>
        <v>61.91</v>
      </c>
      <c r="E278" s="425">
        <f t="shared" si="263"/>
        <v>61.91</v>
      </c>
      <c r="F278" s="425">
        <f t="shared" si="263"/>
        <v>61.91</v>
      </c>
      <c r="G278" s="425">
        <f t="shared" si="263"/>
        <v>61.91</v>
      </c>
      <c r="H278" s="425">
        <f t="shared" si="263"/>
        <v>61.91</v>
      </c>
      <c r="I278" s="425">
        <f t="shared" si="263"/>
        <v>61.91</v>
      </c>
      <c r="J278" s="425">
        <f t="shared" si="263"/>
        <v>61.91</v>
      </c>
      <c r="K278" s="425">
        <f t="shared" si="263"/>
        <v>61.91</v>
      </c>
      <c r="L278" s="425">
        <f t="shared" si="263"/>
        <v>61.91</v>
      </c>
      <c r="M278" s="425" t="s">
        <v>762</v>
      </c>
      <c r="N278" s="425" t="s">
        <v>762</v>
      </c>
      <c r="O278" s="425" t="s">
        <v>762</v>
      </c>
      <c r="P278" s="425" t="s">
        <v>762</v>
      </c>
      <c r="Q278" s="425" t="s">
        <v>762</v>
      </c>
      <c r="R278" s="425" t="s">
        <v>762</v>
      </c>
      <c r="S278" s="425" t="s">
        <v>762</v>
      </c>
      <c r="T278" s="425" t="s">
        <v>762</v>
      </c>
      <c r="U278" s="425" t="s">
        <v>762</v>
      </c>
      <c r="V278" s="425">
        <f t="shared" si="263"/>
        <v>61.91</v>
      </c>
      <c r="W278" s="425">
        <f t="shared" si="263"/>
        <v>61.91</v>
      </c>
      <c r="X278" s="425">
        <f t="shared" si="209"/>
        <v>72.34</v>
      </c>
      <c r="Y278" s="425">
        <f t="shared" si="210"/>
        <v>75.12</v>
      </c>
      <c r="Z278" s="425">
        <f t="shared" si="211"/>
        <v>83.14</v>
      </c>
      <c r="AA278" s="425">
        <f t="shared" si="212"/>
        <v>86.08</v>
      </c>
      <c r="AB278" s="425">
        <f t="shared" si="213"/>
        <v>89.08</v>
      </c>
      <c r="AC278" s="425">
        <f t="shared" ref="AC278:AD278" si="288">$I770</f>
        <v>92.04</v>
      </c>
      <c r="AD278" s="425">
        <f t="shared" si="288"/>
        <v>92.04</v>
      </c>
      <c r="AE278" s="425" t="s">
        <v>762</v>
      </c>
      <c r="AF278" s="425" t="s">
        <v>762</v>
      </c>
      <c r="AG278" s="425">
        <f t="shared" si="270"/>
        <v>111.53700000000001</v>
      </c>
      <c r="AH278" s="425" t="s">
        <v>762</v>
      </c>
      <c r="AI278" s="425">
        <f t="shared" si="271"/>
        <v>148.71600000000001</v>
      </c>
      <c r="AJ278" s="425" t="s">
        <v>762</v>
      </c>
      <c r="AK278" s="425">
        <f t="shared" si="272"/>
        <v>185.89500000000001</v>
      </c>
      <c r="AL278" s="425">
        <f t="shared" si="273"/>
        <v>157.38300000000001</v>
      </c>
      <c r="AM278" s="425" t="s">
        <v>762</v>
      </c>
      <c r="AN278" s="425">
        <f t="shared" si="274"/>
        <v>183.61350000000002</v>
      </c>
      <c r="AO278" s="425" t="s">
        <v>762</v>
      </c>
      <c r="AP278" s="425">
        <f t="shared" si="275"/>
        <v>209.84400000000002</v>
      </c>
      <c r="AQ278" s="425" t="s">
        <v>762</v>
      </c>
      <c r="AR278" s="425">
        <f t="shared" si="276"/>
        <v>236.07450000000003</v>
      </c>
      <c r="AS278" s="425" t="s">
        <v>762</v>
      </c>
      <c r="AT278" s="425">
        <f t="shared" si="277"/>
        <v>285.72749999999996</v>
      </c>
      <c r="AU278" s="425" t="s">
        <v>762</v>
      </c>
      <c r="AV278" s="425" t="s">
        <v>762</v>
      </c>
      <c r="AW278" s="425" t="s">
        <v>762</v>
      </c>
      <c r="AX278" s="425" t="s">
        <v>762</v>
      </c>
      <c r="AY278" s="425" t="s">
        <v>762</v>
      </c>
      <c r="AZ278" s="425" t="s">
        <v>762</v>
      </c>
      <c r="BA278" s="425">
        <f t="shared" si="278"/>
        <v>375.73874999999998</v>
      </c>
      <c r="BB278" s="425" t="s">
        <v>762</v>
      </c>
      <c r="BC278" s="425" t="s">
        <v>762</v>
      </c>
      <c r="BD278" s="425" t="s">
        <v>762</v>
      </c>
      <c r="BE278" s="425" t="s">
        <v>762</v>
      </c>
      <c r="BF278" s="425">
        <f t="shared" si="279"/>
        <v>513.13499999999999</v>
      </c>
      <c r="BG278" s="425" t="s">
        <v>762</v>
      </c>
      <c r="BH278" s="425" t="s">
        <v>762</v>
      </c>
      <c r="BI278" s="425">
        <f t="shared" si="280"/>
        <v>641.41874999999993</v>
      </c>
      <c r="BJ278" s="425" t="s">
        <v>762</v>
      </c>
      <c r="BK278" s="425" t="s">
        <v>762</v>
      </c>
      <c r="BL278" s="425">
        <f t="shared" si="281"/>
        <v>769.70249999999999</v>
      </c>
      <c r="BM278" s="425" t="s">
        <v>762</v>
      </c>
      <c r="BN278" s="425" t="s">
        <v>762</v>
      </c>
      <c r="BO278" s="425" t="s">
        <v>762</v>
      </c>
      <c r="BP278" s="425" t="s">
        <v>762</v>
      </c>
      <c r="BQ278" s="425" t="s">
        <v>762</v>
      </c>
      <c r="BR278" s="425" t="s">
        <v>762</v>
      </c>
      <c r="BS278" s="425" t="s">
        <v>762</v>
      </c>
      <c r="BT278" s="425" t="s">
        <v>762</v>
      </c>
      <c r="BU278" s="425" t="s">
        <v>762</v>
      </c>
      <c r="BV278" s="425" t="s">
        <v>762</v>
      </c>
      <c r="BW278" s="425" t="s">
        <v>762</v>
      </c>
      <c r="BX278" s="425" t="s">
        <v>762</v>
      </c>
      <c r="BY278" s="425" t="s">
        <v>762</v>
      </c>
      <c r="BZ278" s="425" t="s">
        <v>762</v>
      </c>
      <c r="CA278" s="425" t="s">
        <v>762</v>
      </c>
      <c r="CB278" s="425" t="s">
        <v>762</v>
      </c>
      <c r="CC278" s="425" t="s">
        <v>762</v>
      </c>
      <c r="CD278" s="425" t="s">
        <v>762</v>
      </c>
      <c r="CE278" s="425" t="s">
        <v>762</v>
      </c>
      <c r="CF278" s="425" t="s">
        <v>762</v>
      </c>
      <c r="CG278" s="424" t="s">
        <v>762</v>
      </c>
      <c r="CH278" s="425">
        <f t="shared" si="215"/>
        <v>74.358000000000004</v>
      </c>
      <c r="CI278" s="425">
        <f t="shared" si="242"/>
        <v>52.461000000000006</v>
      </c>
      <c r="CJ278" s="425">
        <f t="shared" si="243"/>
        <v>57.145499999999998</v>
      </c>
      <c r="CK278" s="425">
        <f t="shared" si="244"/>
        <v>50.098500000000001</v>
      </c>
      <c r="CL278" s="425">
        <f t="shared" si="245"/>
        <v>51.313499999999998</v>
      </c>
      <c r="CN278" s="438"/>
    </row>
    <row r="279" spans="1:92" s="426" customFormat="1">
      <c r="A279" s="424" t="s">
        <v>559</v>
      </c>
      <c r="B279" s="424" t="s">
        <v>630</v>
      </c>
      <c r="C279" s="425">
        <f t="shared" si="208"/>
        <v>45.33</v>
      </c>
      <c r="D279" s="425">
        <f t="shared" si="263"/>
        <v>45.33</v>
      </c>
      <c r="E279" s="425">
        <f t="shared" si="263"/>
        <v>45.33</v>
      </c>
      <c r="F279" s="425">
        <f t="shared" si="263"/>
        <v>45.33</v>
      </c>
      <c r="G279" s="425">
        <f t="shared" si="263"/>
        <v>45.33</v>
      </c>
      <c r="H279" s="425">
        <f t="shared" si="263"/>
        <v>45.33</v>
      </c>
      <c r="I279" s="425">
        <f t="shared" si="263"/>
        <v>45.33</v>
      </c>
      <c r="J279" s="425">
        <f t="shared" si="263"/>
        <v>45.33</v>
      </c>
      <c r="K279" s="425">
        <f t="shared" si="263"/>
        <v>45.33</v>
      </c>
      <c r="L279" s="425">
        <f t="shared" si="263"/>
        <v>45.33</v>
      </c>
      <c r="M279" s="425" t="s">
        <v>762</v>
      </c>
      <c r="N279" s="425" t="s">
        <v>762</v>
      </c>
      <c r="O279" s="425" t="s">
        <v>762</v>
      </c>
      <c r="P279" s="425" t="s">
        <v>762</v>
      </c>
      <c r="Q279" s="425" t="s">
        <v>762</v>
      </c>
      <c r="R279" s="425" t="s">
        <v>762</v>
      </c>
      <c r="S279" s="425" t="s">
        <v>762</v>
      </c>
      <c r="T279" s="425" t="s">
        <v>762</v>
      </c>
      <c r="U279" s="425" t="s">
        <v>762</v>
      </c>
      <c r="V279" s="425">
        <f t="shared" si="263"/>
        <v>45.33</v>
      </c>
      <c r="W279" s="425">
        <f t="shared" si="263"/>
        <v>45.33</v>
      </c>
      <c r="X279" s="425">
        <f t="shared" si="209"/>
        <v>52.97</v>
      </c>
      <c r="Y279" s="425">
        <f t="shared" si="210"/>
        <v>55</v>
      </c>
      <c r="Z279" s="425">
        <f t="shared" si="211"/>
        <v>60.49</v>
      </c>
      <c r="AA279" s="425">
        <f t="shared" si="212"/>
        <v>62.63</v>
      </c>
      <c r="AB279" s="425">
        <f t="shared" si="213"/>
        <v>64.8</v>
      </c>
      <c r="AC279" s="425">
        <f t="shared" ref="AC279:AD279" si="289">$I771</f>
        <v>66.97</v>
      </c>
      <c r="AD279" s="425">
        <f t="shared" si="289"/>
        <v>66.97</v>
      </c>
      <c r="AE279" s="425" t="s">
        <v>762</v>
      </c>
      <c r="AF279" s="425" t="s">
        <v>762</v>
      </c>
      <c r="AG279" s="425">
        <f t="shared" si="270"/>
        <v>81.141750000000002</v>
      </c>
      <c r="AH279" s="425" t="s">
        <v>762</v>
      </c>
      <c r="AI279" s="425">
        <f t="shared" si="271"/>
        <v>108.18900000000001</v>
      </c>
      <c r="AJ279" s="425" t="s">
        <v>762</v>
      </c>
      <c r="AK279" s="425">
        <f t="shared" si="272"/>
        <v>135.23625000000001</v>
      </c>
      <c r="AL279" s="425">
        <f t="shared" si="273"/>
        <v>114.49350000000001</v>
      </c>
      <c r="AM279" s="425" t="s">
        <v>762</v>
      </c>
      <c r="AN279" s="425">
        <f t="shared" si="274"/>
        <v>133.57575000000003</v>
      </c>
      <c r="AO279" s="425" t="s">
        <v>762</v>
      </c>
      <c r="AP279" s="425">
        <f t="shared" si="275"/>
        <v>152.65800000000002</v>
      </c>
      <c r="AQ279" s="425" t="s">
        <v>762</v>
      </c>
      <c r="AR279" s="425">
        <f t="shared" si="276"/>
        <v>171.74025</v>
      </c>
      <c r="AS279" s="425" t="s">
        <v>762</v>
      </c>
      <c r="AT279" s="425">
        <f t="shared" si="277"/>
        <v>207.83250000000004</v>
      </c>
      <c r="AU279" s="425" t="s">
        <v>762</v>
      </c>
      <c r="AV279" s="425" t="s">
        <v>762</v>
      </c>
      <c r="AW279" s="425" t="s">
        <v>762</v>
      </c>
      <c r="AX279" s="425" t="s">
        <v>762</v>
      </c>
      <c r="AY279" s="425" t="s">
        <v>762</v>
      </c>
      <c r="AZ279" s="425" t="s">
        <v>762</v>
      </c>
      <c r="BA279" s="425">
        <f t="shared" si="278"/>
        <v>273.47625000000005</v>
      </c>
      <c r="BB279" s="425" t="s">
        <v>762</v>
      </c>
      <c r="BC279" s="425" t="s">
        <v>762</v>
      </c>
      <c r="BD279" s="425" t="s">
        <v>762</v>
      </c>
      <c r="BE279" s="425" t="s">
        <v>762</v>
      </c>
      <c r="BF279" s="425">
        <f t="shared" si="279"/>
        <v>373.27499999999998</v>
      </c>
      <c r="BG279" s="425" t="s">
        <v>762</v>
      </c>
      <c r="BH279" s="425" t="s">
        <v>762</v>
      </c>
      <c r="BI279" s="425">
        <f t="shared" si="280"/>
        <v>466.59375</v>
      </c>
      <c r="BJ279" s="425" t="s">
        <v>762</v>
      </c>
      <c r="BK279" s="425" t="s">
        <v>762</v>
      </c>
      <c r="BL279" s="425">
        <f t="shared" si="281"/>
        <v>559.91250000000002</v>
      </c>
      <c r="BM279" s="425" t="s">
        <v>762</v>
      </c>
      <c r="BN279" s="425" t="s">
        <v>762</v>
      </c>
      <c r="BO279" s="425" t="s">
        <v>762</v>
      </c>
      <c r="BP279" s="425" t="s">
        <v>762</v>
      </c>
      <c r="BQ279" s="425" t="s">
        <v>762</v>
      </c>
      <c r="BR279" s="425" t="s">
        <v>762</v>
      </c>
      <c r="BS279" s="425" t="s">
        <v>762</v>
      </c>
      <c r="BT279" s="425" t="s">
        <v>762</v>
      </c>
      <c r="BU279" s="425" t="s">
        <v>762</v>
      </c>
      <c r="BV279" s="425" t="s">
        <v>762</v>
      </c>
      <c r="BW279" s="425" t="s">
        <v>762</v>
      </c>
      <c r="BX279" s="425" t="s">
        <v>762</v>
      </c>
      <c r="BY279" s="425" t="s">
        <v>762</v>
      </c>
      <c r="BZ279" s="425" t="s">
        <v>762</v>
      </c>
      <c r="CA279" s="425" t="s">
        <v>762</v>
      </c>
      <c r="CB279" s="425" t="s">
        <v>762</v>
      </c>
      <c r="CC279" s="425" t="s">
        <v>762</v>
      </c>
      <c r="CD279" s="425" t="s">
        <v>762</v>
      </c>
      <c r="CE279" s="425" t="s">
        <v>762</v>
      </c>
      <c r="CF279" s="425" t="s">
        <v>762</v>
      </c>
      <c r="CG279" s="424" t="s">
        <v>762</v>
      </c>
      <c r="CH279" s="425">
        <f t="shared" si="215"/>
        <v>54.094500000000004</v>
      </c>
      <c r="CI279" s="425">
        <f t="shared" si="242"/>
        <v>38.164500000000004</v>
      </c>
      <c r="CJ279" s="425">
        <f t="shared" si="243"/>
        <v>41.566500000000005</v>
      </c>
      <c r="CK279" s="425">
        <f t="shared" si="244"/>
        <v>36.463500000000003</v>
      </c>
      <c r="CL279" s="425">
        <f t="shared" si="245"/>
        <v>37.327500000000001</v>
      </c>
      <c r="CN279" s="438"/>
    </row>
    <row r="280" spans="1:92" s="426" customFormat="1">
      <c r="A280" s="424" t="s">
        <v>560</v>
      </c>
      <c r="B280" s="424" t="s">
        <v>630</v>
      </c>
      <c r="C280" s="425">
        <f t="shared" si="208"/>
        <v>50.61</v>
      </c>
      <c r="D280" s="425">
        <f t="shared" ref="D280:W294" si="290">$B772</f>
        <v>50.61</v>
      </c>
      <c r="E280" s="425">
        <f t="shared" si="290"/>
        <v>50.61</v>
      </c>
      <c r="F280" s="425">
        <f t="shared" si="290"/>
        <v>50.61</v>
      </c>
      <c r="G280" s="425">
        <f t="shared" si="290"/>
        <v>50.61</v>
      </c>
      <c r="H280" s="425">
        <f t="shared" si="290"/>
        <v>50.61</v>
      </c>
      <c r="I280" s="425">
        <f t="shared" si="290"/>
        <v>50.61</v>
      </c>
      <c r="J280" s="425">
        <f t="shared" si="290"/>
        <v>50.61</v>
      </c>
      <c r="K280" s="425">
        <f t="shared" si="290"/>
        <v>50.61</v>
      </c>
      <c r="L280" s="425">
        <f t="shared" si="290"/>
        <v>50.61</v>
      </c>
      <c r="M280" s="425" t="s">
        <v>762</v>
      </c>
      <c r="N280" s="425" t="s">
        <v>762</v>
      </c>
      <c r="O280" s="425" t="s">
        <v>762</v>
      </c>
      <c r="P280" s="425" t="s">
        <v>762</v>
      </c>
      <c r="Q280" s="425" t="s">
        <v>762</v>
      </c>
      <c r="R280" s="425" t="s">
        <v>762</v>
      </c>
      <c r="S280" s="425" t="s">
        <v>762</v>
      </c>
      <c r="T280" s="425" t="s">
        <v>762</v>
      </c>
      <c r="U280" s="425" t="s">
        <v>762</v>
      </c>
      <c r="V280" s="425">
        <f t="shared" si="290"/>
        <v>50.61</v>
      </c>
      <c r="W280" s="425">
        <f t="shared" si="290"/>
        <v>50.61</v>
      </c>
      <c r="X280" s="425">
        <f t="shared" si="209"/>
        <v>59.14</v>
      </c>
      <c r="Y280" s="425">
        <f t="shared" si="210"/>
        <v>61.4</v>
      </c>
      <c r="Z280" s="425">
        <f t="shared" si="211"/>
        <v>68.05</v>
      </c>
      <c r="AA280" s="425">
        <f t="shared" si="212"/>
        <v>70.47</v>
      </c>
      <c r="AB280" s="425">
        <f t="shared" si="213"/>
        <v>72.89</v>
      </c>
      <c r="AC280" s="425">
        <f t="shared" ref="AC280:AD280" si="291">$I772</f>
        <v>75.33</v>
      </c>
      <c r="AD280" s="425">
        <f t="shared" si="291"/>
        <v>75.33</v>
      </c>
      <c r="AE280" s="425" t="s">
        <v>762</v>
      </c>
      <c r="AF280" s="425" t="s">
        <v>762</v>
      </c>
      <c r="AG280" s="425">
        <f t="shared" si="270"/>
        <v>91.287000000000006</v>
      </c>
      <c r="AH280" s="425" t="s">
        <v>762</v>
      </c>
      <c r="AI280" s="425">
        <f t="shared" si="271"/>
        <v>121.71600000000001</v>
      </c>
      <c r="AJ280" s="425" t="s">
        <v>762</v>
      </c>
      <c r="AK280" s="425">
        <f t="shared" si="272"/>
        <v>152.14500000000001</v>
      </c>
      <c r="AL280" s="425">
        <f t="shared" si="273"/>
        <v>128.8305</v>
      </c>
      <c r="AM280" s="425" t="s">
        <v>762</v>
      </c>
      <c r="AN280" s="425">
        <f t="shared" si="274"/>
        <v>150.30225000000002</v>
      </c>
      <c r="AO280" s="425" t="s">
        <v>762</v>
      </c>
      <c r="AP280" s="425">
        <f t="shared" si="275"/>
        <v>171.774</v>
      </c>
      <c r="AQ280" s="425" t="s">
        <v>762</v>
      </c>
      <c r="AR280" s="425">
        <f t="shared" si="276"/>
        <v>193.24574999999999</v>
      </c>
      <c r="AS280" s="425" t="s">
        <v>762</v>
      </c>
      <c r="AT280" s="425">
        <f t="shared" si="277"/>
        <v>233.88750000000002</v>
      </c>
      <c r="AU280" s="425" t="s">
        <v>762</v>
      </c>
      <c r="AV280" s="425" t="s">
        <v>762</v>
      </c>
      <c r="AW280" s="425" t="s">
        <v>762</v>
      </c>
      <c r="AX280" s="425" t="s">
        <v>762</v>
      </c>
      <c r="AY280" s="425" t="s">
        <v>762</v>
      </c>
      <c r="AZ280" s="425" t="s">
        <v>762</v>
      </c>
      <c r="BA280" s="425">
        <f t="shared" si="278"/>
        <v>307.59749999999997</v>
      </c>
      <c r="BB280" s="425" t="s">
        <v>762</v>
      </c>
      <c r="BC280" s="425" t="s">
        <v>762</v>
      </c>
      <c r="BD280" s="425" t="s">
        <v>762</v>
      </c>
      <c r="BE280" s="425" t="s">
        <v>762</v>
      </c>
      <c r="BF280" s="425">
        <f t="shared" si="279"/>
        <v>420.255</v>
      </c>
      <c r="BG280" s="425" t="s">
        <v>762</v>
      </c>
      <c r="BH280" s="425" t="s">
        <v>762</v>
      </c>
      <c r="BI280" s="425">
        <f t="shared" si="280"/>
        <v>525.31875000000002</v>
      </c>
      <c r="BJ280" s="425" t="s">
        <v>762</v>
      </c>
      <c r="BK280" s="425" t="s">
        <v>762</v>
      </c>
      <c r="BL280" s="425">
        <f t="shared" si="281"/>
        <v>630.38250000000005</v>
      </c>
      <c r="BM280" s="425" t="s">
        <v>762</v>
      </c>
      <c r="BN280" s="425" t="s">
        <v>762</v>
      </c>
      <c r="BO280" s="425" t="s">
        <v>762</v>
      </c>
      <c r="BP280" s="425" t="s">
        <v>762</v>
      </c>
      <c r="BQ280" s="425" t="s">
        <v>762</v>
      </c>
      <c r="BR280" s="425" t="s">
        <v>762</v>
      </c>
      <c r="BS280" s="425" t="s">
        <v>762</v>
      </c>
      <c r="BT280" s="425" t="s">
        <v>762</v>
      </c>
      <c r="BU280" s="425" t="s">
        <v>762</v>
      </c>
      <c r="BV280" s="425" t="s">
        <v>762</v>
      </c>
      <c r="BW280" s="425" t="s">
        <v>762</v>
      </c>
      <c r="BX280" s="425" t="s">
        <v>762</v>
      </c>
      <c r="BY280" s="425" t="s">
        <v>762</v>
      </c>
      <c r="BZ280" s="425" t="s">
        <v>762</v>
      </c>
      <c r="CA280" s="425" t="s">
        <v>762</v>
      </c>
      <c r="CB280" s="425" t="s">
        <v>762</v>
      </c>
      <c r="CC280" s="425" t="s">
        <v>762</v>
      </c>
      <c r="CD280" s="425" t="s">
        <v>762</v>
      </c>
      <c r="CE280" s="425" t="s">
        <v>762</v>
      </c>
      <c r="CF280" s="425" t="s">
        <v>762</v>
      </c>
      <c r="CG280" s="424" t="s">
        <v>762</v>
      </c>
      <c r="CH280" s="425">
        <f t="shared" si="215"/>
        <v>60.858000000000004</v>
      </c>
      <c r="CI280" s="425">
        <f t="shared" si="242"/>
        <v>42.9435</v>
      </c>
      <c r="CJ280" s="425">
        <f t="shared" si="243"/>
        <v>46.777500000000003</v>
      </c>
      <c r="CK280" s="425">
        <f t="shared" si="244"/>
        <v>41.012999999999998</v>
      </c>
      <c r="CL280" s="425">
        <f t="shared" si="245"/>
        <v>42.025500000000001</v>
      </c>
      <c r="CN280" s="438"/>
    </row>
    <row r="281" spans="1:92" s="426" customFormat="1">
      <c r="A281" s="424" t="s">
        <v>561</v>
      </c>
      <c r="B281" s="424" t="s">
        <v>630</v>
      </c>
      <c r="C281" s="425">
        <f t="shared" si="208"/>
        <v>35.79</v>
      </c>
      <c r="D281" s="425">
        <f t="shared" si="290"/>
        <v>35.79</v>
      </c>
      <c r="E281" s="425">
        <f t="shared" si="290"/>
        <v>35.79</v>
      </c>
      <c r="F281" s="425">
        <f t="shared" si="290"/>
        <v>35.79</v>
      </c>
      <c r="G281" s="425">
        <f t="shared" si="290"/>
        <v>35.79</v>
      </c>
      <c r="H281" s="425">
        <f t="shared" si="290"/>
        <v>35.79</v>
      </c>
      <c r="I281" s="425">
        <f t="shared" si="290"/>
        <v>35.79</v>
      </c>
      <c r="J281" s="425">
        <f t="shared" si="290"/>
        <v>35.79</v>
      </c>
      <c r="K281" s="425">
        <f t="shared" si="290"/>
        <v>35.79</v>
      </c>
      <c r="L281" s="425">
        <f t="shared" si="290"/>
        <v>35.79</v>
      </c>
      <c r="M281" s="425" t="s">
        <v>762</v>
      </c>
      <c r="N281" s="425" t="s">
        <v>762</v>
      </c>
      <c r="O281" s="425" t="s">
        <v>762</v>
      </c>
      <c r="P281" s="425" t="s">
        <v>762</v>
      </c>
      <c r="Q281" s="425" t="s">
        <v>762</v>
      </c>
      <c r="R281" s="425" t="s">
        <v>762</v>
      </c>
      <c r="S281" s="425" t="s">
        <v>762</v>
      </c>
      <c r="T281" s="425" t="s">
        <v>762</v>
      </c>
      <c r="U281" s="425" t="s">
        <v>762</v>
      </c>
      <c r="V281" s="425">
        <f t="shared" si="290"/>
        <v>35.79</v>
      </c>
      <c r="W281" s="425">
        <f t="shared" si="290"/>
        <v>35.79</v>
      </c>
      <c r="X281" s="425">
        <f t="shared" si="209"/>
        <v>41.79</v>
      </c>
      <c r="Y281" s="425">
        <f t="shared" si="210"/>
        <v>43.42</v>
      </c>
      <c r="Z281" s="425">
        <f t="shared" si="211"/>
        <v>46.85</v>
      </c>
      <c r="AA281" s="425">
        <f t="shared" si="212"/>
        <v>48.5</v>
      </c>
      <c r="AB281" s="425">
        <f t="shared" si="213"/>
        <v>50.18</v>
      </c>
      <c r="AC281" s="425">
        <f t="shared" ref="AC281:AD281" si="292">$I773</f>
        <v>51.84</v>
      </c>
      <c r="AD281" s="425">
        <f t="shared" si="292"/>
        <v>51.84</v>
      </c>
      <c r="AE281" s="425" t="s">
        <v>762</v>
      </c>
      <c r="AF281" s="425" t="s">
        <v>762</v>
      </c>
      <c r="AG281" s="425">
        <f t="shared" si="270"/>
        <v>62.835750000000004</v>
      </c>
      <c r="AH281" s="425" t="s">
        <v>762</v>
      </c>
      <c r="AI281" s="425">
        <f t="shared" si="271"/>
        <v>83.781000000000006</v>
      </c>
      <c r="AJ281" s="425" t="s">
        <v>762</v>
      </c>
      <c r="AK281" s="425">
        <f t="shared" si="272"/>
        <v>104.72625000000001</v>
      </c>
      <c r="AL281" s="425">
        <f t="shared" si="273"/>
        <v>88.695000000000007</v>
      </c>
      <c r="AM281" s="425" t="s">
        <v>762</v>
      </c>
      <c r="AN281" s="425">
        <f t="shared" si="274"/>
        <v>103.47750000000001</v>
      </c>
      <c r="AO281" s="425" t="s">
        <v>762</v>
      </c>
      <c r="AP281" s="425">
        <f t="shared" si="275"/>
        <v>118.26</v>
      </c>
      <c r="AQ281" s="425" t="s">
        <v>762</v>
      </c>
      <c r="AR281" s="425">
        <f t="shared" si="276"/>
        <v>133.04250000000002</v>
      </c>
      <c r="AS281" s="425" t="s">
        <v>762</v>
      </c>
      <c r="AT281" s="425">
        <f t="shared" si="277"/>
        <v>160.98750000000001</v>
      </c>
      <c r="AU281" s="425" t="s">
        <v>762</v>
      </c>
      <c r="AV281" s="425" t="s">
        <v>762</v>
      </c>
      <c r="AW281" s="425" t="s">
        <v>762</v>
      </c>
      <c r="AX281" s="425" t="s">
        <v>762</v>
      </c>
      <c r="AY281" s="425" t="s">
        <v>762</v>
      </c>
      <c r="AZ281" s="425" t="s">
        <v>762</v>
      </c>
      <c r="BA281" s="425">
        <f t="shared" si="278"/>
        <v>211.81500000000003</v>
      </c>
      <c r="BB281" s="425" t="s">
        <v>762</v>
      </c>
      <c r="BC281" s="425" t="s">
        <v>762</v>
      </c>
      <c r="BD281" s="425" t="s">
        <v>762</v>
      </c>
      <c r="BE281" s="425" t="s">
        <v>762</v>
      </c>
      <c r="BF281" s="425">
        <f t="shared" si="279"/>
        <v>289.17000000000007</v>
      </c>
      <c r="BG281" s="425" t="s">
        <v>762</v>
      </c>
      <c r="BH281" s="425" t="s">
        <v>762</v>
      </c>
      <c r="BI281" s="425">
        <f t="shared" si="280"/>
        <v>361.46250000000009</v>
      </c>
      <c r="BJ281" s="425" t="s">
        <v>762</v>
      </c>
      <c r="BK281" s="425" t="s">
        <v>762</v>
      </c>
      <c r="BL281" s="425">
        <f t="shared" si="281"/>
        <v>433.75500000000005</v>
      </c>
      <c r="BM281" s="425" t="s">
        <v>762</v>
      </c>
      <c r="BN281" s="425" t="s">
        <v>762</v>
      </c>
      <c r="BO281" s="425" t="s">
        <v>762</v>
      </c>
      <c r="BP281" s="425" t="s">
        <v>762</v>
      </c>
      <c r="BQ281" s="425" t="s">
        <v>762</v>
      </c>
      <c r="BR281" s="425" t="s">
        <v>762</v>
      </c>
      <c r="BS281" s="425" t="s">
        <v>762</v>
      </c>
      <c r="BT281" s="425" t="s">
        <v>762</v>
      </c>
      <c r="BU281" s="425" t="s">
        <v>762</v>
      </c>
      <c r="BV281" s="425" t="s">
        <v>762</v>
      </c>
      <c r="BW281" s="425" t="s">
        <v>762</v>
      </c>
      <c r="BX281" s="425" t="s">
        <v>762</v>
      </c>
      <c r="BY281" s="425" t="s">
        <v>762</v>
      </c>
      <c r="BZ281" s="425" t="s">
        <v>762</v>
      </c>
      <c r="CA281" s="425" t="s">
        <v>762</v>
      </c>
      <c r="CB281" s="425" t="s">
        <v>762</v>
      </c>
      <c r="CC281" s="425" t="s">
        <v>762</v>
      </c>
      <c r="CD281" s="425" t="s">
        <v>762</v>
      </c>
      <c r="CE281" s="425" t="s">
        <v>762</v>
      </c>
      <c r="CF281" s="425" t="s">
        <v>762</v>
      </c>
      <c r="CG281" s="424" t="s">
        <v>762</v>
      </c>
      <c r="CH281" s="425">
        <f t="shared" si="215"/>
        <v>41.890500000000003</v>
      </c>
      <c r="CI281" s="425">
        <f t="shared" si="242"/>
        <v>29.565000000000001</v>
      </c>
      <c r="CJ281" s="425">
        <f t="shared" si="243"/>
        <v>32.197500000000005</v>
      </c>
      <c r="CK281" s="425">
        <f t="shared" si="244"/>
        <v>28.242000000000004</v>
      </c>
      <c r="CL281" s="425">
        <f t="shared" si="245"/>
        <v>28.917000000000005</v>
      </c>
      <c r="CN281" s="438"/>
    </row>
    <row r="282" spans="1:92" s="426" customFormat="1">
      <c r="A282" s="424" t="s">
        <v>562</v>
      </c>
      <c r="B282" s="424" t="s">
        <v>630</v>
      </c>
      <c r="C282" s="425">
        <f t="shared" si="208"/>
        <v>47.77</v>
      </c>
      <c r="D282" s="425">
        <f t="shared" si="290"/>
        <v>47.77</v>
      </c>
      <c r="E282" s="425">
        <f t="shared" si="290"/>
        <v>47.77</v>
      </c>
      <c r="F282" s="425">
        <f t="shared" si="290"/>
        <v>47.77</v>
      </c>
      <c r="G282" s="425">
        <f t="shared" si="290"/>
        <v>47.77</v>
      </c>
      <c r="H282" s="425">
        <f t="shared" si="290"/>
        <v>47.77</v>
      </c>
      <c r="I282" s="425">
        <f t="shared" si="290"/>
        <v>47.77</v>
      </c>
      <c r="J282" s="425">
        <f t="shared" si="290"/>
        <v>47.77</v>
      </c>
      <c r="K282" s="425">
        <f t="shared" si="290"/>
        <v>47.77</v>
      </c>
      <c r="L282" s="425">
        <f t="shared" si="290"/>
        <v>47.77</v>
      </c>
      <c r="M282" s="425" t="s">
        <v>762</v>
      </c>
      <c r="N282" s="425" t="s">
        <v>762</v>
      </c>
      <c r="O282" s="425" t="s">
        <v>762</v>
      </c>
      <c r="P282" s="425" t="s">
        <v>762</v>
      </c>
      <c r="Q282" s="425" t="s">
        <v>762</v>
      </c>
      <c r="R282" s="425" t="s">
        <v>762</v>
      </c>
      <c r="S282" s="425" t="s">
        <v>762</v>
      </c>
      <c r="T282" s="425" t="s">
        <v>762</v>
      </c>
      <c r="U282" s="425" t="s">
        <v>762</v>
      </c>
      <c r="V282" s="425">
        <f t="shared" si="290"/>
        <v>47.77</v>
      </c>
      <c r="W282" s="425">
        <f t="shared" si="290"/>
        <v>47.77</v>
      </c>
      <c r="X282" s="425">
        <f t="shared" si="209"/>
        <v>55.81</v>
      </c>
      <c r="Y282" s="425">
        <f t="shared" si="210"/>
        <v>57.95</v>
      </c>
      <c r="Z282" s="425">
        <f t="shared" si="211"/>
        <v>63.97</v>
      </c>
      <c r="AA282" s="425">
        <f t="shared" si="212"/>
        <v>66.25</v>
      </c>
      <c r="AB282" s="425">
        <f t="shared" si="213"/>
        <v>68.55</v>
      </c>
      <c r="AC282" s="425">
        <f t="shared" ref="AC282:AD282" si="293">$I774</f>
        <v>70.8</v>
      </c>
      <c r="AD282" s="425">
        <f t="shared" si="293"/>
        <v>70.8</v>
      </c>
      <c r="AE282" s="425" t="s">
        <v>762</v>
      </c>
      <c r="AF282" s="425" t="s">
        <v>762</v>
      </c>
      <c r="AG282" s="425">
        <f t="shared" si="270"/>
        <v>85.819500000000005</v>
      </c>
      <c r="AH282" s="425" t="s">
        <v>762</v>
      </c>
      <c r="AI282" s="425">
        <f t="shared" si="271"/>
        <v>114.42600000000002</v>
      </c>
      <c r="AJ282" s="425" t="s">
        <v>762</v>
      </c>
      <c r="AK282" s="425">
        <f t="shared" si="272"/>
        <v>143.03250000000003</v>
      </c>
      <c r="AL282" s="425">
        <f t="shared" si="273"/>
        <v>121.13550000000001</v>
      </c>
      <c r="AM282" s="425" t="s">
        <v>762</v>
      </c>
      <c r="AN282" s="425">
        <f t="shared" si="274"/>
        <v>141.32474999999999</v>
      </c>
      <c r="AO282" s="425" t="s">
        <v>762</v>
      </c>
      <c r="AP282" s="425">
        <f t="shared" si="275"/>
        <v>161.51400000000001</v>
      </c>
      <c r="AQ282" s="425" t="s">
        <v>762</v>
      </c>
      <c r="AR282" s="425">
        <f t="shared" si="276"/>
        <v>181.70325000000003</v>
      </c>
      <c r="AS282" s="425" t="s">
        <v>762</v>
      </c>
      <c r="AT282" s="425">
        <f t="shared" si="277"/>
        <v>219.84750000000003</v>
      </c>
      <c r="AU282" s="425" t="s">
        <v>762</v>
      </c>
      <c r="AV282" s="425" t="s">
        <v>762</v>
      </c>
      <c r="AW282" s="425" t="s">
        <v>762</v>
      </c>
      <c r="AX282" s="425" t="s">
        <v>762</v>
      </c>
      <c r="AY282" s="425" t="s">
        <v>762</v>
      </c>
      <c r="AZ282" s="425" t="s">
        <v>762</v>
      </c>
      <c r="BA282" s="425">
        <f t="shared" si="278"/>
        <v>289.16999999999996</v>
      </c>
      <c r="BB282" s="425" t="s">
        <v>762</v>
      </c>
      <c r="BC282" s="425" t="s">
        <v>762</v>
      </c>
      <c r="BD282" s="425" t="s">
        <v>762</v>
      </c>
      <c r="BE282" s="425" t="s">
        <v>762</v>
      </c>
      <c r="BF282" s="425">
        <f t="shared" si="279"/>
        <v>394.74</v>
      </c>
      <c r="BG282" s="425" t="s">
        <v>762</v>
      </c>
      <c r="BH282" s="425" t="s">
        <v>762</v>
      </c>
      <c r="BI282" s="425">
        <f t="shared" si="280"/>
        <v>493.42500000000007</v>
      </c>
      <c r="BJ282" s="425" t="s">
        <v>762</v>
      </c>
      <c r="BK282" s="425" t="s">
        <v>762</v>
      </c>
      <c r="BL282" s="425">
        <f t="shared" si="281"/>
        <v>592.11</v>
      </c>
      <c r="BM282" s="425" t="s">
        <v>762</v>
      </c>
      <c r="BN282" s="425" t="s">
        <v>762</v>
      </c>
      <c r="BO282" s="425" t="s">
        <v>762</v>
      </c>
      <c r="BP282" s="425" t="s">
        <v>762</v>
      </c>
      <c r="BQ282" s="425" t="s">
        <v>762</v>
      </c>
      <c r="BR282" s="425" t="s">
        <v>762</v>
      </c>
      <c r="BS282" s="425" t="s">
        <v>762</v>
      </c>
      <c r="BT282" s="425" t="s">
        <v>762</v>
      </c>
      <c r="BU282" s="425" t="s">
        <v>762</v>
      </c>
      <c r="BV282" s="425" t="s">
        <v>762</v>
      </c>
      <c r="BW282" s="425" t="s">
        <v>762</v>
      </c>
      <c r="BX282" s="425" t="s">
        <v>762</v>
      </c>
      <c r="BY282" s="425" t="s">
        <v>762</v>
      </c>
      <c r="BZ282" s="425" t="s">
        <v>762</v>
      </c>
      <c r="CA282" s="425" t="s">
        <v>762</v>
      </c>
      <c r="CB282" s="425" t="s">
        <v>762</v>
      </c>
      <c r="CC282" s="425" t="s">
        <v>762</v>
      </c>
      <c r="CD282" s="425" t="s">
        <v>762</v>
      </c>
      <c r="CE282" s="425" t="s">
        <v>762</v>
      </c>
      <c r="CF282" s="425" t="s">
        <v>762</v>
      </c>
      <c r="CG282" s="424" t="s">
        <v>762</v>
      </c>
      <c r="CH282" s="425">
        <f t="shared" si="215"/>
        <v>57.213000000000008</v>
      </c>
      <c r="CI282" s="425">
        <f t="shared" si="242"/>
        <v>40.378500000000003</v>
      </c>
      <c r="CJ282" s="425">
        <f t="shared" si="243"/>
        <v>43.969500000000004</v>
      </c>
      <c r="CK282" s="425">
        <f t="shared" si="244"/>
        <v>38.555999999999997</v>
      </c>
      <c r="CL282" s="425">
        <f t="shared" si="245"/>
        <v>39.474000000000004</v>
      </c>
      <c r="CN282" s="438"/>
    </row>
    <row r="283" spans="1:92" s="426" customFormat="1">
      <c r="A283" s="424" t="s">
        <v>563</v>
      </c>
      <c r="B283" s="424" t="s">
        <v>630</v>
      </c>
      <c r="C283" s="425">
        <f t="shared" si="208"/>
        <v>47.04</v>
      </c>
      <c r="D283" s="425">
        <f t="shared" si="290"/>
        <v>47.04</v>
      </c>
      <c r="E283" s="425">
        <f t="shared" si="290"/>
        <v>47.04</v>
      </c>
      <c r="F283" s="425">
        <f t="shared" si="290"/>
        <v>47.04</v>
      </c>
      <c r="G283" s="425">
        <f t="shared" si="290"/>
        <v>47.04</v>
      </c>
      <c r="H283" s="425">
        <f t="shared" si="290"/>
        <v>47.04</v>
      </c>
      <c r="I283" s="425">
        <f t="shared" si="290"/>
        <v>47.04</v>
      </c>
      <c r="J283" s="425">
        <f t="shared" si="290"/>
        <v>47.04</v>
      </c>
      <c r="K283" s="425">
        <f t="shared" si="290"/>
        <v>47.04</v>
      </c>
      <c r="L283" s="425">
        <f t="shared" si="290"/>
        <v>47.04</v>
      </c>
      <c r="M283" s="425" t="s">
        <v>762</v>
      </c>
      <c r="N283" s="425" t="s">
        <v>762</v>
      </c>
      <c r="O283" s="425" t="s">
        <v>762</v>
      </c>
      <c r="P283" s="425" t="s">
        <v>762</v>
      </c>
      <c r="Q283" s="425" t="s">
        <v>762</v>
      </c>
      <c r="R283" s="425" t="s">
        <v>762</v>
      </c>
      <c r="S283" s="425" t="s">
        <v>762</v>
      </c>
      <c r="T283" s="425" t="s">
        <v>762</v>
      </c>
      <c r="U283" s="425" t="s">
        <v>762</v>
      </c>
      <c r="V283" s="425">
        <f t="shared" si="290"/>
        <v>47.04</v>
      </c>
      <c r="W283" s="425">
        <f t="shared" si="290"/>
        <v>47.04</v>
      </c>
      <c r="X283" s="425">
        <f t="shared" si="209"/>
        <v>55</v>
      </c>
      <c r="Y283" s="425">
        <f t="shared" si="210"/>
        <v>57.08</v>
      </c>
      <c r="Z283" s="425">
        <f t="shared" si="211"/>
        <v>62.95</v>
      </c>
      <c r="AA283" s="425">
        <f t="shared" si="212"/>
        <v>65.22</v>
      </c>
      <c r="AB283" s="425">
        <f t="shared" si="213"/>
        <v>67.45</v>
      </c>
      <c r="AC283" s="425">
        <f t="shared" ref="AC283:AD283" si="294">$I775</f>
        <v>69.72</v>
      </c>
      <c r="AD283" s="425">
        <f t="shared" si="294"/>
        <v>69.72</v>
      </c>
      <c r="AE283" s="425" t="s">
        <v>762</v>
      </c>
      <c r="AF283" s="425" t="s">
        <v>762</v>
      </c>
      <c r="AG283" s="425">
        <f t="shared" si="270"/>
        <v>84.46275</v>
      </c>
      <c r="AH283" s="425" t="s">
        <v>762</v>
      </c>
      <c r="AI283" s="425">
        <f t="shared" si="271"/>
        <v>112.617</v>
      </c>
      <c r="AJ283" s="425" t="s">
        <v>762</v>
      </c>
      <c r="AK283" s="425">
        <f t="shared" si="272"/>
        <v>140.77125000000001</v>
      </c>
      <c r="AL283" s="425">
        <f t="shared" si="273"/>
        <v>119.19149999999999</v>
      </c>
      <c r="AM283" s="425" t="s">
        <v>762</v>
      </c>
      <c r="AN283" s="425">
        <f t="shared" si="274"/>
        <v>139.05674999999999</v>
      </c>
      <c r="AO283" s="425" t="s">
        <v>762</v>
      </c>
      <c r="AP283" s="425">
        <f t="shared" si="275"/>
        <v>158.922</v>
      </c>
      <c r="AQ283" s="425" t="s">
        <v>762</v>
      </c>
      <c r="AR283" s="425">
        <f t="shared" si="276"/>
        <v>178.78725</v>
      </c>
      <c r="AS283" s="425" t="s">
        <v>762</v>
      </c>
      <c r="AT283" s="425">
        <f t="shared" si="277"/>
        <v>216.33749999999998</v>
      </c>
      <c r="AU283" s="425" t="s">
        <v>762</v>
      </c>
      <c r="AV283" s="425" t="s">
        <v>762</v>
      </c>
      <c r="AW283" s="425" t="s">
        <v>762</v>
      </c>
      <c r="AX283" s="425" t="s">
        <v>762</v>
      </c>
      <c r="AY283" s="425" t="s">
        <v>762</v>
      </c>
      <c r="AZ283" s="425" t="s">
        <v>762</v>
      </c>
      <c r="BA283" s="425">
        <f t="shared" si="278"/>
        <v>284.51250000000005</v>
      </c>
      <c r="BB283" s="425" t="s">
        <v>762</v>
      </c>
      <c r="BC283" s="425" t="s">
        <v>762</v>
      </c>
      <c r="BD283" s="425" t="s">
        <v>762</v>
      </c>
      <c r="BE283" s="425" t="s">
        <v>762</v>
      </c>
      <c r="BF283" s="425">
        <f t="shared" si="279"/>
        <v>388.66500000000002</v>
      </c>
      <c r="BG283" s="425" t="s">
        <v>762</v>
      </c>
      <c r="BH283" s="425" t="s">
        <v>762</v>
      </c>
      <c r="BI283" s="425">
        <f t="shared" si="280"/>
        <v>485.83125000000001</v>
      </c>
      <c r="BJ283" s="425" t="s">
        <v>762</v>
      </c>
      <c r="BK283" s="425" t="s">
        <v>762</v>
      </c>
      <c r="BL283" s="425">
        <f t="shared" si="281"/>
        <v>582.99750000000006</v>
      </c>
      <c r="BM283" s="425" t="s">
        <v>762</v>
      </c>
      <c r="BN283" s="425" t="s">
        <v>762</v>
      </c>
      <c r="BO283" s="425" t="s">
        <v>762</v>
      </c>
      <c r="BP283" s="425" t="s">
        <v>762</v>
      </c>
      <c r="BQ283" s="425" t="s">
        <v>762</v>
      </c>
      <c r="BR283" s="425" t="s">
        <v>762</v>
      </c>
      <c r="BS283" s="425" t="s">
        <v>762</v>
      </c>
      <c r="BT283" s="425" t="s">
        <v>762</v>
      </c>
      <c r="BU283" s="425" t="s">
        <v>762</v>
      </c>
      <c r="BV283" s="425" t="s">
        <v>762</v>
      </c>
      <c r="BW283" s="425" t="s">
        <v>762</v>
      </c>
      <c r="BX283" s="425" t="s">
        <v>762</v>
      </c>
      <c r="BY283" s="425" t="s">
        <v>762</v>
      </c>
      <c r="BZ283" s="425" t="s">
        <v>762</v>
      </c>
      <c r="CA283" s="425" t="s">
        <v>762</v>
      </c>
      <c r="CB283" s="425" t="s">
        <v>762</v>
      </c>
      <c r="CC283" s="425" t="s">
        <v>762</v>
      </c>
      <c r="CD283" s="425" t="s">
        <v>762</v>
      </c>
      <c r="CE283" s="425" t="s">
        <v>762</v>
      </c>
      <c r="CF283" s="425" t="s">
        <v>762</v>
      </c>
      <c r="CG283" s="424" t="s">
        <v>762</v>
      </c>
      <c r="CH283" s="425">
        <f t="shared" si="215"/>
        <v>56.308500000000002</v>
      </c>
      <c r="CI283" s="425">
        <f t="shared" si="242"/>
        <v>39.730499999999999</v>
      </c>
      <c r="CJ283" s="425">
        <f t="shared" si="243"/>
        <v>43.267499999999998</v>
      </c>
      <c r="CK283" s="425">
        <f t="shared" si="244"/>
        <v>37.935000000000002</v>
      </c>
      <c r="CL283" s="425">
        <f t="shared" si="245"/>
        <v>38.866500000000002</v>
      </c>
      <c r="CN283" s="438"/>
    </row>
    <row r="284" spans="1:92" s="426" customFormat="1">
      <c r="A284" s="424" t="s">
        <v>564</v>
      </c>
      <c r="B284" s="424" t="s">
        <v>630</v>
      </c>
      <c r="C284" s="425">
        <f t="shared" si="208"/>
        <v>35.08</v>
      </c>
      <c r="D284" s="425">
        <f t="shared" si="290"/>
        <v>35.08</v>
      </c>
      <c r="E284" s="425">
        <f t="shared" si="290"/>
        <v>35.08</v>
      </c>
      <c r="F284" s="425">
        <f t="shared" si="290"/>
        <v>35.08</v>
      </c>
      <c r="G284" s="425">
        <f t="shared" si="290"/>
        <v>35.08</v>
      </c>
      <c r="H284" s="425">
        <f t="shared" si="290"/>
        <v>35.08</v>
      </c>
      <c r="I284" s="425">
        <f t="shared" si="290"/>
        <v>35.08</v>
      </c>
      <c r="J284" s="425">
        <f t="shared" si="290"/>
        <v>35.08</v>
      </c>
      <c r="K284" s="425">
        <f t="shared" si="290"/>
        <v>35.08</v>
      </c>
      <c r="L284" s="425">
        <f t="shared" si="290"/>
        <v>35.08</v>
      </c>
      <c r="M284" s="425" t="s">
        <v>762</v>
      </c>
      <c r="N284" s="425" t="s">
        <v>762</v>
      </c>
      <c r="O284" s="425" t="s">
        <v>762</v>
      </c>
      <c r="P284" s="425" t="s">
        <v>762</v>
      </c>
      <c r="Q284" s="425" t="s">
        <v>762</v>
      </c>
      <c r="R284" s="425" t="s">
        <v>762</v>
      </c>
      <c r="S284" s="425" t="s">
        <v>762</v>
      </c>
      <c r="T284" s="425" t="s">
        <v>762</v>
      </c>
      <c r="U284" s="425" t="s">
        <v>762</v>
      </c>
      <c r="V284" s="425">
        <f t="shared" si="290"/>
        <v>35.08</v>
      </c>
      <c r="W284" s="425">
        <f t="shared" si="290"/>
        <v>35.08</v>
      </c>
      <c r="X284" s="425">
        <f t="shared" si="209"/>
        <v>41.02</v>
      </c>
      <c r="Y284" s="425">
        <f t="shared" si="210"/>
        <v>42.59</v>
      </c>
      <c r="Z284" s="425">
        <f t="shared" si="211"/>
        <v>45.84</v>
      </c>
      <c r="AA284" s="425">
        <f t="shared" si="212"/>
        <v>47.49</v>
      </c>
      <c r="AB284" s="425">
        <f t="shared" si="213"/>
        <v>49.14</v>
      </c>
      <c r="AC284" s="425">
        <f t="shared" ref="AC284:AD284" si="295">$I776</f>
        <v>50.75</v>
      </c>
      <c r="AD284" s="425">
        <f t="shared" si="295"/>
        <v>50.75</v>
      </c>
      <c r="AE284" s="425" t="s">
        <v>762</v>
      </c>
      <c r="AF284" s="425" t="s">
        <v>762</v>
      </c>
      <c r="AG284" s="425">
        <f t="shared" si="270"/>
        <v>61.519499999999994</v>
      </c>
      <c r="AH284" s="425" t="s">
        <v>762</v>
      </c>
      <c r="AI284" s="425">
        <f t="shared" si="271"/>
        <v>82.025999999999996</v>
      </c>
      <c r="AJ284" s="425" t="s">
        <v>762</v>
      </c>
      <c r="AK284" s="425">
        <f t="shared" si="272"/>
        <v>102.5325</v>
      </c>
      <c r="AL284" s="425">
        <f t="shared" si="273"/>
        <v>86.791500000000013</v>
      </c>
      <c r="AM284" s="425" t="s">
        <v>762</v>
      </c>
      <c r="AN284" s="425">
        <f t="shared" si="274"/>
        <v>101.25675000000001</v>
      </c>
      <c r="AO284" s="425" t="s">
        <v>762</v>
      </c>
      <c r="AP284" s="425">
        <f t="shared" si="275"/>
        <v>115.72200000000001</v>
      </c>
      <c r="AQ284" s="425" t="s">
        <v>762</v>
      </c>
      <c r="AR284" s="425">
        <f t="shared" si="276"/>
        <v>130.18725000000001</v>
      </c>
      <c r="AS284" s="425" t="s">
        <v>762</v>
      </c>
      <c r="AT284" s="425">
        <f t="shared" si="277"/>
        <v>157.54500000000002</v>
      </c>
      <c r="AU284" s="425" t="s">
        <v>762</v>
      </c>
      <c r="AV284" s="425" t="s">
        <v>762</v>
      </c>
      <c r="AW284" s="425" t="s">
        <v>762</v>
      </c>
      <c r="AX284" s="425" t="s">
        <v>762</v>
      </c>
      <c r="AY284" s="425" t="s">
        <v>762</v>
      </c>
      <c r="AZ284" s="425" t="s">
        <v>762</v>
      </c>
      <c r="BA284" s="425">
        <f t="shared" si="278"/>
        <v>207.36</v>
      </c>
      <c r="BB284" s="425" t="s">
        <v>762</v>
      </c>
      <c r="BC284" s="425" t="s">
        <v>762</v>
      </c>
      <c r="BD284" s="425" t="s">
        <v>762</v>
      </c>
      <c r="BE284" s="425" t="s">
        <v>762</v>
      </c>
      <c r="BF284" s="425">
        <f t="shared" si="279"/>
        <v>282.96000000000004</v>
      </c>
      <c r="BG284" s="425" t="s">
        <v>762</v>
      </c>
      <c r="BH284" s="425" t="s">
        <v>762</v>
      </c>
      <c r="BI284" s="425">
        <f t="shared" si="280"/>
        <v>353.70000000000005</v>
      </c>
      <c r="BJ284" s="425" t="s">
        <v>762</v>
      </c>
      <c r="BK284" s="425" t="s">
        <v>762</v>
      </c>
      <c r="BL284" s="425">
        <f t="shared" si="281"/>
        <v>424.44000000000005</v>
      </c>
      <c r="BM284" s="425" t="s">
        <v>762</v>
      </c>
      <c r="BN284" s="425" t="s">
        <v>762</v>
      </c>
      <c r="BO284" s="425" t="s">
        <v>762</v>
      </c>
      <c r="BP284" s="425" t="s">
        <v>762</v>
      </c>
      <c r="BQ284" s="425" t="s">
        <v>762</v>
      </c>
      <c r="BR284" s="425" t="s">
        <v>762</v>
      </c>
      <c r="BS284" s="425" t="s">
        <v>762</v>
      </c>
      <c r="BT284" s="425" t="s">
        <v>762</v>
      </c>
      <c r="BU284" s="425" t="s">
        <v>762</v>
      </c>
      <c r="BV284" s="425" t="s">
        <v>762</v>
      </c>
      <c r="BW284" s="425" t="s">
        <v>762</v>
      </c>
      <c r="BX284" s="425" t="s">
        <v>762</v>
      </c>
      <c r="BY284" s="425" t="s">
        <v>762</v>
      </c>
      <c r="BZ284" s="425" t="s">
        <v>762</v>
      </c>
      <c r="CA284" s="425" t="s">
        <v>762</v>
      </c>
      <c r="CB284" s="425" t="s">
        <v>762</v>
      </c>
      <c r="CC284" s="425" t="s">
        <v>762</v>
      </c>
      <c r="CD284" s="425" t="s">
        <v>762</v>
      </c>
      <c r="CE284" s="425" t="s">
        <v>762</v>
      </c>
      <c r="CF284" s="425" t="s">
        <v>762</v>
      </c>
      <c r="CG284" s="424" t="s">
        <v>762</v>
      </c>
      <c r="CH284" s="425">
        <f t="shared" si="215"/>
        <v>41.012999999999998</v>
      </c>
      <c r="CI284" s="425">
        <f t="shared" si="242"/>
        <v>28.930500000000002</v>
      </c>
      <c r="CJ284" s="425">
        <f t="shared" si="243"/>
        <v>31.509</v>
      </c>
      <c r="CK284" s="425">
        <f t="shared" si="244"/>
        <v>27.648000000000003</v>
      </c>
      <c r="CL284" s="425">
        <f t="shared" si="245"/>
        <v>28.296000000000003</v>
      </c>
      <c r="CN284" s="438"/>
    </row>
    <row r="285" spans="1:92" s="426" customFormat="1">
      <c r="A285" s="424" t="s">
        <v>565</v>
      </c>
      <c r="B285" s="424" t="s">
        <v>630</v>
      </c>
      <c r="C285" s="425">
        <f t="shared" si="208"/>
        <v>34.83</v>
      </c>
      <c r="D285" s="425">
        <f t="shared" si="290"/>
        <v>34.83</v>
      </c>
      <c r="E285" s="425">
        <f t="shared" si="290"/>
        <v>34.83</v>
      </c>
      <c r="F285" s="425">
        <f t="shared" si="290"/>
        <v>34.83</v>
      </c>
      <c r="G285" s="425">
        <f t="shared" si="290"/>
        <v>34.83</v>
      </c>
      <c r="H285" s="425">
        <f t="shared" si="290"/>
        <v>34.83</v>
      </c>
      <c r="I285" s="425">
        <f t="shared" si="290"/>
        <v>34.83</v>
      </c>
      <c r="J285" s="425">
        <f t="shared" si="290"/>
        <v>34.83</v>
      </c>
      <c r="K285" s="425">
        <f t="shared" si="290"/>
        <v>34.83</v>
      </c>
      <c r="L285" s="425">
        <f t="shared" si="290"/>
        <v>34.83</v>
      </c>
      <c r="M285" s="425" t="s">
        <v>762</v>
      </c>
      <c r="N285" s="425" t="s">
        <v>762</v>
      </c>
      <c r="O285" s="425" t="s">
        <v>762</v>
      </c>
      <c r="P285" s="425" t="s">
        <v>762</v>
      </c>
      <c r="Q285" s="425" t="s">
        <v>762</v>
      </c>
      <c r="R285" s="425" t="s">
        <v>762</v>
      </c>
      <c r="S285" s="425" t="s">
        <v>762</v>
      </c>
      <c r="T285" s="425" t="s">
        <v>762</v>
      </c>
      <c r="U285" s="425" t="s">
        <v>762</v>
      </c>
      <c r="V285" s="425">
        <f t="shared" si="290"/>
        <v>34.83</v>
      </c>
      <c r="W285" s="425">
        <f t="shared" si="290"/>
        <v>34.83</v>
      </c>
      <c r="X285" s="425">
        <f t="shared" si="209"/>
        <v>40.700000000000003</v>
      </c>
      <c r="Y285" s="425">
        <f t="shared" si="210"/>
        <v>42.27</v>
      </c>
      <c r="Z285" s="425">
        <f t="shared" si="211"/>
        <v>45.47</v>
      </c>
      <c r="AA285" s="425">
        <f t="shared" si="212"/>
        <v>47.11</v>
      </c>
      <c r="AB285" s="425">
        <f t="shared" si="213"/>
        <v>48.73</v>
      </c>
      <c r="AC285" s="425">
        <f t="shared" ref="AC285:AD285" si="296">$I777</f>
        <v>50.36</v>
      </c>
      <c r="AD285" s="425">
        <f t="shared" si="296"/>
        <v>50.36</v>
      </c>
      <c r="AE285" s="425" t="s">
        <v>762</v>
      </c>
      <c r="AF285" s="425" t="s">
        <v>762</v>
      </c>
      <c r="AG285" s="425">
        <f t="shared" si="270"/>
        <v>61.013249999999999</v>
      </c>
      <c r="AH285" s="425" t="s">
        <v>762</v>
      </c>
      <c r="AI285" s="425">
        <f t="shared" si="271"/>
        <v>81.350999999999999</v>
      </c>
      <c r="AJ285" s="425" t="s">
        <v>762</v>
      </c>
      <c r="AK285" s="425">
        <f t="shared" si="272"/>
        <v>101.68875</v>
      </c>
      <c r="AL285" s="425">
        <f t="shared" si="273"/>
        <v>86.143500000000003</v>
      </c>
      <c r="AM285" s="425" t="s">
        <v>762</v>
      </c>
      <c r="AN285" s="425">
        <f t="shared" si="274"/>
        <v>100.50075000000001</v>
      </c>
      <c r="AO285" s="425" t="s">
        <v>762</v>
      </c>
      <c r="AP285" s="425">
        <f t="shared" si="275"/>
        <v>114.858</v>
      </c>
      <c r="AQ285" s="425" t="s">
        <v>762</v>
      </c>
      <c r="AR285" s="425">
        <f t="shared" si="276"/>
        <v>129.21525</v>
      </c>
      <c r="AS285" s="425" t="s">
        <v>762</v>
      </c>
      <c r="AT285" s="425">
        <f t="shared" si="277"/>
        <v>156.39750000000004</v>
      </c>
      <c r="AU285" s="425" t="s">
        <v>762</v>
      </c>
      <c r="AV285" s="425" t="s">
        <v>762</v>
      </c>
      <c r="AW285" s="425" t="s">
        <v>762</v>
      </c>
      <c r="AX285" s="425" t="s">
        <v>762</v>
      </c>
      <c r="AY285" s="425" t="s">
        <v>762</v>
      </c>
      <c r="AZ285" s="425" t="s">
        <v>762</v>
      </c>
      <c r="BA285" s="425">
        <f t="shared" si="278"/>
        <v>205.53750000000002</v>
      </c>
      <c r="BB285" s="425" t="s">
        <v>762</v>
      </c>
      <c r="BC285" s="425" t="s">
        <v>762</v>
      </c>
      <c r="BD285" s="425" t="s">
        <v>762</v>
      </c>
      <c r="BE285" s="425" t="s">
        <v>762</v>
      </c>
      <c r="BF285" s="425">
        <f t="shared" si="279"/>
        <v>280.8</v>
      </c>
      <c r="BG285" s="425" t="s">
        <v>762</v>
      </c>
      <c r="BH285" s="425" t="s">
        <v>762</v>
      </c>
      <c r="BI285" s="425">
        <f t="shared" si="280"/>
        <v>351</v>
      </c>
      <c r="BJ285" s="425" t="s">
        <v>762</v>
      </c>
      <c r="BK285" s="425" t="s">
        <v>762</v>
      </c>
      <c r="BL285" s="425">
        <f t="shared" si="281"/>
        <v>421.20000000000005</v>
      </c>
      <c r="BM285" s="425" t="s">
        <v>762</v>
      </c>
      <c r="BN285" s="425" t="s">
        <v>762</v>
      </c>
      <c r="BO285" s="425" t="s">
        <v>762</v>
      </c>
      <c r="BP285" s="425" t="s">
        <v>762</v>
      </c>
      <c r="BQ285" s="425" t="s">
        <v>762</v>
      </c>
      <c r="BR285" s="425" t="s">
        <v>762</v>
      </c>
      <c r="BS285" s="425" t="s">
        <v>762</v>
      </c>
      <c r="BT285" s="425" t="s">
        <v>762</v>
      </c>
      <c r="BU285" s="425" t="s">
        <v>762</v>
      </c>
      <c r="BV285" s="425" t="s">
        <v>762</v>
      </c>
      <c r="BW285" s="425" t="s">
        <v>762</v>
      </c>
      <c r="BX285" s="425" t="s">
        <v>762</v>
      </c>
      <c r="BY285" s="425" t="s">
        <v>762</v>
      </c>
      <c r="BZ285" s="425" t="s">
        <v>762</v>
      </c>
      <c r="CA285" s="425" t="s">
        <v>762</v>
      </c>
      <c r="CB285" s="425" t="s">
        <v>762</v>
      </c>
      <c r="CC285" s="425" t="s">
        <v>762</v>
      </c>
      <c r="CD285" s="425" t="s">
        <v>762</v>
      </c>
      <c r="CE285" s="425" t="s">
        <v>762</v>
      </c>
      <c r="CF285" s="425" t="s">
        <v>762</v>
      </c>
      <c r="CG285" s="424" t="s">
        <v>762</v>
      </c>
      <c r="CH285" s="425">
        <f t="shared" si="215"/>
        <v>40.6755</v>
      </c>
      <c r="CI285" s="425">
        <f t="shared" si="242"/>
        <v>28.714500000000001</v>
      </c>
      <c r="CJ285" s="425">
        <f t="shared" si="243"/>
        <v>31.279500000000006</v>
      </c>
      <c r="CK285" s="425">
        <f t="shared" si="244"/>
        <v>27.405000000000001</v>
      </c>
      <c r="CL285" s="425">
        <f t="shared" si="245"/>
        <v>28.080000000000002</v>
      </c>
      <c r="CN285" s="438"/>
    </row>
    <row r="286" spans="1:92" s="426" customFormat="1">
      <c r="A286" s="424" t="s">
        <v>566</v>
      </c>
      <c r="B286" s="424" t="s">
        <v>630</v>
      </c>
      <c r="C286" s="425">
        <f t="shared" si="208"/>
        <v>58.44</v>
      </c>
      <c r="D286" s="425">
        <f t="shared" si="290"/>
        <v>58.44</v>
      </c>
      <c r="E286" s="425">
        <f t="shared" si="290"/>
        <v>58.44</v>
      </c>
      <c r="F286" s="425">
        <f t="shared" si="290"/>
        <v>58.44</v>
      </c>
      <c r="G286" s="425">
        <f t="shared" si="290"/>
        <v>58.44</v>
      </c>
      <c r="H286" s="425">
        <f t="shared" si="290"/>
        <v>58.44</v>
      </c>
      <c r="I286" s="425">
        <f t="shared" si="290"/>
        <v>58.44</v>
      </c>
      <c r="J286" s="425">
        <f t="shared" si="290"/>
        <v>58.44</v>
      </c>
      <c r="K286" s="425">
        <f t="shared" si="290"/>
        <v>58.44</v>
      </c>
      <c r="L286" s="425">
        <f t="shared" si="290"/>
        <v>58.44</v>
      </c>
      <c r="M286" s="425" t="s">
        <v>762</v>
      </c>
      <c r="N286" s="425" t="s">
        <v>762</v>
      </c>
      <c r="O286" s="425" t="s">
        <v>762</v>
      </c>
      <c r="P286" s="425" t="s">
        <v>762</v>
      </c>
      <c r="Q286" s="425" t="s">
        <v>762</v>
      </c>
      <c r="R286" s="425" t="s">
        <v>762</v>
      </c>
      <c r="S286" s="425" t="s">
        <v>762</v>
      </c>
      <c r="T286" s="425" t="s">
        <v>762</v>
      </c>
      <c r="U286" s="425" t="s">
        <v>762</v>
      </c>
      <c r="V286" s="425">
        <f t="shared" si="290"/>
        <v>58.44</v>
      </c>
      <c r="W286" s="425">
        <f t="shared" si="290"/>
        <v>58.44</v>
      </c>
      <c r="X286" s="425">
        <f t="shared" si="209"/>
        <v>68.290000000000006</v>
      </c>
      <c r="Y286" s="425">
        <f t="shared" si="210"/>
        <v>70.92</v>
      </c>
      <c r="Z286" s="425">
        <f t="shared" si="211"/>
        <v>78.58</v>
      </c>
      <c r="AA286" s="425">
        <f t="shared" si="212"/>
        <v>81.400000000000006</v>
      </c>
      <c r="AB286" s="425">
        <f t="shared" si="213"/>
        <v>84.21</v>
      </c>
      <c r="AC286" s="425">
        <f t="shared" ref="AC286:AD286" si="297">$I778</f>
        <v>87.01</v>
      </c>
      <c r="AD286" s="425">
        <f t="shared" si="297"/>
        <v>87.01</v>
      </c>
      <c r="AE286" s="425" t="s">
        <v>762</v>
      </c>
      <c r="AF286" s="425" t="s">
        <v>762</v>
      </c>
      <c r="AG286" s="425">
        <f t="shared" si="270"/>
        <v>105.46200000000002</v>
      </c>
      <c r="AH286" s="425" t="s">
        <v>762</v>
      </c>
      <c r="AI286" s="425">
        <f t="shared" si="271"/>
        <v>140.61600000000001</v>
      </c>
      <c r="AJ286" s="425" t="s">
        <v>762</v>
      </c>
      <c r="AK286" s="425">
        <f t="shared" si="272"/>
        <v>175.77</v>
      </c>
      <c r="AL286" s="425">
        <f t="shared" si="273"/>
        <v>148.83750000000001</v>
      </c>
      <c r="AM286" s="425" t="s">
        <v>762</v>
      </c>
      <c r="AN286" s="425">
        <f t="shared" si="274"/>
        <v>173.64375000000001</v>
      </c>
      <c r="AO286" s="425" t="s">
        <v>762</v>
      </c>
      <c r="AP286" s="425">
        <f t="shared" si="275"/>
        <v>198.45000000000002</v>
      </c>
      <c r="AQ286" s="425" t="s">
        <v>762</v>
      </c>
      <c r="AR286" s="425">
        <f t="shared" si="276"/>
        <v>223.25625000000002</v>
      </c>
      <c r="AS286" s="425" t="s">
        <v>762</v>
      </c>
      <c r="AT286" s="425">
        <f t="shared" si="277"/>
        <v>270.0675</v>
      </c>
      <c r="AU286" s="425" t="s">
        <v>762</v>
      </c>
      <c r="AV286" s="425" t="s">
        <v>762</v>
      </c>
      <c r="AW286" s="425" t="s">
        <v>762</v>
      </c>
      <c r="AX286" s="425" t="s">
        <v>762</v>
      </c>
      <c r="AY286" s="425" t="s">
        <v>762</v>
      </c>
      <c r="AZ286" s="425" t="s">
        <v>762</v>
      </c>
      <c r="BA286" s="425">
        <f t="shared" si="278"/>
        <v>354.98250000000002</v>
      </c>
      <c r="BB286" s="425" t="s">
        <v>762</v>
      </c>
      <c r="BC286" s="425" t="s">
        <v>762</v>
      </c>
      <c r="BD286" s="425" t="s">
        <v>762</v>
      </c>
      <c r="BE286" s="425" t="s">
        <v>762</v>
      </c>
      <c r="BF286" s="425">
        <f t="shared" si="279"/>
        <v>485.05500000000006</v>
      </c>
      <c r="BG286" s="425" t="s">
        <v>762</v>
      </c>
      <c r="BH286" s="425" t="s">
        <v>762</v>
      </c>
      <c r="BI286" s="425">
        <f t="shared" si="280"/>
        <v>606.31875000000002</v>
      </c>
      <c r="BJ286" s="425" t="s">
        <v>762</v>
      </c>
      <c r="BK286" s="425" t="s">
        <v>762</v>
      </c>
      <c r="BL286" s="425">
        <f t="shared" si="281"/>
        <v>727.5825000000001</v>
      </c>
      <c r="BM286" s="425" t="s">
        <v>762</v>
      </c>
      <c r="BN286" s="425" t="s">
        <v>762</v>
      </c>
      <c r="BO286" s="425" t="s">
        <v>762</v>
      </c>
      <c r="BP286" s="425" t="s">
        <v>762</v>
      </c>
      <c r="BQ286" s="425" t="s">
        <v>762</v>
      </c>
      <c r="BR286" s="425" t="s">
        <v>762</v>
      </c>
      <c r="BS286" s="425" t="s">
        <v>762</v>
      </c>
      <c r="BT286" s="425" t="s">
        <v>762</v>
      </c>
      <c r="BU286" s="425" t="s">
        <v>762</v>
      </c>
      <c r="BV286" s="425" t="s">
        <v>762</v>
      </c>
      <c r="BW286" s="425" t="s">
        <v>762</v>
      </c>
      <c r="BX286" s="425" t="s">
        <v>762</v>
      </c>
      <c r="BY286" s="425" t="s">
        <v>762</v>
      </c>
      <c r="BZ286" s="425" t="s">
        <v>762</v>
      </c>
      <c r="CA286" s="425" t="s">
        <v>762</v>
      </c>
      <c r="CB286" s="425" t="s">
        <v>762</v>
      </c>
      <c r="CC286" s="425" t="s">
        <v>762</v>
      </c>
      <c r="CD286" s="425" t="s">
        <v>762</v>
      </c>
      <c r="CE286" s="425" t="s">
        <v>762</v>
      </c>
      <c r="CF286" s="425" t="s">
        <v>762</v>
      </c>
      <c r="CG286" s="424" t="s">
        <v>762</v>
      </c>
      <c r="CH286" s="425">
        <f t="shared" si="215"/>
        <v>70.308000000000007</v>
      </c>
      <c r="CI286" s="425">
        <f t="shared" si="242"/>
        <v>49.612500000000004</v>
      </c>
      <c r="CJ286" s="425">
        <f t="shared" si="243"/>
        <v>54.013500000000001</v>
      </c>
      <c r="CK286" s="425">
        <f t="shared" si="244"/>
        <v>47.331000000000003</v>
      </c>
      <c r="CL286" s="425">
        <f t="shared" si="245"/>
        <v>48.505500000000005</v>
      </c>
      <c r="CN286" s="438"/>
    </row>
    <row r="287" spans="1:92" s="426" customFormat="1">
      <c r="A287" s="424" t="s">
        <v>567</v>
      </c>
      <c r="B287" s="424" t="s">
        <v>630</v>
      </c>
      <c r="C287" s="425">
        <f t="shared" si="208"/>
        <v>49</v>
      </c>
      <c r="D287" s="425">
        <f t="shared" si="290"/>
        <v>49</v>
      </c>
      <c r="E287" s="425">
        <f t="shared" si="290"/>
        <v>49</v>
      </c>
      <c r="F287" s="425">
        <f t="shared" si="290"/>
        <v>49</v>
      </c>
      <c r="G287" s="425">
        <f t="shared" si="290"/>
        <v>49</v>
      </c>
      <c r="H287" s="425">
        <f t="shared" si="290"/>
        <v>49</v>
      </c>
      <c r="I287" s="425">
        <f t="shared" si="290"/>
        <v>49</v>
      </c>
      <c r="J287" s="425">
        <f t="shared" si="290"/>
        <v>49</v>
      </c>
      <c r="K287" s="425">
        <f t="shared" si="290"/>
        <v>49</v>
      </c>
      <c r="L287" s="425">
        <f t="shared" si="290"/>
        <v>49</v>
      </c>
      <c r="M287" s="425" t="s">
        <v>762</v>
      </c>
      <c r="N287" s="425" t="s">
        <v>762</v>
      </c>
      <c r="O287" s="425" t="s">
        <v>762</v>
      </c>
      <c r="P287" s="425" t="s">
        <v>762</v>
      </c>
      <c r="Q287" s="425" t="s">
        <v>762</v>
      </c>
      <c r="R287" s="425" t="s">
        <v>762</v>
      </c>
      <c r="S287" s="425" t="s">
        <v>762</v>
      </c>
      <c r="T287" s="425" t="s">
        <v>762</v>
      </c>
      <c r="U287" s="425" t="s">
        <v>762</v>
      </c>
      <c r="V287" s="425">
        <f t="shared" si="290"/>
        <v>49</v>
      </c>
      <c r="W287" s="425">
        <f t="shared" si="290"/>
        <v>49</v>
      </c>
      <c r="X287" s="425">
        <f t="shared" si="209"/>
        <v>57.29</v>
      </c>
      <c r="Y287" s="425">
        <f t="shared" si="210"/>
        <v>59.46</v>
      </c>
      <c r="Z287" s="425">
        <f t="shared" si="211"/>
        <v>65.77</v>
      </c>
      <c r="AA287" s="425">
        <f t="shared" si="212"/>
        <v>68.099999999999994</v>
      </c>
      <c r="AB287" s="425">
        <f t="shared" si="213"/>
        <v>70.459999999999994</v>
      </c>
      <c r="AC287" s="425">
        <f t="shared" ref="AC287:AD287" si="298">$I779</f>
        <v>72.81</v>
      </c>
      <c r="AD287" s="425">
        <f t="shared" si="298"/>
        <v>72.81</v>
      </c>
      <c r="AE287" s="425" t="s">
        <v>762</v>
      </c>
      <c r="AF287" s="425" t="s">
        <v>762</v>
      </c>
      <c r="AG287" s="425">
        <f t="shared" si="270"/>
        <v>88.249499999999998</v>
      </c>
      <c r="AH287" s="425" t="s">
        <v>762</v>
      </c>
      <c r="AI287" s="425">
        <f t="shared" si="271"/>
        <v>117.666</v>
      </c>
      <c r="AJ287" s="425" t="s">
        <v>762</v>
      </c>
      <c r="AK287" s="425">
        <f t="shared" si="272"/>
        <v>147.08249999999998</v>
      </c>
      <c r="AL287" s="425">
        <f t="shared" si="273"/>
        <v>124.53750000000001</v>
      </c>
      <c r="AM287" s="425" t="s">
        <v>762</v>
      </c>
      <c r="AN287" s="425">
        <f t="shared" si="274"/>
        <v>145.29375000000002</v>
      </c>
      <c r="AO287" s="425" t="s">
        <v>762</v>
      </c>
      <c r="AP287" s="425">
        <f t="shared" si="275"/>
        <v>166.05</v>
      </c>
      <c r="AQ287" s="425" t="s">
        <v>762</v>
      </c>
      <c r="AR287" s="425">
        <f t="shared" si="276"/>
        <v>186.80625000000001</v>
      </c>
      <c r="AS287" s="425" t="s">
        <v>762</v>
      </c>
      <c r="AT287" s="425">
        <f t="shared" si="277"/>
        <v>225.92250000000001</v>
      </c>
      <c r="AU287" s="425" t="s">
        <v>762</v>
      </c>
      <c r="AV287" s="425" t="s">
        <v>762</v>
      </c>
      <c r="AW287" s="425" t="s">
        <v>762</v>
      </c>
      <c r="AX287" s="425" t="s">
        <v>762</v>
      </c>
      <c r="AY287" s="425" t="s">
        <v>762</v>
      </c>
      <c r="AZ287" s="425" t="s">
        <v>762</v>
      </c>
      <c r="BA287" s="425">
        <f t="shared" si="278"/>
        <v>297.16875000000005</v>
      </c>
      <c r="BB287" s="425" t="s">
        <v>762</v>
      </c>
      <c r="BC287" s="425" t="s">
        <v>762</v>
      </c>
      <c r="BD287" s="425" t="s">
        <v>762</v>
      </c>
      <c r="BE287" s="425" t="s">
        <v>762</v>
      </c>
      <c r="BF287" s="425">
        <f t="shared" si="279"/>
        <v>405.94500000000005</v>
      </c>
      <c r="BG287" s="425" t="s">
        <v>762</v>
      </c>
      <c r="BH287" s="425" t="s">
        <v>762</v>
      </c>
      <c r="BI287" s="425">
        <f t="shared" si="280"/>
        <v>507.43125000000003</v>
      </c>
      <c r="BJ287" s="425" t="s">
        <v>762</v>
      </c>
      <c r="BK287" s="425" t="s">
        <v>762</v>
      </c>
      <c r="BL287" s="425">
        <f t="shared" si="281"/>
        <v>608.91750000000002</v>
      </c>
      <c r="BM287" s="425" t="s">
        <v>762</v>
      </c>
      <c r="BN287" s="425" t="s">
        <v>762</v>
      </c>
      <c r="BO287" s="425" t="s">
        <v>762</v>
      </c>
      <c r="BP287" s="425" t="s">
        <v>762</v>
      </c>
      <c r="BQ287" s="425" t="s">
        <v>762</v>
      </c>
      <c r="BR287" s="425" t="s">
        <v>762</v>
      </c>
      <c r="BS287" s="425" t="s">
        <v>762</v>
      </c>
      <c r="BT287" s="425" t="s">
        <v>762</v>
      </c>
      <c r="BU287" s="425" t="s">
        <v>762</v>
      </c>
      <c r="BV287" s="425" t="s">
        <v>762</v>
      </c>
      <c r="BW287" s="425" t="s">
        <v>762</v>
      </c>
      <c r="BX287" s="425" t="s">
        <v>762</v>
      </c>
      <c r="BY287" s="425" t="s">
        <v>762</v>
      </c>
      <c r="BZ287" s="425" t="s">
        <v>762</v>
      </c>
      <c r="CA287" s="425" t="s">
        <v>762</v>
      </c>
      <c r="CB287" s="425" t="s">
        <v>762</v>
      </c>
      <c r="CC287" s="425" t="s">
        <v>762</v>
      </c>
      <c r="CD287" s="425" t="s">
        <v>762</v>
      </c>
      <c r="CE287" s="425" t="s">
        <v>762</v>
      </c>
      <c r="CF287" s="425" t="s">
        <v>762</v>
      </c>
      <c r="CG287" s="424" t="s">
        <v>762</v>
      </c>
      <c r="CH287" s="425">
        <f t="shared" si="215"/>
        <v>58.832999999999998</v>
      </c>
      <c r="CI287" s="425">
        <f t="shared" si="242"/>
        <v>41.512500000000003</v>
      </c>
      <c r="CJ287" s="425">
        <f t="shared" si="243"/>
        <v>45.1845</v>
      </c>
      <c r="CK287" s="425">
        <f t="shared" si="244"/>
        <v>39.622500000000002</v>
      </c>
      <c r="CL287" s="425">
        <f t="shared" si="245"/>
        <v>40.594500000000004</v>
      </c>
      <c r="CN287" s="438"/>
    </row>
    <row r="288" spans="1:92" s="426" customFormat="1">
      <c r="A288" s="424" t="s">
        <v>568</v>
      </c>
      <c r="B288" s="424" t="s">
        <v>630</v>
      </c>
      <c r="C288" s="425">
        <f t="shared" si="208"/>
        <v>51.41</v>
      </c>
      <c r="D288" s="425">
        <f t="shared" si="290"/>
        <v>51.41</v>
      </c>
      <c r="E288" s="425">
        <f t="shared" si="290"/>
        <v>51.41</v>
      </c>
      <c r="F288" s="425">
        <f t="shared" si="290"/>
        <v>51.41</v>
      </c>
      <c r="G288" s="425">
        <f t="shared" si="290"/>
        <v>51.41</v>
      </c>
      <c r="H288" s="425">
        <f t="shared" si="290"/>
        <v>51.41</v>
      </c>
      <c r="I288" s="425">
        <f t="shared" si="290"/>
        <v>51.41</v>
      </c>
      <c r="J288" s="425">
        <f t="shared" si="290"/>
        <v>51.41</v>
      </c>
      <c r="K288" s="425">
        <f t="shared" si="290"/>
        <v>51.41</v>
      </c>
      <c r="L288" s="425">
        <f t="shared" si="290"/>
        <v>51.41</v>
      </c>
      <c r="M288" s="425" t="s">
        <v>762</v>
      </c>
      <c r="N288" s="425" t="s">
        <v>762</v>
      </c>
      <c r="O288" s="425" t="s">
        <v>762</v>
      </c>
      <c r="P288" s="425" t="s">
        <v>762</v>
      </c>
      <c r="Q288" s="425" t="s">
        <v>762</v>
      </c>
      <c r="R288" s="425" t="s">
        <v>762</v>
      </c>
      <c r="S288" s="425" t="s">
        <v>762</v>
      </c>
      <c r="T288" s="425" t="s">
        <v>762</v>
      </c>
      <c r="U288" s="425" t="s">
        <v>762</v>
      </c>
      <c r="V288" s="425">
        <f t="shared" si="290"/>
        <v>51.41</v>
      </c>
      <c r="W288" s="425">
        <f t="shared" si="290"/>
        <v>51.41</v>
      </c>
      <c r="X288" s="425">
        <f t="shared" si="209"/>
        <v>60.08</v>
      </c>
      <c r="Y288" s="425">
        <f t="shared" si="210"/>
        <v>62.38</v>
      </c>
      <c r="Z288" s="425">
        <f t="shared" si="211"/>
        <v>69.180000000000007</v>
      </c>
      <c r="AA288" s="425">
        <f t="shared" si="212"/>
        <v>71.650000000000006</v>
      </c>
      <c r="AB288" s="425">
        <f t="shared" si="213"/>
        <v>74.14</v>
      </c>
      <c r="AC288" s="425">
        <f t="shared" ref="AC288:AD288" si="299">$I780</f>
        <v>76.599999999999994</v>
      </c>
      <c r="AD288" s="425">
        <f t="shared" si="299"/>
        <v>76.599999999999994</v>
      </c>
      <c r="AE288" s="425" t="s">
        <v>762</v>
      </c>
      <c r="AF288" s="425" t="s">
        <v>762</v>
      </c>
      <c r="AG288" s="425">
        <f t="shared" si="270"/>
        <v>92.846250000000012</v>
      </c>
      <c r="AH288" s="425" t="s">
        <v>762</v>
      </c>
      <c r="AI288" s="425">
        <f t="shared" si="271"/>
        <v>123.79500000000002</v>
      </c>
      <c r="AJ288" s="425" t="s">
        <v>762</v>
      </c>
      <c r="AK288" s="425">
        <f t="shared" si="272"/>
        <v>154.74375000000003</v>
      </c>
      <c r="AL288" s="425">
        <f t="shared" si="273"/>
        <v>131.01750000000001</v>
      </c>
      <c r="AM288" s="425" t="s">
        <v>762</v>
      </c>
      <c r="AN288" s="425">
        <f t="shared" si="274"/>
        <v>152.85375000000002</v>
      </c>
      <c r="AO288" s="425" t="s">
        <v>762</v>
      </c>
      <c r="AP288" s="425">
        <f t="shared" si="275"/>
        <v>174.69000000000003</v>
      </c>
      <c r="AQ288" s="425" t="s">
        <v>762</v>
      </c>
      <c r="AR288" s="425">
        <f t="shared" si="276"/>
        <v>196.52625000000003</v>
      </c>
      <c r="AS288" s="425" t="s">
        <v>762</v>
      </c>
      <c r="AT288" s="425">
        <f t="shared" si="277"/>
        <v>237.87000000000003</v>
      </c>
      <c r="AU288" s="425" t="s">
        <v>762</v>
      </c>
      <c r="AV288" s="425" t="s">
        <v>762</v>
      </c>
      <c r="AW288" s="425" t="s">
        <v>762</v>
      </c>
      <c r="AX288" s="425" t="s">
        <v>762</v>
      </c>
      <c r="AY288" s="425" t="s">
        <v>762</v>
      </c>
      <c r="AZ288" s="425" t="s">
        <v>762</v>
      </c>
      <c r="BA288" s="425">
        <f t="shared" si="278"/>
        <v>312.66000000000003</v>
      </c>
      <c r="BB288" s="425" t="s">
        <v>762</v>
      </c>
      <c r="BC288" s="425" t="s">
        <v>762</v>
      </c>
      <c r="BD288" s="425" t="s">
        <v>762</v>
      </c>
      <c r="BE288" s="425" t="s">
        <v>762</v>
      </c>
      <c r="BF288" s="425">
        <f t="shared" si="279"/>
        <v>427.14000000000004</v>
      </c>
      <c r="BG288" s="425" t="s">
        <v>762</v>
      </c>
      <c r="BH288" s="425" t="s">
        <v>762</v>
      </c>
      <c r="BI288" s="425">
        <f t="shared" si="280"/>
        <v>533.92500000000007</v>
      </c>
      <c r="BJ288" s="425" t="s">
        <v>762</v>
      </c>
      <c r="BK288" s="425" t="s">
        <v>762</v>
      </c>
      <c r="BL288" s="425">
        <f t="shared" si="281"/>
        <v>640.71</v>
      </c>
      <c r="BM288" s="425" t="s">
        <v>762</v>
      </c>
      <c r="BN288" s="425" t="s">
        <v>762</v>
      </c>
      <c r="BO288" s="425" t="s">
        <v>762</v>
      </c>
      <c r="BP288" s="425" t="s">
        <v>762</v>
      </c>
      <c r="BQ288" s="425" t="s">
        <v>762</v>
      </c>
      <c r="BR288" s="425" t="s">
        <v>762</v>
      </c>
      <c r="BS288" s="425" t="s">
        <v>762</v>
      </c>
      <c r="BT288" s="425" t="s">
        <v>762</v>
      </c>
      <c r="BU288" s="425" t="s">
        <v>762</v>
      </c>
      <c r="BV288" s="425" t="s">
        <v>762</v>
      </c>
      <c r="BW288" s="425" t="s">
        <v>762</v>
      </c>
      <c r="BX288" s="425" t="s">
        <v>762</v>
      </c>
      <c r="BY288" s="425" t="s">
        <v>762</v>
      </c>
      <c r="BZ288" s="425" t="s">
        <v>762</v>
      </c>
      <c r="CA288" s="425" t="s">
        <v>762</v>
      </c>
      <c r="CB288" s="425" t="s">
        <v>762</v>
      </c>
      <c r="CC288" s="425" t="s">
        <v>762</v>
      </c>
      <c r="CD288" s="425" t="s">
        <v>762</v>
      </c>
      <c r="CE288" s="425" t="s">
        <v>762</v>
      </c>
      <c r="CF288" s="425" t="s">
        <v>762</v>
      </c>
      <c r="CG288" s="424" t="s">
        <v>762</v>
      </c>
      <c r="CH288" s="425">
        <f t="shared" si="215"/>
        <v>61.897500000000008</v>
      </c>
      <c r="CI288" s="425">
        <f t="shared" si="242"/>
        <v>43.672500000000007</v>
      </c>
      <c r="CJ288" s="425">
        <f t="shared" si="243"/>
        <v>47.574000000000005</v>
      </c>
      <c r="CK288" s="425">
        <f t="shared" si="244"/>
        <v>41.688000000000002</v>
      </c>
      <c r="CL288" s="425">
        <f t="shared" si="245"/>
        <v>42.714000000000006</v>
      </c>
      <c r="CN288" s="438"/>
    </row>
    <row r="289" spans="1:92" s="426" customFormat="1">
      <c r="A289" s="424" t="s">
        <v>569</v>
      </c>
      <c r="B289" s="424" t="s">
        <v>630</v>
      </c>
      <c r="C289" s="425">
        <f t="shared" si="208"/>
        <v>33.33</v>
      </c>
      <c r="D289" s="425">
        <f t="shared" si="290"/>
        <v>33.33</v>
      </c>
      <c r="E289" s="425">
        <f t="shared" si="290"/>
        <v>33.33</v>
      </c>
      <c r="F289" s="425">
        <f t="shared" si="290"/>
        <v>33.33</v>
      </c>
      <c r="G289" s="425">
        <f t="shared" si="290"/>
        <v>33.33</v>
      </c>
      <c r="H289" s="425">
        <f t="shared" si="290"/>
        <v>33.33</v>
      </c>
      <c r="I289" s="425">
        <f t="shared" si="290"/>
        <v>33.33</v>
      </c>
      <c r="J289" s="425">
        <f t="shared" si="290"/>
        <v>33.33</v>
      </c>
      <c r="K289" s="425">
        <f t="shared" si="290"/>
        <v>33.33</v>
      </c>
      <c r="L289" s="425">
        <f t="shared" si="290"/>
        <v>33.33</v>
      </c>
      <c r="M289" s="425" t="s">
        <v>762</v>
      </c>
      <c r="N289" s="425" t="s">
        <v>762</v>
      </c>
      <c r="O289" s="425" t="s">
        <v>762</v>
      </c>
      <c r="P289" s="425" t="s">
        <v>762</v>
      </c>
      <c r="Q289" s="425" t="s">
        <v>762</v>
      </c>
      <c r="R289" s="425" t="s">
        <v>762</v>
      </c>
      <c r="S289" s="425" t="s">
        <v>762</v>
      </c>
      <c r="T289" s="425" t="s">
        <v>762</v>
      </c>
      <c r="U289" s="425" t="s">
        <v>762</v>
      </c>
      <c r="V289" s="425">
        <f t="shared" si="290"/>
        <v>33.33</v>
      </c>
      <c r="W289" s="425">
        <f t="shared" si="290"/>
        <v>33.33</v>
      </c>
      <c r="X289" s="425">
        <f t="shared" si="209"/>
        <v>38.97</v>
      </c>
      <c r="Y289" s="425">
        <f t="shared" si="210"/>
        <v>40.49</v>
      </c>
      <c r="Z289" s="425">
        <f t="shared" si="211"/>
        <v>43.37</v>
      </c>
      <c r="AA289" s="425">
        <f t="shared" si="212"/>
        <v>44.92</v>
      </c>
      <c r="AB289" s="425">
        <f t="shared" si="213"/>
        <v>46.47</v>
      </c>
      <c r="AC289" s="425">
        <f t="shared" ref="AC289:AD289" si="300">$I781</f>
        <v>48.01</v>
      </c>
      <c r="AD289" s="425">
        <f t="shared" si="300"/>
        <v>48.01</v>
      </c>
      <c r="AE289" s="425" t="s">
        <v>762</v>
      </c>
      <c r="AF289" s="425" t="s">
        <v>762</v>
      </c>
      <c r="AG289" s="425">
        <f t="shared" si="270"/>
        <v>58.21875</v>
      </c>
      <c r="AH289" s="425" t="s">
        <v>762</v>
      </c>
      <c r="AI289" s="425">
        <f t="shared" si="271"/>
        <v>77.625</v>
      </c>
      <c r="AJ289" s="425" t="s">
        <v>762</v>
      </c>
      <c r="AK289" s="425">
        <f t="shared" si="272"/>
        <v>97.03125</v>
      </c>
      <c r="AL289" s="425">
        <f t="shared" si="273"/>
        <v>82.134000000000015</v>
      </c>
      <c r="AM289" s="425" t="s">
        <v>762</v>
      </c>
      <c r="AN289" s="425">
        <f t="shared" si="274"/>
        <v>95.823000000000008</v>
      </c>
      <c r="AO289" s="425" t="s">
        <v>762</v>
      </c>
      <c r="AP289" s="425">
        <f t="shared" si="275"/>
        <v>109.51200000000001</v>
      </c>
      <c r="AQ289" s="425" t="s">
        <v>762</v>
      </c>
      <c r="AR289" s="425">
        <f t="shared" si="276"/>
        <v>123.20100000000002</v>
      </c>
      <c r="AS289" s="425" t="s">
        <v>762</v>
      </c>
      <c r="AT289" s="425">
        <f t="shared" si="277"/>
        <v>149.04</v>
      </c>
      <c r="AU289" s="425" t="s">
        <v>762</v>
      </c>
      <c r="AV289" s="425" t="s">
        <v>762</v>
      </c>
      <c r="AW289" s="425" t="s">
        <v>762</v>
      </c>
      <c r="AX289" s="425" t="s">
        <v>762</v>
      </c>
      <c r="AY289" s="425" t="s">
        <v>762</v>
      </c>
      <c r="AZ289" s="425" t="s">
        <v>762</v>
      </c>
      <c r="BA289" s="425">
        <f t="shared" si="278"/>
        <v>195.91875000000002</v>
      </c>
      <c r="BB289" s="425" t="s">
        <v>762</v>
      </c>
      <c r="BC289" s="425" t="s">
        <v>762</v>
      </c>
      <c r="BD289" s="425" t="s">
        <v>762</v>
      </c>
      <c r="BE289" s="425" t="s">
        <v>762</v>
      </c>
      <c r="BF289" s="425">
        <f t="shared" si="279"/>
        <v>267.84000000000003</v>
      </c>
      <c r="BG289" s="425" t="s">
        <v>762</v>
      </c>
      <c r="BH289" s="425" t="s">
        <v>762</v>
      </c>
      <c r="BI289" s="425">
        <f t="shared" si="280"/>
        <v>334.8</v>
      </c>
      <c r="BJ289" s="425" t="s">
        <v>762</v>
      </c>
      <c r="BK289" s="425" t="s">
        <v>762</v>
      </c>
      <c r="BL289" s="425">
        <f t="shared" si="281"/>
        <v>401.76000000000005</v>
      </c>
      <c r="BM289" s="425" t="s">
        <v>762</v>
      </c>
      <c r="BN289" s="425" t="s">
        <v>762</v>
      </c>
      <c r="BO289" s="425" t="s">
        <v>762</v>
      </c>
      <c r="BP289" s="425" t="s">
        <v>762</v>
      </c>
      <c r="BQ289" s="425" t="s">
        <v>762</v>
      </c>
      <c r="BR289" s="425" t="s">
        <v>762</v>
      </c>
      <c r="BS289" s="425" t="s">
        <v>762</v>
      </c>
      <c r="BT289" s="425" t="s">
        <v>762</v>
      </c>
      <c r="BU289" s="425" t="s">
        <v>762</v>
      </c>
      <c r="BV289" s="425" t="s">
        <v>762</v>
      </c>
      <c r="BW289" s="425" t="s">
        <v>762</v>
      </c>
      <c r="BX289" s="425" t="s">
        <v>762</v>
      </c>
      <c r="BY289" s="425" t="s">
        <v>762</v>
      </c>
      <c r="BZ289" s="425" t="s">
        <v>762</v>
      </c>
      <c r="CA289" s="425" t="s">
        <v>762</v>
      </c>
      <c r="CB289" s="425" t="s">
        <v>762</v>
      </c>
      <c r="CC289" s="425" t="s">
        <v>762</v>
      </c>
      <c r="CD289" s="425" t="s">
        <v>762</v>
      </c>
      <c r="CE289" s="425" t="s">
        <v>762</v>
      </c>
      <c r="CF289" s="425" t="s">
        <v>762</v>
      </c>
      <c r="CG289" s="424" t="s">
        <v>762</v>
      </c>
      <c r="CH289" s="425">
        <f t="shared" si="215"/>
        <v>38.8125</v>
      </c>
      <c r="CI289" s="425">
        <f t="shared" si="242"/>
        <v>27.378000000000004</v>
      </c>
      <c r="CJ289" s="425">
        <f t="shared" si="243"/>
        <v>29.808</v>
      </c>
      <c r="CK289" s="425">
        <f t="shared" si="244"/>
        <v>26.122500000000002</v>
      </c>
      <c r="CL289" s="425">
        <f t="shared" si="245"/>
        <v>26.784000000000002</v>
      </c>
      <c r="CN289" s="438"/>
    </row>
    <row r="290" spans="1:92" s="426" customFormat="1">
      <c r="A290" s="424" t="s">
        <v>570</v>
      </c>
      <c r="B290" s="424" t="s">
        <v>630</v>
      </c>
      <c r="C290" s="425">
        <f t="shared" si="208"/>
        <v>27.24</v>
      </c>
      <c r="D290" s="425">
        <f t="shared" si="290"/>
        <v>27.24</v>
      </c>
      <c r="E290" s="425">
        <f t="shared" si="290"/>
        <v>27.24</v>
      </c>
      <c r="F290" s="425">
        <f t="shared" si="290"/>
        <v>27.24</v>
      </c>
      <c r="G290" s="425">
        <f t="shared" si="290"/>
        <v>27.24</v>
      </c>
      <c r="H290" s="425">
        <f t="shared" si="290"/>
        <v>27.24</v>
      </c>
      <c r="I290" s="425">
        <f t="shared" si="290"/>
        <v>27.24</v>
      </c>
      <c r="J290" s="425">
        <f t="shared" si="290"/>
        <v>27.24</v>
      </c>
      <c r="K290" s="425">
        <f t="shared" si="290"/>
        <v>27.24</v>
      </c>
      <c r="L290" s="425">
        <f t="shared" si="290"/>
        <v>27.24</v>
      </c>
      <c r="M290" s="425" t="s">
        <v>762</v>
      </c>
      <c r="N290" s="425" t="s">
        <v>762</v>
      </c>
      <c r="O290" s="425" t="s">
        <v>762</v>
      </c>
      <c r="P290" s="425" t="s">
        <v>762</v>
      </c>
      <c r="Q290" s="425" t="s">
        <v>762</v>
      </c>
      <c r="R290" s="425" t="s">
        <v>762</v>
      </c>
      <c r="S290" s="425" t="s">
        <v>762</v>
      </c>
      <c r="T290" s="425" t="s">
        <v>762</v>
      </c>
      <c r="U290" s="425" t="s">
        <v>762</v>
      </c>
      <c r="V290" s="425">
        <f t="shared" si="290"/>
        <v>27.24</v>
      </c>
      <c r="W290" s="425">
        <f t="shared" si="290"/>
        <v>27.24</v>
      </c>
      <c r="X290" s="425">
        <f t="shared" si="209"/>
        <v>31.82</v>
      </c>
      <c r="Y290" s="425">
        <f t="shared" si="210"/>
        <v>33.06</v>
      </c>
      <c r="Z290" s="425">
        <f t="shared" si="211"/>
        <v>34.61</v>
      </c>
      <c r="AA290" s="425">
        <f t="shared" si="212"/>
        <v>35.880000000000003</v>
      </c>
      <c r="AB290" s="425">
        <f t="shared" si="213"/>
        <v>37.1</v>
      </c>
      <c r="AC290" s="425">
        <f t="shared" ref="AC290:AD290" si="301">$I782</f>
        <v>38.340000000000003</v>
      </c>
      <c r="AD290" s="425">
        <f t="shared" si="301"/>
        <v>38.340000000000003</v>
      </c>
      <c r="AE290" s="425" t="s">
        <v>762</v>
      </c>
      <c r="AF290" s="425" t="s">
        <v>762</v>
      </c>
      <c r="AG290" s="425">
        <f t="shared" si="270"/>
        <v>46.494</v>
      </c>
      <c r="AH290" s="425">
        <v>55</v>
      </c>
      <c r="AI290" s="425">
        <f t="shared" si="271"/>
        <v>61.992000000000004</v>
      </c>
      <c r="AJ290" s="425" t="s">
        <v>762</v>
      </c>
      <c r="AK290" s="425">
        <f t="shared" si="272"/>
        <v>77.490000000000009</v>
      </c>
      <c r="AL290" s="425">
        <f t="shared" si="273"/>
        <v>65.569500000000005</v>
      </c>
      <c r="AM290" s="425" t="s">
        <v>762</v>
      </c>
      <c r="AN290" s="425">
        <f t="shared" si="274"/>
        <v>76.497750000000011</v>
      </c>
      <c r="AO290" s="425" t="s">
        <v>762</v>
      </c>
      <c r="AP290" s="425">
        <f t="shared" si="275"/>
        <v>87.426000000000016</v>
      </c>
      <c r="AQ290" s="425" t="s">
        <v>762</v>
      </c>
      <c r="AR290" s="425">
        <f t="shared" si="276"/>
        <v>98.354250000000022</v>
      </c>
      <c r="AS290" s="425" t="s">
        <v>762</v>
      </c>
      <c r="AT290" s="425">
        <f t="shared" si="277"/>
        <v>119.07000000000002</v>
      </c>
      <c r="AU290" s="425" t="s">
        <v>762</v>
      </c>
      <c r="AV290" s="425" t="s">
        <v>762</v>
      </c>
      <c r="AW290" s="425" t="s">
        <v>762</v>
      </c>
      <c r="AX290" s="425" t="s">
        <v>762</v>
      </c>
      <c r="AY290" s="425" t="s">
        <v>762</v>
      </c>
      <c r="AZ290" s="425" t="s">
        <v>762</v>
      </c>
      <c r="BA290" s="425">
        <f t="shared" si="278"/>
        <v>156.53250000000003</v>
      </c>
      <c r="BB290" s="425" t="s">
        <v>762</v>
      </c>
      <c r="BC290" s="425" t="s">
        <v>762</v>
      </c>
      <c r="BD290" s="425" t="s">
        <v>762</v>
      </c>
      <c r="BE290" s="425" t="s">
        <v>762</v>
      </c>
      <c r="BF290" s="425">
        <f t="shared" si="279"/>
        <v>213.70499999999998</v>
      </c>
      <c r="BG290" s="425" t="s">
        <v>762</v>
      </c>
      <c r="BH290" s="425" t="s">
        <v>762</v>
      </c>
      <c r="BI290" s="425">
        <f t="shared" si="280"/>
        <v>267.13125000000002</v>
      </c>
      <c r="BJ290" s="425" t="s">
        <v>762</v>
      </c>
      <c r="BK290" s="425" t="s">
        <v>762</v>
      </c>
      <c r="BL290" s="425">
        <f t="shared" si="281"/>
        <v>320.5575</v>
      </c>
      <c r="BM290" s="425" t="s">
        <v>762</v>
      </c>
      <c r="BN290" s="425" t="s">
        <v>762</v>
      </c>
      <c r="BO290" s="425" t="s">
        <v>762</v>
      </c>
      <c r="BP290" s="425" t="s">
        <v>762</v>
      </c>
      <c r="BQ290" s="425" t="s">
        <v>762</v>
      </c>
      <c r="BR290" s="425" t="s">
        <v>762</v>
      </c>
      <c r="BS290" s="425" t="s">
        <v>762</v>
      </c>
      <c r="BT290" s="425" t="s">
        <v>762</v>
      </c>
      <c r="BU290" s="425" t="s">
        <v>762</v>
      </c>
      <c r="BV290" s="425" t="s">
        <v>762</v>
      </c>
      <c r="BW290" s="425" t="s">
        <v>762</v>
      </c>
      <c r="BX290" s="425" t="s">
        <v>762</v>
      </c>
      <c r="BY290" s="425" t="s">
        <v>762</v>
      </c>
      <c r="BZ290" s="425" t="s">
        <v>762</v>
      </c>
      <c r="CA290" s="425" t="s">
        <v>762</v>
      </c>
      <c r="CB290" s="425" t="s">
        <v>762</v>
      </c>
      <c r="CC290" s="425" t="s">
        <v>762</v>
      </c>
      <c r="CD290" s="425" t="s">
        <v>762</v>
      </c>
      <c r="CE290" s="425" t="s">
        <v>762</v>
      </c>
      <c r="CF290" s="425" t="s">
        <v>762</v>
      </c>
      <c r="CG290" s="424" t="s">
        <v>762</v>
      </c>
      <c r="CH290" s="425">
        <f t="shared" si="215"/>
        <v>30.996000000000002</v>
      </c>
      <c r="CI290" s="425">
        <f t="shared" si="242"/>
        <v>21.856500000000004</v>
      </c>
      <c r="CJ290" s="425">
        <f t="shared" si="243"/>
        <v>23.814000000000004</v>
      </c>
      <c r="CK290" s="425">
        <f t="shared" si="244"/>
        <v>20.871000000000002</v>
      </c>
      <c r="CL290" s="425">
        <f t="shared" si="245"/>
        <v>21.3705</v>
      </c>
      <c r="CN290" s="438"/>
    </row>
    <row r="291" spans="1:92" s="426" customFormat="1">
      <c r="A291" s="424" t="s">
        <v>571</v>
      </c>
      <c r="B291" s="424" t="s">
        <v>630</v>
      </c>
      <c r="C291" s="425">
        <f t="shared" si="208"/>
        <v>37.299999999999997</v>
      </c>
      <c r="D291" s="425">
        <f t="shared" si="290"/>
        <v>37.299999999999997</v>
      </c>
      <c r="E291" s="425">
        <f t="shared" si="290"/>
        <v>37.299999999999997</v>
      </c>
      <c r="F291" s="425">
        <f t="shared" si="290"/>
        <v>37.299999999999997</v>
      </c>
      <c r="G291" s="425">
        <f t="shared" si="290"/>
        <v>37.299999999999997</v>
      </c>
      <c r="H291" s="425">
        <f t="shared" si="290"/>
        <v>37.299999999999997</v>
      </c>
      <c r="I291" s="425">
        <f t="shared" si="290"/>
        <v>37.299999999999997</v>
      </c>
      <c r="J291" s="425">
        <f t="shared" si="290"/>
        <v>37.299999999999997</v>
      </c>
      <c r="K291" s="425">
        <f t="shared" si="290"/>
        <v>37.299999999999997</v>
      </c>
      <c r="L291" s="425">
        <f t="shared" si="290"/>
        <v>37.299999999999997</v>
      </c>
      <c r="M291" s="425" t="s">
        <v>762</v>
      </c>
      <c r="N291" s="425" t="s">
        <v>762</v>
      </c>
      <c r="O291" s="425" t="s">
        <v>762</v>
      </c>
      <c r="P291" s="425" t="s">
        <v>762</v>
      </c>
      <c r="Q291" s="425" t="s">
        <v>762</v>
      </c>
      <c r="R291" s="425" t="s">
        <v>762</v>
      </c>
      <c r="S291" s="425" t="s">
        <v>762</v>
      </c>
      <c r="T291" s="425" t="s">
        <v>762</v>
      </c>
      <c r="U291" s="425" t="s">
        <v>762</v>
      </c>
      <c r="V291" s="425">
        <f t="shared" si="290"/>
        <v>37.299999999999997</v>
      </c>
      <c r="W291" s="425">
        <f t="shared" si="290"/>
        <v>37.299999999999997</v>
      </c>
      <c r="X291" s="425">
        <f t="shared" si="209"/>
        <v>43.59</v>
      </c>
      <c r="Y291" s="425">
        <f t="shared" si="210"/>
        <v>45.25</v>
      </c>
      <c r="Z291" s="425">
        <f t="shared" si="211"/>
        <v>49</v>
      </c>
      <c r="AA291" s="425">
        <f t="shared" si="212"/>
        <v>50.75</v>
      </c>
      <c r="AB291" s="425">
        <f t="shared" si="213"/>
        <v>52.52</v>
      </c>
      <c r="AC291" s="425">
        <f t="shared" ref="AC291:AD291" si="302">$I783</f>
        <v>54.26</v>
      </c>
      <c r="AD291" s="425">
        <f t="shared" si="302"/>
        <v>54.26</v>
      </c>
      <c r="AE291" s="425" t="s">
        <v>762</v>
      </c>
      <c r="AF291" s="425" t="s">
        <v>762</v>
      </c>
      <c r="AG291" s="425">
        <f t="shared" si="270"/>
        <v>65.771999999999991</v>
      </c>
      <c r="AH291" s="425">
        <v>75</v>
      </c>
      <c r="AI291" s="425">
        <f t="shared" si="271"/>
        <v>87.695999999999998</v>
      </c>
      <c r="AJ291" s="425" t="s">
        <v>762</v>
      </c>
      <c r="AK291" s="425">
        <f t="shared" si="272"/>
        <v>109.62</v>
      </c>
      <c r="AL291" s="425">
        <f t="shared" si="273"/>
        <v>92.866500000000002</v>
      </c>
      <c r="AM291" s="425" t="s">
        <v>762</v>
      </c>
      <c r="AN291" s="425">
        <f t="shared" si="274"/>
        <v>108.34425</v>
      </c>
      <c r="AO291" s="425" t="s">
        <v>762</v>
      </c>
      <c r="AP291" s="425">
        <f t="shared" si="275"/>
        <v>123.822</v>
      </c>
      <c r="AQ291" s="425" t="s">
        <v>762</v>
      </c>
      <c r="AR291" s="425">
        <f t="shared" si="276"/>
        <v>139.29975000000002</v>
      </c>
      <c r="AS291" s="425" t="s">
        <v>762</v>
      </c>
      <c r="AT291" s="425">
        <f t="shared" si="277"/>
        <v>168.48000000000002</v>
      </c>
      <c r="AU291" s="425" t="s">
        <v>762</v>
      </c>
      <c r="AV291" s="425" t="s">
        <v>762</v>
      </c>
      <c r="AW291" s="425" t="s">
        <v>762</v>
      </c>
      <c r="AX291" s="425" t="s">
        <v>762</v>
      </c>
      <c r="AY291" s="425" t="s">
        <v>762</v>
      </c>
      <c r="AZ291" s="425" t="s">
        <v>762</v>
      </c>
      <c r="BA291" s="425">
        <f t="shared" si="278"/>
        <v>221.535</v>
      </c>
      <c r="BB291" s="425" t="s">
        <v>762</v>
      </c>
      <c r="BC291" s="425" t="s">
        <v>762</v>
      </c>
      <c r="BD291" s="425" t="s">
        <v>762</v>
      </c>
      <c r="BE291" s="425" t="s">
        <v>762</v>
      </c>
      <c r="BF291" s="425">
        <f t="shared" si="279"/>
        <v>302.67</v>
      </c>
      <c r="BG291" s="425" t="s">
        <v>762</v>
      </c>
      <c r="BH291" s="425" t="s">
        <v>762</v>
      </c>
      <c r="BI291" s="425">
        <f t="shared" si="280"/>
        <v>378.33750000000003</v>
      </c>
      <c r="BJ291" s="425" t="s">
        <v>762</v>
      </c>
      <c r="BK291" s="425" t="s">
        <v>762</v>
      </c>
      <c r="BL291" s="425">
        <f t="shared" si="281"/>
        <v>454.00500000000005</v>
      </c>
      <c r="BM291" s="425" t="s">
        <v>762</v>
      </c>
      <c r="BN291" s="425" t="s">
        <v>762</v>
      </c>
      <c r="BO291" s="425" t="s">
        <v>762</v>
      </c>
      <c r="BP291" s="425" t="s">
        <v>762</v>
      </c>
      <c r="BQ291" s="425" t="s">
        <v>762</v>
      </c>
      <c r="BR291" s="425" t="s">
        <v>762</v>
      </c>
      <c r="BS291" s="425" t="s">
        <v>762</v>
      </c>
      <c r="BT291" s="425" t="s">
        <v>762</v>
      </c>
      <c r="BU291" s="425" t="s">
        <v>762</v>
      </c>
      <c r="BV291" s="425" t="s">
        <v>762</v>
      </c>
      <c r="BW291" s="425" t="s">
        <v>762</v>
      </c>
      <c r="BX291" s="425" t="s">
        <v>762</v>
      </c>
      <c r="BY291" s="425" t="s">
        <v>762</v>
      </c>
      <c r="BZ291" s="425" t="s">
        <v>762</v>
      </c>
      <c r="CA291" s="425" t="s">
        <v>762</v>
      </c>
      <c r="CB291" s="425" t="s">
        <v>762</v>
      </c>
      <c r="CC291" s="425" t="s">
        <v>762</v>
      </c>
      <c r="CD291" s="425" t="s">
        <v>762</v>
      </c>
      <c r="CE291" s="425" t="s">
        <v>762</v>
      </c>
      <c r="CF291" s="425" t="s">
        <v>762</v>
      </c>
      <c r="CG291" s="424" t="s">
        <v>762</v>
      </c>
      <c r="CH291" s="425">
        <f t="shared" si="215"/>
        <v>43.847999999999999</v>
      </c>
      <c r="CI291" s="425">
        <f t="shared" si="242"/>
        <v>30.955500000000001</v>
      </c>
      <c r="CJ291" s="425">
        <f t="shared" si="243"/>
        <v>33.696000000000005</v>
      </c>
      <c r="CK291" s="425">
        <f t="shared" si="244"/>
        <v>29.538</v>
      </c>
      <c r="CL291" s="425">
        <f t="shared" si="245"/>
        <v>30.267000000000003</v>
      </c>
      <c r="CN291" s="438"/>
    </row>
    <row r="292" spans="1:92" s="426" customFormat="1">
      <c r="A292" s="424" t="s">
        <v>572</v>
      </c>
      <c r="B292" s="424" t="s">
        <v>630</v>
      </c>
      <c r="C292" s="425">
        <f t="shared" si="208"/>
        <v>43.4</v>
      </c>
      <c r="D292" s="425">
        <f t="shared" si="290"/>
        <v>43.4</v>
      </c>
      <c r="E292" s="425">
        <f t="shared" si="290"/>
        <v>43.4</v>
      </c>
      <c r="F292" s="425">
        <f t="shared" si="290"/>
        <v>43.4</v>
      </c>
      <c r="G292" s="425">
        <f t="shared" si="290"/>
        <v>43.4</v>
      </c>
      <c r="H292" s="425">
        <f t="shared" si="290"/>
        <v>43.4</v>
      </c>
      <c r="I292" s="425">
        <f t="shared" si="290"/>
        <v>43.4</v>
      </c>
      <c r="J292" s="425">
        <f t="shared" si="290"/>
        <v>43.4</v>
      </c>
      <c r="K292" s="425">
        <f t="shared" si="290"/>
        <v>43.4</v>
      </c>
      <c r="L292" s="425">
        <f t="shared" si="290"/>
        <v>43.4</v>
      </c>
      <c r="M292" s="425" t="s">
        <v>762</v>
      </c>
      <c r="N292" s="425" t="s">
        <v>762</v>
      </c>
      <c r="O292" s="425" t="s">
        <v>762</v>
      </c>
      <c r="P292" s="425" t="s">
        <v>762</v>
      </c>
      <c r="Q292" s="425" t="s">
        <v>762</v>
      </c>
      <c r="R292" s="425" t="s">
        <v>762</v>
      </c>
      <c r="S292" s="425" t="s">
        <v>762</v>
      </c>
      <c r="T292" s="425" t="s">
        <v>762</v>
      </c>
      <c r="U292" s="425" t="s">
        <v>762</v>
      </c>
      <c r="V292" s="425">
        <f t="shared" si="290"/>
        <v>43.4</v>
      </c>
      <c r="W292" s="425">
        <f t="shared" si="290"/>
        <v>43.4</v>
      </c>
      <c r="X292" s="425">
        <f t="shared" si="209"/>
        <v>50.71</v>
      </c>
      <c r="Y292" s="425">
        <f t="shared" si="210"/>
        <v>52.66</v>
      </c>
      <c r="Z292" s="425">
        <f t="shared" si="211"/>
        <v>57.73</v>
      </c>
      <c r="AA292" s="425">
        <f t="shared" si="212"/>
        <v>59.79</v>
      </c>
      <c r="AB292" s="425">
        <f t="shared" si="213"/>
        <v>61.84</v>
      </c>
      <c r="AC292" s="425">
        <f t="shared" ref="AC292:AD292" si="303">$I784</f>
        <v>63.92</v>
      </c>
      <c r="AD292" s="425">
        <f t="shared" si="303"/>
        <v>63.92</v>
      </c>
      <c r="AE292" s="425" t="s">
        <v>762</v>
      </c>
      <c r="AF292" s="425" t="s">
        <v>762</v>
      </c>
      <c r="AG292" s="425">
        <f t="shared" si="270"/>
        <v>77.436000000000007</v>
      </c>
      <c r="AH292" s="425" t="s">
        <v>762</v>
      </c>
      <c r="AI292" s="425">
        <f t="shared" si="271"/>
        <v>103.24800000000002</v>
      </c>
      <c r="AJ292" s="425" t="s">
        <v>762</v>
      </c>
      <c r="AK292" s="425">
        <f t="shared" si="272"/>
        <v>129.06000000000003</v>
      </c>
      <c r="AL292" s="425">
        <f t="shared" si="273"/>
        <v>109.35000000000001</v>
      </c>
      <c r="AM292" s="425" t="s">
        <v>762</v>
      </c>
      <c r="AN292" s="425">
        <f t="shared" si="274"/>
        <v>127.57500000000002</v>
      </c>
      <c r="AO292" s="425" t="s">
        <v>762</v>
      </c>
      <c r="AP292" s="425">
        <f t="shared" si="275"/>
        <v>145.80000000000001</v>
      </c>
      <c r="AQ292" s="425" t="s">
        <v>762</v>
      </c>
      <c r="AR292" s="425">
        <f t="shared" si="276"/>
        <v>164.02500000000001</v>
      </c>
      <c r="AS292" s="425" t="s">
        <v>762</v>
      </c>
      <c r="AT292" s="425">
        <f t="shared" si="277"/>
        <v>198.38250000000002</v>
      </c>
      <c r="AU292" s="425" t="s">
        <v>762</v>
      </c>
      <c r="AV292" s="425" t="s">
        <v>762</v>
      </c>
      <c r="AW292" s="425" t="s">
        <v>762</v>
      </c>
      <c r="AX292" s="425" t="s">
        <v>762</v>
      </c>
      <c r="AY292" s="425" t="s">
        <v>762</v>
      </c>
      <c r="AZ292" s="425" t="s">
        <v>762</v>
      </c>
      <c r="BA292" s="425">
        <f t="shared" si="278"/>
        <v>260.92125000000004</v>
      </c>
      <c r="BB292" s="425" t="s">
        <v>762</v>
      </c>
      <c r="BC292" s="425" t="s">
        <v>762</v>
      </c>
      <c r="BD292" s="425" t="s">
        <v>762</v>
      </c>
      <c r="BE292" s="425" t="s">
        <v>762</v>
      </c>
      <c r="BF292" s="425">
        <f t="shared" si="279"/>
        <v>356.53500000000003</v>
      </c>
      <c r="BG292" s="425" t="s">
        <v>762</v>
      </c>
      <c r="BH292" s="425" t="s">
        <v>762</v>
      </c>
      <c r="BI292" s="425">
        <f t="shared" si="280"/>
        <v>445.66874999999999</v>
      </c>
      <c r="BJ292" s="425" t="s">
        <v>762</v>
      </c>
      <c r="BK292" s="425" t="s">
        <v>762</v>
      </c>
      <c r="BL292" s="425">
        <f t="shared" si="281"/>
        <v>534.80250000000001</v>
      </c>
      <c r="BM292" s="425" t="s">
        <v>762</v>
      </c>
      <c r="BN292" s="425" t="s">
        <v>762</v>
      </c>
      <c r="BO292" s="425" t="s">
        <v>762</v>
      </c>
      <c r="BP292" s="425" t="s">
        <v>762</v>
      </c>
      <c r="BQ292" s="425" t="s">
        <v>762</v>
      </c>
      <c r="BR292" s="425" t="s">
        <v>762</v>
      </c>
      <c r="BS292" s="425" t="s">
        <v>762</v>
      </c>
      <c r="BT292" s="425" t="s">
        <v>762</v>
      </c>
      <c r="BU292" s="425" t="s">
        <v>762</v>
      </c>
      <c r="BV292" s="425" t="s">
        <v>762</v>
      </c>
      <c r="BW292" s="425" t="s">
        <v>762</v>
      </c>
      <c r="BX292" s="425" t="s">
        <v>762</v>
      </c>
      <c r="BY292" s="425" t="s">
        <v>762</v>
      </c>
      <c r="BZ292" s="425" t="s">
        <v>762</v>
      </c>
      <c r="CA292" s="425" t="s">
        <v>762</v>
      </c>
      <c r="CB292" s="425" t="s">
        <v>762</v>
      </c>
      <c r="CC292" s="425" t="s">
        <v>762</v>
      </c>
      <c r="CD292" s="425" t="s">
        <v>762</v>
      </c>
      <c r="CE292" s="425" t="s">
        <v>762</v>
      </c>
      <c r="CF292" s="425" t="s">
        <v>762</v>
      </c>
      <c r="CG292" s="424" t="s">
        <v>762</v>
      </c>
      <c r="CH292" s="425">
        <f t="shared" si="215"/>
        <v>51.624000000000009</v>
      </c>
      <c r="CI292" s="425">
        <f t="shared" si="242"/>
        <v>36.450000000000003</v>
      </c>
      <c r="CJ292" s="425">
        <f t="shared" si="243"/>
        <v>39.676500000000004</v>
      </c>
      <c r="CK292" s="425">
        <f t="shared" si="244"/>
        <v>34.789500000000004</v>
      </c>
      <c r="CL292" s="425">
        <f t="shared" si="245"/>
        <v>35.653500000000001</v>
      </c>
      <c r="CN292" s="438"/>
    </row>
    <row r="293" spans="1:92" s="426" customFormat="1">
      <c r="A293" s="424" t="s">
        <v>573</v>
      </c>
      <c r="B293" s="424" t="s">
        <v>630</v>
      </c>
      <c r="C293" s="425">
        <f t="shared" si="208"/>
        <v>31.2</v>
      </c>
      <c r="D293" s="425">
        <f t="shared" si="290"/>
        <v>31.2</v>
      </c>
      <c r="E293" s="425">
        <f t="shared" si="290"/>
        <v>31.2</v>
      </c>
      <c r="F293" s="425">
        <f t="shared" si="290"/>
        <v>31.2</v>
      </c>
      <c r="G293" s="425">
        <f t="shared" si="290"/>
        <v>31.2</v>
      </c>
      <c r="H293" s="425">
        <f t="shared" si="290"/>
        <v>31.2</v>
      </c>
      <c r="I293" s="425">
        <f t="shared" si="290"/>
        <v>31.2</v>
      </c>
      <c r="J293" s="425">
        <f t="shared" si="290"/>
        <v>31.2</v>
      </c>
      <c r="K293" s="425">
        <f t="shared" si="290"/>
        <v>31.2</v>
      </c>
      <c r="L293" s="425">
        <f t="shared" si="290"/>
        <v>31.2</v>
      </c>
      <c r="M293" s="425" t="s">
        <v>762</v>
      </c>
      <c r="N293" s="425" t="s">
        <v>762</v>
      </c>
      <c r="O293" s="425" t="s">
        <v>762</v>
      </c>
      <c r="P293" s="425" t="s">
        <v>762</v>
      </c>
      <c r="Q293" s="425" t="s">
        <v>762</v>
      </c>
      <c r="R293" s="425" t="s">
        <v>762</v>
      </c>
      <c r="S293" s="425" t="s">
        <v>762</v>
      </c>
      <c r="T293" s="425" t="s">
        <v>762</v>
      </c>
      <c r="U293" s="425" t="s">
        <v>762</v>
      </c>
      <c r="V293" s="425">
        <f t="shared" si="290"/>
        <v>31.2</v>
      </c>
      <c r="W293" s="425">
        <f t="shared" si="290"/>
        <v>31.2</v>
      </c>
      <c r="X293" s="425">
        <f t="shared" si="209"/>
        <v>36.46</v>
      </c>
      <c r="Y293" s="425">
        <f t="shared" si="210"/>
        <v>37.86</v>
      </c>
      <c r="Z293" s="425">
        <f t="shared" si="211"/>
        <v>40.28</v>
      </c>
      <c r="AA293" s="425">
        <f t="shared" si="212"/>
        <v>41.71</v>
      </c>
      <c r="AB293" s="425">
        <f t="shared" si="213"/>
        <v>43.15</v>
      </c>
      <c r="AC293" s="425">
        <f t="shared" ref="AC293:AD293" si="304">$I785</f>
        <v>44.58</v>
      </c>
      <c r="AD293" s="425">
        <f t="shared" si="304"/>
        <v>44.58</v>
      </c>
      <c r="AE293" s="425" t="s">
        <v>762</v>
      </c>
      <c r="AF293" s="425" t="s">
        <v>762</v>
      </c>
      <c r="AG293" s="425">
        <f t="shared" si="270"/>
        <v>54.047250000000005</v>
      </c>
      <c r="AH293" s="425" t="s">
        <v>762</v>
      </c>
      <c r="AI293" s="425">
        <f t="shared" si="271"/>
        <v>72.063000000000002</v>
      </c>
      <c r="AJ293" s="425" t="s">
        <v>762</v>
      </c>
      <c r="AK293" s="425">
        <f t="shared" si="272"/>
        <v>90.078749999999999</v>
      </c>
      <c r="AL293" s="425">
        <f t="shared" si="273"/>
        <v>76.261499999999998</v>
      </c>
      <c r="AM293" s="425" t="s">
        <v>762</v>
      </c>
      <c r="AN293" s="425">
        <f t="shared" si="274"/>
        <v>88.97175</v>
      </c>
      <c r="AO293" s="425" t="s">
        <v>762</v>
      </c>
      <c r="AP293" s="425">
        <f t="shared" si="275"/>
        <v>101.682</v>
      </c>
      <c r="AQ293" s="425" t="s">
        <v>762</v>
      </c>
      <c r="AR293" s="425">
        <f t="shared" si="276"/>
        <v>114.39225</v>
      </c>
      <c r="AS293" s="425" t="s">
        <v>762</v>
      </c>
      <c r="AT293" s="425">
        <f t="shared" si="277"/>
        <v>138.44250000000002</v>
      </c>
      <c r="AU293" s="425" t="s">
        <v>762</v>
      </c>
      <c r="AV293" s="425" t="s">
        <v>762</v>
      </c>
      <c r="AW293" s="425" t="s">
        <v>762</v>
      </c>
      <c r="AX293" s="425" t="s">
        <v>762</v>
      </c>
      <c r="AY293" s="425" t="s">
        <v>762</v>
      </c>
      <c r="AZ293" s="425" t="s">
        <v>762</v>
      </c>
      <c r="BA293" s="425">
        <f t="shared" si="278"/>
        <v>182.04750000000001</v>
      </c>
      <c r="BB293" s="425" t="s">
        <v>762</v>
      </c>
      <c r="BC293" s="425" t="s">
        <v>762</v>
      </c>
      <c r="BD293" s="425" t="s">
        <v>762</v>
      </c>
      <c r="BE293" s="425" t="s">
        <v>762</v>
      </c>
      <c r="BF293" s="425">
        <f t="shared" si="279"/>
        <v>248.67000000000004</v>
      </c>
      <c r="BG293" s="425" t="s">
        <v>762</v>
      </c>
      <c r="BH293" s="425" t="s">
        <v>762</v>
      </c>
      <c r="BI293" s="425">
        <f t="shared" si="280"/>
        <v>310.83750000000003</v>
      </c>
      <c r="BJ293" s="425" t="s">
        <v>762</v>
      </c>
      <c r="BK293" s="425" t="s">
        <v>762</v>
      </c>
      <c r="BL293" s="425">
        <f t="shared" si="281"/>
        <v>373.00500000000005</v>
      </c>
      <c r="BM293" s="425" t="s">
        <v>762</v>
      </c>
      <c r="BN293" s="425" t="s">
        <v>762</v>
      </c>
      <c r="BO293" s="425" t="s">
        <v>762</v>
      </c>
      <c r="BP293" s="425" t="s">
        <v>762</v>
      </c>
      <c r="BQ293" s="425" t="s">
        <v>762</v>
      </c>
      <c r="BR293" s="425" t="s">
        <v>762</v>
      </c>
      <c r="BS293" s="425" t="s">
        <v>762</v>
      </c>
      <c r="BT293" s="425" t="s">
        <v>762</v>
      </c>
      <c r="BU293" s="425" t="s">
        <v>762</v>
      </c>
      <c r="BV293" s="425" t="s">
        <v>762</v>
      </c>
      <c r="BW293" s="425" t="s">
        <v>762</v>
      </c>
      <c r="BX293" s="425" t="s">
        <v>762</v>
      </c>
      <c r="BY293" s="425" t="s">
        <v>762</v>
      </c>
      <c r="BZ293" s="425" t="s">
        <v>762</v>
      </c>
      <c r="CA293" s="425" t="s">
        <v>762</v>
      </c>
      <c r="CB293" s="425" t="s">
        <v>762</v>
      </c>
      <c r="CC293" s="425" t="s">
        <v>762</v>
      </c>
      <c r="CD293" s="425" t="s">
        <v>762</v>
      </c>
      <c r="CE293" s="425" t="s">
        <v>762</v>
      </c>
      <c r="CF293" s="425" t="s">
        <v>762</v>
      </c>
      <c r="CG293" s="424" t="s">
        <v>762</v>
      </c>
      <c r="CH293" s="425">
        <f t="shared" si="215"/>
        <v>36.031500000000001</v>
      </c>
      <c r="CI293" s="425">
        <f t="shared" si="242"/>
        <v>25.420500000000001</v>
      </c>
      <c r="CJ293" s="425">
        <f t="shared" si="243"/>
        <v>27.688500000000005</v>
      </c>
      <c r="CK293" s="425">
        <f t="shared" si="244"/>
        <v>24.273000000000003</v>
      </c>
      <c r="CL293" s="425">
        <f t="shared" si="245"/>
        <v>24.867000000000004</v>
      </c>
      <c r="CN293" s="438"/>
    </row>
    <row r="294" spans="1:92" s="426" customFormat="1">
      <c r="A294" s="424" t="s">
        <v>574</v>
      </c>
      <c r="B294" s="424" t="s">
        <v>630</v>
      </c>
      <c r="C294" s="425">
        <f t="shared" si="208"/>
        <v>43.82</v>
      </c>
      <c r="D294" s="425">
        <f t="shared" si="290"/>
        <v>43.82</v>
      </c>
      <c r="E294" s="425">
        <f t="shared" si="290"/>
        <v>43.82</v>
      </c>
      <c r="F294" s="425">
        <f t="shared" si="290"/>
        <v>43.82</v>
      </c>
      <c r="G294" s="425">
        <f t="shared" si="290"/>
        <v>43.82</v>
      </c>
      <c r="H294" s="425">
        <f t="shared" si="290"/>
        <v>43.82</v>
      </c>
      <c r="I294" s="425">
        <f t="shared" si="290"/>
        <v>43.82</v>
      </c>
      <c r="J294" s="425">
        <f t="shared" si="290"/>
        <v>43.82</v>
      </c>
      <c r="K294" s="425">
        <f t="shared" si="290"/>
        <v>43.82</v>
      </c>
      <c r="L294" s="425">
        <f t="shared" si="290"/>
        <v>43.82</v>
      </c>
      <c r="M294" s="425" t="s">
        <v>762</v>
      </c>
      <c r="N294" s="425" t="s">
        <v>762</v>
      </c>
      <c r="O294" s="425" t="s">
        <v>762</v>
      </c>
      <c r="P294" s="425" t="s">
        <v>762</v>
      </c>
      <c r="Q294" s="425" t="s">
        <v>762</v>
      </c>
      <c r="R294" s="425" t="s">
        <v>762</v>
      </c>
      <c r="S294" s="425" t="s">
        <v>762</v>
      </c>
      <c r="T294" s="425" t="s">
        <v>762</v>
      </c>
      <c r="U294" s="425" t="s">
        <v>762</v>
      </c>
      <c r="V294" s="425">
        <f t="shared" si="290"/>
        <v>43.82</v>
      </c>
      <c r="W294" s="425">
        <f t="shared" si="290"/>
        <v>43.82</v>
      </c>
      <c r="X294" s="425">
        <f t="shared" si="209"/>
        <v>51.2</v>
      </c>
      <c r="Y294" s="425">
        <f t="shared" si="210"/>
        <v>53.14</v>
      </c>
      <c r="Z294" s="425">
        <f t="shared" si="211"/>
        <v>58.31</v>
      </c>
      <c r="AA294" s="425">
        <f t="shared" si="212"/>
        <v>60.39</v>
      </c>
      <c r="AB294" s="425">
        <f t="shared" si="213"/>
        <v>62.49</v>
      </c>
      <c r="AC294" s="425">
        <f t="shared" ref="AC294:AD294" si="305">$I786</f>
        <v>64.56</v>
      </c>
      <c r="AD294" s="425">
        <f t="shared" si="305"/>
        <v>64.56</v>
      </c>
      <c r="AE294" s="425" t="s">
        <v>762</v>
      </c>
      <c r="AF294" s="425" t="s">
        <v>762</v>
      </c>
      <c r="AG294" s="425">
        <f t="shared" si="270"/>
        <v>78.246000000000009</v>
      </c>
      <c r="AH294" s="425" t="s">
        <v>762</v>
      </c>
      <c r="AI294" s="425">
        <f t="shared" si="271"/>
        <v>104.328</v>
      </c>
      <c r="AJ294" s="425" t="s">
        <v>762</v>
      </c>
      <c r="AK294" s="425">
        <f t="shared" si="272"/>
        <v>130.41</v>
      </c>
      <c r="AL294" s="425">
        <f t="shared" si="273"/>
        <v>110.48400000000001</v>
      </c>
      <c r="AM294" s="425" t="s">
        <v>762</v>
      </c>
      <c r="AN294" s="425">
        <f t="shared" si="274"/>
        <v>128.89800000000002</v>
      </c>
      <c r="AO294" s="425" t="s">
        <v>762</v>
      </c>
      <c r="AP294" s="425">
        <f t="shared" si="275"/>
        <v>147.31200000000001</v>
      </c>
      <c r="AQ294" s="425" t="s">
        <v>762</v>
      </c>
      <c r="AR294" s="425">
        <f t="shared" si="276"/>
        <v>165.726</v>
      </c>
      <c r="AS294" s="425" t="s">
        <v>762</v>
      </c>
      <c r="AT294" s="425">
        <f t="shared" si="277"/>
        <v>200.47499999999999</v>
      </c>
      <c r="AU294" s="425" t="s">
        <v>762</v>
      </c>
      <c r="AV294" s="425" t="s">
        <v>762</v>
      </c>
      <c r="AW294" s="425" t="s">
        <v>762</v>
      </c>
      <c r="AX294" s="425" t="s">
        <v>762</v>
      </c>
      <c r="AY294" s="425" t="s">
        <v>762</v>
      </c>
      <c r="AZ294" s="425" t="s">
        <v>762</v>
      </c>
      <c r="BA294" s="425">
        <f t="shared" si="278"/>
        <v>263.45250000000004</v>
      </c>
      <c r="BB294" s="425" t="s">
        <v>762</v>
      </c>
      <c r="BC294" s="425" t="s">
        <v>762</v>
      </c>
      <c r="BD294" s="425" t="s">
        <v>762</v>
      </c>
      <c r="BE294" s="425" t="s">
        <v>762</v>
      </c>
      <c r="BF294" s="425">
        <f t="shared" si="279"/>
        <v>360.315</v>
      </c>
      <c r="BG294" s="425" t="s">
        <v>762</v>
      </c>
      <c r="BH294" s="425" t="s">
        <v>762</v>
      </c>
      <c r="BI294" s="425">
        <f t="shared" si="280"/>
        <v>450.39375000000001</v>
      </c>
      <c r="BJ294" s="425" t="s">
        <v>762</v>
      </c>
      <c r="BK294" s="425" t="s">
        <v>762</v>
      </c>
      <c r="BL294" s="425">
        <f t="shared" si="281"/>
        <v>540.47249999999997</v>
      </c>
      <c r="BM294" s="425" t="s">
        <v>762</v>
      </c>
      <c r="BN294" s="425" t="s">
        <v>762</v>
      </c>
      <c r="BO294" s="425" t="s">
        <v>762</v>
      </c>
      <c r="BP294" s="425" t="s">
        <v>762</v>
      </c>
      <c r="BQ294" s="425" t="s">
        <v>762</v>
      </c>
      <c r="BR294" s="425" t="s">
        <v>762</v>
      </c>
      <c r="BS294" s="425" t="s">
        <v>762</v>
      </c>
      <c r="BT294" s="425" t="s">
        <v>762</v>
      </c>
      <c r="BU294" s="425" t="s">
        <v>762</v>
      </c>
      <c r="BV294" s="425" t="s">
        <v>762</v>
      </c>
      <c r="BW294" s="425" t="s">
        <v>762</v>
      </c>
      <c r="BX294" s="425" t="s">
        <v>762</v>
      </c>
      <c r="BY294" s="425" t="s">
        <v>762</v>
      </c>
      <c r="BZ294" s="425" t="s">
        <v>762</v>
      </c>
      <c r="CA294" s="425" t="s">
        <v>762</v>
      </c>
      <c r="CB294" s="425" t="s">
        <v>762</v>
      </c>
      <c r="CC294" s="425" t="s">
        <v>762</v>
      </c>
      <c r="CD294" s="425" t="s">
        <v>762</v>
      </c>
      <c r="CE294" s="425" t="s">
        <v>762</v>
      </c>
      <c r="CF294" s="425" t="s">
        <v>762</v>
      </c>
      <c r="CG294" s="424" t="s">
        <v>762</v>
      </c>
      <c r="CH294" s="425">
        <f t="shared" si="215"/>
        <v>52.164000000000001</v>
      </c>
      <c r="CI294" s="425">
        <f t="shared" si="242"/>
        <v>36.828000000000003</v>
      </c>
      <c r="CJ294" s="425">
        <f t="shared" si="243"/>
        <v>40.094999999999999</v>
      </c>
      <c r="CK294" s="425">
        <f t="shared" si="244"/>
        <v>35.127000000000002</v>
      </c>
      <c r="CL294" s="425">
        <f t="shared" si="245"/>
        <v>36.031500000000001</v>
      </c>
      <c r="CN294" s="438"/>
    </row>
    <row r="295" spans="1:92" s="426" customFormat="1">
      <c r="A295" s="424" t="s">
        <v>575</v>
      </c>
      <c r="B295" s="424" t="s">
        <v>630</v>
      </c>
      <c r="C295" s="425">
        <f t="shared" ref="C295:W343" si="306">$B787</f>
        <v>43.46</v>
      </c>
      <c r="D295" s="425">
        <f t="shared" si="306"/>
        <v>43.46</v>
      </c>
      <c r="E295" s="425">
        <f t="shared" si="306"/>
        <v>43.46</v>
      </c>
      <c r="F295" s="425">
        <f t="shared" si="306"/>
        <v>43.46</v>
      </c>
      <c r="G295" s="425">
        <f t="shared" si="306"/>
        <v>43.46</v>
      </c>
      <c r="H295" s="425">
        <f t="shared" si="306"/>
        <v>43.46</v>
      </c>
      <c r="I295" s="425">
        <f t="shared" si="306"/>
        <v>43.46</v>
      </c>
      <c r="J295" s="425">
        <f t="shared" si="306"/>
        <v>43.46</v>
      </c>
      <c r="K295" s="425">
        <f t="shared" si="306"/>
        <v>43.46</v>
      </c>
      <c r="L295" s="425">
        <f t="shared" si="306"/>
        <v>43.46</v>
      </c>
      <c r="M295" s="425" t="s">
        <v>762</v>
      </c>
      <c r="N295" s="425" t="s">
        <v>762</v>
      </c>
      <c r="O295" s="425" t="s">
        <v>762</v>
      </c>
      <c r="P295" s="425" t="s">
        <v>762</v>
      </c>
      <c r="Q295" s="425" t="s">
        <v>762</v>
      </c>
      <c r="R295" s="425" t="s">
        <v>762</v>
      </c>
      <c r="S295" s="425" t="s">
        <v>762</v>
      </c>
      <c r="T295" s="425" t="s">
        <v>762</v>
      </c>
      <c r="U295" s="425" t="s">
        <v>762</v>
      </c>
      <c r="V295" s="425">
        <f t="shared" si="306"/>
        <v>43.46</v>
      </c>
      <c r="W295" s="425">
        <f t="shared" si="306"/>
        <v>43.46</v>
      </c>
      <c r="X295" s="425">
        <f t="shared" ref="X295:X343" si="307">$D787</f>
        <v>50.77</v>
      </c>
      <c r="Y295" s="425">
        <f t="shared" ref="Y295:Y343" si="308">$E787</f>
        <v>52.75</v>
      </c>
      <c r="Z295" s="425">
        <f t="shared" ref="Z295:Z343" si="309">$F787</f>
        <v>57.84</v>
      </c>
      <c r="AA295" s="425">
        <f t="shared" ref="AA295:AA343" si="310">$G787</f>
        <v>59.89</v>
      </c>
      <c r="AB295" s="425">
        <f t="shared" ref="AB295:AB343" si="311">$H787</f>
        <v>61.96</v>
      </c>
      <c r="AC295" s="425">
        <f t="shared" ref="AC295:AD295" si="312">$I787</f>
        <v>64.03</v>
      </c>
      <c r="AD295" s="425">
        <f t="shared" si="312"/>
        <v>64.03</v>
      </c>
      <c r="AE295" s="425" t="s">
        <v>762</v>
      </c>
      <c r="AF295" s="425" t="s">
        <v>762</v>
      </c>
      <c r="AG295" s="425">
        <f t="shared" si="270"/>
        <v>77.598000000000013</v>
      </c>
      <c r="AH295" s="425" t="s">
        <v>762</v>
      </c>
      <c r="AI295" s="425">
        <f t="shared" si="271"/>
        <v>103.46400000000001</v>
      </c>
      <c r="AJ295" s="425" t="s">
        <v>762</v>
      </c>
      <c r="AK295" s="425">
        <f t="shared" si="272"/>
        <v>129.33000000000001</v>
      </c>
      <c r="AL295" s="425">
        <f t="shared" si="273"/>
        <v>109.55250000000001</v>
      </c>
      <c r="AM295" s="425" t="s">
        <v>762</v>
      </c>
      <c r="AN295" s="425">
        <f t="shared" si="274"/>
        <v>127.81125000000002</v>
      </c>
      <c r="AO295" s="425" t="s">
        <v>762</v>
      </c>
      <c r="AP295" s="425">
        <f t="shared" si="275"/>
        <v>146.07000000000002</v>
      </c>
      <c r="AQ295" s="425" t="s">
        <v>762</v>
      </c>
      <c r="AR295" s="425">
        <f t="shared" si="276"/>
        <v>164.32875000000001</v>
      </c>
      <c r="AS295" s="425" t="s">
        <v>762</v>
      </c>
      <c r="AT295" s="425">
        <f t="shared" si="277"/>
        <v>198.72000000000003</v>
      </c>
      <c r="AU295" s="425" t="s">
        <v>762</v>
      </c>
      <c r="AV295" s="425" t="s">
        <v>762</v>
      </c>
      <c r="AW295" s="425" t="s">
        <v>762</v>
      </c>
      <c r="AX295" s="425" t="s">
        <v>762</v>
      </c>
      <c r="AY295" s="425" t="s">
        <v>762</v>
      </c>
      <c r="AZ295" s="425" t="s">
        <v>762</v>
      </c>
      <c r="BA295" s="425">
        <f t="shared" si="278"/>
        <v>261.32625000000002</v>
      </c>
      <c r="BB295" s="425" t="s">
        <v>762</v>
      </c>
      <c r="BC295" s="425" t="s">
        <v>762</v>
      </c>
      <c r="BD295" s="425" t="s">
        <v>762</v>
      </c>
      <c r="BE295" s="425" t="s">
        <v>762</v>
      </c>
      <c r="BF295" s="425">
        <f t="shared" si="279"/>
        <v>357.07500000000005</v>
      </c>
      <c r="BG295" s="425" t="s">
        <v>762</v>
      </c>
      <c r="BH295" s="425" t="s">
        <v>762</v>
      </c>
      <c r="BI295" s="425">
        <f t="shared" si="280"/>
        <v>446.34375000000006</v>
      </c>
      <c r="BJ295" s="425" t="s">
        <v>762</v>
      </c>
      <c r="BK295" s="425" t="s">
        <v>762</v>
      </c>
      <c r="BL295" s="425">
        <f t="shared" si="281"/>
        <v>535.61250000000007</v>
      </c>
      <c r="BM295" s="425" t="s">
        <v>762</v>
      </c>
      <c r="BN295" s="425" t="s">
        <v>762</v>
      </c>
      <c r="BO295" s="425" t="s">
        <v>762</v>
      </c>
      <c r="BP295" s="425" t="s">
        <v>762</v>
      </c>
      <c r="BQ295" s="425" t="s">
        <v>762</v>
      </c>
      <c r="BR295" s="425" t="s">
        <v>762</v>
      </c>
      <c r="BS295" s="425" t="s">
        <v>762</v>
      </c>
      <c r="BT295" s="425" t="s">
        <v>762</v>
      </c>
      <c r="BU295" s="425" t="s">
        <v>762</v>
      </c>
      <c r="BV295" s="425" t="s">
        <v>762</v>
      </c>
      <c r="BW295" s="425" t="s">
        <v>762</v>
      </c>
      <c r="BX295" s="425" t="s">
        <v>762</v>
      </c>
      <c r="BY295" s="425" t="s">
        <v>762</v>
      </c>
      <c r="BZ295" s="425" t="s">
        <v>762</v>
      </c>
      <c r="CA295" s="425" t="s">
        <v>762</v>
      </c>
      <c r="CB295" s="425" t="s">
        <v>762</v>
      </c>
      <c r="CC295" s="425" t="s">
        <v>762</v>
      </c>
      <c r="CD295" s="425" t="s">
        <v>762</v>
      </c>
      <c r="CE295" s="425" t="s">
        <v>762</v>
      </c>
      <c r="CF295" s="425" t="s">
        <v>762</v>
      </c>
      <c r="CG295" s="424" t="s">
        <v>762</v>
      </c>
      <c r="CH295" s="425">
        <f t="shared" ref="CH295:CH342" si="313">J787*1.35</f>
        <v>51.732000000000006</v>
      </c>
      <c r="CI295" s="425">
        <f t="shared" si="242"/>
        <v>36.517500000000005</v>
      </c>
      <c r="CJ295" s="425">
        <f t="shared" si="243"/>
        <v>39.744000000000007</v>
      </c>
      <c r="CK295" s="425">
        <f t="shared" si="244"/>
        <v>34.843499999999999</v>
      </c>
      <c r="CL295" s="425">
        <f t="shared" si="245"/>
        <v>35.707500000000003</v>
      </c>
      <c r="CN295" s="438"/>
    </row>
    <row r="296" spans="1:92" s="426" customFormat="1">
      <c r="A296" s="424" t="s">
        <v>576</v>
      </c>
      <c r="B296" s="424" t="s">
        <v>630</v>
      </c>
      <c r="C296" s="425">
        <f t="shared" si="306"/>
        <v>34.090000000000003</v>
      </c>
      <c r="D296" s="425">
        <f t="shared" si="306"/>
        <v>34.090000000000003</v>
      </c>
      <c r="E296" s="425">
        <f t="shared" si="306"/>
        <v>34.090000000000003</v>
      </c>
      <c r="F296" s="425">
        <f t="shared" si="306"/>
        <v>34.090000000000003</v>
      </c>
      <c r="G296" s="425">
        <f t="shared" si="306"/>
        <v>34.090000000000003</v>
      </c>
      <c r="H296" s="425">
        <f t="shared" si="306"/>
        <v>34.090000000000003</v>
      </c>
      <c r="I296" s="425">
        <f t="shared" si="306"/>
        <v>34.090000000000003</v>
      </c>
      <c r="J296" s="425">
        <f t="shared" si="306"/>
        <v>34.090000000000003</v>
      </c>
      <c r="K296" s="425">
        <f t="shared" si="306"/>
        <v>34.090000000000003</v>
      </c>
      <c r="L296" s="425">
        <f t="shared" si="306"/>
        <v>34.090000000000003</v>
      </c>
      <c r="M296" s="425" t="s">
        <v>762</v>
      </c>
      <c r="N296" s="425" t="s">
        <v>762</v>
      </c>
      <c r="O296" s="425" t="s">
        <v>762</v>
      </c>
      <c r="P296" s="425" t="s">
        <v>762</v>
      </c>
      <c r="Q296" s="425" t="s">
        <v>762</v>
      </c>
      <c r="R296" s="425" t="s">
        <v>762</v>
      </c>
      <c r="S296" s="425" t="s">
        <v>762</v>
      </c>
      <c r="T296" s="425" t="s">
        <v>762</v>
      </c>
      <c r="U296" s="425" t="s">
        <v>762</v>
      </c>
      <c r="V296" s="425">
        <f t="shared" si="306"/>
        <v>34.090000000000003</v>
      </c>
      <c r="W296" s="425">
        <f t="shared" si="306"/>
        <v>34.090000000000003</v>
      </c>
      <c r="X296" s="425">
        <f t="shared" si="307"/>
        <v>39.83</v>
      </c>
      <c r="Y296" s="425">
        <f t="shared" si="308"/>
        <v>41.38</v>
      </c>
      <c r="Z296" s="425">
        <f t="shared" si="309"/>
        <v>44.42</v>
      </c>
      <c r="AA296" s="425">
        <f t="shared" si="310"/>
        <v>46</v>
      </c>
      <c r="AB296" s="425">
        <f t="shared" si="311"/>
        <v>47.59</v>
      </c>
      <c r="AC296" s="425">
        <f t="shared" ref="AC296:AD296" si="314">$I788</f>
        <v>49.18</v>
      </c>
      <c r="AD296" s="425">
        <f t="shared" si="314"/>
        <v>49.18</v>
      </c>
      <c r="AE296" s="425" t="s">
        <v>762</v>
      </c>
      <c r="AF296" s="425" t="s">
        <v>762</v>
      </c>
      <c r="AG296" s="425">
        <f t="shared" si="270"/>
        <v>59.616000000000014</v>
      </c>
      <c r="AH296" s="425" t="s">
        <v>762</v>
      </c>
      <c r="AI296" s="425">
        <f t="shared" si="271"/>
        <v>79.488000000000014</v>
      </c>
      <c r="AJ296" s="425" t="s">
        <v>762</v>
      </c>
      <c r="AK296" s="425">
        <f t="shared" si="272"/>
        <v>99.360000000000014</v>
      </c>
      <c r="AL296" s="425">
        <f t="shared" si="273"/>
        <v>84.15900000000002</v>
      </c>
      <c r="AM296" s="425" t="s">
        <v>762</v>
      </c>
      <c r="AN296" s="425">
        <f t="shared" si="274"/>
        <v>98.185500000000019</v>
      </c>
      <c r="AO296" s="425" t="s">
        <v>762</v>
      </c>
      <c r="AP296" s="425">
        <f t="shared" si="275"/>
        <v>112.21200000000002</v>
      </c>
      <c r="AQ296" s="425" t="s">
        <v>762</v>
      </c>
      <c r="AR296" s="425">
        <f t="shared" si="276"/>
        <v>126.23850000000002</v>
      </c>
      <c r="AS296" s="425" t="s">
        <v>762</v>
      </c>
      <c r="AT296" s="425">
        <f t="shared" si="277"/>
        <v>152.61750000000001</v>
      </c>
      <c r="AU296" s="425" t="s">
        <v>762</v>
      </c>
      <c r="AV296" s="425" t="s">
        <v>762</v>
      </c>
      <c r="AW296" s="425" t="s">
        <v>762</v>
      </c>
      <c r="AX296" s="425" t="s">
        <v>762</v>
      </c>
      <c r="AY296" s="425" t="s">
        <v>762</v>
      </c>
      <c r="AZ296" s="425" t="s">
        <v>762</v>
      </c>
      <c r="BA296" s="425">
        <f t="shared" si="278"/>
        <v>200.77875</v>
      </c>
      <c r="BB296" s="425" t="s">
        <v>762</v>
      </c>
      <c r="BC296" s="425" t="s">
        <v>762</v>
      </c>
      <c r="BD296" s="425" t="s">
        <v>762</v>
      </c>
      <c r="BE296" s="425" t="s">
        <v>762</v>
      </c>
      <c r="BF296" s="425">
        <f t="shared" si="279"/>
        <v>274.05</v>
      </c>
      <c r="BG296" s="425" t="s">
        <v>762</v>
      </c>
      <c r="BH296" s="425" t="s">
        <v>762</v>
      </c>
      <c r="BI296" s="425">
        <f t="shared" si="280"/>
        <v>342.5625</v>
      </c>
      <c r="BJ296" s="425" t="s">
        <v>762</v>
      </c>
      <c r="BK296" s="425" t="s">
        <v>762</v>
      </c>
      <c r="BL296" s="425">
        <f t="shared" si="281"/>
        <v>411.07500000000005</v>
      </c>
      <c r="BM296" s="425" t="s">
        <v>762</v>
      </c>
      <c r="BN296" s="425" t="s">
        <v>762</v>
      </c>
      <c r="BO296" s="425" t="s">
        <v>762</v>
      </c>
      <c r="BP296" s="425" t="s">
        <v>762</v>
      </c>
      <c r="BQ296" s="425" t="s">
        <v>762</v>
      </c>
      <c r="BR296" s="425" t="s">
        <v>762</v>
      </c>
      <c r="BS296" s="425" t="s">
        <v>762</v>
      </c>
      <c r="BT296" s="425" t="s">
        <v>762</v>
      </c>
      <c r="BU296" s="425" t="s">
        <v>762</v>
      </c>
      <c r="BV296" s="425" t="s">
        <v>762</v>
      </c>
      <c r="BW296" s="425" t="s">
        <v>762</v>
      </c>
      <c r="BX296" s="425" t="s">
        <v>762</v>
      </c>
      <c r="BY296" s="425" t="s">
        <v>762</v>
      </c>
      <c r="BZ296" s="425" t="s">
        <v>762</v>
      </c>
      <c r="CA296" s="425" t="s">
        <v>762</v>
      </c>
      <c r="CB296" s="425" t="s">
        <v>762</v>
      </c>
      <c r="CC296" s="425" t="s">
        <v>762</v>
      </c>
      <c r="CD296" s="425" t="s">
        <v>762</v>
      </c>
      <c r="CE296" s="425" t="s">
        <v>762</v>
      </c>
      <c r="CF296" s="425" t="s">
        <v>762</v>
      </c>
      <c r="CG296" s="424" t="s">
        <v>762</v>
      </c>
      <c r="CH296" s="425">
        <f t="shared" si="313"/>
        <v>39.744000000000007</v>
      </c>
      <c r="CI296" s="425">
        <f t="shared" si="242"/>
        <v>28.053000000000004</v>
      </c>
      <c r="CJ296" s="425">
        <f t="shared" si="243"/>
        <v>30.523500000000002</v>
      </c>
      <c r="CK296" s="425">
        <f t="shared" si="244"/>
        <v>26.770499999999998</v>
      </c>
      <c r="CL296" s="425">
        <f t="shared" si="245"/>
        <v>27.405000000000001</v>
      </c>
      <c r="CN296" s="438"/>
    </row>
    <row r="297" spans="1:92" s="426" customFormat="1">
      <c r="A297" s="424" t="s">
        <v>577</v>
      </c>
      <c r="B297" s="424" t="s">
        <v>630</v>
      </c>
      <c r="C297" s="425">
        <f t="shared" si="306"/>
        <v>42.62</v>
      </c>
      <c r="D297" s="425">
        <f t="shared" si="306"/>
        <v>42.62</v>
      </c>
      <c r="E297" s="425">
        <f t="shared" si="306"/>
        <v>42.62</v>
      </c>
      <c r="F297" s="425">
        <f t="shared" si="306"/>
        <v>42.62</v>
      </c>
      <c r="G297" s="425">
        <f t="shared" si="306"/>
        <v>42.62</v>
      </c>
      <c r="H297" s="425">
        <f t="shared" si="306"/>
        <v>42.62</v>
      </c>
      <c r="I297" s="425">
        <f t="shared" si="306"/>
        <v>42.62</v>
      </c>
      <c r="J297" s="425">
        <f t="shared" si="306"/>
        <v>42.62</v>
      </c>
      <c r="K297" s="425">
        <f t="shared" si="306"/>
        <v>42.62</v>
      </c>
      <c r="L297" s="425">
        <f t="shared" si="306"/>
        <v>42.62</v>
      </c>
      <c r="M297" s="425" t="s">
        <v>762</v>
      </c>
      <c r="N297" s="425" t="s">
        <v>762</v>
      </c>
      <c r="O297" s="425" t="s">
        <v>762</v>
      </c>
      <c r="P297" s="425" t="s">
        <v>762</v>
      </c>
      <c r="Q297" s="425" t="s">
        <v>762</v>
      </c>
      <c r="R297" s="425" t="s">
        <v>762</v>
      </c>
      <c r="S297" s="425" t="s">
        <v>762</v>
      </c>
      <c r="T297" s="425" t="s">
        <v>762</v>
      </c>
      <c r="U297" s="425" t="s">
        <v>762</v>
      </c>
      <c r="V297" s="425">
        <f t="shared" si="306"/>
        <v>42.62</v>
      </c>
      <c r="W297" s="425">
        <f t="shared" si="306"/>
        <v>42.62</v>
      </c>
      <c r="X297" s="425">
        <f t="shared" si="307"/>
        <v>49.78</v>
      </c>
      <c r="Y297" s="425">
        <f t="shared" si="308"/>
        <v>51.71</v>
      </c>
      <c r="Z297" s="425">
        <f t="shared" si="309"/>
        <v>55.55</v>
      </c>
      <c r="AA297" s="425">
        <f t="shared" si="310"/>
        <v>57.51</v>
      </c>
      <c r="AB297" s="425">
        <f t="shared" si="311"/>
        <v>59.48</v>
      </c>
      <c r="AC297" s="425">
        <f t="shared" ref="AC297:AD297" si="315">$I789</f>
        <v>61.48</v>
      </c>
      <c r="AD297" s="425">
        <f t="shared" si="315"/>
        <v>61.48</v>
      </c>
      <c r="AE297" s="425" t="s">
        <v>762</v>
      </c>
      <c r="AF297" s="425" t="s">
        <v>762</v>
      </c>
      <c r="AG297" s="425">
        <f t="shared" si="270"/>
        <v>74.52</v>
      </c>
      <c r="AH297" s="425" t="s">
        <v>762</v>
      </c>
      <c r="AI297" s="425">
        <f t="shared" si="271"/>
        <v>99.36</v>
      </c>
      <c r="AJ297" s="425" t="s">
        <v>762</v>
      </c>
      <c r="AK297" s="425">
        <f t="shared" si="272"/>
        <v>124.2</v>
      </c>
      <c r="AL297" s="425">
        <f t="shared" si="273"/>
        <v>105.1785</v>
      </c>
      <c r="AM297" s="425" t="s">
        <v>762</v>
      </c>
      <c r="AN297" s="425">
        <f t="shared" si="274"/>
        <v>122.70824999999999</v>
      </c>
      <c r="AO297" s="425" t="s">
        <v>762</v>
      </c>
      <c r="AP297" s="425">
        <f t="shared" si="275"/>
        <v>140.238</v>
      </c>
      <c r="AQ297" s="425" t="s">
        <v>762</v>
      </c>
      <c r="AR297" s="425">
        <f t="shared" si="276"/>
        <v>157.76775000000001</v>
      </c>
      <c r="AS297" s="425" t="s">
        <v>762</v>
      </c>
      <c r="AT297" s="425">
        <f t="shared" si="277"/>
        <v>190.89000000000001</v>
      </c>
      <c r="AU297" s="425" t="s">
        <v>762</v>
      </c>
      <c r="AV297" s="425" t="s">
        <v>762</v>
      </c>
      <c r="AW297" s="425" t="s">
        <v>762</v>
      </c>
      <c r="AX297" s="425" t="s">
        <v>762</v>
      </c>
      <c r="AY297" s="425" t="s">
        <v>762</v>
      </c>
      <c r="AZ297" s="425" t="s">
        <v>762</v>
      </c>
      <c r="BA297" s="425">
        <f t="shared" si="278"/>
        <v>250.89750000000004</v>
      </c>
      <c r="BB297" s="425" t="s">
        <v>762</v>
      </c>
      <c r="BC297" s="425" t="s">
        <v>762</v>
      </c>
      <c r="BD297" s="425" t="s">
        <v>762</v>
      </c>
      <c r="BE297" s="425" t="s">
        <v>762</v>
      </c>
      <c r="BF297" s="425">
        <f t="shared" si="279"/>
        <v>342.9</v>
      </c>
      <c r="BG297" s="425" t="s">
        <v>762</v>
      </c>
      <c r="BH297" s="425" t="s">
        <v>762</v>
      </c>
      <c r="BI297" s="425">
        <f t="shared" si="280"/>
        <v>428.625</v>
      </c>
      <c r="BJ297" s="425" t="s">
        <v>762</v>
      </c>
      <c r="BK297" s="425" t="s">
        <v>762</v>
      </c>
      <c r="BL297" s="425">
        <f t="shared" si="281"/>
        <v>514.35</v>
      </c>
      <c r="BM297" s="425" t="s">
        <v>762</v>
      </c>
      <c r="BN297" s="425" t="s">
        <v>762</v>
      </c>
      <c r="BO297" s="425" t="s">
        <v>762</v>
      </c>
      <c r="BP297" s="425" t="s">
        <v>762</v>
      </c>
      <c r="BQ297" s="425" t="s">
        <v>762</v>
      </c>
      <c r="BR297" s="425" t="s">
        <v>762</v>
      </c>
      <c r="BS297" s="425" t="s">
        <v>762</v>
      </c>
      <c r="BT297" s="425" t="s">
        <v>762</v>
      </c>
      <c r="BU297" s="425" t="s">
        <v>762</v>
      </c>
      <c r="BV297" s="425" t="s">
        <v>762</v>
      </c>
      <c r="BW297" s="425" t="s">
        <v>762</v>
      </c>
      <c r="BX297" s="425" t="s">
        <v>762</v>
      </c>
      <c r="BY297" s="425" t="s">
        <v>762</v>
      </c>
      <c r="BZ297" s="425" t="s">
        <v>762</v>
      </c>
      <c r="CA297" s="425" t="s">
        <v>762</v>
      </c>
      <c r="CB297" s="425" t="s">
        <v>762</v>
      </c>
      <c r="CC297" s="425" t="s">
        <v>762</v>
      </c>
      <c r="CD297" s="425" t="s">
        <v>762</v>
      </c>
      <c r="CE297" s="425" t="s">
        <v>762</v>
      </c>
      <c r="CF297" s="425" t="s">
        <v>762</v>
      </c>
      <c r="CG297" s="424" t="s">
        <v>762</v>
      </c>
      <c r="CH297" s="425">
        <f t="shared" si="313"/>
        <v>49.68</v>
      </c>
      <c r="CI297" s="425">
        <f t="shared" si="242"/>
        <v>35.0595</v>
      </c>
      <c r="CJ297" s="425">
        <f t="shared" si="243"/>
        <v>38.178000000000004</v>
      </c>
      <c r="CK297" s="425">
        <f t="shared" si="244"/>
        <v>33.453000000000003</v>
      </c>
      <c r="CL297" s="425">
        <f t="shared" si="245"/>
        <v>34.29</v>
      </c>
      <c r="CN297" s="438"/>
    </row>
    <row r="298" spans="1:92" s="426" customFormat="1">
      <c r="A298" s="424" t="s">
        <v>578</v>
      </c>
      <c r="B298" s="424" t="s">
        <v>630</v>
      </c>
      <c r="C298" s="425">
        <f t="shared" si="306"/>
        <v>43.12</v>
      </c>
      <c r="D298" s="425">
        <f t="shared" si="306"/>
        <v>43.12</v>
      </c>
      <c r="E298" s="425">
        <f t="shared" si="306"/>
        <v>43.12</v>
      </c>
      <c r="F298" s="425">
        <f t="shared" si="306"/>
        <v>43.12</v>
      </c>
      <c r="G298" s="425">
        <f t="shared" si="306"/>
        <v>43.12</v>
      </c>
      <c r="H298" s="425">
        <f t="shared" si="306"/>
        <v>43.12</v>
      </c>
      <c r="I298" s="425">
        <f t="shared" si="306"/>
        <v>43.12</v>
      </c>
      <c r="J298" s="425">
        <f t="shared" si="306"/>
        <v>43.12</v>
      </c>
      <c r="K298" s="425">
        <f t="shared" si="306"/>
        <v>43.12</v>
      </c>
      <c r="L298" s="425">
        <f t="shared" si="306"/>
        <v>43.12</v>
      </c>
      <c r="M298" s="425" t="s">
        <v>762</v>
      </c>
      <c r="N298" s="425" t="s">
        <v>762</v>
      </c>
      <c r="O298" s="425" t="s">
        <v>762</v>
      </c>
      <c r="P298" s="425" t="s">
        <v>762</v>
      </c>
      <c r="Q298" s="425" t="s">
        <v>762</v>
      </c>
      <c r="R298" s="425" t="s">
        <v>762</v>
      </c>
      <c r="S298" s="425" t="s">
        <v>762</v>
      </c>
      <c r="T298" s="425" t="s">
        <v>762</v>
      </c>
      <c r="U298" s="425" t="s">
        <v>762</v>
      </c>
      <c r="V298" s="425">
        <f t="shared" si="306"/>
        <v>43.12</v>
      </c>
      <c r="W298" s="425">
        <f t="shared" si="306"/>
        <v>43.12</v>
      </c>
      <c r="X298" s="425">
        <f t="shared" si="307"/>
        <v>50.4</v>
      </c>
      <c r="Y298" s="425">
        <f t="shared" si="308"/>
        <v>52.33</v>
      </c>
      <c r="Z298" s="425">
        <f t="shared" si="309"/>
        <v>57.35</v>
      </c>
      <c r="AA298" s="425">
        <f t="shared" si="310"/>
        <v>59.38</v>
      </c>
      <c r="AB298" s="425">
        <f t="shared" si="311"/>
        <v>61.44</v>
      </c>
      <c r="AC298" s="425">
        <f t="shared" ref="AC298:AD298" si="316">$I790</f>
        <v>63.49</v>
      </c>
      <c r="AD298" s="425">
        <f t="shared" si="316"/>
        <v>63.49</v>
      </c>
      <c r="AE298" s="425" t="s">
        <v>762</v>
      </c>
      <c r="AF298" s="425" t="s">
        <v>762</v>
      </c>
      <c r="AG298" s="425">
        <f t="shared" si="270"/>
        <v>76.95</v>
      </c>
      <c r="AH298" s="425" t="s">
        <v>762</v>
      </c>
      <c r="AI298" s="425">
        <f t="shared" si="271"/>
        <v>102.60000000000001</v>
      </c>
      <c r="AJ298" s="425" t="s">
        <v>762</v>
      </c>
      <c r="AK298" s="425">
        <f t="shared" si="272"/>
        <v>128.25</v>
      </c>
      <c r="AL298" s="425">
        <f t="shared" si="273"/>
        <v>108.62100000000001</v>
      </c>
      <c r="AM298" s="425" t="s">
        <v>762</v>
      </c>
      <c r="AN298" s="425">
        <f t="shared" si="274"/>
        <v>126.72450000000001</v>
      </c>
      <c r="AO298" s="425" t="s">
        <v>762</v>
      </c>
      <c r="AP298" s="425">
        <f t="shared" si="275"/>
        <v>144.828</v>
      </c>
      <c r="AQ298" s="425" t="s">
        <v>762</v>
      </c>
      <c r="AR298" s="425">
        <f t="shared" si="276"/>
        <v>162.9315</v>
      </c>
      <c r="AS298" s="425" t="s">
        <v>762</v>
      </c>
      <c r="AT298" s="425">
        <f t="shared" si="277"/>
        <v>197.10000000000002</v>
      </c>
      <c r="AU298" s="425" t="s">
        <v>762</v>
      </c>
      <c r="AV298" s="425" t="s">
        <v>762</v>
      </c>
      <c r="AW298" s="425" t="s">
        <v>762</v>
      </c>
      <c r="AX298" s="425" t="s">
        <v>762</v>
      </c>
      <c r="AY298" s="425" t="s">
        <v>762</v>
      </c>
      <c r="AZ298" s="425" t="s">
        <v>762</v>
      </c>
      <c r="BA298" s="425">
        <f t="shared" si="278"/>
        <v>259.20000000000005</v>
      </c>
      <c r="BB298" s="425" t="s">
        <v>762</v>
      </c>
      <c r="BC298" s="425" t="s">
        <v>762</v>
      </c>
      <c r="BD298" s="425" t="s">
        <v>762</v>
      </c>
      <c r="BE298" s="425" t="s">
        <v>762</v>
      </c>
      <c r="BF298" s="425">
        <f t="shared" si="279"/>
        <v>353.96999999999997</v>
      </c>
      <c r="BG298" s="425" t="s">
        <v>762</v>
      </c>
      <c r="BH298" s="425" t="s">
        <v>762</v>
      </c>
      <c r="BI298" s="425">
        <f t="shared" si="280"/>
        <v>442.46249999999998</v>
      </c>
      <c r="BJ298" s="425" t="s">
        <v>762</v>
      </c>
      <c r="BK298" s="425" t="s">
        <v>762</v>
      </c>
      <c r="BL298" s="425">
        <f t="shared" si="281"/>
        <v>530.95499999999993</v>
      </c>
      <c r="BM298" s="425" t="s">
        <v>762</v>
      </c>
      <c r="BN298" s="425" t="s">
        <v>762</v>
      </c>
      <c r="BO298" s="425" t="s">
        <v>762</v>
      </c>
      <c r="BP298" s="425" t="s">
        <v>762</v>
      </c>
      <c r="BQ298" s="425" t="s">
        <v>762</v>
      </c>
      <c r="BR298" s="425" t="s">
        <v>762</v>
      </c>
      <c r="BS298" s="425" t="s">
        <v>762</v>
      </c>
      <c r="BT298" s="425" t="s">
        <v>762</v>
      </c>
      <c r="BU298" s="425" t="s">
        <v>762</v>
      </c>
      <c r="BV298" s="425" t="s">
        <v>762</v>
      </c>
      <c r="BW298" s="425" t="s">
        <v>762</v>
      </c>
      <c r="BX298" s="425" t="s">
        <v>762</v>
      </c>
      <c r="BY298" s="425" t="s">
        <v>762</v>
      </c>
      <c r="BZ298" s="425" t="s">
        <v>762</v>
      </c>
      <c r="CA298" s="425" t="s">
        <v>762</v>
      </c>
      <c r="CB298" s="425" t="s">
        <v>762</v>
      </c>
      <c r="CC298" s="425" t="s">
        <v>762</v>
      </c>
      <c r="CD298" s="425" t="s">
        <v>762</v>
      </c>
      <c r="CE298" s="425" t="s">
        <v>762</v>
      </c>
      <c r="CF298" s="425" t="s">
        <v>762</v>
      </c>
      <c r="CG298" s="424" t="s">
        <v>762</v>
      </c>
      <c r="CH298" s="425">
        <f t="shared" si="313"/>
        <v>51.300000000000004</v>
      </c>
      <c r="CI298" s="425">
        <f t="shared" si="242"/>
        <v>36.207000000000001</v>
      </c>
      <c r="CJ298" s="425">
        <f t="shared" si="243"/>
        <v>39.42</v>
      </c>
      <c r="CK298" s="425">
        <f t="shared" si="244"/>
        <v>34.56</v>
      </c>
      <c r="CL298" s="425">
        <f t="shared" si="245"/>
        <v>35.396999999999998</v>
      </c>
      <c r="CN298" s="438"/>
    </row>
    <row r="299" spans="1:92" s="426" customFormat="1">
      <c r="A299" s="424" t="s">
        <v>579</v>
      </c>
      <c r="B299" s="424" t="s">
        <v>630</v>
      </c>
      <c r="C299" s="425">
        <f t="shared" si="306"/>
        <v>38.520000000000003</v>
      </c>
      <c r="D299" s="425">
        <f t="shared" si="306"/>
        <v>38.520000000000003</v>
      </c>
      <c r="E299" s="425">
        <f t="shared" si="306"/>
        <v>38.520000000000003</v>
      </c>
      <c r="F299" s="425">
        <f t="shared" si="306"/>
        <v>38.520000000000003</v>
      </c>
      <c r="G299" s="425">
        <f t="shared" si="306"/>
        <v>38.520000000000003</v>
      </c>
      <c r="H299" s="425">
        <f t="shared" si="306"/>
        <v>38.520000000000003</v>
      </c>
      <c r="I299" s="425">
        <f t="shared" si="306"/>
        <v>38.520000000000003</v>
      </c>
      <c r="J299" s="425">
        <f t="shared" si="306"/>
        <v>38.520000000000003</v>
      </c>
      <c r="K299" s="425">
        <f t="shared" si="306"/>
        <v>38.520000000000003</v>
      </c>
      <c r="L299" s="425">
        <f t="shared" si="306"/>
        <v>38.520000000000003</v>
      </c>
      <c r="M299" s="425" t="s">
        <v>762</v>
      </c>
      <c r="N299" s="425" t="s">
        <v>762</v>
      </c>
      <c r="O299" s="425" t="s">
        <v>762</v>
      </c>
      <c r="P299" s="425" t="s">
        <v>762</v>
      </c>
      <c r="Q299" s="425" t="s">
        <v>762</v>
      </c>
      <c r="R299" s="425" t="s">
        <v>762</v>
      </c>
      <c r="S299" s="425" t="s">
        <v>762</v>
      </c>
      <c r="T299" s="425" t="s">
        <v>762</v>
      </c>
      <c r="U299" s="425" t="s">
        <v>762</v>
      </c>
      <c r="V299" s="425">
        <f t="shared" si="306"/>
        <v>38.520000000000003</v>
      </c>
      <c r="W299" s="425">
        <f t="shared" si="306"/>
        <v>38.520000000000003</v>
      </c>
      <c r="X299" s="425">
        <f t="shared" si="307"/>
        <v>45.02</v>
      </c>
      <c r="Y299" s="425">
        <f t="shared" si="308"/>
        <v>46.77</v>
      </c>
      <c r="Z299" s="425">
        <f t="shared" si="309"/>
        <v>50.77</v>
      </c>
      <c r="AA299" s="425">
        <f t="shared" si="310"/>
        <v>52.6</v>
      </c>
      <c r="AB299" s="425">
        <f t="shared" si="311"/>
        <v>54.42</v>
      </c>
      <c r="AC299" s="425">
        <f t="shared" ref="AC299:AD299" si="317">$I791</f>
        <v>56.23</v>
      </c>
      <c r="AD299" s="425">
        <f t="shared" si="317"/>
        <v>56.23</v>
      </c>
      <c r="AE299" s="425" t="s">
        <v>762</v>
      </c>
      <c r="AF299" s="425" t="s">
        <v>762</v>
      </c>
      <c r="AG299" s="425">
        <f t="shared" si="270"/>
        <v>68.141249999999999</v>
      </c>
      <c r="AH299" s="425" t="s">
        <v>762</v>
      </c>
      <c r="AI299" s="425">
        <f t="shared" si="271"/>
        <v>90.855000000000004</v>
      </c>
      <c r="AJ299" s="425" t="s">
        <v>762</v>
      </c>
      <c r="AK299" s="425">
        <f t="shared" si="272"/>
        <v>113.56875000000001</v>
      </c>
      <c r="AL299" s="425">
        <f t="shared" si="273"/>
        <v>96.1875</v>
      </c>
      <c r="AM299" s="425" t="s">
        <v>762</v>
      </c>
      <c r="AN299" s="425">
        <f t="shared" si="274"/>
        <v>112.21875</v>
      </c>
      <c r="AO299" s="425" t="s">
        <v>762</v>
      </c>
      <c r="AP299" s="425">
        <f t="shared" si="275"/>
        <v>128.25</v>
      </c>
      <c r="AQ299" s="425" t="s">
        <v>762</v>
      </c>
      <c r="AR299" s="425">
        <f t="shared" si="276"/>
        <v>144.28125</v>
      </c>
      <c r="AS299" s="425" t="s">
        <v>762</v>
      </c>
      <c r="AT299" s="425">
        <f t="shared" si="277"/>
        <v>174.69</v>
      </c>
      <c r="AU299" s="425" t="s">
        <v>762</v>
      </c>
      <c r="AV299" s="425" t="s">
        <v>762</v>
      </c>
      <c r="AW299" s="425" t="s">
        <v>762</v>
      </c>
      <c r="AX299" s="425" t="s">
        <v>762</v>
      </c>
      <c r="AY299" s="425" t="s">
        <v>762</v>
      </c>
      <c r="AZ299" s="425" t="s">
        <v>762</v>
      </c>
      <c r="BA299" s="425">
        <f t="shared" si="278"/>
        <v>229.63500000000002</v>
      </c>
      <c r="BB299" s="425" t="s">
        <v>762</v>
      </c>
      <c r="BC299" s="425" t="s">
        <v>762</v>
      </c>
      <c r="BD299" s="425" t="s">
        <v>762</v>
      </c>
      <c r="BE299" s="425" t="s">
        <v>762</v>
      </c>
      <c r="BF299" s="425">
        <f t="shared" si="279"/>
        <v>313.47000000000003</v>
      </c>
      <c r="BG299" s="425" t="s">
        <v>762</v>
      </c>
      <c r="BH299" s="425" t="s">
        <v>762</v>
      </c>
      <c r="BI299" s="425">
        <f t="shared" si="280"/>
        <v>391.83750000000003</v>
      </c>
      <c r="BJ299" s="425" t="s">
        <v>762</v>
      </c>
      <c r="BK299" s="425" t="s">
        <v>762</v>
      </c>
      <c r="BL299" s="425">
        <f t="shared" si="281"/>
        <v>470.20500000000004</v>
      </c>
      <c r="BM299" s="425" t="s">
        <v>762</v>
      </c>
      <c r="BN299" s="425" t="s">
        <v>762</v>
      </c>
      <c r="BO299" s="425" t="s">
        <v>762</v>
      </c>
      <c r="BP299" s="425" t="s">
        <v>762</v>
      </c>
      <c r="BQ299" s="425" t="s">
        <v>762</v>
      </c>
      <c r="BR299" s="425" t="s">
        <v>762</v>
      </c>
      <c r="BS299" s="425" t="s">
        <v>762</v>
      </c>
      <c r="BT299" s="425" t="s">
        <v>762</v>
      </c>
      <c r="BU299" s="425" t="s">
        <v>762</v>
      </c>
      <c r="BV299" s="425" t="s">
        <v>762</v>
      </c>
      <c r="BW299" s="425" t="s">
        <v>762</v>
      </c>
      <c r="BX299" s="425" t="s">
        <v>762</v>
      </c>
      <c r="BY299" s="425" t="s">
        <v>762</v>
      </c>
      <c r="BZ299" s="425" t="s">
        <v>762</v>
      </c>
      <c r="CA299" s="425" t="s">
        <v>762</v>
      </c>
      <c r="CB299" s="425" t="s">
        <v>762</v>
      </c>
      <c r="CC299" s="425" t="s">
        <v>762</v>
      </c>
      <c r="CD299" s="425" t="s">
        <v>762</v>
      </c>
      <c r="CE299" s="425" t="s">
        <v>762</v>
      </c>
      <c r="CF299" s="425" t="s">
        <v>762</v>
      </c>
      <c r="CG299" s="424" t="s">
        <v>762</v>
      </c>
      <c r="CH299" s="425">
        <f t="shared" si="313"/>
        <v>45.427500000000002</v>
      </c>
      <c r="CI299" s="425">
        <f t="shared" si="242"/>
        <v>32.0625</v>
      </c>
      <c r="CJ299" s="425">
        <f t="shared" si="243"/>
        <v>34.938000000000002</v>
      </c>
      <c r="CK299" s="425">
        <f t="shared" si="244"/>
        <v>30.618000000000002</v>
      </c>
      <c r="CL299" s="425">
        <f t="shared" si="245"/>
        <v>31.347000000000001</v>
      </c>
      <c r="CN299" s="438"/>
    </row>
    <row r="300" spans="1:92" s="426" customFormat="1">
      <c r="A300" s="424" t="s">
        <v>580</v>
      </c>
      <c r="B300" s="424" t="s">
        <v>630</v>
      </c>
      <c r="C300" s="425">
        <f t="shared" si="306"/>
        <v>36.69</v>
      </c>
      <c r="D300" s="425">
        <f t="shared" si="306"/>
        <v>36.69</v>
      </c>
      <c r="E300" s="425">
        <f t="shared" si="306"/>
        <v>36.69</v>
      </c>
      <c r="F300" s="425">
        <f t="shared" si="306"/>
        <v>36.69</v>
      </c>
      <c r="G300" s="425">
        <f t="shared" si="306"/>
        <v>36.69</v>
      </c>
      <c r="H300" s="425">
        <f t="shared" si="306"/>
        <v>36.69</v>
      </c>
      <c r="I300" s="425">
        <f t="shared" si="306"/>
        <v>36.69</v>
      </c>
      <c r="J300" s="425">
        <f t="shared" si="306"/>
        <v>36.69</v>
      </c>
      <c r="K300" s="425">
        <f t="shared" si="306"/>
        <v>36.69</v>
      </c>
      <c r="L300" s="425">
        <f t="shared" si="306"/>
        <v>36.69</v>
      </c>
      <c r="M300" s="425" t="s">
        <v>762</v>
      </c>
      <c r="N300" s="425" t="s">
        <v>762</v>
      </c>
      <c r="O300" s="425" t="s">
        <v>762</v>
      </c>
      <c r="P300" s="425" t="s">
        <v>762</v>
      </c>
      <c r="Q300" s="425" t="s">
        <v>762</v>
      </c>
      <c r="R300" s="425" t="s">
        <v>762</v>
      </c>
      <c r="S300" s="425" t="s">
        <v>762</v>
      </c>
      <c r="T300" s="425" t="s">
        <v>762</v>
      </c>
      <c r="U300" s="425" t="s">
        <v>762</v>
      </c>
      <c r="V300" s="425">
        <f t="shared" si="306"/>
        <v>36.69</v>
      </c>
      <c r="W300" s="425">
        <f t="shared" si="306"/>
        <v>36.69</v>
      </c>
      <c r="X300" s="425">
        <f t="shared" si="307"/>
        <v>42.87</v>
      </c>
      <c r="Y300" s="425">
        <f t="shared" si="308"/>
        <v>44.51</v>
      </c>
      <c r="Z300" s="425">
        <f t="shared" si="309"/>
        <v>48.12</v>
      </c>
      <c r="AA300" s="425">
        <f t="shared" si="310"/>
        <v>49.83</v>
      </c>
      <c r="AB300" s="425">
        <f t="shared" si="311"/>
        <v>51.56</v>
      </c>
      <c r="AC300" s="425">
        <f t="shared" ref="AC300:AD300" si="318">$I792</f>
        <v>53.28</v>
      </c>
      <c r="AD300" s="425">
        <f t="shared" si="318"/>
        <v>53.28</v>
      </c>
      <c r="AE300" s="425" t="s">
        <v>762</v>
      </c>
      <c r="AF300" s="425" t="s">
        <v>762</v>
      </c>
      <c r="AG300" s="425">
        <f t="shared" si="270"/>
        <v>64.577250000000006</v>
      </c>
      <c r="AH300" s="425" t="s">
        <v>762</v>
      </c>
      <c r="AI300" s="425">
        <f t="shared" si="271"/>
        <v>86.103000000000009</v>
      </c>
      <c r="AJ300" s="425" t="s">
        <v>762</v>
      </c>
      <c r="AK300" s="425">
        <f t="shared" si="272"/>
        <v>107.62875000000001</v>
      </c>
      <c r="AL300" s="425">
        <f t="shared" si="273"/>
        <v>91.165500000000009</v>
      </c>
      <c r="AM300" s="425" t="s">
        <v>762</v>
      </c>
      <c r="AN300" s="425">
        <f t="shared" si="274"/>
        <v>106.35975000000002</v>
      </c>
      <c r="AO300" s="425" t="s">
        <v>762</v>
      </c>
      <c r="AP300" s="425">
        <f t="shared" si="275"/>
        <v>121.55400000000002</v>
      </c>
      <c r="AQ300" s="425" t="s">
        <v>762</v>
      </c>
      <c r="AR300" s="425">
        <f t="shared" si="276"/>
        <v>136.74825000000001</v>
      </c>
      <c r="AS300" s="425" t="s">
        <v>762</v>
      </c>
      <c r="AT300" s="425">
        <f t="shared" si="277"/>
        <v>165.3075</v>
      </c>
      <c r="AU300" s="425" t="s">
        <v>762</v>
      </c>
      <c r="AV300" s="425" t="s">
        <v>762</v>
      </c>
      <c r="AW300" s="425" t="s">
        <v>762</v>
      </c>
      <c r="AX300" s="425" t="s">
        <v>762</v>
      </c>
      <c r="AY300" s="425" t="s">
        <v>762</v>
      </c>
      <c r="AZ300" s="425" t="s">
        <v>762</v>
      </c>
      <c r="BA300" s="425">
        <f t="shared" si="278"/>
        <v>217.58624999999998</v>
      </c>
      <c r="BB300" s="425" t="s">
        <v>762</v>
      </c>
      <c r="BC300" s="425" t="s">
        <v>762</v>
      </c>
      <c r="BD300" s="425" t="s">
        <v>762</v>
      </c>
      <c r="BE300" s="425" t="s">
        <v>762</v>
      </c>
      <c r="BF300" s="425">
        <f t="shared" si="279"/>
        <v>297</v>
      </c>
      <c r="BG300" s="425" t="s">
        <v>762</v>
      </c>
      <c r="BH300" s="425" t="s">
        <v>762</v>
      </c>
      <c r="BI300" s="425">
        <f t="shared" si="280"/>
        <v>371.25000000000006</v>
      </c>
      <c r="BJ300" s="425" t="s">
        <v>762</v>
      </c>
      <c r="BK300" s="425" t="s">
        <v>762</v>
      </c>
      <c r="BL300" s="425">
        <f t="shared" si="281"/>
        <v>445.50000000000006</v>
      </c>
      <c r="BM300" s="425" t="s">
        <v>762</v>
      </c>
      <c r="BN300" s="425" t="s">
        <v>762</v>
      </c>
      <c r="BO300" s="425" t="s">
        <v>762</v>
      </c>
      <c r="BP300" s="425" t="s">
        <v>762</v>
      </c>
      <c r="BQ300" s="425" t="s">
        <v>762</v>
      </c>
      <c r="BR300" s="425" t="s">
        <v>762</v>
      </c>
      <c r="BS300" s="425" t="s">
        <v>762</v>
      </c>
      <c r="BT300" s="425" t="s">
        <v>762</v>
      </c>
      <c r="BU300" s="425" t="s">
        <v>762</v>
      </c>
      <c r="BV300" s="425" t="s">
        <v>762</v>
      </c>
      <c r="BW300" s="425" t="s">
        <v>762</v>
      </c>
      <c r="BX300" s="425" t="s">
        <v>762</v>
      </c>
      <c r="BY300" s="425" t="s">
        <v>762</v>
      </c>
      <c r="BZ300" s="425" t="s">
        <v>762</v>
      </c>
      <c r="CA300" s="425" t="s">
        <v>762</v>
      </c>
      <c r="CB300" s="425" t="s">
        <v>762</v>
      </c>
      <c r="CC300" s="425" t="s">
        <v>762</v>
      </c>
      <c r="CD300" s="425" t="s">
        <v>762</v>
      </c>
      <c r="CE300" s="425" t="s">
        <v>762</v>
      </c>
      <c r="CF300" s="425" t="s">
        <v>762</v>
      </c>
      <c r="CG300" s="424" t="s">
        <v>762</v>
      </c>
      <c r="CH300" s="425">
        <f t="shared" si="313"/>
        <v>43.051500000000004</v>
      </c>
      <c r="CI300" s="425">
        <f t="shared" si="242"/>
        <v>30.388500000000004</v>
      </c>
      <c r="CJ300" s="425">
        <f t="shared" si="243"/>
        <v>33.061500000000002</v>
      </c>
      <c r="CK300" s="425">
        <f t="shared" si="244"/>
        <v>29.011499999999998</v>
      </c>
      <c r="CL300" s="425">
        <f t="shared" si="245"/>
        <v>29.700000000000003</v>
      </c>
      <c r="CN300" s="438"/>
    </row>
    <row r="301" spans="1:92" s="426" customFormat="1">
      <c r="A301" s="424" t="s">
        <v>581</v>
      </c>
      <c r="B301" s="424" t="s">
        <v>630</v>
      </c>
      <c r="C301" s="425">
        <f t="shared" si="306"/>
        <v>39.93</v>
      </c>
      <c r="D301" s="425">
        <f t="shared" si="306"/>
        <v>39.93</v>
      </c>
      <c r="E301" s="425">
        <f t="shared" si="306"/>
        <v>39.93</v>
      </c>
      <c r="F301" s="425">
        <f t="shared" si="306"/>
        <v>39.93</v>
      </c>
      <c r="G301" s="425">
        <f t="shared" si="306"/>
        <v>39.93</v>
      </c>
      <c r="H301" s="425">
        <f t="shared" si="306"/>
        <v>39.93</v>
      </c>
      <c r="I301" s="425">
        <f t="shared" si="306"/>
        <v>39.93</v>
      </c>
      <c r="J301" s="425">
        <f t="shared" si="306"/>
        <v>39.93</v>
      </c>
      <c r="K301" s="425">
        <f t="shared" si="306"/>
        <v>39.93</v>
      </c>
      <c r="L301" s="425">
        <f t="shared" si="306"/>
        <v>39.93</v>
      </c>
      <c r="M301" s="425" t="s">
        <v>762</v>
      </c>
      <c r="N301" s="425" t="s">
        <v>762</v>
      </c>
      <c r="O301" s="425" t="s">
        <v>762</v>
      </c>
      <c r="P301" s="425" t="s">
        <v>762</v>
      </c>
      <c r="Q301" s="425" t="s">
        <v>762</v>
      </c>
      <c r="R301" s="425" t="s">
        <v>762</v>
      </c>
      <c r="S301" s="425" t="s">
        <v>762</v>
      </c>
      <c r="T301" s="425" t="s">
        <v>762</v>
      </c>
      <c r="U301" s="425" t="s">
        <v>762</v>
      </c>
      <c r="V301" s="425">
        <f t="shared" si="306"/>
        <v>39.93</v>
      </c>
      <c r="W301" s="425">
        <f t="shared" si="306"/>
        <v>39.93</v>
      </c>
      <c r="X301" s="425">
        <f t="shared" si="307"/>
        <v>46.68</v>
      </c>
      <c r="Y301" s="425">
        <f t="shared" si="308"/>
        <v>48.47</v>
      </c>
      <c r="Z301" s="425">
        <f t="shared" si="309"/>
        <v>52.17</v>
      </c>
      <c r="AA301" s="425">
        <f t="shared" si="310"/>
        <v>54.02</v>
      </c>
      <c r="AB301" s="425">
        <f t="shared" si="311"/>
        <v>55.89</v>
      </c>
      <c r="AC301" s="425">
        <f t="shared" ref="AC301:AD301" si="319">$I793</f>
        <v>57.74</v>
      </c>
      <c r="AD301" s="425">
        <f t="shared" si="319"/>
        <v>57.74</v>
      </c>
      <c r="AE301" s="425" t="s">
        <v>762</v>
      </c>
      <c r="AF301" s="425" t="s">
        <v>762</v>
      </c>
      <c r="AG301" s="425">
        <f t="shared" si="270"/>
        <v>69.984000000000009</v>
      </c>
      <c r="AH301" s="425" t="s">
        <v>762</v>
      </c>
      <c r="AI301" s="425">
        <f t="shared" si="271"/>
        <v>93.312000000000012</v>
      </c>
      <c r="AJ301" s="425" t="s">
        <v>762</v>
      </c>
      <c r="AK301" s="425">
        <f t="shared" si="272"/>
        <v>116.64000000000001</v>
      </c>
      <c r="AL301" s="425">
        <f t="shared" si="273"/>
        <v>98.82</v>
      </c>
      <c r="AM301" s="425" t="s">
        <v>762</v>
      </c>
      <c r="AN301" s="425">
        <f t="shared" si="274"/>
        <v>115.28999999999999</v>
      </c>
      <c r="AO301" s="425" t="s">
        <v>762</v>
      </c>
      <c r="AP301" s="425">
        <f t="shared" si="275"/>
        <v>131.76</v>
      </c>
      <c r="AQ301" s="425" t="s">
        <v>762</v>
      </c>
      <c r="AR301" s="425">
        <f t="shared" si="276"/>
        <v>148.22999999999999</v>
      </c>
      <c r="AS301" s="425" t="s">
        <v>762</v>
      </c>
      <c r="AT301" s="425">
        <f t="shared" si="277"/>
        <v>179.14500000000001</v>
      </c>
      <c r="AU301" s="425" t="s">
        <v>762</v>
      </c>
      <c r="AV301" s="425" t="s">
        <v>762</v>
      </c>
      <c r="AW301" s="425" t="s">
        <v>762</v>
      </c>
      <c r="AX301" s="425" t="s">
        <v>762</v>
      </c>
      <c r="AY301" s="425" t="s">
        <v>762</v>
      </c>
      <c r="AZ301" s="425" t="s">
        <v>762</v>
      </c>
      <c r="BA301" s="425">
        <f t="shared" si="278"/>
        <v>235.50750000000002</v>
      </c>
      <c r="BB301" s="425" t="s">
        <v>762</v>
      </c>
      <c r="BC301" s="425" t="s">
        <v>762</v>
      </c>
      <c r="BD301" s="425" t="s">
        <v>762</v>
      </c>
      <c r="BE301" s="425" t="s">
        <v>762</v>
      </c>
      <c r="BF301" s="425">
        <f t="shared" si="279"/>
        <v>322.11</v>
      </c>
      <c r="BG301" s="425" t="s">
        <v>762</v>
      </c>
      <c r="BH301" s="425" t="s">
        <v>762</v>
      </c>
      <c r="BI301" s="425">
        <f t="shared" si="280"/>
        <v>402.63749999999999</v>
      </c>
      <c r="BJ301" s="425" t="s">
        <v>762</v>
      </c>
      <c r="BK301" s="425" t="s">
        <v>762</v>
      </c>
      <c r="BL301" s="425">
        <f t="shared" si="281"/>
        <v>483.16499999999996</v>
      </c>
      <c r="BM301" s="425" t="s">
        <v>762</v>
      </c>
      <c r="BN301" s="425" t="s">
        <v>762</v>
      </c>
      <c r="BO301" s="425" t="s">
        <v>762</v>
      </c>
      <c r="BP301" s="425" t="s">
        <v>762</v>
      </c>
      <c r="BQ301" s="425" t="s">
        <v>762</v>
      </c>
      <c r="BR301" s="425" t="s">
        <v>762</v>
      </c>
      <c r="BS301" s="425" t="s">
        <v>762</v>
      </c>
      <c r="BT301" s="425" t="s">
        <v>762</v>
      </c>
      <c r="BU301" s="425" t="s">
        <v>762</v>
      </c>
      <c r="BV301" s="425" t="s">
        <v>762</v>
      </c>
      <c r="BW301" s="425" t="s">
        <v>762</v>
      </c>
      <c r="BX301" s="425" t="s">
        <v>762</v>
      </c>
      <c r="BY301" s="425" t="s">
        <v>762</v>
      </c>
      <c r="BZ301" s="425" t="s">
        <v>762</v>
      </c>
      <c r="CA301" s="425" t="s">
        <v>762</v>
      </c>
      <c r="CB301" s="425" t="s">
        <v>762</v>
      </c>
      <c r="CC301" s="425" t="s">
        <v>762</v>
      </c>
      <c r="CD301" s="425" t="s">
        <v>762</v>
      </c>
      <c r="CE301" s="425" t="s">
        <v>762</v>
      </c>
      <c r="CF301" s="425" t="s">
        <v>762</v>
      </c>
      <c r="CG301" s="424" t="s">
        <v>762</v>
      </c>
      <c r="CH301" s="425">
        <f t="shared" si="313"/>
        <v>46.656000000000006</v>
      </c>
      <c r="CI301" s="425">
        <f t="shared" si="242"/>
        <v>32.94</v>
      </c>
      <c r="CJ301" s="425">
        <f t="shared" si="243"/>
        <v>35.829000000000001</v>
      </c>
      <c r="CK301" s="425">
        <f t="shared" si="244"/>
        <v>31.401000000000003</v>
      </c>
      <c r="CL301" s="425">
        <f t="shared" si="245"/>
        <v>32.210999999999999</v>
      </c>
      <c r="CN301" s="438"/>
    </row>
    <row r="302" spans="1:92" s="426" customFormat="1">
      <c r="A302" s="424" t="s">
        <v>582</v>
      </c>
      <c r="B302" s="424" t="s">
        <v>630</v>
      </c>
      <c r="C302" s="425">
        <f t="shared" si="306"/>
        <v>28.25</v>
      </c>
      <c r="D302" s="425">
        <f t="shared" si="306"/>
        <v>28.25</v>
      </c>
      <c r="E302" s="425">
        <f t="shared" si="306"/>
        <v>28.25</v>
      </c>
      <c r="F302" s="425">
        <f t="shared" si="306"/>
        <v>28.25</v>
      </c>
      <c r="G302" s="425">
        <f t="shared" si="306"/>
        <v>28.25</v>
      </c>
      <c r="H302" s="425">
        <f t="shared" si="306"/>
        <v>28.25</v>
      </c>
      <c r="I302" s="425">
        <f t="shared" si="306"/>
        <v>28.25</v>
      </c>
      <c r="J302" s="425">
        <f t="shared" si="306"/>
        <v>28.25</v>
      </c>
      <c r="K302" s="425">
        <f t="shared" si="306"/>
        <v>28.25</v>
      </c>
      <c r="L302" s="425">
        <f t="shared" si="306"/>
        <v>28.25</v>
      </c>
      <c r="M302" s="425" t="s">
        <v>762</v>
      </c>
      <c r="N302" s="425" t="s">
        <v>762</v>
      </c>
      <c r="O302" s="425" t="s">
        <v>762</v>
      </c>
      <c r="P302" s="425" t="s">
        <v>762</v>
      </c>
      <c r="Q302" s="425" t="s">
        <v>762</v>
      </c>
      <c r="R302" s="425" t="s">
        <v>762</v>
      </c>
      <c r="S302" s="425" t="s">
        <v>762</v>
      </c>
      <c r="T302" s="425" t="s">
        <v>762</v>
      </c>
      <c r="U302" s="425" t="s">
        <v>762</v>
      </c>
      <c r="V302" s="425">
        <f t="shared" si="306"/>
        <v>28.25</v>
      </c>
      <c r="W302" s="425">
        <f t="shared" si="306"/>
        <v>28.25</v>
      </c>
      <c r="X302" s="425">
        <f t="shared" si="307"/>
        <v>33</v>
      </c>
      <c r="Y302" s="425">
        <f t="shared" si="308"/>
        <v>34.26</v>
      </c>
      <c r="Z302" s="425">
        <f t="shared" si="309"/>
        <v>36.06</v>
      </c>
      <c r="AA302" s="425">
        <f t="shared" si="310"/>
        <v>37.35</v>
      </c>
      <c r="AB302" s="425">
        <f t="shared" si="311"/>
        <v>38.65</v>
      </c>
      <c r="AC302" s="425">
        <f t="shared" ref="AC302:AD302" si="320">$I794</f>
        <v>39.93</v>
      </c>
      <c r="AD302" s="425">
        <f t="shared" si="320"/>
        <v>39.93</v>
      </c>
      <c r="AE302" s="425" t="s">
        <v>762</v>
      </c>
      <c r="AF302" s="425" t="s">
        <v>762</v>
      </c>
      <c r="AG302" s="425">
        <f t="shared" si="270"/>
        <v>48.377250000000004</v>
      </c>
      <c r="AH302" s="425" t="s">
        <v>762</v>
      </c>
      <c r="AI302" s="425">
        <f t="shared" si="271"/>
        <v>64.503</v>
      </c>
      <c r="AJ302" s="425" t="s">
        <v>762</v>
      </c>
      <c r="AK302" s="425">
        <f t="shared" si="272"/>
        <v>80.628749999999997</v>
      </c>
      <c r="AL302" s="425">
        <f t="shared" si="273"/>
        <v>68.32350000000001</v>
      </c>
      <c r="AM302" s="425" t="s">
        <v>762</v>
      </c>
      <c r="AN302" s="425">
        <f t="shared" si="274"/>
        <v>79.710750000000019</v>
      </c>
      <c r="AO302" s="425" t="s">
        <v>762</v>
      </c>
      <c r="AP302" s="425">
        <f t="shared" si="275"/>
        <v>91.098000000000013</v>
      </c>
      <c r="AQ302" s="425" t="s">
        <v>762</v>
      </c>
      <c r="AR302" s="425">
        <f t="shared" si="276"/>
        <v>102.48525000000001</v>
      </c>
      <c r="AS302" s="425" t="s">
        <v>762</v>
      </c>
      <c r="AT302" s="425">
        <f t="shared" si="277"/>
        <v>123.93</v>
      </c>
      <c r="AU302" s="425" t="s">
        <v>762</v>
      </c>
      <c r="AV302" s="425" t="s">
        <v>762</v>
      </c>
      <c r="AW302" s="425" t="s">
        <v>762</v>
      </c>
      <c r="AX302" s="425" t="s">
        <v>762</v>
      </c>
      <c r="AY302" s="425" t="s">
        <v>762</v>
      </c>
      <c r="AZ302" s="425" t="s">
        <v>762</v>
      </c>
      <c r="BA302" s="425">
        <f t="shared" si="278"/>
        <v>163.01250000000002</v>
      </c>
      <c r="BB302" s="425" t="s">
        <v>762</v>
      </c>
      <c r="BC302" s="425" t="s">
        <v>762</v>
      </c>
      <c r="BD302" s="425" t="s">
        <v>762</v>
      </c>
      <c r="BE302" s="425" t="s">
        <v>762</v>
      </c>
      <c r="BF302" s="425">
        <f t="shared" si="279"/>
        <v>222.48000000000002</v>
      </c>
      <c r="BG302" s="425" t="s">
        <v>762</v>
      </c>
      <c r="BH302" s="425" t="s">
        <v>762</v>
      </c>
      <c r="BI302" s="425">
        <f t="shared" si="280"/>
        <v>278.10000000000002</v>
      </c>
      <c r="BJ302" s="425" t="s">
        <v>762</v>
      </c>
      <c r="BK302" s="425" t="s">
        <v>762</v>
      </c>
      <c r="BL302" s="425">
        <f t="shared" si="281"/>
        <v>333.72</v>
      </c>
      <c r="BM302" s="425" t="s">
        <v>762</v>
      </c>
      <c r="BN302" s="425" t="s">
        <v>762</v>
      </c>
      <c r="BO302" s="425" t="s">
        <v>762</v>
      </c>
      <c r="BP302" s="425" t="s">
        <v>762</v>
      </c>
      <c r="BQ302" s="425" t="s">
        <v>762</v>
      </c>
      <c r="BR302" s="425" t="s">
        <v>762</v>
      </c>
      <c r="BS302" s="425" t="s">
        <v>762</v>
      </c>
      <c r="BT302" s="425" t="s">
        <v>762</v>
      </c>
      <c r="BU302" s="425" t="s">
        <v>762</v>
      </c>
      <c r="BV302" s="425" t="s">
        <v>762</v>
      </c>
      <c r="BW302" s="425" t="s">
        <v>762</v>
      </c>
      <c r="BX302" s="425" t="s">
        <v>762</v>
      </c>
      <c r="BY302" s="425" t="s">
        <v>762</v>
      </c>
      <c r="BZ302" s="425" t="s">
        <v>762</v>
      </c>
      <c r="CA302" s="425" t="s">
        <v>762</v>
      </c>
      <c r="CB302" s="425" t="s">
        <v>762</v>
      </c>
      <c r="CC302" s="425" t="s">
        <v>762</v>
      </c>
      <c r="CD302" s="425" t="s">
        <v>762</v>
      </c>
      <c r="CE302" s="425" t="s">
        <v>762</v>
      </c>
      <c r="CF302" s="425" t="s">
        <v>762</v>
      </c>
      <c r="CG302" s="424" t="s">
        <v>762</v>
      </c>
      <c r="CH302" s="425">
        <f t="shared" si="313"/>
        <v>32.2515</v>
      </c>
      <c r="CI302" s="425">
        <f t="shared" si="242"/>
        <v>22.774500000000003</v>
      </c>
      <c r="CJ302" s="425">
        <f t="shared" si="243"/>
        <v>24.786000000000001</v>
      </c>
      <c r="CK302" s="425">
        <f t="shared" si="244"/>
        <v>21.735000000000003</v>
      </c>
      <c r="CL302" s="425">
        <f t="shared" si="245"/>
        <v>22.248000000000001</v>
      </c>
      <c r="CN302" s="438"/>
    </row>
    <row r="303" spans="1:92" s="426" customFormat="1">
      <c r="A303" s="424" t="s">
        <v>583</v>
      </c>
      <c r="B303" s="424" t="s">
        <v>630</v>
      </c>
      <c r="C303" s="425">
        <f t="shared" si="306"/>
        <v>35.630000000000003</v>
      </c>
      <c r="D303" s="425">
        <f t="shared" si="306"/>
        <v>35.630000000000003</v>
      </c>
      <c r="E303" s="425">
        <f t="shared" si="306"/>
        <v>35.630000000000003</v>
      </c>
      <c r="F303" s="425">
        <f t="shared" si="306"/>
        <v>35.630000000000003</v>
      </c>
      <c r="G303" s="425">
        <f t="shared" si="306"/>
        <v>35.630000000000003</v>
      </c>
      <c r="H303" s="425">
        <f t="shared" si="306"/>
        <v>35.630000000000003</v>
      </c>
      <c r="I303" s="425">
        <f t="shared" si="306"/>
        <v>35.630000000000003</v>
      </c>
      <c r="J303" s="425">
        <f t="shared" si="306"/>
        <v>35.630000000000003</v>
      </c>
      <c r="K303" s="425">
        <f t="shared" si="306"/>
        <v>35.630000000000003</v>
      </c>
      <c r="L303" s="425">
        <f t="shared" si="306"/>
        <v>35.630000000000003</v>
      </c>
      <c r="M303" s="425" t="s">
        <v>762</v>
      </c>
      <c r="N303" s="425" t="s">
        <v>762</v>
      </c>
      <c r="O303" s="425" t="s">
        <v>762</v>
      </c>
      <c r="P303" s="425" t="s">
        <v>762</v>
      </c>
      <c r="Q303" s="425" t="s">
        <v>762</v>
      </c>
      <c r="R303" s="425" t="s">
        <v>762</v>
      </c>
      <c r="S303" s="425" t="s">
        <v>762</v>
      </c>
      <c r="T303" s="425" t="s">
        <v>762</v>
      </c>
      <c r="U303" s="425" t="s">
        <v>762</v>
      </c>
      <c r="V303" s="425">
        <f t="shared" si="306"/>
        <v>35.630000000000003</v>
      </c>
      <c r="W303" s="425">
        <f t="shared" si="306"/>
        <v>35.630000000000003</v>
      </c>
      <c r="X303" s="425">
        <f t="shared" si="307"/>
        <v>41.67</v>
      </c>
      <c r="Y303" s="425">
        <f t="shared" si="308"/>
        <v>43.28</v>
      </c>
      <c r="Z303" s="425">
        <f t="shared" si="309"/>
        <v>46.66</v>
      </c>
      <c r="AA303" s="425">
        <f t="shared" si="310"/>
        <v>48.32</v>
      </c>
      <c r="AB303" s="425">
        <f t="shared" si="311"/>
        <v>50</v>
      </c>
      <c r="AC303" s="425">
        <f t="shared" ref="AC303:AD303" si="321">$I795</f>
        <v>51.68</v>
      </c>
      <c r="AD303" s="425">
        <f t="shared" si="321"/>
        <v>51.68</v>
      </c>
      <c r="AE303" s="425" t="s">
        <v>762</v>
      </c>
      <c r="AF303" s="425" t="s">
        <v>762</v>
      </c>
      <c r="AG303" s="425">
        <f t="shared" ref="AG303:AG329" si="322">CH303*1.5</f>
        <v>62.653500000000008</v>
      </c>
      <c r="AH303" s="425" t="s">
        <v>762</v>
      </c>
      <c r="AI303" s="425">
        <f t="shared" ref="AI303:AI329" si="323">CH303*2</f>
        <v>83.538000000000011</v>
      </c>
      <c r="AJ303" s="425" t="s">
        <v>762</v>
      </c>
      <c r="AK303" s="425">
        <f t="shared" ref="AK303:AK329" si="324">CH303*2.5</f>
        <v>104.42250000000001</v>
      </c>
      <c r="AL303" s="425">
        <f t="shared" ref="AL303:AL329" si="325">CI303*3</f>
        <v>88.371000000000009</v>
      </c>
      <c r="AM303" s="425" t="s">
        <v>762</v>
      </c>
      <c r="AN303" s="425">
        <f t="shared" ref="AN303:AN329" si="326">CI303*3.5</f>
        <v>103.09950000000001</v>
      </c>
      <c r="AO303" s="425" t="s">
        <v>762</v>
      </c>
      <c r="AP303" s="425">
        <f t="shared" ref="AP303:AP329" si="327">CI303*4</f>
        <v>117.828</v>
      </c>
      <c r="AQ303" s="425" t="s">
        <v>762</v>
      </c>
      <c r="AR303" s="425">
        <f t="shared" ref="AR303:AR329" si="328">CI303*4.5</f>
        <v>132.5565</v>
      </c>
      <c r="AS303" s="425" t="s">
        <v>762</v>
      </c>
      <c r="AT303" s="425">
        <f t="shared" ref="AT303:AT329" si="329">CJ303*5</f>
        <v>160.44749999999999</v>
      </c>
      <c r="AU303" s="425" t="s">
        <v>762</v>
      </c>
      <c r="AV303" s="425" t="s">
        <v>762</v>
      </c>
      <c r="AW303" s="425" t="s">
        <v>762</v>
      </c>
      <c r="AX303" s="425" t="s">
        <v>762</v>
      </c>
      <c r="AY303" s="425" t="s">
        <v>762</v>
      </c>
      <c r="AZ303" s="425" t="s">
        <v>762</v>
      </c>
      <c r="BA303" s="425">
        <f t="shared" ref="BA303:BA329" si="330">7.5*CK303</f>
        <v>210.90375</v>
      </c>
      <c r="BB303" s="425" t="s">
        <v>762</v>
      </c>
      <c r="BC303" s="425" t="s">
        <v>762</v>
      </c>
      <c r="BD303" s="425" t="s">
        <v>762</v>
      </c>
      <c r="BE303" s="425" t="s">
        <v>762</v>
      </c>
      <c r="BF303" s="425">
        <f t="shared" ref="BF303:BF329" si="331">10*CL303</f>
        <v>288.09000000000003</v>
      </c>
      <c r="BG303" s="425" t="s">
        <v>762</v>
      </c>
      <c r="BH303" s="425" t="s">
        <v>762</v>
      </c>
      <c r="BI303" s="425">
        <f t="shared" ref="BI303:BI329" si="332">12.5*CL303</f>
        <v>360.11250000000001</v>
      </c>
      <c r="BJ303" s="425" t="s">
        <v>762</v>
      </c>
      <c r="BK303" s="425" t="s">
        <v>762</v>
      </c>
      <c r="BL303" s="425">
        <f t="shared" ref="BL303:BL329" si="333">CL303*15</f>
        <v>432.13499999999999</v>
      </c>
      <c r="BM303" s="425" t="s">
        <v>762</v>
      </c>
      <c r="BN303" s="425" t="s">
        <v>762</v>
      </c>
      <c r="BO303" s="425" t="s">
        <v>762</v>
      </c>
      <c r="BP303" s="425" t="s">
        <v>762</v>
      </c>
      <c r="BQ303" s="425" t="s">
        <v>762</v>
      </c>
      <c r="BR303" s="425" t="s">
        <v>762</v>
      </c>
      <c r="BS303" s="425" t="s">
        <v>762</v>
      </c>
      <c r="BT303" s="425" t="s">
        <v>762</v>
      </c>
      <c r="BU303" s="425" t="s">
        <v>762</v>
      </c>
      <c r="BV303" s="425" t="s">
        <v>762</v>
      </c>
      <c r="BW303" s="425" t="s">
        <v>762</v>
      </c>
      <c r="BX303" s="425" t="s">
        <v>762</v>
      </c>
      <c r="BY303" s="425" t="s">
        <v>762</v>
      </c>
      <c r="BZ303" s="425" t="s">
        <v>762</v>
      </c>
      <c r="CA303" s="425" t="s">
        <v>762</v>
      </c>
      <c r="CB303" s="425" t="s">
        <v>762</v>
      </c>
      <c r="CC303" s="425" t="s">
        <v>762</v>
      </c>
      <c r="CD303" s="425" t="s">
        <v>762</v>
      </c>
      <c r="CE303" s="425" t="s">
        <v>762</v>
      </c>
      <c r="CF303" s="425" t="s">
        <v>762</v>
      </c>
      <c r="CG303" s="424" t="s">
        <v>762</v>
      </c>
      <c r="CH303" s="425">
        <f t="shared" si="313"/>
        <v>41.769000000000005</v>
      </c>
      <c r="CI303" s="425">
        <f t="shared" si="242"/>
        <v>29.457000000000001</v>
      </c>
      <c r="CJ303" s="425">
        <f t="shared" si="243"/>
        <v>32.089500000000001</v>
      </c>
      <c r="CK303" s="425">
        <f t="shared" si="244"/>
        <v>28.1205</v>
      </c>
      <c r="CL303" s="425">
        <f t="shared" si="245"/>
        <v>28.809000000000001</v>
      </c>
      <c r="CN303" s="438"/>
    </row>
    <row r="304" spans="1:92" s="426" customFormat="1">
      <c r="A304" s="424" t="s">
        <v>584</v>
      </c>
      <c r="B304" s="424" t="s">
        <v>630</v>
      </c>
      <c r="C304" s="425">
        <f t="shared" si="306"/>
        <v>43.18</v>
      </c>
      <c r="D304" s="425">
        <f t="shared" si="306"/>
        <v>43.18</v>
      </c>
      <c r="E304" s="425">
        <f t="shared" si="306"/>
        <v>43.18</v>
      </c>
      <c r="F304" s="425">
        <f t="shared" si="306"/>
        <v>43.18</v>
      </c>
      <c r="G304" s="425">
        <f t="shared" si="306"/>
        <v>43.18</v>
      </c>
      <c r="H304" s="425">
        <f t="shared" si="306"/>
        <v>43.18</v>
      </c>
      <c r="I304" s="425">
        <f t="shared" si="306"/>
        <v>43.18</v>
      </c>
      <c r="J304" s="425">
        <f t="shared" si="306"/>
        <v>43.18</v>
      </c>
      <c r="K304" s="425">
        <f t="shared" si="306"/>
        <v>43.18</v>
      </c>
      <c r="L304" s="425">
        <f t="shared" si="306"/>
        <v>43.18</v>
      </c>
      <c r="M304" s="425" t="s">
        <v>762</v>
      </c>
      <c r="N304" s="425" t="s">
        <v>762</v>
      </c>
      <c r="O304" s="425" t="s">
        <v>762</v>
      </c>
      <c r="P304" s="425" t="s">
        <v>762</v>
      </c>
      <c r="Q304" s="425" t="s">
        <v>762</v>
      </c>
      <c r="R304" s="425" t="s">
        <v>762</v>
      </c>
      <c r="S304" s="425" t="s">
        <v>762</v>
      </c>
      <c r="T304" s="425" t="s">
        <v>762</v>
      </c>
      <c r="U304" s="425" t="s">
        <v>762</v>
      </c>
      <c r="V304" s="425">
        <f t="shared" si="306"/>
        <v>43.18</v>
      </c>
      <c r="W304" s="425">
        <f t="shared" si="306"/>
        <v>43.18</v>
      </c>
      <c r="X304" s="425">
        <f t="shared" si="307"/>
        <v>50.45</v>
      </c>
      <c r="Y304" s="425">
        <f t="shared" si="308"/>
        <v>52.4</v>
      </c>
      <c r="Z304" s="425">
        <f t="shared" si="309"/>
        <v>57.43</v>
      </c>
      <c r="AA304" s="425">
        <f t="shared" si="310"/>
        <v>59.46</v>
      </c>
      <c r="AB304" s="425">
        <f t="shared" si="311"/>
        <v>61.53</v>
      </c>
      <c r="AC304" s="425">
        <f t="shared" ref="AC304:AD304" si="334">$I796</f>
        <v>63.58</v>
      </c>
      <c r="AD304" s="425">
        <f t="shared" si="334"/>
        <v>63.58</v>
      </c>
      <c r="AE304" s="425" t="s">
        <v>762</v>
      </c>
      <c r="AF304" s="425" t="s">
        <v>762</v>
      </c>
      <c r="AG304" s="425">
        <f t="shared" si="322"/>
        <v>77.051249999999996</v>
      </c>
      <c r="AH304" s="425" t="s">
        <v>762</v>
      </c>
      <c r="AI304" s="425">
        <f t="shared" si="323"/>
        <v>102.735</v>
      </c>
      <c r="AJ304" s="425" t="s">
        <v>762</v>
      </c>
      <c r="AK304" s="425">
        <f t="shared" si="324"/>
        <v>128.41874999999999</v>
      </c>
      <c r="AL304" s="425">
        <f t="shared" si="325"/>
        <v>108.74250000000001</v>
      </c>
      <c r="AM304" s="425" t="s">
        <v>762</v>
      </c>
      <c r="AN304" s="425">
        <f t="shared" si="326"/>
        <v>126.86625000000001</v>
      </c>
      <c r="AO304" s="425" t="s">
        <v>762</v>
      </c>
      <c r="AP304" s="425">
        <f t="shared" si="327"/>
        <v>144.99</v>
      </c>
      <c r="AQ304" s="425" t="s">
        <v>762</v>
      </c>
      <c r="AR304" s="425">
        <f t="shared" si="328"/>
        <v>163.11375000000001</v>
      </c>
      <c r="AS304" s="425" t="s">
        <v>762</v>
      </c>
      <c r="AT304" s="425">
        <f t="shared" si="329"/>
        <v>197.37</v>
      </c>
      <c r="AU304" s="425" t="s">
        <v>762</v>
      </c>
      <c r="AV304" s="425" t="s">
        <v>762</v>
      </c>
      <c r="AW304" s="425" t="s">
        <v>762</v>
      </c>
      <c r="AX304" s="425" t="s">
        <v>762</v>
      </c>
      <c r="AY304" s="425" t="s">
        <v>762</v>
      </c>
      <c r="AZ304" s="425" t="s">
        <v>762</v>
      </c>
      <c r="BA304" s="425">
        <f t="shared" si="330"/>
        <v>259.50375000000003</v>
      </c>
      <c r="BB304" s="425" t="s">
        <v>762</v>
      </c>
      <c r="BC304" s="425" t="s">
        <v>762</v>
      </c>
      <c r="BD304" s="425" t="s">
        <v>762</v>
      </c>
      <c r="BE304" s="425" t="s">
        <v>762</v>
      </c>
      <c r="BF304" s="425">
        <f t="shared" si="331"/>
        <v>354.375</v>
      </c>
      <c r="BG304" s="425" t="s">
        <v>762</v>
      </c>
      <c r="BH304" s="425" t="s">
        <v>762</v>
      </c>
      <c r="BI304" s="425">
        <f t="shared" si="332"/>
        <v>442.96875</v>
      </c>
      <c r="BJ304" s="425" t="s">
        <v>762</v>
      </c>
      <c r="BK304" s="425" t="s">
        <v>762</v>
      </c>
      <c r="BL304" s="425">
        <f t="shared" si="333"/>
        <v>531.5625</v>
      </c>
      <c r="BM304" s="425" t="s">
        <v>762</v>
      </c>
      <c r="BN304" s="425" t="s">
        <v>762</v>
      </c>
      <c r="BO304" s="425" t="s">
        <v>762</v>
      </c>
      <c r="BP304" s="425" t="s">
        <v>762</v>
      </c>
      <c r="BQ304" s="425" t="s">
        <v>762</v>
      </c>
      <c r="BR304" s="425" t="s">
        <v>762</v>
      </c>
      <c r="BS304" s="425" t="s">
        <v>762</v>
      </c>
      <c r="BT304" s="425" t="s">
        <v>762</v>
      </c>
      <c r="BU304" s="425" t="s">
        <v>762</v>
      </c>
      <c r="BV304" s="425" t="s">
        <v>762</v>
      </c>
      <c r="BW304" s="425" t="s">
        <v>762</v>
      </c>
      <c r="BX304" s="425" t="s">
        <v>762</v>
      </c>
      <c r="BY304" s="425" t="s">
        <v>762</v>
      </c>
      <c r="BZ304" s="425" t="s">
        <v>762</v>
      </c>
      <c r="CA304" s="425" t="s">
        <v>762</v>
      </c>
      <c r="CB304" s="425" t="s">
        <v>762</v>
      </c>
      <c r="CC304" s="425" t="s">
        <v>762</v>
      </c>
      <c r="CD304" s="425" t="s">
        <v>762</v>
      </c>
      <c r="CE304" s="425" t="s">
        <v>762</v>
      </c>
      <c r="CF304" s="425" t="s">
        <v>762</v>
      </c>
      <c r="CG304" s="424" t="s">
        <v>762</v>
      </c>
      <c r="CH304" s="425">
        <f t="shared" si="313"/>
        <v>51.3675</v>
      </c>
      <c r="CI304" s="425">
        <f t="shared" si="242"/>
        <v>36.247500000000002</v>
      </c>
      <c r="CJ304" s="425">
        <f t="shared" si="243"/>
        <v>39.474000000000004</v>
      </c>
      <c r="CK304" s="425">
        <f t="shared" si="244"/>
        <v>34.600500000000004</v>
      </c>
      <c r="CL304" s="425">
        <f t="shared" si="245"/>
        <v>35.4375</v>
      </c>
      <c r="CN304" s="438"/>
    </row>
    <row r="305" spans="1:92" s="426" customFormat="1">
      <c r="A305" s="424" t="s">
        <v>585</v>
      </c>
      <c r="B305" s="424" t="s">
        <v>630</v>
      </c>
      <c r="C305" s="425">
        <f t="shared" si="306"/>
        <v>51.07</v>
      </c>
      <c r="D305" s="425">
        <f t="shared" si="306"/>
        <v>51.07</v>
      </c>
      <c r="E305" s="425">
        <f t="shared" si="306"/>
        <v>51.07</v>
      </c>
      <c r="F305" s="425">
        <f t="shared" si="306"/>
        <v>51.07</v>
      </c>
      <c r="G305" s="425">
        <f t="shared" si="306"/>
        <v>51.07</v>
      </c>
      <c r="H305" s="425">
        <f t="shared" si="306"/>
        <v>51.07</v>
      </c>
      <c r="I305" s="425">
        <f t="shared" si="306"/>
        <v>51.07</v>
      </c>
      <c r="J305" s="425">
        <f t="shared" si="306"/>
        <v>51.07</v>
      </c>
      <c r="K305" s="425">
        <f t="shared" si="306"/>
        <v>51.07</v>
      </c>
      <c r="L305" s="425">
        <f t="shared" si="306"/>
        <v>51.07</v>
      </c>
      <c r="M305" s="425" t="s">
        <v>762</v>
      </c>
      <c r="N305" s="425" t="s">
        <v>762</v>
      </c>
      <c r="O305" s="425" t="s">
        <v>762</v>
      </c>
      <c r="P305" s="425" t="s">
        <v>762</v>
      </c>
      <c r="Q305" s="425" t="s">
        <v>762</v>
      </c>
      <c r="R305" s="425" t="s">
        <v>762</v>
      </c>
      <c r="S305" s="425" t="s">
        <v>762</v>
      </c>
      <c r="T305" s="425" t="s">
        <v>762</v>
      </c>
      <c r="U305" s="425" t="s">
        <v>762</v>
      </c>
      <c r="V305" s="425">
        <f t="shared" si="306"/>
        <v>51.07</v>
      </c>
      <c r="W305" s="425">
        <f t="shared" si="306"/>
        <v>51.07</v>
      </c>
      <c r="X305" s="425">
        <f t="shared" si="307"/>
        <v>59.7</v>
      </c>
      <c r="Y305" s="425">
        <f t="shared" si="308"/>
        <v>61.98</v>
      </c>
      <c r="Z305" s="425">
        <f t="shared" si="309"/>
        <v>68.7</v>
      </c>
      <c r="AA305" s="425">
        <f t="shared" si="310"/>
        <v>71.17</v>
      </c>
      <c r="AB305" s="425">
        <f t="shared" si="311"/>
        <v>73.62</v>
      </c>
      <c r="AC305" s="425">
        <f t="shared" ref="AC305:AD305" si="335">$I797</f>
        <v>76.09</v>
      </c>
      <c r="AD305" s="425">
        <f t="shared" si="335"/>
        <v>76.09</v>
      </c>
      <c r="AE305" s="425" t="s">
        <v>762</v>
      </c>
      <c r="AF305" s="425" t="s">
        <v>762</v>
      </c>
      <c r="AG305" s="425">
        <f t="shared" si="322"/>
        <v>92.218500000000006</v>
      </c>
      <c r="AH305" s="425" t="s">
        <v>762</v>
      </c>
      <c r="AI305" s="425">
        <f t="shared" si="323"/>
        <v>122.95800000000001</v>
      </c>
      <c r="AJ305" s="425" t="s">
        <v>762</v>
      </c>
      <c r="AK305" s="425">
        <f t="shared" si="324"/>
        <v>153.69750000000002</v>
      </c>
      <c r="AL305" s="425">
        <f t="shared" si="325"/>
        <v>130.167</v>
      </c>
      <c r="AM305" s="425" t="s">
        <v>762</v>
      </c>
      <c r="AN305" s="425">
        <f t="shared" si="326"/>
        <v>151.86150000000001</v>
      </c>
      <c r="AO305" s="425" t="s">
        <v>762</v>
      </c>
      <c r="AP305" s="425">
        <f t="shared" si="327"/>
        <v>173.55600000000001</v>
      </c>
      <c r="AQ305" s="425" t="s">
        <v>762</v>
      </c>
      <c r="AR305" s="425">
        <f t="shared" si="328"/>
        <v>195.25050000000002</v>
      </c>
      <c r="AS305" s="425" t="s">
        <v>762</v>
      </c>
      <c r="AT305" s="425">
        <f t="shared" si="329"/>
        <v>236.25</v>
      </c>
      <c r="AU305" s="425" t="s">
        <v>762</v>
      </c>
      <c r="AV305" s="425" t="s">
        <v>762</v>
      </c>
      <c r="AW305" s="425" t="s">
        <v>762</v>
      </c>
      <c r="AX305" s="425" t="s">
        <v>762</v>
      </c>
      <c r="AY305" s="425" t="s">
        <v>762</v>
      </c>
      <c r="AZ305" s="425" t="s">
        <v>762</v>
      </c>
      <c r="BA305" s="425">
        <f t="shared" si="330"/>
        <v>310.73625000000004</v>
      </c>
      <c r="BB305" s="425" t="s">
        <v>762</v>
      </c>
      <c r="BC305" s="425" t="s">
        <v>762</v>
      </c>
      <c r="BD305" s="425" t="s">
        <v>762</v>
      </c>
      <c r="BE305" s="425" t="s">
        <v>762</v>
      </c>
      <c r="BF305" s="425">
        <f t="shared" si="331"/>
        <v>424.17</v>
      </c>
      <c r="BG305" s="425" t="s">
        <v>762</v>
      </c>
      <c r="BH305" s="425" t="s">
        <v>762</v>
      </c>
      <c r="BI305" s="425">
        <f t="shared" si="332"/>
        <v>530.21249999999998</v>
      </c>
      <c r="BJ305" s="425" t="s">
        <v>762</v>
      </c>
      <c r="BK305" s="425" t="s">
        <v>762</v>
      </c>
      <c r="BL305" s="425">
        <f t="shared" si="333"/>
        <v>636.255</v>
      </c>
      <c r="BM305" s="425" t="s">
        <v>762</v>
      </c>
      <c r="BN305" s="425" t="s">
        <v>762</v>
      </c>
      <c r="BO305" s="425" t="s">
        <v>762</v>
      </c>
      <c r="BP305" s="425" t="s">
        <v>762</v>
      </c>
      <c r="BQ305" s="425" t="s">
        <v>762</v>
      </c>
      <c r="BR305" s="425" t="s">
        <v>762</v>
      </c>
      <c r="BS305" s="425" t="s">
        <v>762</v>
      </c>
      <c r="BT305" s="425" t="s">
        <v>762</v>
      </c>
      <c r="BU305" s="425" t="s">
        <v>762</v>
      </c>
      <c r="BV305" s="425" t="s">
        <v>762</v>
      </c>
      <c r="BW305" s="425" t="s">
        <v>762</v>
      </c>
      <c r="BX305" s="425" t="s">
        <v>762</v>
      </c>
      <c r="BY305" s="425" t="s">
        <v>762</v>
      </c>
      <c r="BZ305" s="425" t="s">
        <v>762</v>
      </c>
      <c r="CA305" s="425" t="s">
        <v>762</v>
      </c>
      <c r="CB305" s="425" t="s">
        <v>762</v>
      </c>
      <c r="CC305" s="425" t="s">
        <v>762</v>
      </c>
      <c r="CD305" s="425" t="s">
        <v>762</v>
      </c>
      <c r="CE305" s="425" t="s">
        <v>762</v>
      </c>
      <c r="CF305" s="425" t="s">
        <v>762</v>
      </c>
      <c r="CG305" s="424" t="s">
        <v>762</v>
      </c>
      <c r="CH305" s="425">
        <f t="shared" si="313"/>
        <v>61.479000000000006</v>
      </c>
      <c r="CI305" s="425">
        <f t="shared" si="242"/>
        <v>43.389000000000003</v>
      </c>
      <c r="CJ305" s="425">
        <f t="shared" si="243"/>
        <v>47.25</v>
      </c>
      <c r="CK305" s="425">
        <f t="shared" si="244"/>
        <v>41.431500000000007</v>
      </c>
      <c r="CL305" s="425">
        <f t="shared" si="245"/>
        <v>42.417000000000002</v>
      </c>
      <c r="CN305" s="438"/>
    </row>
    <row r="306" spans="1:92" s="426" customFormat="1">
      <c r="A306" s="424" t="s">
        <v>586</v>
      </c>
      <c r="B306" s="424" t="s">
        <v>630</v>
      </c>
      <c r="C306" s="425">
        <f t="shared" si="306"/>
        <v>63.86</v>
      </c>
      <c r="D306" s="425">
        <f t="shared" si="306"/>
        <v>63.86</v>
      </c>
      <c r="E306" s="425">
        <f t="shared" si="306"/>
        <v>63.86</v>
      </c>
      <c r="F306" s="425">
        <f t="shared" si="306"/>
        <v>63.86</v>
      </c>
      <c r="G306" s="425">
        <f t="shared" si="306"/>
        <v>63.86</v>
      </c>
      <c r="H306" s="425">
        <f t="shared" si="306"/>
        <v>63.86</v>
      </c>
      <c r="I306" s="425">
        <f t="shared" si="306"/>
        <v>63.86</v>
      </c>
      <c r="J306" s="425">
        <f t="shared" si="306"/>
        <v>63.86</v>
      </c>
      <c r="K306" s="425">
        <f t="shared" si="306"/>
        <v>63.86</v>
      </c>
      <c r="L306" s="425">
        <f t="shared" si="306"/>
        <v>63.86</v>
      </c>
      <c r="M306" s="425" t="s">
        <v>762</v>
      </c>
      <c r="N306" s="425" t="s">
        <v>762</v>
      </c>
      <c r="O306" s="425" t="s">
        <v>762</v>
      </c>
      <c r="P306" s="425" t="s">
        <v>762</v>
      </c>
      <c r="Q306" s="425" t="s">
        <v>762</v>
      </c>
      <c r="R306" s="425" t="s">
        <v>762</v>
      </c>
      <c r="S306" s="425" t="s">
        <v>762</v>
      </c>
      <c r="T306" s="425" t="s">
        <v>762</v>
      </c>
      <c r="U306" s="425" t="s">
        <v>762</v>
      </c>
      <c r="V306" s="425">
        <f t="shared" si="306"/>
        <v>63.86</v>
      </c>
      <c r="W306" s="425">
        <f t="shared" si="306"/>
        <v>63.86</v>
      </c>
      <c r="X306" s="425">
        <f t="shared" si="307"/>
        <v>74.599999999999994</v>
      </c>
      <c r="Y306" s="425">
        <f t="shared" si="308"/>
        <v>77.48</v>
      </c>
      <c r="Z306" s="425">
        <f t="shared" si="309"/>
        <v>85.89</v>
      </c>
      <c r="AA306" s="425">
        <f t="shared" si="310"/>
        <v>88.96</v>
      </c>
      <c r="AB306" s="425">
        <f t="shared" si="311"/>
        <v>92.04</v>
      </c>
      <c r="AC306" s="425">
        <f t="shared" ref="AC306:AD306" si="336">$I798</f>
        <v>95.12</v>
      </c>
      <c r="AD306" s="425">
        <f t="shared" si="336"/>
        <v>95.12</v>
      </c>
      <c r="AE306" s="425" t="s">
        <v>762</v>
      </c>
      <c r="AF306" s="425" t="s">
        <v>762</v>
      </c>
      <c r="AG306" s="425">
        <f t="shared" si="322"/>
        <v>115.26300000000002</v>
      </c>
      <c r="AH306" s="425" t="s">
        <v>762</v>
      </c>
      <c r="AI306" s="425">
        <f t="shared" si="323"/>
        <v>153.68400000000003</v>
      </c>
      <c r="AJ306" s="425" t="s">
        <v>762</v>
      </c>
      <c r="AK306" s="425">
        <f t="shared" si="324"/>
        <v>192.10500000000002</v>
      </c>
      <c r="AL306" s="425">
        <f t="shared" si="325"/>
        <v>162.648</v>
      </c>
      <c r="AM306" s="425" t="s">
        <v>762</v>
      </c>
      <c r="AN306" s="425">
        <f t="shared" si="326"/>
        <v>189.756</v>
      </c>
      <c r="AO306" s="425" t="s">
        <v>762</v>
      </c>
      <c r="AP306" s="425">
        <f t="shared" si="327"/>
        <v>216.864</v>
      </c>
      <c r="AQ306" s="425" t="s">
        <v>762</v>
      </c>
      <c r="AR306" s="425">
        <f t="shared" si="328"/>
        <v>243.97200000000001</v>
      </c>
      <c r="AS306" s="425" t="s">
        <v>762</v>
      </c>
      <c r="AT306" s="425">
        <f t="shared" si="329"/>
        <v>295.31250000000006</v>
      </c>
      <c r="AU306" s="425" t="s">
        <v>762</v>
      </c>
      <c r="AV306" s="425" t="s">
        <v>762</v>
      </c>
      <c r="AW306" s="425" t="s">
        <v>762</v>
      </c>
      <c r="AX306" s="425" t="s">
        <v>762</v>
      </c>
      <c r="AY306" s="425" t="s">
        <v>762</v>
      </c>
      <c r="AZ306" s="425" t="s">
        <v>762</v>
      </c>
      <c r="BA306" s="425">
        <f t="shared" si="330"/>
        <v>388.09125</v>
      </c>
      <c r="BB306" s="425" t="s">
        <v>762</v>
      </c>
      <c r="BC306" s="425" t="s">
        <v>762</v>
      </c>
      <c r="BD306" s="425" t="s">
        <v>762</v>
      </c>
      <c r="BE306" s="425" t="s">
        <v>762</v>
      </c>
      <c r="BF306" s="425">
        <f t="shared" si="331"/>
        <v>530.28000000000009</v>
      </c>
      <c r="BG306" s="425" t="s">
        <v>762</v>
      </c>
      <c r="BH306" s="425" t="s">
        <v>762</v>
      </c>
      <c r="BI306" s="425">
        <f t="shared" si="332"/>
        <v>662.85</v>
      </c>
      <c r="BJ306" s="425" t="s">
        <v>762</v>
      </c>
      <c r="BK306" s="425" t="s">
        <v>762</v>
      </c>
      <c r="BL306" s="425">
        <f t="shared" si="333"/>
        <v>795.42000000000007</v>
      </c>
      <c r="BM306" s="425" t="s">
        <v>762</v>
      </c>
      <c r="BN306" s="425" t="s">
        <v>762</v>
      </c>
      <c r="BO306" s="425" t="s">
        <v>762</v>
      </c>
      <c r="BP306" s="425" t="s">
        <v>762</v>
      </c>
      <c r="BQ306" s="425" t="s">
        <v>762</v>
      </c>
      <c r="BR306" s="425" t="s">
        <v>762</v>
      </c>
      <c r="BS306" s="425" t="s">
        <v>762</v>
      </c>
      <c r="BT306" s="425" t="s">
        <v>762</v>
      </c>
      <c r="BU306" s="425" t="s">
        <v>762</v>
      </c>
      <c r="BV306" s="425" t="s">
        <v>762</v>
      </c>
      <c r="BW306" s="425" t="s">
        <v>762</v>
      </c>
      <c r="BX306" s="425" t="s">
        <v>762</v>
      </c>
      <c r="BY306" s="425" t="s">
        <v>762</v>
      </c>
      <c r="BZ306" s="425" t="s">
        <v>762</v>
      </c>
      <c r="CA306" s="425" t="s">
        <v>762</v>
      </c>
      <c r="CB306" s="425" t="s">
        <v>762</v>
      </c>
      <c r="CC306" s="425" t="s">
        <v>762</v>
      </c>
      <c r="CD306" s="425" t="s">
        <v>762</v>
      </c>
      <c r="CE306" s="425" t="s">
        <v>762</v>
      </c>
      <c r="CF306" s="425" t="s">
        <v>762</v>
      </c>
      <c r="CG306" s="424" t="s">
        <v>762</v>
      </c>
      <c r="CH306" s="425">
        <f t="shared" si="313"/>
        <v>76.842000000000013</v>
      </c>
      <c r="CI306" s="425">
        <f t="shared" si="242"/>
        <v>54.216000000000001</v>
      </c>
      <c r="CJ306" s="425">
        <f t="shared" si="243"/>
        <v>59.062500000000007</v>
      </c>
      <c r="CK306" s="425">
        <f t="shared" si="244"/>
        <v>51.7455</v>
      </c>
      <c r="CL306" s="425">
        <f t="shared" si="245"/>
        <v>53.028000000000006</v>
      </c>
      <c r="CN306" s="438"/>
    </row>
    <row r="307" spans="1:92" s="426" customFormat="1">
      <c r="A307" s="424" t="s">
        <v>587</v>
      </c>
      <c r="B307" s="424" t="s">
        <v>630</v>
      </c>
      <c r="C307" s="425">
        <f t="shared" si="306"/>
        <v>51.05</v>
      </c>
      <c r="D307" s="425">
        <f t="shared" si="306"/>
        <v>51.05</v>
      </c>
      <c r="E307" s="425">
        <f t="shared" si="306"/>
        <v>51.05</v>
      </c>
      <c r="F307" s="425">
        <f t="shared" si="306"/>
        <v>51.05</v>
      </c>
      <c r="G307" s="425">
        <f t="shared" si="306"/>
        <v>51.05</v>
      </c>
      <c r="H307" s="425">
        <f t="shared" si="306"/>
        <v>51.05</v>
      </c>
      <c r="I307" s="425">
        <f t="shared" si="306"/>
        <v>51.05</v>
      </c>
      <c r="J307" s="425">
        <f t="shared" si="306"/>
        <v>51.05</v>
      </c>
      <c r="K307" s="425">
        <f t="shared" si="306"/>
        <v>51.05</v>
      </c>
      <c r="L307" s="425">
        <f t="shared" si="306"/>
        <v>51.05</v>
      </c>
      <c r="M307" s="425" t="s">
        <v>762</v>
      </c>
      <c r="N307" s="425" t="s">
        <v>762</v>
      </c>
      <c r="O307" s="425" t="s">
        <v>762</v>
      </c>
      <c r="P307" s="425" t="s">
        <v>762</v>
      </c>
      <c r="Q307" s="425" t="s">
        <v>762</v>
      </c>
      <c r="R307" s="425" t="s">
        <v>762</v>
      </c>
      <c r="S307" s="425" t="s">
        <v>762</v>
      </c>
      <c r="T307" s="425" t="s">
        <v>762</v>
      </c>
      <c r="U307" s="425" t="s">
        <v>762</v>
      </c>
      <c r="V307" s="425">
        <f t="shared" si="306"/>
        <v>51.05</v>
      </c>
      <c r="W307" s="425">
        <f t="shared" si="306"/>
        <v>51.05</v>
      </c>
      <c r="X307" s="425">
        <f t="shared" si="307"/>
        <v>59.65</v>
      </c>
      <c r="Y307" s="425">
        <f t="shared" si="308"/>
        <v>61.94</v>
      </c>
      <c r="Z307" s="425">
        <f t="shared" si="309"/>
        <v>68.67</v>
      </c>
      <c r="AA307" s="425">
        <f t="shared" si="310"/>
        <v>71.12</v>
      </c>
      <c r="AB307" s="425">
        <f t="shared" si="311"/>
        <v>73.569999999999993</v>
      </c>
      <c r="AC307" s="425">
        <f t="shared" ref="AC307:AD307" si="337">$I799</f>
        <v>76.010000000000005</v>
      </c>
      <c r="AD307" s="425">
        <f t="shared" si="337"/>
        <v>76.010000000000005</v>
      </c>
      <c r="AE307" s="425" t="s">
        <v>762</v>
      </c>
      <c r="AF307" s="425" t="s">
        <v>762</v>
      </c>
      <c r="AG307" s="425">
        <f t="shared" si="322"/>
        <v>92.157750000000007</v>
      </c>
      <c r="AH307" s="425" t="s">
        <v>762</v>
      </c>
      <c r="AI307" s="425">
        <f t="shared" si="323"/>
        <v>122.87700000000001</v>
      </c>
      <c r="AJ307" s="425" t="s">
        <v>762</v>
      </c>
      <c r="AK307" s="425">
        <f t="shared" si="324"/>
        <v>153.59625</v>
      </c>
      <c r="AL307" s="425">
        <f t="shared" si="325"/>
        <v>130.08600000000001</v>
      </c>
      <c r="AM307" s="425" t="s">
        <v>762</v>
      </c>
      <c r="AN307" s="425">
        <f t="shared" si="326"/>
        <v>151.767</v>
      </c>
      <c r="AO307" s="425" t="s">
        <v>762</v>
      </c>
      <c r="AP307" s="425">
        <f t="shared" si="327"/>
        <v>173.44800000000001</v>
      </c>
      <c r="AQ307" s="425" t="s">
        <v>762</v>
      </c>
      <c r="AR307" s="425">
        <f t="shared" si="328"/>
        <v>195.12900000000002</v>
      </c>
      <c r="AS307" s="425" t="s">
        <v>762</v>
      </c>
      <c r="AT307" s="425">
        <f t="shared" si="329"/>
        <v>235.98000000000002</v>
      </c>
      <c r="AU307" s="425" t="s">
        <v>762</v>
      </c>
      <c r="AV307" s="425" t="s">
        <v>762</v>
      </c>
      <c r="AW307" s="425" t="s">
        <v>762</v>
      </c>
      <c r="AX307" s="425" t="s">
        <v>762</v>
      </c>
      <c r="AY307" s="425" t="s">
        <v>762</v>
      </c>
      <c r="AZ307" s="425" t="s">
        <v>762</v>
      </c>
      <c r="BA307" s="425">
        <f t="shared" si="330"/>
        <v>310.43250000000006</v>
      </c>
      <c r="BB307" s="425" t="s">
        <v>762</v>
      </c>
      <c r="BC307" s="425" t="s">
        <v>762</v>
      </c>
      <c r="BD307" s="425" t="s">
        <v>762</v>
      </c>
      <c r="BE307" s="425" t="s">
        <v>762</v>
      </c>
      <c r="BF307" s="425">
        <f t="shared" si="331"/>
        <v>424.03500000000003</v>
      </c>
      <c r="BG307" s="425" t="s">
        <v>762</v>
      </c>
      <c r="BH307" s="425" t="s">
        <v>762</v>
      </c>
      <c r="BI307" s="425">
        <f t="shared" si="332"/>
        <v>530.04375000000005</v>
      </c>
      <c r="BJ307" s="425" t="s">
        <v>762</v>
      </c>
      <c r="BK307" s="425" t="s">
        <v>762</v>
      </c>
      <c r="BL307" s="425">
        <f t="shared" si="333"/>
        <v>636.05250000000001</v>
      </c>
      <c r="BM307" s="425" t="s">
        <v>762</v>
      </c>
      <c r="BN307" s="425" t="s">
        <v>762</v>
      </c>
      <c r="BO307" s="425" t="s">
        <v>762</v>
      </c>
      <c r="BP307" s="425" t="s">
        <v>762</v>
      </c>
      <c r="BQ307" s="425" t="s">
        <v>762</v>
      </c>
      <c r="BR307" s="425" t="s">
        <v>762</v>
      </c>
      <c r="BS307" s="425" t="s">
        <v>762</v>
      </c>
      <c r="BT307" s="425" t="s">
        <v>762</v>
      </c>
      <c r="BU307" s="425" t="s">
        <v>762</v>
      </c>
      <c r="BV307" s="425" t="s">
        <v>762</v>
      </c>
      <c r="BW307" s="425" t="s">
        <v>762</v>
      </c>
      <c r="BX307" s="425" t="s">
        <v>762</v>
      </c>
      <c r="BY307" s="425" t="s">
        <v>762</v>
      </c>
      <c r="BZ307" s="425" t="s">
        <v>762</v>
      </c>
      <c r="CA307" s="425" t="s">
        <v>762</v>
      </c>
      <c r="CB307" s="425" t="s">
        <v>762</v>
      </c>
      <c r="CC307" s="425" t="s">
        <v>762</v>
      </c>
      <c r="CD307" s="425" t="s">
        <v>762</v>
      </c>
      <c r="CE307" s="425" t="s">
        <v>762</v>
      </c>
      <c r="CF307" s="425" t="s">
        <v>762</v>
      </c>
      <c r="CG307" s="424" t="s">
        <v>762</v>
      </c>
      <c r="CH307" s="425">
        <f t="shared" si="313"/>
        <v>61.438500000000005</v>
      </c>
      <c r="CI307" s="425">
        <f t="shared" si="242"/>
        <v>43.362000000000002</v>
      </c>
      <c r="CJ307" s="425">
        <f t="shared" si="243"/>
        <v>47.196000000000005</v>
      </c>
      <c r="CK307" s="425">
        <f t="shared" si="244"/>
        <v>41.391000000000005</v>
      </c>
      <c r="CL307" s="425">
        <f t="shared" si="245"/>
        <v>42.403500000000001</v>
      </c>
      <c r="CN307" s="438"/>
    </row>
    <row r="308" spans="1:92" s="426" customFormat="1">
      <c r="A308" s="424" t="s">
        <v>588</v>
      </c>
      <c r="B308" s="424" t="s">
        <v>630</v>
      </c>
      <c r="C308" s="425">
        <f t="shared" si="306"/>
        <v>63.8</v>
      </c>
      <c r="D308" s="425">
        <f t="shared" si="306"/>
        <v>63.8</v>
      </c>
      <c r="E308" s="425">
        <f t="shared" si="306"/>
        <v>63.8</v>
      </c>
      <c r="F308" s="425">
        <f t="shared" si="306"/>
        <v>63.8</v>
      </c>
      <c r="G308" s="425">
        <f t="shared" si="306"/>
        <v>63.8</v>
      </c>
      <c r="H308" s="425">
        <f t="shared" si="306"/>
        <v>63.8</v>
      </c>
      <c r="I308" s="425">
        <f t="shared" si="306"/>
        <v>63.8</v>
      </c>
      <c r="J308" s="425">
        <f t="shared" si="306"/>
        <v>63.8</v>
      </c>
      <c r="K308" s="425">
        <f t="shared" si="306"/>
        <v>63.8</v>
      </c>
      <c r="L308" s="425">
        <f t="shared" si="306"/>
        <v>63.8</v>
      </c>
      <c r="M308" s="425" t="s">
        <v>762</v>
      </c>
      <c r="N308" s="425" t="s">
        <v>762</v>
      </c>
      <c r="O308" s="425" t="s">
        <v>762</v>
      </c>
      <c r="P308" s="425" t="s">
        <v>762</v>
      </c>
      <c r="Q308" s="425" t="s">
        <v>762</v>
      </c>
      <c r="R308" s="425" t="s">
        <v>762</v>
      </c>
      <c r="S308" s="425" t="s">
        <v>762</v>
      </c>
      <c r="T308" s="425" t="s">
        <v>762</v>
      </c>
      <c r="U308" s="425" t="s">
        <v>762</v>
      </c>
      <c r="V308" s="425">
        <f t="shared" si="306"/>
        <v>63.8</v>
      </c>
      <c r="W308" s="425">
        <f t="shared" si="306"/>
        <v>63.8</v>
      </c>
      <c r="X308" s="425">
        <f t="shared" si="307"/>
        <v>74.56</v>
      </c>
      <c r="Y308" s="425">
        <f t="shared" si="308"/>
        <v>77.42</v>
      </c>
      <c r="Z308" s="425">
        <f t="shared" si="309"/>
        <v>85.83</v>
      </c>
      <c r="AA308" s="425">
        <f t="shared" si="310"/>
        <v>88.89</v>
      </c>
      <c r="AB308" s="425">
        <f t="shared" si="311"/>
        <v>91.95</v>
      </c>
      <c r="AC308" s="425">
        <f t="shared" ref="AC308:AD308" si="338">$I800</f>
        <v>95.02</v>
      </c>
      <c r="AD308" s="425">
        <f t="shared" si="338"/>
        <v>95.02</v>
      </c>
      <c r="AE308" s="425" t="s">
        <v>762</v>
      </c>
      <c r="AF308" s="425" t="s">
        <v>762</v>
      </c>
      <c r="AG308" s="425">
        <f t="shared" si="322"/>
        <v>115.18200000000002</v>
      </c>
      <c r="AH308" s="425" t="s">
        <v>762</v>
      </c>
      <c r="AI308" s="425">
        <f t="shared" si="323"/>
        <v>153.57600000000002</v>
      </c>
      <c r="AJ308" s="425" t="s">
        <v>762</v>
      </c>
      <c r="AK308" s="425">
        <f t="shared" si="324"/>
        <v>191.97000000000003</v>
      </c>
      <c r="AL308" s="425">
        <f t="shared" si="325"/>
        <v>162.56700000000001</v>
      </c>
      <c r="AM308" s="425" t="s">
        <v>762</v>
      </c>
      <c r="AN308" s="425">
        <f t="shared" si="326"/>
        <v>189.66150000000002</v>
      </c>
      <c r="AO308" s="425" t="s">
        <v>762</v>
      </c>
      <c r="AP308" s="425">
        <f t="shared" si="327"/>
        <v>216.75600000000003</v>
      </c>
      <c r="AQ308" s="425" t="s">
        <v>762</v>
      </c>
      <c r="AR308" s="425">
        <f t="shared" si="328"/>
        <v>243.85050000000004</v>
      </c>
      <c r="AS308" s="425" t="s">
        <v>762</v>
      </c>
      <c r="AT308" s="425">
        <f t="shared" si="329"/>
        <v>294.90750000000003</v>
      </c>
      <c r="AU308" s="425" t="s">
        <v>762</v>
      </c>
      <c r="AV308" s="425" t="s">
        <v>762</v>
      </c>
      <c r="AW308" s="425" t="s">
        <v>762</v>
      </c>
      <c r="AX308" s="425" t="s">
        <v>762</v>
      </c>
      <c r="AY308" s="425" t="s">
        <v>762</v>
      </c>
      <c r="AZ308" s="425" t="s">
        <v>762</v>
      </c>
      <c r="BA308" s="425">
        <f t="shared" si="330"/>
        <v>387.99000000000007</v>
      </c>
      <c r="BB308" s="425" t="s">
        <v>762</v>
      </c>
      <c r="BC308" s="425" t="s">
        <v>762</v>
      </c>
      <c r="BD308" s="425" t="s">
        <v>762</v>
      </c>
      <c r="BE308" s="425" t="s">
        <v>762</v>
      </c>
      <c r="BF308" s="425">
        <f t="shared" si="331"/>
        <v>529.875</v>
      </c>
      <c r="BG308" s="425" t="s">
        <v>762</v>
      </c>
      <c r="BH308" s="425" t="s">
        <v>762</v>
      </c>
      <c r="BI308" s="425">
        <f t="shared" si="332"/>
        <v>662.34375</v>
      </c>
      <c r="BJ308" s="425" t="s">
        <v>762</v>
      </c>
      <c r="BK308" s="425" t="s">
        <v>762</v>
      </c>
      <c r="BL308" s="425">
        <f t="shared" si="333"/>
        <v>794.81250000000011</v>
      </c>
      <c r="BM308" s="425" t="s">
        <v>762</v>
      </c>
      <c r="BN308" s="425" t="s">
        <v>762</v>
      </c>
      <c r="BO308" s="425" t="s">
        <v>762</v>
      </c>
      <c r="BP308" s="425" t="s">
        <v>762</v>
      </c>
      <c r="BQ308" s="425" t="s">
        <v>762</v>
      </c>
      <c r="BR308" s="425" t="s">
        <v>762</v>
      </c>
      <c r="BS308" s="425" t="s">
        <v>762</v>
      </c>
      <c r="BT308" s="425" t="s">
        <v>762</v>
      </c>
      <c r="BU308" s="425" t="s">
        <v>762</v>
      </c>
      <c r="BV308" s="425" t="s">
        <v>762</v>
      </c>
      <c r="BW308" s="425" t="s">
        <v>762</v>
      </c>
      <c r="BX308" s="425" t="s">
        <v>762</v>
      </c>
      <c r="BY308" s="425" t="s">
        <v>762</v>
      </c>
      <c r="BZ308" s="425" t="s">
        <v>762</v>
      </c>
      <c r="CA308" s="425" t="s">
        <v>762</v>
      </c>
      <c r="CB308" s="425" t="s">
        <v>762</v>
      </c>
      <c r="CC308" s="425" t="s">
        <v>762</v>
      </c>
      <c r="CD308" s="425" t="s">
        <v>762</v>
      </c>
      <c r="CE308" s="425" t="s">
        <v>762</v>
      </c>
      <c r="CF308" s="425" t="s">
        <v>762</v>
      </c>
      <c r="CG308" s="424" t="s">
        <v>762</v>
      </c>
      <c r="CH308" s="425">
        <f t="shared" si="313"/>
        <v>76.788000000000011</v>
      </c>
      <c r="CI308" s="425">
        <f t="shared" si="242"/>
        <v>54.189000000000007</v>
      </c>
      <c r="CJ308" s="425">
        <f t="shared" si="243"/>
        <v>58.981500000000004</v>
      </c>
      <c r="CK308" s="425">
        <f t="shared" si="244"/>
        <v>51.732000000000006</v>
      </c>
      <c r="CL308" s="425">
        <f t="shared" si="245"/>
        <v>52.987500000000004</v>
      </c>
      <c r="CN308" s="438"/>
    </row>
    <row r="309" spans="1:92" s="426" customFormat="1">
      <c r="A309" s="424" t="s">
        <v>589</v>
      </c>
      <c r="B309" s="424" t="s">
        <v>630</v>
      </c>
      <c r="C309" s="425">
        <f t="shared" si="306"/>
        <v>56.25</v>
      </c>
      <c r="D309" s="425">
        <f t="shared" si="306"/>
        <v>56.25</v>
      </c>
      <c r="E309" s="425">
        <f t="shared" si="306"/>
        <v>56.25</v>
      </c>
      <c r="F309" s="425">
        <f t="shared" si="306"/>
        <v>56.25</v>
      </c>
      <c r="G309" s="425">
        <f t="shared" si="306"/>
        <v>56.25</v>
      </c>
      <c r="H309" s="425">
        <f t="shared" si="306"/>
        <v>56.25</v>
      </c>
      <c r="I309" s="425">
        <f t="shared" si="306"/>
        <v>56.25</v>
      </c>
      <c r="J309" s="425">
        <f t="shared" si="306"/>
        <v>56.25</v>
      </c>
      <c r="K309" s="425">
        <f t="shared" si="306"/>
        <v>56.25</v>
      </c>
      <c r="L309" s="425">
        <f t="shared" si="306"/>
        <v>56.25</v>
      </c>
      <c r="M309" s="425" t="s">
        <v>762</v>
      </c>
      <c r="N309" s="425" t="s">
        <v>762</v>
      </c>
      <c r="O309" s="425" t="s">
        <v>762</v>
      </c>
      <c r="P309" s="425" t="s">
        <v>762</v>
      </c>
      <c r="Q309" s="425" t="s">
        <v>762</v>
      </c>
      <c r="R309" s="425" t="s">
        <v>762</v>
      </c>
      <c r="S309" s="425" t="s">
        <v>762</v>
      </c>
      <c r="T309" s="425" t="s">
        <v>762</v>
      </c>
      <c r="U309" s="425" t="s">
        <v>762</v>
      </c>
      <c r="V309" s="425">
        <f t="shared" si="306"/>
        <v>56.25</v>
      </c>
      <c r="W309" s="425">
        <f t="shared" si="306"/>
        <v>56.25</v>
      </c>
      <c r="X309" s="425">
        <f t="shared" si="307"/>
        <v>65.760000000000005</v>
      </c>
      <c r="Y309" s="425">
        <f t="shared" si="308"/>
        <v>68.290000000000006</v>
      </c>
      <c r="Z309" s="425">
        <f t="shared" si="309"/>
        <v>76.150000000000006</v>
      </c>
      <c r="AA309" s="425">
        <f t="shared" si="310"/>
        <v>78.84</v>
      </c>
      <c r="AB309" s="425">
        <f t="shared" si="311"/>
        <v>81.55</v>
      </c>
      <c r="AC309" s="425">
        <f t="shared" ref="AC309:AD309" si="339">$I801</f>
        <v>84.29</v>
      </c>
      <c r="AD309" s="425">
        <f t="shared" si="339"/>
        <v>84.29</v>
      </c>
      <c r="AE309" s="425" t="s">
        <v>762</v>
      </c>
      <c r="AF309" s="425" t="s">
        <v>762</v>
      </c>
      <c r="AG309" s="425">
        <f t="shared" si="322"/>
        <v>102.14100000000002</v>
      </c>
      <c r="AH309" s="425" t="s">
        <v>762</v>
      </c>
      <c r="AI309" s="425">
        <f t="shared" si="323"/>
        <v>136.18800000000002</v>
      </c>
      <c r="AJ309" s="425" t="s">
        <v>762</v>
      </c>
      <c r="AK309" s="425">
        <f t="shared" si="324"/>
        <v>170.23500000000001</v>
      </c>
      <c r="AL309" s="425">
        <f t="shared" si="325"/>
        <v>144.18</v>
      </c>
      <c r="AM309" s="425" t="s">
        <v>762</v>
      </c>
      <c r="AN309" s="425">
        <f t="shared" si="326"/>
        <v>168.21</v>
      </c>
      <c r="AO309" s="425" t="s">
        <v>762</v>
      </c>
      <c r="AP309" s="425">
        <f t="shared" si="327"/>
        <v>192.24</v>
      </c>
      <c r="AQ309" s="425" t="s">
        <v>762</v>
      </c>
      <c r="AR309" s="425">
        <f t="shared" si="328"/>
        <v>216.27</v>
      </c>
      <c r="AS309" s="425" t="s">
        <v>762</v>
      </c>
      <c r="AT309" s="425">
        <f t="shared" si="329"/>
        <v>261.63</v>
      </c>
      <c r="AU309" s="425" t="s">
        <v>762</v>
      </c>
      <c r="AV309" s="425" t="s">
        <v>762</v>
      </c>
      <c r="AW309" s="425" t="s">
        <v>762</v>
      </c>
      <c r="AX309" s="425" t="s">
        <v>762</v>
      </c>
      <c r="AY309" s="425" t="s">
        <v>762</v>
      </c>
      <c r="AZ309" s="425" t="s">
        <v>762</v>
      </c>
      <c r="BA309" s="425">
        <f t="shared" si="330"/>
        <v>344.25000000000006</v>
      </c>
      <c r="BB309" s="425" t="s">
        <v>762</v>
      </c>
      <c r="BC309" s="425" t="s">
        <v>762</v>
      </c>
      <c r="BD309" s="425" t="s">
        <v>762</v>
      </c>
      <c r="BE309" s="425" t="s">
        <v>762</v>
      </c>
      <c r="BF309" s="425">
        <f t="shared" si="331"/>
        <v>469.93500000000006</v>
      </c>
      <c r="BG309" s="425" t="s">
        <v>762</v>
      </c>
      <c r="BH309" s="425" t="s">
        <v>762</v>
      </c>
      <c r="BI309" s="425">
        <f t="shared" si="332"/>
        <v>587.41875000000005</v>
      </c>
      <c r="BJ309" s="425" t="s">
        <v>762</v>
      </c>
      <c r="BK309" s="425" t="s">
        <v>762</v>
      </c>
      <c r="BL309" s="425">
        <f t="shared" si="333"/>
        <v>704.90250000000003</v>
      </c>
      <c r="BM309" s="425" t="s">
        <v>762</v>
      </c>
      <c r="BN309" s="425" t="s">
        <v>762</v>
      </c>
      <c r="BO309" s="425" t="s">
        <v>762</v>
      </c>
      <c r="BP309" s="425" t="s">
        <v>762</v>
      </c>
      <c r="BQ309" s="425" t="s">
        <v>762</v>
      </c>
      <c r="BR309" s="425" t="s">
        <v>762</v>
      </c>
      <c r="BS309" s="425" t="s">
        <v>762</v>
      </c>
      <c r="BT309" s="425" t="s">
        <v>762</v>
      </c>
      <c r="BU309" s="425" t="s">
        <v>762</v>
      </c>
      <c r="BV309" s="425" t="s">
        <v>762</v>
      </c>
      <c r="BW309" s="425" t="s">
        <v>762</v>
      </c>
      <c r="BX309" s="425" t="s">
        <v>762</v>
      </c>
      <c r="BY309" s="425" t="s">
        <v>762</v>
      </c>
      <c r="BZ309" s="425" t="s">
        <v>762</v>
      </c>
      <c r="CA309" s="425" t="s">
        <v>762</v>
      </c>
      <c r="CB309" s="425" t="s">
        <v>762</v>
      </c>
      <c r="CC309" s="425" t="s">
        <v>762</v>
      </c>
      <c r="CD309" s="425" t="s">
        <v>762</v>
      </c>
      <c r="CE309" s="425" t="s">
        <v>762</v>
      </c>
      <c r="CF309" s="425" t="s">
        <v>762</v>
      </c>
      <c r="CG309" s="424" t="s">
        <v>762</v>
      </c>
      <c r="CH309" s="425">
        <f t="shared" si="313"/>
        <v>68.094000000000008</v>
      </c>
      <c r="CI309" s="425">
        <f t="shared" si="242"/>
        <v>48.06</v>
      </c>
      <c r="CJ309" s="425">
        <f t="shared" si="243"/>
        <v>52.326000000000001</v>
      </c>
      <c r="CK309" s="425">
        <f t="shared" si="244"/>
        <v>45.900000000000006</v>
      </c>
      <c r="CL309" s="425">
        <f t="shared" si="245"/>
        <v>46.993500000000004</v>
      </c>
      <c r="CN309" s="438"/>
    </row>
    <row r="310" spans="1:92" s="426" customFormat="1">
      <c r="A310" s="424" t="s">
        <v>590</v>
      </c>
      <c r="B310" s="424" t="s">
        <v>630</v>
      </c>
      <c r="C310" s="425">
        <f t="shared" si="306"/>
        <v>70.34</v>
      </c>
      <c r="D310" s="425">
        <f t="shared" si="306"/>
        <v>70.34</v>
      </c>
      <c r="E310" s="425">
        <f t="shared" si="306"/>
        <v>70.34</v>
      </c>
      <c r="F310" s="425">
        <f t="shared" si="306"/>
        <v>70.34</v>
      </c>
      <c r="G310" s="425">
        <f t="shared" si="306"/>
        <v>70.34</v>
      </c>
      <c r="H310" s="425">
        <f t="shared" si="306"/>
        <v>70.34</v>
      </c>
      <c r="I310" s="425">
        <f t="shared" si="306"/>
        <v>70.34</v>
      </c>
      <c r="J310" s="425">
        <f t="shared" si="306"/>
        <v>70.34</v>
      </c>
      <c r="K310" s="425">
        <f t="shared" si="306"/>
        <v>70.34</v>
      </c>
      <c r="L310" s="425">
        <f t="shared" si="306"/>
        <v>70.34</v>
      </c>
      <c r="M310" s="425" t="s">
        <v>762</v>
      </c>
      <c r="N310" s="425" t="s">
        <v>762</v>
      </c>
      <c r="O310" s="425" t="s">
        <v>762</v>
      </c>
      <c r="P310" s="425" t="s">
        <v>762</v>
      </c>
      <c r="Q310" s="425" t="s">
        <v>762</v>
      </c>
      <c r="R310" s="425" t="s">
        <v>762</v>
      </c>
      <c r="S310" s="425" t="s">
        <v>762</v>
      </c>
      <c r="T310" s="425" t="s">
        <v>762</v>
      </c>
      <c r="U310" s="425" t="s">
        <v>762</v>
      </c>
      <c r="V310" s="425">
        <f t="shared" si="306"/>
        <v>70.34</v>
      </c>
      <c r="W310" s="425">
        <f t="shared" si="306"/>
        <v>70.34</v>
      </c>
      <c r="X310" s="425">
        <f t="shared" si="307"/>
        <v>82.18</v>
      </c>
      <c r="Y310" s="425">
        <f t="shared" si="308"/>
        <v>85.34</v>
      </c>
      <c r="Z310" s="425">
        <f t="shared" si="309"/>
        <v>95.16</v>
      </c>
      <c r="AA310" s="425">
        <f t="shared" si="310"/>
        <v>98.56</v>
      </c>
      <c r="AB310" s="425">
        <f t="shared" si="311"/>
        <v>101.95</v>
      </c>
      <c r="AC310" s="425">
        <f t="shared" ref="AC310:AD310" si="340">$I802</f>
        <v>105.35</v>
      </c>
      <c r="AD310" s="425">
        <f t="shared" si="340"/>
        <v>105.35</v>
      </c>
      <c r="AE310" s="425" t="s">
        <v>762</v>
      </c>
      <c r="AF310" s="425" t="s">
        <v>762</v>
      </c>
      <c r="AG310" s="425">
        <f t="shared" si="322"/>
        <v>127.65600000000001</v>
      </c>
      <c r="AH310" s="425" t="s">
        <v>762</v>
      </c>
      <c r="AI310" s="425">
        <f t="shared" si="323"/>
        <v>170.208</v>
      </c>
      <c r="AJ310" s="425" t="s">
        <v>762</v>
      </c>
      <c r="AK310" s="425">
        <f t="shared" si="324"/>
        <v>212.76</v>
      </c>
      <c r="AL310" s="425">
        <f t="shared" si="325"/>
        <v>180.22500000000002</v>
      </c>
      <c r="AM310" s="425" t="s">
        <v>762</v>
      </c>
      <c r="AN310" s="425">
        <f t="shared" si="326"/>
        <v>210.26250000000002</v>
      </c>
      <c r="AO310" s="425" t="s">
        <v>762</v>
      </c>
      <c r="AP310" s="425">
        <f t="shared" si="327"/>
        <v>240.3</v>
      </c>
      <c r="AQ310" s="425" t="s">
        <v>762</v>
      </c>
      <c r="AR310" s="425">
        <f t="shared" si="328"/>
        <v>270.33750000000003</v>
      </c>
      <c r="AS310" s="425" t="s">
        <v>762</v>
      </c>
      <c r="AT310" s="425">
        <f t="shared" si="329"/>
        <v>327.03750000000008</v>
      </c>
      <c r="AU310" s="425" t="s">
        <v>762</v>
      </c>
      <c r="AV310" s="425" t="s">
        <v>762</v>
      </c>
      <c r="AW310" s="425" t="s">
        <v>762</v>
      </c>
      <c r="AX310" s="425" t="s">
        <v>762</v>
      </c>
      <c r="AY310" s="425" t="s">
        <v>762</v>
      </c>
      <c r="AZ310" s="425" t="s">
        <v>762</v>
      </c>
      <c r="BA310" s="425">
        <f t="shared" si="330"/>
        <v>430.00875000000002</v>
      </c>
      <c r="BB310" s="425" t="s">
        <v>762</v>
      </c>
      <c r="BC310" s="425" t="s">
        <v>762</v>
      </c>
      <c r="BD310" s="425" t="s">
        <v>762</v>
      </c>
      <c r="BE310" s="425" t="s">
        <v>762</v>
      </c>
      <c r="BF310" s="425">
        <f t="shared" si="331"/>
        <v>587.5200000000001</v>
      </c>
      <c r="BG310" s="425" t="s">
        <v>762</v>
      </c>
      <c r="BH310" s="425" t="s">
        <v>762</v>
      </c>
      <c r="BI310" s="425">
        <f t="shared" si="332"/>
        <v>734.40000000000009</v>
      </c>
      <c r="BJ310" s="425" t="s">
        <v>762</v>
      </c>
      <c r="BK310" s="425" t="s">
        <v>762</v>
      </c>
      <c r="BL310" s="425">
        <f t="shared" si="333"/>
        <v>881.2800000000002</v>
      </c>
      <c r="BM310" s="425" t="s">
        <v>762</v>
      </c>
      <c r="BN310" s="425" t="s">
        <v>762</v>
      </c>
      <c r="BO310" s="425" t="s">
        <v>762</v>
      </c>
      <c r="BP310" s="425" t="s">
        <v>762</v>
      </c>
      <c r="BQ310" s="425" t="s">
        <v>762</v>
      </c>
      <c r="BR310" s="425" t="s">
        <v>762</v>
      </c>
      <c r="BS310" s="425" t="s">
        <v>762</v>
      </c>
      <c r="BT310" s="425" t="s">
        <v>762</v>
      </c>
      <c r="BU310" s="425" t="s">
        <v>762</v>
      </c>
      <c r="BV310" s="425" t="s">
        <v>762</v>
      </c>
      <c r="BW310" s="425" t="s">
        <v>762</v>
      </c>
      <c r="BX310" s="425" t="s">
        <v>762</v>
      </c>
      <c r="BY310" s="425" t="s">
        <v>762</v>
      </c>
      <c r="BZ310" s="425" t="s">
        <v>762</v>
      </c>
      <c r="CA310" s="425" t="s">
        <v>762</v>
      </c>
      <c r="CB310" s="425" t="s">
        <v>762</v>
      </c>
      <c r="CC310" s="425" t="s">
        <v>762</v>
      </c>
      <c r="CD310" s="425" t="s">
        <v>762</v>
      </c>
      <c r="CE310" s="425" t="s">
        <v>762</v>
      </c>
      <c r="CF310" s="425" t="s">
        <v>762</v>
      </c>
      <c r="CG310" s="424" t="s">
        <v>762</v>
      </c>
      <c r="CH310" s="425">
        <f t="shared" si="313"/>
        <v>85.103999999999999</v>
      </c>
      <c r="CI310" s="425">
        <f t="shared" ref="CI310:CI343" si="341">K802*1.35</f>
        <v>60.075000000000003</v>
      </c>
      <c r="CJ310" s="425">
        <f t="shared" ref="CJ310:CJ343" si="342">L802*1.35</f>
        <v>65.407500000000013</v>
      </c>
      <c r="CK310" s="425">
        <f t="shared" ref="CK310:CK343" si="343">M802*1.35</f>
        <v>57.334500000000006</v>
      </c>
      <c r="CL310" s="425">
        <f t="shared" ref="CL310:CL342" si="344">N802*1.35</f>
        <v>58.75200000000001</v>
      </c>
      <c r="CN310" s="438"/>
    </row>
    <row r="311" spans="1:92" s="426" customFormat="1">
      <c r="A311" s="424" t="s">
        <v>591</v>
      </c>
      <c r="B311" s="424" t="s">
        <v>630</v>
      </c>
      <c r="C311" s="425">
        <f t="shared" si="306"/>
        <v>47.91</v>
      </c>
      <c r="D311" s="425">
        <f t="shared" si="306"/>
        <v>47.91</v>
      </c>
      <c r="E311" s="425">
        <f t="shared" si="306"/>
        <v>47.91</v>
      </c>
      <c r="F311" s="425">
        <f t="shared" si="306"/>
        <v>47.91</v>
      </c>
      <c r="G311" s="425">
        <f t="shared" si="306"/>
        <v>47.91</v>
      </c>
      <c r="H311" s="425">
        <f t="shared" si="306"/>
        <v>47.91</v>
      </c>
      <c r="I311" s="425">
        <f t="shared" si="306"/>
        <v>47.91</v>
      </c>
      <c r="J311" s="425">
        <f t="shared" si="306"/>
        <v>47.91</v>
      </c>
      <c r="K311" s="425">
        <f t="shared" si="306"/>
        <v>47.91</v>
      </c>
      <c r="L311" s="425">
        <f t="shared" si="306"/>
        <v>47.91</v>
      </c>
      <c r="M311" s="425" t="s">
        <v>762</v>
      </c>
      <c r="N311" s="425" t="s">
        <v>762</v>
      </c>
      <c r="O311" s="425" t="s">
        <v>762</v>
      </c>
      <c r="P311" s="425" t="s">
        <v>762</v>
      </c>
      <c r="Q311" s="425" t="s">
        <v>762</v>
      </c>
      <c r="R311" s="425" t="s">
        <v>762</v>
      </c>
      <c r="S311" s="425" t="s">
        <v>762</v>
      </c>
      <c r="T311" s="425" t="s">
        <v>762</v>
      </c>
      <c r="U311" s="425" t="s">
        <v>762</v>
      </c>
      <c r="V311" s="425">
        <f t="shared" si="306"/>
        <v>47.91</v>
      </c>
      <c r="W311" s="425">
        <f t="shared" si="306"/>
        <v>47.91</v>
      </c>
      <c r="X311" s="425">
        <f t="shared" si="307"/>
        <v>56.01</v>
      </c>
      <c r="Y311" s="425">
        <f t="shared" si="308"/>
        <v>58.16</v>
      </c>
      <c r="Z311" s="425">
        <f t="shared" si="309"/>
        <v>64.19</v>
      </c>
      <c r="AA311" s="425">
        <f t="shared" si="310"/>
        <v>66.5</v>
      </c>
      <c r="AB311" s="425">
        <f t="shared" si="311"/>
        <v>68.8</v>
      </c>
      <c r="AC311" s="425">
        <f t="shared" ref="AC311:AD311" si="345">$I803</f>
        <v>71.08</v>
      </c>
      <c r="AD311" s="425">
        <f t="shared" si="345"/>
        <v>71.08</v>
      </c>
      <c r="AE311" s="425" t="s">
        <v>762</v>
      </c>
      <c r="AF311" s="425" t="s">
        <v>762</v>
      </c>
      <c r="AG311" s="425">
        <f t="shared" si="322"/>
        <v>86.143500000000003</v>
      </c>
      <c r="AH311" s="425" t="s">
        <v>762</v>
      </c>
      <c r="AI311" s="425">
        <f t="shared" si="323"/>
        <v>114.858</v>
      </c>
      <c r="AJ311" s="425" t="s">
        <v>762</v>
      </c>
      <c r="AK311" s="425">
        <f t="shared" si="324"/>
        <v>143.57249999999999</v>
      </c>
      <c r="AL311" s="425">
        <f t="shared" si="325"/>
        <v>121.581</v>
      </c>
      <c r="AM311" s="425" t="s">
        <v>762</v>
      </c>
      <c r="AN311" s="425">
        <f t="shared" si="326"/>
        <v>141.84450000000001</v>
      </c>
      <c r="AO311" s="425" t="s">
        <v>762</v>
      </c>
      <c r="AP311" s="425">
        <f t="shared" si="327"/>
        <v>162.108</v>
      </c>
      <c r="AQ311" s="425" t="s">
        <v>762</v>
      </c>
      <c r="AR311" s="425">
        <f t="shared" si="328"/>
        <v>182.3715</v>
      </c>
      <c r="AS311" s="425" t="s">
        <v>762</v>
      </c>
      <c r="AT311" s="425">
        <f t="shared" si="329"/>
        <v>220.65750000000003</v>
      </c>
      <c r="AU311" s="425" t="s">
        <v>762</v>
      </c>
      <c r="AV311" s="425" t="s">
        <v>762</v>
      </c>
      <c r="AW311" s="425" t="s">
        <v>762</v>
      </c>
      <c r="AX311" s="425" t="s">
        <v>762</v>
      </c>
      <c r="AY311" s="425" t="s">
        <v>762</v>
      </c>
      <c r="AZ311" s="425" t="s">
        <v>762</v>
      </c>
      <c r="BA311" s="425">
        <f t="shared" si="330"/>
        <v>290.28375</v>
      </c>
      <c r="BB311" s="425" t="s">
        <v>762</v>
      </c>
      <c r="BC311" s="425" t="s">
        <v>762</v>
      </c>
      <c r="BD311" s="425" t="s">
        <v>762</v>
      </c>
      <c r="BE311" s="425" t="s">
        <v>762</v>
      </c>
      <c r="BF311" s="425">
        <f t="shared" si="331"/>
        <v>396.63000000000005</v>
      </c>
      <c r="BG311" s="425" t="s">
        <v>762</v>
      </c>
      <c r="BH311" s="425" t="s">
        <v>762</v>
      </c>
      <c r="BI311" s="425">
        <f t="shared" si="332"/>
        <v>495.78750000000002</v>
      </c>
      <c r="BJ311" s="425" t="s">
        <v>762</v>
      </c>
      <c r="BK311" s="425" t="s">
        <v>762</v>
      </c>
      <c r="BL311" s="425">
        <f t="shared" si="333"/>
        <v>594.94500000000005</v>
      </c>
      <c r="BM311" s="425" t="s">
        <v>762</v>
      </c>
      <c r="BN311" s="425" t="s">
        <v>762</v>
      </c>
      <c r="BO311" s="425" t="s">
        <v>762</v>
      </c>
      <c r="BP311" s="425" t="s">
        <v>762</v>
      </c>
      <c r="BQ311" s="425" t="s">
        <v>762</v>
      </c>
      <c r="BR311" s="425" t="s">
        <v>762</v>
      </c>
      <c r="BS311" s="425" t="s">
        <v>762</v>
      </c>
      <c r="BT311" s="425" t="s">
        <v>762</v>
      </c>
      <c r="BU311" s="425" t="s">
        <v>762</v>
      </c>
      <c r="BV311" s="425" t="s">
        <v>762</v>
      </c>
      <c r="BW311" s="425" t="s">
        <v>762</v>
      </c>
      <c r="BX311" s="425" t="s">
        <v>762</v>
      </c>
      <c r="BY311" s="425" t="s">
        <v>762</v>
      </c>
      <c r="BZ311" s="425" t="s">
        <v>762</v>
      </c>
      <c r="CA311" s="425" t="s">
        <v>762</v>
      </c>
      <c r="CB311" s="425" t="s">
        <v>762</v>
      </c>
      <c r="CC311" s="425" t="s">
        <v>762</v>
      </c>
      <c r="CD311" s="425" t="s">
        <v>762</v>
      </c>
      <c r="CE311" s="425" t="s">
        <v>762</v>
      </c>
      <c r="CF311" s="425" t="s">
        <v>762</v>
      </c>
      <c r="CG311" s="424" t="s">
        <v>762</v>
      </c>
      <c r="CH311" s="425">
        <f t="shared" si="313"/>
        <v>57.429000000000002</v>
      </c>
      <c r="CI311" s="425">
        <f t="shared" si="341"/>
        <v>40.527000000000001</v>
      </c>
      <c r="CJ311" s="425">
        <f t="shared" si="342"/>
        <v>44.131500000000003</v>
      </c>
      <c r="CK311" s="425">
        <f t="shared" si="343"/>
        <v>38.704500000000003</v>
      </c>
      <c r="CL311" s="425">
        <f t="shared" si="344"/>
        <v>39.663000000000004</v>
      </c>
      <c r="CN311" s="438"/>
    </row>
    <row r="312" spans="1:92" s="426" customFormat="1">
      <c r="A312" s="424" t="s">
        <v>592</v>
      </c>
      <c r="B312" s="424" t="s">
        <v>630</v>
      </c>
      <c r="C312" s="425">
        <f t="shared" si="306"/>
        <v>47.48</v>
      </c>
      <c r="D312" s="425">
        <f t="shared" si="306"/>
        <v>47.48</v>
      </c>
      <c r="E312" s="425">
        <f t="shared" si="306"/>
        <v>47.48</v>
      </c>
      <c r="F312" s="425">
        <f t="shared" si="306"/>
        <v>47.48</v>
      </c>
      <c r="G312" s="425">
        <f t="shared" si="306"/>
        <v>47.48</v>
      </c>
      <c r="H312" s="425">
        <f t="shared" si="306"/>
        <v>47.48</v>
      </c>
      <c r="I312" s="425">
        <f t="shared" si="306"/>
        <v>47.48</v>
      </c>
      <c r="J312" s="425">
        <f t="shared" si="306"/>
        <v>47.48</v>
      </c>
      <c r="K312" s="425">
        <f t="shared" si="306"/>
        <v>47.48</v>
      </c>
      <c r="L312" s="425">
        <f t="shared" si="306"/>
        <v>47.48</v>
      </c>
      <c r="M312" s="425" t="s">
        <v>762</v>
      </c>
      <c r="N312" s="425" t="s">
        <v>762</v>
      </c>
      <c r="O312" s="425" t="s">
        <v>762</v>
      </c>
      <c r="P312" s="425" t="s">
        <v>762</v>
      </c>
      <c r="Q312" s="425" t="s">
        <v>762</v>
      </c>
      <c r="R312" s="425" t="s">
        <v>762</v>
      </c>
      <c r="S312" s="425" t="s">
        <v>762</v>
      </c>
      <c r="T312" s="425" t="s">
        <v>762</v>
      </c>
      <c r="U312" s="425" t="s">
        <v>762</v>
      </c>
      <c r="V312" s="425">
        <f t="shared" si="306"/>
        <v>47.48</v>
      </c>
      <c r="W312" s="425">
        <f t="shared" si="306"/>
        <v>47.48</v>
      </c>
      <c r="X312" s="425">
        <f t="shared" si="307"/>
        <v>55.48</v>
      </c>
      <c r="Y312" s="425">
        <f t="shared" si="308"/>
        <v>57.62</v>
      </c>
      <c r="Z312" s="425">
        <f t="shared" si="309"/>
        <v>63.56</v>
      </c>
      <c r="AA312" s="425">
        <f t="shared" si="310"/>
        <v>65.83</v>
      </c>
      <c r="AB312" s="425">
        <f t="shared" si="311"/>
        <v>68.099999999999994</v>
      </c>
      <c r="AC312" s="425">
        <f t="shared" ref="AC312:AD312" si="346">$I804</f>
        <v>70.39</v>
      </c>
      <c r="AD312" s="425">
        <f t="shared" si="346"/>
        <v>70.39</v>
      </c>
      <c r="AE312" s="425" t="s">
        <v>762</v>
      </c>
      <c r="AF312" s="425" t="s">
        <v>762</v>
      </c>
      <c r="AG312" s="425">
        <f t="shared" si="322"/>
        <v>85.293000000000006</v>
      </c>
      <c r="AH312" s="425" t="s">
        <v>762</v>
      </c>
      <c r="AI312" s="425">
        <f t="shared" si="323"/>
        <v>113.724</v>
      </c>
      <c r="AJ312" s="425" t="s">
        <v>762</v>
      </c>
      <c r="AK312" s="425">
        <f t="shared" si="324"/>
        <v>142.155</v>
      </c>
      <c r="AL312" s="425">
        <f t="shared" si="325"/>
        <v>120.40649999999999</v>
      </c>
      <c r="AM312" s="425" t="s">
        <v>762</v>
      </c>
      <c r="AN312" s="425">
        <f t="shared" si="326"/>
        <v>140.47425000000001</v>
      </c>
      <c r="AO312" s="425" t="s">
        <v>762</v>
      </c>
      <c r="AP312" s="425">
        <f t="shared" si="327"/>
        <v>160.542</v>
      </c>
      <c r="AQ312" s="425" t="s">
        <v>762</v>
      </c>
      <c r="AR312" s="425">
        <f t="shared" si="328"/>
        <v>180.60974999999999</v>
      </c>
      <c r="AS312" s="425" t="s">
        <v>762</v>
      </c>
      <c r="AT312" s="425">
        <f t="shared" si="329"/>
        <v>218.36250000000004</v>
      </c>
      <c r="AU312" s="425" t="s">
        <v>762</v>
      </c>
      <c r="AV312" s="425" t="s">
        <v>762</v>
      </c>
      <c r="AW312" s="425" t="s">
        <v>762</v>
      </c>
      <c r="AX312" s="425" t="s">
        <v>762</v>
      </c>
      <c r="AY312" s="425" t="s">
        <v>762</v>
      </c>
      <c r="AZ312" s="425" t="s">
        <v>762</v>
      </c>
      <c r="BA312" s="425">
        <f t="shared" si="330"/>
        <v>287.24625000000003</v>
      </c>
      <c r="BB312" s="425" t="s">
        <v>762</v>
      </c>
      <c r="BC312" s="425" t="s">
        <v>762</v>
      </c>
      <c r="BD312" s="425" t="s">
        <v>762</v>
      </c>
      <c r="BE312" s="425" t="s">
        <v>762</v>
      </c>
      <c r="BF312" s="425">
        <f t="shared" si="331"/>
        <v>392.58000000000004</v>
      </c>
      <c r="BG312" s="425" t="s">
        <v>762</v>
      </c>
      <c r="BH312" s="425" t="s">
        <v>762</v>
      </c>
      <c r="BI312" s="425">
        <f t="shared" si="332"/>
        <v>490.72500000000002</v>
      </c>
      <c r="BJ312" s="425" t="s">
        <v>762</v>
      </c>
      <c r="BK312" s="425" t="s">
        <v>762</v>
      </c>
      <c r="BL312" s="425">
        <f t="shared" si="333"/>
        <v>588.87</v>
      </c>
      <c r="BM312" s="425" t="s">
        <v>762</v>
      </c>
      <c r="BN312" s="425" t="s">
        <v>762</v>
      </c>
      <c r="BO312" s="425" t="s">
        <v>762</v>
      </c>
      <c r="BP312" s="425" t="s">
        <v>762</v>
      </c>
      <c r="BQ312" s="425" t="s">
        <v>762</v>
      </c>
      <c r="BR312" s="425" t="s">
        <v>762</v>
      </c>
      <c r="BS312" s="425" t="s">
        <v>762</v>
      </c>
      <c r="BT312" s="425" t="s">
        <v>762</v>
      </c>
      <c r="BU312" s="425" t="s">
        <v>762</v>
      </c>
      <c r="BV312" s="425" t="s">
        <v>762</v>
      </c>
      <c r="BW312" s="425" t="s">
        <v>762</v>
      </c>
      <c r="BX312" s="425" t="s">
        <v>762</v>
      </c>
      <c r="BY312" s="425" t="s">
        <v>762</v>
      </c>
      <c r="BZ312" s="425" t="s">
        <v>762</v>
      </c>
      <c r="CA312" s="425" t="s">
        <v>762</v>
      </c>
      <c r="CB312" s="425" t="s">
        <v>762</v>
      </c>
      <c r="CC312" s="425" t="s">
        <v>762</v>
      </c>
      <c r="CD312" s="425" t="s">
        <v>762</v>
      </c>
      <c r="CE312" s="425" t="s">
        <v>762</v>
      </c>
      <c r="CF312" s="425" t="s">
        <v>762</v>
      </c>
      <c r="CG312" s="424" t="s">
        <v>762</v>
      </c>
      <c r="CH312" s="425">
        <f t="shared" si="313"/>
        <v>56.862000000000002</v>
      </c>
      <c r="CI312" s="425">
        <f t="shared" si="341"/>
        <v>40.1355</v>
      </c>
      <c r="CJ312" s="425">
        <f t="shared" si="342"/>
        <v>43.672500000000007</v>
      </c>
      <c r="CK312" s="425">
        <f t="shared" si="343"/>
        <v>38.299500000000002</v>
      </c>
      <c r="CL312" s="425">
        <f t="shared" si="344"/>
        <v>39.258000000000003</v>
      </c>
      <c r="CN312" s="438"/>
    </row>
    <row r="313" spans="1:92" s="426" customFormat="1">
      <c r="A313" s="424" t="s">
        <v>593</v>
      </c>
      <c r="B313" s="424" t="s">
        <v>630</v>
      </c>
      <c r="C313" s="425">
        <f t="shared" si="306"/>
        <v>46.91</v>
      </c>
      <c r="D313" s="425">
        <f t="shared" si="306"/>
        <v>46.91</v>
      </c>
      <c r="E313" s="425">
        <f t="shared" si="306"/>
        <v>46.91</v>
      </c>
      <c r="F313" s="425">
        <f t="shared" si="306"/>
        <v>46.91</v>
      </c>
      <c r="G313" s="425">
        <f t="shared" si="306"/>
        <v>46.91</v>
      </c>
      <c r="H313" s="425">
        <f t="shared" si="306"/>
        <v>46.91</v>
      </c>
      <c r="I313" s="425">
        <f t="shared" si="306"/>
        <v>46.91</v>
      </c>
      <c r="J313" s="425">
        <f t="shared" si="306"/>
        <v>46.91</v>
      </c>
      <c r="K313" s="425">
        <f t="shared" si="306"/>
        <v>46.91</v>
      </c>
      <c r="L313" s="425">
        <f t="shared" ref="D313:W328" si="347">$B805</f>
        <v>46.91</v>
      </c>
      <c r="M313" s="425" t="s">
        <v>762</v>
      </c>
      <c r="N313" s="425" t="s">
        <v>762</v>
      </c>
      <c r="O313" s="425" t="s">
        <v>762</v>
      </c>
      <c r="P313" s="425" t="s">
        <v>762</v>
      </c>
      <c r="Q313" s="425" t="s">
        <v>762</v>
      </c>
      <c r="R313" s="425" t="s">
        <v>762</v>
      </c>
      <c r="S313" s="425" t="s">
        <v>762</v>
      </c>
      <c r="T313" s="425" t="s">
        <v>762</v>
      </c>
      <c r="U313" s="425" t="s">
        <v>762</v>
      </c>
      <c r="V313" s="425">
        <f t="shared" si="347"/>
        <v>46.91</v>
      </c>
      <c r="W313" s="425">
        <f t="shared" si="347"/>
        <v>46.91</v>
      </c>
      <c r="X313" s="425">
        <f t="shared" si="307"/>
        <v>54.81</v>
      </c>
      <c r="Y313" s="425">
        <f t="shared" si="308"/>
        <v>56.92</v>
      </c>
      <c r="Z313" s="425">
        <f t="shared" si="309"/>
        <v>62.75</v>
      </c>
      <c r="AA313" s="425">
        <f t="shared" si="310"/>
        <v>65.010000000000005</v>
      </c>
      <c r="AB313" s="425">
        <f t="shared" si="311"/>
        <v>67.239999999999995</v>
      </c>
      <c r="AC313" s="425">
        <f t="shared" ref="AC313:AD313" si="348">$I805</f>
        <v>69.489999999999995</v>
      </c>
      <c r="AD313" s="425">
        <f t="shared" si="348"/>
        <v>69.489999999999995</v>
      </c>
      <c r="AE313" s="425" t="s">
        <v>762</v>
      </c>
      <c r="AF313" s="425" t="s">
        <v>762</v>
      </c>
      <c r="AG313" s="425">
        <f t="shared" si="322"/>
        <v>84.219750000000019</v>
      </c>
      <c r="AH313" s="425" t="s">
        <v>762</v>
      </c>
      <c r="AI313" s="425">
        <f t="shared" si="323"/>
        <v>112.29300000000002</v>
      </c>
      <c r="AJ313" s="425" t="s">
        <v>762</v>
      </c>
      <c r="AK313" s="425">
        <f t="shared" si="324"/>
        <v>140.36625000000004</v>
      </c>
      <c r="AL313" s="425">
        <f t="shared" si="325"/>
        <v>118.86750000000001</v>
      </c>
      <c r="AM313" s="425" t="s">
        <v>762</v>
      </c>
      <c r="AN313" s="425">
        <f t="shared" si="326"/>
        <v>138.67875000000001</v>
      </c>
      <c r="AO313" s="425" t="s">
        <v>762</v>
      </c>
      <c r="AP313" s="425">
        <f t="shared" si="327"/>
        <v>158.49</v>
      </c>
      <c r="AQ313" s="425" t="s">
        <v>762</v>
      </c>
      <c r="AR313" s="425">
        <f t="shared" si="328"/>
        <v>178.30125000000001</v>
      </c>
      <c r="AS313" s="425" t="s">
        <v>762</v>
      </c>
      <c r="AT313" s="425">
        <f t="shared" si="329"/>
        <v>215.73000000000002</v>
      </c>
      <c r="AU313" s="425" t="s">
        <v>762</v>
      </c>
      <c r="AV313" s="425" t="s">
        <v>762</v>
      </c>
      <c r="AW313" s="425" t="s">
        <v>762</v>
      </c>
      <c r="AX313" s="425" t="s">
        <v>762</v>
      </c>
      <c r="AY313" s="425" t="s">
        <v>762</v>
      </c>
      <c r="AZ313" s="425" t="s">
        <v>762</v>
      </c>
      <c r="BA313" s="425">
        <f t="shared" si="330"/>
        <v>283.70250000000004</v>
      </c>
      <c r="BB313" s="425" t="s">
        <v>762</v>
      </c>
      <c r="BC313" s="425" t="s">
        <v>762</v>
      </c>
      <c r="BD313" s="425" t="s">
        <v>762</v>
      </c>
      <c r="BE313" s="425" t="s">
        <v>762</v>
      </c>
      <c r="BF313" s="425">
        <f t="shared" si="331"/>
        <v>387.58500000000004</v>
      </c>
      <c r="BG313" s="425" t="s">
        <v>762</v>
      </c>
      <c r="BH313" s="425" t="s">
        <v>762</v>
      </c>
      <c r="BI313" s="425">
        <f t="shared" si="332"/>
        <v>484.48125000000005</v>
      </c>
      <c r="BJ313" s="425" t="s">
        <v>762</v>
      </c>
      <c r="BK313" s="425" t="s">
        <v>762</v>
      </c>
      <c r="BL313" s="425">
        <f t="shared" si="333"/>
        <v>581.37750000000005</v>
      </c>
      <c r="BM313" s="425" t="s">
        <v>762</v>
      </c>
      <c r="BN313" s="425" t="s">
        <v>762</v>
      </c>
      <c r="BO313" s="425" t="s">
        <v>762</v>
      </c>
      <c r="BP313" s="425" t="s">
        <v>762</v>
      </c>
      <c r="BQ313" s="425" t="s">
        <v>762</v>
      </c>
      <c r="BR313" s="425" t="s">
        <v>762</v>
      </c>
      <c r="BS313" s="425" t="s">
        <v>762</v>
      </c>
      <c r="BT313" s="425" t="s">
        <v>762</v>
      </c>
      <c r="BU313" s="425" t="s">
        <v>762</v>
      </c>
      <c r="BV313" s="425" t="s">
        <v>762</v>
      </c>
      <c r="BW313" s="425" t="s">
        <v>762</v>
      </c>
      <c r="BX313" s="425" t="s">
        <v>762</v>
      </c>
      <c r="BY313" s="425" t="s">
        <v>762</v>
      </c>
      <c r="BZ313" s="425" t="s">
        <v>762</v>
      </c>
      <c r="CA313" s="425" t="s">
        <v>762</v>
      </c>
      <c r="CB313" s="425" t="s">
        <v>762</v>
      </c>
      <c r="CC313" s="425" t="s">
        <v>762</v>
      </c>
      <c r="CD313" s="425" t="s">
        <v>762</v>
      </c>
      <c r="CE313" s="425" t="s">
        <v>762</v>
      </c>
      <c r="CF313" s="425" t="s">
        <v>762</v>
      </c>
      <c r="CG313" s="424" t="s">
        <v>762</v>
      </c>
      <c r="CH313" s="425">
        <f t="shared" si="313"/>
        <v>56.14650000000001</v>
      </c>
      <c r="CI313" s="425">
        <f t="shared" si="341"/>
        <v>39.622500000000002</v>
      </c>
      <c r="CJ313" s="425">
        <f t="shared" si="342"/>
        <v>43.146000000000001</v>
      </c>
      <c r="CK313" s="425">
        <f t="shared" si="343"/>
        <v>37.827000000000005</v>
      </c>
      <c r="CL313" s="425">
        <f t="shared" si="344"/>
        <v>38.758500000000005</v>
      </c>
      <c r="CN313" s="438"/>
    </row>
    <row r="314" spans="1:92" s="426" customFormat="1">
      <c r="A314" s="424" t="s">
        <v>594</v>
      </c>
      <c r="B314" s="424" t="s">
        <v>630</v>
      </c>
      <c r="C314" s="425">
        <f t="shared" si="306"/>
        <v>45.33</v>
      </c>
      <c r="D314" s="425">
        <f t="shared" si="347"/>
        <v>45.33</v>
      </c>
      <c r="E314" s="425">
        <f t="shared" si="347"/>
        <v>45.33</v>
      </c>
      <c r="F314" s="425">
        <f t="shared" si="347"/>
        <v>45.33</v>
      </c>
      <c r="G314" s="425">
        <f t="shared" si="347"/>
        <v>45.33</v>
      </c>
      <c r="H314" s="425">
        <f t="shared" si="347"/>
        <v>45.33</v>
      </c>
      <c r="I314" s="425">
        <f t="shared" si="347"/>
        <v>45.33</v>
      </c>
      <c r="J314" s="425">
        <f t="shared" si="347"/>
        <v>45.33</v>
      </c>
      <c r="K314" s="425">
        <f t="shared" si="347"/>
        <v>45.33</v>
      </c>
      <c r="L314" s="425">
        <f t="shared" si="347"/>
        <v>45.33</v>
      </c>
      <c r="M314" s="425" t="s">
        <v>762</v>
      </c>
      <c r="N314" s="425" t="s">
        <v>762</v>
      </c>
      <c r="O314" s="425" t="s">
        <v>762</v>
      </c>
      <c r="P314" s="425" t="s">
        <v>762</v>
      </c>
      <c r="Q314" s="425" t="s">
        <v>762</v>
      </c>
      <c r="R314" s="425" t="s">
        <v>762</v>
      </c>
      <c r="S314" s="425" t="s">
        <v>762</v>
      </c>
      <c r="T314" s="425" t="s">
        <v>762</v>
      </c>
      <c r="U314" s="425" t="s">
        <v>762</v>
      </c>
      <c r="V314" s="425">
        <f t="shared" si="347"/>
        <v>45.33</v>
      </c>
      <c r="W314" s="425">
        <f t="shared" si="347"/>
        <v>45.33</v>
      </c>
      <c r="X314" s="425">
        <f t="shared" si="307"/>
        <v>52.97</v>
      </c>
      <c r="Y314" s="425">
        <f t="shared" si="308"/>
        <v>55</v>
      </c>
      <c r="Z314" s="425">
        <f t="shared" si="309"/>
        <v>60.49</v>
      </c>
      <c r="AA314" s="425">
        <f t="shared" si="310"/>
        <v>62.63</v>
      </c>
      <c r="AB314" s="425">
        <f t="shared" si="311"/>
        <v>64.8</v>
      </c>
      <c r="AC314" s="425">
        <f t="shared" ref="AC314:AD314" si="349">$I806</f>
        <v>66.97</v>
      </c>
      <c r="AD314" s="425">
        <f t="shared" si="349"/>
        <v>66.97</v>
      </c>
      <c r="AE314" s="425" t="s">
        <v>762</v>
      </c>
      <c r="AF314" s="425" t="s">
        <v>762</v>
      </c>
      <c r="AG314" s="425">
        <f t="shared" si="322"/>
        <v>81.141750000000002</v>
      </c>
      <c r="AH314" s="425" t="s">
        <v>762</v>
      </c>
      <c r="AI314" s="425">
        <f t="shared" si="323"/>
        <v>108.18900000000001</v>
      </c>
      <c r="AJ314" s="425" t="s">
        <v>762</v>
      </c>
      <c r="AK314" s="425">
        <f t="shared" si="324"/>
        <v>135.23625000000001</v>
      </c>
      <c r="AL314" s="425">
        <f t="shared" si="325"/>
        <v>114.49350000000001</v>
      </c>
      <c r="AM314" s="425" t="s">
        <v>762</v>
      </c>
      <c r="AN314" s="425">
        <f t="shared" si="326"/>
        <v>133.57575000000003</v>
      </c>
      <c r="AO314" s="425" t="s">
        <v>762</v>
      </c>
      <c r="AP314" s="425">
        <f t="shared" si="327"/>
        <v>152.65800000000002</v>
      </c>
      <c r="AQ314" s="425" t="s">
        <v>762</v>
      </c>
      <c r="AR314" s="425">
        <f t="shared" si="328"/>
        <v>171.74025</v>
      </c>
      <c r="AS314" s="425" t="s">
        <v>762</v>
      </c>
      <c r="AT314" s="425">
        <f t="shared" si="329"/>
        <v>207.83250000000004</v>
      </c>
      <c r="AU314" s="425" t="s">
        <v>762</v>
      </c>
      <c r="AV314" s="425" t="s">
        <v>762</v>
      </c>
      <c r="AW314" s="425" t="s">
        <v>762</v>
      </c>
      <c r="AX314" s="425" t="s">
        <v>762</v>
      </c>
      <c r="AY314" s="425" t="s">
        <v>762</v>
      </c>
      <c r="AZ314" s="425" t="s">
        <v>762</v>
      </c>
      <c r="BA314" s="425">
        <f t="shared" si="330"/>
        <v>273.47625000000005</v>
      </c>
      <c r="BB314" s="425" t="s">
        <v>762</v>
      </c>
      <c r="BC314" s="425" t="s">
        <v>762</v>
      </c>
      <c r="BD314" s="425" t="s">
        <v>762</v>
      </c>
      <c r="BE314" s="425" t="s">
        <v>762</v>
      </c>
      <c r="BF314" s="425">
        <f t="shared" si="331"/>
        <v>373.27499999999998</v>
      </c>
      <c r="BG314" s="425" t="s">
        <v>762</v>
      </c>
      <c r="BH314" s="425" t="s">
        <v>762</v>
      </c>
      <c r="BI314" s="425">
        <f t="shared" si="332"/>
        <v>466.59375</v>
      </c>
      <c r="BJ314" s="425" t="s">
        <v>762</v>
      </c>
      <c r="BK314" s="425" t="s">
        <v>762</v>
      </c>
      <c r="BL314" s="425">
        <f t="shared" si="333"/>
        <v>559.91250000000002</v>
      </c>
      <c r="BM314" s="425" t="s">
        <v>762</v>
      </c>
      <c r="BN314" s="425" t="s">
        <v>762</v>
      </c>
      <c r="BO314" s="425" t="s">
        <v>762</v>
      </c>
      <c r="BP314" s="425" t="s">
        <v>762</v>
      </c>
      <c r="BQ314" s="425" t="s">
        <v>762</v>
      </c>
      <c r="BR314" s="425" t="s">
        <v>762</v>
      </c>
      <c r="BS314" s="425" t="s">
        <v>762</v>
      </c>
      <c r="BT314" s="425" t="s">
        <v>762</v>
      </c>
      <c r="BU314" s="425" t="s">
        <v>762</v>
      </c>
      <c r="BV314" s="425" t="s">
        <v>762</v>
      </c>
      <c r="BW314" s="425" t="s">
        <v>762</v>
      </c>
      <c r="BX314" s="425" t="s">
        <v>762</v>
      </c>
      <c r="BY314" s="425" t="s">
        <v>762</v>
      </c>
      <c r="BZ314" s="425" t="s">
        <v>762</v>
      </c>
      <c r="CA314" s="425" t="s">
        <v>762</v>
      </c>
      <c r="CB314" s="425" t="s">
        <v>762</v>
      </c>
      <c r="CC314" s="425" t="s">
        <v>762</v>
      </c>
      <c r="CD314" s="425" t="s">
        <v>762</v>
      </c>
      <c r="CE314" s="425" t="s">
        <v>762</v>
      </c>
      <c r="CF314" s="425" t="s">
        <v>762</v>
      </c>
      <c r="CG314" s="424" t="s">
        <v>762</v>
      </c>
      <c r="CH314" s="425">
        <f t="shared" si="313"/>
        <v>54.094500000000004</v>
      </c>
      <c r="CI314" s="425">
        <f t="shared" si="341"/>
        <v>38.164500000000004</v>
      </c>
      <c r="CJ314" s="425">
        <f t="shared" si="342"/>
        <v>41.566500000000005</v>
      </c>
      <c r="CK314" s="425">
        <f t="shared" si="343"/>
        <v>36.463500000000003</v>
      </c>
      <c r="CL314" s="425">
        <f t="shared" si="344"/>
        <v>37.327500000000001</v>
      </c>
      <c r="CN314" s="438"/>
    </row>
    <row r="315" spans="1:92" s="426" customFormat="1">
      <c r="A315" s="424" t="s">
        <v>595</v>
      </c>
      <c r="B315" s="424" t="s">
        <v>630</v>
      </c>
      <c r="C315" s="425">
        <f t="shared" si="306"/>
        <v>43.36</v>
      </c>
      <c r="D315" s="425">
        <f t="shared" si="347"/>
        <v>43.36</v>
      </c>
      <c r="E315" s="425">
        <f t="shared" si="347"/>
        <v>43.36</v>
      </c>
      <c r="F315" s="425">
        <f t="shared" si="347"/>
        <v>43.36</v>
      </c>
      <c r="G315" s="425">
        <f t="shared" si="347"/>
        <v>43.36</v>
      </c>
      <c r="H315" s="425">
        <f t="shared" si="347"/>
        <v>43.36</v>
      </c>
      <c r="I315" s="425">
        <f t="shared" si="347"/>
        <v>43.36</v>
      </c>
      <c r="J315" s="425">
        <f t="shared" si="347"/>
        <v>43.36</v>
      </c>
      <c r="K315" s="425">
        <f t="shared" si="347"/>
        <v>43.36</v>
      </c>
      <c r="L315" s="425">
        <f t="shared" si="347"/>
        <v>43.36</v>
      </c>
      <c r="M315" s="425" t="s">
        <v>762</v>
      </c>
      <c r="N315" s="425" t="s">
        <v>762</v>
      </c>
      <c r="O315" s="425" t="s">
        <v>762</v>
      </c>
      <c r="P315" s="425" t="s">
        <v>762</v>
      </c>
      <c r="Q315" s="425" t="s">
        <v>762</v>
      </c>
      <c r="R315" s="425" t="s">
        <v>762</v>
      </c>
      <c r="S315" s="425" t="s">
        <v>762</v>
      </c>
      <c r="T315" s="425" t="s">
        <v>762</v>
      </c>
      <c r="U315" s="425" t="s">
        <v>762</v>
      </c>
      <c r="V315" s="425">
        <f t="shared" si="347"/>
        <v>43.36</v>
      </c>
      <c r="W315" s="425">
        <f t="shared" si="347"/>
        <v>43.36</v>
      </c>
      <c r="X315" s="425">
        <f t="shared" si="307"/>
        <v>50.68</v>
      </c>
      <c r="Y315" s="425">
        <f t="shared" si="308"/>
        <v>52.62</v>
      </c>
      <c r="Z315" s="425">
        <f t="shared" si="309"/>
        <v>57.67</v>
      </c>
      <c r="AA315" s="425">
        <f t="shared" si="310"/>
        <v>59.73</v>
      </c>
      <c r="AB315" s="425">
        <f t="shared" si="311"/>
        <v>61.81</v>
      </c>
      <c r="AC315" s="425">
        <f t="shared" ref="AC315:AD315" si="350">$I807</f>
        <v>63.87</v>
      </c>
      <c r="AD315" s="425">
        <f t="shared" si="350"/>
        <v>63.87</v>
      </c>
      <c r="AE315" s="425" t="s">
        <v>762</v>
      </c>
      <c r="AF315" s="425" t="s">
        <v>762</v>
      </c>
      <c r="AG315" s="425">
        <f t="shared" si="322"/>
        <v>77.415750000000003</v>
      </c>
      <c r="AH315" s="425" t="s">
        <v>762</v>
      </c>
      <c r="AI315" s="425">
        <f t="shared" si="323"/>
        <v>103.221</v>
      </c>
      <c r="AJ315" s="425" t="s">
        <v>762</v>
      </c>
      <c r="AK315" s="425">
        <f t="shared" si="324"/>
        <v>129.02625</v>
      </c>
      <c r="AL315" s="425">
        <f t="shared" si="325"/>
        <v>109.26900000000001</v>
      </c>
      <c r="AM315" s="425" t="s">
        <v>762</v>
      </c>
      <c r="AN315" s="425">
        <f t="shared" si="326"/>
        <v>127.48050000000001</v>
      </c>
      <c r="AO315" s="425" t="s">
        <v>762</v>
      </c>
      <c r="AP315" s="425">
        <f t="shared" si="327"/>
        <v>145.69200000000001</v>
      </c>
      <c r="AQ315" s="425" t="s">
        <v>762</v>
      </c>
      <c r="AR315" s="425">
        <f t="shared" si="328"/>
        <v>163.90350000000001</v>
      </c>
      <c r="AS315" s="425" t="s">
        <v>762</v>
      </c>
      <c r="AT315" s="425">
        <f t="shared" si="329"/>
        <v>198.31500000000003</v>
      </c>
      <c r="AU315" s="425" t="s">
        <v>762</v>
      </c>
      <c r="AV315" s="425" t="s">
        <v>762</v>
      </c>
      <c r="AW315" s="425" t="s">
        <v>762</v>
      </c>
      <c r="AX315" s="425" t="s">
        <v>762</v>
      </c>
      <c r="AY315" s="425" t="s">
        <v>762</v>
      </c>
      <c r="AZ315" s="425" t="s">
        <v>762</v>
      </c>
      <c r="BA315" s="425">
        <f t="shared" si="330"/>
        <v>260.61750000000001</v>
      </c>
      <c r="BB315" s="425" t="s">
        <v>762</v>
      </c>
      <c r="BC315" s="425" t="s">
        <v>762</v>
      </c>
      <c r="BD315" s="425" t="s">
        <v>762</v>
      </c>
      <c r="BE315" s="425" t="s">
        <v>762</v>
      </c>
      <c r="BF315" s="425">
        <f t="shared" si="331"/>
        <v>356.4</v>
      </c>
      <c r="BG315" s="425" t="s">
        <v>762</v>
      </c>
      <c r="BH315" s="425" t="s">
        <v>762</v>
      </c>
      <c r="BI315" s="425">
        <f t="shared" si="332"/>
        <v>445.5</v>
      </c>
      <c r="BJ315" s="425" t="s">
        <v>762</v>
      </c>
      <c r="BK315" s="425" t="s">
        <v>762</v>
      </c>
      <c r="BL315" s="425">
        <f t="shared" si="333"/>
        <v>534.6</v>
      </c>
      <c r="BM315" s="425" t="s">
        <v>762</v>
      </c>
      <c r="BN315" s="425" t="s">
        <v>762</v>
      </c>
      <c r="BO315" s="425" t="s">
        <v>762</v>
      </c>
      <c r="BP315" s="425" t="s">
        <v>762</v>
      </c>
      <c r="BQ315" s="425" t="s">
        <v>762</v>
      </c>
      <c r="BR315" s="425" t="s">
        <v>762</v>
      </c>
      <c r="BS315" s="425" t="s">
        <v>762</v>
      </c>
      <c r="BT315" s="425" t="s">
        <v>762</v>
      </c>
      <c r="BU315" s="425" t="s">
        <v>762</v>
      </c>
      <c r="BV315" s="425" t="s">
        <v>762</v>
      </c>
      <c r="BW315" s="425" t="s">
        <v>762</v>
      </c>
      <c r="BX315" s="425" t="s">
        <v>762</v>
      </c>
      <c r="BY315" s="425" t="s">
        <v>762</v>
      </c>
      <c r="BZ315" s="425" t="s">
        <v>762</v>
      </c>
      <c r="CA315" s="425" t="s">
        <v>762</v>
      </c>
      <c r="CB315" s="425" t="s">
        <v>762</v>
      </c>
      <c r="CC315" s="425" t="s">
        <v>762</v>
      </c>
      <c r="CD315" s="425" t="s">
        <v>762</v>
      </c>
      <c r="CE315" s="425" t="s">
        <v>762</v>
      </c>
      <c r="CF315" s="425" t="s">
        <v>762</v>
      </c>
      <c r="CG315" s="424" t="s">
        <v>762</v>
      </c>
      <c r="CH315" s="425">
        <f t="shared" si="313"/>
        <v>51.610500000000002</v>
      </c>
      <c r="CI315" s="425">
        <f t="shared" si="341"/>
        <v>36.423000000000002</v>
      </c>
      <c r="CJ315" s="425">
        <f t="shared" si="342"/>
        <v>39.663000000000004</v>
      </c>
      <c r="CK315" s="425">
        <f t="shared" si="343"/>
        <v>34.749000000000002</v>
      </c>
      <c r="CL315" s="425">
        <f t="shared" si="344"/>
        <v>35.64</v>
      </c>
      <c r="CN315" s="438"/>
    </row>
    <row r="316" spans="1:92" s="426" customFormat="1">
      <c r="A316" s="424" t="s">
        <v>596</v>
      </c>
      <c r="B316" s="424" t="s">
        <v>630</v>
      </c>
      <c r="C316" s="425">
        <f t="shared" si="306"/>
        <v>30.46</v>
      </c>
      <c r="D316" s="425">
        <f t="shared" si="347"/>
        <v>30.46</v>
      </c>
      <c r="E316" s="425">
        <f t="shared" si="347"/>
        <v>30.46</v>
      </c>
      <c r="F316" s="425">
        <f t="shared" si="347"/>
        <v>30.46</v>
      </c>
      <c r="G316" s="425">
        <f t="shared" si="347"/>
        <v>30.46</v>
      </c>
      <c r="H316" s="425">
        <f t="shared" si="347"/>
        <v>30.46</v>
      </c>
      <c r="I316" s="425">
        <f t="shared" si="347"/>
        <v>30.46</v>
      </c>
      <c r="J316" s="425">
        <f t="shared" si="347"/>
        <v>30.46</v>
      </c>
      <c r="K316" s="425">
        <f t="shared" si="347"/>
        <v>30.46</v>
      </c>
      <c r="L316" s="425">
        <f t="shared" si="347"/>
        <v>30.46</v>
      </c>
      <c r="M316" s="425" t="s">
        <v>762</v>
      </c>
      <c r="N316" s="425" t="s">
        <v>762</v>
      </c>
      <c r="O316" s="425" t="s">
        <v>762</v>
      </c>
      <c r="P316" s="425" t="s">
        <v>762</v>
      </c>
      <c r="Q316" s="425" t="s">
        <v>762</v>
      </c>
      <c r="R316" s="425" t="s">
        <v>762</v>
      </c>
      <c r="S316" s="425" t="s">
        <v>762</v>
      </c>
      <c r="T316" s="425" t="s">
        <v>762</v>
      </c>
      <c r="U316" s="425" t="s">
        <v>762</v>
      </c>
      <c r="V316" s="425">
        <f t="shared" si="347"/>
        <v>30.46</v>
      </c>
      <c r="W316" s="425">
        <f t="shared" si="347"/>
        <v>30.46</v>
      </c>
      <c r="X316" s="425">
        <f t="shared" si="307"/>
        <v>35.58</v>
      </c>
      <c r="Y316" s="425">
        <f t="shared" si="308"/>
        <v>36.97</v>
      </c>
      <c r="Z316" s="425">
        <f t="shared" si="309"/>
        <v>39.22</v>
      </c>
      <c r="AA316" s="425">
        <f t="shared" si="310"/>
        <v>40.630000000000003</v>
      </c>
      <c r="AB316" s="425">
        <f t="shared" si="311"/>
        <v>42.04</v>
      </c>
      <c r="AC316" s="425">
        <f t="shared" ref="AC316:AD316" si="351">$I808</f>
        <v>43.43</v>
      </c>
      <c r="AD316" s="425">
        <f t="shared" si="351"/>
        <v>43.43</v>
      </c>
      <c r="AE316" s="425" t="s">
        <v>762</v>
      </c>
      <c r="AF316" s="425" t="s">
        <v>762</v>
      </c>
      <c r="AG316" s="425">
        <f t="shared" si="322"/>
        <v>52.629750000000001</v>
      </c>
      <c r="AH316" s="425" t="s">
        <v>762</v>
      </c>
      <c r="AI316" s="425">
        <f t="shared" si="323"/>
        <v>70.173000000000002</v>
      </c>
      <c r="AJ316" s="425" t="s">
        <v>762</v>
      </c>
      <c r="AK316" s="425">
        <f t="shared" si="324"/>
        <v>87.716250000000002</v>
      </c>
      <c r="AL316" s="425">
        <f t="shared" si="325"/>
        <v>74.31750000000001</v>
      </c>
      <c r="AM316" s="425" t="s">
        <v>762</v>
      </c>
      <c r="AN316" s="425">
        <f t="shared" si="326"/>
        <v>86.703750000000014</v>
      </c>
      <c r="AO316" s="425" t="s">
        <v>762</v>
      </c>
      <c r="AP316" s="425">
        <f t="shared" si="327"/>
        <v>99.090000000000018</v>
      </c>
      <c r="AQ316" s="425" t="s">
        <v>762</v>
      </c>
      <c r="AR316" s="425">
        <f t="shared" si="328"/>
        <v>111.47625000000002</v>
      </c>
      <c r="AS316" s="425" t="s">
        <v>762</v>
      </c>
      <c r="AT316" s="425">
        <f t="shared" si="329"/>
        <v>134.86500000000001</v>
      </c>
      <c r="AU316" s="425" t="s">
        <v>762</v>
      </c>
      <c r="AV316" s="425" t="s">
        <v>762</v>
      </c>
      <c r="AW316" s="425" t="s">
        <v>762</v>
      </c>
      <c r="AX316" s="425" t="s">
        <v>762</v>
      </c>
      <c r="AY316" s="425" t="s">
        <v>762</v>
      </c>
      <c r="AZ316" s="425" t="s">
        <v>762</v>
      </c>
      <c r="BA316" s="425">
        <f t="shared" si="330"/>
        <v>177.1875</v>
      </c>
      <c r="BB316" s="425" t="s">
        <v>762</v>
      </c>
      <c r="BC316" s="425" t="s">
        <v>762</v>
      </c>
      <c r="BD316" s="425" t="s">
        <v>762</v>
      </c>
      <c r="BE316" s="425" t="s">
        <v>762</v>
      </c>
      <c r="BF316" s="425">
        <f t="shared" si="331"/>
        <v>242.32500000000002</v>
      </c>
      <c r="BG316" s="425" t="s">
        <v>762</v>
      </c>
      <c r="BH316" s="425" t="s">
        <v>762</v>
      </c>
      <c r="BI316" s="425">
        <f t="shared" si="332"/>
        <v>302.90625</v>
      </c>
      <c r="BJ316" s="425" t="s">
        <v>762</v>
      </c>
      <c r="BK316" s="425" t="s">
        <v>762</v>
      </c>
      <c r="BL316" s="425">
        <f t="shared" si="333"/>
        <v>363.48750000000001</v>
      </c>
      <c r="BM316" s="425" t="s">
        <v>762</v>
      </c>
      <c r="BN316" s="425" t="s">
        <v>762</v>
      </c>
      <c r="BO316" s="425" t="s">
        <v>762</v>
      </c>
      <c r="BP316" s="425" t="s">
        <v>762</v>
      </c>
      <c r="BQ316" s="425" t="s">
        <v>762</v>
      </c>
      <c r="BR316" s="425" t="s">
        <v>762</v>
      </c>
      <c r="BS316" s="425" t="s">
        <v>762</v>
      </c>
      <c r="BT316" s="425" t="s">
        <v>762</v>
      </c>
      <c r="BU316" s="425" t="s">
        <v>762</v>
      </c>
      <c r="BV316" s="425" t="s">
        <v>762</v>
      </c>
      <c r="BW316" s="425" t="s">
        <v>762</v>
      </c>
      <c r="BX316" s="425" t="s">
        <v>762</v>
      </c>
      <c r="BY316" s="425" t="s">
        <v>762</v>
      </c>
      <c r="BZ316" s="425" t="s">
        <v>762</v>
      </c>
      <c r="CA316" s="425" t="s">
        <v>762</v>
      </c>
      <c r="CB316" s="425" t="s">
        <v>762</v>
      </c>
      <c r="CC316" s="425" t="s">
        <v>762</v>
      </c>
      <c r="CD316" s="425" t="s">
        <v>762</v>
      </c>
      <c r="CE316" s="425" t="s">
        <v>762</v>
      </c>
      <c r="CF316" s="425" t="s">
        <v>762</v>
      </c>
      <c r="CG316" s="424" t="s">
        <v>762</v>
      </c>
      <c r="CH316" s="425">
        <f t="shared" si="313"/>
        <v>35.086500000000001</v>
      </c>
      <c r="CI316" s="425">
        <f t="shared" si="341"/>
        <v>24.772500000000004</v>
      </c>
      <c r="CJ316" s="425">
        <f t="shared" si="342"/>
        <v>26.973000000000003</v>
      </c>
      <c r="CK316" s="425">
        <f t="shared" si="343"/>
        <v>23.625</v>
      </c>
      <c r="CL316" s="425">
        <f t="shared" si="344"/>
        <v>24.232500000000002</v>
      </c>
      <c r="CN316" s="438"/>
    </row>
    <row r="317" spans="1:92" s="426" customFormat="1">
      <c r="A317" s="424" t="s">
        <v>597</v>
      </c>
      <c r="B317" s="424" t="s">
        <v>630</v>
      </c>
      <c r="C317" s="425">
        <f t="shared" si="306"/>
        <v>50.44</v>
      </c>
      <c r="D317" s="425">
        <f t="shared" si="347"/>
        <v>50.44</v>
      </c>
      <c r="E317" s="425">
        <f t="shared" si="347"/>
        <v>50.44</v>
      </c>
      <c r="F317" s="425">
        <f t="shared" si="347"/>
        <v>50.44</v>
      </c>
      <c r="G317" s="425">
        <f t="shared" si="347"/>
        <v>50.44</v>
      </c>
      <c r="H317" s="425">
        <f t="shared" si="347"/>
        <v>50.44</v>
      </c>
      <c r="I317" s="425">
        <f t="shared" si="347"/>
        <v>50.44</v>
      </c>
      <c r="J317" s="425">
        <f t="shared" si="347"/>
        <v>50.44</v>
      </c>
      <c r="K317" s="425">
        <f t="shared" si="347"/>
        <v>50.44</v>
      </c>
      <c r="L317" s="425">
        <f t="shared" si="347"/>
        <v>50.44</v>
      </c>
      <c r="M317" s="425" t="s">
        <v>762</v>
      </c>
      <c r="N317" s="425" t="s">
        <v>762</v>
      </c>
      <c r="O317" s="425" t="s">
        <v>762</v>
      </c>
      <c r="P317" s="425" t="s">
        <v>762</v>
      </c>
      <c r="Q317" s="425" t="s">
        <v>762</v>
      </c>
      <c r="R317" s="425" t="s">
        <v>762</v>
      </c>
      <c r="S317" s="425" t="s">
        <v>762</v>
      </c>
      <c r="T317" s="425" t="s">
        <v>762</v>
      </c>
      <c r="U317" s="425" t="s">
        <v>762</v>
      </c>
      <c r="V317" s="425">
        <f t="shared" si="347"/>
        <v>50.44</v>
      </c>
      <c r="W317" s="425">
        <f t="shared" si="347"/>
        <v>50.44</v>
      </c>
      <c r="X317" s="425">
        <f t="shared" si="307"/>
        <v>58.94</v>
      </c>
      <c r="Y317" s="425">
        <f t="shared" si="308"/>
        <v>61.21</v>
      </c>
      <c r="Z317" s="425">
        <f t="shared" si="309"/>
        <v>67.81</v>
      </c>
      <c r="AA317" s="425">
        <f t="shared" si="310"/>
        <v>70.23</v>
      </c>
      <c r="AB317" s="425">
        <f t="shared" si="311"/>
        <v>72.650000000000006</v>
      </c>
      <c r="AC317" s="425">
        <f t="shared" ref="AC317:AD317" si="352">$I809</f>
        <v>75.09</v>
      </c>
      <c r="AD317" s="425">
        <f t="shared" si="352"/>
        <v>75.09</v>
      </c>
      <c r="AE317" s="425" t="s">
        <v>762</v>
      </c>
      <c r="AF317" s="425" t="s">
        <v>762</v>
      </c>
      <c r="AG317" s="425">
        <f t="shared" si="322"/>
        <v>91.003500000000003</v>
      </c>
      <c r="AH317" s="425" t="s">
        <v>762</v>
      </c>
      <c r="AI317" s="425">
        <f t="shared" si="323"/>
        <v>121.33800000000001</v>
      </c>
      <c r="AJ317" s="425" t="s">
        <v>762</v>
      </c>
      <c r="AK317" s="425">
        <f t="shared" si="324"/>
        <v>151.67250000000001</v>
      </c>
      <c r="AL317" s="425">
        <f t="shared" si="325"/>
        <v>128.4255</v>
      </c>
      <c r="AM317" s="425" t="s">
        <v>762</v>
      </c>
      <c r="AN317" s="425">
        <f t="shared" si="326"/>
        <v>149.82975000000002</v>
      </c>
      <c r="AO317" s="425" t="s">
        <v>762</v>
      </c>
      <c r="AP317" s="425">
        <f t="shared" si="327"/>
        <v>171.23400000000001</v>
      </c>
      <c r="AQ317" s="425" t="s">
        <v>762</v>
      </c>
      <c r="AR317" s="425">
        <f t="shared" si="328"/>
        <v>192.63825</v>
      </c>
      <c r="AS317" s="425" t="s">
        <v>762</v>
      </c>
      <c r="AT317" s="425">
        <f t="shared" si="329"/>
        <v>233.01000000000002</v>
      </c>
      <c r="AU317" s="425" t="s">
        <v>762</v>
      </c>
      <c r="AV317" s="425" t="s">
        <v>762</v>
      </c>
      <c r="AW317" s="425" t="s">
        <v>762</v>
      </c>
      <c r="AX317" s="425" t="s">
        <v>762</v>
      </c>
      <c r="AY317" s="425" t="s">
        <v>762</v>
      </c>
      <c r="AZ317" s="425" t="s">
        <v>762</v>
      </c>
      <c r="BA317" s="425">
        <f t="shared" si="330"/>
        <v>306.58500000000004</v>
      </c>
      <c r="BB317" s="425" t="s">
        <v>762</v>
      </c>
      <c r="BC317" s="425" t="s">
        <v>762</v>
      </c>
      <c r="BD317" s="425" t="s">
        <v>762</v>
      </c>
      <c r="BE317" s="425" t="s">
        <v>762</v>
      </c>
      <c r="BF317" s="425">
        <f t="shared" si="331"/>
        <v>418.5</v>
      </c>
      <c r="BG317" s="425" t="s">
        <v>762</v>
      </c>
      <c r="BH317" s="425" t="s">
        <v>762</v>
      </c>
      <c r="BI317" s="425">
        <f t="shared" si="332"/>
        <v>523.125</v>
      </c>
      <c r="BJ317" s="425" t="s">
        <v>762</v>
      </c>
      <c r="BK317" s="425" t="s">
        <v>762</v>
      </c>
      <c r="BL317" s="425">
        <f t="shared" si="333"/>
        <v>627.75</v>
      </c>
      <c r="BM317" s="425" t="s">
        <v>762</v>
      </c>
      <c r="BN317" s="425" t="s">
        <v>762</v>
      </c>
      <c r="BO317" s="425" t="s">
        <v>762</v>
      </c>
      <c r="BP317" s="425" t="s">
        <v>762</v>
      </c>
      <c r="BQ317" s="425" t="s">
        <v>762</v>
      </c>
      <c r="BR317" s="425" t="s">
        <v>762</v>
      </c>
      <c r="BS317" s="425" t="s">
        <v>762</v>
      </c>
      <c r="BT317" s="425" t="s">
        <v>762</v>
      </c>
      <c r="BU317" s="425" t="s">
        <v>762</v>
      </c>
      <c r="BV317" s="425" t="s">
        <v>762</v>
      </c>
      <c r="BW317" s="425" t="s">
        <v>762</v>
      </c>
      <c r="BX317" s="425" t="s">
        <v>762</v>
      </c>
      <c r="BY317" s="425" t="s">
        <v>762</v>
      </c>
      <c r="BZ317" s="425" t="s">
        <v>762</v>
      </c>
      <c r="CA317" s="425" t="s">
        <v>762</v>
      </c>
      <c r="CB317" s="425" t="s">
        <v>762</v>
      </c>
      <c r="CC317" s="425" t="s">
        <v>762</v>
      </c>
      <c r="CD317" s="425" t="s">
        <v>762</v>
      </c>
      <c r="CE317" s="425" t="s">
        <v>762</v>
      </c>
      <c r="CF317" s="425" t="s">
        <v>762</v>
      </c>
      <c r="CG317" s="424" t="s">
        <v>762</v>
      </c>
      <c r="CH317" s="425">
        <f t="shared" si="313"/>
        <v>60.669000000000004</v>
      </c>
      <c r="CI317" s="425">
        <f t="shared" si="341"/>
        <v>42.808500000000002</v>
      </c>
      <c r="CJ317" s="425">
        <f t="shared" si="342"/>
        <v>46.602000000000004</v>
      </c>
      <c r="CK317" s="425">
        <f t="shared" si="343"/>
        <v>40.878000000000007</v>
      </c>
      <c r="CL317" s="425">
        <f t="shared" si="344"/>
        <v>41.85</v>
      </c>
      <c r="CN317" s="438"/>
    </row>
    <row r="318" spans="1:92" s="426" customFormat="1">
      <c r="A318" s="424" t="s">
        <v>598</v>
      </c>
      <c r="B318" s="424" t="s">
        <v>630</v>
      </c>
      <c r="C318" s="425">
        <f t="shared" si="306"/>
        <v>63.08</v>
      </c>
      <c r="D318" s="425">
        <f t="shared" si="347"/>
        <v>63.08</v>
      </c>
      <c r="E318" s="425">
        <f t="shared" si="347"/>
        <v>63.08</v>
      </c>
      <c r="F318" s="425">
        <f t="shared" si="347"/>
        <v>63.08</v>
      </c>
      <c r="G318" s="425">
        <f t="shared" si="347"/>
        <v>63.08</v>
      </c>
      <c r="H318" s="425">
        <f t="shared" si="347"/>
        <v>63.08</v>
      </c>
      <c r="I318" s="425">
        <f t="shared" si="347"/>
        <v>63.08</v>
      </c>
      <c r="J318" s="425">
        <f t="shared" si="347"/>
        <v>63.08</v>
      </c>
      <c r="K318" s="425">
        <f t="shared" si="347"/>
        <v>63.08</v>
      </c>
      <c r="L318" s="425">
        <f t="shared" si="347"/>
        <v>63.08</v>
      </c>
      <c r="M318" s="425" t="s">
        <v>762</v>
      </c>
      <c r="N318" s="425" t="s">
        <v>762</v>
      </c>
      <c r="O318" s="425" t="s">
        <v>762</v>
      </c>
      <c r="P318" s="425" t="s">
        <v>762</v>
      </c>
      <c r="Q318" s="425" t="s">
        <v>762</v>
      </c>
      <c r="R318" s="425" t="s">
        <v>762</v>
      </c>
      <c r="S318" s="425" t="s">
        <v>762</v>
      </c>
      <c r="T318" s="425" t="s">
        <v>762</v>
      </c>
      <c r="U318" s="425" t="s">
        <v>762</v>
      </c>
      <c r="V318" s="425">
        <f t="shared" si="347"/>
        <v>63.08</v>
      </c>
      <c r="W318" s="425">
        <f t="shared" si="347"/>
        <v>63.08</v>
      </c>
      <c r="X318" s="425">
        <f t="shared" si="307"/>
        <v>73.69</v>
      </c>
      <c r="Y318" s="425">
        <f t="shared" si="308"/>
        <v>76.52</v>
      </c>
      <c r="Z318" s="425">
        <f t="shared" si="309"/>
        <v>84.76</v>
      </c>
      <c r="AA318" s="425">
        <f t="shared" si="310"/>
        <v>87.79</v>
      </c>
      <c r="AB318" s="425">
        <f t="shared" si="311"/>
        <v>90.82</v>
      </c>
      <c r="AC318" s="425">
        <f t="shared" ref="AC318:AD318" si="353">$I810</f>
        <v>93.85</v>
      </c>
      <c r="AD318" s="425">
        <f t="shared" si="353"/>
        <v>93.85</v>
      </c>
      <c r="AE318" s="425" t="s">
        <v>762</v>
      </c>
      <c r="AF318" s="425" t="s">
        <v>762</v>
      </c>
      <c r="AG318" s="425">
        <f t="shared" si="322"/>
        <v>113.724</v>
      </c>
      <c r="AH318" s="425" t="s">
        <v>762</v>
      </c>
      <c r="AI318" s="425">
        <f t="shared" si="323"/>
        <v>151.63200000000001</v>
      </c>
      <c r="AJ318" s="425" t="s">
        <v>762</v>
      </c>
      <c r="AK318" s="425">
        <f t="shared" si="324"/>
        <v>189.54000000000002</v>
      </c>
      <c r="AL318" s="425">
        <f t="shared" si="325"/>
        <v>160.542</v>
      </c>
      <c r="AM318" s="425" t="s">
        <v>762</v>
      </c>
      <c r="AN318" s="425">
        <f t="shared" si="326"/>
        <v>187.29900000000001</v>
      </c>
      <c r="AO318" s="425" t="s">
        <v>762</v>
      </c>
      <c r="AP318" s="425">
        <f t="shared" si="327"/>
        <v>214.05600000000001</v>
      </c>
      <c r="AQ318" s="425" t="s">
        <v>762</v>
      </c>
      <c r="AR318" s="425">
        <f t="shared" si="328"/>
        <v>240.81300000000002</v>
      </c>
      <c r="AS318" s="425" t="s">
        <v>762</v>
      </c>
      <c r="AT318" s="425">
        <f t="shared" si="329"/>
        <v>291.39750000000004</v>
      </c>
      <c r="AU318" s="425" t="s">
        <v>762</v>
      </c>
      <c r="AV318" s="425" t="s">
        <v>762</v>
      </c>
      <c r="AW318" s="425" t="s">
        <v>762</v>
      </c>
      <c r="AX318" s="425" t="s">
        <v>762</v>
      </c>
      <c r="AY318" s="425" t="s">
        <v>762</v>
      </c>
      <c r="AZ318" s="425" t="s">
        <v>762</v>
      </c>
      <c r="BA318" s="425">
        <f t="shared" si="330"/>
        <v>383.23125000000005</v>
      </c>
      <c r="BB318" s="425" t="s">
        <v>762</v>
      </c>
      <c r="BC318" s="425" t="s">
        <v>762</v>
      </c>
      <c r="BD318" s="425" t="s">
        <v>762</v>
      </c>
      <c r="BE318" s="425" t="s">
        <v>762</v>
      </c>
      <c r="BF318" s="425">
        <f t="shared" si="331"/>
        <v>523.3950000000001</v>
      </c>
      <c r="BG318" s="425" t="s">
        <v>762</v>
      </c>
      <c r="BH318" s="425" t="s">
        <v>762</v>
      </c>
      <c r="BI318" s="425">
        <f t="shared" si="332"/>
        <v>654.24375000000009</v>
      </c>
      <c r="BJ318" s="425" t="s">
        <v>762</v>
      </c>
      <c r="BK318" s="425" t="s">
        <v>762</v>
      </c>
      <c r="BL318" s="425">
        <f t="shared" si="333"/>
        <v>785.09250000000009</v>
      </c>
      <c r="BM318" s="425" t="s">
        <v>762</v>
      </c>
      <c r="BN318" s="425" t="s">
        <v>762</v>
      </c>
      <c r="BO318" s="425" t="s">
        <v>762</v>
      </c>
      <c r="BP318" s="425" t="s">
        <v>762</v>
      </c>
      <c r="BQ318" s="425" t="s">
        <v>762</v>
      </c>
      <c r="BR318" s="425" t="s">
        <v>762</v>
      </c>
      <c r="BS318" s="425" t="s">
        <v>762</v>
      </c>
      <c r="BT318" s="425" t="s">
        <v>762</v>
      </c>
      <c r="BU318" s="425" t="s">
        <v>762</v>
      </c>
      <c r="BV318" s="425" t="s">
        <v>762</v>
      </c>
      <c r="BW318" s="425" t="s">
        <v>762</v>
      </c>
      <c r="BX318" s="425" t="s">
        <v>762</v>
      </c>
      <c r="BY318" s="425" t="s">
        <v>762</v>
      </c>
      <c r="BZ318" s="425" t="s">
        <v>762</v>
      </c>
      <c r="CA318" s="425" t="s">
        <v>762</v>
      </c>
      <c r="CB318" s="425" t="s">
        <v>762</v>
      </c>
      <c r="CC318" s="425" t="s">
        <v>762</v>
      </c>
      <c r="CD318" s="425" t="s">
        <v>762</v>
      </c>
      <c r="CE318" s="425" t="s">
        <v>762</v>
      </c>
      <c r="CF318" s="425" t="s">
        <v>762</v>
      </c>
      <c r="CG318" s="424" t="s">
        <v>762</v>
      </c>
      <c r="CH318" s="425">
        <f t="shared" si="313"/>
        <v>75.816000000000003</v>
      </c>
      <c r="CI318" s="425">
        <f t="shared" si="341"/>
        <v>53.514000000000003</v>
      </c>
      <c r="CJ318" s="425">
        <f t="shared" si="342"/>
        <v>58.279500000000006</v>
      </c>
      <c r="CK318" s="425">
        <f t="shared" si="343"/>
        <v>51.097500000000004</v>
      </c>
      <c r="CL318" s="425">
        <f t="shared" si="344"/>
        <v>52.339500000000008</v>
      </c>
      <c r="CN318" s="438"/>
    </row>
    <row r="319" spans="1:92" s="426" customFormat="1">
      <c r="A319" s="424" t="s">
        <v>599</v>
      </c>
      <c r="B319" s="424" t="s">
        <v>630</v>
      </c>
      <c r="C319" s="425">
        <f t="shared" si="306"/>
        <v>50.13</v>
      </c>
      <c r="D319" s="425">
        <f t="shared" si="347"/>
        <v>50.13</v>
      </c>
      <c r="E319" s="425">
        <f t="shared" si="347"/>
        <v>50.13</v>
      </c>
      <c r="F319" s="425">
        <f t="shared" si="347"/>
        <v>50.13</v>
      </c>
      <c r="G319" s="425">
        <f t="shared" si="347"/>
        <v>50.13</v>
      </c>
      <c r="H319" s="425">
        <f t="shared" si="347"/>
        <v>50.13</v>
      </c>
      <c r="I319" s="425">
        <f t="shared" si="347"/>
        <v>50.13</v>
      </c>
      <c r="J319" s="425">
        <f t="shared" si="347"/>
        <v>50.13</v>
      </c>
      <c r="K319" s="425">
        <f t="shared" si="347"/>
        <v>50.13</v>
      </c>
      <c r="L319" s="425">
        <f t="shared" si="347"/>
        <v>50.13</v>
      </c>
      <c r="M319" s="425" t="s">
        <v>762</v>
      </c>
      <c r="N319" s="425" t="s">
        <v>762</v>
      </c>
      <c r="O319" s="425" t="s">
        <v>762</v>
      </c>
      <c r="P319" s="425" t="s">
        <v>762</v>
      </c>
      <c r="Q319" s="425" t="s">
        <v>762</v>
      </c>
      <c r="R319" s="425" t="s">
        <v>762</v>
      </c>
      <c r="S319" s="425" t="s">
        <v>762</v>
      </c>
      <c r="T319" s="425" t="s">
        <v>762</v>
      </c>
      <c r="U319" s="425" t="s">
        <v>762</v>
      </c>
      <c r="V319" s="425">
        <f t="shared" si="347"/>
        <v>50.13</v>
      </c>
      <c r="W319" s="425">
        <f t="shared" si="347"/>
        <v>50.13</v>
      </c>
      <c r="X319" s="425">
        <f t="shared" si="307"/>
        <v>58.56</v>
      </c>
      <c r="Y319" s="425">
        <f t="shared" si="308"/>
        <v>60.82</v>
      </c>
      <c r="Z319" s="425">
        <f t="shared" si="309"/>
        <v>67.349999999999994</v>
      </c>
      <c r="AA319" s="425">
        <f t="shared" si="310"/>
        <v>69.75</v>
      </c>
      <c r="AB319" s="425">
        <f t="shared" si="311"/>
        <v>72.16</v>
      </c>
      <c r="AC319" s="425">
        <f t="shared" ref="AC319:AD319" si="354">$I811</f>
        <v>74.56</v>
      </c>
      <c r="AD319" s="425">
        <f t="shared" si="354"/>
        <v>74.56</v>
      </c>
      <c r="AE319" s="425" t="s">
        <v>762</v>
      </c>
      <c r="AF319" s="425" t="s">
        <v>762</v>
      </c>
      <c r="AG319" s="425">
        <f t="shared" si="322"/>
        <v>90.375750000000011</v>
      </c>
      <c r="AH319" s="425" t="s">
        <v>762</v>
      </c>
      <c r="AI319" s="425">
        <f t="shared" si="323"/>
        <v>120.50100000000002</v>
      </c>
      <c r="AJ319" s="425" t="s">
        <v>762</v>
      </c>
      <c r="AK319" s="425">
        <f t="shared" si="324"/>
        <v>150.62625000000003</v>
      </c>
      <c r="AL319" s="425">
        <f t="shared" si="325"/>
        <v>127.49400000000001</v>
      </c>
      <c r="AM319" s="425" t="s">
        <v>762</v>
      </c>
      <c r="AN319" s="425">
        <f t="shared" si="326"/>
        <v>148.74300000000002</v>
      </c>
      <c r="AO319" s="425" t="s">
        <v>762</v>
      </c>
      <c r="AP319" s="425">
        <f t="shared" si="327"/>
        <v>169.99200000000002</v>
      </c>
      <c r="AQ319" s="425" t="s">
        <v>762</v>
      </c>
      <c r="AR319" s="425">
        <f t="shared" si="328"/>
        <v>191.24100000000001</v>
      </c>
      <c r="AS319" s="425" t="s">
        <v>762</v>
      </c>
      <c r="AT319" s="425">
        <f t="shared" si="329"/>
        <v>231.59250000000003</v>
      </c>
      <c r="AU319" s="425" t="s">
        <v>762</v>
      </c>
      <c r="AV319" s="425" t="s">
        <v>762</v>
      </c>
      <c r="AW319" s="425" t="s">
        <v>762</v>
      </c>
      <c r="AX319" s="425" t="s">
        <v>762</v>
      </c>
      <c r="AY319" s="425" t="s">
        <v>762</v>
      </c>
      <c r="AZ319" s="425" t="s">
        <v>762</v>
      </c>
      <c r="BA319" s="425">
        <f t="shared" si="330"/>
        <v>304.45875000000001</v>
      </c>
      <c r="BB319" s="425" t="s">
        <v>762</v>
      </c>
      <c r="BC319" s="425" t="s">
        <v>762</v>
      </c>
      <c r="BD319" s="425" t="s">
        <v>762</v>
      </c>
      <c r="BE319" s="425" t="s">
        <v>762</v>
      </c>
      <c r="BF319" s="425">
        <f t="shared" si="331"/>
        <v>415.66500000000008</v>
      </c>
      <c r="BG319" s="425" t="s">
        <v>762</v>
      </c>
      <c r="BH319" s="425" t="s">
        <v>762</v>
      </c>
      <c r="BI319" s="425">
        <f t="shared" si="332"/>
        <v>519.58125000000007</v>
      </c>
      <c r="BJ319" s="425" t="s">
        <v>762</v>
      </c>
      <c r="BK319" s="425" t="s">
        <v>762</v>
      </c>
      <c r="BL319" s="425">
        <f t="shared" si="333"/>
        <v>623.49750000000006</v>
      </c>
      <c r="BM319" s="425" t="s">
        <v>762</v>
      </c>
      <c r="BN319" s="425" t="s">
        <v>762</v>
      </c>
      <c r="BO319" s="425" t="s">
        <v>762</v>
      </c>
      <c r="BP319" s="425" t="s">
        <v>762</v>
      </c>
      <c r="BQ319" s="425" t="s">
        <v>762</v>
      </c>
      <c r="BR319" s="425" t="s">
        <v>762</v>
      </c>
      <c r="BS319" s="425" t="s">
        <v>762</v>
      </c>
      <c r="BT319" s="425" t="s">
        <v>762</v>
      </c>
      <c r="BU319" s="425" t="s">
        <v>762</v>
      </c>
      <c r="BV319" s="425" t="s">
        <v>762</v>
      </c>
      <c r="BW319" s="425" t="s">
        <v>762</v>
      </c>
      <c r="BX319" s="425" t="s">
        <v>762</v>
      </c>
      <c r="BY319" s="425" t="s">
        <v>762</v>
      </c>
      <c r="BZ319" s="425" t="s">
        <v>762</v>
      </c>
      <c r="CA319" s="425" t="s">
        <v>762</v>
      </c>
      <c r="CB319" s="425" t="s">
        <v>762</v>
      </c>
      <c r="CC319" s="425" t="s">
        <v>762</v>
      </c>
      <c r="CD319" s="425" t="s">
        <v>762</v>
      </c>
      <c r="CE319" s="425" t="s">
        <v>762</v>
      </c>
      <c r="CF319" s="425" t="s">
        <v>762</v>
      </c>
      <c r="CG319" s="424" t="s">
        <v>762</v>
      </c>
      <c r="CH319" s="425">
        <f t="shared" si="313"/>
        <v>60.250500000000009</v>
      </c>
      <c r="CI319" s="425">
        <f t="shared" si="341"/>
        <v>42.498000000000005</v>
      </c>
      <c r="CJ319" s="425">
        <f t="shared" si="342"/>
        <v>46.318500000000007</v>
      </c>
      <c r="CK319" s="425">
        <f t="shared" si="343"/>
        <v>40.594500000000004</v>
      </c>
      <c r="CL319" s="425">
        <f t="shared" si="344"/>
        <v>41.566500000000005</v>
      </c>
      <c r="CN319" s="438"/>
    </row>
    <row r="320" spans="1:92" s="426" customFormat="1">
      <c r="A320" s="424" t="s">
        <v>600</v>
      </c>
      <c r="B320" s="424" t="s">
        <v>630</v>
      </c>
      <c r="C320" s="425">
        <f t="shared" si="306"/>
        <v>62.64</v>
      </c>
      <c r="D320" s="425">
        <f t="shared" si="347"/>
        <v>62.64</v>
      </c>
      <c r="E320" s="425">
        <f t="shared" si="347"/>
        <v>62.64</v>
      </c>
      <c r="F320" s="425">
        <f t="shared" si="347"/>
        <v>62.64</v>
      </c>
      <c r="G320" s="425">
        <f t="shared" si="347"/>
        <v>62.64</v>
      </c>
      <c r="H320" s="425">
        <f t="shared" si="347"/>
        <v>62.64</v>
      </c>
      <c r="I320" s="425">
        <f t="shared" si="347"/>
        <v>62.64</v>
      </c>
      <c r="J320" s="425">
        <f t="shared" si="347"/>
        <v>62.64</v>
      </c>
      <c r="K320" s="425">
        <f t="shared" si="347"/>
        <v>62.64</v>
      </c>
      <c r="L320" s="425">
        <f t="shared" si="347"/>
        <v>62.64</v>
      </c>
      <c r="M320" s="425" t="s">
        <v>762</v>
      </c>
      <c r="N320" s="425" t="s">
        <v>762</v>
      </c>
      <c r="O320" s="425" t="s">
        <v>762</v>
      </c>
      <c r="P320" s="425" t="s">
        <v>762</v>
      </c>
      <c r="Q320" s="425" t="s">
        <v>762</v>
      </c>
      <c r="R320" s="425" t="s">
        <v>762</v>
      </c>
      <c r="S320" s="425" t="s">
        <v>762</v>
      </c>
      <c r="T320" s="425" t="s">
        <v>762</v>
      </c>
      <c r="U320" s="425" t="s">
        <v>762</v>
      </c>
      <c r="V320" s="425">
        <f t="shared" si="347"/>
        <v>62.64</v>
      </c>
      <c r="W320" s="425">
        <f t="shared" si="347"/>
        <v>62.64</v>
      </c>
      <c r="X320" s="425">
        <f t="shared" si="307"/>
        <v>73.23</v>
      </c>
      <c r="Y320" s="425">
        <f t="shared" si="308"/>
        <v>76.010000000000005</v>
      </c>
      <c r="Z320" s="425">
        <f t="shared" si="309"/>
        <v>84.2</v>
      </c>
      <c r="AA320" s="425">
        <f t="shared" si="310"/>
        <v>87.2</v>
      </c>
      <c r="AB320" s="425">
        <f t="shared" si="311"/>
        <v>90.2</v>
      </c>
      <c r="AC320" s="425">
        <f t="shared" ref="AC320:AD320" si="355">$I812</f>
        <v>93.2</v>
      </c>
      <c r="AD320" s="425">
        <f t="shared" si="355"/>
        <v>93.2</v>
      </c>
      <c r="AE320" s="425" t="s">
        <v>762</v>
      </c>
      <c r="AF320" s="425" t="s">
        <v>762</v>
      </c>
      <c r="AG320" s="425">
        <f t="shared" si="322"/>
        <v>112.995</v>
      </c>
      <c r="AH320" s="425" t="s">
        <v>762</v>
      </c>
      <c r="AI320" s="425">
        <f t="shared" si="323"/>
        <v>150.66</v>
      </c>
      <c r="AJ320" s="425" t="s">
        <v>762</v>
      </c>
      <c r="AK320" s="425">
        <f t="shared" si="324"/>
        <v>188.32499999999999</v>
      </c>
      <c r="AL320" s="425">
        <f t="shared" si="325"/>
        <v>159.44850000000002</v>
      </c>
      <c r="AM320" s="425" t="s">
        <v>762</v>
      </c>
      <c r="AN320" s="425">
        <f t="shared" si="326"/>
        <v>186.02325000000002</v>
      </c>
      <c r="AO320" s="425" t="s">
        <v>762</v>
      </c>
      <c r="AP320" s="425">
        <f t="shared" si="327"/>
        <v>212.59800000000001</v>
      </c>
      <c r="AQ320" s="425" t="s">
        <v>762</v>
      </c>
      <c r="AR320" s="425">
        <f t="shared" si="328"/>
        <v>239.17275000000001</v>
      </c>
      <c r="AS320" s="425" t="s">
        <v>762</v>
      </c>
      <c r="AT320" s="425">
        <f t="shared" si="329"/>
        <v>289.3725</v>
      </c>
      <c r="AU320" s="425" t="s">
        <v>762</v>
      </c>
      <c r="AV320" s="425" t="s">
        <v>762</v>
      </c>
      <c r="AW320" s="425" t="s">
        <v>762</v>
      </c>
      <c r="AX320" s="425" t="s">
        <v>762</v>
      </c>
      <c r="AY320" s="425" t="s">
        <v>762</v>
      </c>
      <c r="AZ320" s="425" t="s">
        <v>762</v>
      </c>
      <c r="BA320" s="425">
        <f t="shared" si="330"/>
        <v>380.59875000000005</v>
      </c>
      <c r="BB320" s="425" t="s">
        <v>762</v>
      </c>
      <c r="BC320" s="425" t="s">
        <v>762</v>
      </c>
      <c r="BD320" s="425" t="s">
        <v>762</v>
      </c>
      <c r="BE320" s="425" t="s">
        <v>762</v>
      </c>
      <c r="BF320" s="425">
        <f t="shared" si="331"/>
        <v>519.75</v>
      </c>
      <c r="BG320" s="425" t="s">
        <v>762</v>
      </c>
      <c r="BH320" s="425" t="s">
        <v>762</v>
      </c>
      <c r="BI320" s="425">
        <f t="shared" si="332"/>
        <v>649.6875</v>
      </c>
      <c r="BJ320" s="425" t="s">
        <v>762</v>
      </c>
      <c r="BK320" s="425" t="s">
        <v>762</v>
      </c>
      <c r="BL320" s="425">
        <f t="shared" si="333"/>
        <v>779.625</v>
      </c>
      <c r="BM320" s="425" t="s">
        <v>762</v>
      </c>
      <c r="BN320" s="425" t="s">
        <v>762</v>
      </c>
      <c r="BO320" s="425" t="s">
        <v>762</v>
      </c>
      <c r="BP320" s="425" t="s">
        <v>762</v>
      </c>
      <c r="BQ320" s="425" t="s">
        <v>762</v>
      </c>
      <c r="BR320" s="425" t="s">
        <v>762</v>
      </c>
      <c r="BS320" s="425" t="s">
        <v>762</v>
      </c>
      <c r="BT320" s="425" t="s">
        <v>762</v>
      </c>
      <c r="BU320" s="425" t="s">
        <v>762</v>
      </c>
      <c r="BV320" s="425" t="s">
        <v>762</v>
      </c>
      <c r="BW320" s="425" t="s">
        <v>762</v>
      </c>
      <c r="BX320" s="425" t="s">
        <v>762</v>
      </c>
      <c r="BY320" s="425" t="s">
        <v>762</v>
      </c>
      <c r="BZ320" s="425" t="s">
        <v>762</v>
      </c>
      <c r="CA320" s="425" t="s">
        <v>762</v>
      </c>
      <c r="CB320" s="425" t="s">
        <v>762</v>
      </c>
      <c r="CC320" s="425" t="s">
        <v>762</v>
      </c>
      <c r="CD320" s="425" t="s">
        <v>762</v>
      </c>
      <c r="CE320" s="425" t="s">
        <v>762</v>
      </c>
      <c r="CF320" s="425" t="s">
        <v>762</v>
      </c>
      <c r="CG320" s="424" t="s">
        <v>762</v>
      </c>
      <c r="CH320" s="425">
        <f t="shared" si="313"/>
        <v>75.33</v>
      </c>
      <c r="CI320" s="425">
        <f t="shared" si="341"/>
        <v>53.149500000000003</v>
      </c>
      <c r="CJ320" s="425">
        <f t="shared" si="342"/>
        <v>57.874499999999998</v>
      </c>
      <c r="CK320" s="425">
        <f t="shared" si="343"/>
        <v>50.746500000000005</v>
      </c>
      <c r="CL320" s="425">
        <f t="shared" si="344"/>
        <v>51.975000000000001</v>
      </c>
      <c r="CN320" s="438"/>
    </row>
    <row r="321" spans="1:92" s="426" customFormat="1">
      <c r="A321" s="424" t="s">
        <v>601</v>
      </c>
      <c r="B321" s="424" t="s">
        <v>630</v>
      </c>
      <c r="C321" s="425">
        <f t="shared" si="306"/>
        <v>37.85</v>
      </c>
      <c r="D321" s="425">
        <f t="shared" si="347"/>
        <v>37.85</v>
      </c>
      <c r="E321" s="425">
        <f t="shared" si="347"/>
        <v>37.85</v>
      </c>
      <c r="F321" s="425">
        <f t="shared" si="347"/>
        <v>37.85</v>
      </c>
      <c r="G321" s="425">
        <f t="shared" si="347"/>
        <v>37.85</v>
      </c>
      <c r="H321" s="425">
        <f t="shared" si="347"/>
        <v>37.85</v>
      </c>
      <c r="I321" s="425">
        <f t="shared" si="347"/>
        <v>37.85</v>
      </c>
      <c r="J321" s="425">
        <f t="shared" si="347"/>
        <v>37.85</v>
      </c>
      <c r="K321" s="425">
        <f t="shared" si="347"/>
        <v>37.85</v>
      </c>
      <c r="L321" s="425">
        <f t="shared" si="347"/>
        <v>37.85</v>
      </c>
      <c r="M321" s="425" t="s">
        <v>762</v>
      </c>
      <c r="N321" s="425" t="s">
        <v>762</v>
      </c>
      <c r="O321" s="425" t="s">
        <v>762</v>
      </c>
      <c r="P321" s="425" t="s">
        <v>762</v>
      </c>
      <c r="Q321" s="425" t="s">
        <v>762</v>
      </c>
      <c r="R321" s="425" t="s">
        <v>762</v>
      </c>
      <c r="S321" s="425" t="s">
        <v>762</v>
      </c>
      <c r="T321" s="425" t="s">
        <v>762</v>
      </c>
      <c r="U321" s="425" t="s">
        <v>762</v>
      </c>
      <c r="V321" s="425">
        <f t="shared" si="347"/>
        <v>37.85</v>
      </c>
      <c r="W321" s="425">
        <f t="shared" si="347"/>
        <v>37.85</v>
      </c>
      <c r="X321" s="425">
        <f t="shared" si="307"/>
        <v>44.23</v>
      </c>
      <c r="Y321" s="425">
        <f t="shared" si="308"/>
        <v>45.93</v>
      </c>
      <c r="Z321" s="425">
        <f t="shared" si="309"/>
        <v>49.15</v>
      </c>
      <c r="AA321" s="425">
        <f t="shared" si="310"/>
        <v>50.9</v>
      </c>
      <c r="AB321" s="425">
        <f t="shared" si="311"/>
        <v>52.66</v>
      </c>
      <c r="AC321" s="425">
        <f t="shared" ref="AC321:AD321" si="356">$I813</f>
        <v>54.41</v>
      </c>
      <c r="AD321" s="425">
        <f t="shared" si="356"/>
        <v>54.41</v>
      </c>
      <c r="AE321" s="425" t="s">
        <v>762</v>
      </c>
      <c r="AF321" s="425" t="s">
        <v>762</v>
      </c>
      <c r="AG321" s="425">
        <f t="shared" si="322"/>
        <v>65.933999999999997</v>
      </c>
      <c r="AH321" s="425" t="s">
        <v>762</v>
      </c>
      <c r="AI321" s="425">
        <f t="shared" si="323"/>
        <v>87.912000000000006</v>
      </c>
      <c r="AJ321" s="425" t="s">
        <v>762</v>
      </c>
      <c r="AK321" s="425">
        <f t="shared" si="324"/>
        <v>109.89000000000001</v>
      </c>
      <c r="AL321" s="425">
        <f t="shared" si="325"/>
        <v>93.069000000000017</v>
      </c>
      <c r="AM321" s="425" t="s">
        <v>762</v>
      </c>
      <c r="AN321" s="425">
        <f t="shared" si="326"/>
        <v>108.58050000000001</v>
      </c>
      <c r="AO321" s="425" t="s">
        <v>762</v>
      </c>
      <c r="AP321" s="425">
        <f t="shared" si="327"/>
        <v>124.09200000000001</v>
      </c>
      <c r="AQ321" s="425" t="s">
        <v>762</v>
      </c>
      <c r="AR321" s="425">
        <f t="shared" si="328"/>
        <v>139.60350000000003</v>
      </c>
      <c r="AS321" s="425" t="s">
        <v>762</v>
      </c>
      <c r="AT321" s="425">
        <f t="shared" si="329"/>
        <v>168.88499999999999</v>
      </c>
      <c r="AU321" s="425" t="s">
        <v>762</v>
      </c>
      <c r="AV321" s="425" t="s">
        <v>762</v>
      </c>
      <c r="AW321" s="425" t="s">
        <v>762</v>
      </c>
      <c r="AX321" s="425" t="s">
        <v>762</v>
      </c>
      <c r="AY321" s="425" t="s">
        <v>762</v>
      </c>
      <c r="AZ321" s="425" t="s">
        <v>762</v>
      </c>
      <c r="BA321" s="425">
        <f t="shared" si="330"/>
        <v>222.14250000000001</v>
      </c>
      <c r="BB321" s="425" t="s">
        <v>762</v>
      </c>
      <c r="BC321" s="425" t="s">
        <v>762</v>
      </c>
      <c r="BD321" s="425" t="s">
        <v>762</v>
      </c>
      <c r="BE321" s="425" t="s">
        <v>762</v>
      </c>
      <c r="BF321" s="425">
        <f t="shared" si="331"/>
        <v>303.48</v>
      </c>
      <c r="BG321" s="425" t="s">
        <v>762</v>
      </c>
      <c r="BH321" s="425" t="s">
        <v>762</v>
      </c>
      <c r="BI321" s="425">
        <f t="shared" si="332"/>
        <v>379.35</v>
      </c>
      <c r="BJ321" s="425" t="s">
        <v>762</v>
      </c>
      <c r="BK321" s="425" t="s">
        <v>762</v>
      </c>
      <c r="BL321" s="425">
        <f t="shared" si="333"/>
        <v>455.22</v>
      </c>
      <c r="BM321" s="425" t="s">
        <v>762</v>
      </c>
      <c r="BN321" s="425" t="s">
        <v>762</v>
      </c>
      <c r="BO321" s="425" t="s">
        <v>762</v>
      </c>
      <c r="BP321" s="425" t="s">
        <v>762</v>
      </c>
      <c r="BQ321" s="425" t="s">
        <v>762</v>
      </c>
      <c r="BR321" s="425" t="s">
        <v>762</v>
      </c>
      <c r="BS321" s="425" t="s">
        <v>762</v>
      </c>
      <c r="BT321" s="425" t="s">
        <v>762</v>
      </c>
      <c r="BU321" s="425" t="s">
        <v>762</v>
      </c>
      <c r="BV321" s="425" t="s">
        <v>762</v>
      </c>
      <c r="BW321" s="425" t="s">
        <v>762</v>
      </c>
      <c r="BX321" s="425" t="s">
        <v>762</v>
      </c>
      <c r="BY321" s="425" t="s">
        <v>762</v>
      </c>
      <c r="BZ321" s="425" t="s">
        <v>762</v>
      </c>
      <c r="CA321" s="425" t="s">
        <v>762</v>
      </c>
      <c r="CB321" s="425" t="s">
        <v>762</v>
      </c>
      <c r="CC321" s="425" t="s">
        <v>762</v>
      </c>
      <c r="CD321" s="425" t="s">
        <v>762</v>
      </c>
      <c r="CE321" s="425" t="s">
        <v>762</v>
      </c>
      <c r="CF321" s="425" t="s">
        <v>762</v>
      </c>
      <c r="CG321" s="424" t="s">
        <v>762</v>
      </c>
      <c r="CH321" s="425">
        <f t="shared" si="313"/>
        <v>43.956000000000003</v>
      </c>
      <c r="CI321" s="425">
        <f t="shared" si="341"/>
        <v>31.023000000000003</v>
      </c>
      <c r="CJ321" s="425">
        <f t="shared" si="342"/>
        <v>33.777000000000001</v>
      </c>
      <c r="CK321" s="425">
        <f t="shared" si="343"/>
        <v>29.619000000000003</v>
      </c>
      <c r="CL321" s="425">
        <f t="shared" si="344"/>
        <v>30.348000000000003</v>
      </c>
      <c r="CN321" s="438"/>
    </row>
    <row r="322" spans="1:92" s="426" customFormat="1">
      <c r="A322" s="424" t="s">
        <v>602</v>
      </c>
      <c r="B322" s="424" t="s">
        <v>630</v>
      </c>
      <c r="C322" s="425">
        <f t="shared" si="306"/>
        <v>29.34</v>
      </c>
      <c r="D322" s="425">
        <f t="shared" si="347"/>
        <v>29.34</v>
      </c>
      <c r="E322" s="425">
        <f t="shared" si="347"/>
        <v>29.34</v>
      </c>
      <c r="F322" s="425">
        <f t="shared" si="347"/>
        <v>29.34</v>
      </c>
      <c r="G322" s="425">
        <f t="shared" si="347"/>
        <v>29.34</v>
      </c>
      <c r="H322" s="425">
        <f t="shared" si="347"/>
        <v>29.34</v>
      </c>
      <c r="I322" s="425">
        <f t="shared" si="347"/>
        <v>29.34</v>
      </c>
      <c r="J322" s="425">
        <f t="shared" si="347"/>
        <v>29.34</v>
      </c>
      <c r="K322" s="425">
        <f t="shared" si="347"/>
        <v>29.34</v>
      </c>
      <c r="L322" s="425">
        <f t="shared" si="347"/>
        <v>29.34</v>
      </c>
      <c r="M322" s="425" t="s">
        <v>762</v>
      </c>
      <c r="N322" s="425" t="s">
        <v>762</v>
      </c>
      <c r="O322" s="425" t="s">
        <v>762</v>
      </c>
      <c r="P322" s="425" t="s">
        <v>762</v>
      </c>
      <c r="Q322" s="425" t="s">
        <v>762</v>
      </c>
      <c r="R322" s="425" t="s">
        <v>762</v>
      </c>
      <c r="S322" s="425" t="s">
        <v>762</v>
      </c>
      <c r="T322" s="425" t="s">
        <v>762</v>
      </c>
      <c r="U322" s="425" t="s">
        <v>762</v>
      </c>
      <c r="V322" s="425">
        <f t="shared" si="347"/>
        <v>29.34</v>
      </c>
      <c r="W322" s="425">
        <f t="shared" si="347"/>
        <v>29.34</v>
      </c>
      <c r="X322" s="425">
        <f t="shared" si="307"/>
        <v>34.270000000000003</v>
      </c>
      <c r="Y322" s="425">
        <f t="shared" si="308"/>
        <v>35.61</v>
      </c>
      <c r="Z322" s="425">
        <f t="shared" si="309"/>
        <v>37.65</v>
      </c>
      <c r="AA322" s="425">
        <f t="shared" si="310"/>
        <v>38.99</v>
      </c>
      <c r="AB322" s="425">
        <f t="shared" si="311"/>
        <v>40.33</v>
      </c>
      <c r="AC322" s="425">
        <f t="shared" ref="AC322:AD322" si="357">$I814</f>
        <v>41.68</v>
      </c>
      <c r="AD322" s="425">
        <f t="shared" si="357"/>
        <v>41.68</v>
      </c>
      <c r="AE322" s="425" t="s">
        <v>762</v>
      </c>
      <c r="AF322" s="425" t="s">
        <v>762</v>
      </c>
      <c r="AG322" s="425">
        <f t="shared" si="322"/>
        <v>50.523750000000007</v>
      </c>
      <c r="AH322" s="425" t="s">
        <v>762</v>
      </c>
      <c r="AI322" s="425">
        <f t="shared" si="323"/>
        <v>67.365000000000009</v>
      </c>
      <c r="AJ322" s="425" t="s">
        <v>762</v>
      </c>
      <c r="AK322" s="425">
        <f t="shared" si="324"/>
        <v>84.206250000000011</v>
      </c>
      <c r="AL322" s="425">
        <f t="shared" si="325"/>
        <v>71.361000000000004</v>
      </c>
      <c r="AM322" s="425" t="s">
        <v>762</v>
      </c>
      <c r="AN322" s="425">
        <f t="shared" si="326"/>
        <v>83.254500000000007</v>
      </c>
      <c r="AO322" s="425" t="s">
        <v>762</v>
      </c>
      <c r="AP322" s="425">
        <f t="shared" si="327"/>
        <v>95.14800000000001</v>
      </c>
      <c r="AQ322" s="425" t="s">
        <v>762</v>
      </c>
      <c r="AR322" s="425">
        <f t="shared" si="328"/>
        <v>107.04150000000001</v>
      </c>
      <c r="AS322" s="425" t="s">
        <v>762</v>
      </c>
      <c r="AT322" s="425">
        <f t="shared" si="329"/>
        <v>129.39750000000001</v>
      </c>
      <c r="AU322" s="425" t="s">
        <v>762</v>
      </c>
      <c r="AV322" s="425" t="s">
        <v>762</v>
      </c>
      <c r="AW322" s="425" t="s">
        <v>762</v>
      </c>
      <c r="AX322" s="425" t="s">
        <v>762</v>
      </c>
      <c r="AY322" s="425" t="s">
        <v>762</v>
      </c>
      <c r="AZ322" s="425" t="s">
        <v>762</v>
      </c>
      <c r="BA322" s="425">
        <f t="shared" si="330"/>
        <v>170.20125000000002</v>
      </c>
      <c r="BB322" s="425" t="s">
        <v>762</v>
      </c>
      <c r="BC322" s="425" t="s">
        <v>762</v>
      </c>
      <c r="BD322" s="425" t="s">
        <v>762</v>
      </c>
      <c r="BE322" s="425" t="s">
        <v>762</v>
      </c>
      <c r="BF322" s="425">
        <f t="shared" si="331"/>
        <v>232.47</v>
      </c>
      <c r="BG322" s="425" t="s">
        <v>762</v>
      </c>
      <c r="BH322" s="425" t="s">
        <v>762</v>
      </c>
      <c r="BI322" s="425">
        <f t="shared" si="332"/>
        <v>290.58749999999998</v>
      </c>
      <c r="BJ322" s="425" t="s">
        <v>762</v>
      </c>
      <c r="BK322" s="425" t="s">
        <v>762</v>
      </c>
      <c r="BL322" s="425">
        <f t="shared" si="333"/>
        <v>348.70499999999998</v>
      </c>
      <c r="BM322" s="425" t="s">
        <v>762</v>
      </c>
      <c r="BN322" s="425" t="s">
        <v>762</v>
      </c>
      <c r="BO322" s="425" t="s">
        <v>762</v>
      </c>
      <c r="BP322" s="425" t="s">
        <v>762</v>
      </c>
      <c r="BQ322" s="425" t="s">
        <v>762</v>
      </c>
      <c r="BR322" s="425" t="s">
        <v>762</v>
      </c>
      <c r="BS322" s="425" t="s">
        <v>762</v>
      </c>
      <c r="BT322" s="425" t="s">
        <v>762</v>
      </c>
      <c r="BU322" s="425" t="s">
        <v>762</v>
      </c>
      <c r="BV322" s="425" t="s">
        <v>762</v>
      </c>
      <c r="BW322" s="425" t="s">
        <v>762</v>
      </c>
      <c r="BX322" s="425" t="s">
        <v>762</v>
      </c>
      <c r="BY322" s="425" t="s">
        <v>762</v>
      </c>
      <c r="BZ322" s="425" t="s">
        <v>762</v>
      </c>
      <c r="CA322" s="425" t="s">
        <v>762</v>
      </c>
      <c r="CB322" s="425" t="s">
        <v>762</v>
      </c>
      <c r="CC322" s="425" t="s">
        <v>762</v>
      </c>
      <c r="CD322" s="425" t="s">
        <v>762</v>
      </c>
      <c r="CE322" s="425" t="s">
        <v>762</v>
      </c>
      <c r="CF322" s="425" t="s">
        <v>762</v>
      </c>
      <c r="CG322" s="424" t="s">
        <v>762</v>
      </c>
      <c r="CH322" s="425">
        <f t="shared" si="313"/>
        <v>33.682500000000005</v>
      </c>
      <c r="CI322" s="425">
        <f t="shared" si="341"/>
        <v>23.787000000000003</v>
      </c>
      <c r="CJ322" s="425">
        <f t="shared" si="342"/>
        <v>25.879500000000004</v>
      </c>
      <c r="CK322" s="425">
        <f t="shared" si="343"/>
        <v>22.6935</v>
      </c>
      <c r="CL322" s="425">
        <f t="shared" si="344"/>
        <v>23.247</v>
      </c>
      <c r="CN322" s="438"/>
    </row>
    <row r="323" spans="1:92" s="426" customFormat="1">
      <c r="A323" s="424" t="s">
        <v>603</v>
      </c>
      <c r="B323" s="424" t="s">
        <v>630</v>
      </c>
      <c r="C323" s="425">
        <f t="shared" si="306"/>
        <v>38.42</v>
      </c>
      <c r="D323" s="425">
        <f t="shared" si="347"/>
        <v>38.42</v>
      </c>
      <c r="E323" s="425">
        <f t="shared" si="347"/>
        <v>38.42</v>
      </c>
      <c r="F323" s="425">
        <f t="shared" si="347"/>
        <v>38.42</v>
      </c>
      <c r="G323" s="425">
        <f t="shared" si="347"/>
        <v>38.42</v>
      </c>
      <c r="H323" s="425">
        <f t="shared" si="347"/>
        <v>38.42</v>
      </c>
      <c r="I323" s="425">
        <f t="shared" si="347"/>
        <v>38.42</v>
      </c>
      <c r="J323" s="425">
        <f t="shared" si="347"/>
        <v>38.42</v>
      </c>
      <c r="K323" s="425">
        <f t="shared" si="347"/>
        <v>38.42</v>
      </c>
      <c r="L323" s="425">
        <f t="shared" si="347"/>
        <v>38.42</v>
      </c>
      <c r="M323" s="425" t="s">
        <v>762</v>
      </c>
      <c r="N323" s="425" t="s">
        <v>762</v>
      </c>
      <c r="O323" s="425" t="s">
        <v>762</v>
      </c>
      <c r="P323" s="425" t="s">
        <v>762</v>
      </c>
      <c r="Q323" s="425" t="s">
        <v>762</v>
      </c>
      <c r="R323" s="425" t="s">
        <v>762</v>
      </c>
      <c r="S323" s="425" t="s">
        <v>762</v>
      </c>
      <c r="T323" s="425" t="s">
        <v>762</v>
      </c>
      <c r="U323" s="425" t="s">
        <v>762</v>
      </c>
      <c r="V323" s="425">
        <f t="shared" si="347"/>
        <v>38.42</v>
      </c>
      <c r="W323" s="425">
        <f t="shared" si="347"/>
        <v>38.42</v>
      </c>
      <c r="X323" s="425">
        <f t="shared" si="307"/>
        <v>44.89</v>
      </c>
      <c r="Y323" s="425">
        <f t="shared" si="308"/>
        <v>46.63</v>
      </c>
      <c r="Z323" s="425">
        <f t="shared" si="309"/>
        <v>49.95</v>
      </c>
      <c r="AA323" s="425">
        <f t="shared" si="310"/>
        <v>51.77</v>
      </c>
      <c r="AB323" s="425">
        <f t="shared" si="311"/>
        <v>53.54</v>
      </c>
      <c r="AC323" s="425">
        <f t="shared" ref="AC323:AD323" si="358">$I815</f>
        <v>55.32</v>
      </c>
      <c r="AD323" s="425">
        <f t="shared" si="358"/>
        <v>55.32</v>
      </c>
      <c r="AE323" s="425" t="s">
        <v>762</v>
      </c>
      <c r="AF323" s="425" t="s">
        <v>762</v>
      </c>
      <c r="AG323" s="425">
        <f t="shared" si="322"/>
        <v>67.007250000000013</v>
      </c>
      <c r="AH323" s="425" t="s">
        <v>762</v>
      </c>
      <c r="AI323" s="425">
        <f t="shared" si="323"/>
        <v>89.343000000000018</v>
      </c>
      <c r="AJ323" s="425" t="s">
        <v>762</v>
      </c>
      <c r="AK323" s="425">
        <f t="shared" si="324"/>
        <v>111.67875000000002</v>
      </c>
      <c r="AL323" s="425">
        <f t="shared" si="325"/>
        <v>94.689000000000007</v>
      </c>
      <c r="AM323" s="425" t="s">
        <v>762</v>
      </c>
      <c r="AN323" s="425">
        <f t="shared" si="326"/>
        <v>110.47050000000002</v>
      </c>
      <c r="AO323" s="425" t="s">
        <v>762</v>
      </c>
      <c r="AP323" s="425">
        <f t="shared" si="327"/>
        <v>126.25200000000001</v>
      </c>
      <c r="AQ323" s="425" t="s">
        <v>762</v>
      </c>
      <c r="AR323" s="425">
        <f t="shared" si="328"/>
        <v>142.0335</v>
      </c>
      <c r="AS323" s="425" t="s">
        <v>762</v>
      </c>
      <c r="AT323" s="425">
        <f t="shared" si="329"/>
        <v>171.6525</v>
      </c>
      <c r="AU323" s="425" t="s">
        <v>762</v>
      </c>
      <c r="AV323" s="425" t="s">
        <v>762</v>
      </c>
      <c r="AW323" s="425" t="s">
        <v>762</v>
      </c>
      <c r="AX323" s="425" t="s">
        <v>762</v>
      </c>
      <c r="AY323" s="425" t="s">
        <v>762</v>
      </c>
      <c r="AZ323" s="425" t="s">
        <v>762</v>
      </c>
      <c r="BA323" s="425">
        <f t="shared" si="330"/>
        <v>225.99</v>
      </c>
      <c r="BB323" s="425" t="s">
        <v>762</v>
      </c>
      <c r="BC323" s="425" t="s">
        <v>762</v>
      </c>
      <c r="BD323" s="425" t="s">
        <v>762</v>
      </c>
      <c r="BE323" s="425" t="s">
        <v>762</v>
      </c>
      <c r="BF323" s="425">
        <f t="shared" si="331"/>
        <v>308.47500000000002</v>
      </c>
      <c r="BG323" s="425" t="s">
        <v>762</v>
      </c>
      <c r="BH323" s="425" t="s">
        <v>762</v>
      </c>
      <c r="BI323" s="425">
        <f t="shared" si="332"/>
        <v>385.59375000000006</v>
      </c>
      <c r="BJ323" s="425" t="s">
        <v>762</v>
      </c>
      <c r="BK323" s="425" t="s">
        <v>762</v>
      </c>
      <c r="BL323" s="425">
        <f t="shared" si="333"/>
        <v>462.71250000000003</v>
      </c>
      <c r="BM323" s="425" t="s">
        <v>762</v>
      </c>
      <c r="BN323" s="425" t="s">
        <v>762</v>
      </c>
      <c r="BO323" s="425" t="s">
        <v>762</v>
      </c>
      <c r="BP323" s="425" t="s">
        <v>762</v>
      </c>
      <c r="BQ323" s="425" t="s">
        <v>762</v>
      </c>
      <c r="BR323" s="425" t="s">
        <v>762</v>
      </c>
      <c r="BS323" s="425" t="s">
        <v>762</v>
      </c>
      <c r="BT323" s="425" t="s">
        <v>762</v>
      </c>
      <c r="BU323" s="425" t="s">
        <v>762</v>
      </c>
      <c r="BV323" s="425" t="s">
        <v>762</v>
      </c>
      <c r="BW323" s="425" t="s">
        <v>762</v>
      </c>
      <c r="BX323" s="425" t="s">
        <v>762</v>
      </c>
      <c r="BY323" s="425" t="s">
        <v>762</v>
      </c>
      <c r="BZ323" s="425" t="s">
        <v>762</v>
      </c>
      <c r="CA323" s="425" t="s">
        <v>762</v>
      </c>
      <c r="CB323" s="425" t="s">
        <v>762</v>
      </c>
      <c r="CC323" s="425" t="s">
        <v>762</v>
      </c>
      <c r="CD323" s="425" t="s">
        <v>762</v>
      </c>
      <c r="CE323" s="425" t="s">
        <v>762</v>
      </c>
      <c r="CF323" s="425" t="s">
        <v>762</v>
      </c>
      <c r="CG323" s="424" t="s">
        <v>762</v>
      </c>
      <c r="CH323" s="425">
        <f t="shared" si="313"/>
        <v>44.671500000000009</v>
      </c>
      <c r="CI323" s="425">
        <f t="shared" si="341"/>
        <v>31.563000000000002</v>
      </c>
      <c r="CJ323" s="425">
        <f t="shared" si="342"/>
        <v>34.330500000000001</v>
      </c>
      <c r="CK323" s="425">
        <f t="shared" si="343"/>
        <v>30.132000000000001</v>
      </c>
      <c r="CL323" s="425">
        <f t="shared" si="344"/>
        <v>30.847500000000004</v>
      </c>
      <c r="CN323" s="438"/>
    </row>
    <row r="324" spans="1:92" s="426" customFormat="1">
      <c r="A324" s="424" t="s">
        <v>604</v>
      </c>
      <c r="B324" s="424" t="s">
        <v>630</v>
      </c>
      <c r="C324" s="425">
        <f t="shared" si="306"/>
        <v>35.68</v>
      </c>
      <c r="D324" s="425">
        <f t="shared" si="347"/>
        <v>35.68</v>
      </c>
      <c r="E324" s="425">
        <f t="shared" si="347"/>
        <v>35.68</v>
      </c>
      <c r="F324" s="425">
        <f t="shared" si="347"/>
        <v>35.68</v>
      </c>
      <c r="G324" s="425">
        <f t="shared" si="347"/>
        <v>35.68</v>
      </c>
      <c r="H324" s="425">
        <f t="shared" si="347"/>
        <v>35.68</v>
      </c>
      <c r="I324" s="425">
        <f t="shared" si="347"/>
        <v>35.68</v>
      </c>
      <c r="J324" s="425">
        <f t="shared" si="347"/>
        <v>35.68</v>
      </c>
      <c r="K324" s="425">
        <f t="shared" si="347"/>
        <v>35.68</v>
      </c>
      <c r="L324" s="425">
        <f t="shared" si="347"/>
        <v>35.68</v>
      </c>
      <c r="M324" s="425" t="s">
        <v>762</v>
      </c>
      <c r="N324" s="425" t="s">
        <v>762</v>
      </c>
      <c r="O324" s="425" t="s">
        <v>762</v>
      </c>
      <c r="P324" s="425" t="s">
        <v>762</v>
      </c>
      <c r="Q324" s="425" t="s">
        <v>762</v>
      </c>
      <c r="R324" s="425" t="s">
        <v>762</v>
      </c>
      <c r="S324" s="425" t="s">
        <v>762</v>
      </c>
      <c r="T324" s="425" t="s">
        <v>762</v>
      </c>
      <c r="U324" s="425" t="s">
        <v>762</v>
      </c>
      <c r="V324" s="425">
        <f t="shared" si="347"/>
        <v>35.68</v>
      </c>
      <c r="W324" s="425">
        <f t="shared" si="347"/>
        <v>35.68</v>
      </c>
      <c r="X324" s="425">
        <f t="shared" si="307"/>
        <v>41.69</v>
      </c>
      <c r="Y324" s="425">
        <f t="shared" si="308"/>
        <v>43.3</v>
      </c>
      <c r="Z324" s="425">
        <f t="shared" si="309"/>
        <v>46.04</v>
      </c>
      <c r="AA324" s="425">
        <f t="shared" si="310"/>
        <v>47.7</v>
      </c>
      <c r="AB324" s="425">
        <f t="shared" si="311"/>
        <v>49.35</v>
      </c>
      <c r="AC324" s="425">
        <f t="shared" ref="AC324:AD324" si="359">$I816</f>
        <v>50.99</v>
      </c>
      <c r="AD324" s="425">
        <f t="shared" si="359"/>
        <v>50.99</v>
      </c>
      <c r="AE324" s="425" t="s">
        <v>762</v>
      </c>
      <c r="AF324" s="425" t="s">
        <v>762</v>
      </c>
      <c r="AG324" s="425">
        <f t="shared" si="322"/>
        <v>61.782750000000007</v>
      </c>
      <c r="AH324" s="425" t="s">
        <v>762</v>
      </c>
      <c r="AI324" s="425">
        <f t="shared" si="323"/>
        <v>82.37700000000001</v>
      </c>
      <c r="AJ324" s="425" t="s">
        <v>762</v>
      </c>
      <c r="AK324" s="425">
        <f t="shared" si="324"/>
        <v>102.97125000000001</v>
      </c>
      <c r="AL324" s="425">
        <f t="shared" si="325"/>
        <v>87.236999999999995</v>
      </c>
      <c r="AM324" s="425" t="s">
        <v>762</v>
      </c>
      <c r="AN324" s="425">
        <f t="shared" si="326"/>
        <v>101.7765</v>
      </c>
      <c r="AO324" s="425" t="s">
        <v>762</v>
      </c>
      <c r="AP324" s="425">
        <f t="shared" si="327"/>
        <v>116.316</v>
      </c>
      <c r="AQ324" s="425" t="s">
        <v>762</v>
      </c>
      <c r="AR324" s="425">
        <f t="shared" si="328"/>
        <v>130.85550000000001</v>
      </c>
      <c r="AS324" s="425" t="s">
        <v>762</v>
      </c>
      <c r="AT324" s="425">
        <f t="shared" si="329"/>
        <v>158.28750000000002</v>
      </c>
      <c r="AU324" s="425" t="s">
        <v>762</v>
      </c>
      <c r="AV324" s="425" t="s">
        <v>762</v>
      </c>
      <c r="AW324" s="425" t="s">
        <v>762</v>
      </c>
      <c r="AX324" s="425" t="s">
        <v>762</v>
      </c>
      <c r="AY324" s="425" t="s">
        <v>762</v>
      </c>
      <c r="AZ324" s="425" t="s">
        <v>762</v>
      </c>
      <c r="BA324" s="425">
        <f t="shared" si="330"/>
        <v>208.17000000000002</v>
      </c>
      <c r="BB324" s="425" t="s">
        <v>762</v>
      </c>
      <c r="BC324" s="425" t="s">
        <v>762</v>
      </c>
      <c r="BD324" s="425" t="s">
        <v>762</v>
      </c>
      <c r="BE324" s="425" t="s">
        <v>762</v>
      </c>
      <c r="BF324" s="425">
        <f t="shared" si="331"/>
        <v>284.31</v>
      </c>
      <c r="BG324" s="425" t="s">
        <v>762</v>
      </c>
      <c r="BH324" s="425" t="s">
        <v>762</v>
      </c>
      <c r="BI324" s="425">
        <f t="shared" si="332"/>
        <v>355.38749999999999</v>
      </c>
      <c r="BJ324" s="425" t="s">
        <v>762</v>
      </c>
      <c r="BK324" s="425" t="s">
        <v>762</v>
      </c>
      <c r="BL324" s="425">
        <f t="shared" si="333"/>
        <v>426.46500000000003</v>
      </c>
      <c r="BM324" s="425" t="s">
        <v>762</v>
      </c>
      <c r="BN324" s="425" t="s">
        <v>762</v>
      </c>
      <c r="BO324" s="425" t="s">
        <v>762</v>
      </c>
      <c r="BP324" s="425" t="s">
        <v>762</v>
      </c>
      <c r="BQ324" s="425" t="s">
        <v>762</v>
      </c>
      <c r="BR324" s="425" t="s">
        <v>762</v>
      </c>
      <c r="BS324" s="425" t="s">
        <v>762</v>
      </c>
      <c r="BT324" s="425" t="s">
        <v>762</v>
      </c>
      <c r="BU324" s="425" t="s">
        <v>762</v>
      </c>
      <c r="BV324" s="425" t="s">
        <v>762</v>
      </c>
      <c r="BW324" s="425" t="s">
        <v>762</v>
      </c>
      <c r="BX324" s="425" t="s">
        <v>762</v>
      </c>
      <c r="BY324" s="425" t="s">
        <v>762</v>
      </c>
      <c r="BZ324" s="425" t="s">
        <v>762</v>
      </c>
      <c r="CA324" s="425" t="s">
        <v>762</v>
      </c>
      <c r="CB324" s="425" t="s">
        <v>762</v>
      </c>
      <c r="CC324" s="425" t="s">
        <v>762</v>
      </c>
      <c r="CD324" s="425" t="s">
        <v>762</v>
      </c>
      <c r="CE324" s="425" t="s">
        <v>762</v>
      </c>
      <c r="CF324" s="425" t="s">
        <v>762</v>
      </c>
      <c r="CG324" s="424" t="s">
        <v>762</v>
      </c>
      <c r="CH324" s="425">
        <f t="shared" si="313"/>
        <v>41.188500000000005</v>
      </c>
      <c r="CI324" s="425">
        <f t="shared" si="341"/>
        <v>29.079000000000001</v>
      </c>
      <c r="CJ324" s="425">
        <f t="shared" si="342"/>
        <v>31.657500000000002</v>
      </c>
      <c r="CK324" s="425">
        <f t="shared" si="343"/>
        <v>27.756</v>
      </c>
      <c r="CL324" s="425">
        <f t="shared" si="344"/>
        <v>28.431000000000001</v>
      </c>
      <c r="CN324" s="438"/>
    </row>
    <row r="325" spans="1:92" s="426" customFormat="1">
      <c r="A325" s="424" t="s">
        <v>605</v>
      </c>
      <c r="B325" s="424" t="s">
        <v>630</v>
      </c>
      <c r="C325" s="425">
        <f t="shared" si="306"/>
        <v>36.61</v>
      </c>
      <c r="D325" s="425">
        <f t="shared" si="347"/>
        <v>36.61</v>
      </c>
      <c r="E325" s="425">
        <f t="shared" si="347"/>
        <v>36.61</v>
      </c>
      <c r="F325" s="425">
        <f t="shared" si="347"/>
        <v>36.61</v>
      </c>
      <c r="G325" s="425">
        <f t="shared" si="347"/>
        <v>36.61</v>
      </c>
      <c r="H325" s="425">
        <f t="shared" si="347"/>
        <v>36.61</v>
      </c>
      <c r="I325" s="425">
        <f t="shared" si="347"/>
        <v>36.61</v>
      </c>
      <c r="J325" s="425">
        <f t="shared" si="347"/>
        <v>36.61</v>
      </c>
      <c r="K325" s="425">
        <f t="shared" si="347"/>
        <v>36.61</v>
      </c>
      <c r="L325" s="425">
        <f t="shared" si="347"/>
        <v>36.61</v>
      </c>
      <c r="M325" s="425" t="s">
        <v>762</v>
      </c>
      <c r="N325" s="425" t="s">
        <v>762</v>
      </c>
      <c r="O325" s="425" t="s">
        <v>762</v>
      </c>
      <c r="P325" s="425" t="s">
        <v>762</v>
      </c>
      <c r="Q325" s="425" t="s">
        <v>762</v>
      </c>
      <c r="R325" s="425" t="s">
        <v>762</v>
      </c>
      <c r="S325" s="425" t="s">
        <v>762</v>
      </c>
      <c r="T325" s="425" t="s">
        <v>762</v>
      </c>
      <c r="U325" s="425" t="s">
        <v>762</v>
      </c>
      <c r="V325" s="425">
        <f t="shared" si="347"/>
        <v>36.61</v>
      </c>
      <c r="W325" s="425">
        <f t="shared" si="347"/>
        <v>36.61</v>
      </c>
      <c r="X325" s="425">
        <f t="shared" si="307"/>
        <v>42.8</v>
      </c>
      <c r="Y325" s="425">
        <f t="shared" si="308"/>
        <v>44.46</v>
      </c>
      <c r="Z325" s="425">
        <f t="shared" si="309"/>
        <v>48.06</v>
      </c>
      <c r="AA325" s="425">
        <f t="shared" si="310"/>
        <v>49.77</v>
      </c>
      <c r="AB325" s="425">
        <f t="shared" si="311"/>
        <v>51.49</v>
      </c>
      <c r="AC325" s="425">
        <f t="shared" ref="AC325:AD325" si="360">$I817</f>
        <v>53.2</v>
      </c>
      <c r="AD325" s="425">
        <f t="shared" si="360"/>
        <v>53.2</v>
      </c>
      <c r="AE325" s="425" t="s">
        <v>762</v>
      </c>
      <c r="AF325" s="425" t="s">
        <v>762</v>
      </c>
      <c r="AG325" s="425">
        <f t="shared" si="322"/>
        <v>64.455749999999995</v>
      </c>
      <c r="AH325" s="425" t="s">
        <v>762</v>
      </c>
      <c r="AI325" s="425">
        <f t="shared" si="323"/>
        <v>85.941000000000003</v>
      </c>
      <c r="AJ325" s="425" t="s">
        <v>762</v>
      </c>
      <c r="AK325" s="425">
        <f t="shared" si="324"/>
        <v>107.42625000000001</v>
      </c>
      <c r="AL325" s="425">
        <f t="shared" si="325"/>
        <v>91.044000000000011</v>
      </c>
      <c r="AM325" s="425" t="s">
        <v>762</v>
      </c>
      <c r="AN325" s="425">
        <f t="shared" si="326"/>
        <v>106.218</v>
      </c>
      <c r="AO325" s="425" t="s">
        <v>762</v>
      </c>
      <c r="AP325" s="425">
        <f t="shared" si="327"/>
        <v>121.39200000000001</v>
      </c>
      <c r="AQ325" s="425" t="s">
        <v>762</v>
      </c>
      <c r="AR325" s="425">
        <f t="shared" si="328"/>
        <v>136.566</v>
      </c>
      <c r="AS325" s="425" t="s">
        <v>762</v>
      </c>
      <c r="AT325" s="425">
        <f t="shared" si="329"/>
        <v>165.10500000000002</v>
      </c>
      <c r="AU325" s="425" t="s">
        <v>762</v>
      </c>
      <c r="AV325" s="425" t="s">
        <v>762</v>
      </c>
      <c r="AW325" s="425" t="s">
        <v>762</v>
      </c>
      <c r="AX325" s="425" t="s">
        <v>762</v>
      </c>
      <c r="AY325" s="425" t="s">
        <v>762</v>
      </c>
      <c r="AZ325" s="425" t="s">
        <v>762</v>
      </c>
      <c r="BA325" s="425">
        <f t="shared" si="330"/>
        <v>217.38374999999999</v>
      </c>
      <c r="BB325" s="425" t="s">
        <v>762</v>
      </c>
      <c r="BC325" s="425" t="s">
        <v>762</v>
      </c>
      <c r="BD325" s="425" t="s">
        <v>762</v>
      </c>
      <c r="BE325" s="425" t="s">
        <v>762</v>
      </c>
      <c r="BF325" s="425">
        <f t="shared" si="331"/>
        <v>296.73</v>
      </c>
      <c r="BG325" s="425" t="s">
        <v>762</v>
      </c>
      <c r="BH325" s="425" t="s">
        <v>762</v>
      </c>
      <c r="BI325" s="425">
        <f t="shared" si="332"/>
        <v>370.91250000000002</v>
      </c>
      <c r="BJ325" s="425" t="s">
        <v>762</v>
      </c>
      <c r="BK325" s="425" t="s">
        <v>762</v>
      </c>
      <c r="BL325" s="425">
        <f t="shared" si="333"/>
        <v>445.09500000000003</v>
      </c>
      <c r="BM325" s="425" t="s">
        <v>762</v>
      </c>
      <c r="BN325" s="425" t="s">
        <v>762</v>
      </c>
      <c r="BO325" s="425" t="s">
        <v>762</v>
      </c>
      <c r="BP325" s="425" t="s">
        <v>762</v>
      </c>
      <c r="BQ325" s="425" t="s">
        <v>762</v>
      </c>
      <c r="BR325" s="425" t="s">
        <v>762</v>
      </c>
      <c r="BS325" s="425" t="s">
        <v>762</v>
      </c>
      <c r="BT325" s="425" t="s">
        <v>762</v>
      </c>
      <c r="BU325" s="425" t="s">
        <v>762</v>
      </c>
      <c r="BV325" s="425" t="s">
        <v>762</v>
      </c>
      <c r="BW325" s="425" t="s">
        <v>762</v>
      </c>
      <c r="BX325" s="425" t="s">
        <v>762</v>
      </c>
      <c r="BY325" s="425" t="s">
        <v>762</v>
      </c>
      <c r="BZ325" s="425" t="s">
        <v>762</v>
      </c>
      <c r="CA325" s="425" t="s">
        <v>762</v>
      </c>
      <c r="CB325" s="425" t="s">
        <v>762</v>
      </c>
      <c r="CC325" s="425" t="s">
        <v>762</v>
      </c>
      <c r="CD325" s="425" t="s">
        <v>762</v>
      </c>
      <c r="CE325" s="425" t="s">
        <v>762</v>
      </c>
      <c r="CF325" s="425" t="s">
        <v>762</v>
      </c>
      <c r="CG325" s="424" t="s">
        <v>762</v>
      </c>
      <c r="CH325" s="425">
        <f t="shared" si="313"/>
        <v>42.970500000000001</v>
      </c>
      <c r="CI325" s="425">
        <f t="shared" si="341"/>
        <v>30.348000000000003</v>
      </c>
      <c r="CJ325" s="425">
        <f t="shared" si="342"/>
        <v>33.021000000000001</v>
      </c>
      <c r="CK325" s="425">
        <f t="shared" si="343"/>
        <v>28.984500000000001</v>
      </c>
      <c r="CL325" s="425">
        <f t="shared" si="344"/>
        <v>29.673000000000002</v>
      </c>
      <c r="CN325" s="438"/>
    </row>
    <row r="326" spans="1:92" s="426" customFormat="1">
      <c r="A326" s="424" t="s">
        <v>606</v>
      </c>
      <c r="B326" s="424" t="s">
        <v>630</v>
      </c>
      <c r="C326" s="425">
        <f t="shared" si="306"/>
        <v>33.090000000000003</v>
      </c>
      <c r="D326" s="425">
        <f t="shared" si="347"/>
        <v>33.090000000000003</v>
      </c>
      <c r="E326" s="425">
        <f t="shared" si="347"/>
        <v>33.090000000000003</v>
      </c>
      <c r="F326" s="425">
        <f t="shared" si="347"/>
        <v>33.090000000000003</v>
      </c>
      <c r="G326" s="425">
        <f t="shared" si="347"/>
        <v>33.090000000000003</v>
      </c>
      <c r="H326" s="425">
        <f t="shared" si="347"/>
        <v>33.090000000000003</v>
      </c>
      <c r="I326" s="425">
        <f t="shared" si="347"/>
        <v>33.090000000000003</v>
      </c>
      <c r="J326" s="425">
        <f t="shared" si="347"/>
        <v>33.090000000000003</v>
      </c>
      <c r="K326" s="425">
        <f t="shared" si="347"/>
        <v>33.090000000000003</v>
      </c>
      <c r="L326" s="425">
        <f t="shared" si="347"/>
        <v>33.090000000000003</v>
      </c>
      <c r="M326" s="425" t="s">
        <v>762</v>
      </c>
      <c r="N326" s="425" t="s">
        <v>762</v>
      </c>
      <c r="O326" s="425" t="s">
        <v>762</v>
      </c>
      <c r="P326" s="425" t="s">
        <v>762</v>
      </c>
      <c r="Q326" s="425" t="s">
        <v>762</v>
      </c>
      <c r="R326" s="425" t="s">
        <v>762</v>
      </c>
      <c r="S326" s="425" t="s">
        <v>762</v>
      </c>
      <c r="T326" s="425" t="s">
        <v>762</v>
      </c>
      <c r="U326" s="425" t="s">
        <v>762</v>
      </c>
      <c r="V326" s="425">
        <f t="shared" si="347"/>
        <v>33.090000000000003</v>
      </c>
      <c r="W326" s="425">
        <f t="shared" si="347"/>
        <v>33.090000000000003</v>
      </c>
      <c r="X326" s="425">
        <f t="shared" si="307"/>
        <v>38.68</v>
      </c>
      <c r="Y326" s="425">
        <f t="shared" si="308"/>
        <v>40.159999999999997</v>
      </c>
      <c r="Z326" s="425">
        <f t="shared" si="309"/>
        <v>42.99</v>
      </c>
      <c r="AA326" s="425">
        <f t="shared" si="310"/>
        <v>44.55</v>
      </c>
      <c r="AB326" s="425">
        <f t="shared" si="311"/>
        <v>46.08</v>
      </c>
      <c r="AC326" s="425">
        <f t="shared" ref="AC326:AD326" si="361">$I818</f>
        <v>47.6</v>
      </c>
      <c r="AD326" s="425">
        <f t="shared" si="361"/>
        <v>47.6</v>
      </c>
      <c r="AE326" s="425" t="s">
        <v>762</v>
      </c>
      <c r="AF326" s="425" t="s">
        <v>762</v>
      </c>
      <c r="AG326" s="425">
        <f t="shared" si="322"/>
        <v>57.712500000000006</v>
      </c>
      <c r="AH326" s="425" t="s">
        <v>762</v>
      </c>
      <c r="AI326" s="425">
        <f t="shared" si="323"/>
        <v>76.95</v>
      </c>
      <c r="AJ326" s="425" t="s">
        <v>762</v>
      </c>
      <c r="AK326" s="425">
        <f t="shared" si="324"/>
        <v>96.1875</v>
      </c>
      <c r="AL326" s="425">
        <f t="shared" si="325"/>
        <v>81.44550000000001</v>
      </c>
      <c r="AM326" s="425" t="s">
        <v>762</v>
      </c>
      <c r="AN326" s="425">
        <f t="shared" si="326"/>
        <v>95.019750000000002</v>
      </c>
      <c r="AO326" s="425" t="s">
        <v>762</v>
      </c>
      <c r="AP326" s="425">
        <f t="shared" si="327"/>
        <v>108.59400000000001</v>
      </c>
      <c r="AQ326" s="425" t="s">
        <v>762</v>
      </c>
      <c r="AR326" s="425">
        <f t="shared" si="328"/>
        <v>122.16825000000001</v>
      </c>
      <c r="AS326" s="425" t="s">
        <v>762</v>
      </c>
      <c r="AT326" s="425">
        <f t="shared" si="329"/>
        <v>147.75750000000002</v>
      </c>
      <c r="AU326" s="425" t="s">
        <v>762</v>
      </c>
      <c r="AV326" s="425" t="s">
        <v>762</v>
      </c>
      <c r="AW326" s="425" t="s">
        <v>762</v>
      </c>
      <c r="AX326" s="425" t="s">
        <v>762</v>
      </c>
      <c r="AY326" s="425" t="s">
        <v>762</v>
      </c>
      <c r="AZ326" s="425" t="s">
        <v>762</v>
      </c>
      <c r="BA326" s="425">
        <f t="shared" si="330"/>
        <v>194.4</v>
      </c>
      <c r="BB326" s="425" t="s">
        <v>762</v>
      </c>
      <c r="BC326" s="425" t="s">
        <v>762</v>
      </c>
      <c r="BD326" s="425" t="s">
        <v>762</v>
      </c>
      <c r="BE326" s="425" t="s">
        <v>762</v>
      </c>
      <c r="BF326" s="425">
        <f t="shared" si="331"/>
        <v>265.54500000000007</v>
      </c>
      <c r="BG326" s="425" t="s">
        <v>762</v>
      </c>
      <c r="BH326" s="425" t="s">
        <v>762</v>
      </c>
      <c r="BI326" s="425">
        <f t="shared" si="332"/>
        <v>331.93125000000003</v>
      </c>
      <c r="BJ326" s="425" t="s">
        <v>762</v>
      </c>
      <c r="BK326" s="425" t="s">
        <v>762</v>
      </c>
      <c r="BL326" s="425">
        <f t="shared" si="333"/>
        <v>398.31750000000005</v>
      </c>
      <c r="BM326" s="425" t="s">
        <v>762</v>
      </c>
      <c r="BN326" s="425" t="s">
        <v>762</v>
      </c>
      <c r="BO326" s="425" t="s">
        <v>762</v>
      </c>
      <c r="BP326" s="425" t="s">
        <v>762</v>
      </c>
      <c r="BQ326" s="425" t="s">
        <v>762</v>
      </c>
      <c r="BR326" s="425" t="s">
        <v>762</v>
      </c>
      <c r="BS326" s="425" t="s">
        <v>762</v>
      </c>
      <c r="BT326" s="425" t="s">
        <v>762</v>
      </c>
      <c r="BU326" s="425" t="s">
        <v>762</v>
      </c>
      <c r="BV326" s="425" t="s">
        <v>762</v>
      </c>
      <c r="BW326" s="425" t="s">
        <v>762</v>
      </c>
      <c r="BX326" s="425" t="s">
        <v>762</v>
      </c>
      <c r="BY326" s="425" t="s">
        <v>762</v>
      </c>
      <c r="BZ326" s="425" t="s">
        <v>762</v>
      </c>
      <c r="CA326" s="425" t="s">
        <v>762</v>
      </c>
      <c r="CB326" s="425" t="s">
        <v>762</v>
      </c>
      <c r="CC326" s="425" t="s">
        <v>762</v>
      </c>
      <c r="CD326" s="425" t="s">
        <v>762</v>
      </c>
      <c r="CE326" s="425" t="s">
        <v>762</v>
      </c>
      <c r="CF326" s="425" t="s">
        <v>762</v>
      </c>
      <c r="CG326" s="424" t="s">
        <v>762</v>
      </c>
      <c r="CH326" s="425">
        <f t="shared" si="313"/>
        <v>38.475000000000001</v>
      </c>
      <c r="CI326" s="425">
        <f t="shared" si="341"/>
        <v>27.148500000000002</v>
      </c>
      <c r="CJ326" s="425">
        <f t="shared" si="342"/>
        <v>29.551500000000004</v>
      </c>
      <c r="CK326" s="425">
        <f t="shared" si="343"/>
        <v>25.92</v>
      </c>
      <c r="CL326" s="425">
        <f t="shared" si="344"/>
        <v>26.554500000000004</v>
      </c>
      <c r="CN326" s="438"/>
    </row>
    <row r="327" spans="1:92" s="426" customFormat="1">
      <c r="A327" s="424" t="s">
        <v>607</v>
      </c>
      <c r="B327" s="424" t="s">
        <v>630</v>
      </c>
      <c r="C327" s="425">
        <f t="shared" si="306"/>
        <v>58.9</v>
      </c>
      <c r="D327" s="425">
        <f t="shared" si="347"/>
        <v>58.9</v>
      </c>
      <c r="E327" s="425">
        <f t="shared" si="347"/>
        <v>58.9</v>
      </c>
      <c r="F327" s="425">
        <f t="shared" si="347"/>
        <v>58.9</v>
      </c>
      <c r="G327" s="425">
        <f t="shared" si="347"/>
        <v>58.9</v>
      </c>
      <c r="H327" s="425">
        <f t="shared" si="347"/>
        <v>58.9</v>
      </c>
      <c r="I327" s="425">
        <f t="shared" si="347"/>
        <v>58.9</v>
      </c>
      <c r="J327" s="425">
        <f t="shared" si="347"/>
        <v>58.9</v>
      </c>
      <c r="K327" s="425">
        <f t="shared" si="347"/>
        <v>58.9</v>
      </c>
      <c r="L327" s="425">
        <f t="shared" si="347"/>
        <v>58.9</v>
      </c>
      <c r="M327" s="425" t="s">
        <v>762</v>
      </c>
      <c r="N327" s="425" t="s">
        <v>762</v>
      </c>
      <c r="O327" s="425" t="s">
        <v>762</v>
      </c>
      <c r="P327" s="425" t="s">
        <v>762</v>
      </c>
      <c r="Q327" s="425" t="s">
        <v>762</v>
      </c>
      <c r="R327" s="425" t="s">
        <v>762</v>
      </c>
      <c r="S327" s="425" t="s">
        <v>762</v>
      </c>
      <c r="T327" s="425" t="s">
        <v>762</v>
      </c>
      <c r="U327" s="425" t="s">
        <v>762</v>
      </c>
      <c r="V327" s="425">
        <f t="shared" si="347"/>
        <v>58.9</v>
      </c>
      <c r="W327" s="425">
        <f t="shared" si="347"/>
        <v>58.9</v>
      </c>
      <c r="X327" s="425">
        <f t="shared" si="307"/>
        <v>68.83</v>
      </c>
      <c r="Y327" s="425">
        <f t="shared" si="308"/>
        <v>71.47</v>
      </c>
      <c r="Z327" s="425">
        <f t="shared" si="309"/>
        <v>79.239999999999995</v>
      </c>
      <c r="AA327" s="425">
        <f t="shared" si="310"/>
        <v>82.07</v>
      </c>
      <c r="AB327" s="425">
        <f t="shared" si="311"/>
        <v>84.92</v>
      </c>
      <c r="AC327" s="425">
        <f t="shared" ref="AC327:AD327" si="362">$I819</f>
        <v>87.74</v>
      </c>
      <c r="AD327" s="425">
        <f t="shared" si="362"/>
        <v>87.74</v>
      </c>
      <c r="AE327" s="425" t="s">
        <v>762</v>
      </c>
      <c r="AF327" s="425" t="s">
        <v>762</v>
      </c>
      <c r="AG327" s="425">
        <f t="shared" si="322"/>
        <v>106.35300000000002</v>
      </c>
      <c r="AH327" s="425" t="s">
        <v>762</v>
      </c>
      <c r="AI327" s="425">
        <f t="shared" si="323"/>
        <v>141.80400000000003</v>
      </c>
      <c r="AJ327" s="425" t="s">
        <v>762</v>
      </c>
      <c r="AK327" s="425">
        <f t="shared" si="324"/>
        <v>177.25500000000005</v>
      </c>
      <c r="AL327" s="425">
        <f t="shared" si="325"/>
        <v>150.09300000000002</v>
      </c>
      <c r="AM327" s="425" t="s">
        <v>762</v>
      </c>
      <c r="AN327" s="425">
        <f t="shared" si="326"/>
        <v>175.10850000000002</v>
      </c>
      <c r="AO327" s="425" t="s">
        <v>762</v>
      </c>
      <c r="AP327" s="425">
        <f t="shared" si="327"/>
        <v>200.12400000000002</v>
      </c>
      <c r="AQ327" s="425" t="s">
        <v>762</v>
      </c>
      <c r="AR327" s="425">
        <f t="shared" si="328"/>
        <v>225.13950000000003</v>
      </c>
      <c r="AS327" s="425" t="s">
        <v>762</v>
      </c>
      <c r="AT327" s="425">
        <f t="shared" si="329"/>
        <v>272.43</v>
      </c>
      <c r="AU327" s="425" t="s">
        <v>762</v>
      </c>
      <c r="AV327" s="425" t="s">
        <v>762</v>
      </c>
      <c r="AW327" s="425" t="s">
        <v>762</v>
      </c>
      <c r="AX327" s="425" t="s">
        <v>762</v>
      </c>
      <c r="AY327" s="425" t="s">
        <v>762</v>
      </c>
      <c r="AZ327" s="425" t="s">
        <v>762</v>
      </c>
      <c r="BA327" s="425">
        <f t="shared" si="330"/>
        <v>358.12124999999997</v>
      </c>
      <c r="BB327" s="425" t="s">
        <v>762</v>
      </c>
      <c r="BC327" s="425" t="s">
        <v>762</v>
      </c>
      <c r="BD327" s="425" t="s">
        <v>762</v>
      </c>
      <c r="BE327" s="425" t="s">
        <v>762</v>
      </c>
      <c r="BF327" s="425">
        <f t="shared" si="331"/>
        <v>489.24000000000007</v>
      </c>
      <c r="BG327" s="425" t="s">
        <v>762</v>
      </c>
      <c r="BH327" s="425" t="s">
        <v>762</v>
      </c>
      <c r="BI327" s="425">
        <f t="shared" si="332"/>
        <v>611.55000000000007</v>
      </c>
      <c r="BJ327" s="425" t="s">
        <v>762</v>
      </c>
      <c r="BK327" s="425" t="s">
        <v>762</v>
      </c>
      <c r="BL327" s="425">
        <f t="shared" si="333"/>
        <v>733.86000000000013</v>
      </c>
      <c r="BM327" s="425" t="s">
        <v>762</v>
      </c>
      <c r="BN327" s="425" t="s">
        <v>762</v>
      </c>
      <c r="BO327" s="425" t="s">
        <v>762</v>
      </c>
      <c r="BP327" s="425" t="s">
        <v>762</v>
      </c>
      <c r="BQ327" s="425" t="s">
        <v>762</v>
      </c>
      <c r="BR327" s="425" t="s">
        <v>762</v>
      </c>
      <c r="BS327" s="425" t="s">
        <v>762</v>
      </c>
      <c r="BT327" s="425" t="s">
        <v>762</v>
      </c>
      <c r="BU327" s="425" t="s">
        <v>762</v>
      </c>
      <c r="BV327" s="425" t="s">
        <v>762</v>
      </c>
      <c r="BW327" s="425" t="s">
        <v>762</v>
      </c>
      <c r="BX327" s="425" t="s">
        <v>762</v>
      </c>
      <c r="BY327" s="425" t="s">
        <v>762</v>
      </c>
      <c r="BZ327" s="425" t="s">
        <v>762</v>
      </c>
      <c r="CA327" s="425" t="s">
        <v>762</v>
      </c>
      <c r="CB327" s="425" t="s">
        <v>762</v>
      </c>
      <c r="CC327" s="425" t="s">
        <v>762</v>
      </c>
      <c r="CD327" s="425" t="s">
        <v>762</v>
      </c>
      <c r="CE327" s="425" t="s">
        <v>762</v>
      </c>
      <c r="CF327" s="425" t="s">
        <v>762</v>
      </c>
      <c r="CG327" s="424" t="s">
        <v>762</v>
      </c>
      <c r="CH327" s="425">
        <f t="shared" si="313"/>
        <v>70.902000000000015</v>
      </c>
      <c r="CI327" s="425">
        <f t="shared" si="341"/>
        <v>50.031000000000006</v>
      </c>
      <c r="CJ327" s="425">
        <f t="shared" si="342"/>
        <v>54.486000000000004</v>
      </c>
      <c r="CK327" s="425">
        <f t="shared" si="343"/>
        <v>47.749499999999998</v>
      </c>
      <c r="CL327" s="425">
        <f t="shared" si="344"/>
        <v>48.924000000000007</v>
      </c>
      <c r="CN327" s="438"/>
    </row>
    <row r="328" spans="1:92" s="426" customFormat="1">
      <c r="A328" s="424" t="s">
        <v>608</v>
      </c>
      <c r="B328" s="424" t="s">
        <v>630</v>
      </c>
      <c r="C328" s="425">
        <f t="shared" si="306"/>
        <v>49.32</v>
      </c>
      <c r="D328" s="425">
        <f t="shared" si="347"/>
        <v>49.32</v>
      </c>
      <c r="E328" s="425">
        <f t="shared" si="347"/>
        <v>49.32</v>
      </c>
      <c r="F328" s="425">
        <f t="shared" si="347"/>
        <v>49.32</v>
      </c>
      <c r="G328" s="425">
        <f t="shared" si="347"/>
        <v>49.32</v>
      </c>
      <c r="H328" s="425">
        <f t="shared" si="347"/>
        <v>49.32</v>
      </c>
      <c r="I328" s="425">
        <f t="shared" si="347"/>
        <v>49.32</v>
      </c>
      <c r="J328" s="425">
        <f t="shared" si="347"/>
        <v>49.32</v>
      </c>
      <c r="K328" s="425">
        <f t="shared" si="347"/>
        <v>49.32</v>
      </c>
      <c r="L328" s="425">
        <f t="shared" si="347"/>
        <v>49.32</v>
      </c>
      <c r="M328" s="425" t="s">
        <v>762</v>
      </c>
      <c r="N328" s="425" t="s">
        <v>762</v>
      </c>
      <c r="O328" s="425" t="s">
        <v>762</v>
      </c>
      <c r="P328" s="425" t="s">
        <v>762</v>
      </c>
      <c r="Q328" s="425" t="s">
        <v>762</v>
      </c>
      <c r="R328" s="425" t="s">
        <v>762</v>
      </c>
      <c r="S328" s="425" t="s">
        <v>762</v>
      </c>
      <c r="T328" s="425" t="s">
        <v>762</v>
      </c>
      <c r="U328" s="425" t="s">
        <v>762</v>
      </c>
      <c r="V328" s="425">
        <f t="shared" si="347"/>
        <v>49.32</v>
      </c>
      <c r="W328" s="425">
        <f t="shared" si="347"/>
        <v>49.32</v>
      </c>
      <c r="X328" s="425">
        <f t="shared" si="307"/>
        <v>57.63</v>
      </c>
      <c r="Y328" s="425">
        <f t="shared" si="308"/>
        <v>59.85</v>
      </c>
      <c r="Z328" s="425">
        <f t="shared" si="309"/>
        <v>66.209999999999994</v>
      </c>
      <c r="AA328" s="425">
        <f t="shared" si="310"/>
        <v>68.59</v>
      </c>
      <c r="AB328" s="425">
        <f t="shared" si="311"/>
        <v>70.95</v>
      </c>
      <c r="AC328" s="425">
        <f t="shared" ref="AC328:AD328" si="363">$I820</f>
        <v>73.290000000000006</v>
      </c>
      <c r="AD328" s="425">
        <f t="shared" si="363"/>
        <v>73.290000000000006</v>
      </c>
      <c r="AE328" s="425" t="s">
        <v>762</v>
      </c>
      <c r="AF328" s="425" t="s">
        <v>762</v>
      </c>
      <c r="AG328" s="425">
        <f t="shared" si="322"/>
        <v>88.816500000000005</v>
      </c>
      <c r="AH328" s="425" t="s">
        <v>762</v>
      </c>
      <c r="AI328" s="425">
        <f t="shared" si="323"/>
        <v>118.42200000000001</v>
      </c>
      <c r="AJ328" s="425" t="s">
        <v>762</v>
      </c>
      <c r="AK328" s="425">
        <f t="shared" si="324"/>
        <v>148.0275</v>
      </c>
      <c r="AL328" s="425">
        <f t="shared" si="325"/>
        <v>125.38800000000002</v>
      </c>
      <c r="AM328" s="425" t="s">
        <v>762</v>
      </c>
      <c r="AN328" s="425">
        <f t="shared" si="326"/>
        <v>146.28600000000003</v>
      </c>
      <c r="AO328" s="425" t="s">
        <v>762</v>
      </c>
      <c r="AP328" s="425">
        <f t="shared" si="327"/>
        <v>167.18400000000003</v>
      </c>
      <c r="AQ328" s="425" t="s">
        <v>762</v>
      </c>
      <c r="AR328" s="425">
        <f t="shared" si="328"/>
        <v>188.08200000000002</v>
      </c>
      <c r="AS328" s="425" t="s">
        <v>762</v>
      </c>
      <c r="AT328" s="425">
        <f t="shared" si="329"/>
        <v>227.60999999999999</v>
      </c>
      <c r="AU328" s="425" t="s">
        <v>762</v>
      </c>
      <c r="AV328" s="425" t="s">
        <v>762</v>
      </c>
      <c r="AW328" s="425" t="s">
        <v>762</v>
      </c>
      <c r="AX328" s="425" t="s">
        <v>762</v>
      </c>
      <c r="AY328" s="425" t="s">
        <v>762</v>
      </c>
      <c r="AZ328" s="425" t="s">
        <v>762</v>
      </c>
      <c r="BA328" s="425">
        <f t="shared" si="330"/>
        <v>299.29500000000002</v>
      </c>
      <c r="BB328" s="425" t="s">
        <v>762</v>
      </c>
      <c r="BC328" s="425" t="s">
        <v>762</v>
      </c>
      <c r="BD328" s="425" t="s">
        <v>762</v>
      </c>
      <c r="BE328" s="425" t="s">
        <v>762</v>
      </c>
      <c r="BF328" s="425">
        <f t="shared" si="331"/>
        <v>408.64499999999998</v>
      </c>
      <c r="BG328" s="425" t="s">
        <v>762</v>
      </c>
      <c r="BH328" s="425" t="s">
        <v>762</v>
      </c>
      <c r="BI328" s="425">
        <f t="shared" si="332"/>
        <v>510.80624999999998</v>
      </c>
      <c r="BJ328" s="425" t="s">
        <v>762</v>
      </c>
      <c r="BK328" s="425" t="s">
        <v>762</v>
      </c>
      <c r="BL328" s="425">
        <f t="shared" si="333"/>
        <v>612.96749999999997</v>
      </c>
      <c r="BM328" s="425" t="s">
        <v>762</v>
      </c>
      <c r="BN328" s="425" t="s">
        <v>762</v>
      </c>
      <c r="BO328" s="425" t="s">
        <v>762</v>
      </c>
      <c r="BP328" s="425" t="s">
        <v>762</v>
      </c>
      <c r="BQ328" s="425" t="s">
        <v>762</v>
      </c>
      <c r="BR328" s="425" t="s">
        <v>762</v>
      </c>
      <c r="BS328" s="425" t="s">
        <v>762</v>
      </c>
      <c r="BT328" s="425" t="s">
        <v>762</v>
      </c>
      <c r="BU328" s="425" t="s">
        <v>762</v>
      </c>
      <c r="BV328" s="425" t="s">
        <v>762</v>
      </c>
      <c r="BW328" s="425" t="s">
        <v>762</v>
      </c>
      <c r="BX328" s="425" t="s">
        <v>762</v>
      </c>
      <c r="BY328" s="425" t="s">
        <v>762</v>
      </c>
      <c r="BZ328" s="425" t="s">
        <v>762</v>
      </c>
      <c r="CA328" s="425" t="s">
        <v>762</v>
      </c>
      <c r="CB328" s="425" t="s">
        <v>762</v>
      </c>
      <c r="CC328" s="425" t="s">
        <v>762</v>
      </c>
      <c r="CD328" s="425" t="s">
        <v>762</v>
      </c>
      <c r="CE328" s="425" t="s">
        <v>762</v>
      </c>
      <c r="CF328" s="425" t="s">
        <v>762</v>
      </c>
      <c r="CG328" s="424" t="s">
        <v>762</v>
      </c>
      <c r="CH328" s="425">
        <f t="shared" si="313"/>
        <v>59.211000000000006</v>
      </c>
      <c r="CI328" s="425">
        <f t="shared" si="341"/>
        <v>41.796000000000006</v>
      </c>
      <c r="CJ328" s="425">
        <f t="shared" si="342"/>
        <v>45.521999999999998</v>
      </c>
      <c r="CK328" s="425">
        <f t="shared" si="343"/>
        <v>39.905999999999999</v>
      </c>
      <c r="CL328" s="425">
        <f t="shared" si="344"/>
        <v>40.8645</v>
      </c>
      <c r="CN328" s="438"/>
    </row>
    <row r="329" spans="1:92" s="426" customFormat="1">
      <c r="A329" s="424" t="s">
        <v>609</v>
      </c>
      <c r="B329" s="424" t="s">
        <v>630</v>
      </c>
      <c r="C329" s="425">
        <f t="shared" si="306"/>
        <v>59.17</v>
      </c>
      <c r="D329" s="425">
        <f t="shared" ref="D329:W343" si="364">$B821</f>
        <v>59.17</v>
      </c>
      <c r="E329" s="425">
        <f t="shared" si="364"/>
        <v>59.17</v>
      </c>
      <c r="F329" s="425">
        <f t="shared" si="364"/>
        <v>59.17</v>
      </c>
      <c r="G329" s="425">
        <f t="shared" si="364"/>
        <v>59.17</v>
      </c>
      <c r="H329" s="425">
        <f t="shared" si="364"/>
        <v>59.17</v>
      </c>
      <c r="I329" s="425">
        <f t="shared" si="364"/>
        <v>59.17</v>
      </c>
      <c r="J329" s="425">
        <f t="shared" si="364"/>
        <v>59.17</v>
      </c>
      <c r="K329" s="425">
        <f t="shared" si="364"/>
        <v>59.17</v>
      </c>
      <c r="L329" s="425">
        <f t="shared" si="364"/>
        <v>59.17</v>
      </c>
      <c r="M329" s="425" t="s">
        <v>762</v>
      </c>
      <c r="N329" s="425" t="s">
        <v>762</v>
      </c>
      <c r="O329" s="425" t="s">
        <v>762</v>
      </c>
      <c r="P329" s="425" t="s">
        <v>762</v>
      </c>
      <c r="Q329" s="425" t="s">
        <v>762</v>
      </c>
      <c r="R329" s="425" t="s">
        <v>762</v>
      </c>
      <c r="S329" s="425" t="s">
        <v>762</v>
      </c>
      <c r="T329" s="425" t="s">
        <v>762</v>
      </c>
      <c r="U329" s="425" t="s">
        <v>762</v>
      </c>
      <c r="V329" s="425">
        <f t="shared" si="364"/>
        <v>59.17</v>
      </c>
      <c r="W329" s="425">
        <f t="shared" si="364"/>
        <v>59.17</v>
      </c>
      <c r="X329" s="425">
        <f t="shared" si="307"/>
        <v>69.12</v>
      </c>
      <c r="Y329" s="425">
        <f t="shared" si="308"/>
        <v>71.790000000000006</v>
      </c>
      <c r="Z329" s="425">
        <f t="shared" si="309"/>
        <v>80.27</v>
      </c>
      <c r="AA329" s="425">
        <f t="shared" si="310"/>
        <v>83.14</v>
      </c>
      <c r="AB329" s="425">
        <f t="shared" si="311"/>
        <v>86.01</v>
      </c>
      <c r="AC329" s="425">
        <f t="shared" ref="AC329:AD329" si="365">$I821</f>
        <v>88.86</v>
      </c>
      <c r="AD329" s="425">
        <f t="shared" si="365"/>
        <v>88.86</v>
      </c>
      <c r="AE329" s="425" t="s">
        <v>762</v>
      </c>
      <c r="AF329" s="425" t="s">
        <v>762</v>
      </c>
      <c r="AG329" s="425">
        <f t="shared" si="322"/>
        <v>107.70975</v>
      </c>
      <c r="AH329" s="425" t="s">
        <v>762</v>
      </c>
      <c r="AI329" s="425">
        <f t="shared" si="323"/>
        <v>143.613</v>
      </c>
      <c r="AJ329" s="425" t="s">
        <v>762</v>
      </c>
      <c r="AK329" s="425">
        <f t="shared" si="324"/>
        <v>179.51625000000001</v>
      </c>
      <c r="AL329" s="425">
        <f t="shared" si="325"/>
        <v>151.9965</v>
      </c>
      <c r="AM329" s="425" t="s">
        <v>762</v>
      </c>
      <c r="AN329" s="425">
        <f t="shared" si="326"/>
        <v>177.32925</v>
      </c>
      <c r="AO329" s="425" t="s">
        <v>762</v>
      </c>
      <c r="AP329" s="425">
        <f t="shared" si="327"/>
        <v>202.66200000000001</v>
      </c>
      <c r="AQ329" s="425" t="s">
        <v>762</v>
      </c>
      <c r="AR329" s="425">
        <f t="shared" si="328"/>
        <v>227.99475000000001</v>
      </c>
      <c r="AS329" s="425" t="s">
        <v>762</v>
      </c>
      <c r="AT329" s="425">
        <f t="shared" si="329"/>
        <v>275.8725</v>
      </c>
      <c r="AU329" s="425" t="s">
        <v>762</v>
      </c>
      <c r="AV329" s="425" t="s">
        <v>762</v>
      </c>
      <c r="AW329" s="425" t="s">
        <v>762</v>
      </c>
      <c r="AX329" s="425" t="s">
        <v>762</v>
      </c>
      <c r="AY329" s="425" t="s">
        <v>762</v>
      </c>
      <c r="AZ329" s="425" t="s">
        <v>762</v>
      </c>
      <c r="BA329" s="425">
        <f t="shared" si="330"/>
        <v>362.77875</v>
      </c>
      <c r="BB329" s="425" t="s">
        <v>762</v>
      </c>
      <c r="BC329" s="425" t="s">
        <v>762</v>
      </c>
      <c r="BD329" s="425" t="s">
        <v>762</v>
      </c>
      <c r="BE329" s="425" t="s">
        <v>762</v>
      </c>
      <c r="BF329" s="425">
        <f t="shared" si="331"/>
        <v>495.4500000000001</v>
      </c>
      <c r="BG329" s="425" t="s">
        <v>762</v>
      </c>
      <c r="BH329" s="425" t="s">
        <v>762</v>
      </c>
      <c r="BI329" s="425">
        <f t="shared" si="332"/>
        <v>619.31250000000011</v>
      </c>
      <c r="BJ329" s="425" t="s">
        <v>762</v>
      </c>
      <c r="BK329" s="425" t="s">
        <v>762</v>
      </c>
      <c r="BL329" s="425">
        <f t="shared" si="333"/>
        <v>743.17500000000018</v>
      </c>
      <c r="BM329" s="425" t="s">
        <v>762</v>
      </c>
      <c r="BN329" s="425" t="s">
        <v>762</v>
      </c>
      <c r="BO329" s="425" t="s">
        <v>762</v>
      </c>
      <c r="BP329" s="425" t="s">
        <v>762</v>
      </c>
      <c r="BQ329" s="425" t="s">
        <v>762</v>
      </c>
      <c r="BR329" s="425" t="s">
        <v>762</v>
      </c>
      <c r="BS329" s="425" t="s">
        <v>762</v>
      </c>
      <c r="BT329" s="425" t="s">
        <v>762</v>
      </c>
      <c r="BU329" s="425" t="s">
        <v>762</v>
      </c>
      <c r="BV329" s="425" t="s">
        <v>762</v>
      </c>
      <c r="BW329" s="425" t="s">
        <v>762</v>
      </c>
      <c r="BX329" s="425" t="s">
        <v>762</v>
      </c>
      <c r="BY329" s="425" t="s">
        <v>762</v>
      </c>
      <c r="BZ329" s="425" t="s">
        <v>762</v>
      </c>
      <c r="CA329" s="425" t="s">
        <v>762</v>
      </c>
      <c r="CB329" s="425" t="s">
        <v>762</v>
      </c>
      <c r="CC329" s="425" t="s">
        <v>762</v>
      </c>
      <c r="CD329" s="425" t="s">
        <v>762</v>
      </c>
      <c r="CE329" s="425" t="s">
        <v>762</v>
      </c>
      <c r="CF329" s="425" t="s">
        <v>762</v>
      </c>
      <c r="CG329" s="424" t="s">
        <v>762</v>
      </c>
      <c r="CH329" s="425">
        <f t="shared" si="313"/>
        <v>71.8065</v>
      </c>
      <c r="CI329" s="425">
        <f t="shared" si="341"/>
        <v>50.665500000000002</v>
      </c>
      <c r="CJ329" s="425">
        <f t="shared" si="342"/>
        <v>55.174500000000002</v>
      </c>
      <c r="CK329" s="425">
        <f t="shared" si="343"/>
        <v>48.3705</v>
      </c>
      <c r="CL329" s="425">
        <f t="shared" si="344"/>
        <v>49.545000000000009</v>
      </c>
      <c r="CN329" s="438"/>
    </row>
    <row r="330" spans="1:92" s="426" customFormat="1">
      <c r="A330" s="424" t="s">
        <v>610</v>
      </c>
      <c r="B330" s="424" t="s">
        <v>630</v>
      </c>
      <c r="C330" s="425" t="s">
        <v>762</v>
      </c>
      <c r="D330" s="425" t="s">
        <v>762</v>
      </c>
      <c r="E330" s="425" t="s">
        <v>762</v>
      </c>
      <c r="F330" s="425" t="s">
        <v>762</v>
      </c>
      <c r="G330" s="425" t="s">
        <v>762</v>
      </c>
      <c r="H330" s="425" t="s">
        <v>762</v>
      </c>
      <c r="I330" s="425" t="s">
        <v>762</v>
      </c>
      <c r="J330" s="425" t="s">
        <v>762</v>
      </c>
      <c r="K330" s="425" t="s">
        <v>762</v>
      </c>
      <c r="L330" s="425" t="s">
        <v>762</v>
      </c>
      <c r="M330" s="425" t="s">
        <v>762</v>
      </c>
      <c r="N330" s="425" t="s">
        <v>762</v>
      </c>
      <c r="O330" s="425" t="s">
        <v>762</v>
      </c>
      <c r="P330" s="425" t="s">
        <v>762</v>
      </c>
      <c r="Q330" s="425" t="s">
        <v>762</v>
      </c>
      <c r="R330" s="425" t="s">
        <v>762</v>
      </c>
      <c r="S330" s="425" t="s">
        <v>762</v>
      </c>
      <c r="T330" s="425" t="s">
        <v>762</v>
      </c>
      <c r="U330" s="425" t="s">
        <v>762</v>
      </c>
      <c r="V330" s="425" t="s">
        <v>762</v>
      </c>
      <c r="W330" s="425" t="s">
        <v>762</v>
      </c>
      <c r="X330" s="425" t="s">
        <v>762</v>
      </c>
      <c r="Y330" s="425" t="s">
        <v>762</v>
      </c>
      <c r="Z330" s="425" t="s">
        <v>762</v>
      </c>
      <c r="AA330" s="425" t="s">
        <v>762</v>
      </c>
      <c r="AB330" s="425" t="s">
        <v>762</v>
      </c>
      <c r="AC330" s="425" t="s">
        <v>762</v>
      </c>
      <c r="AD330" s="425" t="s">
        <v>762</v>
      </c>
      <c r="AE330" s="425" t="s">
        <v>762</v>
      </c>
      <c r="AF330" s="425" t="s">
        <v>762</v>
      </c>
      <c r="AG330" s="425" t="s">
        <v>762</v>
      </c>
      <c r="AH330" s="425" t="s">
        <v>762</v>
      </c>
      <c r="AI330" s="425" t="s">
        <v>762</v>
      </c>
      <c r="AJ330" s="425" t="s">
        <v>762</v>
      </c>
      <c r="AK330" s="425" t="s">
        <v>762</v>
      </c>
      <c r="AL330" s="425" t="s">
        <v>762</v>
      </c>
      <c r="AM330" s="425" t="s">
        <v>762</v>
      </c>
      <c r="AN330" s="425" t="s">
        <v>762</v>
      </c>
      <c r="AO330" s="425" t="s">
        <v>762</v>
      </c>
      <c r="AP330" s="425" t="s">
        <v>762</v>
      </c>
      <c r="AQ330" s="425" t="s">
        <v>762</v>
      </c>
      <c r="AR330" s="425" t="s">
        <v>762</v>
      </c>
      <c r="AS330" s="425" t="s">
        <v>762</v>
      </c>
      <c r="AT330" s="425" t="s">
        <v>762</v>
      </c>
      <c r="AU330" s="425" t="s">
        <v>762</v>
      </c>
      <c r="AV330" s="425" t="s">
        <v>762</v>
      </c>
      <c r="AW330" s="425" t="s">
        <v>762</v>
      </c>
      <c r="AX330" s="425" t="s">
        <v>762</v>
      </c>
      <c r="AY330" s="425" t="s">
        <v>762</v>
      </c>
      <c r="AZ330" s="425" t="s">
        <v>762</v>
      </c>
      <c r="BA330" s="425" t="s">
        <v>762</v>
      </c>
      <c r="BB330" s="425" t="s">
        <v>762</v>
      </c>
      <c r="BC330" s="425" t="s">
        <v>762</v>
      </c>
      <c r="BD330" s="425" t="s">
        <v>762</v>
      </c>
      <c r="BE330" s="425" t="s">
        <v>762</v>
      </c>
      <c r="BF330" s="425" t="s">
        <v>762</v>
      </c>
      <c r="BG330" s="425" t="s">
        <v>762</v>
      </c>
      <c r="BH330" s="425" t="s">
        <v>762</v>
      </c>
      <c r="BI330" s="425" t="s">
        <v>762</v>
      </c>
      <c r="BJ330" s="425" t="s">
        <v>762</v>
      </c>
      <c r="BK330" s="425" t="s">
        <v>762</v>
      </c>
      <c r="BL330" s="425" t="s">
        <v>762</v>
      </c>
      <c r="BM330" s="425" t="s">
        <v>762</v>
      </c>
      <c r="BN330" s="425" t="s">
        <v>762</v>
      </c>
      <c r="BO330" s="425" t="s">
        <v>762</v>
      </c>
      <c r="BP330" s="425" t="s">
        <v>762</v>
      </c>
      <c r="BQ330" s="425" t="s">
        <v>762</v>
      </c>
      <c r="BR330" s="425" t="s">
        <v>762</v>
      </c>
      <c r="BS330" s="425" t="s">
        <v>762</v>
      </c>
      <c r="BT330" s="425" t="s">
        <v>762</v>
      </c>
      <c r="BU330" s="425" t="s">
        <v>762</v>
      </c>
      <c r="BV330" s="425" t="s">
        <v>762</v>
      </c>
      <c r="BW330" s="425" t="s">
        <v>762</v>
      </c>
      <c r="BX330" s="425" t="s">
        <v>762</v>
      </c>
      <c r="BY330" s="425" t="s">
        <v>762</v>
      </c>
      <c r="BZ330" s="425" t="s">
        <v>762</v>
      </c>
      <c r="CA330" s="425" t="s">
        <v>762</v>
      </c>
      <c r="CB330" s="425" t="s">
        <v>762</v>
      </c>
      <c r="CC330" s="425" t="s">
        <v>762</v>
      </c>
      <c r="CD330" s="425" t="s">
        <v>762</v>
      </c>
      <c r="CE330" s="425" t="s">
        <v>762</v>
      </c>
      <c r="CF330" s="425" t="s">
        <v>762</v>
      </c>
      <c r="CG330" s="425" t="s">
        <v>762</v>
      </c>
      <c r="CH330" s="425" t="s">
        <v>762</v>
      </c>
      <c r="CI330" s="425" t="s">
        <v>762</v>
      </c>
      <c r="CJ330" s="425" t="s">
        <v>762</v>
      </c>
      <c r="CK330" s="425" t="s">
        <v>762</v>
      </c>
      <c r="CL330" s="425" t="s">
        <v>762</v>
      </c>
      <c r="CN330" s="438"/>
    </row>
    <row r="331" spans="1:92" s="426" customFormat="1">
      <c r="A331" s="424" t="s">
        <v>611</v>
      </c>
      <c r="B331" s="424" t="s">
        <v>630</v>
      </c>
      <c r="C331" s="425">
        <f t="shared" si="306"/>
        <v>54.26</v>
      </c>
      <c r="D331" s="425">
        <f t="shared" si="364"/>
        <v>54.26</v>
      </c>
      <c r="E331" s="425">
        <f t="shared" si="364"/>
        <v>54.26</v>
      </c>
      <c r="F331" s="425">
        <f t="shared" si="364"/>
        <v>54.26</v>
      </c>
      <c r="G331" s="425">
        <f t="shared" si="364"/>
        <v>54.26</v>
      </c>
      <c r="H331" s="425">
        <f t="shared" si="364"/>
        <v>54.26</v>
      </c>
      <c r="I331" s="425">
        <f t="shared" si="364"/>
        <v>54.26</v>
      </c>
      <c r="J331" s="425">
        <f t="shared" si="364"/>
        <v>54.26</v>
      </c>
      <c r="K331" s="425">
        <f t="shared" si="364"/>
        <v>54.26</v>
      </c>
      <c r="L331" s="425">
        <f t="shared" si="364"/>
        <v>54.26</v>
      </c>
      <c r="M331" s="425" t="s">
        <v>762</v>
      </c>
      <c r="N331" s="425" t="s">
        <v>762</v>
      </c>
      <c r="O331" s="425" t="s">
        <v>762</v>
      </c>
      <c r="P331" s="425" t="s">
        <v>762</v>
      </c>
      <c r="Q331" s="425" t="s">
        <v>762</v>
      </c>
      <c r="R331" s="425" t="s">
        <v>762</v>
      </c>
      <c r="S331" s="425" t="s">
        <v>762</v>
      </c>
      <c r="T331" s="425" t="s">
        <v>762</v>
      </c>
      <c r="U331" s="425" t="s">
        <v>762</v>
      </c>
      <c r="V331" s="425">
        <f t="shared" si="364"/>
        <v>54.26</v>
      </c>
      <c r="W331" s="425">
        <f t="shared" si="364"/>
        <v>54.26</v>
      </c>
      <c r="X331" s="425">
        <f t="shared" si="307"/>
        <v>63.42</v>
      </c>
      <c r="Y331" s="425">
        <f t="shared" si="308"/>
        <v>65.849999999999994</v>
      </c>
      <c r="Z331" s="425">
        <f t="shared" si="309"/>
        <v>73.290000000000006</v>
      </c>
      <c r="AA331" s="425">
        <f t="shared" si="310"/>
        <v>75.89</v>
      </c>
      <c r="AB331" s="425">
        <f t="shared" si="311"/>
        <v>78.510000000000005</v>
      </c>
      <c r="AC331" s="425">
        <f t="shared" ref="AC331:AD331" si="366">$I823</f>
        <v>81.13</v>
      </c>
      <c r="AD331" s="425">
        <f t="shared" si="366"/>
        <v>81.13</v>
      </c>
      <c r="AE331" s="425" t="s">
        <v>762</v>
      </c>
      <c r="AF331" s="425" t="s">
        <v>762</v>
      </c>
      <c r="AG331" s="425">
        <f t="shared" ref="AG331:AG343" si="367">CH331*1.5</f>
        <v>98.354250000000008</v>
      </c>
      <c r="AH331" s="425" t="s">
        <v>762</v>
      </c>
      <c r="AI331" s="425">
        <f t="shared" ref="AI331:AI343" si="368">CH331*2</f>
        <v>131.13900000000001</v>
      </c>
      <c r="AJ331" s="425" t="s">
        <v>762</v>
      </c>
      <c r="AK331" s="425">
        <f t="shared" ref="AK331:AK343" si="369">CH331*2.5</f>
        <v>163.92375000000001</v>
      </c>
      <c r="AL331" s="425">
        <f t="shared" ref="AL331:AL343" si="370">CI331*3</f>
        <v>138.79350000000002</v>
      </c>
      <c r="AM331" s="425" t="s">
        <v>762</v>
      </c>
      <c r="AN331" s="425">
        <f t="shared" ref="AN331:AN343" si="371">CI331*3.5</f>
        <v>161.92575000000002</v>
      </c>
      <c r="AO331" s="425" t="s">
        <v>762</v>
      </c>
      <c r="AP331" s="425">
        <f t="shared" ref="AP331:AP343" si="372">CI331*4</f>
        <v>185.05800000000002</v>
      </c>
      <c r="AQ331" s="425" t="s">
        <v>762</v>
      </c>
      <c r="AR331" s="425">
        <f t="shared" ref="AR331:AR343" si="373">CI331*4.5</f>
        <v>208.19025000000002</v>
      </c>
      <c r="AS331" s="425" t="s">
        <v>762</v>
      </c>
      <c r="AT331" s="425">
        <f t="shared" ref="AT331:AT343" si="374">CJ331*5</f>
        <v>251.77499999999998</v>
      </c>
      <c r="AU331" s="425" t="s">
        <v>762</v>
      </c>
      <c r="AV331" s="425" t="s">
        <v>762</v>
      </c>
      <c r="AW331" s="425" t="s">
        <v>762</v>
      </c>
      <c r="AX331" s="425" t="s">
        <v>762</v>
      </c>
      <c r="AY331" s="425" t="s">
        <v>762</v>
      </c>
      <c r="AZ331" s="425" t="s">
        <v>762</v>
      </c>
      <c r="BA331" s="425">
        <f t="shared" ref="BA331:BA343" si="375">7.5*CK331</f>
        <v>331.08750000000009</v>
      </c>
      <c r="BB331" s="425" t="s">
        <v>762</v>
      </c>
      <c r="BC331" s="425" t="s">
        <v>762</v>
      </c>
      <c r="BD331" s="425" t="s">
        <v>762</v>
      </c>
      <c r="BE331" s="425" t="s">
        <v>762</v>
      </c>
      <c r="BF331" s="425">
        <f t="shared" ref="BF331:BF343" si="376">10*CL331</f>
        <v>452.38499999999999</v>
      </c>
      <c r="BG331" s="425" t="s">
        <v>762</v>
      </c>
      <c r="BH331" s="425" t="s">
        <v>762</v>
      </c>
      <c r="BI331" s="425">
        <f t="shared" ref="BI331:BI343" si="377">12.5*CL331</f>
        <v>565.48125000000005</v>
      </c>
      <c r="BJ331" s="425" t="s">
        <v>762</v>
      </c>
      <c r="BK331" s="425" t="s">
        <v>762</v>
      </c>
      <c r="BL331" s="425">
        <f t="shared" ref="BL331:BL343" si="378">CL331*15</f>
        <v>678.57749999999999</v>
      </c>
      <c r="BM331" s="425" t="s">
        <v>762</v>
      </c>
      <c r="BN331" s="425" t="s">
        <v>762</v>
      </c>
      <c r="BO331" s="425" t="s">
        <v>762</v>
      </c>
      <c r="BP331" s="425" t="s">
        <v>762</v>
      </c>
      <c r="BQ331" s="425" t="s">
        <v>762</v>
      </c>
      <c r="BR331" s="425" t="s">
        <v>762</v>
      </c>
      <c r="BS331" s="425" t="s">
        <v>762</v>
      </c>
      <c r="BT331" s="425" t="s">
        <v>762</v>
      </c>
      <c r="BU331" s="425" t="s">
        <v>762</v>
      </c>
      <c r="BV331" s="425" t="s">
        <v>762</v>
      </c>
      <c r="BW331" s="425" t="s">
        <v>762</v>
      </c>
      <c r="BX331" s="425" t="s">
        <v>762</v>
      </c>
      <c r="BY331" s="425" t="s">
        <v>762</v>
      </c>
      <c r="BZ331" s="425" t="s">
        <v>762</v>
      </c>
      <c r="CA331" s="425" t="s">
        <v>762</v>
      </c>
      <c r="CB331" s="425" t="s">
        <v>762</v>
      </c>
      <c r="CC331" s="425" t="s">
        <v>762</v>
      </c>
      <c r="CD331" s="425" t="s">
        <v>762</v>
      </c>
      <c r="CE331" s="425" t="s">
        <v>762</v>
      </c>
      <c r="CF331" s="425" t="s">
        <v>762</v>
      </c>
      <c r="CG331" s="424" t="s">
        <v>762</v>
      </c>
      <c r="CH331" s="425">
        <f t="shared" si="313"/>
        <v>65.569500000000005</v>
      </c>
      <c r="CI331" s="425">
        <f t="shared" si="341"/>
        <v>46.264500000000005</v>
      </c>
      <c r="CJ331" s="425">
        <f t="shared" si="342"/>
        <v>50.354999999999997</v>
      </c>
      <c r="CK331" s="425">
        <f t="shared" si="343"/>
        <v>44.14500000000001</v>
      </c>
      <c r="CL331" s="425">
        <f t="shared" si="344"/>
        <v>45.238500000000002</v>
      </c>
      <c r="CN331" s="438"/>
    </row>
    <row r="332" spans="1:92" s="426" customFormat="1">
      <c r="A332" s="424" t="s">
        <v>612</v>
      </c>
      <c r="B332" s="424" t="s">
        <v>630</v>
      </c>
      <c r="C332" s="425">
        <f t="shared" si="306"/>
        <v>36.99</v>
      </c>
      <c r="D332" s="425">
        <f t="shared" si="364"/>
        <v>36.99</v>
      </c>
      <c r="E332" s="425">
        <f t="shared" si="364"/>
        <v>36.99</v>
      </c>
      <c r="F332" s="425">
        <f t="shared" si="364"/>
        <v>36.99</v>
      </c>
      <c r="G332" s="425">
        <f t="shared" si="364"/>
        <v>36.99</v>
      </c>
      <c r="H332" s="425">
        <f t="shared" si="364"/>
        <v>36.99</v>
      </c>
      <c r="I332" s="425">
        <f t="shared" si="364"/>
        <v>36.99</v>
      </c>
      <c r="J332" s="425">
        <f t="shared" si="364"/>
        <v>36.99</v>
      </c>
      <c r="K332" s="425">
        <f t="shared" si="364"/>
        <v>36.99</v>
      </c>
      <c r="L332" s="425">
        <f t="shared" si="364"/>
        <v>36.99</v>
      </c>
      <c r="M332" s="425" t="s">
        <v>762</v>
      </c>
      <c r="N332" s="425" t="s">
        <v>762</v>
      </c>
      <c r="O332" s="425" t="s">
        <v>762</v>
      </c>
      <c r="P332" s="425" t="s">
        <v>762</v>
      </c>
      <c r="Q332" s="425" t="s">
        <v>762</v>
      </c>
      <c r="R332" s="425" t="s">
        <v>762</v>
      </c>
      <c r="S332" s="425" t="s">
        <v>762</v>
      </c>
      <c r="T332" s="425" t="s">
        <v>762</v>
      </c>
      <c r="U332" s="425" t="s">
        <v>762</v>
      </c>
      <c r="V332" s="425">
        <f t="shared" si="364"/>
        <v>36.99</v>
      </c>
      <c r="W332" s="425">
        <f t="shared" si="364"/>
        <v>36.99</v>
      </c>
      <c r="X332" s="425">
        <f t="shared" si="307"/>
        <v>43.2</v>
      </c>
      <c r="Y332" s="425">
        <f t="shared" si="308"/>
        <v>44.88</v>
      </c>
      <c r="Z332" s="425">
        <f t="shared" si="309"/>
        <v>48.56</v>
      </c>
      <c r="AA332" s="425">
        <f t="shared" si="310"/>
        <v>50.29</v>
      </c>
      <c r="AB332" s="425">
        <f t="shared" si="311"/>
        <v>52.04</v>
      </c>
      <c r="AC332" s="425">
        <f t="shared" ref="AC332:AD332" si="379">$I824</f>
        <v>53.76</v>
      </c>
      <c r="AD332" s="425">
        <f t="shared" si="379"/>
        <v>53.76</v>
      </c>
      <c r="AE332" s="425" t="s">
        <v>762</v>
      </c>
      <c r="AF332" s="425" t="s">
        <v>762</v>
      </c>
      <c r="AG332" s="425">
        <f t="shared" si="367"/>
        <v>65.164500000000004</v>
      </c>
      <c r="AH332" s="425" t="s">
        <v>762</v>
      </c>
      <c r="AI332" s="425">
        <f t="shared" si="368"/>
        <v>86.88600000000001</v>
      </c>
      <c r="AJ332" s="425" t="s">
        <v>762</v>
      </c>
      <c r="AK332" s="425">
        <f t="shared" si="369"/>
        <v>108.60750000000002</v>
      </c>
      <c r="AL332" s="425">
        <f t="shared" si="370"/>
        <v>91.935000000000002</v>
      </c>
      <c r="AM332" s="425" t="s">
        <v>762</v>
      </c>
      <c r="AN332" s="425">
        <f t="shared" si="371"/>
        <v>107.25749999999999</v>
      </c>
      <c r="AO332" s="425" t="s">
        <v>762</v>
      </c>
      <c r="AP332" s="425">
        <f t="shared" si="372"/>
        <v>122.58</v>
      </c>
      <c r="AQ332" s="425" t="s">
        <v>762</v>
      </c>
      <c r="AR332" s="425">
        <f t="shared" si="373"/>
        <v>137.9025</v>
      </c>
      <c r="AS332" s="425" t="s">
        <v>762</v>
      </c>
      <c r="AT332" s="425">
        <f t="shared" si="374"/>
        <v>166.995</v>
      </c>
      <c r="AU332" s="425" t="s">
        <v>762</v>
      </c>
      <c r="AV332" s="425" t="s">
        <v>762</v>
      </c>
      <c r="AW332" s="425" t="s">
        <v>762</v>
      </c>
      <c r="AX332" s="425" t="s">
        <v>762</v>
      </c>
      <c r="AY332" s="425" t="s">
        <v>762</v>
      </c>
      <c r="AZ332" s="425" t="s">
        <v>762</v>
      </c>
      <c r="BA332" s="425">
        <f t="shared" si="375"/>
        <v>219.61125000000004</v>
      </c>
      <c r="BB332" s="425" t="s">
        <v>762</v>
      </c>
      <c r="BC332" s="425" t="s">
        <v>762</v>
      </c>
      <c r="BD332" s="425" t="s">
        <v>762</v>
      </c>
      <c r="BE332" s="425" t="s">
        <v>762</v>
      </c>
      <c r="BF332" s="425">
        <f t="shared" si="376"/>
        <v>299.70000000000005</v>
      </c>
      <c r="BG332" s="425" t="s">
        <v>762</v>
      </c>
      <c r="BH332" s="425" t="s">
        <v>762</v>
      </c>
      <c r="BI332" s="425">
        <f t="shared" si="377"/>
        <v>374.62500000000006</v>
      </c>
      <c r="BJ332" s="425" t="s">
        <v>762</v>
      </c>
      <c r="BK332" s="425" t="s">
        <v>762</v>
      </c>
      <c r="BL332" s="425">
        <f t="shared" si="378"/>
        <v>449.55</v>
      </c>
      <c r="BM332" s="425" t="s">
        <v>762</v>
      </c>
      <c r="BN332" s="425" t="s">
        <v>762</v>
      </c>
      <c r="BO332" s="425" t="s">
        <v>762</v>
      </c>
      <c r="BP332" s="425" t="s">
        <v>762</v>
      </c>
      <c r="BQ332" s="425" t="s">
        <v>762</v>
      </c>
      <c r="BR332" s="425" t="s">
        <v>762</v>
      </c>
      <c r="BS332" s="425" t="s">
        <v>762</v>
      </c>
      <c r="BT332" s="425" t="s">
        <v>762</v>
      </c>
      <c r="BU332" s="425" t="s">
        <v>762</v>
      </c>
      <c r="BV332" s="425" t="s">
        <v>762</v>
      </c>
      <c r="BW332" s="425" t="s">
        <v>762</v>
      </c>
      <c r="BX332" s="425" t="s">
        <v>762</v>
      </c>
      <c r="BY332" s="425" t="s">
        <v>762</v>
      </c>
      <c r="BZ332" s="425" t="s">
        <v>762</v>
      </c>
      <c r="CA332" s="425" t="s">
        <v>762</v>
      </c>
      <c r="CB332" s="425" t="s">
        <v>762</v>
      </c>
      <c r="CC332" s="425" t="s">
        <v>762</v>
      </c>
      <c r="CD332" s="425" t="s">
        <v>762</v>
      </c>
      <c r="CE332" s="425" t="s">
        <v>762</v>
      </c>
      <c r="CF332" s="425" t="s">
        <v>762</v>
      </c>
      <c r="CG332" s="424" t="s">
        <v>762</v>
      </c>
      <c r="CH332" s="425">
        <f t="shared" si="313"/>
        <v>43.443000000000005</v>
      </c>
      <c r="CI332" s="425">
        <f t="shared" si="341"/>
        <v>30.645</v>
      </c>
      <c r="CJ332" s="425">
        <f t="shared" si="342"/>
        <v>33.399000000000001</v>
      </c>
      <c r="CK332" s="425">
        <f t="shared" si="343"/>
        <v>29.281500000000005</v>
      </c>
      <c r="CL332" s="425">
        <f t="shared" si="344"/>
        <v>29.970000000000002</v>
      </c>
      <c r="CN332" s="438"/>
    </row>
    <row r="333" spans="1:92" s="426" customFormat="1">
      <c r="A333" s="424" t="s">
        <v>613</v>
      </c>
      <c r="B333" s="424" t="s">
        <v>630</v>
      </c>
      <c r="C333" s="425">
        <f t="shared" si="306"/>
        <v>46.24</v>
      </c>
      <c r="D333" s="425">
        <f t="shared" si="364"/>
        <v>46.24</v>
      </c>
      <c r="E333" s="425">
        <f t="shared" si="364"/>
        <v>46.24</v>
      </c>
      <c r="F333" s="425">
        <f t="shared" si="364"/>
        <v>46.24</v>
      </c>
      <c r="G333" s="425">
        <f t="shared" si="364"/>
        <v>46.24</v>
      </c>
      <c r="H333" s="425">
        <f t="shared" si="364"/>
        <v>46.24</v>
      </c>
      <c r="I333" s="425">
        <f t="shared" si="364"/>
        <v>46.24</v>
      </c>
      <c r="J333" s="425">
        <f t="shared" si="364"/>
        <v>46.24</v>
      </c>
      <c r="K333" s="425">
        <f t="shared" si="364"/>
        <v>46.24</v>
      </c>
      <c r="L333" s="425">
        <f t="shared" si="364"/>
        <v>46.24</v>
      </c>
      <c r="M333" s="425" t="s">
        <v>762</v>
      </c>
      <c r="N333" s="425" t="s">
        <v>762</v>
      </c>
      <c r="O333" s="425" t="s">
        <v>762</v>
      </c>
      <c r="P333" s="425" t="s">
        <v>762</v>
      </c>
      <c r="Q333" s="425" t="s">
        <v>762</v>
      </c>
      <c r="R333" s="425" t="s">
        <v>762</v>
      </c>
      <c r="S333" s="425" t="s">
        <v>762</v>
      </c>
      <c r="T333" s="425" t="s">
        <v>762</v>
      </c>
      <c r="U333" s="425" t="s">
        <v>762</v>
      </c>
      <c r="V333" s="425">
        <f t="shared" si="364"/>
        <v>46.24</v>
      </c>
      <c r="W333" s="425">
        <f t="shared" si="364"/>
        <v>46.24</v>
      </c>
      <c r="X333" s="425">
        <f t="shared" si="307"/>
        <v>54.03</v>
      </c>
      <c r="Y333" s="425">
        <f t="shared" si="308"/>
        <v>56.1</v>
      </c>
      <c r="Z333" s="425">
        <f t="shared" si="309"/>
        <v>60.69</v>
      </c>
      <c r="AA333" s="425">
        <f t="shared" si="310"/>
        <v>62.88</v>
      </c>
      <c r="AB333" s="425">
        <f t="shared" si="311"/>
        <v>65.03</v>
      </c>
      <c r="AC333" s="425">
        <f t="shared" ref="AC333:AD333" si="380">$I825</f>
        <v>67.2</v>
      </c>
      <c r="AD333" s="425">
        <f t="shared" si="380"/>
        <v>67.2</v>
      </c>
      <c r="AE333" s="425" t="s">
        <v>762</v>
      </c>
      <c r="AF333" s="425" t="s">
        <v>762</v>
      </c>
      <c r="AG333" s="425">
        <f t="shared" si="367"/>
        <v>81.46575</v>
      </c>
      <c r="AH333" s="425" t="s">
        <v>762</v>
      </c>
      <c r="AI333" s="425">
        <f t="shared" si="368"/>
        <v>108.621</v>
      </c>
      <c r="AJ333" s="425" t="s">
        <v>762</v>
      </c>
      <c r="AK333" s="425">
        <f t="shared" si="369"/>
        <v>135.77625</v>
      </c>
      <c r="AL333" s="425">
        <f t="shared" si="370"/>
        <v>114.9795</v>
      </c>
      <c r="AM333" s="425" t="s">
        <v>762</v>
      </c>
      <c r="AN333" s="425">
        <f t="shared" si="371"/>
        <v>134.14275000000001</v>
      </c>
      <c r="AO333" s="425" t="s">
        <v>762</v>
      </c>
      <c r="AP333" s="425">
        <f t="shared" si="372"/>
        <v>153.30600000000001</v>
      </c>
      <c r="AQ333" s="425" t="s">
        <v>762</v>
      </c>
      <c r="AR333" s="425">
        <f t="shared" si="373"/>
        <v>172.46925000000002</v>
      </c>
      <c r="AS333" s="425" t="s">
        <v>762</v>
      </c>
      <c r="AT333" s="425">
        <f t="shared" si="374"/>
        <v>208.57500000000002</v>
      </c>
      <c r="AU333" s="425" t="s">
        <v>762</v>
      </c>
      <c r="AV333" s="425" t="s">
        <v>762</v>
      </c>
      <c r="AW333" s="425" t="s">
        <v>762</v>
      </c>
      <c r="AX333" s="425" t="s">
        <v>762</v>
      </c>
      <c r="AY333" s="425" t="s">
        <v>762</v>
      </c>
      <c r="AZ333" s="425" t="s">
        <v>762</v>
      </c>
      <c r="BA333" s="425">
        <f t="shared" si="375"/>
        <v>274.28625</v>
      </c>
      <c r="BB333" s="425" t="s">
        <v>762</v>
      </c>
      <c r="BC333" s="425" t="s">
        <v>762</v>
      </c>
      <c r="BD333" s="425" t="s">
        <v>762</v>
      </c>
      <c r="BE333" s="425" t="s">
        <v>762</v>
      </c>
      <c r="BF333" s="425">
        <f t="shared" si="376"/>
        <v>374.76000000000005</v>
      </c>
      <c r="BG333" s="425" t="s">
        <v>762</v>
      </c>
      <c r="BH333" s="425" t="s">
        <v>762</v>
      </c>
      <c r="BI333" s="425">
        <f t="shared" si="377"/>
        <v>468.4500000000001</v>
      </c>
      <c r="BJ333" s="425" t="s">
        <v>762</v>
      </c>
      <c r="BK333" s="425" t="s">
        <v>762</v>
      </c>
      <c r="BL333" s="425">
        <f t="shared" si="378"/>
        <v>562.1400000000001</v>
      </c>
      <c r="BM333" s="425" t="s">
        <v>762</v>
      </c>
      <c r="BN333" s="425" t="s">
        <v>762</v>
      </c>
      <c r="BO333" s="425" t="s">
        <v>762</v>
      </c>
      <c r="BP333" s="425" t="s">
        <v>762</v>
      </c>
      <c r="BQ333" s="425" t="s">
        <v>762</v>
      </c>
      <c r="BR333" s="425" t="s">
        <v>762</v>
      </c>
      <c r="BS333" s="425" t="s">
        <v>762</v>
      </c>
      <c r="BT333" s="425" t="s">
        <v>762</v>
      </c>
      <c r="BU333" s="425" t="s">
        <v>762</v>
      </c>
      <c r="BV333" s="425" t="s">
        <v>762</v>
      </c>
      <c r="BW333" s="425" t="s">
        <v>762</v>
      </c>
      <c r="BX333" s="425" t="s">
        <v>762</v>
      </c>
      <c r="BY333" s="425" t="s">
        <v>762</v>
      </c>
      <c r="BZ333" s="425" t="s">
        <v>762</v>
      </c>
      <c r="CA333" s="425" t="s">
        <v>762</v>
      </c>
      <c r="CB333" s="425" t="s">
        <v>762</v>
      </c>
      <c r="CC333" s="425" t="s">
        <v>762</v>
      </c>
      <c r="CD333" s="425" t="s">
        <v>762</v>
      </c>
      <c r="CE333" s="425" t="s">
        <v>762</v>
      </c>
      <c r="CF333" s="425" t="s">
        <v>762</v>
      </c>
      <c r="CG333" s="424" t="s">
        <v>762</v>
      </c>
      <c r="CH333" s="425">
        <f t="shared" si="313"/>
        <v>54.310499999999998</v>
      </c>
      <c r="CI333" s="425">
        <f t="shared" si="341"/>
        <v>38.326500000000003</v>
      </c>
      <c r="CJ333" s="425">
        <f t="shared" si="342"/>
        <v>41.715000000000003</v>
      </c>
      <c r="CK333" s="425">
        <f t="shared" si="343"/>
        <v>36.5715</v>
      </c>
      <c r="CL333" s="425">
        <f t="shared" si="344"/>
        <v>37.476000000000006</v>
      </c>
      <c r="CN333" s="438"/>
    </row>
    <row r="334" spans="1:92" s="426" customFormat="1">
      <c r="A334" s="424" t="s">
        <v>614</v>
      </c>
      <c r="B334" s="424" t="s">
        <v>630</v>
      </c>
      <c r="C334" s="425">
        <f t="shared" si="306"/>
        <v>36.4</v>
      </c>
      <c r="D334" s="425">
        <f t="shared" si="364"/>
        <v>36.4</v>
      </c>
      <c r="E334" s="425">
        <f t="shared" si="364"/>
        <v>36.4</v>
      </c>
      <c r="F334" s="425">
        <f t="shared" si="364"/>
        <v>36.4</v>
      </c>
      <c r="G334" s="425">
        <f t="shared" si="364"/>
        <v>36.4</v>
      </c>
      <c r="H334" s="425">
        <f t="shared" si="364"/>
        <v>36.4</v>
      </c>
      <c r="I334" s="425">
        <f t="shared" si="364"/>
        <v>36.4</v>
      </c>
      <c r="J334" s="425">
        <f t="shared" si="364"/>
        <v>36.4</v>
      </c>
      <c r="K334" s="425">
        <f t="shared" si="364"/>
        <v>36.4</v>
      </c>
      <c r="L334" s="425">
        <f t="shared" si="364"/>
        <v>36.4</v>
      </c>
      <c r="M334" s="425" t="s">
        <v>762</v>
      </c>
      <c r="N334" s="425" t="s">
        <v>762</v>
      </c>
      <c r="O334" s="425" t="s">
        <v>762</v>
      </c>
      <c r="P334" s="425" t="s">
        <v>762</v>
      </c>
      <c r="Q334" s="425" t="s">
        <v>762</v>
      </c>
      <c r="R334" s="425" t="s">
        <v>762</v>
      </c>
      <c r="S334" s="425" t="s">
        <v>762</v>
      </c>
      <c r="T334" s="425" t="s">
        <v>762</v>
      </c>
      <c r="U334" s="425" t="s">
        <v>762</v>
      </c>
      <c r="V334" s="425">
        <f t="shared" si="364"/>
        <v>36.4</v>
      </c>
      <c r="W334" s="425">
        <f t="shared" si="364"/>
        <v>36.4</v>
      </c>
      <c r="X334" s="425">
        <f t="shared" si="307"/>
        <v>42.55</v>
      </c>
      <c r="Y334" s="425">
        <f t="shared" si="308"/>
        <v>44.18</v>
      </c>
      <c r="Z334" s="425">
        <f t="shared" si="309"/>
        <v>47.76</v>
      </c>
      <c r="AA334" s="425">
        <f t="shared" si="310"/>
        <v>49.44</v>
      </c>
      <c r="AB334" s="425">
        <f t="shared" si="311"/>
        <v>51.16</v>
      </c>
      <c r="AC334" s="425">
        <f t="shared" ref="AC334:AD334" si="381">$I826</f>
        <v>52.83</v>
      </c>
      <c r="AD334" s="425">
        <f t="shared" si="381"/>
        <v>52.83</v>
      </c>
      <c r="AE334" s="425" t="s">
        <v>762</v>
      </c>
      <c r="AF334" s="425" t="s">
        <v>762</v>
      </c>
      <c r="AG334" s="425">
        <f t="shared" si="367"/>
        <v>64.050749999999994</v>
      </c>
      <c r="AH334" s="425" t="s">
        <v>762</v>
      </c>
      <c r="AI334" s="425">
        <f t="shared" si="368"/>
        <v>85.400999999999996</v>
      </c>
      <c r="AJ334" s="425" t="s">
        <v>762</v>
      </c>
      <c r="AK334" s="425">
        <f t="shared" si="369"/>
        <v>106.75125</v>
      </c>
      <c r="AL334" s="425">
        <f t="shared" si="370"/>
        <v>90.396000000000001</v>
      </c>
      <c r="AM334" s="425" t="s">
        <v>762</v>
      </c>
      <c r="AN334" s="425">
        <f t="shared" si="371"/>
        <v>105.462</v>
      </c>
      <c r="AO334" s="425" t="s">
        <v>762</v>
      </c>
      <c r="AP334" s="425">
        <f t="shared" si="372"/>
        <v>120.52800000000001</v>
      </c>
      <c r="AQ334" s="425" t="s">
        <v>762</v>
      </c>
      <c r="AR334" s="425">
        <f t="shared" si="373"/>
        <v>135.59399999999999</v>
      </c>
      <c r="AS334" s="425" t="s">
        <v>762</v>
      </c>
      <c r="AT334" s="425">
        <f t="shared" si="374"/>
        <v>164.16</v>
      </c>
      <c r="AU334" s="425" t="s">
        <v>762</v>
      </c>
      <c r="AV334" s="425" t="s">
        <v>762</v>
      </c>
      <c r="AW334" s="425" t="s">
        <v>762</v>
      </c>
      <c r="AX334" s="425" t="s">
        <v>762</v>
      </c>
      <c r="AY334" s="425" t="s">
        <v>762</v>
      </c>
      <c r="AZ334" s="425" t="s">
        <v>762</v>
      </c>
      <c r="BA334" s="425">
        <f t="shared" si="375"/>
        <v>215.76374999999999</v>
      </c>
      <c r="BB334" s="425" t="s">
        <v>762</v>
      </c>
      <c r="BC334" s="425" t="s">
        <v>762</v>
      </c>
      <c r="BD334" s="425" t="s">
        <v>762</v>
      </c>
      <c r="BE334" s="425" t="s">
        <v>762</v>
      </c>
      <c r="BF334" s="425">
        <f t="shared" si="376"/>
        <v>294.70500000000004</v>
      </c>
      <c r="BG334" s="425" t="s">
        <v>762</v>
      </c>
      <c r="BH334" s="425" t="s">
        <v>762</v>
      </c>
      <c r="BI334" s="425">
        <f t="shared" si="377"/>
        <v>368.38125000000002</v>
      </c>
      <c r="BJ334" s="425" t="s">
        <v>762</v>
      </c>
      <c r="BK334" s="425" t="s">
        <v>762</v>
      </c>
      <c r="BL334" s="425">
        <f t="shared" si="378"/>
        <v>442.0575</v>
      </c>
      <c r="BM334" s="425" t="s">
        <v>762</v>
      </c>
      <c r="BN334" s="425" t="s">
        <v>762</v>
      </c>
      <c r="BO334" s="425" t="s">
        <v>762</v>
      </c>
      <c r="BP334" s="425" t="s">
        <v>762</v>
      </c>
      <c r="BQ334" s="425" t="s">
        <v>762</v>
      </c>
      <c r="BR334" s="425" t="s">
        <v>762</v>
      </c>
      <c r="BS334" s="425" t="s">
        <v>762</v>
      </c>
      <c r="BT334" s="425" t="s">
        <v>762</v>
      </c>
      <c r="BU334" s="425" t="s">
        <v>762</v>
      </c>
      <c r="BV334" s="425" t="s">
        <v>762</v>
      </c>
      <c r="BW334" s="425" t="s">
        <v>762</v>
      </c>
      <c r="BX334" s="425" t="s">
        <v>762</v>
      </c>
      <c r="BY334" s="425" t="s">
        <v>762</v>
      </c>
      <c r="BZ334" s="425" t="s">
        <v>762</v>
      </c>
      <c r="CA334" s="425" t="s">
        <v>762</v>
      </c>
      <c r="CB334" s="425" t="s">
        <v>762</v>
      </c>
      <c r="CC334" s="425" t="s">
        <v>762</v>
      </c>
      <c r="CD334" s="425" t="s">
        <v>762</v>
      </c>
      <c r="CE334" s="425" t="s">
        <v>762</v>
      </c>
      <c r="CF334" s="425" t="s">
        <v>762</v>
      </c>
      <c r="CG334" s="424" t="s">
        <v>762</v>
      </c>
      <c r="CH334" s="425">
        <f t="shared" si="313"/>
        <v>42.700499999999998</v>
      </c>
      <c r="CI334" s="425">
        <f t="shared" si="341"/>
        <v>30.132000000000001</v>
      </c>
      <c r="CJ334" s="425">
        <f t="shared" si="342"/>
        <v>32.832000000000001</v>
      </c>
      <c r="CK334" s="425">
        <f t="shared" si="343"/>
        <v>28.7685</v>
      </c>
      <c r="CL334" s="425">
        <f t="shared" si="344"/>
        <v>29.470500000000001</v>
      </c>
      <c r="CN334" s="438"/>
    </row>
    <row r="335" spans="1:92" s="426" customFormat="1">
      <c r="A335" s="424" t="s">
        <v>615</v>
      </c>
      <c r="B335" s="424" t="s">
        <v>630</v>
      </c>
      <c r="C335" s="425">
        <f t="shared" si="306"/>
        <v>43.83</v>
      </c>
      <c r="D335" s="425">
        <f t="shared" si="364"/>
        <v>43.83</v>
      </c>
      <c r="E335" s="425">
        <f t="shared" si="364"/>
        <v>43.83</v>
      </c>
      <c r="F335" s="425">
        <f t="shared" si="364"/>
        <v>43.83</v>
      </c>
      <c r="G335" s="425">
        <f t="shared" si="364"/>
        <v>43.83</v>
      </c>
      <c r="H335" s="425">
        <f t="shared" si="364"/>
        <v>43.83</v>
      </c>
      <c r="I335" s="425">
        <f t="shared" si="364"/>
        <v>43.83</v>
      </c>
      <c r="J335" s="425">
        <f t="shared" si="364"/>
        <v>43.83</v>
      </c>
      <c r="K335" s="425">
        <f t="shared" si="364"/>
        <v>43.83</v>
      </c>
      <c r="L335" s="425">
        <f t="shared" si="364"/>
        <v>43.83</v>
      </c>
      <c r="M335" s="425" t="s">
        <v>762</v>
      </c>
      <c r="N335" s="425" t="s">
        <v>762</v>
      </c>
      <c r="O335" s="425" t="s">
        <v>762</v>
      </c>
      <c r="P335" s="425" t="s">
        <v>762</v>
      </c>
      <c r="Q335" s="425" t="s">
        <v>762</v>
      </c>
      <c r="R335" s="425" t="s">
        <v>762</v>
      </c>
      <c r="S335" s="425" t="s">
        <v>762</v>
      </c>
      <c r="T335" s="425" t="s">
        <v>762</v>
      </c>
      <c r="U335" s="425" t="s">
        <v>762</v>
      </c>
      <c r="V335" s="425">
        <f t="shared" si="364"/>
        <v>43.83</v>
      </c>
      <c r="W335" s="425">
        <f t="shared" si="364"/>
        <v>43.83</v>
      </c>
      <c r="X335" s="425">
        <f t="shared" si="307"/>
        <v>51.23</v>
      </c>
      <c r="Y335" s="425">
        <f t="shared" si="308"/>
        <v>53.2</v>
      </c>
      <c r="Z335" s="425">
        <f t="shared" si="309"/>
        <v>58.16</v>
      </c>
      <c r="AA335" s="425">
        <f t="shared" si="310"/>
        <v>60.22</v>
      </c>
      <c r="AB335" s="425">
        <f t="shared" si="311"/>
        <v>62.31</v>
      </c>
      <c r="AC335" s="425">
        <f t="shared" ref="AC335:AD335" si="382">$I827</f>
        <v>64.39</v>
      </c>
      <c r="AD335" s="425">
        <f t="shared" si="382"/>
        <v>64.39</v>
      </c>
      <c r="AE335" s="425" t="s">
        <v>762</v>
      </c>
      <c r="AF335" s="425" t="s">
        <v>762</v>
      </c>
      <c r="AG335" s="425">
        <f t="shared" si="367"/>
        <v>78.023250000000004</v>
      </c>
      <c r="AH335" s="425" t="s">
        <v>762</v>
      </c>
      <c r="AI335" s="425">
        <f t="shared" si="368"/>
        <v>104.03100000000001</v>
      </c>
      <c r="AJ335" s="425" t="s">
        <v>762</v>
      </c>
      <c r="AK335" s="425">
        <f t="shared" si="369"/>
        <v>130.03874999999999</v>
      </c>
      <c r="AL335" s="425">
        <f t="shared" si="370"/>
        <v>110.16</v>
      </c>
      <c r="AM335" s="425" t="s">
        <v>762</v>
      </c>
      <c r="AN335" s="425">
        <f t="shared" si="371"/>
        <v>128.51999999999998</v>
      </c>
      <c r="AO335" s="425" t="s">
        <v>762</v>
      </c>
      <c r="AP335" s="425">
        <f t="shared" si="372"/>
        <v>146.88</v>
      </c>
      <c r="AQ335" s="425" t="s">
        <v>762</v>
      </c>
      <c r="AR335" s="425">
        <f t="shared" si="373"/>
        <v>165.24</v>
      </c>
      <c r="AS335" s="425" t="s">
        <v>762</v>
      </c>
      <c r="AT335" s="425">
        <f t="shared" si="374"/>
        <v>199.80000000000004</v>
      </c>
      <c r="AU335" s="425" t="s">
        <v>762</v>
      </c>
      <c r="AV335" s="425" t="s">
        <v>762</v>
      </c>
      <c r="AW335" s="425" t="s">
        <v>762</v>
      </c>
      <c r="AX335" s="425" t="s">
        <v>762</v>
      </c>
      <c r="AY335" s="425" t="s">
        <v>762</v>
      </c>
      <c r="AZ335" s="425" t="s">
        <v>762</v>
      </c>
      <c r="BA335" s="425">
        <f t="shared" si="375"/>
        <v>262.84500000000003</v>
      </c>
      <c r="BB335" s="425" t="s">
        <v>762</v>
      </c>
      <c r="BC335" s="425" t="s">
        <v>762</v>
      </c>
      <c r="BD335" s="425" t="s">
        <v>762</v>
      </c>
      <c r="BE335" s="425" t="s">
        <v>762</v>
      </c>
      <c r="BF335" s="425">
        <f t="shared" si="376"/>
        <v>358.83000000000004</v>
      </c>
      <c r="BG335" s="425" t="s">
        <v>762</v>
      </c>
      <c r="BH335" s="425" t="s">
        <v>762</v>
      </c>
      <c r="BI335" s="425">
        <f t="shared" si="377"/>
        <v>448.53750000000002</v>
      </c>
      <c r="BJ335" s="425" t="s">
        <v>762</v>
      </c>
      <c r="BK335" s="425" t="s">
        <v>762</v>
      </c>
      <c r="BL335" s="425">
        <f t="shared" si="378"/>
        <v>538.245</v>
      </c>
      <c r="BM335" s="425" t="s">
        <v>762</v>
      </c>
      <c r="BN335" s="425" t="s">
        <v>762</v>
      </c>
      <c r="BO335" s="425" t="s">
        <v>762</v>
      </c>
      <c r="BP335" s="425" t="s">
        <v>762</v>
      </c>
      <c r="BQ335" s="425" t="s">
        <v>762</v>
      </c>
      <c r="BR335" s="425" t="s">
        <v>762</v>
      </c>
      <c r="BS335" s="425" t="s">
        <v>762</v>
      </c>
      <c r="BT335" s="425" t="s">
        <v>762</v>
      </c>
      <c r="BU335" s="425" t="s">
        <v>762</v>
      </c>
      <c r="BV335" s="425" t="s">
        <v>762</v>
      </c>
      <c r="BW335" s="425" t="s">
        <v>762</v>
      </c>
      <c r="BX335" s="425" t="s">
        <v>762</v>
      </c>
      <c r="BY335" s="425" t="s">
        <v>762</v>
      </c>
      <c r="BZ335" s="425" t="s">
        <v>762</v>
      </c>
      <c r="CA335" s="425" t="s">
        <v>762</v>
      </c>
      <c r="CB335" s="425" t="s">
        <v>762</v>
      </c>
      <c r="CC335" s="425" t="s">
        <v>762</v>
      </c>
      <c r="CD335" s="425" t="s">
        <v>762</v>
      </c>
      <c r="CE335" s="425" t="s">
        <v>762</v>
      </c>
      <c r="CF335" s="425" t="s">
        <v>762</v>
      </c>
      <c r="CG335" s="424" t="s">
        <v>762</v>
      </c>
      <c r="CH335" s="425">
        <f t="shared" si="313"/>
        <v>52.015500000000003</v>
      </c>
      <c r="CI335" s="425">
        <f t="shared" si="341"/>
        <v>36.72</v>
      </c>
      <c r="CJ335" s="425">
        <f t="shared" si="342"/>
        <v>39.960000000000008</v>
      </c>
      <c r="CK335" s="425">
        <f t="shared" si="343"/>
        <v>35.046000000000006</v>
      </c>
      <c r="CL335" s="425">
        <f t="shared" si="344"/>
        <v>35.883000000000003</v>
      </c>
      <c r="CN335" s="438"/>
    </row>
    <row r="336" spans="1:92" s="426" customFormat="1">
      <c r="A336" s="424" t="s">
        <v>616</v>
      </c>
      <c r="B336" s="424" t="s">
        <v>630</v>
      </c>
      <c r="C336" s="425">
        <f t="shared" si="306"/>
        <v>43.93</v>
      </c>
      <c r="D336" s="425">
        <f t="shared" si="364"/>
        <v>43.93</v>
      </c>
      <c r="E336" s="425">
        <f t="shared" si="364"/>
        <v>43.93</v>
      </c>
      <c r="F336" s="425">
        <f t="shared" si="364"/>
        <v>43.93</v>
      </c>
      <c r="G336" s="425">
        <f t="shared" si="364"/>
        <v>43.93</v>
      </c>
      <c r="H336" s="425">
        <f t="shared" si="364"/>
        <v>43.93</v>
      </c>
      <c r="I336" s="425">
        <f t="shared" si="364"/>
        <v>43.93</v>
      </c>
      <c r="J336" s="425">
        <f t="shared" si="364"/>
        <v>43.93</v>
      </c>
      <c r="K336" s="425">
        <f t="shared" si="364"/>
        <v>43.93</v>
      </c>
      <c r="L336" s="425">
        <f t="shared" si="364"/>
        <v>43.93</v>
      </c>
      <c r="M336" s="425" t="s">
        <v>762</v>
      </c>
      <c r="N336" s="425" t="s">
        <v>762</v>
      </c>
      <c r="O336" s="425" t="s">
        <v>762</v>
      </c>
      <c r="P336" s="425" t="s">
        <v>762</v>
      </c>
      <c r="Q336" s="425" t="s">
        <v>762</v>
      </c>
      <c r="R336" s="425" t="s">
        <v>762</v>
      </c>
      <c r="S336" s="425" t="s">
        <v>762</v>
      </c>
      <c r="T336" s="425" t="s">
        <v>762</v>
      </c>
      <c r="U336" s="425" t="s">
        <v>762</v>
      </c>
      <c r="V336" s="425">
        <f t="shared" si="364"/>
        <v>43.93</v>
      </c>
      <c r="W336" s="425">
        <f t="shared" si="364"/>
        <v>43.93</v>
      </c>
      <c r="X336" s="425">
        <f t="shared" si="307"/>
        <v>51.31</v>
      </c>
      <c r="Y336" s="425">
        <f t="shared" si="308"/>
        <v>53.3</v>
      </c>
      <c r="Z336" s="425">
        <f t="shared" si="309"/>
        <v>58.48</v>
      </c>
      <c r="AA336" s="425">
        <f t="shared" si="310"/>
        <v>60.57</v>
      </c>
      <c r="AB336" s="425">
        <f t="shared" si="311"/>
        <v>62.64</v>
      </c>
      <c r="AC336" s="425">
        <f t="shared" ref="AC336:AD336" si="383">$I828</f>
        <v>64.739999999999995</v>
      </c>
      <c r="AD336" s="425">
        <f t="shared" si="383"/>
        <v>64.739999999999995</v>
      </c>
      <c r="AE336" s="425" t="s">
        <v>762</v>
      </c>
      <c r="AF336" s="425" t="s">
        <v>762</v>
      </c>
      <c r="AG336" s="425">
        <f t="shared" si="367"/>
        <v>78.44850000000001</v>
      </c>
      <c r="AH336" s="425" t="s">
        <v>762</v>
      </c>
      <c r="AI336" s="425">
        <f t="shared" si="368"/>
        <v>104.59800000000001</v>
      </c>
      <c r="AJ336" s="425" t="s">
        <v>762</v>
      </c>
      <c r="AK336" s="425">
        <f t="shared" si="369"/>
        <v>130.7475</v>
      </c>
      <c r="AL336" s="425">
        <f t="shared" si="370"/>
        <v>110.76750000000001</v>
      </c>
      <c r="AM336" s="425" t="s">
        <v>762</v>
      </c>
      <c r="AN336" s="425">
        <f t="shared" si="371"/>
        <v>129.22875000000002</v>
      </c>
      <c r="AO336" s="425" t="s">
        <v>762</v>
      </c>
      <c r="AP336" s="425">
        <f t="shared" si="372"/>
        <v>147.69000000000003</v>
      </c>
      <c r="AQ336" s="425" t="s">
        <v>762</v>
      </c>
      <c r="AR336" s="425">
        <f t="shared" si="373"/>
        <v>166.15125000000003</v>
      </c>
      <c r="AS336" s="425" t="s">
        <v>762</v>
      </c>
      <c r="AT336" s="425">
        <f t="shared" si="374"/>
        <v>201.01500000000001</v>
      </c>
      <c r="AU336" s="425" t="s">
        <v>762</v>
      </c>
      <c r="AV336" s="425" t="s">
        <v>762</v>
      </c>
      <c r="AW336" s="425" t="s">
        <v>762</v>
      </c>
      <c r="AX336" s="425" t="s">
        <v>762</v>
      </c>
      <c r="AY336" s="425" t="s">
        <v>762</v>
      </c>
      <c r="AZ336" s="425" t="s">
        <v>762</v>
      </c>
      <c r="BA336" s="425">
        <f t="shared" si="375"/>
        <v>264.26250000000005</v>
      </c>
      <c r="BB336" s="425" t="s">
        <v>762</v>
      </c>
      <c r="BC336" s="425" t="s">
        <v>762</v>
      </c>
      <c r="BD336" s="425" t="s">
        <v>762</v>
      </c>
      <c r="BE336" s="425" t="s">
        <v>762</v>
      </c>
      <c r="BF336" s="425">
        <f t="shared" si="376"/>
        <v>361.12500000000006</v>
      </c>
      <c r="BG336" s="425" t="s">
        <v>762</v>
      </c>
      <c r="BH336" s="425" t="s">
        <v>762</v>
      </c>
      <c r="BI336" s="425">
        <f t="shared" si="377"/>
        <v>451.40625000000006</v>
      </c>
      <c r="BJ336" s="425" t="s">
        <v>762</v>
      </c>
      <c r="BK336" s="425" t="s">
        <v>762</v>
      </c>
      <c r="BL336" s="425">
        <f t="shared" si="378"/>
        <v>541.68750000000011</v>
      </c>
      <c r="BM336" s="425" t="s">
        <v>762</v>
      </c>
      <c r="BN336" s="425" t="s">
        <v>762</v>
      </c>
      <c r="BO336" s="425" t="s">
        <v>762</v>
      </c>
      <c r="BP336" s="425" t="s">
        <v>762</v>
      </c>
      <c r="BQ336" s="425" t="s">
        <v>762</v>
      </c>
      <c r="BR336" s="425" t="s">
        <v>762</v>
      </c>
      <c r="BS336" s="425" t="s">
        <v>762</v>
      </c>
      <c r="BT336" s="425" t="s">
        <v>762</v>
      </c>
      <c r="BU336" s="425" t="s">
        <v>762</v>
      </c>
      <c r="BV336" s="425" t="s">
        <v>762</v>
      </c>
      <c r="BW336" s="425" t="s">
        <v>762</v>
      </c>
      <c r="BX336" s="425" t="s">
        <v>762</v>
      </c>
      <c r="BY336" s="425" t="s">
        <v>762</v>
      </c>
      <c r="BZ336" s="425" t="s">
        <v>762</v>
      </c>
      <c r="CA336" s="425" t="s">
        <v>762</v>
      </c>
      <c r="CB336" s="425" t="s">
        <v>762</v>
      </c>
      <c r="CC336" s="425" t="s">
        <v>762</v>
      </c>
      <c r="CD336" s="425" t="s">
        <v>762</v>
      </c>
      <c r="CE336" s="425" t="s">
        <v>762</v>
      </c>
      <c r="CF336" s="425" t="s">
        <v>762</v>
      </c>
      <c r="CG336" s="424" t="s">
        <v>762</v>
      </c>
      <c r="CH336" s="425">
        <f t="shared" si="313"/>
        <v>52.299000000000007</v>
      </c>
      <c r="CI336" s="425">
        <f t="shared" si="341"/>
        <v>36.922500000000007</v>
      </c>
      <c r="CJ336" s="425">
        <f t="shared" si="342"/>
        <v>40.203000000000003</v>
      </c>
      <c r="CK336" s="425">
        <f t="shared" si="343"/>
        <v>35.235000000000007</v>
      </c>
      <c r="CL336" s="425">
        <f t="shared" si="344"/>
        <v>36.112500000000004</v>
      </c>
      <c r="CN336" s="438"/>
    </row>
    <row r="337" spans="1:92" s="426" customFormat="1">
      <c r="A337" s="424" t="s">
        <v>617</v>
      </c>
      <c r="B337" s="424" t="s">
        <v>630</v>
      </c>
      <c r="C337" s="425">
        <f t="shared" si="306"/>
        <v>37.65</v>
      </c>
      <c r="D337" s="425">
        <f t="shared" si="364"/>
        <v>37.65</v>
      </c>
      <c r="E337" s="425">
        <f t="shared" si="364"/>
        <v>37.65</v>
      </c>
      <c r="F337" s="425">
        <f t="shared" si="364"/>
        <v>37.65</v>
      </c>
      <c r="G337" s="425">
        <f t="shared" si="364"/>
        <v>37.65</v>
      </c>
      <c r="H337" s="425">
        <f t="shared" si="364"/>
        <v>37.65</v>
      </c>
      <c r="I337" s="425">
        <f t="shared" si="364"/>
        <v>37.65</v>
      </c>
      <c r="J337" s="425">
        <f t="shared" si="364"/>
        <v>37.65</v>
      </c>
      <c r="K337" s="425">
        <f t="shared" si="364"/>
        <v>37.65</v>
      </c>
      <c r="L337" s="425">
        <f t="shared" si="364"/>
        <v>37.65</v>
      </c>
      <c r="M337" s="425" t="s">
        <v>762</v>
      </c>
      <c r="N337" s="425" t="s">
        <v>762</v>
      </c>
      <c r="O337" s="425" t="s">
        <v>762</v>
      </c>
      <c r="P337" s="425" t="s">
        <v>762</v>
      </c>
      <c r="Q337" s="425" t="s">
        <v>762</v>
      </c>
      <c r="R337" s="425" t="s">
        <v>762</v>
      </c>
      <c r="S337" s="425" t="s">
        <v>762</v>
      </c>
      <c r="T337" s="425" t="s">
        <v>762</v>
      </c>
      <c r="U337" s="425" t="s">
        <v>762</v>
      </c>
      <c r="V337" s="425">
        <f t="shared" si="364"/>
        <v>37.65</v>
      </c>
      <c r="W337" s="425">
        <f t="shared" si="364"/>
        <v>37.65</v>
      </c>
      <c r="X337" s="425">
        <f t="shared" si="307"/>
        <v>43.99</v>
      </c>
      <c r="Y337" s="425">
        <f t="shared" si="308"/>
        <v>45.69</v>
      </c>
      <c r="Z337" s="425">
        <f t="shared" si="309"/>
        <v>49.5</v>
      </c>
      <c r="AA337" s="425">
        <f t="shared" si="310"/>
        <v>51.29</v>
      </c>
      <c r="AB337" s="425">
        <f t="shared" si="311"/>
        <v>53.05</v>
      </c>
      <c r="AC337" s="425">
        <f t="shared" ref="AC337:AD337" si="384">$I829</f>
        <v>54.81</v>
      </c>
      <c r="AD337" s="425">
        <f t="shared" si="384"/>
        <v>54.81</v>
      </c>
      <c r="AE337" s="425" t="s">
        <v>762</v>
      </c>
      <c r="AF337" s="425" t="s">
        <v>762</v>
      </c>
      <c r="AG337" s="425">
        <f t="shared" si="367"/>
        <v>66.44025000000002</v>
      </c>
      <c r="AH337" s="425" t="s">
        <v>762</v>
      </c>
      <c r="AI337" s="425">
        <f t="shared" si="368"/>
        <v>88.587000000000018</v>
      </c>
      <c r="AJ337" s="425" t="s">
        <v>762</v>
      </c>
      <c r="AK337" s="425">
        <f t="shared" si="369"/>
        <v>110.73375000000001</v>
      </c>
      <c r="AL337" s="425">
        <f t="shared" si="370"/>
        <v>93.757500000000007</v>
      </c>
      <c r="AM337" s="425" t="s">
        <v>762</v>
      </c>
      <c r="AN337" s="425">
        <f t="shared" si="371"/>
        <v>109.38375000000001</v>
      </c>
      <c r="AO337" s="425" t="s">
        <v>762</v>
      </c>
      <c r="AP337" s="425">
        <f t="shared" si="372"/>
        <v>125.01</v>
      </c>
      <c r="AQ337" s="425" t="s">
        <v>762</v>
      </c>
      <c r="AR337" s="425">
        <f t="shared" si="373"/>
        <v>140.63625000000002</v>
      </c>
      <c r="AS337" s="425" t="s">
        <v>762</v>
      </c>
      <c r="AT337" s="425">
        <f t="shared" si="374"/>
        <v>170.23500000000001</v>
      </c>
      <c r="AU337" s="425" t="s">
        <v>762</v>
      </c>
      <c r="AV337" s="425" t="s">
        <v>762</v>
      </c>
      <c r="AW337" s="425" t="s">
        <v>762</v>
      </c>
      <c r="AX337" s="425" t="s">
        <v>762</v>
      </c>
      <c r="AY337" s="425" t="s">
        <v>762</v>
      </c>
      <c r="AZ337" s="425" t="s">
        <v>762</v>
      </c>
      <c r="BA337" s="425">
        <f t="shared" si="375"/>
        <v>223.76250000000005</v>
      </c>
      <c r="BB337" s="425" t="s">
        <v>762</v>
      </c>
      <c r="BC337" s="425" t="s">
        <v>762</v>
      </c>
      <c r="BD337" s="425" t="s">
        <v>762</v>
      </c>
      <c r="BE337" s="425" t="s">
        <v>762</v>
      </c>
      <c r="BF337" s="425">
        <f t="shared" si="376"/>
        <v>305.505</v>
      </c>
      <c r="BG337" s="425" t="s">
        <v>762</v>
      </c>
      <c r="BH337" s="425" t="s">
        <v>762</v>
      </c>
      <c r="BI337" s="425">
        <f t="shared" si="377"/>
        <v>381.88125000000002</v>
      </c>
      <c r="BJ337" s="425" t="s">
        <v>762</v>
      </c>
      <c r="BK337" s="425" t="s">
        <v>762</v>
      </c>
      <c r="BL337" s="425">
        <f t="shared" si="378"/>
        <v>458.25749999999999</v>
      </c>
      <c r="BM337" s="425" t="s">
        <v>762</v>
      </c>
      <c r="BN337" s="425" t="s">
        <v>762</v>
      </c>
      <c r="BO337" s="425" t="s">
        <v>762</v>
      </c>
      <c r="BP337" s="425" t="s">
        <v>762</v>
      </c>
      <c r="BQ337" s="425" t="s">
        <v>762</v>
      </c>
      <c r="BR337" s="425" t="s">
        <v>762</v>
      </c>
      <c r="BS337" s="425" t="s">
        <v>762</v>
      </c>
      <c r="BT337" s="425" t="s">
        <v>762</v>
      </c>
      <c r="BU337" s="425" t="s">
        <v>762</v>
      </c>
      <c r="BV337" s="425" t="s">
        <v>762</v>
      </c>
      <c r="BW337" s="425" t="s">
        <v>762</v>
      </c>
      <c r="BX337" s="425" t="s">
        <v>762</v>
      </c>
      <c r="BY337" s="425" t="s">
        <v>762</v>
      </c>
      <c r="BZ337" s="425" t="s">
        <v>762</v>
      </c>
      <c r="CA337" s="425" t="s">
        <v>762</v>
      </c>
      <c r="CB337" s="425" t="s">
        <v>762</v>
      </c>
      <c r="CC337" s="425" t="s">
        <v>762</v>
      </c>
      <c r="CD337" s="425" t="s">
        <v>762</v>
      </c>
      <c r="CE337" s="425" t="s">
        <v>762</v>
      </c>
      <c r="CF337" s="425" t="s">
        <v>762</v>
      </c>
      <c r="CG337" s="424" t="s">
        <v>762</v>
      </c>
      <c r="CH337" s="425">
        <f t="shared" si="313"/>
        <v>44.293500000000009</v>
      </c>
      <c r="CI337" s="425">
        <f t="shared" si="341"/>
        <v>31.252500000000001</v>
      </c>
      <c r="CJ337" s="425">
        <f t="shared" si="342"/>
        <v>34.047000000000004</v>
      </c>
      <c r="CK337" s="425">
        <f t="shared" si="343"/>
        <v>29.835000000000004</v>
      </c>
      <c r="CL337" s="425">
        <f t="shared" si="344"/>
        <v>30.5505</v>
      </c>
      <c r="CN337" s="438"/>
    </row>
    <row r="338" spans="1:92" s="426" customFormat="1">
      <c r="A338" s="424" t="s">
        <v>618</v>
      </c>
      <c r="B338" s="424" t="s">
        <v>630</v>
      </c>
      <c r="C338" s="425">
        <f t="shared" si="306"/>
        <v>47.48</v>
      </c>
      <c r="D338" s="425">
        <f t="shared" si="364"/>
        <v>47.48</v>
      </c>
      <c r="E338" s="425">
        <f t="shared" si="364"/>
        <v>47.48</v>
      </c>
      <c r="F338" s="425">
        <f t="shared" si="364"/>
        <v>47.48</v>
      </c>
      <c r="G338" s="425">
        <f t="shared" si="364"/>
        <v>47.48</v>
      </c>
      <c r="H338" s="425">
        <f t="shared" si="364"/>
        <v>47.48</v>
      </c>
      <c r="I338" s="425">
        <f t="shared" si="364"/>
        <v>47.48</v>
      </c>
      <c r="J338" s="425">
        <f t="shared" si="364"/>
        <v>47.48</v>
      </c>
      <c r="K338" s="425">
        <f t="shared" si="364"/>
        <v>47.48</v>
      </c>
      <c r="L338" s="425">
        <f t="shared" si="364"/>
        <v>47.48</v>
      </c>
      <c r="M338" s="425" t="s">
        <v>762</v>
      </c>
      <c r="N338" s="425" t="s">
        <v>762</v>
      </c>
      <c r="O338" s="425" t="s">
        <v>762</v>
      </c>
      <c r="P338" s="425" t="s">
        <v>762</v>
      </c>
      <c r="Q338" s="425" t="s">
        <v>762</v>
      </c>
      <c r="R338" s="425" t="s">
        <v>762</v>
      </c>
      <c r="S338" s="425" t="s">
        <v>762</v>
      </c>
      <c r="T338" s="425" t="s">
        <v>762</v>
      </c>
      <c r="U338" s="425" t="s">
        <v>762</v>
      </c>
      <c r="V338" s="425">
        <f t="shared" si="364"/>
        <v>47.48</v>
      </c>
      <c r="W338" s="425">
        <f t="shared" si="364"/>
        <v>47.48</v>
      </c>
      <c r="X338" s="425">
        <f t="shared" si="307"/>
        <v>55.48</v>
      </c>
      <c r="Y338" s="425">
        <f t="shared" si="308"/>
        <v>57.62</v>
      </c>
      <c r="Z338" s="425">
        <f t="shared" si="309"/>
        <v>63.56</v>
      </c>
      <c r="AA338" s="425">
        <f t="shared" si="310"/>
        <v>65.83</v>
      </c>
      <c r="AB338" s="425">
        <f t="shared" si="311"/>
        <v>68.099999999999994</v>
      </c>
      <c r="AC338" s="425">
        <f t="shared" ref="AC338:AD338" si="385">$I830</f>
        <v>70.39</v>
      </c>
      <c r="AD338" s="425">
        <f t="shared" si="385"/>
        <v>70.39</v>
      </c>
      <c r="AE338" s="425" t="s">
        <v>762</v>
      </c>
      <c r="AF338" s="425" t="s">
        <v>762</v>
      </c>
      <c r="AG338" s="425">
        <f t="shared" si="367"/>
        <v>85.293000000000006</v>
      </c>
      <c r="AH338" s="425" t="s">
        <v>762</v>
      </c>
      <c r="AI338" s="425">
        <f t="shared" si="368"/>
        <v>113.724</v>
      </c>
      <c r="AJ338" s="425" t="s">
        <v>762</v>
      </c>
      <c r="AK338" s="425">
        <f t="shared" si="369"/>
        <v>142.155</v>
      </c>
      <c r="AL338" s="425">
        <f t="shared" si="370"/>
        <v>120.40649999999999</v>
      </c>
      <c r="AM338" s="425" t="s">
        <v>762</v>
      </c>
      <c r="AN338" s="425">
        <f t="shared" si="371"/>
        <v>140.47425000000001</v>
      </c>
      <c r="AO338" s="425" t="s">
        <v>762</v>
      </c>
      <c r="AP338" s="425">
        <f t="shared" si="372"/>
        <v>160.542</v>
      </c>
      <c r="AQ338" s="425" t="s">
        <v>762</v>
      </c>
      <c r="AR338" s="425">
        <f t="shared" si="373"/>
        <v>180.60974999999999</v>
      </c>
      <c r="AS338" s="425" t="s">
        <v>762</v>
      </c>
      <c r="AT338" s="425">
        <f t="shared" si="374"/>
        <v>218.36250000000004</v>
      </c>
      <c r="AU338" s="425" t="s">
        <v>762</v>
      </c>
      <c r="AV338" s="425" t="s">
        <v>762</v>
      </c>
      <c r="AW338" s="425" t="s">
        <v>762</v>
      </c>
      <c r="AX338" s="425" t="s">
        <v>762</v>
      </c>
      <c r="AY338" s="425" t="s">
        <v>762</v>
      </c>
      <c r="AZ338" s="425" t="s">
        <v>762</v>
      </c>
      <c r="BA338" s="425">
        <f t="shared" si="375"/>
        <v>287.24625000000003</v>
      </c>
      <c r="BB338" s="425" t="s">
        <v>762</v>
      </c>
      <c r="BC338" s="425" t="s">
        <v>762</v>
      </c>
      <c r="BD338" s="425" t="s">
        <v>762</v>
      </c>
      <c r="BE338" s="425" t="s">
        <v>762</v>
      </c>
      <c r="BF338" s="425">
        <f t="shared" si="376"/>
        <v>392.58000000000004</v>
      </c>
      <c r="BG338" s="425" t="s">
        <v>762</v>
      </c>
      <c r="BH338" s="425" t="s">
        <v>762</v>
      </c>
      <c r="BI338" s="425">
        <f t="shared" si="377"/>
        <v>490.72500000000002</v>
      </c>
      <c r="BJ338" s="425" t="s">
        <v>762</v>
      </c>
      <c r="BK338" s="425" t="s">
        <v>762</v>
      </c>
      <c r="BL338" s="425">
        <f t="shared" si="378"/>
        <v>588.87</v>
      </c>
      <c r="BM338" s="425" t="s">
        <v>762</v>
      </c>
      <c r="BN338" s="425" t="s">
        <v>762</v>
      </c>
      <c r="BO338" s="425" t="s">
        <v>762</v>
      </c>
      <c r="BP338" s="425" t="s">
        <v>762</v>
      </c>
      <c r="BQ338" s="425" t="s">
        <v>762</v>
      </c>
      <c r="BR338" s="425" t="s">
        <v>762</v>
      </c>
      <c r="BS338" s="425" t="s">
        <v>762</v>
      </c>
      <c r="BT338" s="425" t="s">
        <v>762</v>
      </c>
      <c r="BU338" s="425" t="s">
        <v>762</v>
      </c>
      <c r="BV338" s="425" t="s">
        <v>762</v>
      </c>
      <c r="BW338" s="425" t="s">
        <v>762</v>
      </c>
      <c r="BX338" s="425" t="s">
        <v>762</v>
      </c>
      <c r="BY338" s="425" t="s">
        <v>762</v>
      </c>
      <c r="BZ338" s="425" t="s">
        <v>762</v>
      </c>
      <c r="CA338" s="425" t="s">
        <v>762</v>
      </c>
      <c r="CB338" s="425" t="s">
        <v>762</v>
      </c>
      <c r="CC338" s="425" t="s">
        <v>762</v>
      </c>
      <c r="CD338" s="425" t="s">
        <v>762</v>
      </c>
      <c r="CE338" s="425" t="s">
        <v>762</v>
      </c>
      <c r="CF338" s="425" t="s">
        <v>762</v>
      </c>
      <c r="CG338" s="424" t="s">
        <v>762</v>
      </c>
      <c r="CH338" s="425">
        <f t="shared" si="313"/>
        <v>56.862000000000002</v>
      </c>
      <c r="CI338" s="425">
        <f t="shared" si="341"/>
        <v>40.1355</v>
      </c>
      <c r="CJ338" s="425">
        <f t="shared" si="342"/>
        <v>43.672500000000007</v>
      </c>
      <c r="CK338" s="425">
        <f t="shared" si="343"/>
        <v>38.299500000000002</v>
      </c>
      <c r="CL338" s="425">
        <f t="shared" si="344"/>
        <v>39.258000000000003</v>
      </c>
      <c r="CN338" s="438"/>
    </row>
    <row r="339" spans="1:92" s="426" customFormat="1">
      <c r="A339" s="424" t="s">
        <v>619</v>
      </c>
      <c r="B339" s="424" t="s">
        <v>630</v>
      </c>
      <c r="C339" s="425">
        <f t="shared" si="306"/>
        <v>38.57</v>
      </c>
      <c r="D339" s="425">
        <f t="shared" si="364"/>
        <v>38.57</v>
      </c>
      <c r="E339" s="425">
        <f t="shared" si="364"/>
        <v>38.57</v>
      </c>
      <c r="F339" s="425">
        <f t="shared" si="364"/>
        <v>38.57</v>
      </c>
      <c r="G339" s="425">
        <f t="shared" si="364"/>
        <v>38.57</v>
      </c>
      <c r="H339" s="425">
        <f t="shared" si="364"/>
        <v>38.57</v>
      </c>
      <c r="I339" s="425">
        <f t="shared" si="364"/>
        <v>38.57</v>
      </c>
      <c r="J339" s="425">
        <f t="shared" si="364"/>
        <v>38.57</v>
      </c>
      <c r="K339" s="425">
        <f t="shared" si="364"/>
        <v>38.57</v>
      </c>
      <c r="L339" s="425">
        <f t="shared" si="364"/>
        <v>38.57</v>
      </c>
      <c r="M339" s="425" t="s">
        <v>762</v>
      </c>
      <c r="N339" s="425" t="s">
        <v>762</v>
      </c>
      <c r="O339" s="425" t="s">
        <v>762</v>
      </c>
      <c r="P339" s="425" t="s">
        <v>762</v>
      </c>
      <c r="Q339" s="425" t="s">
        <v>762</v>
      </c>
      <c r="R339" s="425" t="s">
        <v>762</v>
      </c>
      <c r="S339" s="425" t="s">
        <v>762</v>
      </c>
      <c r="T339" s="425" t="s">
        <v>762</v>
      </c>
      <c r="U339" s="425" t="s">
        <v>762</v>
      </c>
      <c r="V339" s="425">
        <f t="shared" si="364"/>
        <v>38.57</v>
      </c>
      <c r="W339" s="425">
        <f t="shared" si="364"/>
        <v>38.57</v>
      </c>
      <c r="X339" s="425">
        <f t="shared" si="307"/>
        <v>45.05</v>
      </c>
      <c r="Y339" s="425">
        <f t="shared" si="308"/>
        <v>46.81</v>
      </c>
      <c r="Z339" s="425">
        <f t="shared" si="309"/>
        <v>50.18</v>
      </c>
      <c r="AA339" s="425">
        <f t="shared" si="310"/>
        <v>51.99</v>
      </c>
      <c r="AB339" s="425">
        <f t="shared" si="311"/>
        <v>53.77</v>
      </c>
      <c r="AC339" s="425">
        <f t="shared" ref="AC339:AD339" si="386">$I831</f>
        <v>55.57</v>
      </c>
      <c r="AD339" s="425">
        <f t="shared" si="386"/>
        <v>55.57</v>
      </c>
      <c r="AE339" s="425" t="s">
        <v>762</v>
      </c>
      <c r="AF339" s="425" t="s">
        <v>762</v>
      </c>
      <c r="AG339" s="425">
        <f t="shared" si="367"/>
        <v>67.351500000000001</v>
      </c>
      <c r="AH339" s="425" t="s">
        <v>762</v>
      </c>
      <c r="AI339" s="425">
        <f t="shared" si="368"/>
        <v>89.802000000000007</v>
      </c>
      <c r="AJ339" s="425" t="s">
        <v>762</v>
      </c>
      <c r="AK339" s="425">
        <f t="shared" si="369"/>
        <v>112.25250000000001</v>
      </c>
      <c r="AL339" s="425">
        <f t="shared" si="370"/>
        <v>95.0535</v>
      </c>
      <c r="AM339" s="425" t="s">
        <v>762</v>
      </c>
      <c r="AN339" s="425">
        <f t="shared" si="371"/>
        <v>110.89574999999999</v>
      </c>
      <c r="AO339" s="425" t="s">
        <v>762</v>
      </c>
      <c r="AP339" s="425">
        <f t="shared" si="372"/>
        <v>126.738</v>
      </c>
      <c r="AQ339" s="425" t="s">
        <v>762</v>
      </c>
      <c r="AR339" s="425">
        <f t="shared" si="373"/>
        <v>142.58025000000001</v>
      </c>
      <c r="AS339" s="425" t="s">
        <v>762</v>
      </c>
      <c r="AT339" s="425">
        <f t="shared" si="374"/>
        <v>172.53</v>
      </c>
      <c r="AU339" s="425" t="s">
        <v>762</v>
      </c>
      <c r="AV339" s="425" t="s">
        <v>762</v>
      </c>
      <c r="AW339" s="425" t="s">
        <v>762</v>
      </c>
      <c r="AX339" s="425" t="s">
        <v>762</v>
      </c>
      <c r="AY339" s="425" t="s">
        <v>762</v>
      </c>
      <c r="AZ339" s="425" t="s">
        <v>762</v>
      </c>
      <c r="BA339" s="425">
        <f t="shared" si="375"/>
        <v>226.90125</v>
      </c>
      <c r="BB339" s="425" t="s">
        <v>762</v>
      </c>
      <c r="BC339" s="425" t="s">
        <v>762</v>
      </c>
      <c r="BD339" s="425" t="s">
        <v>762</v>
      </c>
      <c r="BE339" s="425" t="s">
        <v>762</v>
      </c>
      <c r="BF339" s="425">
        <f t="shared" si="376"/>
        <v>309.69000000000005</v>
      </c>
      <c r="BG339" s="425" t="s">
        <v>762</v>
      </c>
      <c r="BH339" s="425" t="s">
        <v>762</v>
      </c>
      <c r="BI339" s="425">
        <f t="shared" si="377"/>
        <v>387.11250000000007</v>
      </c>
      <c r="BJ339" s="425" t="s">
        <v>762</v>
      </c>
      <c r="BK339" s="425" t="s">
        <v>762</v>
      </c>
      <c r="BL339" s="425">
        <f t="shared" si="378"/>
        <v>464.53500000000008</v>
      </c>
      <c r="BM339" s="425" t="s">
        <v>762</v>
      </c>
      <c r="BN339" s="425" t="s">
        <v>762</v>
      </c>
      <c r="BO339" s="425" t="s">
        <v>762</v>
      </c>
      <c r="BP339" s="425" t="s">
        <v>762</v>
      </c>
      <c r="BQ339" s="425" t="s">
        <v>762</v>
      </c>
      <c r="BR339" s="425" t="s">
        <v>762</v>
      </c>
      <c r="BS339" s="425" t="s">
        <v>762</v>
      </c>
      <c r="BT339" s="425" t="s">
        <v>762</v>
      </c>
      <c r="BU339" s="425" t="s">
        <v>762</v>
      </c>
      <c r="BV339" s="425" t="s">
        <v>762</v>
      </c>
      <c r="BW339" s="425" t="s">
        <v>762</v>
      </c>
      <c r="BX339" s="425" t="s">
        <v>762</v>
      </c>
      <c r="BY339" s="425" t="s">
        <v>762</v>
      </c>
      <c r="BZ339" s="425" t="s">
        <v>762</v>
      </c>
      <c r="CA339" s="425" t="s">
        <v>762</v>
      </c>
      <c r="CB339" s="425" t="s">
        <v>762</v>
      </c>
      <c r="CC339" s="425" t="s">
        <v>762</v>
      </c>
      <c r="CD339" s="425" t="s">
        <v>762</v>
      </c>
      <c r="CE339" s="425" t="s">
        <v>762</v>
      </c>
      <c r="CF339" s="425" t="s">
        <v>762</v>
      </c>
      <c r="CG339" s="424" t="s">
        <v>762</v>
      </c>
      <c r="CH339" s="425">
        <f t="shared" si="313"/>
        <v>44.901000000000003</v>
      </c>
      <c r="CI339" s="425">
        <f t="shared" si="341"/>
        <v>31.6845</v>
      </c>
      <c r="CJ339" s="425">
        <f t="shared" si="342"/>
        <v>34.506</v>
      </c>
      <c r="CK339" s="425">
        <f t="shared" si="343"/>
        <v>30.253500000000003</v>
      </c>
      <c r="CL339" s="425">
        <f t="shared" si="344"/>
        <v>30.969000000000005</v>
      </c>
      <c r="CN339" s="438"/>
    </row>
    <row r="340" spans="1:92" s="426" customFormat="1">
      <c r="A340" s="424" t="s">
        <v>620</v>
      </c>
      <c r="B340" s="424" t="s">
        <v>630</v>
      </c>
      <c r="C340" s="425">
        <f t="shared" si="306"/>
        <v>36.659999999999997</v>
      </c>
      <c r="D340" s="425">
        <f t="shared" si="364"/>
        <v>36.659999999999997</v>
      </c>
      <c r="E340" s="425">
        <f t="shared" si="364"/>
        <v>36.659999999999997</v>
      </c>
      <c r="F340" s="425">
        <f t="shared" si="364"/>
        <v>36.659999999999997</v>
      </c>
      <c r="G340" s="425">
        <f t="shared" si="364"/>
        <v>36.659999999999997</v>
      </c>
      <c r="H340" s="425">
        <f t="shared" si="364"/>
        <v>36.659999999999997</v>
      </c>
      <c r="I340" s="425">
        <f t="shared" si="364"/>
        <v>36.659999999999997</v>
      </c>
      <c r="J340" s="425">
        <f t="shared" si="364"/>
        <v>36.659999999999997</v>
      </c>
      <c r="K340" s="425">
        <f t="shared" si="364"/>
        <v>36.659999999999997</v>
      </c>
      <c r="L340" s="425">
        <f t="shared" si="364"/>
        <v>36.659999999999997</v>
      </c>
      <c r="M340" s="425" t="s">
        <v>762</v>
      </c>
      <c r="N340" s="425" t="s">
        <v>762</v>
      </c>
      <c r="O340" s="425" t="s">
        <v>762</v>
      </c>
      <c r="P340" s="425" t="s">
        <v>762</v>
      </c>
      <c r="Q340" s="425" t="s">
        <v>762</v>
      </c>
      <c r="R340" s="425" t="s">
        <v>762</v>
      </c>
      <c r="S340" s="425" t="s">
        <v>762</v>
      </c>
      <c r="T340" s="425" t="s">
        <v>762</v>
      </c>
      <c r="U340" s="425" t="s">
        <v>762</v>
      </c>
      <c r="V340" s="425">
        <f t="shared" si="364"/>
        <v>36.659999999999997</v>
      </c>
      <c r="W340" s="425">
        <f t="shared" si="364"/>
        <v>36.659999999999997</v>
      </c>
      <c r="X340" s="425">
        <f t="shared" si="307"/>
        <v>42.83</v>
      </c>
      <c r="Y340" s="425">
        <f t="shared" si="308"/>
        <v>44.49</v>
      </c>
      <c r="Z340" s="425">
        <f t="shared" si="309"/>
        <v>47.46</v>
      </c>
      <c r="AA340" s="425">
        <f t="shared" si="310"/>
        <v>49.15</v>
      </c>
      <c r="AB340" s="425">
        <f t="shared" si="311"/>
        <v>50.84</v>
      </c>
      <c r="AC340" s="425">
        <f t="shared" ref="AC340:AD340" si="387">$I832</f>
        <v>52.53</v>
      </c>
      <c r="AD340" s="425">
        <f t="shared" si="387"/>
        <v>52.53</v>
      </c>
      <c r="AE340" s="425" t="s">
        <v>762</v>
      </c>
      <c r="AF340" s="425" t="s">
        <v>762</v>
      </c>
      <c r="AG340" s="425">
        <f t="shared" si="367"/>
        <v>63.666000000000004</v>
      </c>
      <c r="AH340" s="425" t="s">
        <v>762</v>
      </c>
      <c r="AI340" s="425">
        <f t="shared" si="368"/>
        <v>84.888000000000005</v>
      </c>
      <c r="AJ340" s="425" t="s">
        <v>762</v>
      </c>
      <c r="AK340" s="425">
        <f t="shared" si="369"/>
        <v>106.11000000000001</v>
      </c>
      <c r="AL340" s="425">
        <f t="shared" si="370"/>
        <v>89.869500000000016</v>
      </c>
      <c r="AM340" s="425" t="s">
        <v>762</v>
      </c>
      <c r="AN340" s="425">
        <f t="shared" si="371"/>
        <v>104.84775000000002</v>
      </c>
      <c r="AO340" s="425" t="s">
        <v>762</v>
      </c>
      <c r="AP340" s="425">
        <f t="shared" si="372"/>
        <v>119.82600000000002</v>
      </c>
      <c r="AQ340" s="425" t="s">
        <v>762</v>
      </c>
      <c r="AR340" s="425">
        <f t="shared" si="373"/>
        <v>134.80425000000002</v>
      </c>
      <c r="AS340" s="425" t="s">
        <v>762</v>
      </c>
      <c r="AT340" s="425">
        <f t="shared" si="374"/>
        <v>163.07999999999998</v>
      </c>
      <c r="AU340" s="425" t="s">
        <v>762</v>
      </c>
      <c r="AV340" s="425" t="s">
        <v>762</v>
      </c>
      <c r="AW340" s="425" t="s">
        <v>762</v>
      </c>
      <c r="AX340" s="425" t="s">
        <v>762</v>
      </c>
      <c r="AY340" s="425" t="s">
        <v>762</v>
      </c>
      <c r="AZ340" s="425" t="s">
        <v>762</v>
      </c>
      <c r="BA340" s="425">
        <f t="shared" si="375"/>
        <v>214.34625000000003</v>
      </c>
      <c r="BB340" s="425" t="s">
        <v>762</v>
      </c>
      <c r="BC340" s="425" t="s">
        <v>762</v>
      </c>
      <c r="BD340" s="425" t="s">
        <v>762</v>
      </c>
      <c r="BE340" s="425" t="s">
        <v>762</v>
      </c>
      <c r="BF340" s="425">
        <f t="shared" si="376"/>
        <v>292.68</v>
      </c>
      <c r="BG340" s="425" t="s">
        <v>762</v>
      </c>
      <c r="BH340" s="425" t="s">
        <v>762</v>
      </c>
      <c r="BI340" s="425">
        <f t="shared" si="377"/>
        <v>365.85</v>
      </c>
      <c r="BJ340" s="425" t="s">
        <v>762</v>
      </c>
      <c r="BK340" s="425" t="s">
        <v>762</v>
      </c>
      <c r="BL340" s="425">
        <f t="shared" si="378"/>
        <v>439.02</v>
      </c>
      <c r="BM340" s="425" t="s">
        <v>762</v>
      </c>
      <c r="BN340" s="425" t="s">
        <v>762</v>
      </c>
      <c r="BO340" s="425" t="s">
        <v>762</v>
      </c>
      <c r="BP340" s="425" t="s">
        <v>762</v>
      </c>
      <c r="BQ340" s="425" t="s">
        <v>762</v>
      </c>
      <c r="BR340" s="425" t="s">
        <v>762</v>
      </c>
      <c r="BS340" s="425" t="s">
        <v>762</v>
      </c>
      <c r="BT340" s="425" t="s">
        <v>762</v>
      </c>
      <c r="BU340" s="425" t="s">
        <v>762</v>
      </c>
      <c r="BV340" s="425" t="s">
        <v>762</v>
      </c>
      <c r="BW340" s="425" t="s">
        <v>762</v>
      </c>
      <c r="BX340" s="425" t="s">
        <v>762</v>
      </c>
      <c r="BY340" s="425" t="s">
        <v>762</v>
      </c>
      <c r="BZ340" s="425" t="s">
        <v>762</v>
      </c>
      <c r="CA340" s="425" t="s">
        <v>762</v>
      </c>
      <c r="CB340" s="425" t="s">
        <v>762</v>
      </c>
      <c r="CC340" s="425" t="s">
        <v>762</v>
      </c>
      <c r="CD340" s="425" t="s">
        <v>762</v>
      </c>
      <c r="CE340" s="425" t="s">
        <v>762</v>
      </c>
      <c r="CF340" s="425" t="s">
        <v>762</v>
      </c>
      <c r="CG340" s="424" t="s">
        <v>762</v>
      </c>
      <c r="CH340" s="425">
        <f t="shared" si="313"/>
        <v>42.444000000000003</v>
      </c>
      <c r="CI340" s="425">
        <f t="shared" si="341"/>
        <v>29.956500000000005</v>
      </c>
      <c r="CJ340" s="425">
        <f t="shared" si="342"/>
        <v>32.616</v>
      </c>
      <c r="CK340" s="425">
        <f t="shared" si="343"/>
        <v>28.579500000000003</v>
      </c>
      <c r="CL340" s="425">
        <f t="shared" si="344"/>
        <v>29.268000000000001</v>
      </c>
      <c r="CN340" s="438"/>
    </row>
    <row r="341" spans="1:92" s="426" customFormat="1">
      <c r="A341" s="424" t="s">
        <v>621</v>
      </c>
      <c r="B341" s="424" t="s">
        <v>630</v>
      </c>
      <c r="C341" s="425">
        <f t="shared" si="306"/>
        <v>38.22</v>
      </c>
      <c r="D341" s="425">
        <f t="shared" si="364"/>
        <v>38.22</v>
      </c>
      <c r="E341" s="425">
        <f t="shared" si="364"/>
        <v>38.22</v>
      </c>
      <c r="F341" s="425">
        <f t="shared" si="364"/>
        <v>38.22</v>
      </c>
      <c r="G341" s="425">
        <f t="shared" si="364"/>
        <v>38.22</v>
      </c>
      <c r="H341" s="425">
        <f t="shared" si="364"/>
        <v>38.22</v>
      </c>
      <c r="I341" s="425">
        <f t="shared" si="364"/>
        <v>38.22</v>
      </c>
      <c r="J341" s="425">
        <f t="shared" si="364"/>
        <v>38.22</v>
      </c>
      <c r="K341" s="425">
        <f t="shared" si="364"/>
        <v>38.22</v>
      </c>
      <c r="L341" s="425">
        <f t="shared" si="364"/>
        <v>38.22</v>
      </c>
      <c r="M341" s="425" t="s">
        <v>762</v>
      </c>
      <c r="N341" s="425" t="s">
        <v>762</v>
      </c>
      <c r="O341" s="425" t="s">
        <v>762</v>
      </c>
      <c r="P341" s="425" t="s">
        <v>762</v>
      </c>
      <c r="Q341" s="425" t="s">
        <v>762</v>
      </c>
      <c r="R341" s="425" t="s">
        <v>762</v>
      </c>
      <c r="S341" s="425" t="s">
        <v>762</v>
      </c>
      <c r="T341" s="425" t="s">
        <v>762</v>
      </c>
      <c r="U341" s="425" t="s">
        <v>762</v>
      </c>
      <c r="V341" s="425">
        <f t="shared" si="364"/>
        <v>38.22</v>
      </c>
      <c r="W341" s="425">
        <f t="shared" si="364"/>
        <v>38.22</v>
      </c>
      <c r="X341" s="425">
        <f t="shared" si="307"/>
        <v>44.65</v>
      </c>
      <c r="Y341" s="425">
        <f t="shared" si="308"/>
        <v>46.37</v>
      </c>
      <c r="Z341" s="425">
        <f t="shared" si="309"/>
        <v>49.69</v>
      </c>
      <c r="AA341" s="425">
        <f t="shared" si="310"/>
        <v>51.46</v>
      </c>
      <c r="AB341" s="425">
        <f t="shared" si="311"/>
        <v>53.24</v>
      </c>
      <c r="AC341" s="425">
        <f t="shared" ref="AC341:AD341" si="388">$I833</f>
        <v>55.02</v>
      </c>
      <c r="AD341" s="425">
        <f t="shared" si="388"/>
        <v>55.02</v>
      </c>
      <c r="AE341" s="425" t="s">
        <v>762</v>
      </c>
      <c r="AF341" s="425" t="s">
        <v>762</v>
      </c>
      <c r="AG341" s="425">
        <f t="shared" si="367"/>
        <v>66.663000000000011</v>
      </c>
      <c r="AH341" s="425" t="s">
        <v>762</v>
      </c>
      <c r="AI341" s="425">
        <f t="shared" si="368"/>
        <v>88.884000000000015</v>
      </c>
      <c r="AJ341" s="425" t="s">
        <v>762</v>
      </c>
      <c r="AK341" s="425">
        <f t="shared" si="369"/>
        <v>111.10500000000002</v>
      </c>
      <c r="AL341" s="425">
        <f t="shared" si="370"/>
        <v>94.081500000000005</v>
      </c>
      <c r="AM341" s="425" t="s">
        <v>762</v>
      </c>
      <c r="AN341" s="425">
        <f t="shared" si="371"/>
        <v>109.76175000000001</v>
      </c>
      <c r="AO341" s="425" t="s">
        <v>762</v>
      </c>
      <c r="AP341" s="425">
        <f t="shared" si="372"/>
        <v>125.44200000000001</v>
      </c>
      <c r="AQ341" s="425" t="s">
        <v>762</v>
      </c>
      <c r="AR341" s="425">
        <f t="shared" si="373"/>
        <v>141.12225000000001</v>
      </c>
      <c r="AS341" s="425" t="s">
        <v>762</v>
      </c>
      <c r="AT341" s="425">
        <f t="shared" si="374"/>
        <v>170.77500000000001</v>
      </c>
      <c r="AU341" s="425" t="s">
        <v>762</v>
      </c>
      <c r="AV341" s="425" t="s">
        <v>762</v>
      </c>
      <c r="AW341" s="425" t="s">
        <v>762</v>
      </c>
      <c r="AX341" s="425" t="s">
        <v>762</v>
      </c>
      <c r="AY341" s="425" t="s">
        <v>762</v>
      </c>
      <c r="AZ341" s="425" t="s">
        <v>762</v>
      </c>
      <c r="BA341" s="425">
        <f t="shared" si="375"/>
        <v>224.47125000000003</v>
      </c>
      <c r="BB341" s="425" t="s">
        <v>762</v>
      </c>
      <c r="BC341" s="425" t="s">
        <v>762</v>
      </c>
      <c r="BD341" s="425" t="s">
        <v>762</v>
      </c>
      <c r="BE341" s="425" t="s">
        <v>762</v>
      </c>
      <c r="BF341" s="425">
        <f t="shared" si="376"/>
        <v>306.58500000000004</v>
      </c>
      <c r="BG341" s="425" t="s">
        <v>762</v>
      </c>
      <c r="BH341" s="425" t="s">
        <v>762</v>
      </c>
      <c r="BI341" s="425">
        <f t="shared" si="377"/>
        <v>383.23125000000005</v>
      </c>
      <c r="BJ341" s="425" t="s">
        <v>762</v>
      </c>
      <c r="BK341" s="425" t="s">
        <v>762</v>
      </c>
      <c r="BL341" s="425">
        <f t="shared" si="378"/>
        <v>459.87750000000005</v>
      </c>
      <c r="BM341" s="425" t="s">
        <v>762</v>
      </c>
      <c r="BN341" s="425" t="s">
        <v>762</v>
      </c>
      <c r="BO341" s="425" t="s">
        <v>762</v>
      </c>
      <c r="BP341" s="425" t="s">
        <v>762</v>
      </c>
      <c r="BQ341" s="425" t="s">
        <v>762</v>
      </c>
      <c r="BR341" s="425" t="s">
        <v>762</v>
      </c>
      <c r="BS341" s="425" t="s">
        <v>762</v>
      </c>
      <c r="BT341" s="425" t="s">
        <v>762</v>
      </c>
      <c r="BU341" s="425" t="s">
        <v>762</v>
      </c>
      <c r="BV341" s="425" t="s">
        <v>762</v>
      </c>
      <c r="BW341" s="425" t="s">
        <v>762</v>
      </c>
      <c r="BX341" s="425" t="s">
        <v>762</v>
      </c>
      <c r="BY341" s="425" t="s">
        <v>762</v>
      </c>
      <c r="BZ341" s="425" t="s">
        <v>762</v>
      </c>
      <c r="CA341" s="425" t="s">
        <v>762</v>
      </c>
      <c r="CB341" s="425" t="s">
        <v>762</v>
      </c>
      <c r="CC341" s="425" t="s">
        <v>762</v>
      </c>
      <c r="CD341" s="425" t="s">
        <v>762</v>
      </c>
      <c r="CE341" s="425" t="s">
        <v>762</v>
      </c>
      <c r="CF341" s="425" t="s">
        <v>762</v>
      </c>
      <c r="CG341" s="424" t="s">
        <v>762</v>
      </c>
      <c r="CH341" s="425">
        <f t="shared" si="313"/>
        <v>44.442000000000007</v>
      </c>
      <c r="CI341" s="425">
        <f t="shared" si="341"/>
        <v>31.360500000000002</v>
      </c>
      <c r="CJ341" s="425">
        <f t="shared" si="342"/>
        <v>34.155000000000001</v>
      </c>
      <c r="CK341" s="425">
        <f t="shared" si="343"/>
        <v>29.929500000000004</v>
      </c>
      <c r="CL341" s="425">
        <f t="shared" si="344"/>
        <v>30.658500000000004</v>
      </c>
      <c r="CN341" s="438"/>
    </row>
    <row r="342" spans="1:92" s="426" customFormat="1">
      <c r="A342" s="424" t="s">
        <v>622</v>
      </c>
      <c r="B342" s="424" t="s">
        <v>630</v>
      </c>
      <c r="C342" s="425">
        <f t="shared" si="306"/>
        <v>37.85</v>
      </c>
      <c r="D342" s="425">
        <f t="shared" si="364"/>
        <v>37.85</v>
      </c>
      <c r="E342" s="425">
        <f t="shared" si="364"/>
        <v>37.85</v>
      </c>
      <c r="F342" s="425">
        <f t="shared" si="364"/>
        <v>37.85</v>
      </c>
      <c r="G342" s="425">
        <f t="shared" si="364"/>
        <v>37.85</v>
      </c>
      <c r="H342" s="425">
        <f t="shared" si="364"/>
        <v>37.85</v>
      </c>
      <c r="I342" s="425">
        <f t="shared" si="364"/>
        <v>37.85</v>
      </c>
      <c r="J342" s="425">
        <f t="shared" si="364"/>
        <v>37.85</v>
      </c>
      <c r="K342" s="425">
        <f t="shared" si="364"/>
        <v>37.85</v>
      </c>
      <c r="L342" s="425">
        <f t="shared" si="364"/>
        <v>37.85</v>
      </c>
      <c r="M342" s="425" t="s">
        <v>762</v>
      </c>
      <c r="N342" s="425" t="s">
        <v>762</v>
      </c>
      <c r="O342" s="425" t="s">
        <v>762</v>
      </c>
      <c r="P342" s="425" t="s">
        <v>762</v>
      </c>
      <c r="Q342" s="425" t="s">
        <v>762</v>
      </c>
      <c r="R342" s="425" t="s">
        <v>762</v>
      </c>
      <c r="S342" s="425" t="s">
        <v>762</v>
      </c>
      <c r="T342" s="425" t="s">
        <v>762</v>
      </c>
      <c r="U342" s="425" t="s">
        <v>762</v>
      </c>
      <c r="V342" s="425">
        <f t="shared" si="364"/>
        <v>37.85</v>
      </c>
      <c r="W342" s="425">
        <f t="shared" si="364"/>
        <v>37.85</v>
      </c>
      <c r="X342" s="425">
        <f t="shared" si="307"/>
        <v>44.23</v>
      </c>
      <c r="Y342" s="425">
        <f t="shared" si="308"/>
        <v>45.93</v>
      </c>
      <c r="Z342" s="425">
        <f t="shared" si="309"/>
        <v>49.15</v>
      </c>
      <c r="AA342" s="425">
        <f t="shared" si="310"/>
        <v>50.9</v>
      </c>
      <c r="AB342" s="425">
        <f t="shared" si="311"/>
        <v>52.66</v>
      </c>
      <c r="AC342" s="425">
        <f t="shared" ref="AC342:AD342" si="389">$I834</f>
        <v>54.41</v>
      </c>
      <c r="AD342" s="425">
        <f t="shared" si="389"/>
        <v>54.41</v>
      </c>
      <c r="AE342" s="425" t="s">
        <v>762</v>
      </c>
      <c r="AF342" s="425" t="s">
        <v>762</v>
      </c>
      <c r="AG342" s="425">
        <f t="shared" si="367"/>
        <v>65.933999999999997</v>
      </c>
      <c r="AH342" s="425" t="s">
        <v>762</v>
      </c>
      <c r="AI342" s="425">
        <f t="shared" si="368"/>
        <v>87.912000000000006</v>
      </c>
      <c r="AJ342" s="425" t="s">
        <v>762</v>
      </c>
      <c r="AK342" s="425">
        <f t="shared" si="369"/>
        <v>109.89000000000001</v>
      </c>
      <c r="AL342" s="425">
        <f t="shared" si="370"/>
        <v>93.069000000000017</v>
      </c>
      <c r="AM342" s="425" t="s">
        <v>762</v>
      </c>
      <c r="AN342" s="425">
        <f t="shared" si="371"/>
        <v>108.58050000000001</v>
      </c>
      <c r="AO342" s="425" t="s">
        <v>762</v>
      </c>
      <c r="AP342" s="425">
        <f t="shared" si="372"/>
        <v>124.09200000000001</v>
      </c>
      <c r="AQ342" s="425" t="s">
        <v>762</v>
      </c>
      <c r="AR342" s="425">
        <f t="shared" si="373"/>
        <v>139.60350000000003</v>
      </c>
      <c r="AS342" s="425" t="s">
        <v>762</v>
      </c>
      <c r="AT342" s="425">
        <f t="shared" si="374"/>
        <v>168.88499999999999</v>
      </c>
      <c r="AU342" s="425" t="s">
        <v>762</v>
      </c>
      <c r="AV342" s="425" t="s">
        <v>762</v>
      </c>
      <c r="AW342" s="425" t="s">
        <v>762</v>
      </c>
      <c r="AX342" s="425" t="s">
        <v>762</v>
      </c>
      <c r="AY342" s="425" t="s">
        <v>762</v>
      </c>
      <c r="AZ342" s="425" t="s">
        <v>762</v>
      </c>
      <c r="BA342" s="425">
        <f t="shared" si="375"/>
        <v>222.14250000000001</v>
      </c>
      <c r="BB342" s="425" t="s">
        <v>762</v>
      </c>
      <c r="BC342" s="425" t="s">
        <v>762</v>
      </c>
      <c r="BD342" s="425" t="s">
        <v>762</v>
      </c>
      <c r="BE342" s="425" t="s">
        <v>762</v>
      </c>
      <c r="BF342" s="425">
        <f t="shared" si="376"/>
        <v>303.48</v>
      </c>
      <c r="BG342" s="425" t="s">
        <v>762</v>
      </c>
      <c r="BH342" s="425" t="s">
        <v>762</v>
      </c>
      <c r="BI342" s="425">
        <f t="shared" si="377"/>
        <v>379.35</v>
      </c>
      <c r="BJ342" s="425" t="s">
        <v>762</v>
      </c>
      <c r="BK342" s="425" t="s">
        <v>762</v>
      </c>
      <c r="BL342" s="425">
        <f t="shared" si="378"/>
        <v>455.22</v>
      </c>
      <c r="BM342" s="425" t="s">
        <v>762</v>
      </c>
      <c r="BN342" s="425" t="s">
        <v>762</v>
      </c>
      <c r="BO342" s="425" t="s">
        <v>762</v>
      </c>
      <c r="BP342" s="425" t="s">
        <v>762</v>
      </c>
      <c r="BQ342" s="425" t="s">
        <v>762</v>
      </c>
      <c r="BR342" s="425" t="s">
        <v>762</v>
      </c>
      <c r="BS342" s="425" t="s">
        <v>762</v>
      </c>
      <c r="BT342" s="425" t="s">
        <v>762</v>
      </c>
      <c r="BU342" s="425" t="s">
        <v>762</v>
      </c>
      <c r="BV342" s="425" t="s">
        <v>762</v>
      </c>
      <c r="BW342" s="425" t="s">
        <v>762</v>
      </c>
      <c r="BX342" s="425" t="s">
        <v>762</v>
      </c>
      <c r="BY342" s="425" t="s">
        <v>762</v>
      </c>
      <c r="BZ342" s="425" t="s">
        <v>762</v>
      </c>
      <c r="CA342" s="425" t="s">
        <v>762</v>
      </c>
      <c r="CB342" s="425" t="s">
        <v>762</v>
      </c>
      <c r="CC342" s="425" t="s">
        <v>762</v>
      </c>
      <c r="CD342" s="425" t="s">
        <v>762</v>
      </c>
      <c r="CE342" s="425" t="s">
        <v>762</v>
      </c>
      <c r="CF342" s="425" t="s">
        <v>762</v>
      </c>
      <c r="CG342" s="424" t="s">
        <v>762</v>
      </c>
      <c r="CH342" s="425">
        <f t="shared" si="313"/>
        <v>43.956000000000003</v>
      </c>
      <c r="CI342" s="425">
        <f t="shared" si="341"/>
        <v>31.023000000000003</v>
      </c>
      <c r="CJ342" s="425">
        <f t="shared" si="342"/>
        <v>33.777000000000001</v>
      </c>
      <c r="CK342" s="425">
        <f t="shared" si="343"/>
        <v>29.619000000000003</v>
      </c>
      <c r="CL342" s="425">
        <f t="shared" si="344"/>
        <v>30.348000000000003</v>
      </c>
      <c r="CN342" s="438"/>
    </row>
    <row r="343" spans="1:92" s="426" customFormat="1">
      <c r="A343" s="424" t="s">
        <v>623</v>
      </c>
      <c r="B343" s="424" t="s">
        <v>630</v>
      </c>
      <c r="C343" s="425">
        <f t="shared" si="306"/>
        <v>37.020000000000003</v>
      </c>
      <c r="D343" s="425">
        <f t="shared" si="364"/>
        <v>37.020000000000003</v>
      </c>
      <c r="E343" s="425">
        <f t="shared" si="364"/>
        <v>37.020000000000003</v>
      </c>
      <c r="F343" s="425">
        <f t="shared" si="364"/>
        <v>37.020000000000003</v>
      </c>
      <c r="G343" s="425">
        <f t="shared" si="364"/>
        <v>37.020000000000003</v>
      </c>
      <c r="H343" s="425">
        <f t="shared" si="364"/>
        <v>37.020000000000003</v>
      </c>
      <c r="I343" s="425">
        <f t="shared" si="364"/>
        <v>37.020000000000003</v>
      </c>
      <c r="J343" s="425">
        <f t="shared" si="364"/>
        <v>37.020000000000003</v>
      </c>
      <c r="K343" s="425">
        <f t="shared" si="364"/>
        <v>37.020000000000003</v>
      </c>
      <c r="L343" s="425">
        <f t="shared" si="364"/>
        <v>37.020000000000003</v>
      </c>
      <c r="M343" s="425" t="s">
        <v>762</v>
      </c>
      <c r="N343" s="425" t="s">
        <v>762</v>
      </c>
      <c r="O343" s="425" t="s">
        <v>762</v>
      </c>
      <c r="P343" s="425" t="s">
        <v>762</v>
      </c>
      <c r="Q343" s="425" t="s">
        <v>762</v>
      </c>
      <c r="R343" s="425" t="s">
        <v>762</v>
      </c>
      <c r="S343" s="425" t="s">
        <v>762</v>
      </c>
      <c r="T343" s="425" t="s">
        <v>762</v>
      </c>
      <c r="U343" s="425" t="s">
        <v>762</v>
      </c>
      <c r="V343" s="425">
        <f t="shared" si="364"/>
        <v>37.020000000000003</v>
      </c>
      <c r="W343" s="425">
        <f t="shared" si="364"/>
        <v>37.020000000000003</v>
      </c>
      <c r="X343" s="425">
        <f t="shared" si="307"/>
        <v>43.26</v>
      </c>
      <c r="Y343" s="425">
        <f t="shared" si="308"/>
        <v>44.94</v>
      </c>
      <c r="Z343" s="425">
        <f t="shared" si="309"/>
        <v>47.96</v>
      </c>
      <c r="AA343" s="425">
        <f t="shared" si="310"/>
        <v>49.69</v>
      </c>
      <c r="AB343" s="425">
        <f t="shared" si="311"/>
        <v>51.38</v>
      </c>
      <c r="AC343" s="425">
        <f t="shared" ref="AC343:AD343" si="390">$I835</f>
        <v>53.1</v>
      </c>
      <c r="AD343" s="425">
        <f t="shared" si="390"/>
        <v>53.1</v>
      </c>
      <c r="AE343" s="425" t="s">
        <v>762</v>
      </c>
      <c r="AF343" s="425" t="s">
        <v>762</v>
      </c>
      <c r="AG343" s="425">
        <f t="shared" si="367"/>
        <v>64.354500000000002</v>
      </c>
      <c r="AH343" s="425" t="s">
        <v>762</v>
      </c>
      <c r="AI343" s="425">
        <f t="shared" si="368"/>
        <v>85.806000000000012</v>
      </c>
      <c r="AJ343" s="425" t="s">
        <v>762</v>
      </c>
      <c r="AK343" s="425">
        <f t="shared" si="369"/>
        <v>107.25750000000002</v>
      </c>
      <c r="AL343" s="425">
        <f t="shared" si="370"/>
        <v>90.841499999999996</v>
      </c>
      <c r="AM343" s="425" t="s">
        <v>762</v>
      </c>
      <c r="AN343" s="425">
        <f t="shared" si="371"/>
        <v>105.98175000000001</v>
      </c>
      <c r="AO343" s="425" t="s">
        <v>762</v>
      </c>
      <c r="AP343" s="425">
        <f t="shared" si="372"/>
        <v>121.122</v>
      </c>
      <c r="AQ343" s="425" t="s">
        <v>762</v>
      </c>
      <c r="AR343" s="425">
        <f t="shared" si="373"/>
        <v>136.26224999999999</v>
      </c>
      <c r="AS343" s="425" t="s">
        <v>762</v>
      </c>
      <c r="AT343" s="425">
        <f t="shared" si="374"/>
        <v>164.9025</v>
      </c>
      <c r="AU343" s="425" t="s">
        <v>762</v>
      </c>
      <c r="AV343" s="425" t="s">
        <v>762</v>
      </c>
      <c r="AW343" s="425" t="s">
        <v>762</v>
      </c>
      <c r="AX343" s="425" t="s">
        <v>762</v>
      </c>
      <c r="AY343" s="425" t="s">
        <v>762</v>
      </c>
      <c r="AZ343" s="425" t="s">
        <v>762</v>
      </c>
      <c r="BA343" s="425">
        <f t="shared" si="375"/>
        <v>216.67500000000001</v>
      </c>
      <c r="BB343" s="425" t="s">
        <v>762</v>
      </c>
      <c r="BC343" s="425" t="s">
        <v>762</v>
      </c>
      <c r="BD343" s="425" t="s">
        <v>762</v>
      </c>
      <c r="BE343" s="425" t="s">
        <v>762</v>
      </c>
      <c r="BF343" s="425">
        <f t="shared" si="376"/>
        <v>295.92000000000007</v>
      </c>
      <c r="BG343" s="425" t="s">
        <v>762</v>
      </c>
      <c r="BH343" s="425" t="s">
        <v>762</v>
      </c>
      <c r="BI343" s="425">
        <f t="shared" si="377"/>
        <v>369.90000000000009</v>
      </c>
      <c r="BJ343" s="425" t="s">
        <v>762</v>
      </c>
      <c r="BK343" s="425" t="s">
        <v>762</v>
      </c>
      <c r="BL343" s="425">
        <f t="shared" si="378"/>
        <v>443.88000000000011</v>
      </c>
      <c r="BM343" s="425" t="s">
        <v>762</v>
      </c>
      <c r="BN343" s="425" t="s">
        <v>762</v>
      </c>
      <c r="BO343" s="425" t="s">
        <v>762</v>
      </c>
      <c r="BP343" s="425" t="s">
        <v>762</v>
      </c>
      <c r="BQ343" s="425" t="s">
        <v>762</v>
      </c>
      <c r="BR343" s="425" t="s">
        <v>762</v>
      </c>
      <c r="BS343" s="425" t="s">
        <v>762</v>
      </c>
      <c r="BT343" s="425" t="s">
        <v>762</v>
      </c>
      <c r="BU343" s="425" t="s">
        <v>762</v>
      </c>
      <c r="BV343" s="425" t="s">
        <v>762</v>
      </c>
      <c r="BW343" s="425" t="s">
        <v>762</v>
      </c>
      <c r="BX343" s="425" t="s">
        <v>762</v>
      </c>
      <c r="BY343" s="425" t="s">
        <v>762</v>
      </c>
      <c r="BZ343" s="425" t="s">
        <v>762</v>
      </c>
      <c r="CA343" s="425" t="s">
        <v>762</v>
      </c>
      <c r="CB343" s="425" t="s">
        <v>762</v>
      </c>
      <c r="CC343" s="425" t="s">
        <v>762</v>
      </c>
      <c r="CD343" s="425" t="s">
        <v>762</v>
      </c>
      <c r="CE343" s="425" t="s">
        <v>762</v>
      </c>
      <c r="CF343" s="425" t="s">
        <v>762</v>
      </c>
      <c r="CG343" s="424" t="s">
        <v>762</v>
      </c>
      <c r="CH343" s="425">
        <f>J835*1.35</f>
        <v>42.903000000000006</v>
      </c>
      <c r="CI343" s="425">
        <f t="shared" si="341"/>
        <v>30.2805</v>
      </c>
      <c r="CJ343" s="425">
        <f t="shared" si="342"/>
        <v>32.980499999999999</v>
      </c>
      <c r="CK343" s="425">
        <f t="shared" si="343"/>
        <v>28.89</v>
      </c>
      <c r="CL343" s="425">
        <f>N835*1.35</f>
        <v>29.592000000000006</v>
      </c>
      <c r="CN343" s="438"/>
    </row>
    <row r="344" spans="1:92" s="429" customFormat="1">
      <c r="A344" s="427" t="s">
        <v>510</v>
      </c>
      <c r="B344" s="427" t="s">
        <v>103</v>
      </c>
      <c r="C344" s="428">
        <f>$P$604</f>
        <v>14</v>
      </c>
      <c r="D344" s="428">
        <f>$P$605</f>
        <v>14</v>
      </c>
      <c r="E344" s="428">
        <f>$P$606</f>
        <v>14</v>
      </c>
      <c r="F344" s="428">
        <f>$P$607</f>
        <v>14</v>
      </c>
      <c r="G344" s="428">
        <f>$P$608</f>
        <v>15</v>
      </c>
      <c r="H344" s="428">
        <f>$P$609</f>
        <v>15</v>
      </c>
      <c r="I344" s="428">
        <f>$P$610</f>
        <v>15</v>
      </c>
      <c r="J344" s="428">
        <f>$P$611</f>
        <v>15</v>
      </c>
      <c r="K344" s="428">
        <f>$P$612</f>
        <v>15</v>
      </c>
      <c r="L344" s="428">
        <f>$P$613</f>
        <v>16</v>
      </c>
      <c r="M344" s="428">
        <f>$P$614</f>
        <v>16</v>
      </c>
      <c r="N344" s="428">
        <f>$P$615</f>
        <v>17</v>
      </c>
      <c r="O344" s="428">
        <f>$P$616</f>
        <v>17</v>
      </c>
      <c r="P344" s="428">
        <f>$P$617</f>
        <v>18</v>
      </c>
      <c r="Q344" s="428">
        <f>$P$618</f>
        <v>18</v>
      </c>
      <c r="R344" s="428">
        <f>$P$619</f>
        <v>18</v>
      </c>
      <c r="S344" s="428">
        <f>$P$620</f>
        <v>18</v>
      </c>
      <c r="T344" s="428">
        <f>$P$621</f>
        <v>18</v>
      </c>
      <c r="U344" s="428">
        <f>$P$622</f>
        <v>22</v>
      </c>
      <c r="V344" s="428">
        <f>$P$623</f>
        <v>22</v>
      </c>
      <c r="W344" s="428">
        <f>$P$633</f>
        <v>26</v>
      </c>
      <c r="X344" s="428">
        <f>(10*$P$634)+$P$633</f>
        <v>34</v>
      </c>
      <c r="Y344" s="428">
        <f>(20*$P$634)+$P$633</f>
        <v>42</v>
      </c>
      <c r="Z344" s="428" t="s">
        <v>762</v>
      </c>
      <c r="AA344" s="428" t="s">
        <v>762</v>
      </c>
      <c r="AB344" s="428" t="s">
        <v>762</v>
      </c>
      <c r="AC344" s="428" t="s">
        <v>762</v>
      </c>
      <c r="AD344" s="428" t="s">
        <v>762</v>
      </c>
      <c r="AE344" s="428" t="s">
        <v>762</v>
      </c>
      <c r="AF344" s="428" t="s">
        <v>762</v>
      </c>
      <c r="AG344" s="428" t="s">
        <v>762</v>
      </c>
      <c r="AH344" s="428" t="s">
        <v>762</v>
      </c>
      <c r="AI344" s="428" t="s">
        <v>762</v>
      </c>
      <c r="AJ344" s="428" t="s">
        <v>762</v>
      </c>
      <c r="AK344" s="428" t="s">
        <v>762</v>
      </c>
      <c r="AL344" s="428" t="s">
        <v>762</v>
      </c>
      <c r="AM344" s="428" t="s">
        <v>762</v>
      </c>
      <c r="AN344" s="428" t="s">
        <v>762</v>
      </c>
      <c r="AO344" s="428" t="s">
        <v>762</v>
      </c>
      <c r="AP344" s="428" t="s">
        <v>762</v>
      </c>
      <c r="AQ344" s="428" t="s">
        <v>762</v>
      </c>
      <c r="AR344" s="428" t="s">
        <v>762</v>
      </c>
      <c r="AS344" s="428" t="s">
        <v>762</v>
      </c>
      <c r="AT344" s="428" t="s">
        <v>762</v>
      </c>
      <c r="AU344" s="428" t="s">
        <v>762</v>
      </c>
      <c r="AV344" s="428" t="s">
        <v>762</v>
      </c>
      <c r="AW344" s="428" t="s">
        <v>762</v>
      </c>
      <c r="AX344" s="428" t="s">
        <v>762</v>
      </c>
      <c r="AY344" s="428" t="s">
        <v>762</v>
      </c>
      <c r="AZ344" s="428" t="s">
        <v>762</v>
      </c>
      <c r="BA344" s="428" t="s">
        <v>762</v>
      </c>
      <c r="BB344" s="428" t="s">
        <v>762</v>
      </c>
      <c r="BC344" s="428" t="s">
        <v>762</v>
      </c>
      <c r="BD344" s="428" t="s">
        <v>762</v>
      </c>
      <c r="BE344" s="428" t="s">
        <v>762</v>
      </c>
      <c r="BF344" s="428" t="s">
        <v>762</v>
      </c>
      <c r="BG344" s="428" t="s">
        <v>762</v>
      </c>
      <c r="BH344" s="428" t="s">
        <v>762</v>
      </c>
      <c r="BI344" s="428" t="s">
        <v>762</v>
      </c>
      <c r="BJ344" s="428" t="s">
        <v>762</v>
      </c>
      <c r="BK344" s="428" t="s">
        <v>762</v>
      </c>
      <c r="BL344" s="428" t="s">
        <v>762</v>
      </c>
      <c r="BM344" s="428" t="s">
        <v>762</v>
      </c>
      <c r="BN344" s="428" t="s">
        <v>762</v>
      </c>
      <c r="BO344" s="428" t="s">
        <v>762</v>
      </c>
      <c r="BP344" s="428" t="s">
        <v>762</v>
      </c>
      <c r="BQ344" s="428" t="s">
        <v>762</v>
      </c>
      <c r="BR344" s="428" t="s">
        <v>762</v>
      </c>
      <c r="BS344" s="428" t="s">
        <v>762</v>
      </c>
      <c r="BT344" s="428" t="s">
        <v>762</v>
      </c>
      <c r="BU344" s="428" t="s">
        <v>762</v>
      </c>
      <c r="BV344" s="428" t="s">
        <v>762</v>
      </c>
      <c r="BW344" s="428" t="s">
        <v>762</v>
      </c>
      <c r="BX344" s="428" t="s">
        <v>762</v>
      </c>
      <c r="BY344" s="428" t="s">
        <v>762</v>
      </c>
      <c r="BZ344" s="428" t="s">
        <v>762</v>
      </c>
      <c r="CA344" s="428" t="s">
        <v>762</v>
      </c>
      <c r="CB344" s="428" t="s">
        <v>762</v>
      </c>
      <c r="CC344" s="428" t="s">
        <v>762</v>
      </c>
      <c r="CD344" s="428" t="s">
        <v>762</v>
      </c>
      <c r="CE344" s="428" t="s">
        <v>762</v>
      </c>
      <c r="CF344" s="428" t="s">
        <v>762</v>
      </c>
      <c r="CG344" s="428" t="s">
        <v>762</v>
      </c>
      <c r="CH344" s="428" t="s">
        <v>762</v>
      </c>
      <c r="CI344" s="428" t="s">
        <v>762</v>
      </c>
      <c r="CJ344" s="428" t="s">
        <v>762</v>
      </c>
      <c r="CK344" s="428" t="s">
        <v>762</v>
      </c>
      <c r="CL344" s="428" t="s">
        <v>762</v>
      </c>
    </row>
    <row r="345" spans="1:92" s="429" customFormat="1">
      <c r="A345" s="427" t="s">
        <v>511</v>
      </c>
      <c r="B345" s="427" t="s">
        <v>103</v>
      </c>
      <c r="C345" s="428">
        <f t="shared" ref="C345:C408" si="391">$P$604</f>
        <v>14</v>
      </c>
      <c r="D345" s="428">
        <f t="shared" ref="D345:D408" si="392">$P$605</f>
        <v>14</v>
      </c>
      <c r="E345" s="428">
        <f t="shared" ref="E345:E408" si="393">$P$606</f>
        <v>14</v>
      </c>
      <c r="F345" s="428">
        <f t="shared" ref="F345:F408" si="394">$P$607</f>
        <v>14</v>
      </c>
      <c r="G345" s="428">
        <f t="shared" ref="G345:G408" si="395">$P$608</f>
        <v>15</v>
      </c>
      <c r="H345" s="428">
        <f t="shared" ref="H345:H408" si="396">$P$609</f>
        <v>15</v>
      </c>
      <c r="I345" s="428">
        <f t="shared" ref="I345:I408" si="397">$P$610</f>
        <v>15</v>
      </c>
      <c r="J345" s="428">
        <f t="shared" ref="J345:J408" si="398">$P$611</f>
        <v>15</v>
      </c>
      <c r="K345" s="428">
        <f t="shared" ref="K345:K408" si="399">$P$612</f>
        <v>15</v>
      </c>
      <c r="L345" s="428">
        <f t="shared" ref="L345:L408" si="400">$P$613</f>
        <v>16</v>
      </c>
      <c r="M345" s="428">
        <f t="shared" ref="M345:M408" si="401">$P$614</f>
        <v>16</v>
      </c>
      <c r="N345" s="428">
        <f t="shared" ref="N345:N408" si="402">$P$615</f>
        <v>17</v>
      </c>
      <c r="O345" s="428">
        <f t="shared" ref="O345:O408" si="403">$P$616</f>
        <v>17</v>
      </c>
      <c r="P345" s="428">
        <f t="shared" ref="P345:P408" si="404">$P$617</f>
        <v>18</v>
      </c>
      <c r="Q345" s="428">
        <f t="shared" ref="Q345:Q408" si="405">$P$618</f>
        <v>18</v>
      </c>
      <c r="R345" s="428">
        <f t="shared" ref="R345:R408" si="406">$P$619</f>
        <v>18</v>
      </c>
      <c r="S345" s="428">
        <f t="shared" ref="S345:S408" si="407">$P$620</f>
        <v>18</v>
      </c>
      <c r="T345" s="428">
        <f t="shared" ref="T345:T408" si="408">$P$621</f>
        <v>18</v>
      </c>
      <c r="U345" s="428">
        <f t="shared" ref="U345:U408" si="409">$P$622</f>
        <v>22</v>
      </c>
      <c r="V345" s="428">
        <f t="shared" ref="V345:V408" si="410">$P$623</f>
        <v>22</v>
      </c>
      <c r="W345" s="428">
        <f t="shared" ref="W345:W408" si="411">$P$633</f>
        <v>26</v>
      </c>
      <c r="X345" s="428">
        <f t="shared" ref="X345:X408" si="412">(10*$P$634)+$P$633</f>
        <v>34</v>
      </c>
      <c r="Y345" s="428">
        <f t="shared" ref="Y345:Y408" si="413">(20*$P$634)+$P$633</f>
        <v>42</v>
      </c>
      <c r="Z345" s="428" t="s">
        <v>762</v>
      </c>
      <c r="AA345" s="428" t="s">
        <v>762</v>
      </c>
      <c r="AB345" s="428" t="s">
        <v>762</v>
      </c>
      <c r="AC345" s="428" t="s">
        <v>762</v>
      </c>
      <c r="AD345" s="428" t="s">
        <v>762</v>
      </c>
      <c r="AE345" s="428" t="s">
        <v>762</v>
      </c>
      <c r="AF345" s="428" t="s">
        <v>762</v>
      </c>
      <c r="AG345" s="428" t="s">
        <v>762</v>
      </c>
      <c r="AH345" s="428" t="s">
        <v>762</v>
      </c>
      <c r="AI345" s="428" t="s">
        <v>762</v>
      </c>
      <c r="AJ345" s="428" t="s">
        <v>762</v>
      </c>
      <c r="AK345" s="428" t="s">
        <v>762</v>
      </c>
      <c r="AL345" s="428" t="s">
        <v>762</v>
      </c>
      <c r="AM345" s="428" t="s">
        <v>762</v>
      </c>
      <c r="AN345" s="428" t="s">
        <v>762</v>
      </c>
      <c r="AO345" s="428" t="s">
        <v>762</v>
      </c>
      <c r="AP345" s="428" t="s">
        <v>762</v>
      </c>
      <c r="AQ345" s="428" t="s">
        <v>762</v>
      </c>
      <c r="AR345" s="428" t="s">
        <v>762</v>
      </c>
      <c r="AS345" s="428" t="s">
        <v>762</v>
      </c>
      <c r="AT345" s="428" t="s">
        <v>762</v>
      </c>
      <c r="AU345" s="428" t="s">
        <v>762</v>
      </c>
      <c r="AV345" s="428" t="s">
        <v>762</v>
      </c>
      <c r="AW345" s="428" t="s">
        <v>762</v>
      </c>
      <c r="AX345" s="428" t="s">
        <v>762</v>
      </c>
      <c r="AY345" s="428" t="s">
        <v>762</v>
      </c>
      <c r="AZ345" s="428" t="s">
        <v>762</v>
      </c>
      <c r="BA345" s="428" t="s">
        <v>762</v>
      </c>
      <c r="BB345" s="428" t="s">
        <v>762</v>
      </c>
      <c r="BC345" s="428" t="s">
        <v>762</v>
      </c>
      <c r="BD345" s="428" t="s">
        <v>762</v>
      </c>
      <c r="BE345" s="428" t="s">
        <v>762</v>
      </c>
      <c r="BF345" s="428" t="s">
        <v>762</v>
      </c>
      <c r="BG345" s="428" t="s">
        <v>762</v>
      </c>
      <c r="BH345" s="428" t="s">
        <v>762</v>
      </c>
      <c r="BI345" s="428" t="s">
        <v>762</v>
      </c>
      <c r="BJ345" s="428" t="s">
        <v>762</v>
      </c>
      <c r="BK345" s="428" t="s">
        <v>762</v>
      </c>
      <c r="BL345" s="428" t="s">
        <v>762</v>
      </c>
      <c r="BM345" s="428" t="s">
        <v>762</v>
      </c>
      <c r="BN345" s="428" t="s">
        <v>762</v>
      </c>
      <c r="BO345" s="428" t="s">
        <v>762</v>
      </c>
      <c r="BP345" s="428" t="s">
        <v>762</v>
      </c>
      <c r="BQ345" s="428" t="s">
        <v>762</v>
      </c>
      <c r="BR345" s="428" t="s">
        <v>762</v>
      </c>
      <c r="BS345" s="428" t="s">
        <v>762</v>
      </c>
      <c r="BT345" s="428" t="s">
        <v>762</v>
      </c>
      <c r="BU345" s="428" t="s">
        <v>762</v>
      </c>
      <c r="BV345" s="428" t="s">
        <v>762</v>
      </c>
      <c r="BW345" s="428" t="s">
        <v>762</v>
      </c>
      <c r="BX345" s="428" t="s">
        <v>762</v>
      </c>
      <c r="BY345" s="428" t="s">
        <v>762</v>
      </c>
      <c r="BZ345" s="428" t="s">
        <v>762</v>
      </c>
      <c r="CA345" s="428" t="s">
        <v>762</v>
      </c>
      <c r="CB345" s="428" t="s">
        <v>762</v>
      </c>
      <c r="CC345" s="428" t="s">
        <v>762</v>
      </c>
      <c r="CD345" s="428" t="s">
        <v>762</v>
      </c>
      <c r="CE345" s="428" t="s">
        <v>762</v>
      </c>
      <c r="CF345" s="428" t="s">
        <v>762</v>
      </c>
      <c r="CG345" s="428" t="s">
        <v>762</v>
      </c>
      <c r="CH345" s="428" t="s">
        <v>762</v>
      </c>
      <c r="CI345" s="428" t="s">
        <v>762</v>
      </c>
      <c r="CJ345" s="428" t="s">
        <v>762</v>
      </c>
      <c r="CK345" s="428" t="s">
        <v>762</v>
      </c>
      <c r="CL345" s="428" t="s">
        <v>762</v>
      </c>
    </row>
    <row r="346" spans="1:92" s="429" customFormat="1">
      <c r="A346" s="427" t="s">
        <v>512</v>
      </c>
      <c r="B346" s="427" t="s">
        <v>103</v>
      </c>
      <c r="C346" s="428">
        <f t="shared" si="391"/>
        <v>14</v>
      </c>
      <c r="D346" s="428">
        <f t="shared" si="392"/>
        <v>14</v>
      </c>
      <c r="E346" s="428">
        <f t="shared" si="393"/>
        <v>14</v>
      </c>
      <c r="F346" s="428">
        <f t="shared" si="394"/>
        <v>14</v>
      </c>
      <c r="G346" s="428">
        <f t="shared" si="395"/>
        <v>15</v>
      </c>
      <c r="H346" s="428">
        <f t="shared" si="396"/>
        <v>15</v>
      </c>
      <c r="I346" s="428">
        <f t="shared" si="397"/>
        <v>15</v>
      </c>
      <c r="J346" s="428">
        <f t="shared" si="398"/>
        <v>15</v>
      </c>
      <c r="K346" s="428">
        <f t="shared" si="399"/>
        <v>15</v>
      </c>
      <c r="L346" s="428">
        <f t="shared" si="400"/>
        <v>16</v>
      </c>
      <c r="M346" s="428">
        <f t="shared" si="401"/>
        <v>16</v>
      </c>
      <c r="N346" s="428">
        <f t="shared" si="402"/>
        <v>17</v>
      </c>
      <c r="O346" s="428">
        <f t="shared" si="403"/>
        <v>17</v>
      </c>
      <c r="P346" s="428">
        <f t="shared" si="404"/>
        <v>18</v>
      </c>
      <c r="Q346" s="428">
        <f t="shared" si="405"/>
        <v>18</v>
      </c>
      <c r="R346" s="428">
        <f t="shared" si="406"/>
        <v>18</v>
      </c>
      <c r="S346" s="428">
        <f t="shared" si="407"/>
        <v>18</v>
      </c>
      <c r="T346" s="428">
        <f t="shared" si="408"/>
        <v>18</v>
      </c>
      <c r="U346" s="428">
        <f t="shared" si="409"/>
        <v>22</v>
      </c>
      <c r="V346" s="428">
        <f t="shared" si="410"/>
        <v>22</v>
      </c>
      <c r="W346" s="428">
        <f t="shared" si="411"/>
        <v>26</v>
      </c>
      <c r="X346" s="428">
        <f t="shared" si="412"/>
        <v>34</v>
      </c>
      <c r="Y346" s="428">
        <f t="shared" si="413"/>
        <v>42</v>
      </c>
      <c r="Z346" s="428" t="s">
        <v>762</v>
      </c>
      <c r="AA346" s="428" t="s">
        <v>762</v>
      </c>
      <c r="AB346" s="428" t="s">
        <v>762</v>
      </c>
      <c r="AC346" s="428" t="s">
        <v>762</v>
      </c>
      <c r="AD346" s="428" t="s">
        <v>762</v>
      </c>
      <c r="AE346" s="428" t="s">
        <v>762</v>
      </c>
      <c r="AF346" s="428" t="s">
        <v>762</v>
      </c>
      <c r="AG346" s="428" t="s">
        <v>762</v>
      </c>
      <c r="AH346" s="428" t="s">
        <v>762</v>
      </c>
      <c r="AI346" s="428" t="s">
        <v>762</v>
      </c>
      <c r="AJ346" s="428" t="s">
        <v>762</v>
      </c>
      <c r="AK346" s="428" t="s">
        <v>762</v>
      </c>
      <c r="AL346" s="428" t="s">
        <v>762</v>
      </c>
      <c r="AM346" s="428" t="s">
        <v>762</v>
      </c>
      <c r="AN346" s="428" t="s">
        <v>762</v>
      </c>
      <c r="AO346" s="428" t="s">
        <v>762</v>
      </c>
      <c r="AP346" s="428" t="s">
        <v>762</v>
      </c>
      <c r="AQ346" s="428" t="s">
        <v>762</v>
      </c>
      <c r="AR346" s="428" t="s">
        <v>762</v>
      </c>
      <c r="AS346" s="428" t="s">
        <v>762</v>
      </c>
      <c r="AT346" s="428" t="s">
        <v>762</v>
      </c>
      <c r="AU346" s="428" t="s">
        <v>762</v>
      </c>
      <c r="AV346" s="428" t="s">
        <v>762</v>
      </c>
      <c r="AW346" s="428" t="s">
        <v>762</v>
      </c>
      <c r="AX346" s="428" t="s">
        <v>762</v>
      </c>
      <c r="AY346" s="428" t="s">
        <v>762</v>
      </c>
      <c r="AZ346" s="428" t="s">
        <v>762</v>
      </c>
      <c r="BA346" s="428" t="s">
        <v>762</v>
      </c>
      <c r="BB346" s="428" t="s">
        <v>762</v>
      </c>
      <c r="BC346" s="428" t="s">
        <v>762</v>
      </c>
      <c r="BD346" s="428" t="s">
        <v>762</v>
      </c>
      <c r="BE346" s="428" t="s">
        <v>762</v>
      </c>
      <c r="BF346" s="428" t="s">
        <v>762</v>
      </c>
      <c r="BG346" s="428" t="s">
        <v>762</v>
      </c>
      <c r="BH346" s="428" t="s">
        <v>762</v>
      </c>
      <c r="BI346" s="428" t="s">
        <v>762</v>
      </c>
      <c r="BJ346" s="428" t="s">
        <v>762</v>
      </c>
      <c r="BK346" s="428" t="s">
        <v>762</v>
      </c>
      <c r="BL346" s="428" t="s">
        <v>762</v>
      </c>
      <c r="BM346" s="428" t="s">
        <v>762</v>
      </c>
      <c r="BN346" s="428" t="s">
        <v>762</v>
      </c>
      <c r="BO346" s="428" t="s">
        <v>762</v>
      </c>
      <c r="BP346" s="428" t="s">
        <v>762</v>
      </c>
      <c r="BQ346" s="428" t="s">
        <v>762</v>
      </c>
      <c r="BR346" s="428" t="s">
        <v>762</v>
      </c>
      <c r="BS346" s="428" t="s">
        <v>762</v>
      </c>
      <c r="BT346" s="428" t="s">
        <v>762</v>
      </c>
      <c r="BU346" s="428" t="s">
        <v>762</v>
      </c>
      <c r="BV346" s="428" t="s">
        <v>762</v>
      </c>
      <c r="BW346" s="428" t="s">
        <v>762</v>
      </c>
      <c r="BX346" s="428" t="s">
        <v>762</v>
      </c>
      <c r="BY346" s="428" t="s">
        <v>762</v>
      </c>
      <c r="BZ346" s="428" t="s">
        <v>762</v>
      </c>
      <c r="CA346" s="428" t="s">
        <v>762</v>
      </c>
      <c r="CB346" s="428" t="s">
        <v>762</v>
      </c>
      <c r="CC346" s="428" t="s">
        <v>762</v>
      </c>
      <c r="CD346" s="428" t="s">
        <v>762</v>
      </c>
      <c r="CE346" s="428" t="s">
        <v>762</v>
      </c>
      <c r="CF346" s="428" t="s">
        <v>762</v>
      </c>
      <c r="CG346" s="428" t="s">
        <v>762</v>
      </c>
      <c r="CH346" s="428" t="s">
        <v>762</v>
      </c>
      <c r="CI346" s="428" t="s">
        <v>762</v>
      </c>
      <c r="CJ346" s="428" t="s">
        <v>762</v>
      </c>
      <c r="CK346" s="428" t="s">
        <v>762</v>
      </c>
      <c r="CL346" s="428" t="s">
        <v>762</v>
      </c>
    </row>
    <row r="347" spans="1:92" s="429" customFormat="1">
      <c r="A347" s="427" t="s">
        <v>513</v>
      </c>
      <c r="B347" s="427" t="s">
        <v>103</v>
      </c>
      <c r="C347" s="428">
        <f t="shared" si="391"/>
        <v>14</v>
      </c>
      <c r="D347" s="428">
        <f t="shared" si="392"/>
        <v>14</v>
      </c>
      <c r="E347" s="428">
        <f t="shared" si="393"/>
        <v>14</v>
      </c>
      <c r="F347" s="428">
        <f t="shared" si="394"/>
        <v>14</v>
      </c>
      <c r="G347" s="428">
        <f t="shared" si="395"/>
        <v>15</v>
      </c>
      <c r="H347" s="428">
        <f t="shared" si="396"/>
        <v>15</v>
      </c>
      <c r="I347" s="428">
        <f t="shared" si="397"/>
        <v>15</v>
      </c>
      <c r="J347" s="428">
        <f t="shared" si="398"/>
        <v>15</v>
      </c>
      <c r="K347" s="428">
        <f t="shared" si="399"/>
        <v>15</v>
      </c>
      <c r="L347" s="428">
        <f t="shared" si="400"/>
        <v>16</v>
      </c>
      <c r="M347" s="428">
        <f t="shared" si="401"/>
        <v>16</v>
      </c>
      <c r="N347" s="428">
        <f t="shared" si="402"/>
        <v>17</v>
      </c>
      <c r="O347" s="428">
        <f t="shared" si="403"/>
        <v>17</v>
      </c>
      <c r="P347" s="428">
        <f t="shared" si="404"/>
        <v>18</v>
      </c>
      <c r="Q347" s="428">
        <f t="shared" si="405"/>
        <v>18</v>
      </c>
      <c r="R347" s="428">
        <f t="shared" si="406"/>
        <v>18</v>
      </c>
      <c r="S347" s="428">
        <f t="shared" si="407"/>
        <v>18</v>
      </c>
      <c r="T347" s="428">
        <f t="shared" si="408"/>
        <v>18</v>
      </c>
      <c r="U347" s="428">
        <f t="shared" si="409"/>
        <v>22</v>
      </c>
      <c r="V347" s="428">
        <f t="shared" si="410"/>
        <v>22</v>
      </c>
      <c r="W347" s="428">
        <f t="shared" si="411"/>
        <v>26</v>
      </c>
      <c r="X347" s="428">
        <f t="shared" si="412"/>
        <v>34</v>
      </c>
      <c r="Y347" s="428">
        <f t="shared" si="413"/>
        <v>42</v>
      </c>
      <c r="Z347" s="428" t="s">
        <v>762</v>
      </c>
      <c r="AA347" s="428" t="s">
        <v>762</v>
      </c>
      <c r="AB347" s="428" t="s">
        <v>762</v>
      </c>
      <c r="AC347" s="428" t="s">
        <v>762</v>
      </c>
      <c r="AD347" s="428" t="s">
        <v>762</v>
      </c>
      <c r="AE347" s="428" t="s">
        <v>762</v>
      </c>
      <c r="AF347" s="428" t="s">
        <v>762</v>
      </c>
      <c r="AG347" s="428" t="s">
        <v>762</v>
      </c>
      <c r="AH347" s="428" t="s">
        <v>762</v>
      </c>
      <c r="AI347" s="428" t="s">
        <v>762</v>
      </c>
      <c r="AJ347" s="428" t="s">
        <v>762</v>
      </c>
      <c r="AK347" s="428" t="s">
        <v>762</v>
      </c>
      <c r="AL347" s="428" t="s">
        <v>762</v>
      </c>
      <c r="AM347" s="428" t="s">
        <v>762</v>
      </c>
      <c r="AN347" s="428" t="s">
        <v>762</v>
      </c>
      <c r="AO347" s="428" t="s">
        <v>762</v>
      </c>
      <c r="AP347" s="428" t="s">
        <v>762</v>
      </c>
      <c r="AQ347" s="428" t="s">
        <v>762</v>
      </c>
      <c r="AR347" s="428" t="s">
        <v>762</v>
      </c>
      <c r="AS347" s="428" t="s">
        <v>762</v>
      </c>
      <c r="AT347" s="428" t="s">
        <v>762</v>
      </c>
      <c r="AU347" s="428" t="s">
        <v>762</v>
      </c>
      <c r="AV347" s="428" t="s">
        <v>762</v>
      </c>
      <c r="AW347" s="428" t="s">
        <v>762</v>
      </c>
      <c r="AX347" s="428" t="s">
        <v>762</v>
      </c>
      <c r="AY347" s="428" t="s">
        <v>762</v>
      </c>
      <c r="AZ347" s="428" t="s">
        <v>762</v>
      </c>
      <c r="BA347" s="428" t="s">
        <v>762</v>
      </c>
      <c r="BB347" s="428" t="s">
        <v>762</v>
      </c>
      <c r="BC347" s="428" t="s">
        <v>762</v>
      </c>
      <c r="BD347" s="428" t="s">
        <v>762</v>
      </c>
      <c r="BE347" s="428" t="s">
        <v>762</v>
      </c>
      <c r="BF347" s="428" t="s">
        <v>762</v>
      </c>
      <c r="BG347" s="428" t="s">
        <v>762</v>
      </c>
      <c r="BH347" s="428" t="s">
        <v>762</v>
      </c>
      <c r="BI347" s="428" t="s">
        <v>762</v>
      </c>
      <c r="BJ347" s="428" t="s">
        <v>762</v>
      </c>
      <c r="BK347" s="428" t="s">
        <v>762</v>
      </c>
      <c r="BL347" s="428" t="s">
        <v>762</v>
      </c>
      <c r="BM347" s="428" t="s">
        <v>762</v>
      </c>
      <c r="BN347" s="428" t="s">
        <v>762</v>
      </c>
      <c r="BO347" s="428" t="s">
        <v>762</v>
      </c>
      <c r="BP347" s="428" t="s">
        <v>762</v>
      </c>
      <c r="BQ347" s="428" t="s">
        <v>762</v>
      </c>
      <c r="BR347" s="428" t="s">
        <v>762</v>
      </c>
      <c r="BS347" s="428" t="s">
        <v>762</v>
      </c>
      <c r="BT347" s="428" t="s">
        <v>762</v>
      </c>
      <c r="BU347" s="428" t="s">
        <v>762</v>
      </c>
      <c r="BV347" s="428" t="s">
        <v>762</v>
      </c>
      <c r="BW347" s="428" t="s">
        <v>762</v>
      </c>
      <c r="BX347" s="428" t="s">
        <v>762</v>
      </c>
      <c r="BY347" s="428" t="s">
        <v>762</v>
      </c>
      <c r="BZ347" s="428" t="s">
        <v>762</v>
      </c>
      <c r="CA347" s="428" t="s">
        <v>762</v>
      </c>
      <c r="CB347" s="428" t="s">
        <v>762</v>
      </c>
      <c r="CC347" s="428" t="s">
        <v>762</v>
      </c>
      <c r="CD347" s="428" t="s">
        <v>762</v>
      </c>
      <c r="CE347" s="428" t="s">
        <v>762</v>
      </c>
      <c r="CF347" s="428" t="s">
        <v>762</v>
      </c>
      <c r="CG347" s="428" t="s">
        <v>762</v>
      </c>
      <c r="CH347" s="428" t="s">
        <v>762</v>
      </c>
      <c r="CI347" s="428" t="s">
        <v>762</v>
      </c>
      <c r="CJ347" s="428" t="s">
        <v>762</v>
      </c>
      <c r="CK347" s="428" t="s">
        <v>762</v>
      </c>
      <c r="CL347" s="428" t="s">
        <v>762</v>
      </c>
    </row>
    <row r="348" spans="1:92" s="429" customFormat="1">
      <c r="A348" s="427" t="s">
        <v>514</v>
      </c>
      <c r="B348" s="427" t="s">
        <v>103</v>
      </c>
      <c r="C348" s="428">
        <f t="shared" si="391"/>
        <v>14</v>
      </c>
      <c r="D348" s="428">
        <f t="shared" si="392"/>
        <v>14</v>
      </c>
      <c r="E348" s="428">
        <f t="shared" si="393"/>
        <v>14</v>
      </c>
      <c r="F348" s="428">
        <f t="shared" si="394"/>
        <v>14</v>
      </c>
      <c r="G348" s="428">
        <f t="shared" si="395"/>
        <v>15</v>
      </c>
      <c r="H348" s="428">
        <f t="shared" si="396"/>
        <v>15</v>
      </c>
      <c r="I348" s="428">
        <f t="shared" si="397"/>
        <v>15</v>
      </c>
      <c r="J348" s="428">
        <f t="shared" si="398"/>
        <v>15</v>
      </c>
      <c r="K348" s="428">
        <f t="shared" si="399"/>
        <v>15</v>
      </c>
      <c r="L348" s="428">
        <f t="shared" si="400"/>
        <v>16</v>
      </c>
      <c r="M348" s="428">
        <f t="shared" si="401"/>
        <v>16</v>
      </c>
      <c r="N348" s="428">
        <f t="shared" si="402"/>
        <v>17</v>
      </c>
      <c r="O348" s="428">
        <f t="shared" si="403"/>
        <v>17</v>
      </c>
      <c r="P348" s="428">
        <f t="shared" si="404"/>
        <v>18</v>
      </c>
      <c r="Q348" s="428">
        <f t="shared" si="405"/>
        <v>18</v>
      </c>
      <c r="R348" s="428">
        <f t="shared" si="406"/>
        <v>18</v>
      </c>
      <c r="S348" s="428">
        <f t="shared" si="407"/>
        <v>18</v>
      </c>
      <c r="T348" s="428">
        <f t="shared" si="408"/>
        <v>18</v>
      </c>
      <c r="U348" s="428">
        <f t="shared" si="409"/>
        <v>22</v>
      </c>
      <c r="V348" s="428">
        <f t="shared" si="410"/>
        <v>22</v>
      </c>
      <c r="W348" s="428">
        <f t="shared" si="411"/>
        <v>26</v>
      </c>
      <c r="X348" s="428">
        <f t="shared" si="412"/>
        <v>34</v>
      </c>
      <c r="Y348" s="428">
        <f t="shared" si="413"/>
        <v>42</v>
      </c>
      <c r="Z348" s="428" t="s">
        <v>762</v>
      </c>
      <c r="AA348" s="428" t="s">
        <v>762</v>
      </c>
      <c r="AB348" s="428" t="s">
        <v>762</v>
      </c>
      <c r="AC348" s="428" t="s">
        <v>762</v>
      </c>
      <c r="AD348" s="428" t="s">
        <v>762</v>
      </c>
      <c r="AE348" s="428" t="s">
        <v>762</v>
      </c>
      <c r="AF348" s="428" t="s">
        <v>762</v>
      </c>
      <c r="AG348" s="428" t="s">
        <v>762</v>
      </c>
      <c r="AH348" s="428" t="s">
        <v>762</v>
      </c>
      <c r="AI348" s="428" t="s">
        <v>762</v>
      </c>
      <c r="AJ348" s="428" t="s">
        <v>762</v>
      </c>
      <c r="AK348" s="428" t="s">
        <v>762</v>
      </c>
      <c r="AL348" s="428" t="s">
        <v>762</v>
      </c>
      <c r="AM348" s="428" t="s">
        <v>762</v>
      </c>
      <c r="AN348" s="428" t="s">
        <v>762</v>
      </c>
      <c r="AO348" s="428" t="s">
        <v>762</v>
      </c>
      <c r="AP348" s="428" t="s">
        <v>762</v>
      </c>
      <c r="AQ348" s="428" t="s">
        <v>762</v>
      </c>
      <c r="AR348" s="428" t="s">
        <v>762</v>
      </c>
      <c r="AS348" s="428" t="s">
        <v>762</v>
      </c>
      <c r="AT348" s="428" t="s">
        <v>762</v>
      </c>
      <c r="AU348" s="428" t="s">
        <v>762</v>
      </c>
      <c r="AV348" s="428" t="s">
        <v>762</v>
      </c>
      <c r="AW348" s="428" t="s">
        <v>762</v>
      </c>
      <c r="AX348" s="428" t="s">
        <v>762</v>
      </c>
      <c r="AY348" s="428" t="s">
        <v>762</v>
      </c>
      <c r="AZ348" s="428" t="s">
        <v>762</v>
      </c>
      <c r="BA348" s="428" t="s">
        <v>762</v>
      </c>
      <c r="BB348" s="428" t="s">
        <v>762</v>
      </c>
      <c r="BC348" s="428" t="s">
        <v>762</v>
      </c>
      <c r="BD348" s="428" t="s">
        <v>762</v>
      </c>
      <c r="BE348" s="428" t="s">
        <v>762</v>
      </c>
      <c r="BF348" s="428" t="s">
        <v>762</v>
      </c>
      <c r="BG348" s="428" t="s">
        <v>762</v>
      </c>
      <c r="BH348" s="428" t="s">
        <v>762</v>
      </c>
      <c r="BI348" s="428" t="s">
        <v>762</v>
      </c>
      <c r="BJ348" s="428" t="s">
        <v>762</v>
      </c>
      <c r="BK348" s="428" t="s">
        <v>762</v>
      </c>
      <c r="BL348" s="428" t="s">
        <v>762</v>
      </c>
      <c r="BM348" s="428" t="s">
        <v>762</v>
      </c>
      <c r="BN348" s="428" t="s">
        <v>762</v>
      </c>
      <c r="BO348" s="428" t="s">
        <v>762</v>
      </c>
      <c r="BP348" s="428" t="s">
        <v>762</v>
      </c>
      <c r="BQ348" s="428" t="s">
        <v>762</v>
      </c>
      <c r="BR348" s="428" t="s">
        <v>762</v>
      </c>
      <c r="BS348" s="428" t="s">
        <v>762</v>
      </c>
      <c r="BT348" s="428" t="s">
        <v>762</v>
      </c>
      <c r="BU348" s="428" t="s">
        <v>762</v>
      </c>
      <c r="BV348" s="428" t="s">
        <v>762</v>
      </c>
      <c r="BW348" s="428" t="s">
        <v>762</v>
      </c>
      <c r="BX348" s="428" t="s">
        <v>762</v>
      </c>
      <c r="BY348" s="428" t="s">
        <v>762</v>
      </c>
      <c r="BZ348" s="428" t="s">
        <v>762</v>
      </c>
      <c r="CA348" s="428" t="s">
        <v>762</v>
      </c>
      <c r="CB348" s="428" t="s">
        <v>762</v>
      </c>
      <c r="CC348" s="428" t="s">
        <v>762</v>
      </c>
      <c r="CD348" s="428" t="s">
        <v>762</v>
      </c>
      <c r="CE348" s="428" t="s">
        <v>762</v>
      </c>
      <c r="CF348" s="428" t="s">
        <v>762</v>
      </c>
      <c r="CG348" s="428" t="s">
        <v>762</v>
      </c>
      <c r="CH348" s="428" t="s">
        <v>762</v>
      </c>
      <c r="CI348" s="428" t="s">
        <v>762</v>
      </c>
      <c r="CJ348" s="428" t="s">
        <v>762</v>
      </c>
      <c r="CK348" s="428" t="s">
        <v>762</v>
      </c>
      <c r="CL348" s="428" t="s">
        <v>762</v>
      </c>
    </row>
    <row r="349" spans="1:92" s="429" customFormat="1">
      <c r="A349" s="427" t="s">
        <v>515</v>
      </c>
      <c r="B349" s="427" t="s">
        <v>103</v>
      </c>
      <c r="C349" s="428">
        <f t="shared" si="391"/>
        <v>14</v>
      </c>
      <c r="D349" s="428">
        <f t="shared" si="392"/>
        <v>14</v>
      </c>
      <c r="E349" s="428">
        <f t="shared" si="393"/>
        <v>14</v>
      </c>
      <c r="F349" s="428">
        <f t="shared" si="394"/>
        <v>14</v>
      </c>
      <c r="G349" s="428">
        <f t="shared" si="395"/>
        <v>15</v>
      </c>
      <c r="H349" s="428">
        <f t="shared" si="396"/>
        <v>15</v>
      </c>
      <c r="I349" s="428">
        <f t="shared" si="397"/>
        <v>15</v>
      </c>
      <c r="J349" s="428">
        <f t="shared" si="398"/>
        <v>15</v>
      </c>
      <c r="K349" s="428">
        <f t="shared" si="399"/>
        <v>15</v>
      </c>
      <c r="L349" s="428">
        <f t="shared" si="400"/>
        <v>16</v>
      </c>
      <c r="M349" s="428">
        <f t="shared" si="401"/>
        <v>16</v>
      </c>
      <c r="N349" s="428">
        <f t="shared" si="402"/>
        <v>17</v>
      </c>
      <c r="O349" s="428">
        <f t="shared" si="403"/>
        <v>17</v>
      </c>
      <c r="P349" s="428">
        <f t="shared" si="404"/>
        <v>18</v>
      </c>
      <c r="Q349" s="428">
        <f t="shared" si="405"/>
        <v>18</v>
      </c>
      <c r="R349" s="428">
        <f t="shared" si="406"/>
        <v>18</v>
      </c>
      <c r="S349" s="428">
        <f t="shared" si="407"/>
        <v>18</v>
      </c>
      <c r="T349" s="428">
        <f t="shared" si="408"/>
        <v>18</v>
      </c>
      <c r="U349" s="428">
        <f t="shared" si="409"/>
        <v>22</v>
      </c>
      <c r="V349" s="428">
        <f t="shared" si="410"/>
        <v>22</v>
      </c>
      <c r="W349" s="428">
        <f t="shared" si="411"/>
        <v>26</v>
      </c>
      <c r="X349" s="428">
        <f t="shared" si="412"/>
        <v>34</v>
      </c>
      <c r="Y349" s="428">
        <f t="shared" si="413"/>
        <v>42</v>
      </c>
      <c r="Z349" s="428" t="s">
        <v>762</v>
      </c>
      <c r="AA349" s="428" t="s">
        <v>762</v>
      </c>
      <c r="AB349" s="428" t="s">
        <v>762</v>
      </c>
      <c r="AC349" s="428" t="s">
        <v>762</v>
      </c>
      <c r="AD349" s="428" t="s">
        <v>762</v>
      </c>
      <c r="AE349" s="428" t="s">
        <v>762</v>
      </c>
      <c r="AF349" s="428" t="s">
        <v>762</v>
      </c>
      <c r="AG349" s="428" t="s">
        <v>762</v>
      </c>
      <c r="AH349" s="428" t="s">
        <v>762</v>
      </c>
      <c r="AI349" s="428" t="s">
        <v>762</v>
      </c>
      <c r="AJ349" s="428" t="s">
        <v>762</v>
      </c>
      <c r="AK349" s="428" t="s">
        <v>762</v>
      </c>
      <c r="AL349" s="428" t="s">
        <v>762</v>
      </c>
      <c r="AM349" s="428" t="s">
        <v>762</v>
      </c>
      <c r="AN349" s="428" t="s">
        <v>762</v>
      </c>
      <c r="AO349" s="428" t="s">
        <v>762</v>
      </c>
      <c r="AP349" s="428" t="s">
        <v>762</v>
      </c>
      <c r="AQ349" s="428" t="s">
        <v>762</v>
      </c>
      <c r="AR349" s="428" t="s">
        <v>762</v>
      </c>
      <c r="AS349" s="428" t="s">
        <v>762</v>
      </c>
      <c r="AT349" s="428" t="s">
        <v>762</v>
      </c>
      <c r="AU349" s="428" t="s">
        <v>762</v>
      </c>
      <c r="AV349" s="428" t="s">
        <v>762</v>
      </c>
      <c r="AW349" s="428" t="s">
        <v>762</v>
      </c>
      <c r="AX349" s="428" t="s">
        <v>762</v>
      </c>
      <c r="AY349" s="428" t="s">
        <v>762</v>
      </c>
      <c r="AZ349" s="428" t="s">
        <v>762</v>
      </c>
      <c r="BA349" s="428" t="s">
        <v>762</v>
      </c>
      <c r="BB349" s="428" t="s">
        <v>762</v>
      </c>
      <c r="BC349" s="428" t="s">
        <v>762</v>
      </c>
      <c r="BD349" s="428" t="s">
        <v>762</v>
      </c>
      <c r="BE349" s="428" t="s">
        <v>762</v>
      </c>
      <c r="BF349" s="428" t="s">
        <v>762</v>
      </c>
      <c r="BG349" s="428" t="s">
        <v>762</v>
      </c>
      <c r="BH349" s="428" t="s">
        <v>762</v>
      </c>
      <c r="BI349" s="428" t="s">
        <v>762</v>
      </c>
      <c r="BJ349" s="428" t="s">
        <v>762</v>
      </c>
      <c r="BK349" s="428" t="s">
        <v>762</v>
      </c>
      <c r="BL349" s="428" t="s">
        <v>762</v>
      </c>
      <c r="BM349" s="428" t="s">
        <v>762</v>
      </c>
      <c r="BN349" s="428" t="s">
        <v>762</v>
      </c>
      <c r="BO349" s="428" t="s">
        <v>762</v>
      </c>
      <c r="BP349" s="428" t="s">
        <v>762</v>
      </c>
      <c r="BQ349" s="428" t="s">
        <v>762</v>
      </c>
      <c r="BR349" s="428" t="s">
        <v>762</v>
      </c>
      <c r="BS349" s="428" t="s">
        <v>762</v>
      </c>
      <c r="BT349" s="428" t="s">
        <v>762</v>
      </c>
      <c r="BU349" s="428" t="s">
        <v>762</v>
      </c>
      <c r="BV349" s="428" t="s">
        <v>762</v>
      </c>
      <c r="BW349" s="428" t="s">
        <v>762</v>
      </c>
      <c r="BX349" s="428" t="s">
        <v>762</v>
      </c>
      <c r="BY349" s="428" t="s">
        <v>762</v>
      </c>
      <c r="BZ349" s="428" t="s">
        <v>762</v>
      </c>
      <c r="CA349" s="428" t="s">
        <v>762</v>
      </c>
      <c r="CB349" s="428" t="s">
        <v>762</v>
      </c>
      <c r="CC349" s="428" t="s">
        <v>762</v>
      </c>
      <c r="CD349" s="428" t="s">
        <v>762</v>
      </c>
      <c r="CE349" s="428" t="s">
        <v>762</v>
      </c>
      <c r="CF349" s="428" t="s">
        <v>762</v>
      </c>
      <c r="CG349" s="428" t="s">
        <v>762</v>
      </c>
      <c r="CH349" s="428" t="s">
        <v>762</v>
      </c>
      <c r="CI349" s="428" t="s">
        <v>762</v>
      </c>
      <c r="CJ349" s="428" t="s">
        <v>762</v>
      </c>
      <c r="CK349" s="428" t="s">
        <v>762</v>
      </c>
      <c r="CL349" s="428" t="s">
        <v>762</v>
      </c>
    </row>
    <row r="350" spans="1:92" s="429" customFormat="1">
      <c r="A350" s="427" t="s">
        <v>516</v>
      </c>
      <c r="B350" s="427" t="s">
        <v>103</v>
      </c>
      <c r="C350" s="428">
        <f t="shared" si="391"/>
        <v>14</v>
      </c>
      <c r="D350" s="428">
        <f t="shared" si="392"/>
        <v>14</v>
      </c>
      <c r="E350" s="428">
        <f t="shared" si="393"/>
        <v>14</v>
      </c>
      <c r="F350" s="428">
        <f t="shared" si="394"/>
        <v>14</v>
      </c>
      <c r="G350" s="428">
        <f t="shared" si="395"/>
        <v>15</v>
      </c>
      <c r="H350" s="428">
        <f t="shared" si="396"/>
        <v>15</v>
      </c>
      <c r="I350" s="428">
        <f t="shared" si="397"/>
        <v>15</v>
      </c>
      <c r="J350" s="428">
        <f t="shared" si="398"/>
        <v>15</v>
      </c>
      <c r="K350" s="428">
        <f t="shared" si="399"/>
        <v>15</v>
      </c>
      <c r="L350" s="428">
        <f t="shared" si="400"/>
        <v>16</v>
      </c>
      <c r="M350" s="428">
        <f t="shared" si="401"/>
        <v>16</v>
      </c>
      <c r="N350" s="428">
        <f t="shared" si="402"/>
        <v>17</v>
      </c>
      <c r="O350" s="428">
        <f t="shared" si="403"/>
        <v>17</v>
      </c>
      <c r="P350" s="428">
        <f t="shared" si="404"/>
        <v>18</v>
      </c>
      <c r="Q350" s="428">
        <f t="shared" si="405"/>
        <v>18</v>
      </c>
      <c r="R350" s="428">
        <f t="shared" si="406"/>
        <v>18</v>
      </c>
      <c r="S350" s="428">
        <f t="shared" si="407"/>
        <v>18</v>
      </c>
      <c r="T350" s="428">
        <f t="shared" si="408"/>
        <v>18</v>
      </c>
      <c r="U350" s="428">
        <f t="shared" si="409"/>
        <v>22</v>
      </c>
      <c r="V350" s="428">
        <f t="shared" si="410"/>
        <v>22</v>
      </c>
      <c r="W350" s="428">
        <f t="shared" si="411"/>
        <v>26</v>
      </c>
      <c r="X350" s="428">
        <f t="shared" si="412"/>
        <v>34</v>
      </c>
      <c r="Y350" s="428">
        <f t="shared" si="413"/>
        <v>42</v>
      </c>
      <c r="Z350" s="428" t="s">
        <v>762</v>
      </c>
      <c r="AA350" s="428" t="s">
        <v>762</v>
      </c>
      <c r="AB350" s="428" t="s">
        <v>762</v>
      </c>
      <c r="AC350" s="428" t="s">
        <v>762</v>
      </c>
      <c r="AD350" s="428" t="s">
        <v>762</v>
      </c>
      <c r="AE350" s="428" t="s">
        <v>762</v>
      </c>
      <c r="AF350" s="428" t="s">
        <v>762</v>
      </c>
      <c r="AG350" s="428" t="s">
        <v>762</v>
      </c>
      <c r="AH350" s="428" t="s">
        <v>762</v>
      </c>
      <c r="AI350" s="428" t="s">
        <v>762</v>
      </c>
      <c r="AJ350" s="428" t="s">
        <v>762</v>
      </c>
      <c r="AK350" s="428" t="s">
        <v>762</v>
      </c>
      <c r="AL350" s="428" t="s">
        <v>762</v>
      </c>
      <c r="AM350" s="428" t="s">
        <v>762</v>
      </c>
      <c r="AN350" s="428" t="s">
        <v>762</v>
      </c>
      <c r="AO350" s="428" t="s">
        <v>762</v>
      </c>
      <c r="AP350" s="428" t="s">
        <v>762</v>
      </c>
      <c r="AQ350" s="428" t="s">
        <v>762</v>
      </c>
      <c r="AR350" s="428" t="s">
        <v>762</v>
      </c>
      <c r="AS350" s="428" t="s">
        <v>762</v>
      </c>
      <c r="AT350" s="428" t="s">
        <v>762</v>
      </c>
      <c r="AU350" s="428" t="s">
        <v>762</v>
      </c>
      <c r="AV350" s="428" t="s">
        <v>762</v>
      </c>
      <c r="AW350" s="428" t="s">
        <v>762</v>
      </c>
      <c r="AX350" s="428" t="s">
        <v>762</v>
      </c>
      <c r="AY350" s="428" t="s">
        <v>762</v>
      </c>
      <c r="AZ350" s="428" t="s">
        <v>762</v>
      </c>
      <c r="BA350" s="428" t="s">
        <v>762</v>
      </c>
      <c r="BB350" s="428" t="s">
        <v>762</v>
      </c>
      <c r="BC350" s="428" t="s">
        <v>762</v>
      </c>
      <c r="BD350" s="428" t="s">
        <v>762</v>
      </c>
      <c r="BE350" s="428" t="s">
        <v>762</v>
      </c>
      <c r="BF350" s="428" t="s">
        <v>762</v>
      </c>
      <c r="BG350" s="428" t="s">
        <v>762</v>
      </c>
      <c r="BH350" s="428" t="s">
        <v>762</v>
      </c>
      <c r="BI350" s="428" t="s">
        <v>762</v>
      </c>
      <c r="BJ350" s="428" t="s">
        <v>762</v>
      </c>
      <c r="BK350" s="428" t="s">
        <v>762</v>
      </c>
      <c r="BL350" s="428" t="s">
        <v>762</v>
      </c>
      <c r="BM350" s="428" t="s">
        <v>762</v>
      </c>
      <c r="BN350" s="428" t="s">
        <v>762</v>
      </c>
      <c r="BO350" s="428" t="s">
        <v>762</v>
      </c>
      <c r="BP350" s="428" t="s">
        <v>762</v>
      </c>
      <c r="BQ350" s="428" t="s">
        <v>762</v>
      </c>
      <c r="BR350" s="428" t="s">
        <v>762</v>
      </c>
      <c r="BS350" s="428" t="s">
        <v>762</v>
      </c>
      <c r="BT350" s="428" t="s">
        <v>762</v>
      </c>
      <c r="BU350" s="428" t="s">
        <v>762</v>
      </c>
      <c r="BV350" s="428" t="s">
        <v>762</v>
      </c>
      <c r="BW350" s="428" t="s">
        <v>762</v>
      </c>
      <c r="BX350" s="428" t="s">
        <v>762</v>
      </c>
      <c r="BY350" s="428" t="s">
        <v>762</v>
      </c>
      <c r="BZ350" s="428" t="s">
        <v>762</v>
      </c>
      <c r="CA350" s="428" t="s">
        <v>762</v>
      </c>
      <c r="CB350" s="428" t="s">
        <v>762</v>
      </c>
      <c r="CC350" s="428" t="s">
        <v>762</v>
      </c>
      <c r="CD350" s="428" t="s">
        <v>762</v>
      </c>
      <c r="CE350" s="428" t="s">
        <v>762</v>
      </c>
      <c r="CF350" s="428" t="s">
        <v>762</v>
      </c>
      <c r="CG350" s="428" t="s">
        <v>762</v>
      </c>
      <c r="CH350" s="428" t="s">
        <v>762</v>
      </c>
      <c r="CI350" s="428" t="s">
        <v>762</v>
      </c>
      <c r="CJ350" s="428" t="s">
        <v>762</v>
      </c>
      <c r="CK350" s="428" t="s">
        <v>762</v>
      </c>
      <c r="CL350" s="428" t="s">
        <v>762</v>
      </c>
    </row>
    <row r="351" spans="1:92" s="429" customFormat="1">
      <c r="A351" s="427" t="s">
        <v>517</v>
      </c>
      <c r="B351" s="427" t="s">
        <v>103</v>
      </c>
      <c r="C351" s="428">
        <f t="shared" si="391"/>
        <v>14</v>
      </c>
      <c r="D351" s="428">
        <f t="shared" si="392"/>
        <v>14</v>
      </c>
      <c r="E351" s="428">
        <f t="shared" si="393"/>
        <v>14</v>
      </c>
      <c r="F351" s="428">
        <f t="shared" si="394"/>
        <v>14</v>
      </c>
      <c r="G351" s="428">
        <f t="shared" si="395"/>
        <v>15</v>
      </c>
      <c r="H351" s="428">
        <f t="shared" si="396"/>
        <v>15</v>
      </c>
      <c r="I351" s="428">
        <f t="shared" si="397"/>
        <v>15</v>
      </c>
      <c r="J351" s="428">
        <f t="shared" si="398"/>
        <v>15</v>
      </c>
      <c r="K351" s="428">
        <f t="shared" si="399"/>
        <v>15</v>
      </c>
      <c r="L351" s="428">
        <f t="shared" si="400"/>
        <v>16</v>
      </c>
      <c r="M351" s="428">
        <f t="shared" si="401"/>
        <v>16</v>
      </c>
      <c r="N351" s="428">
        <f t="shared" si="402"/>
        <v>17</v>
      </c>
      <c r="O351" s="428">
        <f t="shared" si="403"/>
        <v>17</v>
      </c>
      <c r="P351" s="428">
        <f t="shared" si="404"/>
        <v>18</v>
      </c>
      <c r="Q351" s="428">
        <f t="shared" si="405"/>
        <v>18</v>
      </c>
      <c r="R351" s="428">
        <f t="shared" si="406"/>
        <v>18</v>
      </c>
      <c r="S351" s="428">
        <f t="shared" si="407"/>
        <v>18</v>
      </c>
      <c r="T351" s="428">
        <f t="shared" si="408"/>
        <v>18</v>
      </c>
      <c r="U351" s="428">
        <f t="shared" si="409"/>
        <v>22</v>
      </c>
      <c r="V351" s="428">
        <f t="shared" si="410"/>
        <v>22</v>
      </c>
      <c r="W351" s="428">
        <f t="shared" si="411"/>
        <v>26</v>
      </c>
      <c r="X351" s="428">
        <f t="shared" si="412"/>
        <v>34</v>
      </c>
      <c r="Y351" s="428">
        <f t="shared" si="413"/>
        <v>42</v>
      </c>
      <c r="Z351" s="428" t="s">
        <v>762</v>
      </c>
      <c r="AA351" s="428" t="s">
        <v>762</v>
      </c>
      <c r="AB351" s="428" t="s">
        <v>762</v>
      </c>
      <c r="AC351" s="428" t="s">
        <v>762</v>
      </c>
      <c r="AD351" s="428" t="s">
        <v>762</v>
      </c>
      <c r="AE351" s="428" t="s">
        <v>762</v>
      </c>
      <c r="AF351" s="428" t="s">
        <v>762</v>
      </c>
      <c r="AG351" s="428" t="s">
        <v>762</v>
      </c>
      <c r="AH351" s="428" t="s">
        <v>762</v>
      </c>
      <c r="AI351" s="428" t="s">
        <v>762</v>
      </c>
      <c r="AJ351" s="428" t="s">
        <v>762</v>
      </c>
      <c r="AK351" s="428" t="s">
        <v>762</v>
      </c>
      <c r="AL351" s="428" t="s">
        <v>762</v>
      </c>
      <c r="AM351" s="428" t="s">
        <v>762</v>
      </c>
      <c r="AN351" s="428" t="s">
        <v>762</v>
      </c>
      <c r="AO351" s="428" t="s">
        <v>762</v>
      </c>
      <c r="AP351" s="428" t="s">
        <v>762</v>
      </c>
      <c r="AQ351" s="428" t="s">
        <v>762</v>
      </c>
      <c r="AR351" s="428" t="s">
        <v>762</v>
      </c>
      <c r="AS351" s="428" t="s">
        <v>762</v>
      </c>
      <c r="AT351" s="428" t="s">
        <v>762</v>
      </c>
      <c r="AU351" s="428" t="s">
        <v>762</v>
      </c>
      <c r="AV351" s="428" t="s">
        <v>762</v>
      </c>
      <c r="AW351" s="428" t="s">
        <v>762</v>
      </c>
      <c r="AX351" s="428" t="s">
        <v>762</v>
      </c>
      <c r="AY351" s="428" t="s">
        <v>762</v>
      </c>
      <c r="AZ351" s="428" t="s">
        <v>762</v>
      </c>
      <c r="BA351" s="428" t="s">
        <v>762</v>
      </c>
      <c r="BB351" s="428" t="s">
        <v>762</v>
      </c>
      <c r="BC351" s="428" t="s">
        <v>762</v>
      </c>
      <c r="BD351" s="428" t="s">
        <v>762</v>
      </c>
      <c r="BE351" s="428" t="s">
        <v>762</v>
      </c>
      <c r="BF351" s="428" t="s">
        <v>762</v>
      </c>
      <c r="BG351" s="428" t="s">
        <v>762</v>
      </c>
      <c r="BH351" s="428" t="s">
        <v>762</v>
      </c>
      <c r="BI351" s="428" t="s">
        <v>762</v>
      </c>
      <c r="BJ351" s="428" t="s">
        <v>762</v>
      </c>
      <c r="BK351" s="428" t="s">
        <v>762</v>
      </c>
      <c r="BL351" s="428" t="s">
        <v>762</v>
      </c>
      <c r="BM351" s="428" t="s">
        <v>762</v>
      </c>
      <c r="BN351" s="428" t="s">
        <v>762</v>
      </c>
      <c r="BO351" s="428" t="s">
        <v>762</v>
      </c>
      <c r="BP351" s="428" t="s">
        <v>762</v>
      </c>
      <c r="BQ351" s="428" t="s">
        <v>762</v>
      </c>
      <c r="BR351" s="428" t="s">
        <v>762</v>
      </c>
      <c r="BS351" s="428" t="s">
        <v>762</v>
      </c>
      <c r="BT351" s="428" t="s">
        <v>762</v>
      </c>
      <c r="BU351" s="428" t="s">
        <v>762</v>
      </c>
      <c r="BV351" s="428" t="s">
        <v>762</v>
      </c>
      <c r="BW351" s="428" t="s">
        <v>762</v>
      </c>
      <c r="BX351" s="428" t="s">
        <v>762</v>
      </c>
      <c r="BY351" s="428" t="s">
        <v>762</v>
      </c>
      <c r="BZ351" s="428" t="s">
        <v>762</v>
      </c>
      <c r="CA351" s="428" t="s">
        <v>762</v>
      </c>
      <c r="CB351" s="428" t="s">
        <v>762</v>
      </c>
      <c r="CC351" s="428" t="s">
        <v>762</v>
      </c>
      <c r="CD351" s="428" t="s">
        <v>762</v>
      </c>
      <c r="CE351" s="428" t="s">
        <v>762</v>
      </c>
      <c r="CF351" s="428" t="s">
        <v>762</v>
      </c>
      <c r="CG351" s="428" t="s">
        <v>762</v>
      </c>
      <c r="CH351" s="428" t="s">
        <v>762</v>
      </c>
      <c r="CI351" s="428" t="s">
        <v>762</v>
      </c>
      <c r="CJ351" s="428" t="s">
        <v>762</v>
      </c>
      <c r="CK351" s="428" t="s">
        <v>762</v>
      </c>
      <c r="CL351" s="428" t="s">
        <v>762</v>
      </c>
    </row>
    <row r="352" spans="1:92" s="429" customFormat="1">
      <c r="A352" s="427" t="s">
        <v>518</v>
      </c>
      <c r="B352" s="427" t="s">
        <v>103</v>
      </c>
      <c r="C352" s="428">
        <f t="shared" si="391"/>
        <v>14</v>
      </c>
      <c r="D352" s="428">
        <f t="shared" si="392"/>
        <v>14</v>
      </c>
      <c r="E352" s="428">
        <f t="shared" si="393"/>
        <v>14</v>
      </c>
      <c r="F352" s="428">
        <f t="shared" si="394"/>
        <v>14</v>
      </c>
      <c r="G352" s="428">
        <f t="shared" si="395"/>
        <v>15</v>
      </c>
      <c r="H352" s="428">
        <f t="shared" si="396"/>
        <v>15</v>
      </c>
      <c r="I352" s="428">
        <f t="shared" si="397"/>
        <v>15</v>
      </c>
      <c r="J352" s="428">
        <f t="shared" si="398"/>
        <v>15</v>
      </c>
      <c r="K352" s="428">
        <f t="shared" si="399"/>
        <v>15</v>
      </c>
      <c r="L352" s="428">
        <f t="shared" si="400"/>
        <v>16</v>
      </c>
      <c r="M352" s="428">
        <f t="shared" si="401"/>
        <v>16</v>
      </c>
      <c r="N352" s="428">
        <f t="shared" si="402"/>
        <v>17</v>
      </c>
      <c r="O352" s="428">
        <f t="shared" si="403"/>
        <v>17</v>
      </c>
      <c r="P352" s="428">
        <f t="shared" si="404"/>
        <v>18</v>
      </c>
      <c r="Q352" s="428">
        <f t="shared" si="405"/>
        <v>18</v>
      </c>
      <c r="R352" s="428">
        <f t="shared" si="406"/>
        <v>18</v>
      </c>
      <c r="S352" s="428">
        <f t="shared" si="407"/>
        <v>18</v>
      </c>
      <c r="T352" s="428">
        <f t="shared" si="408"/>
        <v>18</v>
      </c>
      <c r="U352" s="428">
        <f t="shared" si="409"/>
        <v>22</v>
      </c>
      <c r="V352" s="428">
        <f t="shared" si="410"/>
        <v>22</v>
      </c>
      <c r="W352" s="428">
        <f t="shared" si="411"/>
        <v>26</v>
      </c>
      <c r="X352" s="428">
        <f t="shared" si="412"/>
        <v>34</v>
      </c>
      <c r="Y352" s="428">
        <f t="shared" si="413"/>
        <v>42</v>
      </c>
      <c r="Z352" s="428" t="s">
        <v>762</v>
      </c>
      <c r="AA352" s="428" t="s">
        <v>762</v>
      </c>
      <c r="AB352" s="428" t="s">
        <v>762</v>
      </c>
      <c r="AC352" s="428" t="s">
        <v>762</v>
      </c>
      <c r="AD352" s="428" t="s">
        <v>762</v>
      </c>
      <c r="AE352" s="428" t="s">
        <v>762</v>
      </c>
      <c r="AF352" s="428" t="s">
        <v>762</v>
      </c>
      <c r="AG352" s="428" t="s">
        <v>762</v>
      </c>
      <c r="AH352" s="428" t="s">
        <v>762</v>
      </c>
      <c r="AI352" s="428" t="s">
        <v>762</v>
      </c>
      <c r="AJ352" s="428" t="s">
        <v>762</v>
      </c>
      <c r="AK352" s="428" t="s">
        <v>762</v>
      </c>
      <c r="AL352" s="428" t="s">
        <v>762</v>
      </c>
      <c r="AM352" s="428" t="s">
        <v>762</v>
      </c>
      <c r="AN352" s="428" t="s">
        <v>762</v>
      </c>
      <c r="AO352" s="428" t="s">
        <v>762</v>
      </c>
      <c r="AP352" s="428" t="s">
        <v>762</v>
      </c>
      <c r="AQ352" s="428" t="s">
        <v>762</v>
      </c>
      <c r="AR352" s="428" t="s">
        <v>762</v>
      </c>
      <c r="AS352" s="428" t="s">
        <v>762</v>
      </c>
      <c r="AT352" s="428" t="s">
        <v>762</v>
      </c>
      <c r="AU352" s="428" t="s">
        <v>762</v>
      </c>
      <c r="AV352" s="428" t="s">
        <v>762</v>
      </c>
      <c r="AW352" s="428" t="s">
        <v>762</v>
      </c>
      <c r="AX352" s="428" t="s">
        <v>762</v>
      </c>
      <c r="AY352" s="428" t="s">
        <v>762</v>
      </c>
      <c r="AZ352" s="428" t="s">
        <v>762</v>
      </c>
      <c r="BA352" s="428" t="s">
        <v>762</v>
      </c>
      <c r="BB352" s="428" t="s">
        <v>762</v>
      </c>
      <c r="BC352" s="428" t="s">
        <v>762</v>
      </c>
      <c r="BD352" s="428" t="s">
        <v>762</v>
      </c>
      <c r="BE352" s="428" t="s">
        <v>762</v>
      </c>
      <c r="BF352" s="428" t="s">
        <v>762</v>
      </c>
      <c r="BG352" s="428" t="s">
        <v>762</v>
      </c>
      <c r="BH352" s="428" t="s">
        <v>762</v>
      </c>
      <c r="BI352" s="428" t="s">
        <v>762</v>
      </c>
      <c r="BJ352" s="428" t="s">
        <v>762</v>
      </c>
      <c r="BK352" s="428" t="s">
        <v>762</v>
      </c>
      <c r="BL352" s="428" t="s">
        <v>762</v>
      </c>
      <c r="BM352" s="428" t="s">
        <v>762</v>
      </c>
      <c r="BN352" s="428" t="s">
        <v>762</v>
      </c>
      <c r="BO352" s="428" t="s">
        <v>762</v>
      </c>
      <c r="BP352" s="428" t="s">
        <v>762</v>
      </c>
      <c r="BQ352" s="428" t="s">
        <v>762</v>
      </c>
      <c r="BR352" s="428" t="s">
        <v>762</v>
      </c>
      <c r="BS352" s="428" t="s">
        <v>762</v>
      </c>
      <c r="BT352" s="428" t="s">
        <v>762</v>
      </c>
      <c r="BU352" s="428" t="s">
        <v>762</v>
      </c>
      <c r="BV352" s="428" t="s">
        <v>762</v>
      </c>
      <c r="BW352" s="428" t="s">
        <v>762</v>
      </c>
      <c r="BX352" s="428" t="s">
        <v>762</v>
      </c>
      <c r="BY352" s="428" t="s">
        <v>762</v>
      </c>
      <c r="BZ352" s="428" t="s">
        <v>762</v>
      </c>
      <c r="CA352" s="428" t="s">
        <v>762</v>
      </c>
      <c r="CB352" s="428" t="s">
        <v>762</v>
      </c>
      <c r="CC352" s="428" t="s">
        <v>762</v>
      </c>
      <c r="CD352" s="428" t="s">
        <v>762</v>
      </c>
      <c r="CE352" s="428" t="s">
        <v>762</v>
      </c>
      <c r="CF352" s="428" t="s">
        <v>762</v>
      </c>
      <c r="CG352" s="428" t="s">
        <v>762</v>
      </c>
      <c r="CH352" s="428" t="s">
        <v>762</v>
      </c>
      <c r="CI352" s="428" t="s">
        <v>762</v>
      </c>
      <c r="CJ352" s="428" t="s">
        <v>762</v>
      </c>
      <c r="CK352" s="428" t="s">
        <v>762</v>
      </c>
      <c r="CL352" s="428" t="s">
        <v>762</v>
      </c>
    </row>
    <row r="353" spans="1:90" s="429" customFormat="1">
      <c r="A353" s="427" t="s">
        <v>519</v>
      </c>
      <c r="B353" s="427" t="s">
        <v>103</v>
      </c>
      <c r="C353" s="428">
        <f t="shared" si="391"/>
        <v>14</v>
      </c>
      <c r="D353" s="428">
        <f t="shared" si="392"/>
        <v>14</v>
      </c>
      <c r="E353" s="428">
        <f t="shared" si="393"/>
        <v>14</v>
      </c>
      <c r="F353" s="428">
        <f t="shared" si="394"/>
        <v>14</v>
      </c>
      <c r="G353" s="428">
        <f t="shared" si="395"/>
        <v>15</v>
      </c>
      <c r="H353" s="428">
        <f t="shared" si="396"/>
        <v>15</v>
      </c>
      <c r="I353" s="428">
        <f t="shared" si="397"/>
        <v>15</v>
      </c>
      <c r="J353" s="428">
        <f t="shared" si="398"/>
        <v>15</v>
      </c>
      <c r="K353" s="428">
        <f t="shared" si="399"/>
        <v>15</v>
      </c>
      <c r="L353" s="428">
        <f t="shared" si="400"/>
        <v>16</v>
      </c>
      <c r="M353" s="428">
        <f t="shared" si="401"/>
        <v>16</v>
      </c>
      <c r="N353" s="428">
        <f t="shared" si="402"/>
        <v>17</v>
      </c>
      <c r="O353" s="428">
        <f t="shared" si="403"/>
        <v>17</v>
      </c>
      <c r="P353" s="428">
        <f t="shared" si="404"/>
        <v>18</v>
      </c>
      <c r="Q353" s="428">
        <f t="shared" si="405"/>
        <v>18</v>
      </c>
      <c r="R353" s="428">
        <f t="shared" si="406"/>
        <v>18</v>
      </c>
      <c r="S353" s="428">
        <f t="shared" si="407"/>
        <v>18</v>
      </c>
      <c r="T353" s="428">
        <f t="shared" si="408"/>
        <v>18</v>
      </c>
      <c r="U353" s="428">
        <f t="shared" si="409"/>
        <v>22</v>
      </c>
      <c r="V353" s="428">
        <f t="shared" si="410"/>
        <v>22</v>
      </c>
      <c r="W353" s="428">
        <f t="shared" si="411"/>
        <v>26</v>
      </c>
      <c r="X353" s="428">
        <f t="shared" si="412"/>
        <v>34</v>
      </c>
      <c r="Y353" s="428">
        <f t="shared" si="413"/>
        <v>42</v>
      </c>
      <c r="Z353" s="428" t="s">
        <v>762</v>
      </c>
      <c r="AA353" s="428" t="s">
        <v>762</v>
      </c>
      <c r="AB353" s="428" t="s">
        <v>762</v>
      </c>
      <c r="AC353" s="428" t="s">
        <v>762</v>
      </c>
      <c r="AD353" s="428" t="s">
        <v>762</v>
      </c>
      <c r="AE353" s="428" t="s">
        <v>762</v>
      </c>
      <c r="AF353" s="428" t="s">
        <v>762</v>
      </c>
      <c r="AG353" s="428" t="s">
        <v>762</v>
      </c>
      <c r="AH353" s="428" t="s">
        <v>762</v>
      </c>
      <c r="AI353" s="428" t="s">
        <v>762</v>
      </c>
      <c r="AJ353" s="428" t="s">
        <v>762</v>
      </c>
      <c r="AK353" s="428" t="s">
        <v>762</v>
      </c>
      <c r="AL353" s="428" t="s">
        <v>762</v>
      </c>
      <c r="AM353" s="428" t="s">
        <v>762</v>
      </c>
      <c r="AN353" s="428" t="s">
        <v>762</v>
      </c>
      <c r="AO353" s="428" t="s">
        <v>762</v>
      </c>
      <c r="AP353" s="428" t="s">
        <v>762</v>
      </c>
      <c r="AQ353" s="428" t="s">
        <v>762</v>
      </c>
      <c r="AR353" s="428" t="s">
        <v>762</v>
      </c>
      <c r="AS353" s="428" t="s">
        <v>762</v>
      </c>
      <c r="AT353" s="428" t="s">
        <v>762</v>
      </c>
      <c r="AU353" s="428" t="s">
        <v>762</v>
      </c>
      <c r="AV353" s="428" t="s">
        <v>762</v>
      </c>
      <c r="AW353" s="428" t="s">
        <v>762</v>
      </c>
      <c r="AX353" s="428" t="s">
        <v>762</v>
      </c>
      <c r="AY353" s="428" t="s">
        <v>762</v>
      </c>
      <c r="AZ353" s="428" t="s">
        <v>762</v>
      </c>
      <c r="BA353" s="428" t="s">
        <v>762</v>
      </c>
      <c r="BB353" s="428" t="s">
        <v>762</v>
      </c>
      <c r="BC353" s="428" t="s">
        <v>762</v>
      </c>
      <c r="BD353" s="428" t="s">
        <v>762</v>
      </c>
      <c r="BE353" s="428" t="s">
        <v>762</v>
      </c>
      <c r="BF353" s="428" t="s">
        <v>762</v>
      </c>
      <c r="BG353" s="428" t="s">
        <v>762</v>
      </c>
      <c r="BH353" s="428" t="s">
        <v>762</v>
      </c>
      <c r="BI353" s="428" t="s">
        <v>762</v>
      </c>
      <c r="BJ353" s="428" t="s">
        <v>762</v>
      </c>
      <c r="BK353" s="428" t="s">
        <v>762</v>
      </c>
      <c r="BL353" s="428" t="s">
        <v>762</v>
      </c>
      <c r="BM353" s="428" t="s">
        <v>762</v>
      </c>
      <c r="BN353" s="428" t="s">
        <v>762</v>
      </c>
      <c r="BO353" s="428" t="s">
        <v>762</v>
      </c>
      <c r="BP353" s="428" t="s">
        <v>762</v>
      </c>
      <c r="BQ353" s="428" t="s">
        <v>762</v>
      </c>
      <c r="BR353" s="428" t="s">
        <v>762</v>
      </c>
      <c r="BS353" s="428" t="s">
        <v>762</v>
      </c>
      <c r="BT353" s="428" t="s">
        <v>762</v>
      </c>
      <c r="BU353" s="428" t="s">
        <v>762</v>
      </c>
      <c r="BV353" s="428" t="s">
        <v>762</v>
      </c>
      <c r="BW353" s="428" t="s">
        <v>762</v>
      </c>
      <c r="BX353" s="428" t="s">
        <v>762</v>
      </c>
      <c r="BY353" s="428" t="s">
        <v>762</v>
      </c>
      <c r="BZ353" s="428" t="s">
        <v>762</v>
      </c>
      <c r="CA353" s="428" t="s">
        <v>762</v>
      </c>
      <c r="CB353" s="428" t="s">
        <v>762</v>
      </c>
      <c r="CC353" s="428" t="s">
        <v>762</v>
      </c>
      <c r="CD353" s="428" t="s">
        <v>762</v>
      </c>
      <c r="CE353" s="428" t="s">
        <v>762</v>
      </c>
      <c r="CF353" s="428" t="s">
        <v>762</v>
      </c>
      <c r="CG353" s="428" t="s">
        <v>762</v>
      </c>
      <c r="CH353" s="428" t="s">
        <v>762</v>
      </c>
      <c r="CI353" s="428" t="s">
        <v>762</v>
      </c>
      <c r="CJ353" s="428" t="s">
        <v>762</v>
      </c>
      <c r="CK353" s="428" t="s">
        <v>762</v>
      </c>
      <c r="CL353" s="428" t="s">
        <v>762</v>
      </c>
    </row>
    <row r="354" spans="1:90" s="429" customFormat="1">
      <c r="A354" s="427" t="s">
        <v>520</v>
      </c>
      <c r="B354" s="427" t="s">
        <v>103</v>
      </c>
      <c r="C354" s="428">
        <f t="shared" si="391"/>
        <v>14</v>
      </c>
      <c r="D354" s="428">
        <f t="shared" si="392"/>
        <v>14</v>
      </c>
      <c r="E354" s="428">
        <f t="shared" si="393"/>
        <v>14</v>
      </c>
      <c r="F354" s="428">
        <f t="shared" si="394"/>
        <v>14</v>
      </c>
      <c r="G354" s="428">
        <f t="shared" si="395"/>
        <v>15</v>
      </c>
      <c r="H354" s="428">
        <f t="shared" si="396"/>
        <v>15</v>
      </c>
      <c r="I354" s="428">
        <f t="shared" si="397"/>
        <v>15</v>
      </c>
      <c r="J354" s="428">
        <f t="shared" si="398"/>
        <v>15</v>
      </c>
      <c r="K354" s="428">
        <f t="shared" si="399"/>
        <v>15</v>
      </c>
      <c r="L354" s="428">
        <f t="shared" si="400"/>
        <v>16</v>
      </c>
      <c r="M354" s="428">
        <f t="shared" si="401"/>
        <v>16</v>
      </c>
      <c r="N354" s="428">
        <f t="shared" si="402"/>
        <v>17</v>
      </c>
      <c r="O354" s="428">
        <f t="shared" si="403"/>
        <v>17</v>
      </c>
      <c r="P354" s="428">
        <f t="shared" si="404"/>
        <v>18</v>
      </c>
      <c r="Q354" s="428">
        <f t="shared" si="405"/>
        <v>18</v>
      </c>
      <c r="R354" s="428">
        <f t="shared" si="406"/>
        <v>18</v>
      </c>
      <c r="S354" s="428">
        <f t="shared" si="407"/>
        <v>18</v>
      </c>
      <c r="T354" s="428">
        <f t="shared" si="408"/>
        <v>18</v>
      </c>
      <c r="U354" s="428">
        <f t="shared" si="409"/>
        <v>22</v>
      </c>
      <c r="V354" s="428">
        <f t="shared" si="410"/>
        <v>22</v>
      </c>
      <c r="W354" s="428">
        <f t="shared" si="411"/>
        <v>26</v>
      </c>
      <c r="X354" s="428">
        <f t="shared" si="412"/>
        <v>34</v>
      </c>
      <c r="Y354" s="428">
        <f t="shared" si="413"/>
        <v>42</v>
      </c>
      <c r="Z354" s="428" t="s">
        <v>762</v>
      </c>
      <c r="AA354" s="428" t="s">
        <v>762</v>
      </c>
      <c r="AB354" s="428" t="s">
        <v>762</v>
      </c>
      <c r="AC354" s="428" t="s">
        <v>762</v>
      </c>
      <c r="AD354" s="428" t="s">
        <v>762</v>
      </c>
      <c r="AE354" s="428" t="s">
        <v>762</v>
      </c>
      <c r="AF354" s="428" t="s">
        <v>762</v>
      </c>
      <c r="AG354" s="428" t="s">
        <v>762</v>
      </c>
      <c r="AH354" s="428" t="s">
        <v>762</v>
      </c>
      <c r="AI354" s="428" t="s">
        <v>762</v>
      </c>
      <c r="AJ354" s="428" t="s">
        <v>762</v>
      </c>
      <c r="AK354" s="428" t="s">
        <v>762</v>
      </c>
      <c r="AL354" s="428" t="s">
        <v>762</v>
      </c>
      <c r="AM354" s="428" t="s">
        <v>762</v>
      </c>
      <c r="AN354" s="428" t="s">
        <v>762</v>
      </c>
      <c r="AO354" s="428" t="s">
        <v>762</v>
      </c>
      <c r="AP354" s="428" t="s">
        <v>762</v>
      </c>
      <c r="AQ354" s="428" t="s">
        <v>762</v>
      </c>
      <c r="AR354" s="428" t="s">
        <v>762</v>
      </c>
      <c r="AS354" s="428" t="s">
        <v>762</v>
      </c>
      <c r="AT354" s="428" t="s">
        <v>762</v>
      </c>
      <c r="AU354" s="428" t="s">
        <v>762</v>
      </c>
      <c r="AV354" s="428" t="s">
        <v>762</v>
      </c>
      <c r="AW354" s="428" t="s">
        <v>762</v>
      </c>
      <c r="AX354" s="428" t="s">
        <v>762</v>
      </c>
      <c r="AY354" s="428" t="s">
        <v>762</v>
      </c>
      <c r="AZ354" s="428" t="s">
        <v>762</v>
      </c>
      <c r="BA354" s="428" t="s">
        <v>762</v>
      </c>
      <c r="BB354" s="428" t="s">
        <v>762</v>
      </c>
      <c r="BC354" s="428" t="s">
        <v>762</v>
      </c>
      <c r="BD354" s="428" t="s">
        <v>762</v>
      </c>
      <c r="BE354" s="428" t="s">
        <v>762</v>
      </c>
      <c r="BF354" s="428" t="s">
        <v>762</v>
      </c>
      <c r="BG354" s="428" t="s">
        <v>762</v>
      </c>
      <c r="BH354" s="428" t="s">
        <v>762</v>
      </c>
      <c r="BI354" s="428" t="s">
        <v>762</v>
      </c>
      <c r="BJ354" s="428" t="s">
        <v>762</v>
      </c>
      <c r="BK354" s="428" t="s">
        <v>762</v>
      </c>
      <c r="BL354" s="428" t="s">
        <v>762</v>
      </c>
      <c r="BM354" s="428" t="s">
        <v>762</v>
      </c>
      <c r="BN354" s="428" t="s">
        <v>762</v>
      </c>
      <c r="BO354" s="428" t="s">
        <v>762</v>
      </c>
      <c r="BP354" s="428" t="s">
        <v>762</v>
      </c>
      <c r="BQ354" s="428" t="s">
        <v>762</v>
      </c>
      <c r="BR354" s="428" t="s">
        <v>762</v>
      </c>
      <c r="BS354" s="428" t="s">
        <v>762</v>
      </c>
      <c r="BT354" s="428" t="s">
        <v>762</v>
      </c>
      <c r="BU354" s="428" t="s">
        <v>762</v>
      </c>
      <c r="BV354" s="428" t="s">
        <v>762</v>
      </c>
      <c r="BW354" s="428" t="s">
        <v>762</v>
      </c>
      <c r="BX354" s="428" t="s">
        <v>762</v>
      </c>
      <c r="BY354" s="428" t="s">
        <v>762</v>
      </c>
      <c r="BZ354" s="428" t="s">
        <v>762</v>
      </c>
      <c r="CA354" s="428" t="s">
        <v>762</v>
      </c>
      <c r="CB354" s="428" t="s">
        <v>762</v>
      </c>
      <c r="CC354" s="428" t="s">
        <v>762</v>
      </c>
      <c r="CD354" s="428" t="s">
        <v>762</v>
      </c>
      <c r="CE354" s="428" t="s">
        <v>762</v>
      </c>
      <c r="CF354" s="428" t="s">
        <v>762</v>
      </c>
      <c r="CG354" s="428" t="s">
        <v>762</v>
      </c>
      <c r="CH354" s="428" t="s">
        <v>762</v>
      </c>
      <c r="CI354" s="428" t="s">
        <v>762</v>
      </c>
      <c r="CJ354" s="428" t="s">
        <v>762</v>
      </c>
      <c r="CK354" s="428" t="s">
        <v>762</v>
      </c>
      <c r="CL354" s="428" t="s">
        <v>762</v>
      </c>
    </row>
    <row r="355" spans="1:90" s="429" customFormat="1">
      <c r="A355" s="427" t="s">
        <v>521</v>
      </c>
      <c r="B355" s="427" t="s">
        <v>103</v>
      </c>
      <c r="C355" s="428">
        <f t="shared" si="391"/>
        <v>14</v>
      </c>
      <c r="D355" s="428">
        <f t="shared" si="392"/>
        <v>14</v>
      </c>
      <c r="E355" s="428">
        <f t="shared" si="393"/>
        <v>14</v>
      </c>
      <c r="F355" s="428">
        <f t="shared" si="394"/>
        <v>14</v>
      </c>
      <c r="G355" s="428">
        <f t="shared" si="395"/>
        <v>15</v>
      </c>
      <c r="H355" s="428">
        <f t="shared" si="396"/>
        <v>15</v>
      </c>
      <c r="I355" s="428">
        <f t="shared" si="397"/>
        <v>15</v>
      </c>
      <c r="J355" s="428">
        <f t="shared" si="398"/>
        <v>15</v>
      </c>
      <c r="K355" s="428">
        <f t="shared" si="399"/>
        <v>15</v>
      </c>
      <c r="L355" s="428">
        <f t="shared" si="400"/>
        <v>16</v>
      </c>
      <c r="M355" s="428">
        <f t="shared" si="401"/>
        <v>16</v>
      </c>
      <c r="N355" s="428">
        <f t="shared" si="402"/>
        <v>17</v>
      </c>
      <c r="O355" s="428">
        <f t="shared" si="403"/>
        <v>17</v>
      </c>
      <c r="P355" s="428">
        <f t="shared" si="404"/>
        <v>18</v>
      </c>
      <c r="Q355" s="428">
        <f t="shared" si="405"/>
        <v>18</v>
      </c>
      <c r="R355" s="428">
        <f t="shared" si="406"/>
        <v>18</v>
      </c>
      <c r="S355" s="428">
        <f t="shared" si="407"/>
        <v>18</v>
      </c>
      <c r="T355" s="428">
        <f t="shared" si="408"/>
        <v>18</v>
      </c>
      <c r="U355" s="428">
        <f t="shared" si="409"/>
        <v>22</v>
      </c>
      <c r="V355" s="428">
        <f t="shared" si="410"/>
        <v>22</v>
      </c>
      <c r="W355" s="428">
        <f t="shared" si="411"/>
        <v>26</v>
      </c>
      <c r="X355" s="428">
        <f t="shared" si="412"/>
        <v>34</v>
      </c>
      <c r="Y355" s="428">
        <f t="shared" si="413"/>
        <v>42</v>
      </c>
      <c r="Z355" s="428" t="s">
        <v>762</v>
      </c>
      <c r="AA355" s="428" t="s">
        <v>762</v>
      </c>
      <c r="AB355" s="428" t="s">
        <v>762</v>
      </c>
      <c r="AC355" s="428" t="s">
        <v>762</v>
      </c>
      <c r="AD355" s="428" t="s">
        <v>762</v>
      </c>
      <c r="AE355" s="428" t="s">
        <v>762</v>
      </c>
      <c r="AF355" s="428" t="s">
        <v>762</v>
      </c>
      <c r="AG355" s="428" t="s">
        <v>762</v>
      </c>
      <c r="AH355" s="428" t="s">
        <v>762</v>
      </c>
      <c r="AI355" s="428" t="s">
        <v>762</v>
      </c>
      <c r="AJ355" s="428" t="s">
        <v>762</v>
      </c>
      <c r="AK355" s="428" t="s">
        <v>762</v>
      </c>
      <c r="AL355" s="428" t="s">
        <v>762</v>
      </c>
      <c r="AM355" s="428" t="s">
        <v>762</v>
      </c>
      <c r="AN355" s="428" t="s">
        <v>762</v>
      </c>
      <c r="AO355" s="428" t="s">
        <v>762</v>
      </c>
      <c r="AP355" s="428" t="s">
        <v>762</v>
      </c>
      <c r="AQ355" s="428" t="s">
        <v>762</v>
      </c>
      <c r="AR355" s="428" t="s">
        <v>762</v>
      </c>
      <c r="AS355" s="428" t="s">
        <v>762</v>
      </c>
      <c r="AT355" s="428" t="s">
        <v>762</v>
      </c>
      <c r="AU355" s="428" t="s">
        <v>762</v>
      </c>
      <c r="AV355" s="428" t="s">
        <v>762</v>
      </c>
      <c r="AW355" s="428" t="s">
        <v>762</v>
      </c>
      <c r="AX355" s="428" t="s">
        <v>762</v>
      </c>
      <c r="AY355" s="428" t="s">
        <v>762</v>
      </c>
      <c r="AZ355" s="428" t="s">
        <v>762</v>
      </c>
      <c r="BA355" s="428" t="s">
        <v>762</v>
      </c>
      <c r="BB355" s="428" t="s">
        <v>762</v>
      </c>
      <c r="BC355" s="428" t="s">
        <v>762</v>
      </c>
      <c r="BD355" s="428" t="s">
        <v>762</v>
      </c>
      <c r="BE355" s="428" t="s">
        <v>762</v>
      </c>
      <c r="BF355" s="428" t="s">
        <v>762</v>
      </c>
      <c r="BG355" s="428" t="s">
        <v>762</v>
      </c>
      <c r="BH355" s="428" t="s">
        <v>762</v>
      </c>
      <c r="BI355" s="428" t="s">
        <v>762</v>
      </c>
      <c r="BJ355" s="428" t="s">
        <v>762</v>
      </c>
      <c r="BK355" s="428" t="s">
        <v>762</v>
      </c>
      <c r="BL355" s="428" t="s">
        <v>762</v>
      </c>
      <c r="BM355" s="428" t="s">
        <v>762</v>
      </c>
      <c r="BN355" s="428" t="s">
        <v>762</v>
      </c>
      <c r="BO355" s="428" t="s">
        <v>762</v>
      </c>
      <c r="BP355" s="428" t="s">
        <v>762</v>
      </c>
      <c r="BQ355" s="428" t="s">
        <v>762</v>
      </c>
      <c r="BR355" s="428" t="s">
        <v>762</v>
      </c>
      <c r="BS355" s="428" t="s">
        <v>762</v>
      </c>
      <c r="BT355" s="428" t="s">
        <v>762</v>
      </c>
      <c r="BU355" s="428" t="s">
        <v>762</v>
      </c>
      <c r="BV355" s="428" t="s">
        <v>762</v>
      </c>
      <c r="BW355" s="428" t="s">
        <v>762</v>
      </c>
      <c r="BX355" s="428" t="s">
        <v>762</v>
      </c>
      <c r="BY355" s="428" t="s">
        <v>762</v>
      </c>
      <c r="BZ355" s="428" t="s">
        <v>762</v>
      </c>
      <c r="CA355" s="428" t="s">
        <v>762</v>
      </c>
      <c r="CB355" s="428" t="s">
        <v>762</v>
      </c>
      <c r="CC355" s="428" t="s">
        <v>762</v>
      </c>
      <c r="CD355" s="428" t="s">
        <v>762</v>
      </c>
      <c r="CE355" s="428" t="s">
        <v>762</v>
      </c>
      <c r="CF355" s="428" t="s">
        <v>762</v>
      </c>
      <c r="CG355" s="428" t="s">
        <v>762</v>
      </c>
      <c r="CH355" s="428" t="s">
        <v>762</v>
      </c>
      <c r="CI355" s="428" t="s">
        <v>762</v>
      </c>
      <c r="CJ355" s="428" t="s">
        <v>762</v>
      </c>
      <c r="CK355" s="428" t="s">
        <v>762</v>
      </c>
      <c r="CL355" s="428" t="s">
        <v>762</v>
      </c>
    </row>
    <row r="356" spans="1:90" s="429" customFormat="1">
      <c r="A356" s="427" t="s">
        <v>522</v>
      </c>
      <c r="B356" s="427" t="s">
        <v>103</v>
      </c>
      <c r="C356" s="428">
        <f t="shared" si="391"/>
        <v>14</v>
      </c>
      <c r="D356" s="428">
        <f t="shared" si="392"/>
        <v>14</v>
      </c>
      <c r="E356" s="428">
        <f t="shared" si="393"/>
        <v>14</v>
      </c>
      <c r="F356" s="428">
        <f t="shared" si="394"/>
        <v>14</v>
      </c>
      <c r="G356" s="428">
        <f t="shared" si="395"/>
        <v>15</v>
      </c>
      <c r="H356" s="428">
        <f t="shared" si="396"/>
        <v>15</v>
      </c>
      <c r="I356" s="428">
        <f t="shared" si="397"/>
        <v>15</v>
      </c>
      <c r="J356" s="428">
        <f t="shared" si="398"/>
        <v>15</v>
      </c>
      <c r="K356" s="428">
        <f t="shared" si="399"/>
        <v>15</v>
      </c>
      <c r="L356" s="428">
        <f t="shared" si="400"/>
        <v>16</v>
      </c>
      <c r="M356" s="428">
        <f t="shared" si="401"/>
        <v>16</v>
      </c>
      <c r="N356" s="428">
        <f t="shared" si="402"/>
        <v>17</v>
      </c>
      <c r="O356" s="428">
        <f t="shared" si="403"/>
        <v>17</v>
      </c>
      <c r="P356" s="428">
        <f t="shared" si="404"/>
        <v>18</v>
      </c>
      <c r="Q356" s="428">
        <f t="shared" si="405"/>
        <v>18</v>
      </c>
      <c r="R356" s="428">
        <f t="shared" si="406"/>
        <v>18</v>
      </c>
      <c r="S356" s="428">
        <f t="shared" si="407"/>
        <v>18</v>
      </c>
      <c r="T356" s="428">
        <f t="shared" si="408"/>
        <v>18</v>
      </c>
      <c r="U356" s="428">
        <f t="shared" si="409"/>
        <v>22</v>
      </c>
      <c r="V356" s="428">
        <f t="shared" si="410"/>
        <v>22</v>
      </c>
      <c r="W356" s="428">
        <f t="shared" si="411"/>
        <v>26</v>
      </c>
      <c r="X356" s="428">
        <f t="shared" si="412"/>
        <v>34</v>
      </c>
      <c r="Y356" s="428">
        <f t="shared" si="413"/>
        <v>42</v>
      </c>
      <c r="Z356" s="428" t="s">
        <v>762</v>
      </c>
      <c r="AA356" s="428" t="s">
        <v>762</v>
      </c>
      <c r="AB356" s="428" t="s">
        <v>762</v>
      </c>
      <c r="AC356" s="428" t="s">
        <v>762</v>
      </c>
      <c r="AD356" s="428" t="s">
        <v>762</v>
      </c>
      <c r="AE356" s="428" t="s">
        <v>762</v>
      </c>
      <c r="AF356" s="428" t="s">
        <v>762</v>
      </c>
      <c r="AG356" s="428" t="s">
        <v>762</v>
      </c>
      <c r="AH356" s="428" t="s">
        <v>762</v>
      </c>
      <c r="AI356" s="428" t="s">
        <v>762</v>
      </c>
      <c r="AJ356" s="428" t="s">
        <v>762</v>
      </c>
      <c r="AK356" s="428" t="s">
        <v>762</v>
      </c>
      <c r="AL356" s="428" t="s">
        <v>762</v>
      </c>
      <c r="AM356" s="428" t="s">
        <v>762</v>
      </c>
      <c r="AN356" s="428" t="s">
        <v>762</v>
      </c>
      <c r="AO356" s="428" t="s">
        <v>762</v>
      </c>
      <c r="AP356" s="428" t="s">
        <v>762</v>
      </c>
      <c r="AQ356" s="428" t="s">
        <v>762</v>
      </c>
      <c r="AR356" s="428" t="s">
        <v>762</v>
      </c>
      <c r="AS356" s="428" t="s">
        <v>762</v>
      </c>
      <c r="AT356" s="428" t="s">
        <v>762</v>
      </c>
      <c r="AU356" s="428" t="s">
        <v>762</v>
      </c>
      <c r="AV356" s="428" t="s">
        <v>762</v>
      </c>
      <c r="AW356" s="428" t="s">
        <v>762</v>
      </c>
      <c r="AX356" s="428" t="s">
        <v>762</v>
      </c>
      <c r="AY356" s="428" t="s">
        <v>762</v>
      </c>
      <c r="AZ356" s="428" t="s">
        <v>762</v>
      </c>
      <c r="BA356" s="428" t="s">
        <v>762</v>
      </c>
      <c r="BB356" s="428" t="s">
        <v>762</v>
      </c>
      <c r="BC356" s="428" t="s">
        <v>762</v>
      </c>
      <c r="BD356" s="428" t="s">
        <v>762</v>
      </c>
      <c r="BE356" s="428" t="s">
        <v>762</v>
      </c>
      <c r="BF356" s="428" t="s">
        <v>762</v>
      </c>
      <c r="BG356" s="428" t="s">
        <v>762</v>
      </c>
      <c r="BH356" s="428" t="s">
        <v>762</v>
      </c>
      <c r="BI356" s="428" t="s">
        <v>762</v>
      </c>
      <c r="BJ356" s="428" t="s">
        <v>762</v>
      </c>
      <c r="BK356" s="428" t="s">
        <v>762</v>
      </c>
      <c r="BL356" s="428" t="s">
        <v>762</v>
      </c>
      <c r="BM356" s="428" t="s">
        <v>762</v>
      </c>
      <c r="BN356" s="428" t="s">
        <v>762</v>
      </c>
      <c r="BO356" s="428" t="s">
        <v>762</v>
      </c>
      <c r="BP356" s="428" t="s">
        <v>762</v>
      </c>
      <c r="BQ356" s="428" t="s">
        <v>762</v>
      </c>
      <c r="BR356" s="428" t="s">
        <v>762</v>
      </c>
      <c r="BS356" s="428" t="s">
        <v>762</v>
      </c>
      <c r="BT356" s="428" t="s">
        <v>762</v>
      </c>
      <c r="BU356" s="428" t="s">
        <v>762</v>
      </c>
      <c r="BV356" s="428" t="s">
        <v>762</v>
      </c>
      <c r="BW356" s="428" t="s">
        <v>762</v>
      </c>
      <c r="BX356" s="428" t="s">
        <v>762</v>
      </c>
      <c r="BY356" s="428" t="s">
        <v>762</v>
      </c>
      <c r="BZ356" s="428" t="s">
        <v>762</v>
      </c>
      <c r="CA356" s="428" t="s">
        <v>762</v>
      </c>
      <c r="CB356" s="428" t="s">
        <v>762</v>
      </c>
      <c r="CC356" s="428" t="s">
        <v>762</v>
      </c>
      <c r="CD356" s="428" t="s">
        <v>762</v>
      </c>
      <c r="CE356" s="428" t="s">
        <v>762</v>
      </c>
      <c r="CF356" s="428" t="s">
        <v>762</v>
      </c>
      <c r="CG356" s="428" t="s">
        <v>762</v>
      </c>
      <c r="CH356" s="428" t="s">
        <v>762</v>
      </c>
      <c r="CI356" s="428" t="s">
        <v>762</v>
      </c>
      <c r="CJ356" s="428" t="s">
        <v>762</v>
      </c>
      <c r="CK356" s="428" t="s">
        <v>762</v>
      </c>
      <c r="CL356" s="428" t="s">
        <v>762</v>
      </c>
    </row>
    <row r="357" spans="1:90" s="429" customFormat="1">
      <c r="A357" s="427" t="s">
        <v>523</v>
      </c>
      <c r="B357" s="427" t="s">
        <v>103</v>
      </c>
      <c r="C357" s="428">
        <f t="shared" si="391"/>
        <v>14</v>
      </c>
      <c r="D357" s="428">
        <f t="shared" si="392"/>
        <v>14</v>
      </c>
      <c r="E357" s="428">
        <f t="shared" si="393"/>
        <v>14</v>
      </c>
      <c r="F357" s="428">
        <f t="shared" si="394"/>
        <v>14</v>
      </c>
      <c r="G357" s="428">
        <f t="shared" si="395"/>
        <v>15</v>
      </c>
      <c r="H357" s="428">
        <f t="shared" si="396"/>
        <v>15</v>
      </c>
      <c r="I357" s="428">
        <f t="shared" si="397"/>
        <v>15</v>
      </c>
      <c r="J357" s="428">
        <f t="shared" si="398"/>
        <v>15</v>
      </c>
      <c r="K357" s="428">
        <f t="shared" si="399"/>
        <v>15</v>
      </c>
      <c r="L357" s="428">
        <f t="shared" si="400"/>
        <v>16</v>
      </c>
      <c r="M357" s="428">
        <f t="shared" si="401"/>
        <v>16</v>
      </c>
      <c r="N357" s="428">
        <f t="shared" si="402"/>
        <v>17</v>
      </c>
      <c r="O357" s="428">
        <f t="shared" si="403"/>
        <v>17</v>
      </c>
      <c r="P357" s="428">
        <f t="shared" si="404"/>
        <v>18</v>
      </c>
      <c r="Q357" s="428">
        <f t="shared" si="405"/>
        <v>18</v>
      </c>
      <c r="R357" s="428">
        <f t="shared" si="406"/>
        <v>18</v>
      </c>
      <c r="S357" s="428">
        <f t="shared" si="407"/>
        <v>18</v>
      </c>
      <c r="T357" s="428">
        <f t="shared" si="408"/>
        <v>18</v>
      </c>
      <c r="U357" s="428">
        <f t="shared" si="409"/>
        <v>22</v>
      </c>
      <c r="V357" s="428">
        <f t="shared" si="410"/>
        <v>22</v>
      </c>
      <c r="W357" s="428">
        <f t="shared" si="411"/>
        <v>26</v>
      </c>
      <c r="X357" s="428">
        <f t="shared" si="412"/>
        <v>34</v>
      </c>
      <c r="Y357" s="428">
        <f t="shared" si="413"/>
        <v>42</v>
      </c>
      <c r="Z357" s="428" t="s">
        <v>762</v>
      </c>
      <c r="AA357" s="428" t="s">
        <v>762</v>
      </c>
      <c r="AB357" s="428" t="s">
        <v>762</v>
      </c>
      <c r="AC357" s="428" t="s">
        <v>762</v>
      </c>
      <c r="AD357" s="428" t="s">
        <v>762</v>
      </c>
      <c r="AE357" s="428" t="s">
        <v>762</v>
      </c>
      <c r="AF357" s="428" t="s">
        <v>762</v>
      </c>
      <c r="AG357" s="428" t="s">
        <v>762</v>
      </c>
      <c r="AH357" s="428" t="s">
        <v>762</v>
      </c>
      <c r="AI357" s="428" t="s">
        <v>762</v>
      </c>
      <c r="AJ357" s="428" t="s">
        <v>762</v>
      </c>
      <c r="AK357" s="428" t="s">
        <v>762</v>
      </c>
      <c r="AL357" s="428" t="s">
        <v>762</v>
      </c>
      <c r="AM357" s="428" t="s">
        <v>762</v>
      </c>
      <c r="AN357" s="428" t="s">
        <v>762</v>
      </c>
      <c r="AO357" s="428" t="s">
        <v>762</v>
      </c>
      <c r="AP357" s="428" t="s">
        <v>762</v>
      </c>
      <c r="AQ357" s="428" t="s">
        <v>762</v>
      </c>
      <c r="AR357" s="428" t="s">
        <v>762</v>
      </c>
      <c r="AS357" s="428" t="s">
        <v>762</v>
      </c>
      <c r="AT357" s="428" t="s">
        <v>762</v>
      </c>
      <c r="AU357" s="428" t="s">
        <v>762</v>
      </c>
      <c r="AV357" s="428" t="s">
        <v>762</v>
      </c>
      <c r="AW357" s="428" t="s">
        <v>762</v>
      </c>
      <c r="AX357" s="428" t="s">
        <v>762</v>
      </c>
      <c r="AY357" s="428" t="s">
        <v>762</v>
      </c>
      <c r="AZ357" s="428" t="s">
        <v>762</v>
      </c>
      <c r="BA357" s="428" t="s">
        <v>762</v>
      </c>
      <c r="BB357" s="428" t="s">
        <v>762</v>
      </c>
      <c r="BC357" s="428" t="s">
        <v>762</v>
      </c>
      <c r="BD357" s="428" t="s">
        <v>762</v>
      </c>
      <c r="BE357" s="428" t="s">
        <v>762</v>
      </c>
      <c r="BF357" s="428" t="s">
        <v>762</v>
      </c>
      <c r="BG357" s="428" t="s">
        <v>762</v>
      </c>
      <c r="BH357" s="428" t="s">
        <v>762</v>
      </c>
      <c r="BI357" s="428" t="s">
        <v>762</v>
      </c>
      <c r="BJ357" s="428" t="s">
        <v>762</v>
      </c>
      <c r="BK357" s="428" t="s">
        <v>762</v>
      </c>
      <c r="BL357" s="428" t="s">
        <v>762</v>
      </c>
      <c r="BM357" s="428" t="s">
        <v>762</v>
      </c>
      <c r="BN357" s="428" t="s">
        <v>762</v>
      </c>
      <c r="BO357" s="428" t="s">
        <v>762</v>
      </c>
      <c r="BP357" s="428" t="s">
        <v>762</v>
      </c>
      <c r="BQ357" s="428" t="s">
        <v>762</v>
      </c>
      <c r="BR357" s="428" t="s">
        <v>762</v>
      </c>
      <c r="BS357" s="428" t="s">
        <v>762</v>
      </c>
      <c r="BT357" s="428" t="s">
        <v>762</v>
      </c>
      <c r="BU357" s="428" t="s">
        <v>762</v>
      </c>
      <c r="BV357" s="428" t="s">
        <v>762</v>
      </c>
      <c r="BW357" s="428" t="s">
        <v>762</v>
      </c>
      <c r="BX357" s="428" t="s">
        <v>762</v>
      </c>
      <c r="BY357" s="428" t="s">
        <v>762</v>
      </c>
      <c r="BZ357" s="428" t="s">
        <v>762</v>
      </c>
      <c r="CA357" s="428" t="s">
        <v>762</v>
      </c>
      <c r="CB357" s="428" t="s">
        <v>762</v>
      </c>
      <c r="CC357" s="428" t="s">
        <v>762</v>
      </c>
      <c r="CD357" s="428" t="s">
        <v>762</v>
      </c>
      <c r="CE357" s="428" t="s">
        <v>762</v>
      </c>
      <c r="CF357" s="428" t="s">
        <v>762</v>
      </c>
      <c r="CG357" s="428" t="s">
        <v>762</v>
      </c>
      <c r="CH357" s="428" t="s">
        <v>762</v>
      </c>
      <c r="CI357" s="428" t="s">
        <v>762</v>
      </c>
      <c r="CJ357" s="428" t="s">
        <v>762</v>
      </c>
      <c r="CK357" s="428" t="s">
        <v>762</v>
      </c>
      <c r="CL357" s="428" t="s">
        <v>762</v>
      </c>
    </row>
    <row r="358" spans="1:90" s="429" customFormat="1">
      <c r="A358" s="427" t="s">
        <v>524</v>
      </c>
      <c r="B358" s="427" t="s">
        <v>103</v>
      </c>
      <c r="C358" s="428">
        <f t="shared" si="391"/>
        <v>14</v>
      </c>
      <c r="D358" s="428">
        <f t="shared" si="392"/>
        <v>14</v>
      </c>
      <c r="E358" s="428">
        <f t="shared" si="393"/>
        <v>14</v>
      </c>
      <c r="F358" s="428">
        <f t="shared" si="394"/>
        <v>14</v>
      </c>
      <c r="G358" s="428">
        <f t="shared" si="395"/>
        <v>15</v>
      </c>
      <c r="H358" s="428">
        <f t="shared" si="396"/>
        <v>15</v>
      </c>
      <c r="I358" s="428">
        <f t="shared" si="397"/>
        <v>15</v>
      </c>
      <c r="J358" s="428">
        <f t="shared" si="398"/>
        <v>15</v>
      </c>
      <c r="K358" s="428">
        <f t="shared" si="399"/>
        <v>15</v>
      </c>
      <c r="L358" s="428">
        <f t="shared" si="400"/>
        <v>16</v>
      </c>
      <c r="M358" s="428">
        <f t="shared" si="401"/>
        <v>16</v>
      </c>
      <c r="N358" s="428">
        <f t="shared" si="402"/>
        <v>17</v>
      </c>
      <c r="O358" s="428">
        <f t="shared" si="403"/>
        <v>17</v>
      </c>
      <c r="P358" s="428">
        <f t="shared" si="404"/>
        <v>18</v>
      </c>
      <c r="Q358" s="428">
        <f t="shared" si="405"/>
        <v>18</v>
      </c>
      <c r="R358" s="428">
        <f t="shared" si="406"/>
        <v>18</v>
      </c>
      <c r="S358" s="428">
        <f t="shared" si="407"/>
        <v>18</v>
      </c>
      <c r="T358" s="428">
        <f t="shared" si="408"/>
        <v>18</v>
      </c>
      <c r="U358" s="428">
        <f t="shared" si="409"/>
        <v>22</v>
      </c>
      <c r="V358" s="428">
        <f t="shared" si="410"/>
        <v>22</v>
      </c>
      <c r="W358" s="428">
        <f t="shared" si="411"/>
        <v>26</v>
      </c>
      <c r="X358" s="428">
        <f t="shared" si="412"/>
        <v>34</v>
      </c>
      <c r="Y358" s="428">
        <f t="shared" si="413"/>
        <v>42</v>
      </c>
      <c r="Z358" s="428" t="s">
        <v>762</v>
      </c>
      <c r="AA358" s="428" t="s">
        <v>762</v>
      </c>
      <c r="AB358" s="428" t="s">
        <v>762</v>
      </c>
      <c r="AC358" s="428" t="s">
        <v>762</v>
      </c>
      <c r="AD358" s="428" t="s">
        <v>762</v>
      </c>
      <c r="AE358" s="428" t="s">
        <v>762</v>
      </c>
      <c r="AF358" s="428" t="s">
        <v>762</v>
      </c>
      <c r="AG358" s="428" t="s">
        <v>762</v>
      </c>
      <c r="AH358" s="428" t="s">
        <v>762</v>
      </c>
      <c r="AI358" s="428" t="s">
        <v>762</v>
      </c>
      <c r="AJ358" s="428" t="s">
        <v>762</v>
      </c>
      <c r="AK358" s="428" t="s">
        <v>762</v>
      </c>
      <c r="AL358" s="428" t="s">
        <v>762</v>
      </c>
      <c r="AM358" s="428" t="s">
        <v>762</v>
      </c>
      <c r="AN358" s="428" t="s">
        <v>762</v>
      </c>
      <c r="AO358" s="428" t="s">
        <v>762</v>
      </c>
      <c r="AP358" s="428" t="s">
        <v>762</v>
      </c>
      <c r="AQ358" s="428" t="s">
        <v>762</v>
      </c>
      <c r="AR358" s="428" t="s">
        <v>762</v>
      </c>
      <c r="AS358" s="428" t="s">
        <v>762</v>
      </c>
      <c r="AT358" s="428" t="s">
        <v>762</v>
      </c>
      <c r="AU358" s="428" t="s">
        <v>762</v>
      </c>
      <c r="AV358" s="428" t="s">
        <v>762</v>
      </c>
      <c r="AW358" s="428" t="s">
        <v>762</v>
      </c>
      <c r="AX358" s="428" t="s">
        <v>762</v>
      </c>
      <c r="AY358" s="428" t="s">
        <v>762</v>
      </c>
      <c r="AZ358" s="428" t="s">
        <v>762</v>
      </c>
      <c r="BA358" s="428" t="s">
        <v>762</v>
      </c>
      <c r="BB358" s="428" t="s">
        <v>762</v>
      </c>
      <c r="BC358" s="428" t="s">
        <v>762</v>
      </c>
      <c r="BD358" s="428" t="s">
        <v>762</v>
      </c>
      <c r="BE358" s="428" t="s">
        <v>762</v>
      </c>
      <c r="BF358" s="428" t="s">
        <v>762</v>
      </c>
      <c r="BG358" s="428" t="s">
        <v>762</v>
      </c>
      <c r="BH358" s="428" t="s">
        <v>762</v>
      </c>
      <c r="BI358" s="428" t="s">
        <v>762</v>
      </c>
      <c r="BJ358" s="428" t="s">
        <v>762</v>
      </c>
      <c r="BK358" s="428" t="s">
        <v>762</v>
      </c>
      <c r="BL358" s="428" t="s">
        <v>762</v>
      </c>
      <c r="BM358" s="428" t="s">
        <v>762</v>
      </c>
      <c r="BN358" s="428" t="s">
        <v>762</v>
      </c>
      <c r="BO358" s="428" t="s">
        <v>762</v>
      </c>
      <c r="BP358" s="428" t="s">
        <v>762</v>
      </c>
      <c r="BQ358" s="428" t="s">
        <v>762</v>
      </c>
      <c r="BR358" s="428" t="s">
        <v>762</v>
      </c>
      <c r="BS358" s="428" t="s">
        <v>762</v>
      </c>
      <c r="BT358" s="428" t="s">
        <v>762</v>
      </c>
      <c r="BU358" s="428" t="s">
        <v>762</v>
      </c>
      <c r="BV358" s="428" t="s">
        <v>762</v>
      </c>
      <c r="BW358" s="428" t="s">
        <v>762</v>
      </c>
      <c r="BX358" s="428" t="s">
        <v>762</v>
      </c>
      <c r="BY358" s="428" t="s">
        <v>762</v>
      </c>
      <c r="BZ358" s="428" t="s">
        <v>762</v>
      </c>
      <c r="CA358" s="428" t="s">
        <v>762</v>
      </c>
      <c r="CB358" s="428" t="s">
        <v>762</v>
      </c>
      <c r="CC358" s="428" t="s">
        <v>762</v>
      </c>
      <c r="CD358" s="428" t="s">
        <v>762</v>
      </c>
      <c r="CE358" s="428" t="s">
        <v>762</v>
      </c>
      <c r="CF358" s="428" t="s">
        <v>762</v>
      </c>
      <c r="CG358" s="428" t="s">
        <v>762</v>
      </c>
      <c r="CH358" s="428" t="s">
        <v>762</v>
      </c>
      <c r="CI358" s="428" t="s">
        <v>762</v>
      </c>
      <c r="CJ358" s="428" t="s">
        <v>762</v>
      </c>
      <c r="CK358" s="428" t="s">
        <v>762</v>
      </c>
      <c r="CL358" s="428" t="s">
        <v>762</v>
      </c>
    </row>
    <row r="359" spans="1:90" s="429" customFormat="1">
      <c r="A359" s="427" t="s">
        <v>525</v>
      </c>
      <c r="B359" s="427" t="s">
        <v>103</v>
      </c>
      <c r="C359" s="428">
        <f t="shared" si="391"/>
        <v>14</v>
      </c>
      <c r="D359" s="428">
        <f t="shared" si="392"/>
        <v>14</v>
      </c>
      <c r="E359" s="428">
        <f t="shared" si="393"/>
        <v>14</v>
      </c>
      <c r="F359" s="428">
        <f t="shared" si="394"/>
        <v>14</v>
      </c>
      <c r="G359" s="428">
        <f t="shared" si="395"/>
        <v>15</v>
      </c>
      <c r="H359" s="428">
        <f t="shared" si="396"/>
        <v>15</v>
      </c>
      <c r="I359" s="428">
        <f t="shared" si="397"/>
        <v>15</v>
      </c>
      <c r="J359" s="428">
        <f t="shared" si="398"/>
        <v>15</v>
      </c>
      <c r="K359" s="428">
        <f t="shared" si="399"/>
        <v>15</v>
      </c>
      <c r="L359" s="428">
        <f t="shared" si="400"/>
        <v>16</v>
      </c>
      <c r="M359" s="428">
        <f t="shared" si="401"/>
        <v>16</v>
      </c>
      <c r="N359" s="428">
        <f t="shared" si="402"/>
        <v>17</v>
      </c>
      <c r="O359" s="428">
        <f t="shared" si="403"/>
        <v>17</v>
      </c>
      <c r="P359" s="428">
        <f t="shared" si="404"/>
        <v>18</v>
      </c>
      <c r="Q359" s="428">
        <f t="shared" si="405"/>
        <v>18</v>
      </c>
      <c r="R359" s="428">
        <f t="shared" si="406"/>
        <v>18</v>
      </c>
      <c r="S359" s="428">
        <f t="shared" si="407"/>
        <v>18</v>
      </c>
      <c r="T359" s="428">
        <f t="shared" si="408"/>
        <v>18</v>
      </c>
      <c r="U359" s="428">
        <f t="shared" si="409"/>
        <v>22</v>
      </c>
      <c r="V359" s="428">
        <f t="shared" si="410"/>
        <v>22</v>
      </c>
      <c r="W359" s="428">
        <f t="shared" si="411"/>
        <v>26</v>
      </c>
      <c r="X359" s="428">
        <f t="shared" si="412"/>
        <v>34</v>
      </c>
      <c r="Y359" s="428">
        <f t="shared" si="413"/>
        <v>42</v>
      </c>
      <c r="Z359" s="428" t="s">
        <v>762</v>
      </c>
      <c r="AA359" s="428" t="s">
        <v>762</v>
      </c>
      <c r="AB359" s="428" t="s">
        <v>762</v>
      </c>
      <c r="AC359" s="428" t="s">
        <v>762</v>
      </c>
      <c r="AD359" s="428" t="s">
        <v>762</v>
      </c>
      <c r="AE359" s="428" t="s">
        <v>762</v>
      </c>
      <c r="AF359" s="428" t="s">
        <v>762</v>
      </c>
      <c r="AG359" s="428" t="s">
        <v>762</v>
      </c>
      <c r="AH359" s="428" t="s">
        <v>762</v>
      </c>
      <c r="AI359" s="428" t="s">
        <v>762</v>
      </c>
      <c r="AJ359" s="428" t="s">
        <v>762</v>
      </c>
      <c r="AK359" s="428" t="s">
        <v>762</v>
      </c>
      <c r="AL359" s="428" t="s">
        <v>762</v>
      </c>
      <c r="AM359" s="428" t="s">
        <v>762</v>
      </c>
      <c r="AN359" s="428" t="s">
        <v>762</v>
      </c>
      <c r="AO359" s="428" t="s">
        <v>762</v>
      </c>
      <c r="AP359" s="428" t="s">
        <v>762</v>
      </c>
      <c r="AQ359" s="428" t="s">
        <v>762</v>
      </c>
      <c r="AR359" s="428" t="s">
        <v>762</v>
      </c>
      <c r="AS359" s="428" t="s">
        <v>762</v>
      </c>
      <c r="AT359" s="428" t="s">
        <v>762</v>
      </c>
      <c r="AU359" s="428" t="s">
        <v>762</v>
      </c>
      <c r="AV359" s="428" t="s">
        <v>762</v>
      </c>
      <c r="AW359" s="428" t="s">
        <v>762</v>
      </c>
      <c r="AX359" s="428" t="s">
        <v>762</v>
      </c>
      <c r="AY359" s="428" t="s">
        <v>762</v>
      </c>
      <c r="AZ359" s="428" t="s">
        <v>762</v>
      </c>
      <c r="BA359" s="428" t="s">
        <v>762</v>
      </c>
      <c r="BB359" s="428" t="s">
        <v>762</v>
      </c>
      <c r="BC359" s="428" t="s">
        <v>762</v>
      </c>
      <c r="BD359" s="428" t="s">
        <v>762</v>
      </c>
      <c r="BE359" s="428" t="s">
        <v>762</v>
      </c>
      <c r="BF359" s="428" t="s">
        <v>762</v>
      </c>
      <c r="BG359" s="428" t="s">
        <v>762</v>
      </c>
      <c r="BH359" s="428" t="s">
        <v>762</v>
      </c>
      <c r="BI359" s="428" t="s">
        <v>762</v>
      </c>
      <c r="BJ359" s="428" t="s">
        <v>762</v>
      </c>
      <c r="BK359" s="428" t="s">
        <v>762</v>
      </c>
      <c r="BL359" s="428" t="s">
        <v>762</v>
      </c>
      <c r="BM359" s="428" t="s">
        <v>762</v>
      </c>
      <c r="BN359" s="428" t="s">
        <v>762</v>
      </c>
      <c r="BO359" s="428" t="s">
        <v>762</v>
      </c>
      <c r="BP359" s="428" t="s">
        <v>762</v>
      </c>
      <c r="BQ359" s="428" t="s">
        <v>762</v>
      </c>
      <c r="BR359" s="428" t="s">
        <v>762</v>
      </c>
      <c r="BS359" s="428" t="s">
        <v>762</v>
      </c>
      <c r="BT359" s="428" t="s">
        <v>762</v>
      </c>
      <c r="BU359" s="428" t="s">
        <v>762</v>
      </c>
      <c r="BV359" s="428" t="s">
        <v>762</v>
      </c>
      <c r="BW359" s="428" t="s">
        <v>762</v>
      </c>
      <c r="BX359" s="428" t="s">
        <v>762</v>
      </c>
      <c r="BY359" s="428" t="s">
        <v>762</v>
      </c>
      <c r="BZ359" s="428" t="s">
        <v>762</v>
      </c>
      <c r="CA359" s="428" t="s">
        <v>762</v>
      </c>
      <c r="CB359" s="428" t="s">
        <v>762</v>
      </c>
      <c r="CC359" s="428" t="s">
        <v>762</v>
      </c>
      <c r="CD359" s="428" t="s">
        <v>762</v>
      </c>
      <c r="CE359" s="428" t="s">
        <v>762</v>
      </c>
      <c r="CF359" s="428" t="s">
        <v>762</v>
      </c>
      <c r="CG359" s="428" t="s">
        <v>762</v>
      </c>
      <c r="CH359" s="428" t="s">
        <v>762</v>
      </c>
      <c r="CI359" s="428" t="s">
        <v>762</v>
      </c>
      <c r="CJ359" s="428" t="s">
        <v>762</v>
      </c>
      <c r="CK359" s="428" t="s">
        <v>762</v>
      </c>
      <c r="CL359" s="428" t="s">
        <v>762</v>
      </c>
    </row>
    <row r="360" spans="1:90" s="429" customFormat="1">
      <c r="A360" s="427" t="s">
        <v>526</v>
      </c>
      <c r="B360" s="427" t="s">
        <v>103</v>
      </c>
      <c r="C360" s="428">
        <f t="shared" si="391"/>
        <v>14</v>
      </c>
      <c r="D360" s="428">
        <f t="shared" si="392"/>
        <v>14</v>
      </c>
      <c r="E360" s="428">
        <f t="shared" si="393"/>
        <v>14</v>
      </c>
      <c r="F360" s="428">
        <f t="shared" si="394"/>
        <v>14</v>
      </c>
      <c r="G360" s="428">
        <f t="shared" si="395"/>
        <v>15</v>
      </c>
      <c r="H360" s="428">
        <f t="shared" si="396"/>
        <v>15</v>
      </c>
      <c r="I360" s="428">
        <f t="shared" si="397"/>
        <v>15</v>
      </c>
      <c r="J360" s="428">
        <f t="shared" si="398"/>
        <v>15</v>
      </c>
      <c r="K360" s="428">
        <f t="shared" si="399"/>
        <v>15</v>
      </c>
      <c r="L360" s="428">
        <f t="shared" si="400"/>
        <v>16</v>
      </c>
      <c r="M360" s="428">
        <f t="shared" si="401"/>
        <v>16</v>
      </c>
      <c r="N360" s="428">
        <f t="shared" si="402"/>
        <v>17</v>
      </c>
      <c r="O360" s="428">
        <f t="shared" si="403"/>
        <v>17</v>
      </c>
      <c r="P360" s="428">
        <f t="shared" si="404"/>
        <v>18</v>
      </c>
      <c r="Q360" s="428">
        <f t="shared" si="405"/>
        <v>18</v>
      </c>
      <c r="R360" s="428">
        <f t="shared" si="406"/>
        <v>18</v>
      </c>
      <c r="S360" s="428">
        <f t="shared" si="407"/>
        <v>18</v>
      </c>
      <c r="T360" s="428">
        <f t="shared" si="408"/>
        <v>18</v>
      </c>
      <c r="U360" s="428">
        <f t="shared" si="409"/>
        <v>22</v>
      </c>
      <c r="V360" s="428">
        <f t="shared" si="410"/>
        <v>22</v>
      </c>
      <c r="W360" s="428">
        <f t="shared" si="411"/>
        <v>26</v>
      </c>
      <c r="X360" s="428">
        <f t="shared" si="412"/>
        <v>34</v>
      </c>
      <c r="Y360" s="428">
        <f t="shared" si="413"/>
        <v>42</v>
      </c>
      <c r="Z360" s="428" t="s">
        <v>762</v>
      </c>
      <c r="AA360" s="428" t="s">
        <v>762</v>
      </c>
      <c r="AB360" s="428" t="s">
        <v>762</v>
      </c>
      <c r="AC360" s="428" t="s">
        <v>762</v>
      </c>
      <c r="AD360" s="428" t="s">
        <v>762</v>
      </c>
      <c r="AE360" s="428" t="s">
        <v>762</v>
      </c>
      <c r="AF360" s="428" t="s">
        <v>762</v>
      </c>
      <c r="AG360" s="428" t="s">
        <v>762</v>
      </c>
      <c r="AH360" s="428" t="s">
        <v>762</v>
      </c>
      <c r="AI360" s="428" t="s">
        <v>762</v>
      </c>
      <c r="AJ360" s="428" t="s">
        <v>762</v>
      </c>
      <c r="AK360" s="428" t="s">
        <v>762</v>
      </c>
      <c r="AL360" s="428" t="s">
        <v>762</v>
      </c>
      <c r="AM360" s="428" t="s">
        <v>762</v>
      </c>
      <c r="AN360" s="428" t="s">
        <v>762</v>
      </c>
      <c r="AO360" s="428" t="s">
        <v>762</v>
      </c>
      <c r="AP360" s="428" t="s">
        <v>762</v>
      </c>
      <c r="AQ360" s="428" t="s">
        <v>762</v>
      </c>
      <c r="AR360" s="428" t="s">
        <v>762</v>
      </c>
      <c r="AS360" s="428" t="s">
        <v>762</v>
      </c>
      <c r="AT360" s="428" t="s">
        <v>762</v>
      </c>
      <c r="AU360" s="428" t="s">
        <v>762</v>
      </c>
      <c r="AV360" s="428" t="s">
        <v>762</v>
      </c>
      <c r="AW360" s="428" t="s">
        <v>762</v>
      </c>
      <c r="AX360" s="428" t="s">
        <v>762</v>
      </c>
      <c r="AY360" s="428" t="s">
        <v>762</v>
      </c>
      <c r="AZ360" s="428" t="s">
        <v>762</v>
      </c>
      <c r="BA360" s="428" t="s">
        <v>762</v>
      </c>
      <c r="BB360" s="428" t="s">
        <v>762</v>
      </c>
      <c r="BC360" s="428" t="s">
        <v>762</v>
      </c>
      <c r="BD360" s="428" t="s">
        <v>762</v>
      </c>
      <c r="BE360" s="428" t="s">
        <v>762</v>
      </c>
      <c r="BF360" s="428" t="s">
        <v>762</v>
      </c>
      <c r="BG360" s="428" t="s">
        <v>762</v>
      </c>
      <c r="BH360" s="428" t="s">
        <v>762</v>
      </c>
      <c r="BI360" s="428" t="s">
        <v>762</v>
      </c>
      <c r="BJ360" s="428" t="s">
        <v>762</v>
      </c>
      <c r="BK360" s="428" t="s">
        <v>762</v>
      </c>
      <c r="BL360" s="428" t="s">
        <v>762</v>
      </c>
      <c r="BM360" s="428" t="s">
        <v>762</v>
      </c>
      <c r="BN360" s="428" t="s">
        <v>762</v>
      </c>
      <c r="BO360" s="428" t="s">
        <v>762</v>
      </c>
      <c r="BP360" s="428" t="s">
        <v>762</v>
      </c>
      <c r="BQ360" s="428" t="s">
        <v>762</v>
      </c>
      <c r="BR360" s="428" t="s">
        <v>762</v>
      </c>
      <c r="BS360" s="428" t="s">
        <v>762</v>
      </c>
      <c r="BT360" s="428" t="s">
        <v>762</v>
      </c>
      <c r="BU360" s="428" t="s">
        <v>762</v>
      </c>
      <c r="BV360" s="428" t="s">
        <v>762</v>
      </c>
      <c r="BW360" s="428" t="s">
        <v>762</v>
      </c>
      <c r="BX360" s="428" t="s">
        <v>762</v>
      </c>
      <c r="BY360" s="428" t="s">
        <v>762</v>
      </c>
      <c r="BZ360" s="428" t="s">
        <v>762</v>
      </c>
      <c r="CA360" s="428" t="s">
        <v>762</v>
      </c>
      <c r="CB360" s="428" t="s">
        <v>762</v>
      </c>
      <c r="CC360" s="428" t="s">
        <v>762</v>
      </c>
      <c r="CD360" s="428" t="s">
        <v>762</v>
      </c>
      <c r="CE360" s="428" t="s">
        <v>762</v>
      </c>
      <c r="CF360" s="428" t="s">
        <v>762</v>
      </c>
      <c r="CG360" s="428" t="s">
        <v>762</v>
      </c>
      <c r="CH360" s="428" t="s">
        <v>762</v>
      </c>
      <c r="CI360" s="428" t="s">
        <v>762</v>
      </c>
      <c r="CJ360" s="428" t="s">
        <v>762</v>
      </c>
      <c r="CK360" s="428" t="s">
        <v>762</v>
      </c>
      <c r="CL360" s="428" t="s">
        <v>762</v>
      </c>
    </row>
    <row r="361" spans="1:90" s="429" customFormat="1">
      <c r="A361" s="427" t="s">
        <v>527</v>
      </c>
      <c r="B361" s="427" t="s">
        <v>103</v>
      </c>
      <c r="C361" s="428">
        <f t="shared" si="391"/>
        <v>14</v>
      </c>
      <c r="D361" s="428">
        <f t="shared" si="392"/>
        <v>14</v>
      </c>
      <c r="E361" s="428">
        <f t="shared" si="393"/>
        <v>14</v>
      </c>
      <c r="F361" s="428">
        <f t="shared" si="394"/>
        <v>14</v>
      </c>
      <c r="G361" s="428">
        <f t="shared" si="395"/>
        <v>15</v>
      </c>
      <c r="H361" s="428">
        <f t="shared" si="396"/>
        <v>15</v>
      </c>
      <c r="I361" s="428">
        <f t="shared" si="397"/>
        <v>15</v>
      </c>
      <c r="J361" s="428">
        <f t="shared" si="398"/>
        <v>15</v>
      </c>
      <c r="K361" s="428">
        <f t="shared" si="399"/>
        <v>15</v>
      </c>
      <c r="L361" s="428">
        <f t="shared" si="400"/>
        <v>16</v>
      </c>
      <c r="M361" s="428">
        <f t="shared" si="401"/>
        <v>16</v>
      </c>
      <c r="N361" s="428">
        <f t="shared" si="402"/>
        <v>17</v>
      </c>
      <c r="O361" s="428">
        <f t="shared" si="403"/>
        <v>17</v>
      </c>
      <c r="P361" s="428">
        <f t="shared" si="404"/>
        <v>18</v>
      </c>
      <c r="Q361" s="428">
        <f t="shared" si="405"/>
        <v>18</v>
      </c>
      <c r="R361" s="428">
        <f t="shared" si="406"/>
        <v>18</v>
      </c>
      <c r="S361" s="428">
        <f t="shared" si="407"/>
        <v>18</v>
      </c>
      <c r="T361" s="428">
        <f t="shared" si="408"/>
        <v>18</v>
      </c>
      <c r="U361" s="428">
        <f t="shared" si="409"/>
        <v>22</v>
      </c>
      <c r="V361" s="428">
        <f t="shared" si="410"/>
        <v>22</v>
      </c>
      <c r="W361" s="428">
        <f t="shared" si="411"/>
        <v>26</v>
      </c>
      <c r="X361" s="428">
        <f t="shared" si="412"/>
        <v>34</v>
      </c>
      <c r="Y361" s="428">
        <f t="shared" si="413"/>
        <v>42</v>
      </c>
      <c r="Z361" s="428" t="s">
        <v>762</v>
      </c>
      <c r="AA361" s="428" t="s">
        <v>762</v>
      </c>
      <c r="AB361" s="428" t="s">
        <v>762</v>
      </c>
      <c r="AC361" s="428" t="s">
        <v>762</v>
      </c>
      <c r="AD361" s="428" t="s">
        <v>762</v>
      </c>
      <c r="AE361" s="428" t="s">
        <v>762</v>
      </c>
      <c r="AF361" s="428" t="s">
        <v>762</v>
      </c>
      <c r="AG361" s="428" t="s">
        <v>762</v>
      </c>
      <c r="AH361" s="428" t="s">
        <v>762</v>
      </c>
      <c r="AI361" s="428" t="s">
        <v>762</v>
      </c>
      <c r="AJ361" s="428" t="s">
        <v>762</v>
      </c>
      <c r="AK361" s="428" t="s">
        <v>762</v>
      </c>
      <c r="AL361" s="428" t="s">
        <v>762</v>
      </c>
      <c r="AM361" s="428" t="s">
        <v>762</v>
      </c>
      <c r="AN361" s="428" t="s">
        <v>762</v>
      </c>
      <c r="AO361" s="428" t="s">
        <v>762</v>
      </c>
      <c r="AP361" s="428" t="s">
        <v>762</v>
      </c>
      <c r="AQ361" s="428" t="s">
        <v>762</v>
      </c>
      <c r="AR361" s="428" t="s">
        <v>762</v>
      </c>
      <c r="AS361" s="428" t="s">
        <v>762</v>
      </c>
      <c r="AT361" s="428" t="s">
        <v>762</v>
      </c>
      <c r="AU361" s="428" t="s">
        <v>762</v>
      </c>
      <c r="AV361" s="428" t="s">
        <v>762</v>
      </c>
      <c r="AW361" s="428" t="s">
        <v>762</v>
      </c>
      <c r="AX361" s="428" t="s">
        <v>762</v>
      </c>
      <c r="AY361" s="428" t="s">
        <v>762</v>
      </c>
      <c r="AZ361" s="428" t="s">
        <v>762</v>
      </c>
      <c r="BA361" s="428" t="s">
        <v>762</v>
      </c>
      <c r="BB361" s="428" t="s">
        <v>762</v>
      </c>
      <c r="BC361" s="428" t="s">
        <v>762</v>
      </c>
      <c r="BD361" s="428" t="s">
        <v>762</v>
      </c>
      <c r="BE361" s="428" t="s">
        <v>762</v>
      </c>
      <c r="BF361" s="428" t="s">
        <v>762</v>
      </c>
      <c r="BG361" s="428" t="s">
        <v>762</v>
      </c>
      <c r="BH361" s="428" t="s">
        <v>762</v>
      </c>
      <c r="BI361" s="428" t="s">
        <v>762</v>
      </c>
      <c r="BJ361" s="428" t="s">
        <v>762</v>
      </c>
      <c r="BK361" s="428" t="s">
        <v>762</v>
      </c>
      <c r="BL361" s="428" t="s">
        <v>762</v>
      </c>
      <c r="BM361" s="428" t="s">
        <v>762</v>
      </c>
      <c r="BN361" s="428" t="s">
        <v>762</v>
      </c>
      <c r="BO361" s="428" t="s">
        <v>762</v>
      </c>
      <c r="BP361" s="428" t="s">
        <v>762</v>
      </c>
      <c r="BQ361" s="428" t="s">
        <v>762</v>
      </c>
      <c r="BR361" s="428" t="s">
        <v>762</v>
      </c>
      <c r="BS361" s="428" t="s">
        <v>762</v>
      </c>
      <c r="BT361" s="428" t="s">
        <v>762</v>
      </c>
      <c r="BU361" s="428" t="s">
        <v>762</v>
      </c>
      <c r="BV361" s="428" t="s">
        <v>762</v>
      </c>
      <c r="BW361" s="428" t="s">
        <v>762</v>
      </c>
      <c r="BX361" s="428" t="s">
        <v>762</v>
      </c>
      <c r="BY361" s="428" t="s">
        <v>762</v>
      </c>
      <c r="BZ361" s="428" t="s">
        <v>762</v>
      </c>
      <c r="CA361" s="428" t="s">
        <v>762</v>
      </c>
      <c r="CB361" s="428" t="s">
        <v>762</v>
      </c>
      <c r="CC361" s="428" t="s">
        <v>762</v>
      </c>
      <c r="CD361" s="428" t="s">
        <v>762</v>
      </c>
      <c r="CE361" s="428" t="s">
        <v>762</v>
      </c>
      <c r="CF361" s="428" t="s">
        <v>762</v>
      </c>
      <c r="CG361" s="428" t="s">
        <v>762</v>
      </c>
      <c r="CH361" s="428" t="s">
        <v>762</v>
      </c>
      <c r="CI361" s="428" t="s">
        <v>762</v>
      </c>
      <c r="CJ361" s="428" t="s">
        <v>762</v>
      </c>
      <c r="CK361" s="428" t="s">
        <v>762</v>
      </c>
      <c r="CL361" s="428" t="s">
        <v>762</v>
      </c>
    </row>
    <row r="362" spans="1:90" s="429" customFormat="1">
      <c r="A362" s="427" t="s">
        <v>528</v>
      </c>
      <c r="B362" s="427" t="s">
        <v>103</v>
      </c>
      <c r="C362" s="428">
        <f t="shared" si="391"/>
        <v>14</v>
      </c>
      <c r="D362" s="428">
        <f t="shared" si="392"/>
        <v>14</v>
      </c>
      <c r="E362" s="428">
        <f t="shared" si="393"/>
        <v>14</v>
      </c>
      <c r="F362" s="428">
        <f t="shared" si="394"/>
        <v>14</v>
      </c>
      <c r="G362" s="428">
        <f t="shared" si="395"/>
        <v>15</v>
      </c>
      <c r="H362" s="428">
        <f t="shared" si="396"/>
        <v>15</v>
      </c>
      <c r="I362" s="428">
        <f t="shared" si="397"/>
        <v>15</v>
      </c>
      <c r="J362" s="428">
        <f t="shared" si="398"/>
        <v>15</v>
      </c>
      <c r="K362" s="428">
        <f t="shared" si="399"/>
        <v>15</v>
      </c>
      <c r="L362" s="428">
        <f t="shared" si="400"/>
        <v>16</v>
      </c>
      <c r="M362" s="428">
        <f t="shared" si="401"/>
        <v>16</v>
      </c>
      <c r="N362" s="428">
        <f t="shared" si="402"/>
        <v>17</v>
      </c>
      <c r="O362" s="428">
        <f t="shared" si="403"/>
        <v>17</v>
      </c>
      <c r="P362" s="428">
        <f t="shared" si="404"/>
        <v>18</v>
      </c>
      <c r="Q362" s="428">
        <f t="shared" si="405"/>
        <v>18</v>
      </c>
      <c r="R362" s="428">
        <f t="shared" si="406"/>
        <v>18</v>
      </c>
      <c r="S362" s="428">
        <f t="shared" si="407"/>
        <v>18</v>
      </c>
      <c r="T362" s="428">
        <f t="shared" si="408"/>
        <v>18</v>
      </c>
      <c r="U362" s="428">
        <f t="shared" si="409"/>
        <v>22</v>
      </c>
      <c r="V362" s="428">
        <f t="shared" si="410"/>
        <v>22</v>
      </c>
      <c r="W362" s="428">
        <f t="shared" si="411"/>
        <v>26</v>
      </c>
      <c r="X362" s="428">
        <f t="shared" si="412"/>
        <v>34</v>
      </c>
      <c r="Y362" s="428">
        <f t="shared" si="413"/>
        <v>42</v>
      </c>
      <c r="Z362" s="428" t="s">
        <v>762</v>
      </c>
      <c r="AA362" s="428" t="s">
        <v>762</v>
      </c>
      <c r="AB362" s="428" t="s">
        <v>762</v>
      </c>
      <c r="AC362" s="428" t="s">
        <v>762</v>
      </c>
      <c r="AD362" s="428" t="s">
        <v>762</v>
      </c>
      <c r="AE362" s="428" t="s">
        <v>762</v>
      </c>
      <c r="AF362" s="428" t="s">
        <v>762</v>
      </c>
      <c r="AG362" s="428" t="s">
        <v>762</v>
      </c>
      <c r="AH362" s="428" t="s">
        <v>762</v>
      </c>
      <c r="AI362" s="428" t="s">
        <v>762</v>
      </c>
      <c r="AJ362" s="428" t="s">
        <v>762</v>
      </c>
      <c r="AK362" s="428" t="s">
        <v>762</v>
      </c>
      <c r="AL362" s="428" t="s">
        <v>762</v>
      </c>
      <c r="AM362" s="428" t="s">
        <v>762</v>
      </c>
      <c r="AN362" s="428" t="s">
        <v>762</v>
      </c>
      <c r="AO362" s="428" t="s">
        <v>762</v>
      </c>
      <c r="AP362" s="428" t="s">
        <v>762</v>
      </c>
      <c r="AQ362" s="428" t="s">
        <v>762</v>
      </c>
      <c r="AR362" s="428" t="s">
        <v>762</v>
      </c>
      <c r="AS362" s="428" t="s">
        <v>762</v>
      </c>
      <c r="AT362" s="428" t="s">
        <v>762</v>
      </c>
      <c r="AU362" s="428" t="s">
        <v>762</v>
      </c>
      <c r="AV362" s="428" t="s">
        <v>762</v>
      </c>
      <c r="AW362" s="428" t="s">
        <v>762</v>
      </c>
      <c r="AX362" s="428" t="s">
        <v>762</v>
      </c>
      <c r="AY362" s="428" t="s">
        <v>762</v>
      </c>
      <c r="AZ362" s="428" t="s">
        <v>762</v>
      </c>
      <c r="BA362" s="428" t="s">
        <v>762</v>
      </c>
      <c r="BB362" s="428" t="s">
        <v>762</v>
      </c>
      <c r="BC362" s="428" t="s">
        <v>762</v>
      </c>
      <c r="BD362" s="428" t="s">
        <v>762</v>
      </c>
      <c r="BE362" s="428" t="s">
        <v>762</v>
      </c>
      <c r="BF362" s="428" t="s">
        <v>762</v>
      </c>
      <c r="BG362" s="428" t="s">
        <v>762</v>
      </c>
      <c r="BH362" s="428" t="s">
        <v>762</v>
      </c>
      <c r="BI362" s="428" t="s">
        <v>762</v>
      </c>
      <c r="BJ362" s="428" t="s">
        <v>762</v>
      </c>
      <c r="BK362" s="428" t="s">
        <v>762</v>
      </c>
      <c r="BL362" s="428" t="s">
        <v>762</v>
      </c>
      <c r="BM362" s="428" t="s">
        <v>762</v>
      </c>
      <c r="BN362" s="428" t="s">
        <v>762</v>
      </c>
      <c r="BO362" s="428" t="s">
        <v>762</v>
      </c>
      <c r="BP362" s="428" t="s">
        <v>762</v>
      </c>
      <c r="BQ362" s="428" t="s">
        <v>762</v>
      </c>
      <c r="BR362" s="428" t="s">
        <v>762</v>
      </c>
      <c r="BS362" s="428" t="s">
        <v>762</v>
      </c>
      <c r="BT362" s="428" t="s">
        <v>762</v>
      </c>
      <c r="BU362" s="428" t="s">
        <v>762</v>
      </c>
      <c r="BV362" s="428" t="s">
        <v>762</v>
      </c>
      <c r="BW362" s="428" t="s">
        <v>762</v>
      </c>
      <c r="BX362" s="428" t="s">
        <v>762</v>
      </c>
      <c r="BY362" s="428" t="s">
        <v>762</v>
      </c>
      <c r="BZ362" s="428" t="s">
        <v>762</v>
      </c>
      <c r="CA362" s="428" t="s">
        <v>762</v>
      </c>
      <c r="CB362" s="428" t="s">
        <v>762</v>
      </c>
      <c r="CC362" s="428" t="s">
        <v>762</v>
      </c>
      <c r="CD362" s="428" t="s">
        <v>762</v>
      </c>
      <c r="CE362" s="428" t="s">
        <v>762</v>
      </c>
      <c r="CF362" s="428" t="s">
        <v>762</v>
      </c>
      <c r="CG362" s="428" t="s">
        <v>762</v>
      </c>
      <c r="CH362" s="428" t="s">
        <v>762</v>
      </c>
      <c r="CI362" s="428" t="s">
        <v>762</v>
      </c>
      <c r="CJ362" s="428" t="s">
        <v>762</v>
      </c>
      <c r="CK362" s="428" t="s">
        <v>762</v>
      </c>
      <c r="CL362" s="428" t="s">
        <v>762</v>
      </c>
    </row>
    <row r="363" spans="1:90" s="429" customFormat="1">
      <c r="A363" s="427" t="s">
        <v>529</v>
      </c>
      <c r="B363" s="427" t="s">
        <v>103</v>
      </c>
      <c r="C363" s="428">
        <f t="shared" si="391"/>
        <v>14</v>
      </c>
      <c r="D363" s="428">
        <f t="shared" si="392"/>
        <v>14</v>
      </c>
      <c r="E363" s="428">
        <f t="shared" si="393"/>
        <v>14</v>
      </c>
      <c r="F363" s="428">
        <f t="shared" si="394"/>
        <v>14</v>
      </c>
      <c r="G363" s="428">
        <f t="shared" si="395"/>
        <v>15</v>
      </c>
      <c r="H363" s="428">
        <f t="shared" si="396"/>
        <v>15</v>
      </c>
      <c r="I363" s="428">
        <f t="shared" si="397"/>
        <v>15</v>
      </c>
      <c r="J363" s="428">
        <f t="shared" si="398"/>
        <v>15</v>
      </c>
      <c r="K363" s="428">
        <f t="shared" si="399"/>
        <v>15</v>
      </c>
      <c r="L363" s="428">
        <f t="shared" si="400"/>
        <v>16</v>
      </c>
      <c r="M363" s="428">
        <f t="shared" si="401"/>
        <v>16</v>
      </c>
      <c r="N363" s="428">
        <f t="shared" si="402"/>
        <v>17</v>
      </c>
      <c r="O363" s="428">
        <f t="shared" si="403"/>
        <v>17</v>
      </c>
      <c r="P363" s="428">
        <f t="shared" si="404"/>
        <v>18</v>
      </c>
      <c r="Q363" s="428">
        <f t="shared" si="405"/>
        <v>18</v>
      </c>
      <c r="R363" s="428">
        <f t="shared" si="406"/>
        <v>18</v>
      </c>
      <c r="S363" s="428">
        <f t="shared" si="407"/>
        <v>18</v>
      </c>
      <c r="T363" s="428">
        <f t="shared" si="408"/>
        <v>18</v>
      </c>
      <c r="U363" s="428">
        <f t="shared" si="409"/>
        <v>22</v>
      </c>
      <c r="V363" s="428">
        <f t="shared" si="410"/>
        <v>22</v>
      </c>
      <c r="W363" s="428">
        <f t="shared" si="411"/>
        <v>26</v>
      </c>
      <c r="X363" s="428">
        <f t="shared" si="412"/>
        <v>34</v>
      </c>
      <c r="Y363" s="428">
        <f t="shared" si="413"/>
        <v>42</v>
      </c>
      <c r="Z363" s="428" t="s">
        <v>762</v>
      </c>
      <c r="AA363" s="428" t="s">
        <v>762</v>
      </c>
      <c r="AB363" s="428" t="s">
        <v>762</v>
      </c>
      <c r="AC363" s="428" t="s">
        <v>762</v>
      </c>
      <c r="AD363" s="428" t="s">
        <v>762</v>
      </c>
      <c r="AE363" s="428" t="s">
        <v>762</v>
      </c>
      <c r="AF363" s="428" t="s">
        <v>762</v>
      </c>
      <c r="AG363" s="428" t="s">
        <v>762</v>
      </c>
      <c r="AH363" s="428" t="s">
        <v>762</v>
      </c>
      <c r="AI363" s="428" t="s">
        <v>762</v>
      </c>
      <c r="AJ363" s="428" t="s">
        <v>762</v>
      </c>
      <c r="AK363" s="428" t="s">
        <v>762</v>
      </c>
      <c r="AL363" s="428" t="s">
        <v>762</v>
      </c>
      <c r="AM363" s="428" t="s">
        <v>762</v>
      </c>
      <c r="AN363" s="428" t="s">
        <v>762</v>
      </c>
      <c r="AO363" s="428" t="s">
        <v>762</v>
      </c>
      <c r="AP363" s="428" t="s">
        <v>762</v>
      </c>
      <c r="AQ363" s="428" t="s">
        <v>762</v>
      </c>
      <c r="AR363" s="428" t="s">
        <v>762</v>
      </c>
      <c r="AS363" s="428" t="s">
        <v>762</v>
      </c>
      <c r="AT363" s="428" t="s">
        <v>762</v>
      </c>
      <c r="AU363" s="428" t="s">
        <v>762</v>
      </c>
      <c r="AV363" s="428" t="s">
        <v>762</v>
      </c>
      <c r="AW363" s="428" t="s">
        <v>762</v>
      </c>
      <c r="AX363" s="428" t="s">
        <v>762</v>
      </c>
      <c r="AY363" s="428" t="s">
        <v>762</v>
      </c>
      <c r="AZ363" s="428" t="s">
        <v>762</v>
      </c>
      <c r="BA363" s="428" t="s">
        <v>762</v>
      </c>
      <c r="BB363" s="428" t="s">
        <v>762</v>
      </c>
      <c r="BC363" s="428" t="s">
        <v>762</v>
      </c>
      <c r="BD363" s="428" t="s">
        <v>762</v>
      </c>
      <c r="BE363" s="428" t="s">
        <v>762</v>
      </c>
      <c r="BF363" s="428" t="s">
        <v>762</v>
      </c>
      <c r="BG363" s="428" t="s">
        <v>762</v>
      </c>
      <c r="BH363" s="428" t="s">
        <v>762</v>
      </c>
      <c r="BI363" s="428" t="s">
        <v>762</v>
      </c>
      <c r="BJ363" s="428" t="s">
        <v>762</v>
      </c>
      <c r="BK363" s="428" t="s">
        <v>762</v>
      </c>
      <c r="BL363" s="428" t="s">
        <v>762</v>
      </c>
      <c r="BM363" s="428" t="s">
        <v>762</v>
      </c>
      <c r="BN363" s="428" t="s">
        <v>762</v>
      </c>
      <c r="BO363" s="428" t="s">
        <v>762</v>
      </c>
      <c r="BP363" s="428" t="s">
        <v>762</v>
      </c>
      <c r="BQ363" s="428" t="s">
        <v>762</v>
      </c>
      <c r="BR363" s="428" t="s">
        <v>762</v>
      </c>
      <c r="BS363" s="428" t="s">
        <v>762</v>
      </c>
      <c r="BT363" s="428" t="s">
        <v>762</v>
      </c>
      <c r="BU363" s="428" t="s">
        <v>762</v>
      </c>
      <c r="BV363" s="428" t="s">
        <v>762</v>
      </c>
      <c r="BW363" s="428" t="s">
        <v>762</v>
      </c>
      <c r="BX363" s="428" t="s">
        <v>762</v>
      </c>
      <c r="BY363" s="428" t="s">
        <v>762</v>
      </c>
      <c r="BZ363" s="428" t="s">
        <v>762</v>
      </c>
      <c r="CA363" s="428" t="s">
        <v>762</v>
      </c>
      <c r="CB363" s="428" t="s">
        <v>762</v>
      </c>
      <c r="CC363" s="428" t="s">
        <v>762</v>
      </c>
      <c r="CD363" s="428" t="s">
        <v>762</v>
      </c>
      <c r="CE363" s="428" t="s">
        <v>762</v>
      </c>
      <c r="CF363" s="428" t="s">
        <v>762</v>
      </c>
      <c r="CG363" s="428" t="s">
        <v>762</v>
      </c>
      <c r="CH363" s="428" t="s">
        <v>762</v>
      </c>
      <c r="CI363" s="428" t="s">
        <v>762</v>
      </c>
      <c r="CJ363" s="428" t="s">
        <v>762</v>
      </c>
      <c r="CK363" s="428" t="s">
        <v>762</v>
      </c>
      <c r="CL363" s="428" t="s">
        <v>762</v>
      </c>
    </row>
    <row r="364" spans="1:90" s="429" customFormat="1">
      <c r="A364" s="427" t="s">
        <v>530</v>
      </c>
      <c r="B364" s="427" t="s">
        <v>103</v>
      </c>
      <c r="C364" s="428">
        <f t="shared" si="391"/>
        <v>14</v>
      </c>
      <c r="D364" s="428">
        <f t="shared" si="392"/>
        <v>14</v>
      </c>
      <c r="E364" s="428">
        <f t="shared" si="393"/>
        <v>14</v>
      </c>
      <c r="F364" s="428">
        <f t="shared" si="394"/>
        <v>14</v>
      </c>
      <c r="G364" s="428">
        <f t="shared" si="395"/>
        <v>15</v>
      </c>
      <c r="H364" s="428">
        <f t="shared" si="396"/>
        <v>15</v>
      </c>
      <c r="I364" s="428">
        <f t="shared" si="397"/>
        <v>15</v>
      </c>
      <c r="J364" s="428">
        <f t="shared" si="398"/>
        <v>15</v>
      </c>
      <c r="K364" s="428">
        <f t="shared" si="399"/>
        <v>15</v>
      </c>
      <c r="L364" s="428">
        <f t="shared" si="400"/>
        <v>16</v>
      </c>
      <c r="M364" s="428">
        <f t="shared" si="401"/>
        <v>16</v>
      </c>
      <c r="N364" s="428">
        <f t="shared" si="402"/>
        <v>17</v>
      </c>
      <c r="O364" s="428">
        <f t="shared" si="403"/>
        <v>17</v>
      </c>
      <c r="P364" s="428">
        <f t="shared" si="404"/>
        <v>18</v>
      </c>
      <c r="Q364" s="428">
        <f t="shared" si="405"/>
        <v>18</v>
      </c>
      <c r="R364" s="428">
        <f t="shared" si="406"/>
        <v>18</v>
      </c>
      <c r="S364" s="428">
        <f t="shared" si="407"/>
        <v>18</v>
      </c>
      <c r="T364" s="428">
        <f t="shared" si="408"/>
        <v>18</v>
      </c>
      <c r="U364" s="428">
        <f t="shared" si="409"/>
        <v>22</v>
      </c>
      <c r="V364" s="428">
        <f t="shared" si="410"/>
        <v>22</v>
      </c>
      <c r="W364" s="428">
        <f t="shared" si="411"/>
        <v>26</v>
      </c>
      <c r="X364" s="428">
        <f t="shared" si="412"/>
        <v>34</v>
      </c>
      <c r="Y364" s="428">
        <f t="shared" si="413"/>
        <v>42</v>
      </c>
      <c r="Z364" s="428" t="s">
        <v>762</v>
      </c>
      <c r="AA364" s="428" t="s">
        <v>762</v>
      </c>
      <c r="AB364" s="428" t="s">
        <v>762</v>
      </c>
      <c r="AC364" s="428" t="s">
        <v>762</v>
      </c>
      <c r="AD364" s="428" t="s">
        <v>762</v>
      </c>
      <c r="AE364" s="428" t="s">
        <v>762</v>
      </c>
      <c r="AF364" s="428" t="s">
        <v>762</v>
      </c>
      <c r="AG364" s="428" t="s">
        <v>762</v>
      </c>
      <c r="AH364" s="428" t="s">
        <v>762</v>
      </c>
      <c r="AI364" s="428" t="s">
        <v>762</v>
      </c>
      <c r="AJ364" s="428" t="s">
        <v>762</v>
      </c>
      <c r="AK364" s="428" t="s">
        <v>762</v>
      </c>
      <c r="AL364" s="428" t="s">
        <v>762</v>
      </c>
      <c r="AM364" s="428" t="s">
        <v>762</v>
      </c>
      <c r="AN364" s="428" t="s">
        <v>762</v>
      </c>
      <c r="AO364" s="428" t="s">
        <v>762</v>
      </c>
      <c r="AP364" s="428" t="s">
        <v>762</v>
      </c>
      <c r="AQ364" s="428" t="s">
        <v>762</v>
      </c>
      <c r="AR364" s="428" t="s">
        <v>762</v>
      </c>
      <c r="AS364" s="428" t="s">
        <v>762</v>
      </c>
      <c r="AT364" s="428" t="s">
        <v>762</v>
      </c>
      <c r="AU364" s="428" t="s">
        <v>762</v>
      </c>
      <c r="AV364" s="428" t="s">
        <v>762</v>
      </c>
      <c r="AW364" s="428" t="s">
        <v>762</v>
      </c>
      <c r="AX364" s="428" t="s">
        <v>762</v>
      </c>
      <c r="AY364" s="428" t="s">
        <v>762</v>
      </c>
      <c r="AZ364" s="428" t="s">
        <v>762</v>
      </c>
      <c r="BA364" s="428" t="s">
        <v>762</v>
      </c>
      <c r="BB364" s="428" t="s">
        <v>762</v>
      </c>
      <c r="BC364" s="428" t="s">
        <v>762</v>
      </c>
      <c r="BD364" s="428" t="s">
        <v>762</v>
      </c>
      <c r="BE364" s="428" t="s">
        <v>762</v>
      </c>
      <c r="BF364" s="428" t="s">
        <v>762</v>
      </c>
      <c r="BG364" s="428" t="s">
        <v>762</v>
      </c>
      <c r="BH364" s="428" t="s">
        <v>762</v>
      </c>
      <c r="BI364" s="428" t="s">
        <v>762</v>
      </c>
      <c r="BJ364" s="428" t="s">
        <v>762</v>
      </c>
      <c r="BK364" s="428" t="s">
        <v>762</v>
      </c>
      <c r="BL364" s="428" t="s">
        <v>762</v>
      </c>
      <c r="BM364" s="428" t="s">
        <v>762</v>
      </c>
      <c r="BN364" s="428" t="s">
        <v>762</v>
      </c>
      <c r="BO364" s="428" t="s">
        <v>762</v>
      </c>
      <c r="BP364" s="428" t="s">
        <v>762</v>
      </c>
      <c r="BQ364" s="428" t="s">
        <v>762</v>
      </c>
      <c r="BR364" s="428" t="s">
        <v>762</v>
      </c>
      <c r="BS364" s="428" t="s">
        <v>762</v>
      </c>
      <c r="BT364" s="428" t="s">
        <v>762</v>
      </c>
      <c r="BU364" s="428" t="s">
        <v>762</v>
      </c>
      <c r="BV364" s="428" t="s">
        <v>762</v>
      </c>
      <c r="BW364" s="428" t="s">
        <v>762</v>
      </c>
      <c r="BX364" s="428" t="s">
        <v>762</v>
      </c>
      <c r="BY364" s="428" t="s">
        <v>762</v>
      </c>
      <c r="BZ364" s="428" t="s">
        <v>762</v>
      </c>
      <c r="CA364" s="428" t="s">
        <v>762</v>
      </c>
      <c r="CB364" s="428" t="s">
        <v>762</v>
      </c>
      <c r="CC364" s="428" t="s">
        <v>762</v>
      </c>
      <c r="CD364" s="428" t="s">
        <v>762</v>
      </c>
      <c r="CE364" s="428" t="s">
        <v>762</v>
      </c>
      <c r="CF364" s="428" t="s">
        <v>762</v>
      </c>
      <c r="CG364" s="428" t="s">
        <v>762</v>
      </c>
      <c r="CH364" s="428" t="s">
        <v>762</v>
      </c>
      <c r="CI364" s="428" t="s">
        <v>762</v>
      </c>
      <c r="CJ364" s="428" t="s">
        <v>762</v>
      </c>
      <c r="CK364" s="428" t="s">
        <v>762</v>
      </c>
      <c r="CL364" s="428" t="s">
        <v>762</v>
      </c>
    </row>
    <row r="365" spans="1:90" s="429" customFormat="1">
      <c r="A365" s="427" t="s">
        <v>531</v>
      </c>
      <c r="B365" s="427" t="s">
        <v>103</v>
      </c>
      <c r="C365" s="428">
        <f t="shared" si="391"/>
        <v>14</v>
      </c>
      <c r="D365" s="428">
        <f t="shared" si="392"/>
        <v>14</v>
      </c>
      <c r="E365" s="428">
        <f t="shared" si="393"/>
        <v>14</v>
      </c>
      <c r="F365" s="428">
        <f t="shared" si="394"/>
        <v>14</v>
      </c>
      <c r="G365" s="428">
        <f t="shared" si="395"/>
        <v>15</v>
      </c>
      <c r="H365" s="428">
        <f t="shared" si="396"/>
        <v>15</v>
      </c>
      <c r="I365" s="428">
        <f t="shared" si="397"/>
        <v>15</v>
      </c>
      <c r="J365" s="428">
        <f t="shared" si="398"/>
        <v>15</v>
      </c>
      <c r="K365" s="428">
        <f t="shared" si="399"/>
        <v>15</v>
      </c>
      <c r="L365" s="428">
        <f t="shared" si="400"/>
        <v>16</v>
      </c>
      <c r="M365" s="428">
        <f t="shared" si="401"/>
        <v>16</v>
      </c>
      <c r="N365" s="428">
        <f t="shared" si="402"/>
        <v>17</v>
      </c>
      <c r="O365" s="428">
        <f t="shared" si="403"/>
        <v>17</v>
      </c>
      <c r="P365" s="428">
        <f t="shared" si="404"/>
        <v>18</v>
      </c>
      <c r="Q365" s="428">
        <f t="shared" si="405"/>
        <v>18</v>
      </c>
      <c r="R365" s="428">
        <f t="shared" si="406"/>
        <v>18</v>
      </c>
      <c r="S365" s="428">
        <f t="shared" si="407"/>
        <v>18</v>
      </c>
      <c r="T365" s="428">
        <f t="shared" si="408"/>
        <v>18</v>
      </c>
      <c r="U365" s="428">
        <f t="shared" si="409"/>
        <v>22</v>
      </c>
      <c r="V365" s="428">
        <f t="shared" si="410"/>
        <v>22</v>
      </c>
      <c r="W365" s="428">
        <f t="shared" si="411"/>
        <v>26</v>
      </c>
      <c r="X365" s="428">
        <f t="shared" si="412"/>
        <v>34</v>
      </c>
      <c r="Y365" s="428">
        <f t="shared" si="413"/>
        <v>42</v>
      </c>
      <c r="Z365" s="428" t="s">
        <v>762</v>
      </c>
      <c r="AA365" s="428" t="s">
        <v>762</v>
      </c>
      <c r="AB365" s="428" t="s">
        <v>762</v>
      </c>
      <c r="AC365" s="428" t="s">
        <v>762</v>
      </c>
      <c r="AD365" s="428" t="s">
        <v>762</v>
      </c>
      <c r="AE365" s="428" t="s">
        <v>762</v>
      </c>
      <c r="AF365" s="428" t="s">
        <v>762</v>
      </c>
      <c r="AG365" s="428" t="s">
        <v>762</v>
      </c>
      <c r="AH365" s="428" t="s">
        <v>762</v>
      </c>
      <c r="AI365" s="428" t="s">
        <v>762</v>
      </c>
      <c r="AJ365" s="428" t="s">
        <v>762</v>
      </c>
      <c r="AK365" s="428" t="s">
        <v>762</v>
      </c>
      <c r="AL365" s="428" t="s">
        <v>762</v>
      </c>
      <c r="AM365" s="428" t="s">
        <v>762</v>
      </c>
      <c r="AN365" s="428" t="s">
        <v>762</v>
      </c>
      <c r="AO365" s="428" t="s">
        <v>762</v>
      </c>
      <c r="AP365" s="428" t="s">
        <v>762</v>
      </c>
      <c r="AQ365" s="428" t="s">
        <v>762</v>
      </c>
      <c r="AR365" s="428" t="s">
        <v>762</v>
      </c>
      <c r="AS365" s="428" t="s">
        <v>762</v>
      </c>
      <c r="AT365" s="428" t="s">
        <v>762</v>
      </c>
      <c r="AU365" s="428" t="s">
        <v>762</v>
      </c>
      <c r="AV365" s="428" t="s">
        <v>762</v>
      </c>
      <c r="AW365" s="428" t="s">
        <v>762</v>
      </c>
      <c r="AX365" s="428" t="s">
        <v>762</v>
      </c>
      <c r="AY365" s="428" t="s">
        <v>762</v>
      </c>
      <c r="AZ365" s="428" t="s">
        <v>762</v>
      </c>
      <c r="BA365" s="428" t="s">
        <v>762</v>
      </c>
      <c r="BB365" s="428" t="s">
        <v>762</v>
      </c>
      <c r="BC365" s="428" t="s">
        <v>762</v>
      </c>
      <c r="BD365" s="428" t="s">
        <v>762</v>
      </c>
      <c r="BE365" s="428" t="s">
        <v>762</v>
      </c>
      <c r="BF365" s="428" t="s">
        <v>762</v>
      </c>
      <c r="BG365" s="428" t="s">
        <v>762</v>
      </c>
      <c r="BH365" s="428" t="s">
        <v>762</v>
      </c>
      <c r="BI365" s="428" t="s">
        <v>762</v>
      </c>
      <c r="BJ365" s="428" t="s">
        <v>762</v>
      </c>
      <c r="BK365" s="428" t="s">
        <v>762</v>
      </c>
      <c r="BL365" s="428" t="s">
        <v>762</v>
      </c>
      <c r="BM365" s="428" t="s">
        <v>762</v>
      </c>
      <c r="BN365" s="428" t="s">
        <v>762</v>
      </c>
      <c r="BO365" s="428" t="s">
        <v>762</v>
      </c>
      <c r="BP365" s="428" t="s">
        <v>762</v>
      </c>
      <c r="BQ365" s="428" t="s">
        <v>762</v>
      </c>
      <c r="BR365" s="428" t="s">
        <v>762</v>
      </c>
      <c r="BS365" s="428" t="s">
        <v>762</v>
      </c>
      <c r="BT365" s="428" t="s">
        <v>762</v>
      </c>
      <c r="BU365" s="428" t="s">
        <v>762</v>
      </c>
      <c r="BV365" s="428" t="s">
        <v>762</v>
      </c>
      <c r="BW365" s="428" t="s">
        <v>762</v>
      </c>
      <c r="BX365" s="428" t="s">
        <v>762</v>
      </c>
      <c r="BY365" s="428" t="s">
        <v>762</v>
      </c>
      <c r="BZ365" s="428" t="s">
        <v>762</v>
      </c>
      <c r="CA365" s="428" t="s">
        <v>762</v>
      </c>
      <c r="CB365" s="428" t="s">
        <v>762</v>
      </c>
      <c r="CC365" s="428" t="s">
        <v>762</v>
      </c>
      <c r="CD365" s="428" t="s">
        <v>762</v>
      </c>
      <c r="CE365" s="428" t="s">
        <v>762</v>
      </c>
      <c r="CF365" s="428" t="s">
        <v>762</v>
      </c>
      <c r="CG365" s="428" t="s">
        <v>762</v>
      </c>
      <c r="CH365" s="428" t="s">
        <v>762</v>
      </c>
      <c r="CI365" s="428" t="s">
        <v>762</v>
      </c>
      <c r="CJ365" s="428" t="s">
        <v>762</v>
      </c>
      <c r="CK365" s="428" t="s">
        <v>762</v>
      </c>
      <c r="CL365" s="428" t="s">
        <v>762</v>
      </c>
    </row>
    <row r="366" spans="1:90" s="429" customFormat="1">
      <c r="A366" s="427" t="s">
        <v>532</v>
      </c>
      <c r="B366" s="427" t="s">
        <v>103</v>
      </c>
      <c r="C366" s="428">
        <f t="shared" si="391"/>
        <v>14</v>
      </c>
      <c r="D366" s="428">
        <f t="shared" si="392"/>
        <v>14</v>
      </c>
      <c r="E366" s="428">
        <f t="shared" si="393"/>
        <v>14</v>
      </c>
      <c r="F366" s="428">
        <f t="shared" si="394"/>
        <v>14</v>
      </c>
      <c r="G366" s="428">
        <f t="shared" si="395"/>
        <v>15</v>
      </c>
      <c r="H366" s="428">
        <f t="shared" si="396"/>
        <v>15</v>
      </c>
      <c r="I366" s="428">
        <f t="shared" si="397"/>
        <v>15</v>
      </c>
      <c r="J366" s="428">
        <f t="shared" si="398"/>
        <v>15</v>
      </c>
      <c r="K366" s="428">
        <f t="shared" si="399"/>
        <v>15</v>
      </c>
      <c r="L366" s="428">
        <f t="shared" si="400"/>
        <v>16</v>
      </c>
      <c r="M366" s="428">
        <f t="shared" si="401"/>
        <v>16</v>
      </c>
      <c r="N366" s="428">
        <f t="shared" si="402"/>
        <v>17</v>
      </c>
      <c r="O366" s="428">
        <f t="shared" si="403"/>
        <v>17</v>
      </c>
      <c r="P366" s="428">
        <f t="shared" si="404"/>
        <v>18</v>
      </c>
      <c r="Q366" s="428">
        <f t="shared" si="405"/>
        <v>18</v>
      </c>
      <c r="R366" s="428">
        <f t="shared" si="406"/>
        <v>18</v>
      </c>
      <c r="S366" s="428">
        <f t="shared" si="407"/>
        <v>18</v>
      </c>
      <c r="T366" s="428">
        <f t="shared" si="408"/>
        <v>18</v>
      </c>
      <c r="U366" s="428">
        <f t="shared" si="409"/>
        <v>22</v>
      </c>
      <c r="V366" s="428">
        <f t="shared" si="410"/>
        <v>22</v>
      </c>
      <c r="W366" s="428">
        <f t="shared" si="411"/>
        <v>26</v>
      </c>
      <c r="X366" s="428">
        <f t="shared" si="412"/>
        <v>34</v>
      </c>
      <c r="Y366" s="428">
        <f t="shared" si="413"/>
        <v>42</v>
      </c>
      <c r="Z366" s="428" t="s">
        <v>762</v>
      </c>
      <c r="AA366" s="428" t="s">
        <v>762</v>
      </c>
      <c r="AB366" s="428" t="s">
        <v>762</v>
      </c>
      <c r="AC366" s="428" t="s">
        <v>762</v>
      </c>
      <c r="AD366" s="428" t="s">
        <v>762</v>
      </c>
      <c r="AE366" s="428" t="s">
        <v>762</v>
      </c>
      <c r="AF366" s="428" t="s">
        <v>762</v>
      </c>
      <c r="AG366" s="428" t="s">
        <v>762</v>
      </c>
      <c r="AH366" s="428" t="s">
        <v>762</v>
      </c>
      <c r="AI366" s="428" t="s">
        <v>762</v>
      </c>
      <c r="AJ366" s="428" t="s">
        <v>762</v>
      </c>
      <c r="AK366" s="428" t="s">
        <v>762</v>
      </c>
      <c r="AL366" s="428" t="s">
        <v>762</v>
      </c>
      <c r="AM366" s="428" t="s">
        <v>762</v>
      </c>
      <c r="AN366" s="428" t="s">
        <v>762</v>
      </c>
      <c r="AO366" s="428" t="s">
        <v>762</v>
      </c>
      <c r="AP366" s="428" t="s">
        <v>762</v>
      </c>
      <c r="AQ366" s="428" t="s">
        <v>762</v>
      </c>
      <c r="AR366" s="428" t="s">
        <v>762</v>
      </c>
      <c r="AS366" s="428" t="s">
        <v>762</v>
      </c>
      <c r="AT366" s="428" t="s">
        <v>762</v>
      </c>
      <c r="AU366" s="428" t="s">
        <v>762</v>
      </c>
      <c r="AV366" s="428" t="s">
        <v>762</v>
      </c>
      <c r="AW366" s="428" t="s">
        <v>762</v>
      </c>
      <c r="AX366" s="428" t="s">
        <v>762</v>
      </c>
      <c r="AY366" s="428" t="s">
        <v>762</v>
      </c>
      <c r="AZ366" s="428" t="s">
        <v>762</v>
      </c>
      <c r="BA366" s="428" t="s">
        <v>762</v>
      </c>
      <c r="BB366" s="428" t="s">
        <v>762</v>
      </c>
      <c r="BC366" s="428" t="s">
        <v>762</v>
      </c>
      <c r="BD366" s="428" t="s">
        <v>762</v>
      </c>
      <c r="BE366" s="428" t="s">
        <v>762</v>
      </c>
      <c r="BF366" s="428" t="s">
        <v>762</v>
      </c>
      <c r="BG366" s="428" t="s">
        <v>762</v>
      </c>
      <c r="BH366" s="428" t="s">
        <v>762</v>
      </c>
      <c r="BI366" s="428" t="s">
        <v>762</v>
      </c>
      <c r="BJ366" s="428" t="s">
        <v>762</v>
      </c>
      <c r="BK366" s="428" t="s">
        <v>762</v>
      </c>
      <c r="BL366" s="428" t="s">
        <v>762</v>
      </c>
      <c r="BM366" s="428" t="s">
        <v>762</v>
      </c>
      <c r="BN366" s="428" t="s">
        <v>762</v>
      </c>
      <c r="BO366" s="428" t="s">
        <v>762</v>
      </c>
      <c r="BP366" s="428" t="s">
        <v>762</v>
      </c>
      <c r="BQ366" s="428" t="s">
        <v>762</v>
      </c>
      <c r="BR366" s="428" t="s">
        <v>762</v>
      </c>
      <c r="BS366" s="428" t="s">
        <v>762</v>
      </c>
      <c r="BT366" s="428" t="s">
        <v>762</v>
      </c>
      <c r="BU366" s="428" t="s">
        <v>762</v>
      </c>
      <c r="BV366" s="428" t="s">
        <v>762</v>
      </c>
      <c r="BW366" s="428" t="s">
        <v>762</v>
      </c>
      <c r="BX366" s="428" t="s">
        <v>762</v>
      </c>
      <c r="BY366" s="428" t="s">
        <v>762</v>
      </c>
      <c r="BZ366" s="428" t="s">
        <v>762</v>
      </c>
      <c r="CA366" s="428" t="s">
        <v>762</v>
      </c>
      <c r="CB366" s="428" t="s">
        <v>762</v>
      </c>
      <c r="CC366" s="428" t="s">
        <v>762</v>
      </c>
      <c r="CD366" s="428" t="s">
        <v>762</v>
      </c>
      <c r="CE366" s="428" t="s">
        <v>762</v>
      </c>
      <c r="CF366" s="428" t="s">
        <v>762</v>
      </c>
      <c r="CG366" s="428" t="s">
        <v>762</v>
      </c>
      <c r="CH366" s="428" t="s">
        <v>762</v>
      </c>
      <c r="CI366" s="428" t="s">
        <v>762</v>
      </c>
      <c r="CJ366" s="428" t="s">
        <v>762</v>
      </c>
      <c r="CK366" s="428" t="s">
        <v>762</v>
      </c>
      <c r="CL366" s="428" t="s">
        <v>762</v>
      </c>
    </row>
    <row r="367" spans="1:90" s="429" customFormat="1">
      <c r="A367" s="427" t="s">
        <v>533</v>
      </c>
      <c r="B367" s="427" t="s">
        <v>103</v>
      </c>
      <c r="C367" s="428">
        <f t="shared" si="391"/>
        <v>14</v>
      </c>
      <c r="D367" s="428">
        <f t="shared" si="392"/>
        <v>14</v>
      </c>
      <c r="E367" s="428">
        <f t="shared" si="393"/>
        <v>14</v>
      </c>
      <c r="F367" s="428">
        <f t="shared" si="394"/>
        <v>14</v>
      </c>
      <c r="G367" s="428">
        <f t="shared" si="395"/>
        <v>15</v>
      </c>
      <c r="H367" s="428">
        <f t="shared" si="396"/>
        <v>15</v>
      </c>
      <c r="I367" s="428">
        <f t="shared" si="397"/>
        <v>15</v>
      </c>
      <c r="J367" s="428">
        <f t="shared" si="398"/>
        <v>15</v>
      </c>
      <c r="K367" s="428">
        <f t="shared" si="399"/>
        <v>15</v>
      </c>
      <c r="L367" s="428">
        <f t="shared" si="400"/>
        <v>16</v>
      </c>
      <c r="M367" s="428">
        <f t="shared" si="401"/>
        <v>16</v>
      </c>
      <c r="N367" s="428">
        <f t="shared" si="402"/>
        <v>17</v>
      </c>
      <c r="O367" s="428">
        <f t="shared" si="403"/>
        <v>17</v>
      </c>
      <c r="P367" s="428">
        <f t="shared" si="404"/>
        <v>18</v>
      </c>
      <c r="Q367" s="428">
        <f t="shared" si="405"/>
        <v>18</v>
      </c>
      <c r="R367" s="428">
        <f t="shared" si="406"/>
        <v>18</v>
      </c>
      <c r="S367" s="428">
        <f t="shared" si="407"/>
        <v>18</v>
      </c>
      <c r="T367" s="428">
        <f t="shared" si="408"/>
        <v>18</v>
      </c>
      <c r="U367" s="428">
        <f t="shared" si="409"/>
        <v>22</v>
      </c>
      <c r="V367" s="428">
        <f t="shared" si="410"/>
        <v>22</v>
      </c>
      <c r="W367" s="428">
        <f t="shared" si="411"/>
        <v>26</v>
      </c>
      <c r="X367" s="428">
        <f t="shared" si="412"/>
        <v>34</v>
      </c>
      <c r="Y367" s="428">
        <f t="shared" si="413"/>
        <v>42</v>
      </c>
      <c r="Z367" s="428" t="s">
        <v>762</v>
      </c>
      <c r="AA367" s="428" t="s">
        <v>762</v>
      </c>
      <c r="AB367" s="428" t="s">
        <v>762</v>
      </c>
      <c r="AC367" s="428" t="s">
        <v>762</v>
      </c>
      <c r="AD367" s="428" t="s">
        <v>762</v>
      </c>
      <c r="AE367" s="428" t="s">
        <v>762</v>
      </c>
      <c r="AF367" s="428" t="s">
        <v>762</v>
      </c>
      <c r="AG367" s="428" t="s">
        <v>762</v>
      </c>
      <c r="AH367" s="428" t="s">
        <v>762</v>
      </c>
      <c r="AI367" s="428" t="s">
        <v>762</v>
      </c>
      <c r="AJ367" s="428" t="s">
        <v>762</v>
      </c>
      <c r="AK367" s="428" t="s">
        <v>762</v>
      </c>
      <c r="AL367" s="428" t="s">
        <v>762</v>
      </c>
      <c r="AM367" s="428" t="s">
        <v>762</v>
      </c>
      <c r="AN367" s="428" t="s">
        <v>762</v>
      </c>
      <c r="AO367" s="428" t="s">
        <v>762</v>
      </c>
      <c r="AP367" s="428" t="s">
        <v>762</v>
      </c>
      <c r="AQ367" s="428" t="s">
        <v>762</v>
      </c>
      <c r="AR367" s="428" t="s">
        <v>762</v>
      </c>
      <c r="AS367" s="428" t="s">
        <v>762</v>
      </c>
      <c r="AT367" s="428" t="s">
        <v>762</v>
      </c>
      <c r="AU367" s="428" t="s">
        <v>762</v>
      </c>
      <c r="AV367" s="428" t="s">
        <v>762</v>
      </c>
      <c r="AW367" s="428" t="s">
        <v>762</v>
      </c>
      <c r="AX367" s="428" t="s">
        <v>762</v>
      </c>
      <c r="AY367" s="428" t="s">
        <v>762</v>
      </c>
      <c r="AZ367" s="428" t="s">
        <v>762</v>
      </c>
      <c r="BA367" s="428" t="s">
        <v>762</v>
      </c>
      <c r="BB367" s="428" t="s">
        <v>762</v>
      </c>
      <c r="BC367" s="428" t="s">
        <v>762</v>
      </c>
      <c r="BD367" s="428" t="s">
        <v>762</v>
      </c>
      <c r="BE367" s="428" t="s">
        <v>762</v>
      </c>
      <c r="BF367" s="428" t="s">
        <v>762</v>
      </c>
      <c r="BG367" s="428" t="s">
        <v>762</v>
      </c>
      <c r="BH367" s="428" t="s">
        <v>762</v>
      </c>
      <c r="BI367" s="428" t="s">
        <v>762</v>
      </c>
      <c r="BJ367" s="428" t="s">
        <v>762</v>
      </c>
      <c r="BK367" s="428" t="s">
        <v>762</v>
      </c>
      <c r="BL367" s="428" t="s">
        <v>762</v>
      </c>
      <c r="BM367" s="428" t="s">
        <v>762</v>
      </c>
      <c r="BN367" s="428" t="s">
        <v>762</v>
      </c>
      <c r="BO367" s="428" t="s">
        <v>762</v>
      </c>
      <c r="BP367" s="428" t="s">
        <v>762</v>
      </c>
      <c r="BQ367" s="428" t="s">
        <v>762</v>
      </c>
      <c r="BR367" s="428" t="s">
        <v>762</v>
      </c>
      <c r="BS367" s="428" t="s">
        <v>762</v>
      </c>
      <c r="BT367" s="428" t="s">
        <v>762</v>
      </c>
      <c r="BU367" s="428" t="s">
        <v>762</v>
      </c>
      <c r="BV367" s="428" t="s">
        <v>762</v>
      </c>
      <c r="BW367" s="428" t="s">
        <v>762</v>
      </c>
      <c r="BX367" s="428" t="s">
        <v>762</v>
      </c>
      <c r="BY367" s="428" t="s">
        <v>762</v>
      </c>
      <c r="BZ367" s="428" t="s">
        <v>762</v>
      </c>
      <c r="CA367" s="428" t="s">
        <v>762</v>
      </c>
      <c r="CB367" s="428" t="s">
        <v>762</v>
      </c>
      <c r="CC367" s="428" t="s">
        <v>762</v>
      </c>
      <c r="CD367" s="428" t="s">
        <v>762</v>
      </c>
      <c r="CE367" s="428" t="s">
        <v>762</v>
      </c>
      <c r="CF367" s="428" t="s">
        <v>762</v>
      </c>
      <c r="CG367" s="428" t="s">
        <v>762</v>
      </c>
      <c r="CH367" s="428" t="s">
        <v>762</v>
      </c>
      <c r="CI367" s="428" t="s">
        <v>762</v>
      </c>
      <c r="CJ367" s="428" t="s">
        <v>762</v>
      </c>
      <c r="CK367" s="428" t="s">
        <v>762</v>
      </c>
      <c r="CL367" s="428" t="s">
        <v>762</v>
      </c>
    </row>
    <row r="368" spans="1:90" s="429" customFormat="1">
      <c r="A368" s="427" t="s">
        <v>534</v>
      </c>
      <c r="B368" s="427" t="s">
        <v>103</v>
      </c>
      <c r="C368" s="428">
        <f t="shared" si="391"/>
        <v>14</v>
      </c>
      <c r="D368" s="428">
        <f t="shared" si="392"/>
        <v>14</v>
      </c>
      <c r="E368" s="428">
        <f t="shared" si="393"/>
        <v>14</v>
      </c>
      <c r="F368" s="428">
        <f t="shared" si="394"/>
        <v>14</v>
      </c>
      <c r="G368" s="428">
        <f t="shared" si="395"/>
        <v>15</v>
      </c>
      <c r="H368" s="428">
        <f t="shared" si="396"/>
        <v>15</v>
      </c>
      <c r="I368" s="428">
        <f t="shared" si="397"/>
        <v>15</v>
      </c>
      <c r="J368" s="428">
        <f t="shared" si="398"/>
        <v>15</v>
      </c>
      <c r="K368" s="428">
        <f t="shared" si="399"/>
        <v>15</v>
      </c>
      <c r="L368" s="428">
        <f t="shared" si="400"/>
        <v>16</v>
      </c>
      <c r="M368" s="428">
        <f t="shared" si="401"/>
        <v>16</v>
      </c>
      <c r="N368" s="428">
        <f t="shared" si="402"/>
        <v>17</v>
      </c>
      <c r="O368" s="428">
        <f t="shared" si="403"/>
        <v>17</v>
      </c>
      <c r="P368" s="428">
        <f t="shared" si="404"/>
        <v>18</v>
      </c>
      <c r="Q368" s="428">
        <f t="shared" si="405"/>
        <v>18</v>
      </c>
      <c r="R368" s="428">
        <f t="shared" si="406"/>
        <v>18</v>
      </c>
      <c r="S368" s="428">
        <f t="shared" si="407"/>
        <v>18</v>
      </c>
      <c r="T368" s="428">
        <f t="shared" si="408"/>
        <v>18</v>
      </c>
      <c r="U368" s="428">
        <f t="shared" si="409"/>
        <v>22</v>
      </c>
      <c r="V368" s="428">
        <f t="shared" si="410"/>
        <v>22</v>
      </c>
      <c r="W368" s="428">
        <f t="shared" si="411"/>
        <v>26</v>
      </c>
      <c r="X368" s="428">
        <f t="shared" si="412"/>
        <v>34</v>
      </c>
      <c r="Y368" s="428">
        <f t="shared" si="413"/>
        <v>42</v>
      </c>
      <c r="Z368" s="428" t="s">
        <v>762</v>
      </c>
      <c r="AA368" s="428" t="s">
        <v>762</v>
      </c>
      <c r="AB368" s="428" t="s">
        <v>762</v>
      </c>
      <c r="AC368" s="428" t="s">
        <v>762</v>
      </c>
      <c r="AD368" s="428" t="s">
        <v>762</v>
      </c>
      <c r="AE368" s="428" t="s">
        <v>762</v>
      </c>
      <c r="AF368" s="428" t="s">
        <v>762</v>
      </c>
      <c r="AG368" s="428" t="s">
        <v>762</v>
      </c>
      <c r="AH368" s="428" t="s">
        <v>762</v>
      </c>
      <c r="AI368" s="428" t="s">
        <v>762</v>
      </c>
      <c r="AJ368" s="428" t="s">
        <v>762</v>
      </c>
      <c r="AK368" s="428" t="s">
        <v>762</v>
      </c>
      <c r="AL368" s="428" t="s">
        <v>762</v>
      </c>
      <c r="AM368" s="428" t="s">
        <v>762</v>
      </c>
      <c r="AN368" s="428" t="s">
        <v>762</v>
      </c>
      <c r="AO368" s="428" t="s">
        <v>762</v>
      </c>
      <c r="AP368" s="428" t="s">
        <v>762</v>
      </c>
      <c r="AQ368" s="428" t="s">
        <v>762</v>
      </c>
      <c r="AR368" s="428" t="s">
        <v>762</v>
      </c>
      <c r="AS368" s="428" t="s">
        <v>762</v>
      </c>
      <c r="AT368" s="428" t="s">
        <v>762</v>
      </c>
      <c r="AU368" s="428" t="s">
        <v>762</v>
      </c>
      <c r="AV368" s="428" t="s">
        <v>762</v>
      </c>
      <c r="AW368" s="428" t="s">
        <v>762</v>
      </c>
      <c r="AX368" s="428" t="s">
        <v>762</v>
      </c>
      <c r="AY368" s="428" t="s">
        <v>762</v>
      </c>
      <c r="AZ368" s="428" t="s">
        <v>762</v>
      </c>
      <c r="BA368" s="428" t="s">
        <v>762</v>
      </c>
      <c r="BB368" s="428" t="s">
        <v>762</v>
      </c>
      <c r="BC368" s="428" t="s">
        <v>762</v>
      </c>
      <c r="BD368" s="428" t="s">
        <v>762</v>
      </c>
      <c r="BE368" s="428" t="s">
        <v>762</v>
      </c>
      <c r="BF368" s="428" t="s">
        <v>762</v>
      </c>
      <c r="BG368" s="428" t="s">
        <v>762</v>
      </c>
      <c r="BH368" s="428" t="s">
        <v>762</v>
      </c>
      <c r="BI368" s="428" t="s">
        <v>762</v>
      </c>
      <c r="BJ368" s="428" t="s">
        <v>762</v>
      </c>
      <c r="BK368" s="428" t="s">
        <v>762</v>
      </c>
      <c r="BL368" s="428" t="s">
        <v>762</v>
      </c>
      <c r="BM368" s="428" t="s">
        <v>762</v>
      </c>
      <c r="BN368" s="428" t="s">
        <v>762</v>
      </c>
      <c r="BO368" s="428" t="s">
        <v>762</v>
      </c>
      <c r="BP368" s="428" t="s">
        <v>762</v>
      </c>
      <c r="BQ368" s="428" t="s">
        <v>762</v>
      </c>
      <c r="BR368" s="428" t="s">
        <v>762</v>
      </c>
      <c r="BS368" s="428" t="s">
        <v>762</v>
      </c>
      <c r="BT368" s="428" t="s">
        <v>762</v>
      </c>
      <c r="BU368" s="428" t="s">
        <v>762</v>
      </c>
      <c r="BV368" s="428" t="s">
        <v>762</v>
      </c>
      <c r="BW368" s="428" t="s">
        <v>762</v>
      </c>
      <c r="BX368" s="428" t="s">
        <v>762</v>
      </c>
      <c r="BY368" s="428" t="s">
        <v>762</v>
      </c>
      <c r="BZ368" s="428" t="s">
        <v>762</v>
      </c>
      <c r="CA368" s="428" t="s">
        <v>762</v>
      </c>
      <c r="CB368" s="428" t="s">
        <v>762</v>
      </c>
      <c r="CC368" s="428" t="s">
        <v>762</v>
      </c>
      <c r="CD368" s="428" t="s">
        <v>762</v>
      </c>
      <c r="CE368" s="428" t="s">
        <v>762</v>
      </c>
      <c r="CF368" s="428" t="s">
        <v>762</v>
      </c>
      <c r="CG368" s="428" t="s">
        <v>762</v>
      </c>
      <c r="CH368" s="428" t="s">
        <v>762</v>
      </c>
      <c r="CI368" s="428" t="s">
        <v>762</v>
      </c>
      <c r="CJ368" s="428" t="s">
        <v>762</v>
      </c>
      <c r="CK368" s="428" t="s">
        <v>762</v>
      </c>
      <c r="CL368" s="428" t="s">
        <v>762</v>
      </c>
    </row>
    <row r="369" spans="1:90" s="429" customFormat="1">
      <c r="A369" s="427" t="s">
        <v>535</v>
      </c>
      <c r="B369" s="427" t="s">
        <v>103</v>
      </c>
      <c r="C369" s="428">
        <f t="shared" si="391"/>
        <v>14</v>
      </c>
      <c r="D369" s="428">
        <f t="shared" si="392"/>
        <v>14</v>
      </c>
      <c r="E369" s="428">
        <f t="shared" si="393"/>
        <v>14</v>
      </c>
      <c r="F369" s="428">
        <f t="shared" si="394"/>
        <v>14</v>
      </c>
      <c r="G369" s="428">
        <f t="shared" si="395"/>
        <v>15</v>
      </c>
      <c r="H369" s="428">
        <f t="shared" si="396"/>
        <v>15</v>
      </c>
      <c r="I369" s="428">
        <f t="shared" si="397"/>
        <v>15</v>
      </c>
      <c r="J369" s="428">
        <f t="shared" si="398"/>
        <v>15</v>
      </c>
      <c r="K369" s="428">
        <f t="shared" si="399"/>
        <v>15</v>
      </c>
      <c r="L369" s="428">
        <f t="shared" si="400"/>
        <v>16</v>
      </c>
      <c r="M369" s="428">
        <f t="shared" si="401"/>
        <v>16</v>
      </c>
      <c r="N369" s="428">
        <f t="shared" si="402"/>
        <v>17</v>
      </c>
      <c r="O369" s="428">
        <f t="shared" si="403"/>
        <v>17</v>
      </c>
      <c r="P369" s="428">
        <f t="shared" si="404"/>
        <v>18</v>
      </c>
      <c r="Q369" s="428">
        <f t="shared" si="405"/>
        <v>18</v>
      </c>
      <c r="R369" s="428">
        <f t="shared" si="406"/>
        <v>18</v>
      </c>
      <c r="S369" s="428">
        <f t="shared" si="407"/>
        <v>18</v>
      </c>
      <c r="T369" s="428">
        <f t="shared" si="408"/>
        <v>18</v>
      </c>
      <c r="U369" s="428">
        <f t="shared" si="409"/>
        <v>22</v>
      </c>
      <c r="V369" s="428">
        <f t="shared" si="410"/>
        <v>22</v>
      </c>
      <c r="W369" s="428">
        <f t="shared" si="411"/>
        <v>26</v>
      </c>
      <c r="X369" s="428">
        <f t="shared" si="412"/>
        <v>34</v>
      </c>
      <c r="Y369" s="428">
        <f t="shared" si="413"/>
        <v>42</v>
      </c>
      <c r="Z369" s="428" t="s">
        <v>762</v>
      </c>
      <c r="AA369" s="428" t="s">
        <v>762</v>
      </c>
      <c r="AB369" s="428" t="s">
        <v>762</v>
      </c>
      <c r="AC369" s="428" t="s">
        <v>762</v>
      </c>
      <c r="AD369" s="428" t="s">
        <v>762</v>
      </c>
      <c r="AE369" s="428" t="s">
        <v>762</v>
      </c>
      <c r="AF369" s="428" t="s">
        <v>762</v>
      </c>
      <c r="AG369" s="428" t="s">
        <v>762</v>
      </c>
      <c r="AH369" s="428" t="s">
        <v>762</v>
      </c>
      <c r="AI369" s="428" t="s">
        <v>762</v>
      </c>
      <c r="AJ369" s="428" t="s">
        <v>762</v>
      </c>
      <c r="AK369" s="428" t="s">
        <v>762</v>
      </c>
      <c r="AL369" s="428" t="s">
        <v>762</v>
      </c>
      <c r="AM369" s="428" t="s">
        <v>762</v>
      </c>
      <c r="AN369" s="428" t="s">
        <v>762</v>
      </c>
      <c r="AO369" s="428" t="s">
        <v>762</v>
      </c>
      <c r="AP369" s="428" t="s">
        <v>762</v>
      </c>
      <c r="AQ369" s="428" t="s">
        <v>762</v>
      </c>
      <c r="AR369" s="428" t="s">
        <v>762</v>
      </c>
      <c r="AS369" s="428" t="s">
        <v>762</v>
      </c>
      <c r="AT369" s="428" t="s">
        <v>762</v>
      </c>
      <c r="AU369" s="428" t="s">
        <v>762</v>
      </c>
      <c r="AV369" s="428" t="s">
        <v>762</v>
      </c>
      <c r="AW369" s="428" t="s">
        <v>762</v>
      </c>
      <c r="AX369" s="428" t="s">
        <v>762</v>
      </c>
      <c r="AY369" s="428" t="s">
        <v>762</v>
      </c>
      <c r="AZ369" s="428" t="s">
        <v>762</v>
      </c>
      <c r="BA369" s="428" t="s">
        <v>762</v>
      </c>
      <c r="BB369" s="428" t="s">
        <v>762</v>
      </c>
      <c r="BC369" s="428" t="s">
        <v>762</v>
      </c>
      <c r="BD369" s="428" t="s">
        <v>762</v>
      </c>
      <c r="BE369" s="428" t="s">
        <v>762</v>
      </c>
      <c r="BF369" s="428" t="s">
        <v>762</v>
      </c>
      <c r="BG369" s="428" t="s">
        <v>762</v>
      </c>
      <c r="BH369" s="428" t="s">
        <v>762</v>
      </c>
      <c r="BI369" s="428" t="s">
        <v>762</v>
      </c>
      <c r="BJ369" s="428" t="s">
        <v>762</v>
      </c>
      <c r="BK369" s="428" t="s">
        <v>762</v>
      </c>
      <c r="BL369" s="428" t="s">
        <v>762</v>
      </c>
      <c r="BM369" s="428" t="s">
        <v>762</v>
      </c>
      <c r="BN369" s="428" t="s">
        <v>762</v>
      </c>
      <c r="BO369" s="428" t="s">
        <v>762</v>
      </c>
      <c r="BP369" s="428" t="s">
        <v>762</v>
      </c>
      <c r="BQ369" s="428" t="s">
        <v>762</v>
      </c>
      <c r="BR369" s="428" t="s">
        <v>762</v>
      </c>
      <c r="BS369" s="428" t="s">
        <v>762</v>
      </c>
      <c r="BT369" s="428" t="s">
        <v>762</v>
      </c>
      <c r="BU369" s="428" t="s">
        <v>762</v>
      </c>
      <c r="BV369" s="428" t="s">
        <v>762</v>
      </c>
      <c r="BW369" s="428" t="s">
        <v>762</v>
      </c>
      <c r="BX369" s="428" t="s">
        <v>762</v>
      </c>
      <c r="BY369" s="428" t="s">
        <v>762</v>
      </c>
      <c r="BZ369" s="428" t="s">
        <v>762</v>
      </c>
      <c r="CA369" s="428" t="s">
        <v>762</v>
      </c>
      <c r="CB369" s="428" t="s">
        <v>762</v>
      </c>
      <c r="CC369" s="428" t="s">
        <v>762</v>
      </c>
      <c r="CD369" s="428" t="s">
        <v>762</v>
      </c>
      <c r="CE369" s="428" t="s">
        <v>762</v>
      </c>
      <c r="CF369" s="428" t="s">
        <v>762</v>
      </c>
      <c r="CG369" s="428" t="s">
        <v>762</v>
      </c>
      <c r="CH369" s="428" t="s">
        <v>762</v>
      </c>
      <c r="CI369" s="428" t="s">
        <v>762</v>
      </c>
      <c r="CJ369" s="428" t="s">
        <v>762</v>
      </c>
      <c r="CK369" s="428" t="s">
        <v>762</v>
      </c>
      <c r="CL369" s="428" t="s">
        <v>762</v>
      </c>
    </row>
    <row r="370" spans="1:90" s="429" customFormat="1">
      <c r="A370" s="427" t="s">
        <v>536</v>
      </c>
      <c r="B370" s="427" t="s">
        <v>103</v>
      </c>
      <c r="C370" s="428">
        <f t="shared" si="391"/>
        <v>14</v>
      </c>
      <c r="D370" s="428">
        <f t="shared" si="392"/>
        <v>14</v>
      </c>
      <c r="E370" s="428">
        <f t="shared" si="393"/>
        <v>14</v>
      </c>
      <c r="F370" s="428">
        <f t="shared" si="394"/>
        <v>14</v>
      </c>
      <c r="G370" s="428">
        <f t="shared" si="395"/>
        <v>15</v>
      </c>
      <c r="H370" s="428">
        <f t="shared" si="396"/>
        <v>15</v>
      </c>
      <c r="I370" s="428">
        <f t="shared" si="397"/>
        <v>15</v>
      </c>
      <c r="J370" s="428">
        <f t="shared" si="398"/>
        <v>15</v>
      </c>
      <c r="K370" s="428">
        <f t="shared" si="399"/>
        <v>15</v>
      </c>
      <c r="L370" s="428">
        <f t="shared" si="400"/>
        <v>16</v>
      </c>
      <c r="M370" s="428">
        <f t="shared" si="401"/>
        <v>16</v>
      </c>
      <c r="N370" s="428">
        <f t="shared" si="402"/>
        <v>17</v>
      </c>
      <c r="O370" s="428">
        <f t="shared" si="403"/>
        <v>17</v>
      </c>
      <c r="P370" s="428">
        <f t="shared" si="404"/>
        <v>18</v>
      </c>
      <c r="Q370" s="428">
        <f t="shared" si="405"/>
        <v>18</v>
      </c>
      <c r="R370" s="428">
        <f t="shared" si="406"/>
        <v>18</v>
      </c>
      <c r="S370" s="428">
        <f t="shared" si="407"/>
        <v>18</v>
      </c>
      <c r="T370" s="428">
        <f t="shared" si="408"/>
        <v>18</v>
      </c>
      <c r="U370" s="428">
        <f t="shared" si="409"/>
        <v>22</v>
      </c>
      <c r="V370" s="428">
        <f t="shared" si="410"/>
        <v>22</v>
      </c>
      <c r="W370" s="428">
        <f t="shared" si="411"/>
        <v>26</v>
      </c>
      <c r="X370" s="428">
        <f t="shared" si="412"/>
        <v>34</v>
      </c>
      <c r="Y370" s="428">
        <f t="shared" si="413"/>
        <v>42</v>
      </c>
      <c r="Z370" s="428" t="s">
        <v>762</v>
      </c>
      <c r="AA370" s="428" t="s">
        <v>762</v>
      </c>
      <c r="AB370" s="428" t="s">
        <v>762</v>
      </c>
      <c r="AC370" s="428" t="s">
        <v>762</v>
      </c>
      <c r="AD370" s="428" t="s">
        <v>762</v>
      </c>
      <c r="AE370" s="428" t="s">
        <v>762</v>
      </c>
      <c r="AF370" s="428" t="s">
        <v>762</v>
      </c>
      <c r="AG370" s="428" t="s">
        <v>762</v>
      </c>
      <c r="AH370" s="428" t="s">
        <v>762</v>
      </c>
      <c r="AI370" s="428" t="s">
        <v>762</v>
      </c>
      <c r="AJ370" s="428" t="s">
        <v>762</v>
      </c>
      <c r="AK370" s="428" t="s">
        <v>762</v>
      </c>
      <c r="AL370" s="428" t="s">
        <v>762</v>
      </c>
      <c r="AM370" s="428" t="s">
        <v>762</v>
      </c>
      <c r="AN370" s="428" t="s">
        <v>762</v>
      </c>
      <c r="AO370" s="428" t="s">
        <v>762</v>
      </c>
      <c r="AP370" s="428" t="s">
        <v>762</v>
      </c>
      <c r="AQ370" s="428" t="s">
        <v>762</v>
      </c>
      <c r="AR370" s="428" t="s">
        <v>762</v>
      </c>
      <c r="AS370" s="428" t="s">
        <v>762</v>
      </c>
      <c r="AT370" s="428" t="s">
        <v>762</v>
      </c>
      <c r="AU370" s="428" t="s">
        <v>762</v>
      </c>
      <c r="AV370" s="428" t="s">
        <v>762</v>
      </c>
      <c r="AW370" s="428" t="s">
        <v>762</v>
      </c>
      <c r="AX370" s="428" t="s">
        <v>762</v>
      </c>
      <c r="AY370" s="428" t="s">
        <v>762</v>
      </c>
      <c r="AZ370" s="428" t="s">
        <v>762</v>
      </c>
      <c r="BA370" s="428" t="s">
        <v>762</v>
      </c>
      <c r="BB370" s="428" t="s">
        <v>762</v>
      </c>
      <c r="BC370" s="428" t="s">
        <v>762</v>
      </c>
      <c r="BD370" s="428" t="s">
        <v>762</v>
      </c>
      <c r="BE370" s="428" t="s">
        <v>762</v>
      </c>
      <c r="BF370" s="428" t="s">
        <v>762</v>
      </c>
      <c r="BG370" s="428" t="s">
        <v>762</v>
      </c>
      <c r="BH370" s="428" t="s">
        <v>762</v>
      </c>
      <c r="BI370" s="428" t="s">
        <v>762</v>
      </c>
      <c r="BJ370" s="428" t="s">
        <v>762</v>
      </c>
      <c r="BK370" s="428" t="s">
        <v>762</v>
      </c>
      <c r="BL370" s="428" t="s">
        <v>762</v>
      </c>
      <c r="BM370" s="428" t="s">
        <v>762</v>
      </c>
      <c r="BN370" s="428" t="s">
        <v>762</v>
      </c>
      <c r="BO370" s="428" t="s">
        <v>762</v>
      </c>
      <c r="BP370" s="428" t="s">
        <v>762</v>
      </c>
      <c r="BQ370" s="428" t="s">
        <v>762</v>
      </c>
      <c r="BR370" s="428" t="s">
        <v>762</v>
      </c>
      <c r="BS370" s="428" t="s">
        <v>762</v>
      </c>
      <c r="BT370" s="428" t="s">
        <v>762</v>
      </c>
      <c r="BU370" s="428" t="s">
        <v>762</v>
      </c>
      <c r="BV370" s="428" t="s">
        <v>762</v>
      </c>
      <c r="BW370" s="428" t="s">
        <v>762</v>
      </c>
      <c r="BX370" s="428" t="s">
        <v>762</v>
      </c>
      <c r="BY370" s="428" t="s">
        <v>762</v>
      </c>
      <c r="BZ370" s="428" t="s">
        <v>762</v>
      </c>
      <c r="CA370" s="428" t="s">
        <v>762</v>
      </c>
      <c r="CB370" s="428" t="s">
        <v>762</v>
      </c>
      <c r="CC370" s="428" t="s">
        <v>762</v>
      </c>
      <c r="CD370" s="428" t="s">
        <v>762</v>
      </c>
      <c r="CE370" s="428" t="s">
        <v>762</v>
      </c>
      <c r="CF370" s="428" t="s">
        <v>762</v>
      </c>
      <c r="CG370" s="428" t="s">
        <v>762</v>
      </c>
      <c r="CH370" s="428" t="s">
        <v>762</v>
      </c>
      <c r="CI370" s="428" t="s">
        <v>762</v>
      </c>
      <c r="CJ370" s="428" t="s">
        <v>762</v>
      </c>
      <c r="CK370" s="428" t="s">
        <v>762</v>
      </c>
      <c r="CL370" s="428" t="s">
        <v>762</v>
      </c>
    </row>
    <row r="371" spans="1:90" s="429" customFormat="1">
      <c r="A371" s="427" t="s">
        <v>537</v>
      </c>
      <c r="B371" s="427" t="s">
        <v>103</v>
      </c>
      <c r="C371" s="428">
        <f t="shared" si="391"/>
        <v>14</v>
      </c>
      <c r="D371" s="428">
        <f t="shared" si="392"/>
        <v>14</v>
      </c>
      <c r="E371" s="428">
        <f t="shared" si="393"/>
        <v>14</v>
      </c>
      <c r="F371" s="428">
        <f t="shared" si="394"/>
        <v>14</v>
      </c>
      <c r="G371" s="428">
        <f t="shared" si="395"/>
        <v>15</v>
      </c>
      <c r="H371" s="428">
        <f t="shared" si="396"/>
        <v>15</v>
      </c>
      <c r="I371" s="428">
        <f t="shared" si="397"/>
        <v>15</v>
      </c>
      <c r="J371" s="428">
        <f t="shared" si="398"/>
        <v>15</v>
      </c>
      <c r="K371" s="428">
        <f t="shared" si="399"/>
        <v>15</v>
      </c>
      <c r="L371" s="428">
        <f t="shared" si="400"/>
        <v>16</v>
      </c>
      <c r="M371" s="428">
        <f t="shared" si="401"/>
        <v>16</v>
      </c>
      <c r="N371" s="428">
        <f t="shared" si="402"/>
        <v>17</v>
      </c>
      <c r="O371" s="428">
        <f t="shared" si="403"/>
        <v>17</v>
      </c>
      <c r="P371" s="428">
        <f t="shared" si="404"/>
        <v>18</v>
      </c>
      <c r="Q371" s="428">
        <f t="shared" si="405"/>
        <v>18</v>
      </c>
      <c r="R371" s="428">
        <f t="shared" si="406"/>
        <v>18</v>
      </c>
      <c r="S371" s="428">
        <f t="shared" si="407"/>
        <v>18</v>
      </c>
      <c r="T371" s="428">
        <f t="shared" si="408"/>
        <v>18</v>
      </c>
      <c r="U371" s="428">
        <f t="shared" si="409"/>
        <v>22</v>
      </c>
      <c r="V371" s="428">
        <f t="shared" si="410"/>
        <v>22</v>
      </c>
      <c r="W371" s="428">
        <f t="shared" si="411"/>
        <v>26</v>
      </c>
      <c r="X371" s="428">
        <f t="shared" si="412"/>
        <v>34</v>
      </c>
      <c r="Y371" s="428">
        <f t="shared" si="413"/>
        <v>42</v>
      </c>
      <c r="Z371" s="428" t="s">
        <v>762</v>
      </c>
      <c r="AA371" s="428" t="s">
        <v>762</v>
      </c>
      <c r="AB371" s="428" t="s">
        <v>762</v>
      </c>
      <c r="AC371" s="428" t="s">
        <v>762</v>
      </c>
      <c r="AD371" s="428" t="s">
        <v>762</v>
      </c>
      <c r="AE371" s="428" t="s">
        <v>762</v>
      </c>
      <c r="AF371" s="428" t="s">
        <v>762</v>
      </c>
      <c r="AG371" s="428" t="s">
        <v>762</v>
      </c>
      <c r="AH371" s="428" t="s">
        <v>762</v>
      </c>
      <c r="AI371" s="428" t="s">
        <v>762</v>
      </c>
      <c r="AJ371" s="428" t="s">
        <v>762</v>
      </c>
      <c r="AK371" s="428" t="s">
        <v>762</v>
      </c>
      <c r="AL371" s="428" t="s">
        <v>762</v>
      </c>
      <c r="AM371" s="428" t="s">
        <v>762</v>
      </c>
      <c r="AN371" s="428" t="s">
        <v>762</v>
      </c>
      <c r="AO371" s="428" t="s">
        <v>762</v>
      </c>
      <c r="AP371" s="428" t="s">
        <v>762</v>
      </c>
      <c r="AQ371" s="428" t="s">
        <v>762</v>
      </c>
      <c r="AR371" s="428" t="s">
        <v>762</v>
      </c>
      <c r="AS371" s="428" t="s">
        <v>762</v>
      </c>
      <c r="AT371" s="428" t="s">
        <v>762</v>
      </c>
      <c r="AU371" s="428" t="s">
        <v>762</v>
      </c>
      <c r="AV371" s="428" t="s">
        <v>762</v>
      </c>
      <c r="AW371" s="428" t="s">
        <v>762</v>
      </c>
      <c r="AX371" s="428" t="s">
        <v>762</v>
      </c>
      <c r="AY371" s="428" t="s">
        <v>762</v>
      </c>
      <c r="AZ371" s="428" t="s">
        <v>762</v>
      </c>
      <c r="BA371" s="428" t="s">
        <v>762</v>
      </c>
      <c r="BB371" s="428" t="s">
        <v>762</v>
      </c>
      <c r="BC371" s="428" t="s">
        <v>762</v>
      </c>
      <c r="BD371" s="428" t="s">
        <v>762</v>
      </c>
      <c r="BE371" s="428" t="s">
        <v>762</v>
      </c>
      <c r="BF371" s="428" t="s">
        <v>762</v>
      </c>
      <c r="BG371" s="428" t="s">
        <v>762</v>
      </c>
      <c r="BH371" s="428" t="s">
        <v>762</v>
      </c>
      <c r="BI371" s="428" t="s">
        <v>762</v>
      </c>
      <c r="BJ371" s="428" t="s">
        <v>762</v>
      </c>
      <c r="BK371" s="428" t="s">
        <v>762</v>
      </c>
      <c r="BL371" s="428" t="s">
        <v>762</v>
      </c>
      <c r="BM371" s="428" t="s">
        <v>762</v>
      </c>
      <c r="BN371" s="428" t="s">
        <v>762</v>
      </c>
      <c r="BO371" s="428" t="s">
        <v>762</v>
      </c>
      <c r="BP371" s="428" t="s">
        <v>762</v>
      </c>
      <c r="BQ371" s="428" t="s">
        <v>762</v>
      </c>
      <c r="BR371" s="428" t="s">
        <v>762</v>
      </c>
      <c r="BS371" s="428" t="s">
        <v>762</v>
      </c>
      <c r="BT371" s="428" t="s">
        <v>762</v>
      </c>
      <c r="BU371" s="428" t="s">
        <v>762</v>
      </c>
      <c r="BV371" s="428" t="s">
        <v>762</v>
      </c>
      <c r="BW371" s="428" t="s">
        <v>762</v>
      </c>
      <c r="BX371" s="428" t="s">
        <v>762</v>
      </c>
      <c r="BY371" s="428" t="s">
        <v>762</v>
      </c>
      <c r="BZ371" s="428" t="s">
        <v>762</v>
      </c>
      <c r="CA371" s="428" t="s">
        <v>762</v>
      </c>
      <c r="CB371" s="428" t="s">
        <v>762</v>
      </c>
      <c r="CC371" s="428" t="s">
        <v>762</v>
      </c>
      <c r="CD371" s="428" t="s">
        <v>762</v>
      </c>
      <c r="CE371" s="428" t="s">
        <v>762</v>
      </c>
      <c r="CF371" s="428" t="s">
        <v>762</v>
      </c>
      <c r="CG371" s="428" t="s">
        <v>762</v>
      </c>
      <c r="CH371" s="428" t="s">
        <v>762</v>
      </c>
      <c r="CI371" s="428" t="s">
        <v>762</v>
      </c>
      <c r="CJ371" s="428" t="s">
        <v>762</v>
      </c>
      <c r="CK371" s="428" t="s">
        <v>762</v>
      </c>
      <c r="CL371" s="428" t="s">
        <v>762</v>
      </c>
    </row>
    <row r="372" spans="1:90" s="429" customFormat="1">
      <c r="A372" s="427" t="s">
        <v>538</v>
      </c>
      <c r="B372" s="427" t="s">
        <v>103</v>
      </c>
      <c r="C372" s="428">
        <f t="shared" si="391"/>
        <v>14</v>
      </c>
      <c r="D372" s="428">
        <f t="shared" si="392"/>
        <v>14</v>
      </c>
      <c r="E372" s="428">
        <f t="shared" si="393"/>
        <v>14</v>
      </c>
      <c r="F372" s="428">
        <f t="shared" si="394"/>
        <v>14</v>
      </c>
      <c r="G372" s="428">
        <f t="shared" si="395"/>
        <v>15</v>
      </c>
      <c r="H372" s="428">
        <f t="shared" si="396"/>
        <v>15</v>
      </c>
      <c r="I372" s="428">
        <f t="shared" si="397"/>
        <v>15</v>
      </c>
      <c r="J372" s="428">
        <f t="shared" si="398"/>
        <v>15</v>
      </c>
      <c r="K372" s="428">
        <f t="shared" si="399"/>
        <v>15</v>
      </c>
      <c r="L372" s="428">
        <f t="shared" si="400"/>
        <v>16</v>
      </c>
      <c r="M372" s="428">
        <f t="shared" si="401"/>
        <v>16</v>
      </c>
      <c r="N372" s="428">
        <f t="shared" si="402"/>
        <v>17</v>
      </c>
      <c r="O372" s="428">
        <f t="shared" si="403"/>
        <v>17</v>
      </c>
      <c r="P372" s="428">
        <f t="shared" si="404"/>
        <v>18</v>
      </c>
      <c r="Q372" s="428">
        <f t="shared" si="405"/>
        <v>18</v>
      </c>
      <c r="R372" s="428">
        <f t="shared" si="406"/>
        <v>18</v>
      </c>
      <c r="S372" s="428">
        <f t="shared" si="407"/>
        <v>18</v>
      </c>
      <c r="T372" s="428">
        <f t="shared" si="408"/>
        <v>18</v>
      </c>
      <c r="U372" s="428">
        <f t="shared" si="409"/>
        <v>22</v>
      </c>
      <c r="V372" s="428">
        <f t="shared" si="410"/>
        <v>22</v>
      </c>
      <c r="W372" s="428">
        <f t="shared" si="411"/>
        <v>26</v>
      </c>
      <c r="X372" s="428">
        <f t="shared" si="412"/>
        <v>34</v>
      </c>
      <c r="Y372" s="428">
        <f t="shared" si="413"/>
        <v>42</v>
      </c>
      <c r="Z372" s="428" t="s">
        <v>762</v>
      </c>
      <c r="AA372" s="428" t="s">
        <v>762</v>
      </c>
      <c r="AB372" s="428" t="s">
        <v>762</v>
      </c>
      <c r="AC372" s="428" t="s">
        <v>762</v>
      </c>
      <c r="AD372" s="428" t="s">
        <v>762</v>
      </c>
      <c r="AE372" s="428" t="s">
        <v>762</v>
      </c>
      <c r="AF372" s="428" t="s">
        <v>762</v>
      </c>
      <c r="AG372" s="428" t="s">
        <v>762</v>
      </c>
      <c r="AH372" s="428" t="s">
        <v>762</v>
      </c>
      <c r="AI372" s="428" t="s">
        <v>762</v>
      </c>
      <c r="AJ372" s="428" t="s">
        <v>762</v>
      </c>
      <c r="AK372" s="428" t="s">
        <v>762</v>
      </c>
      <c r="AL372" s="428" t="s">
        <v>762</v>
      </c>
      <c r="AM372" s="428" t="s">
        <v>762</v>
      </c>
      <c r="AN372" s="428" t="s">
        <v>762</v>
      </c>
      <c r="AO372" s="428" t="s">
        <v>762</v>
      </c>
      <c r="AP372" s="428" t="s">
        <v>762</v>
      </c>
      <c r="AQ372" s="428" t="s">
        <v>762</v>
      </c>
      <c r="AR372" s="428" t="s">
        <v>762</v>
      </c>
      <c r="AS372" s="428" t="s">
        <v>762</v>
      </c>
      <c r="AT372" s="428" t="s">
        <v>762</v>
      </c>
      <c r="AU372" s="428" t="s">
        <v>762</v>
      </c>
      <c r="AV372" s="428" t="s">
        <v>762</v>
      </c>
      <c r="AW372" s="428" t="s">
        <v>762</v>
      </c>
      <c r="AX372" s="428" t="s">
        <v>762</v>
      </c>
      <c r="AY372" s="428" t="s">
        <v>762</v>
      </c>
      <c r="AZ372" s="428" t="s">
        <v>762</v>
      </c>
      <c r="BA372" s="428" t="s">
        <v>762</v>
      </c>
      <c r="BB372" s="428" t="s">
        <v>762</v>
      </c>
      <c r="BC372" s="428" t="s">
        <v>762</v>
      </c>
      <c r="BD372" s="428" t="s">
        <v>762</v>
      </c>
      <c r="BE372" s="428" t="s">
        <v>762</v>
      </c>
      <c r="BF372" s="428" t="s">
        <v>762</v>
      </c>
      <c r="BG372" s="428" t="s">
        <v>762</v>
      </c>
      <c r="BH372" s="428" t="s">
        <v>762</v>
      </c>
      <c r="BI372" s="428" t="s">
        <v>762</v>
      </c>
      <c r="BJ372" s="428" t="s">
        <v>762</v>
      </c>
      <c r="BK372" s="428" t="s">
        <v>762</v>
      </c>
      <c r="BL372" s="428" t="s">
        <v>762</v>
      </c>
      <c r="BM372" s="428" t="s">
        <v>762</v>
      </c>
      <c r="BN372" s="428" t="s">
        <v>762</v>
      </c>
      <c r="BO372" s="428" t="s">
        <v>762</v>
      </c>
      <c r="BP372" s="428" t="s">
        <v>762</v>
      </c>
      <c r="BQ372" s="428" t="s">
        <v>762</v>
      </c>
      <c r="BR372" s="428" t="s">
        <v>762</v>
      </c>
      <c r="BS372" s="428" t="s">
        <v>762</v>
      </c>
      <c r="BT372" s="428" t="s">
        <v>762</v>
      </c>
      <c r="BU372" s="428" t="s">
        <v>762</v>
      </c>
      <c r="BV372" s="428" t="s">
        <v>762</v>
      </c>
      <c r="BW372" s="428" t="s">
        <v>762</v>
      </c>
      <c r="BX372" s="428" t="s">
        <v>762</v>
      </c>
      <c r="BY372" s="428" t="s">
        <v>762</v>
      </c>
      <c r="BZ372" s="428" t="s">
        <v>762</v>
      </c>
      <c r="CA372" s="428" t="s">
        <v>762</v>
      </c>
      <c r="CB372" s="428" t="s">
        <v>762</v>
      </c>
      <c r="CC372" s="428" t="s">
        <v>762</v>
      </c>
      <c r="CD372" s="428" t="s">
        <v>762</v>
      </c>
      <c r="CE372" s="428" t="s">
        <v>762</v>
      </c>
      <c r="CF372" s="428" t="s">
        <v>762</v>
      </c>
      <c r="CG372" s="428" t="s">
        <v>762</v>
      </c>
      <c r="CH372" s="428" t="s">
        <v>762</v>
      </c>
      <c r="CI372" s="428" t="s">
        <v>762</v>
      </c>
      <c r="CJ372" s="428" t="s">
        <v>762</v>
      </c>
      <c r="CK372" s="428" t="s">
        <v>762</v>
      </c>
      <c r="CL372" s="428" t="s">
        <v>762</v>
      </c>
    </row>
    <row r="373" spans="1:90" s="429" customFormat="1">
      <c r="A373" s="427" t="s">
        <v>539</v>
      </c>
      <c r="B373" s="427" t="s">
        <v>103</v>
      </c>
      <c r="C373" s="428">
        <f t="shared" si="391"/>
        <v>14</v>
      </c>
      <c r="D373" s="428">
        <f t="shared" si="392"/>
        <v>14</v>
      </c>
      <c r="E373" s="428">
        <f t="shared" si="393"/>
        <v>14</v>
      </c>
      <c r="F373" s="428">
        <f t="shared" si="394"/>
        <v>14</v>
      </c>
      <c r="G373" s="428">
        <f t="shared" si="395"/>
        <v>15</v>
      </c>
      <c r="H373" s="428">
        <f t="shared" si="396"/>
        <v>15</v>
      </c>
      <c r="I373" s="428">
        <f t="shared" si="397"/>
        <v>15</v>
      </c>
      <c r="J373" s="428">
        <f t="shared" si="398"/>
        <v>15</v>
      </c>
      <c r="K373" s="428">
        <f t="shared" si="399"/>
        <v>15</v>
      </c>
      <c r="L373" s="428">
        <f t="shared" si="400"/>
        <v>16</v>
      </c>
      <c r="M373" s="428">
        <f t="shared" si="401"/>
        <v>16</v>
      </c>
      <c r="N373" s="428">
        <f t="shared" si="402"/>
        <v>17</v>
      </c>
      <c r="O373" s="428">
        <f t="shared" si="403"/>
        <v>17</v>
      </c>
      <c r="P373" s="428">
        <f t="shared" si="404"/>
        <v>18</v>
      </c>
      <c r="Q373" s="428">
        <f t="shared" si="405"/>
        <v>18</v>
      </c>
      <c r="R373" s="428">
        <f t="shared" si="406"/>
        <v>18</v>
      </c>
      <c r="S373" s="428">
        <f t="shared" si="407"/>
        <v>18</v>
      </c>
      <c r="T373" s="428">
        <f t="shared" si="408"/>
        <v>18</v>
      </c>
      <c r="U373" s="428">
        <f t="shared" si="409"/>
        <v>22</v>
      </c>
      <c r="V373" s="428">
        <f t="shared" si="410"/>
        <v>22</v>
      </c>
      <c r="W373" s="428">
        <f t="shared" si="411"/>
        <v>26</v>
      </c>
      <c r="X373" s="428">
        <f t="shared" si="412"/>
        <v>34</v>
      </c>
      <c r="Y373" s="428">
        <f t="shared" si="413"/>
        <v>42</v>
      </c>
      <c r="Z373" s="428" t="s">
        <v>762</v>
      </c>
      <c r="AA373" s="428" t="s">
        <v>762</v>
      </c>
      <c r="AB373" s="428" t="s">
        <v>762</v>
      </c>
      <c r="AC373" s="428" t="s">
        <v>762</v>
      </c>
      <c r="AD373" s="428" t="s">
        <v>762</v>
      </c>
      <c r="AE373" s="428" t="s">
        <v>762</v>
      </c>
      <c r="AF373" s="428" t="s">
        <v>762</v>
      </c>
      <c r="AG373" s="428" t="s">
        <v>762</v>
      </c>
      <c r="AH373" s="428" t="s">
        <v>762</v>
      </c>
      <c r="AI373" s="428" t="s">
        <v>762</v>
      </c>
      <c r="AJ373" s="428" t="s">
        <v>762</v>
      </c>
      <c r="AK373" s="428" t="s">
        <v>762</v>
      </c>
      <c r="AL373" s="428" t="s">
        <v>762</v>
      </c>
      <c r="AM373" s="428" t="s">
        <v>762</v>
      </c>
      <c r="AN373" s="428" t="s">
        <v>762</v>
      </c>
      <c r="AO373" s="428" t="s">
        <v>762</v>
      </c>
      <c r="AP373" s="428" t="s">
        <v>762</v>
      </c>
      <c r="AQ373" s="428" t="s">
        <v>762</v>
      </c>
      <c r="AR373" s="428" t="s">
        <v>762</v>
      </c>
      <c r="AS373" s="428" t="s">
        <v>762</v>
      </c>
      <c r="AT373" s="428" t="s">
        <v>762</v>
      </c>
      <c r="AU373" s="428" t="s">
        <v>762</v>
      </c>
      <c r="AV373" s="428" t="s">
        <v>762</v>
      </c>
      <c r="AW373" s="428" t="s">
        <v>762</v>
      </c>
      <c r="AX373" s="428" t="s">
        <v>762</v>
      </c>
      <c r="AY373" s="428" t="s">
        <v>762</v>
      </c>
      <c r="AZ373" s="428" t="s">
        <v>762</v>
      </c>
      <c r="BA373" s="428" t="s">
        <v>762</v>
      </c>
      <c r="BB373" s="428" t="s">
        <v>762</v>
      </c>
      <c r="BC373" s="428" t="s">
        <v>762</v>
      </c>
      <c r="BD373" s="428" t="s">
        <v>762</v>
      </c>
      <c r="BE373" s="428" t="s">
        <v>762</v>
      </c>
      <c r="BF373" s="428" t="s">
        <v>762</v>
      </c>
      <c r="BG373" s="428" t="s">
        <v>762</v>
      </c>
      <c r="BH373" s="428" t="s">
        <v>762</v>
      </c>
      <c r="BI373" s="428" t="s">
        <v>762</v>
      </c>
      <c r="BJ373" s="428" t="s">
        <v>762</v>
      </c>
      <c r="BK373" s="428" t="s">
        <v>762</v>
      </c>
      <c r="BL373" s="428" t="s">
        <v>762</v>
      </c>
      <c r="BM373" s="428" t="s">
        <v>762</v>
      </c>
      <c r="BN373" s="428" t="s">
        <v>762</v>
      </c>
      <c r="BO373" s="428" t="s">
        <v>762</v>
      </c>
      <c r="BP373" s="428" t="s">
        <v>762</v>
      </c>
      <c r="BQ373" s="428" t="s">
        <v>762</v>
      </c>
      <c r="BR373" s="428" t="s">
        <v>762</v>
      </c>
      <c r="BS373" s="428" t="s">
        <v>762</v>
      </c>
      <c r="BT373" s="428" t="s">
        <v>762</v>
      </c>
      <c r="BU373" s="428" t="s">
        <v>762</v>
      </c>
      <c r="BV373" s="428" t="s">
        <v>762</v>
      </c>
      <c r="BW373" s="428" t="s">
        <v>762</v>
      </c>
      <c r="BX373" s="428" t="s">
        <v>762</v>
      </c>
      <c r="BY373" s="428" t="s">
        <v>762</v>
      </c>
      <c r="BZ373" s="428" t="s">
        <v>762</v>
      </c>
      <c r="CA373" s="428" t="s">
        <v>762</v>
      </c>
      <c r="CB373" s="428" t="s">
        <v>762</v>
      </c>
      <c r="CC373" s="428" t="s">
        <v>762</v>
      </c>
      <c r="CD373" s="428" t="s">
        <v>762</v>
      </c>
      <c r="CE373" s="428" t="s">
        <v>762</v>
      </c>
      <c r="CF373" s="428" t="s">
        <v>762</v>
      </c>
      <c r="CG373" s="428" t="s">
        <v>762</v>
      </c>
      <c r="CH373" s="428" t="s">
        <v>762</v>
      </c>
      <c r="CI373" s="428" t="s">
        <v>762</v>
      </c>
      <c r="CJ373" s="428" t="s">
        <v>762</v>
      </c>
      <c r="CK373" s="428" t="s">
        <v>762</v>
      </c>
      <c r="CL373" s="428" t="s">
        <v>762</v>
      </c>
    </row>
    <row r="374" spans="1:90" s="429" customFormat="1">
      <c r="A374" s="427" t="s">
        <v>540</v>
      </c>
      <c r="B374" s="427" t="s">
        <v>103</v>
      </c>
      <c r="C374" s="428">
        <f t="shared" si="391"/>
        <v>14</v>
      </c>
      <c r="D374" s="428">
        <f t="shared" si="392"/>
        <v>14</v>
      </c>
      <c r="E374" s="428">
        <f t="shared" si="393"/>
        <v>14</v>
      </c>
      <c r="F374" s="428">
        <f t="shared" si="394"/>
        <v>14</v>
      </c>
      <c r="G374" s="428">
        <f t="shared" si="395"/>
        <v>15</v>
      </c>
      <c r="H374" s="428">
        <f t="shared" si="396"/>
        <v>15</v>
      </c>
      <c r="I374" s="428">
        <f t="shared" si="397"/>
        <v>15</v>
      </c>
      <c r="J374" s="428">
        <f t="shared" si="398"/>
        <v>15</v>
      </c>
      <c r="K374" s="428">
        <f t="shared" si="399"/>
        <v>15</v>
      </c>
      <c r="L374" s="428">
        <f t="shared" si="400"/>
        <v>16</v>
      </c>
      <c r="M374" s="428">
        <f t="shared" si="401"/>
        <v>16</v>
      </c>
      <c r="N374" s="428">
        <f t="shared" si="402"/>
        <v>17</v>
      </c>
      <c r="O374" s="428">
        <f t="shared" si="403"/>
        <v>17</v>
      </c>
      <c r="P374" s="428">
        <f t="shared" si="404"/>
        <v>18</v>
      </c>
      <c r="Q374" s="428">
        <f t="shared" si="405"/>
        <v>18</v>
      </c>
      <c r="R374" s="428">
        <f t="shared" si="406"/>
        <v>18</v>
      </c>
      <c r="S374" s="428">
        <f t="shared" si="407"/>
        <v>18</v>
      </c>
      <c r="T374" s="428">
        <f t="shared" si="408"/>
        <v>18</v>
      </c>
      <c r="U374" s="428">
        <f t="shared" si="409"/>
        <v>22</v>
      </c>
      <c r="V374" s="428">
        <f t="shared" si="410"/>
        <v>22</v>
      </c>
      <c r="W374" s="428">
        <f t="shared" si="411"/>
        <v>26</v>
      </c>
      <c r="X374" s="428">
        <f t="shared" si="412"/>
        <v>34</v>
      </c>
      <c r="Y374" s="428">
        <f t="shared" si="413"/>
        <v>42</v>
      </c>
      <c r="Z374" s="428" t="s">
        <v>762</v>
      </c>
      <c r="AA374" s="428" t="s">
        <v>762</v>
      </c>
      <c r="AB374" s="428" t="s">
        <v>762</v>
      </c>
      <c r="AC374" s="428" t="s">
        <v>762</v>
      </c>
      <c r="AD374" s="428" t="s">
        <v>762</v>
      </c>
      <c r="AE374" s="428" t="s">
        <v>762</v>
      </c>
      <c r="AF374" s="428" t="s">
        <v>762</v>
      </c>
      <c r="AG374" s="428" t="s">
        <v>762</v>
      </c>
      <c r="AH374" s="428" t="s">
        <v>762</v>
      </c>
      <c r="AI374" s="428" t="s">
        <v>762</v>
      </c>
      <c r="AJ374" s="428" t="s">
        <v>762</v>
      </c>
      <c r="AK374" s="428" t="s">
        <v>762</v>
      </c>
      <c r="AL374" s="428" t="s">
        <v>762</v>
      </c>
      <c r="AM374" s="428" t="s">
        <v>762</v>
      </c>
      <c r="AN374" s="428" t="s">
        <v>762</v>
      </c>
      <c r="AO374" s="428" t="s">
        <v>762</v>
      </c>
      <c r="AP374" s="428" t="s">
        <v>762</v>
      </c>
      <c r="AQ374" s="428" t="s">
        <v>762</v>
      </c>
      <c r="AR374" s="428" t="s">
        <v>762</v>
      </c>
      <c r="AS374" s="428" t="s">
        <v>762</v>
      </c>
      <c r="AT374" s="428" t="s">
        <v>762</v>
      </c>
      <c r="AU374" s="428" t="s">
        <v>762</v>
      </c>
      <c r="AV374" s="428" t="s">
        <v>762</v>
      </c>
      <c r="AW374" s="428" t="s">
        <v>762</v>
      </c>
      <c r="AX374" s="428" t="s">
        <v>762</v>
      </c>
      <c r="AY374" s="428" t="s">
        <v>762</v>
      </c>
      <c r="AZ374" s="428" t="s">
        <v>762</v>
      </c>
      <c r="BA374" s="428" t="s">
        <v>762</v>
      </c>
      <c r="BB374" s="428" t="s">
        <v>762</v>
      </c>
      <c r="BC374" s="428" t="s">
        <v>762</v>
      </c>
      <c r="BD374" s="428" t="s">
        <v>762</v>
      </c>
      <c r="BE374" s="428" t="s">
        <v>762</v>
      </c>
      <c r="BF374" s="428" t="s">
        <v>762</v>
      </c>
      <c r="BG374" s="428" t="s">
        <v>762</v>
      </c>
      <c r="BH374" s="428" t="s">
        <v>762</v>
      </c>
      <c r="BI374" s="428" t="s">
        <v>762</v>
      </c>
      <c r="BJ374" s="428" t="s">
        <v>762</v>
      </c>
      <c r="BK374" s="428" t="s">
        <v>762</v>
      </c>
      <c r="BL374" s="428" t="s">
        <v>762</v>
      </c>
      <c r="BM374" s="428" t="s">
        <v>762</v>
      </c>
      <c r="BN374" s="428" t="s">
        <v>762</v>
      </c>
      <c r="BO374" s="428" t="s">
        <v>762</v>
      </c>
      <c r="BP374" s="428" t="s">
        <v>762</v>
      </c>
      <c r="BQ374" s="428" t="s">
        <v>762</v>
      </c>
      <c r="BR374" s="428" t="s">
        <v>762</v>
      </c>
      <c r="BS374" s="428" t="s">
        <v>762</v>
      </c>
      <c r="BT374" s="428" t="s">
        <v>762</v>
      </c>
      <c r="BU374" s="428" t="s">
        <v>762</v>
      </c>
      <c r="BV374" s="428" t="s">
        <v>762</v>
      </c>
      <c r="BW374" s="428" t="s">
        <v>762</v>
      </c>
      <c r="BX374" s="428" t="s">
        <v>762</v>
      </c>
      <c r="BY374" s="428" t="s">
        <v>762</v>
      </c>
      <c r="BZ374" s="428" t="s">
        <v>762</v>
      </c>
      <c r="CA374" s="428" t="s">
        <v>762</v>
      </c>
      <c r="CB374" s="428" t="s">
        <v>762</v>
      </c>
      <c r="CC374" s="428" t="s">
        <v>762</v>
      </c>
      <c r="CD374" s="428" t="s">
        <v>762</v>
      </c>
      <c r="CE374" s="428" t="s">
        <v>762</v>
      </c>
      <c r="CF374" s="428" t="s">
        <v>762</v>
      </c>
      <c r="CG374" s="428" t="s">
        <v>762</v>
      </c>
      <c r="CH374" s="428" t="s">
        <v>762</v>
      </c>
      <c r="CI374" s="428" t="s">
        <v>762</v>
      </c>
      <c r="CJ374" s="428" t="s">
        <v>762</v>
      </c>
      <c r="CK374" s="428" t="s">
        <v>762</v>
      </c>
      <c r="CL374" s="428" t="s">
        <v>762</v>
      </c>
    </row>
    <row r="375" spans="1:90" s="429" customFormat="1">
      <c r="A375" s="427" t="s">
        <v>541</v>
      </c>
      <c r="B375" s="427" t="s">
        <v>103</v>
      </c>
      <c r="C375" s="428">
        <f t="shared" si="391"/>
        <v>14</v>
      </c>
      <c r="D375" s="428">
        <f t="shared" si="392"/>
        <v>14</v>
      </c>
      <c r="E375" s="428">
        <f t="shared" si="393"/>
        <v>14</v>
      </c>
      <c r="F375" s="428">
        <f t="shared" si="394"/>
        <v>14</v>
      </c>
      <c r="G375" s="428">
        <f t="shared" si="395"/>
        <v>15</v>
      </c>
      <c r="H375" s="428">
        <f t="shared" si="396"/>
        <v>15</v>
      </c>
      <c r="I375" s="428">
        <f t="shared" si="397"/>
        <v>15</v>
      </c>
      <c r="J375" s="428">
        <f t="shared" si="398"/>
        <v>15</v>
      </c>
      <c r="K375" s="428">
        <f t="shared" si="399"/>
        <v>15</v>
      </c>
      <c r="L375" s="428">
        <f t="shared" si="400"/>
        <v>16</v>
      </c>
      <c r="M375" s="428">
        <f t="shared" si="401"/>
        <v>16</v>
      </c>
      <c r="N375" s="428">
        <f t="shared" si="402"/>
        <v>17</v>
      </c>
      <c r="O375" s="428">
        <f t="shared" si="403"/>
        <v>17</v>
      </c>
      <c r="P375" s="428">
        <f t="shared" si="404"/>
        <v>18</v>
      </c>
      <c r="Q375" s="428">
        <f t="shared" si="405"/>
        <v>18</v>
      </c>
      <c r="R375" s="428">
        <f t="shared" si="406"/>
        <v>18</v>
      </c>
      <c r="S375" s="428">
        <f t="shared" si="407"/>
        <v>18</v>
      </c>
      <c r="T375" s="428">
        <f t="shared" si="408"/>
        <v>18</v>
      </c>
      <c r="U375" s="428">
        <f t="shared" si="409"/>
        <v>22</v>
      </c>
      <c r="V375" s="428">
        <f t="shared" si="410"/>
        <v>22</v>
      </c>
      <c r="W375" s="428">
        <f t="shared" si="411"/>
        <v>26</v>
      </c>
      <c r="X375" s="428">
        <f t="shared" si="412"/>
        <v>34</v>
      </c>
      <c r="Y375" s="428">
        <f t="shared" si="413"/>
        <v>42</v>
      </c>
      <c r="Z375" s="428" t="s">
        <v>762</v>
      </c>
      <c r="AA375" s="428" t="s">
        <v>762</v>
      </c>
      <c r="AB375" s="428" t="s">
        <v>762</v>
      </c>
      <c r="AC375" s="428" t="s">
        <v>762</v>
      </c>
      <c r="AD375" s="428" t="s">
        <v>762</v>
      </c>
      <c r="AE375" s="428" t="s">
        <v>762</v>
      </c>
      <c r="AF375" s="428" t="s">
        <v>762</v>
      </c>
      <c r="AG375" s="428" t="s">
        <v>762</v>
      </c>
      <c r="AH375" s="428" t="s">
        <v>762</v>
      </c>
      <c r="AI375" s="428" t="s">
        <v>762</v>
      </c>
      <c r="AJ375" s="428" t="s">
        <v>762</v>
      </c>
      <c r="AK375" s="428" t="s">
        <v>762</v>
      </c>
      <c r="AL375" s="428" t="s">
        <v>762</v>
      </c>
      <c r="AM375" s="428" t="s">
        <v>762</v>
      </c>
      <c r="AN375" s="428" t="s">
        <v>762</v>
      </c>
      <c r="AO375" s="428" t="s">
        <v>762</v>
      </c>
      <c r="AP375" s="428" t="s">
        <v>762</v>
      </c>
      <c r="AQ375" s="428" t="s">
        <v>762</v>
      </c>
      <c r="AR375" s="428" t="s">
        <v>762</v>
      </c>
      <c r="AS375" s="428" t="s">
        <v>762</v>
      </c>
      <c r="AT375" s="428" t="s">
        <v>762</v>
      </c>
      <c r="AU375" s="428" t="s">
        <v>762</v>
      </c>
      <c r="AV375" s="428" t="s">
        <v>762</v>
      </c>
      <c r="AW375" s="428" t="s">
        <v>762</v>
      </c>
      <c r="AX375" s="428" t="s">
        <v>762</v>
      </c>
      <c r="AY375" s="428" t="s">
        <v>762</v>
      </c>
      <c r="AZ375" s="428" t="s">
        <v>762</v>
      </c>
      <c r="BA375" s="428" t="s">
        <v>762</v>
      </c>
      <c r="BB375" s="428" t="s">
        <v>762</v>
      </c>
      <c r="BC375" s="428" t="s">
        <v>762</v>
      </c>
      <c r="BD375" s="428" t="s">
        <v>762</v>
      </c>
      <c r="BE375" s="428" t="s">
        <v>762</v>
      </c>
      <c r="BF375" s="428" t="s">
        <v>762</v>
      </c>
      <c r="BG375" s="428" t="s">
        <v>762</v>
      </c>
      <c r="BH375" s="428" t="s">
        <v>762</v>
      </c>
      <c r="BI375" s="428" t="s">
        <v>762</v>
      </c>
      <c r="BJ375" s="428" t="s">
        <v>762</v>
      </c>
      <c r="BK375" s="428" t="s">
        <v>762</v>
      </c>
      <c r="BL375" s="428" t="s">
        <v>762</v>
      </c>
      <c r="BM375" s="428" t="s">
        <v>762</v>
      </c>
      <c r="BN375" s="428" t="s">
        <v>762</v>
      </c>
      <c r="BO375" s="428" t="s">
        <v>762</v>
      </c>
      <c r="BP375" s="428" t="s">
        <v>762</v>
      </c>
      <c r="BQ375" s="428" t="s">
        <v>762</v>
      </c>
      <c r="BR375" s="428" t="s">
        <v>762</v>
      </c>
      <c r="BS375" s="428" t="s">
        <v>762</v>
      </c>
      <c r="BT375" s="428" t="s">
        <v>762</v>
      </c>
      <c r="BU375" s="428" t="s">
        <v>762</v>
      </c>
      <c r="BV375" s="428" t="s">
        <v>762</v>
      </c>
      <c r="BW375" s="428" t="s">
        <v>762</v>
      </c>
      <c r="BX375" s="428" t="s">
        <v>762</v>
      </c>
      <c r="BY375" s="428" t="s">
        <v>762</v>
      </c>
      <c r="BZ375" s="428" t="s">
        <v>762</v>
      </c>
      <c r="CA375" s="428" t="s">
        <v>762</v>
      </c>
      <c r="CB375" s="428" t="s">
        <v>762</v>
      </c>
      <c r="CC375" s="428" t="s">
        <v>762</v>
      </c>
      <c r="CD375" s="428" t="s">
        <v>762</v>
      </c>
      <c r="CE375" s="428" t="s">
        <v>762</v>
      </c>
      <c r="CF375" s="428" t="s">
        <v>762</v>
      </c>
      <c r="CG375" s="428" t="s">
        <v>762</v>
      </c>
      <c r="CH375" s="428" t="s">
        <v>762</v>
      </c>
      <c r="CI375" s="428" t="s">
        <v>762</v>
      </c>
      <c r="CJ375" s="428" t="s">
        <v>762</v>
      </c>
      <c r="CK375" s="428" t="s">
        <v>762</v>
      </c>
      <c r="CL375" s="428" t="s">
        <v>762</v>
      </c>
    </row>
    <row r="376" spans="1:90" s="429" customFormat="1">
      <c r="A376" s="427" t="s">
        <v>542</v>
      </c>
      <c r="B376" s="427" t="s">
        <v>103</v>
      </c>
      <c r="C376" s="428">
        <f t="shared" si="391"/>
        <v>14</v>
      </c>
      <c r="D376" s="428">
        <f t="shared" si="392"/>
        <v>14</v>
      </c>
      <c r="E376" s="428">
        <f t="shared" si="393"/>
        <v>14</v>
      </c>
      <c r="F376" s="428">
        <f t="shared" si="394"/>
        <v>14</v>
      </c>
      <c r="G376" s="428">
        <f t="shared" si="395"/>
        <v>15</v>
      </c>
      <c r="H376" s="428">
        <f t="shared" si="396"/>
        <v>15</v>
      </c>
      <c r="I376" s="428">
        <f t="shared" si="397"/>
        <v>15</v>
      </c>
      <c r="J376" s="428">
        <f t="shared" si="398"/>
        <v>15</v>
      </c>
      <c r="K376" s="428">
        <f t="shared" si="399"/>
        <v>15</v>
      </c>
      <c r="L376" s="428">
        <f t="shared" si="400"/>
        <v>16</v>
      </c>
      <c r="M376" s="428">
        <f t="shared" si="401"/>
        <v>16</v>
      </c>
      <c r="N376" s="428">
        <f t="shared" si="402"/>
        <v>17</v>
      </c>
      <c r="O376" s="428">
        <f t="shared" si="403"/>
        <v>17</v>
      </c>
      <c r="P376" s="428">
        <f t="shared" si="404"/>
        <v>18</v>
      </c>
      <c r="Q376" s="428">
        <f t="shared" si="405"/>
        <v>18</v>
      </c>
      <c r="R376" s="428">
        <f t="shared" si="406"/>
        <v>18</v>
      </c>
      <c r="S376" s="428">
        <f t="shared" si="407"/>
        <v>18</v>
      </c>
      <c r="T376" s="428">
        <f t="shared" si="408"/>
        <v>18</v>
      </c>
      <c r="U376" s="428">
        <f t="shared" si="409"/>
        <v>22</v>
      </c>
      <c r="V376" s="428">
        <f t="shared" si="410"/>
        <v>22</v>
      </c>
      <c r="W376" s="428">
        <f t="shared" si="411"/>
        <v>26</v>
      </c>
      <c r="X376" s="428">
        <f t="shared" si="412"/>
        <v>34</v>
      </c>
      <c r="Y376" s="428">
        <f t="shared" si="413"/>
        <v>42</v>
      </c>
      <c r="Z376" s="428" t="s">
        <v>762</v>
      </c>
      <c r="AA376" s="428" t="s">
        <v>762</v>
      </c>
      <c r="AB376" s="428" t="s">
        <v>762</v>
      </c>
      <c r="AC376" s="428" t="s">
        <v>762</v>
      </c>
      <c r="AD376" s="428" t="s">
        <v>762</v>
      </c>
      <c r="AE376" s="428" t="s">
        <v>762</v>
      </c>
      <c r="AF376" s="428" t="s">
        <v>762</v>
      </c>
      <c r="AG376" s="428" t="s">
        <v>762</v>
      </c>
      <c r="AH376" s="428" t="s">
        <v>762</v>
      </c>
      <c r="AI376" s="428" t="s">
        <v>762</v>
      </c>
      <c r="AJ376" s="428" t="s">
        <v>762</v>
      </c>
      <c r="AK376" s="428" t="s">
        <v>762</v>
      </c>
      <c r="AL376" s="428" t="s">
        <v>762</v>
      </c>
      <c r="AM376" s="428" t="s">
        <v>762</v>
      </c>
      <c r="AN376" s="428" t="s">
        <v>762</v>
      </c>
      <c r="AO376" s="428" t="s">
        <v>762</v>
      </c>
      <c r="AP376" s="428" t="s">
        <v>762</v>
      </c>
      <c r="AQ376" s="428" t="s">
        <v>762</v>
      </c>
      <c r="AR376" s="428" t="s">
        <v>762</v>
      </c>
      <c r="AS376" s="428" t="s">
        <v>762</v>
      </c>
      <c r="AT376" s="428" t="s">
        <v>762</v>
      </c>
      <c r="AU376" s="428" t="s">
        <v>762</v>
      </c>
      <c r="AV376" s="428" t="s">
        <v>762</v>
      </c>
      <c r="AW376" s="428" t="s">
        <v>762</v>
      </c>
      <c r="AX376" s="428" t="s">
        <v>762</v>
      </c>
      <c r="AY376" s="428" t="s">
        <v>762</v>
      </c>
      <c r="AZ376" s="428" t="s">
        <v>762</v>
      </c>
      <c r="BA376" s="428" t="s">
        <v>762</v>
      </c>
      <c r="BB376" s="428" t="s">
        <v>762</v>
      </c>
      <c r="BC376" s="428" t="s">
        <v>762</v>
      </c>
      <c r="BD376" s="428" t="s">
        <v>762</v>
      </c>
      <c r="BE376" s="428" t="s">
        <v>762</v>
      </c>
      <c r="BF376" s="428" t="s">
        <v>762</v>
      </c>
      <c r="BG376" s="428" t="s">
        <v>762</v>
      </c>
      <c r="BH376" s="428" t="s">
        <v>762</v>
      </c>
      <c r="BI376" s="428" t="s">
        <v>762</v>
      </c>
      <c r="BJ376" s="428" t="s">
        <v>762</v>
      </c>
      <c r="BK376" s="428" t="s">
        <v>762</v>
      </c>
      <c r="BL376" s="428" t="s">
        <v>762</v>
      </c>
      <c r="BM376" s="428" t="s">
        <v>762</v>
      </c>
      <c r="BN376" s="428" t="s">
        <v>762</v>
      </c>
      <c r="BO376" s="428" t="s">
        <v>762</v>
      </c>
      <c r="BP376" s="428" t="s">
        <v>762</v>
      </c>
      <c r="BQ376" s="428" t="s">
        <v>762</v>
      </c>
      <c r="BR376" s="428" t="s">
        <v>762</v>
      </c>
      <c r="BS376" s="428" t="s">
        <v>762</v>
      </c>
      <c r="BT376" s="428" t="s">
        <v>762</v>
      </c>
      <c r="BU376" s="428" t="s">
        <v>762</v>
      </c>
      <c r="BV376" s="428" t="s">
        <v>762</v>
      </c>
      <c r="BW376" s="428" t="s">
        <v>762</v>
      </c>
      <c r="BX376" s="428" t="s">
        <v>762</v>
      </c>
      <c r="BY376" s="428" t="s">
        <v>762</v>
      </c>
      <c r="BZ376" s="428" t="s">
        <v>762</v>
      </c>
      <c r="CA376" s="428" t="s">
        <v>762</v>
      </c>
      <c r="CB376" s="428" t="s">
        <v>762</v>
      </c>
      <c r="CC376" s="428" t="s">
        <v>762</v>
      </c>
      <c r="CD376" s="428" t="s">
        <v>762</v>
      </c>
      <c r="CE376" s="428" t="s">
        <v>762</v>
      </c>
      <c r="CF376" s="428" t="s">
        <v>762</v>
      </c>
      <c r="CG376" s="428" t="s">
        <v>762</v>
      </c>
      <c r="CH376" s="428" t="s">
        <v>762</v>
      </c>
      <c r="CI376" s="428" t="s">
        <v>762</v>
      </c>
      <c r="CJ376" s="428" t="s">
        <v>762</v>
      </c>
      <c r="CK376" s="428" t="s">
        <v>762</v>
      </c>
      <c r="CL376" s="428" t="s">
        <v>762</v>
      </c>
    </row>
    <row r="377" spans="1:90" s="429" customFormat="1">
      <c r="A377" s="427" t="s">
        <v>543</v>
      </c>
      <c r="B377" s="427" t="s">
        <v>103</v>
      </c>
      <c r="C377" s="428">
        <f t="shared" si="391"/>
        <v>14</v>
      </c>
      <c r="D377" s="428">
        <f t="shared" si="392"/>
        <v>14</v>
      </c>
      <c r="E377" s="428">
        <f t="shared" si="393"/>
        <v>14</v>
      </c>
      <c r="F377" s="428">
        <f t="shared" si="394"/>
        <v>14</v>
      </c>
      <c r="G377" s="428">
        <f t="shared" si="395"/>
        <v>15</v>
      </c>
      <c r="H377" s="428">
        <f t="shared" si="396"/>
        <v>15</v>
      </c>
      <c r="I377" s="428">
        <f t="shared" si="397"/>
        <v>15</v>
      </c>
      <c r="J377" s="428">
        <f t="shared" si="398"/>
        <v>15</v>
      </c>
      <c r="K377" s="428">
        <f t="shared" si="399"/>
        <v>15</v>
      </c>
      <c r="L377" s="428">
        <f t="shared" si="400"/>
        <v>16</v>
      </c>
      <c r="M377" s="428">
        <f t="shared" si="401"/>
        <v>16</v>
      </c>
      <c r="N377" s="428">
        <f t="shared" si="402"/>
        <v>17</v>
      </c>
      <c r="O377" s="428">
        <f t="shared" si="403"/>
        <v>17</v>
      </c>
      <c r="P377" s="428">
        <f t="shared" si="404"/>
        <v>18</v>
      </c>
      <c r="Q377" s="428">
        <f t="shared" si="405"/>
        <v>18</v>
      </c>
      <c r="R377" s="428">
        <f t="shared" si="406"/>
        <v>18</v>
      </c>
      <c r="S377" s="428">
        <f t="shared" si="407"/>
        <v>18</v>
      </c>
      <c r="T377" s="428">
        <f t="shared" si="408"/>
        <v>18</v>
      </c>
      <c r="U377" s="428">
        <f t="shared" si="409"/>
        <v>22</v>
      </c>
      <c r="V377" s="428">
        <f t="shared" si="410"/>
        <v>22</v>
      </c>
      <c r="W377" s="428">
        <f t="shared" si="411"/>
        <v>26</v>
      </c>
      <c r="X377" s="428">
        <f t="shared" si="412"/>
        <v>34</v>
      </c>
      <c r="Y377" s="428">
        <f t="shared" si="413"/>
        <v>42</v>
      </c>
      <c r="Z377" s="428" t="s">
        <v>762</v>
      </c>
      <c r="AA377" s="428" t="s">
        <v>762</v>
      </c>
      <c r="AB377" s="428" t="s">
        <v>762</v>
      </c>
      <c r="AC377" s="428" t="s">
        <v>762</v>
      </c>
      <c r="AD377" s="428" t="s">
        <v>762</v>
      </c>
      <c r="AE377" s="428" t="s">
        <v>762</v>
      </c>
      <c r="AF377" s="428" t="s">
        <v>762</v>
      </c>
      <c r="AG377" s="428" t="s">
        <v>762</v>
      </c>
      <c r="AH377" s="428" t="s">
        <v>762</v>
      </c>
      <c r="AI377" s="428" t="s">
        <v>762</v>
      </c>
      <c r="AJ377" s="428" t="s">
        <v>762</v>
      </c>
      <c r="AK377" s="428" t="s">
        <v>762</v>
      </c>
      <c r="AL377" s="428" t="s">
        <v>762</v>
      </c>
      <c r="AM377" s="428" t="s">
        <v>762</v>
      </c>
      <c r="AN377" s="428" t="s">
        <v>762</v>
      </c>
      <c r="AO377" s="428" t="s">
        <v>762</v>
      </c>
      <c r="AP377" s="428" t="s">
        <v>762</v>
      </c>
      <c r="AQ377" s="428" t="s">
        <v>762</v>
      </c>
      <c r="AR377" s="428" t="s">
        <v>762</v>
      </c>
      <c r="AS377" s="428" t="s">
        <v>762</v>
      </c>
      <c r="AT377" s="428" t="s">
        <v>762</v>
      </c>
      <c r="AU377" s="428" t="s">
        <v>762</v>
      </c>
      <c r="AV377" s="428" t="s">
        <v>762</v>
      </c>
      <c r="AW377" s="428" t="s">
        <v>762</v>
      </c>
      <c r="AX377" s="428" t="s">
        <v>762</v>
      </c>
      <c r="AY377" s="428" t="s">
        <v>762</v>
      </c>
      <c r="AZ377" s="428" t="s">
        <v>762</v>
      </c>
      <c r="BA377" s="428" t="s">
        <v>762</v>
      </c>
      <c r="BB377" s="428" t="s">
        <v>762</v>
      </c>
      <c r="BC377" s="428" t="s">
        <v>762</v>
      </c>
      <c r="BD377" s="428" t="s">
        <v>762</v>
      </c>
      <c r="BE377" s="428" t="s">
        <v>762</v>
      </c>
      <c r="BF377" s="428" t="s">
        <v>762</v>
      </c>
      <c r="BG377" s="428" t="s">
        <v>762</v>
      </c>
      <c r="BH377" s="428" t="s">
        <v>762</v>
      </c>
      <c r="BI377" s="428" t="s">
        <v>762</v>
      </c>
      <c r="BJ377" s="428" t="s">
        <v>762</v>
      </c>
      <c r="BK377" s="428" t="s">
        <v>762</v>
      </c>
      <c r="BL377" s="428" t="s">
        <v>762</v>
      </c>
      <c r="BM377" s="428" t="s">
        <v>762</v>
      </c>
      <c r="BN377" s="428" t="s">
        <v>762</v>
      </c>
      <c r="BO377" s="428" t="s">
        <v>762</v>
      </c>
      <c r="BP377" s="428" t="s">
        <v>762</v>
      </c>
      <c r="BQ377" s="428" t="s">
        <v>762</v>
      </c>
      <c r="BR377" s="428" t="s">
        <v>762</v>
      </c>
      <c r="BS377" s="428" t="s">
        <v>762</v>
      </c>
      <c r="BT377" s="428" t="s">
        <v>762</v>
      </c>
      <c r="BU377" s="428" t="s">
        <v>762</v>
      </c>
      <c r="BV377" s="428" t="s">
        <v>762</v>
      </c>
      <c r="BW377" s="428" t="s">
        <v>762</v>
      </c>
      <c r="BX377" s="428" t="s">
        <v>762</v>
      </c>
      <c r="BY377" s="428" t="s">
        <v>762</v>
      </c>
      <c r="BZ377" s="428" t="s">
        <v>762</v>
      </c>
      <c r="CA377" s="428" t="s">
        <v>762</v>
      </c>
      <c r="CB377" s="428" t="s">
        <v>762</v>
      </c>
      <c r="CC377" s="428" t="s">
        <v>762</v>
      </c>
      <c r="CD377" s="428" t="s">
        <v>762</v>
      </c>
      <c r="CE377" s="428" t="s">
        <v>762</v>
      </c>
      <c r="CF377" s="428" t="s">
        <v>762</v>
      </c>
      <c r="CG377" s="428" t="s">
        <v>762</v>
      </c>
      <c r="CH377" s="428" t="s">
        <v>762</v>
      </c>
      <c r="CI377" s="428" t="s">
        <v>762</v>
      </c>
      <c r="CJ377" s="428" t="s">
        <v>762</v>
      </c>
      <c r="CK377" s="428" t="s">
        <v>762</v>
      </c>
      <c r="CL377" s="428" t="s">
        <v>762</v>
      </c>
    </row>
    <row r="378" spans="1:90" s="429" customFormat="1">
      <c r="A378" s="427" t="s">
        <v>544</v>
      </c>
      <c r="B378" s="427" t="s">
        <v>103</v>
      </c>
      <c r="C378" s="428">
        <f t="shared" si="391"/>
        <v>14</v>
      </c>
      <c r="D378" s="428">
        <f t="shared" si="392"/>
        <v>14</v>
      </c>
      <c r="E378" s="428">
        <f t="shared" si="393"/>
        <v>14</v>
      </c>
      <c r="F378" s="428">
        <f t="shared" si="394"/>
        <v>14</v>
      </c>
      <c r="G378" s="428">
        <f t="shared" si="395"/>
        <v>15</v>
      </c>
      <c r="H378" s="428">
        <f t="shared" si="396"/>
        <v>15</v>
      </c>
      <c r="I378" s="428">
        <f t="shared" si="397"/>
        <v>15</v>
      </c>
      <c r="J378" s="428">
        <f t="shared" si="398"/>
        <v>15</v>
      </c>
      <c r="K378" s="428">
        <f t="shared" si="399"/>
        <v>15</v>
      </c>
      <c r="L378" s="428">
        <f t="shared" si="400"/>
        <v>16</v>
      </c>
      <c r="M378" s="428">
        <f t="shared" si="401"/>
        <v>16</v>
      </c>
      <c r="N378" s="428">
        <f t="shared" si="402"/>
        <v>17</v>
      </c>
      <c r="O378" s="428">
        <f t="shared" si="403"/>
        <v>17</v>
      </c>
      <c r="P378" s="428">
        <f t="shared" si="404"/>
        <v>18</v>
      </c>
      <c r="Q378" s="428">
        <f t="shared" si="405"/>
        <v>18</v>
      </c>
      <c r="R378" s="428">
        <f t="shared" si="406"/>
        <v>18</v>
      </c>
      <c r="S378" s="428">
        <f t="shared" si="407"/>
        <v>18</v>
      </c>
      <c r="T378" s="428">
        <f t="shared" si="408"/>
        <v>18</v>
      </c>
      <c r="U378" s="428">
        <f t="shared" si="409"/>
        <v>22</v>
      </c>
      <c r="V378" s="428">
        <f t="shared" si="410"/>
        <v>22</v>
      </c>
      <c r="W378" s="428">
        <f t="shared" si="411"/>
        <v>26</v>
      </c>
      <c r="X378" s="428">
        <f t="shared" si="412"/>
        <v>34</v>
      </c>
      <c r="Y378" s="428">
        <f t="shared" si="413"/>
        <v>42</v>
      </c>
      <c r="Z378" s="428" t="s">
        <v>762</v>
      </c>
      <c r="AA378" s="428" t="s">
        <v>762</v>
      </c>
      <c r="AB378" s="428" t="s">
        <v>762</v>
      </c>
      <c r="AC378" s="428" t="s">
        <v>762</v>
      </c>
      <c r="AD378" s="428" t="s">
        <v>762</v>
      </c>
      <c r="AE378" s="428" t="s">
        <v>762</v>
      </c>
      <c r="AF378" s="428" t="s">
        <v>762</v>
      </c>
      <c r="AG378" s="428" t="s">
        <v>762</v>
      </c>
      <c r="AH378" s="428" t="s">
        <v>762</v>
      </c>
      <c r="AI378" s="428" t="s">
        <v>762</v>
      </c>
      <c r="AJ378" s="428" t="s">
        <v>762</v>
      </c>
      <c r="AK378" s="428" t="s">
        <v>762</v>
      </c>
      <c r="AL378" s="428" t="s">
        <v>762</v>
      </c>
      <c r="AM378" s="428" t="s">
        <v>762</v>
      </c>
      <c r="AN378" s="428" t="s">
        <v>762</v>
      </c>
      <c r="AO378" s="428" t="s">
        <v>762</v>
      </c>
      <c r="AP378" s="428" t="s">
        <v>762</v>
      </c>
      <c r="AQ378" s="428" t="s">
        <v>762</v>
      </c>
      <c r="AR378" s="428" t="s">
        <v>762</v>
      </c>
      <c r="AS378" s="428" t="s">
        <v>762</v>
      </c>
      <c r="AT378" s="428" t="s">
        <v>762</v>
      </c>
      <c r="AU378" s="428" t="s">
        <v>762</v>
      </c>
      <c r="AV378" s="428" t="s">
        <v>762</v>
      </c>
      <c r="AW378" s="428" t="s">
        <v>762</v>
      </c>
      <c r="AX378" s="428" t="s">
        <v>762</v>
      </c>
      <c r="AY378" s="428" t="s">
        <v>762</v>
      </c>
      <c r="AZ378" s="428" t="s">
        <v>762</v>
      </c>
      <c r="BA378" s="428" t="s">
        <v>762</v>
      </c>
      <c r="BB378" s="428" t="s">
        <v>762</v>
      </c>
      <c r="BC378" s="428" t="s">
        <v>762</v>
      </c>
      <c r="BD378" s="428" t="s">
        <v>762</v>
      </c>
      <c r="BE378" s="428" t="s">
        <v>762</v>
      </c>
      <c r="BF378" s="428" t="s">
        <v>762</v>
      </c>
      <c r="BG378" s="428" t="s">
        <v>762</v>
      </c>
      <c r="BH378" s="428" t="s">
        <v>762</v>
      </c>
      <c r="BI378" s="428" t="s">
        <v>762</v>
      </c>
      <c r="BJ378" s="428" t="s">
        <v>762</v>
      </c>
      <c r="BK378" s="428" t="s">
        <v>762</v>
      </c>
      <c r="BL378" s="428" t="s">
        <v>762</v>
      </c>
      <c r="BM378" s="428" t="s">
        <v>762</v>
      </c>
      <c r="BN378" s="428" t="s">
        <v>762</v>
      </c>
      <c r="BO378" s="428" t="s">
        <v>762</v>
      </c>
      <c r="BP378" s="428" t="s">
        <v>762</v>
      </c>
      <c r="BQ378" s="428" t="s">
        <v>762</v>
      </c>
      <c r="BR378" s="428" t="s">
        <v>762</v>
      </c>
      <c r="BS378" s="428" t="s">
        <v>762</v>
      </c>
      <c r="BT378" s="428" t="s">
        <v>762</v>
      </c>
      <c r="BU378" s="428" t="s">
        <v>762</v>
      </c>
      <c r="BV378" s="428" t="s">
        <v>762</v>
      </c>
      <c r="BW378" s="428" t="s">
        <v>762</v>
      </c>
      <c r="BX378" s="428" t="s">
        <v>762</v>
      </c>
      <c r="BY378" s="428" t="s">
        <v>762</v>
      </c>
      <c r="BZ378" s="428" t="s">
        <v>762</v>
      </c>
      <c r="CA378" s="428" t="s">
        <v>762</v>
      </c>
      <c r="CB378" s="428" t="s">
        <v>762</v>
      </c>
      <c r="CC378" s="428" t="s">
        <v>762</v>
      </c>
      <c r="CD378" s="428" t="s">
        <v>762</v>
      </c>
      <c r="CE378" s="428" t="s">
        <v>762</v>
      </c>
      <c r="CF378" s="428" t="s">
        <v>762</v>
      </c>
      <c r="CG378" s="428" t="s">
        <v>762</v>
      </c>
      <c r="CH378" s="428" t="s">
        <v>762</v>
      </c>
      <c r="CI378" s="428" t="s">
        <v>762</v>
      </c>
      <c r="CJ378" s="428" t="s">
        <v>762</v>
      </c>
      <c r="CK378" s="428" t="s">
        <v>762</v>
      </c>
      <c r="CL378" s="428" t="s">
        <v>762</v>
      </c>
    </row>
    <row r="379" spans="1:90" s="429" customFormat="1">
      <c r="A379" s="427" t="s">
        <v>545</v>
      </c>
      <c r="B379" s="427" t="s">
        <v>103</v>
      </c>
      <c r="C379" s="428">
        <f t="shared" si="391"/>
        <v>14</v>
      </c>
      <c r="D379" s="428">
        <f t="shared" si="392"/>
        <v>14</v>
      </c>
      <c r="E379" s="428">
        <f t="shared" si="393"/>
        <v>14</v>
      </c>
      <c r="F379" s="428">
        <f t="shared" si="394"/>
        <v>14</v>
      </c>
      <c r="G379" s="428">
        <f t="shared" si="395"/>
        <v>15</v>
      </c>
      <c r="H379" s="428">
        <f t="shared" si="396"/>
        <v>15</v>
      </c>
      <c r="I379" s="428">
        <f t="shared" si="397"/>
        <v>15</v>
      </c>
      <c r="J379" s="428">
        <f t="shared" si="398"/>
        <v>15</v>
      </c>
      <c r="K379" s="428">
        <f t="shared" si="399"/>
        <v>15</v>
      </c>
      <c r="L379" s="428">
        <f t="shared" si="400"/>
        <v>16</v>
      </c>
      <c r="M379" s="428">
        <f t="shared" si="401"/>
        <v>16</v>
      </c>
      <c r="N379" s="428">
        <f t="shared" si="402"/>
        <v>17</v>
      </c>
      <c r="O379" s="428">
        <f t="shared" si="403"/>
        <v>17</v>
      </c>
      <c r="P379" s="428">
        <f t="shared" si="404"/>
        <v>18</v>
      </c>
      <c r="Q379" s="428">
        <f t="shared" si="405"/>
        <v>18</v>
      </c>
      <c r="R379" s="428">
        <f t="shared" si="406"/>
        <v>18</v>
      </c>
      <c r="S379" s="428">
        <f t="shared" si="407"/>
        <v>18</v>
      </c>
      <c r="T379" s="428">
        <f t="shared" si="408"/>
        <v>18</v>
      </c>
      <c r="U379" s="428">
        <f t="shared" si="409"/>
        <v>22</v>
      </c>
      <c r="V379" s="428">
        <f t="shared" si="410"/>
        <v>22</v>
      </c>
      <c r="W379" s="428">
        <f t="shared" si="411"/>
        <v>26</v>
      </c>
      <c r="X379" s="428">
        <f t="shared" si="412"/>
        <v>34</v>
      </c>
      <c r="Y379" s="428">
        <f t="shared" si="413"/>
        <v>42</v>
      </c>
      <c r="Z379" s="428" t="s">
        <v>762</v>
      </c>
      <c r="AA379" s="428" t="s">
        <v>762</v>
      </c>
      <c r="AB379" s="428" t="s">
        <v>762</v>
      </c>
      <c r="AC379" s="428" t="s">
        <v>762</v>
      </c>
      <c r="AD379" s="428" t="s">
        <v>762</v>
      </c>
      <c r="AE379" s="428" t="s">
        <v>762</v>
      </c>
      <c r="AF379" s="428" t="s">
        <v>762</v>
      </c>
      <c r="AG379" s="428" t="s">
        <v>762</v>
      </c>
      <c r="AH379" s="428" t="s">
        <v>762</v>
      </c>
      <c r="AI379" s="428" t="s">
        <v>762</v>
      </c>
      <c r="AJ379" s="428" t="s">
        <v>762</v>
      </c>
      <c r="AK379" s="428" t="s">
        <v>762</v>
      </c>
      <c r="AL379" s="428" t="s">
        <v>762</v>
      </c>
      <c r="AM379" s="428" t="s">
        <v>762</v>
      </c>
      <c r="AN379" s="428" t="s">
        <v>762</v>
      </c>
      <c r="AO379" s="428" t="s">
        <v>762</v>
      </c>
      <c r="AP379" s="428" t="s">
        <v>762</v>
      </c>
      <c r="AQ379" s="428" t="s">
        <v>762</v>
      </c>
      <c r="AR379" s="428" t="s">
        <v>762</v>
      </c>
      <c r="AS379" s="428" t="s">
        <v>762</v>
      </c>
      <c r="AT379" s="428" t="s">
        <v>762</v>
      </c>
      <c r="AU379" s="428" t="s">
        <v>762</v>
      </c>
      <c r="AV379" s="428" t="s">
        <v>762</v>
      </c>
      <c r="AW379" s="428" t="s">
        <v>762</v>
      </c>
      <c r="AX379" s="428" t="s">
        <v>762</v>
      </c>
      <c r="AY379" s="428" t="s">
        <v>762</v>
      </c>
      <c r="AZ379" s="428" t="s">
        <v>762</v>
      </c>
      <c r="BA379" s="428" t="s">
        <v>762</v>
      </c>
      <c r="BB379" s="428" t="s">
        <v>762</v>
      </c>
      <c r="BC379" s="428" t="s">
        <v>762</v>
      </c>
      <c r="BD379" s="428" t="s">
        <v>762</v>
      </c>
      <c r="BE379" s="428" t="s">
        <v>762</v>
      </c>
      <c r="BF379" s="428" t="s">
        <v>762</v>
      </c>
      <c r="BG379" s="428" t="s">
        <v>762</v>
      </c>
      <c r="BH379" s="428" t="s">
        <v>762</v>
      </c>
      <c r="BI379" s="428" t="s">
        <v>762</v>
      </c>
      <c r="BJ379" s="428" t="s">
        <v>762</v>
      </c>
      <c r="BK379" s="428" t="s">
        <v>762</v>
      </c>
      <c r="BL379" s="428" t="s">
        <v>762</v>
      </c>
      <c r="BM379" s="428" t="s">
        <v>762</v>
      </c>
      <c r="BN379" s="428" t="s">
        <v>762</v>
      </c>
      <c r="BO379" s="428" t="s">
        <v>762</v>
      </c>
      <c r="BP379" s="428" t="s">
        <v>762</v>
      </c>
      <c r="BQ379" s="428" t="s">
        <v>762</v>
      </c>
      <c r="BR379" s="428" t="s">
        <v>762</v>
      </c>
      <c r="BS379" s="428" t="s">
        <v>762</v>
      </c>
      <c r="BT379" s="428" t="s">
        <v>762</v>
      </c>
      <c r="BU379" s="428" t="s">
        <v>762</v>
      </c>
      <c r="BV379" s="428" t="s">
        <v>762</v>
      </c>
      <c r="BW379" s="428" t="s">
        <v>762</v>
      </c>
      <c r="BX379" s="428" t="s">
        <v>762</v>
      </c>
      <c r="BY379" s="428" t="s">
        <v>762</v>
      </c>
      <c r="BZ379" s="428" t="s">
        <v>762</v>
      </c>
      <c r="CA379" s="428" t="s">
        <v>762</v>
      </c>
      <c r="CB379" s="428" t="s">
        <v>762</v>
      </c>
      <c r="CC379" s="428" t="s">
        <v>762</v>
      </c>
      <c r="CD379" s="428" t="s">
        <v>762</v>
      </c>
      <c r="CE379" s="428" t="s">
        <v>762</v>
      </c>
      <c r="CF379" s="428" t="s">
        <v>762</v>
      </c>
      <c r="CG379" s="428" t="s">
        <v>762</v>
      </c>
      <c r="CH379" s="428" t="s">
        <v>762</v>
      </c>
      <c r="CI379" s="428" t="s">
        <v>762</v>
      </c>
      <c r="CJ379" s="428" t="s">
        <v>762</v>
      </c>
      <c r="CK379" s="428" t="s">
        <v>762</v>
      </c>
      <c r="CL379" s="428" t="s">
        <v>762</v>
      </c>
    </row>
    <row r="380" spans="1:90" s="429" customFormat="1">
      <c r="A380" s="427" t="s">
        <v>546</v>
      </c>
      <c r="B380" s="427" t="s">
        <v>103</v>
      </c>
      <c r="C380" s="428">
        <f t="shared" si="391"/>
        <v>14</v>
      </c>
      <c r="D380" s="428">
        <f t="shared" si="392"/>
        <v>14</v>
      </c>
      <c r="E380" s="428">
        <f t="shared" si="393"/>
        <v>14</v>
      </c>
      <c r="F380" s="428">
        <f t="shared" si="394"/>
        <v>14</v>
      </c>
      <c r="G380" s="428">
        <f t="shared" si="395"/>
        <v>15</v>
      </c>
      <c r="H380" s="428">
        <f t="shared" si="396"/>
        <v>15</v>
      </c>
      <c r="I380" s="428">
        <f t="shared" si="397"/>
        <v>15</v>
      </c>
      <c r="J380" s="428">
        <f t="shared" si="398"/>
        <v>15</v>
      </c>
      <c r="K380" s="428">
        <f t="shared" si="399"/>
        <v>15</v>
      </c>
      <c r="L380" s="428">
        <f t="shared" si="400"/>
        <v>16</v>
      </c>
      <c r="M380" s="428">
        <f t="shared" si="401"/>
        <v>16</v>
      </c>
      <c r="N380" s="428">
        <f t="shared" si="402"/>
        <v>17</v>
      </c>
      <c r="O380" s="428">
        <f t="shared" si="403"/>
        <v>17</v>
      </c>
      <c r="P380" s="428">
        <f t="shared" si="404"/>
        <v>18</v>
      </c>
      <c r="Q380" s="428">
        <f t="shared" si="405"/>
        <v>18</v>
      </c>
      <c r="R380" s="428">
        <f t="shared" si="406"/>
        <v>18</v>
      </c>
      <c r="S380" s="428">
        <f t="shared" si="407"/>
        <v>18</v>
      </c>
      <c r="T380" s="428">
        <f t="shared" si="408"/>
        <v>18</v>
      </c>
      <c r="U380" s="428">
        <f t="shared" si="409"/>
        <v>22</v>
      </c>
      <c r="V380" s="428">
        <f t="shared" si="410"/>
        <v>22</v>
      </c>
      <c r="W380" s="428">
        <f t="shared" si="411"/>
        <v>26</v>
      </c>
      <c r="X380" s="428">
        <f t="shared" si="412"/>
        <v>34</v>
      </c>
      <c r="Y380" s="428">
        <f t="shared" si="413"/>
        <v>42</v>
      </c>
      <c r="Z380" s="428" t="s">
        <v>762</v>
      </c>
      <c r="AA380" s="428" t="s">
        <v>762</v>
      </c>
      <c r="AB380" s="428" t="s">
        <v>762</v>
      </c>
      <c r="AC380" s="428" t="s">
        <v>762</v>
      </c>
      <c r="AD380" s="428" t="s">
        <v>762</v>
      </c>
      <c r="AE380" s="428" t="s">
        <v>762</v>
      </c>
      <c r="AF380" s="428" t="s">
        <v>762</v>
      </c>
      <c r="AG380" s="428" t="s">
        <v>762</v>
      </c>
      <c r="AH380" s="428" t="s">
        <v>762</v>
      </c>
      <c r="AI380" s="428" t="s">
        <v>762</v>
      </c>
      <c r="AJ380" s="428" t="s">
        <v>762</v>
      </c>
      <c r="AK380" s="428" t="s">
        <v>762</v>
      </c>
      <c r="AL380" s="428" t="s">
        <v>762</v>
      </c>
      <c r="AM380" s="428" t="s">
        <v>762</v>
      </c>
      <c r="AN380" s="428" t="s">
        <v>762</v>
      </c>
      <c r="AO380" s="428" t="s">
        <v>762</v>
      </c>
      <c r="AP380" s="428" t="s">
        <v>762</v>
      </c>
      <c r="AQ380" s="428" t="s">
        <v>762</v>
      </c>
      <c r="AR380" s="428" t="s">
        <v>762</v>
      </c>
      <c r="AS380" s="428" t="s">
        <v>762</v>
      </c>
      <c r="AT380" s="428" t="s">
        <v>762</v>
      </c>
      <c r="AU380" s="428" t="s">
        <v>762</v>
      </c>
      <c r="AV380" s="428" t="s">
        <v>762</v>
      </c>
      <c r="AW380" s="428" t="s">
        <v>762</v>
      </c>
      <c r="AX380" s="428" t="s">
        <v>762</v>
      </c>
      <c r="AY380" s="428" t="s">
        <v>762</v>
      </c>
      <c r="AZ380" s="428" t="s">
        <v>762</v>
      </c>
      <c r="BA380" s="428" t="s">
        <v>762</v>
      </c>
      <c r="BB380" s="428" t="s">
        <v>762</v>
      </c>
      <c r="BC380" s="428" t="s">
        <v>762</v>
      </c>
      <c r="BD380" s="428" t="s">
        <v>762</v>
      </c>
      <c r="BE380" s="428" t="s">
        <v>762</v>
      </c>
      <c r="BF380" s="428" t="s">
        <v>762</v>
      </c>
      <c r="BG380" s="428" t="s">
        <v>762</v>
      </c>
      <c r="BH380" s="428" t="s">
        <v>762</v>
      </c>
      <c r="BI380" s="428" t="s">
        <v>762</v>
      </c>
      <c r="BJ380" s="428" t="s">
        <v>762</v>
      </c>
      <c r="BK380" s="428" t="s">
        <v>762</v>
      </c>
      <c r="BL380" s="428" t="s">
        <v>762</v>
      </c>
      <c r="BM380" s="428" t="s">
        <v>762</v>
      </c>
      <c r="BN380" s="428" t="s">
        <v>762</v>
      </c>
      <c r="BO380" s="428" t="s">
        <v>762</v>
      </c>
      <c r="BP380" s="428" t="s">
        <v>762</v>
      </c>
      <c r="BQ380" s="428" t="s">
        <v>762</v>
      </c>
      <c r="BR380" s="428" t="s">
        <v>762</v>
      </c>
      <c r="BS380" s="428" t="s">
        <v>762</v>
      </c>
      <c r="BT380" s="428" t="s">
        <v>762</v>
      </c>
      <c r="BU380" s="428" t="s">
        <v>762</v>
      </c>
      <c r="BV380" s="428" t="s">
        <v>762</v>
      </c>
      <c r="BW380" s="428" t="s">
        <v>762</v>
      </c>
      <c r="BX380" s="428" t="s">
        <v>762</v>
      </c>
      <c r="BY380" s="428" t="s">
        <v>762</v>
      </c>
      <c r="BZ380" s="428" t="s">
        <v>762</v>
      </c>
      <c r="CA380" s="428" t="s">
        <v>762</v>
      </c>
      <c r="CB380" s="428" t="s">
        <v>762</v>
      </c>
      <c r="CC380" s="428" t="s">
        <v>762</v>
      </c>
      <c r="CD380" s="428" t="s">
        <v>762</v>
      </c>
      <c r="CE380" s="428" t="s">
        <v>762</v>
      </c>
      <c r="CF380" s="428" t="s">
        <v>762</v>
      </c>
      <c r="CG380" s="428" t="s">
        <v>762</v>
      </c>
      <c r="CH380" s="428" t="s">
        <v>762</v>
      </c>
      <c r="CI380" s="428" t="s">
        <v>762</v>
      </c>
      <c r="CJ380" s="428" t="s">
        <v>762</v>
      </c>
      <c r="CK380" s="428" t="s">
        <v>762</v>
      </c>
      <c r="CL380" s="428" t="s">
        <v>762</v>
      </c>
    </row>
    <row r="381" spans="1:90" s="429" customFormat="1">
      <c r="A381" s="427" t="s">
        <v>547</v>
      </c>
      <c r="B381" s="427" t="s">
        <v>103</v>
      </c>
      <c r="C381" s="428">
        <f t="shared" si="391"/>
        <v>14</v>
      </c>
      <c r="D381" s="428">
        <f t="shared" si="392"/>
        <v>14</v>
      </c>
      <c r="E381" s="428">
        <f t="shared" si="393"/>
        <v>14</v>
      </c>
      <c r="F381" s="428">
        <f t="shared" si="394"/>
        <v>14</v>
      </c>
      <c r="G381" s="428">
        <f t="shared" si="395"/>
        <v>15</v>
      </c>
      <c r="H381" s="428">
        <f t="shared" si="396"/>
        <v>15</v>
      </c>
      <c r="I381" s="428">
        <f t="shared" si="397"/>
        <v>15</v>
      </c>
      <c r="J381" s="428">
        <f t="shared" si="398"/>
        <v>15</v>
      </c>
      <c r="K381" s="428">
        <f t="shared" si="399"/>
        <v>15</v>
      </c>
      <c r="L381" s="428">
        <f t="shared" si="400"/>
        <v>16</v>
      </c>
      <c r="M381" s="428">
        <f t="shared" si="401"/>
        <v>16</v>
      </c>
      <c r="N381" s="428">
        <f t="shared" si="402"/>
        <v>17</v>
      </c>
      <c r="O381" s="428">
        <f t="shared" si="403"/>
        <v>17</v>
      </c>
      <c r="P381" s="428">
        <f t="shared" si="404"/>
        <v>18</v>
      </c>
      <c r="Q381" s="428">
        <f t="shared" si="405"/>
        <v>18</v>
      </c>
      <c r="R381" s="428">
        <f t="shared" si="406"/>
        <v>18</v>
      </c>
      <c r="S381" s="428">
        <f t="shared" si="407"/>
        <v>18</v>
      </c>
      <c r="T381" s="428">
        <f t="shared" si="408"/>
        <v>18</v>
      </c>
      <c r="U381" s="428">
        <f t="shared" si="409"/>
        <v>22</v>
      </c>
      <c r="V381" s="428">
        <f t="shared" si="410"/>
        <v>22</v>
      </c>
      <c r="W381" s="428">
        <f t="shared" si="411"/>
        <v>26</v>
      </c>
      <c r="X381" s="428">
        <f t="shared" si="412"/>
        <v>34</v>
      </c>
      <c r="Y381" s="428">
        <f t="shared" si="413"/>
        <v>42</v>
      </c>
      <c r="Z381" s="428" t="s">
        <v>762</v>
      </c>
      <c r="AA381" s="428" t="s">
        <v>762</v>
      </c>
      <c r="AB381" s="428" t="s">
        <v>762</v>
      </c>
      <c r="AC381" s="428" t="s">
        <v>762</v>
      </c>
      <c r="AD381" s="428" t="s">
        <v>762</v>
      </c>
      <c r="AE381" s="428" t="s">
        <v>762</v>
      </c>
      <c r="AF381" s="428" t="s">
        <v>762</v>
      </c>
      <c r="AG381" s="428" t="s">
        <v>762</v>
      </c>
      <c r="AH381" s="428" t="s">
        <v>762</v>
      </c>
      <c r="AI381" s="428" t="s">
        <v>762</v>
      </c>
      <c r="AJ381" s="428" t="s">
        <v>762</v>
      </c>
      <c r="AK381" s="428" t="s">
        <v>762</v>
      </c>
      <c r="AL381" s="428" t="s">
        <v>762</v>
      </c>
      <c r="AM381" s="428" t="s">
        <v>762</v>
      </c>
      <c r="AN381" s="428" t="s">
        <v>762</v>
      </c>
      <c r="AO381" s="428" t="s">
        <v>762</v>
      </c>
      <c r="AP381" s="428" t="s">
        <v>762</v>
      </c>
      <c r="AQ381" s="428" t="s">
        <v>762</v>
      </c>
      <c r="AR381" s="428" t="s">
        <v>762</v>
      </c>
      <c r="AS381" s="428" t="s">
        <v>762</v>
      </c>
      <c r="AT381" s="428" t="s">
        <v>762</v>
      </c>
      <c r="AU381" s="428" t="s">
        <v>762</v>
      </c>
      <c r="AV381" s="428" t="s">
        <v>762</v>
      </c>
      <c r="AW381" s="428" t="s">
        <v>762</v>
      </c>
      <c r="AX381" s="428" t="s">
        <v>762</v>
      </c>
      <c r="AY381" s="428" t="s">
        <v>762</v>
      </c>
      <c r="AZ381" s="428" t="s">
        <v>762</v>
      </c>
      <c r="BA381" s="428" t="s">
        <v>762</v>
      </c>
      <c r="BB381" s="428" t="s">
        <v>762</v>
      </c>
      <c r="BC381" s="428" t="s">
        <v>762</v>
      </c>
      <c r="BD381" s="428" t="s">
        <v>762</v>
      </c>
      <c r="BE381" s="428" t="s">
        <v>762</v>
      </c>
      <c r="BF381" s="428" t="s">
        <v>762</v>
      </c>
      <c r="BG381" s="428" t="s">
        <v>762</v>
      </c>
      <c r="BH381" s="428" t="s">
        <v>762</v>
      </c>
      <c r="BI381" s="428" t="s">
        <v>762</v>
      </c>
      <c r="BJ381" s="428" t="s">
        <v>762</v>
      </c>
      <c r="BK381" s="428" t="s">
        <v>762</v>
      </c>
      <c r="BL381" s="428" t="s">
        <v>762</v>
      </c>
      <c r="BM381" s="428" t="s">
        <v>762</v>
      </c>
      <c r="BN381" s="428" t="s">
        <v>762</v>
      </c>
      <c r="BO381" s="428" t="s">
        <v>762</v>
      </c>
      <c r="BP381" s="428" t="s">
        <v>762</v>
      </c>
      <c r="BQ381" s="428" t="s">
        <v>762</v>
      </c>
      <c r="BR381" s="428" t="s">
        <v>762</v>
      </c>
      <c r="BS381" s="428" t="s">
        <v>762</v>
      </c>
      <c r="BT381" s="428" t="s">
        <v>762</v>
      </c>
      <c r="BU381" s="428" t="s">
        <v>762</v>
      </c>
      <c r="BV381" s="428" t="s">
        <v>762</v>
      </c>
      <c r="BW381" s="428" t="s">
        <v>762</v>
      </c>
      <c r="BX381" s="428" t="s">
        <v>762</v>
      </c>
      <c r="BY381" s="428" t="s">
        <v>762</v>
      </c>
      <c r="BZ381" s="428" t="s">
        <v>762</v>
      </c>
      <c r="CA381" s="428" t="s">
        <v>762</v>
      </c>
      <c r="CB381" s="428" t="s">
        <v>762</v>
      </c>
      <c r="CC381" s="428" t="s">
        <v>762</v>
      </c>
      <c r="CD381" s="428" t="s">
        <v>762</v>
      </c>
      <c r="CE381" s="428" t="s">
        <v>762</v>
      </c>
      <c r="CF381" s="428" t="s">
        <v>762</v>
      </c>
      <c r="CG381" s="428" t="s">
        <v>762</v>
      </c>
      <c r="CH381" s="428" t="s">
        <v>762</v>
      </c>
      <c r="CI381" s="428" t="s">
        <v>762</v>
      </c>
      <c r="CJ381" s="428" t="s">
        <v>762</v>
      </c>
      <c r="CK381" s="428" t="s">
        <v>762</v>
      </c>
      <c r="CL381" s="428" t="s">
        <v>762</v>
      </c>
    </row>
    <row r="382" spans="1:90" s="429" customFormat="1">
      <c r="A382" s="427" t="s">
        <v>548</v>
      </c>
      <c r="B382" s="427" t="s">
        <v>103</v>
      </c>
      <c r="C382" s="428">
        <f t="shared" si="391"/>
        <v>14</v>
      </c>
      <c r="D382" s="428">
        <f t="shared" si="392"/>
        <v>14</v>
      </c>
      <c r="E382" s="428">
        <f t="shared" si="393"/>
        <v>14</v>
      </c>
      <c r="F382" s="428">
        <f t="shared" si="394"/>
        <v>14</v>
      </c>
      <c r="G382" s="428">
        <f t="shared" si="395"/>
        <v>15</v>
      </c>
      <c r="H382" s="428">
        <f t="shared" si="396"/>
        <v>15</v>
      </c>
      <c r="I382" s="428">
        <f t="shared" si="397"/>
        <v>15</v>
      </c>
      <c r="J382" s="428">
        <f t="shared" si="398"/>
        <v>15</v>
      </c>
      <c r="K382" s="428">
        <f t="shared" si="399"/>
        <v>15</v>
      </c>
      <c r="L382" s="428">
        <f t="shared" si="400"/>
        <v>16</v>
      </c>
      <c r="M382" s="428">
        <f t="shared" si="401"/>
        <v>16</v>
      </c>
      <c r="N382" s="428">
        <f t="shared" si="402"/>
        <v>17</v>
      </c>
      <c r="O382" s="428">
        <f t="shared" si="403"/>
        <v>17</v>
      </c>
      <c r="P382" s="428">
        <f t="shared" si="404"/>
        <v>18</v>
      </c>
      <c r="Q382" s="428">
        <f t="shared" si="405"/>
        <v>18</v>
      </c>
      <c r="R382" s="428">
        <f t="shared" si="406"/>
        <v>18</v>
      </c>
      <c r="S382" s="428">
        <f t="shared" si="407"/>
        <v>18</v>
      </c>
      <c r="T382" s="428">
        <f t="shared" si="408"/>
        <v>18</v>
      </c>
      <c r="U382" s="428">
        <f t="shared" si="409"/>
        <v>22</v>
      </c>
      <c r="V382" s="428">
        <f t="shared" si="410"/>
        <v>22</v>
      </c>
      <c r="W382" s="428">
        <f t="shared" si="411"/>
        <v>26</v>
      </c>
      <c r="X382" s="428">
        <f t="shared" si="412"/>
        <v>34</v>
      </c>
      <c r="Y382" s="428">
        <f t="shared" si="413"/>
        <v>42</v>
      </c>
      <c r="Z382" s="428" t="s">
        <v>762</v>
      </c>
      <c r="AA382" s="428" t="s">
        <v>762</v>
      </c>
      <c r="AB382" s="428" t="s">
        <v>762</v>
      </c>
      <c r="AC382" s="428" t="s">
        <v>762</v>
      </c>
      <c r="AD382" s="428" t="s">
        <v>762</v>
      </c>
      <c r="AE382" s="428" t="s">
        <v>762</v>
      </c>
      <c r="AF382" s="428" t="s">
        <v>762</v>
      </c>
      <c r="AG382" s="428" t="s">
        <v>762</v>
      </c>
      <c r="AH382" s="428" t="s">
        <v>762</v>
      </c>
      <c r="AI382" s="428" t="s">
        <v>762</v>
      </c>
      <c r="AJ382" s="428" t="s">
        <v>762</v>
      </c>
      <c r="AK382" s="428" t="s">
        <v>762</v>
      </c>
      <c r="AL382" s="428" t="s">
        <v>762</v>
      </c>
      <c r="AM382" s="428" t="s">
        <v>762</v>
      </c>
      <c r="AN382" s="428" t="s">
        <v>762</v>
      </c>
      <c r="AO382" s="428" t="s">
        <v>762</v>
      </c>
      <c r="AP382" s="428" t="s">
        <v>762</v>
      </c>
      <c r="AQ382" s="428" t="s">
        <v>762</v>
      </c>
      <c r="AR382" s="428" t="s">
        <v>762</v>
      </c>
      <c r="AS382" s="428" t="s">
        <v>762</v>
      </c>
      <c r="AT382" s="428" t="s">
        <v>762</v>
      </c>
      <c r="AU382" s="428" t="s">
        <v>762</v>
      </c>
      <c r="AV382" s="428" t="s">
        <v>762</v>
      </c>
      <c r="AW382" s="428" t="s">
        <v>762</v>
      </c>
      <c r="AX382" s="428" t="s">
        <v>762</v>
      </c>
      <c r="AY382" s="428" t="s">
        <v>762</v>
      </c>
      <c r="AZ382" s="428" t="s">
        <v>762</v>
      </c>
      <c r="BA382" s="428" t="s">
        <v>762</v>
      </c>
      <c r="BB382" s="428" t="s">
        <v>762</v>
      </c>
      <c r="BC382" s="428" t="s">
        <v>762</v>
      </c>
      <c r="BD382" s="428" t="s">
        <v>762</v>
      </c>
      <c r="BE382" s="428" t="s">
        <v>762</v>
      </c>
      <c r="BF382" s="428" t="s">
        <v>762</v>
      </c>
      <c r="BG382" s="428" t="s">
        <v>762</v>
      </c>
      <c r="BH382" s="428" t="s">
        <v>762</v>
      </c>
      <c r="BI382" s="428" t="s">
        <v>762</v>
      </c>
      <c r="BJ382" s="428" t="s">
        <v>762</v>
      </c>
      <c r="BK382" s="428" t="s">
        <v>762</v>
      </c>
      <c r="BL382" s="428" t="s">
        <v>762</v>
      </c>
      <c r="BM382" s="428" t="s">
        <v>762</v>
      </c>
      <c r="BN382" s="428" t="s">
        <v>762</v>
      </c>
      <c r="BO382" s="428" t="s">
        <v>762</v>
      </c>
      <c r="BP382" s="428" t="s">
        <v>762</v>
      </c>
      <c r="BQ382" s="428" t="s">
        <v>762</v>
      </c>
      <c r="BR382" s="428" t="s">
        <v>762</v>
      </c>
      <c r="BS382" s="428" t="s">
        <v>762</v>
      </c>
      <c r="BT382" s="428" t="s">
        <v>762</v>
      </c>
      <c r="BU382" s="428" t="s">
        <v>762</v>
      </c>
      <c r="BV382" s="428" t="s">
        <v>762</v>
      </c>
      <c r="BW382" s="428" t="s">
        <v>762</v>
      </c>
      <c r="BX382" s="428" t="s">
        <v>762</v>
      </c>
      <c r="BY382" s="428" t="s">
        <v>762</v>
      </c>
      <c r="BZ382" s="428" t="s">
        <v>762</v>
      </c>
      <c r="CA382" s="428" t="s">
        <v>762</v>
      </c>
      <c r="CB382" s="428" t="s">
        <v>762</v>
      </c>
      <c r="CC382" s="428" t="s">
        <v>762</v>
      </c>
      <c r="CD382" s="428" t="s">
        <v>762</v>
      </c>
      <c r="CE382" s="428" t="s">
        <v>762</v>
      </c>
      <c r="CF382" s="428" t="s">
        <v>762</v>
      </c>
      <c r="CG382" s="428" t="s">
        <v>762</v>
      </c>
      <c r="CH382" s="428" t="s">
        <v>762</v>
      </c>
      <c r="CI382" s="428" t="s">
        <v>762</v>
      </c>
      <c r="CJ382" s="428" t="s">
        <v>762</v>
      </c>
      <c r="CK382" s="428" t="s">
        <v>762</v>
      </c>
      <c r="CL382" s="428" t="s">
        <v>762</v>
      </c>
    </row>
    <row r="383" spans="1:90" s="429" customFormat="1">
      <c r="A383" s="427" t="s">
        <v>549</v>
      </c>
      <c r="B383" s="427" t="s">
        <v>103</v>
      </c>
      <c r="C383" s="428">
        <f t="shared" si="391"/>
        <v>14</v>
      </c>
      <c r="D383" s="428">
        <f t="shared" si="392"/>
        <v>14</v>
      </c>
      <c r="E383" s="428">
        <f t="shared" si="393"/>
        <v>14</v>
      </c>
      <c r="F383" s="428">
        <f t="shared" si="394"/>
        <v>14</v>
      </c>
      <c r="G383" s="428">
        <f t="shared" si="395"/>
        <v>15</v>
      </c>
      <c r="H383" s="428">
        <f t="shared" si="396"/>
        <v>15</v>
      </c>
      <c r="I383" s="428">
        <f t="shared" si="397"/>
        <v>15</v>
      </c>
      <c r="J383" s="428">
        <f t="shared" si="398"/>
        <v>15</v>
      </c>
      <c r="K383" s="428">
        <f t="shared" si="399"/>
        <v>15</v>
      </c>
      <c r="L383" s="428">
        <f t="shared" si="400"/>
        <v>16</v>
      </c>
      <c r="M383" s="428">
        <f t="shared" si="401"/>
        <v>16</v>
      </c>
      <c r="N383" s="428">
        <f t="shared" si="402"/>
        <v>17</v>
      </c>
      <c r="O383" s="428">
        <f t="shared" si="403"/>
        <v>17</v>
      </c>
      <c r="P383" s="428">
        <f t="shared" si="404"/>
        <v>18</v>
      </c>
      <c r="Q383" s="428">
        <f t="shared" si="405"/>
        <v>18</v>
      </c>
      <c r="R383" s="428">
        <f t="shared" si="406"/>
        <v>18</v>
      </c>
      <c r="S383" s="428">
        <f t="shared" si="407"/>
        <v>18</v>
      </c>
      <c r="T383" s="428">
        <f t="shared" si="408"/>
        <v>18</v>
      </c>
      <c r="U383" s="428">
        <f t="shared" si="409"/>
        <v>22</v>
      </c>
      <c r="V383" s="428">
        <f t="shared" si="410"/>
        <v>22</v>
      </c>
      <c r="W383" s="428">
        <f t="shared" si="411"/>
        <v>26</v>
      </c>
      <c r="X383" s="428">
        <f t="shared" si="412"/>
        <v>34</v>
      </c>
      <c r="Y383" s="428">
        <f t="shared" si="413"/>
        <v>42</v>
      </c>
      <c r="Z383" s="428" t="s">
        <v>762</v>
      </c>
      <c r="AA383" s="428" t="s">
        <v>762</v>
      </c>
      <c r="AB383" s="428" t="s">
        <v>762</v>
      </c>
      <c r="AC383" s="428" t="s">
        <v>762</v>
      </c>
      <c r="AD383" s="428" t="s">
        <v>762</v>
      </c>
      <c r="AE383" s="428" t="s">
        <v>762</v>
      </c>
      <c r="AF383" s="428" t="s">
        <v>762</v>
      </c>
      <c r="AG383" s="428" t="s">
        <v>762</v>
      </c>
      <c r="AH383" s="428" t="s">
        <v>762</v>
      </c>
      <c r="AI383" s="428" t="s">
        <v>762</v>
      </c>
      <c r="AJ383" s="428" t="s">
        <v>762</v>
      </c>
      <c r="AK383" s="428" t="s">
        <v>762</v>
      </c>
      <c r="AL383" s="428" t="s">
        <v>762</v>
      </c>
      <c r="AM383" s="428" t="s">
        <v>762</v>
      </c>
      <c r="AN383" s="428" t="s">
        <v>762</v>
      </c>
      <c r="AO383" s="428" t="s">
        <v>762</v>
      </c>
      <c r="AP383" s="428" t="s">
        <v>762</v>
      </c>
      <c r="AQ383" s="428" t="s">
        <v>762</v>
      </c>
      <c r="AR383" s="428" t="s">
        <v>762</v>
      </c>
      <c r="AS383" s="428" t="s">
        <v>762</v>
      </c>
      <c r="AT383" s="428" t="s">
        <v>762</v>
      </c>
      <c r="AU383" s="428" t="s">
        <v>762</v>
      </c>
      <c r="AV383" s="428" t="s">
        <v>762</v>
      </c>
      <c r="AW383" s="428" t="s">
        <v>762</v>
      </c>
      <c r="AX383" s="428" t="s">
        <v>762</v>
      </c>
      <c r="AY383" s="428" t="s">
        <v>762</v>
      </c>
      <c r="AZ383" s="428" t="s">
        <v>762</v>
      </c>
      <c r="BA383" s="428" t="s">
        <v>762</v>
      </c>
      <c r="BB383" s="428" t="s">
        <v>762</v>
      </c>
      <c r="BC383" s="428" t="s">
        <v>762</v>
      </c>
      <c r="BD383" s="428" t="s">
        <v>762</v>
      </c>
      <c r="BE383" s="428" t="s">
        <v>762</v>
      </c>
      <c r="BF383" s="428" t="s">
        <v>762</v>
      </c>
      <c r="BG383" s="428" t="s">
        <v>762</v>
      </c>
      <c r="BH383" s="428" t="s">
        <v>762</v>
      </c>
      <c r="BI383" s="428" t="s">
        <v>762</v>
      </c>
      <c r="BJ383" s="428" t="s">
        <v>762</v>
      </c>
      <c r="BK383" s="428" t="s">
        <v>762</v>
      </c>
      <c r="BL383" s="428" t="s">
        <v>762</v>
      </c>
      <c r="BM383" s="428" t="s">
        <v>762</v>
      </c>
      <c r="BN383" s="428" t="s">
        <v>762</v>
      </c>
      <c r="BO383" s="428" t="s">
        <v>762</v>
      </c>
      <c r="BP383" s="428" t="s">
        <v>762</v>
      </c>
      <c r="BQ383" s="428" t="s">
        <v>762</v>
      </c>
      <c r="BR383" s="428" t="s">
        <v>762</v>
      </c>
      <c r="BS383" s="428" t="s">
        <v>762</v>
      </c>
      <c r="BT383" s="428" t="s">
        <v>762</v>
      </c>
      <c r="BU383" s="428" t="s">
        <v>762</v>
      </c>
      <c r="BV383" s="428" t="s">
        <v>762</v>
      </c>
      <c r="BW383" s="428" t="s">
        <v>762</v>
      </c>
      <c r="BX383" s="428" t="s">
        <v>762</v>
      </c>
      <c r="BY383" s="428" t="s">
        <v>762</v>
      </c>
      <c r="BZ383" s="428" t="s">
        <v>762</v>
      </c>
      <c r="CA383" s="428" t="s">
        <v>762</v>
      </c>
      <c r="CB383" s="428" t="s">
        <v>762</v>
      </c>
      <c r="CC383" s="428" t="s">
        <v>762</v>
      </c>
      <c r="CD383" s="428" t="s">
        <v>762</v>
      </c>
      <c r="CE383" s="428" t="s">
        <v>762</v>
      </c>
      <c r="CF383" s="428" t="s">
        <v>762</v>
      </c>
      <c r="CG383" s="428" t="s">
        <v>762</v>
      </c>
      <c r="CH383" s="428" t="s">
        <v>762</v>
      </c>
      <c r="CI383" s="428" t="s">
        <v>762</v>
      </c>
      <c r="CJ383" s="428" t="s">
        <v>762</v>
      </c>
      <c r="CK383" s="428" t="s">
        <v>762</v>
      </c>
      <c r="CL383" s="428" t="s">
        <v>762</v>
      </c>
    </row>
    <row r="384" spans="1:90" s="429" customFormat="1">
      <c r="A384" s="427" t="s">
        <v>550</v>
      </c>
      <c r="B384" s="427" t="s">
        <v>103</v>
      </c>
      <c r="C384" s="428">
        <f t="shared" si="391"/>
        <v>14</v>
      </c>
      <c r="D384" s="428">
        <f t="shared" si="392"/>
        <v>14</v>
      </c>
      <c r="E384" s="428">
        <f t="shared" si="393"/>
        <v>14</v>
      </c>
      <c r="F384" s="428">
        <f t="shared" si="394"/>
        <v>14</v>
      </c>
      <c r="G384" s="428">
        <f t="shared" si="395"/>
        <v>15</v>
      </c>
      <c r="H384" s="428">
        <f t="shared" si="396"/>
        <v>15</v>
      </c>
      <c r="I384" s="428">
        <f t="shared" si="397"/>
        <v>15</v>
      </c>
      <c r="J384" s="428">
        <f t="shared" si="398"/>
        <v>15</v>
      </c>
      <c r="K384" s="428">
        <f t="shared" si="399"/>
        <v>15</v>
      </c>
      <c r="L384" s="428">
        <f t="shared" si="400"/>
        <v>16</v>
      </c>
      <c r="M384" s="428">
        <f t="shared" si="401"/>
        <v>16</v>
      </c>
      <c r="N384" s="428">
        <f t="shared" si="402"/>
        <v>17</v>
      </c>
      <c r="O384" s="428">
        <f t="shared" si="403"/>
        <v>17</v>
      </c>
      <c r="P384" s="428">
        <f t="shared" si="404"/>
        <v>18</v>
      </c>
      <c r="Q384" s="428">
        <f t="shared" si="405"/>
        <v>18</v>
      </c>
      <c r="R384" s="428">
        <f t="shared" si="406"/>
        <v>18</v>
      </c>
      <c r="S384" s="428">
        <f t="shared" si="407"/>
        <v>18</v>
      </c>
      <c r="T384" s="428">
        <f t="shared" si="408"/>
        <v>18</v>
      </c>
      <c r="U384" s="428">
        <f t="shared" si="409"/>
        <v>22</v>
      </c>
      <c r="V384" s="428">
        <f t="shared" si="410"/>
        <v>22</v>
      </c>
      <c r="W384" s="428">
        <f t="shared" si="411"/>
        <v>26</v>
      </c>
      <c r="X384" s="428">
        <f t="shared" si="412"/>
        <v>34</v>
      </c>
      <c r="Y384" s="428">
        <f t="shared" si="413"/>
        <v>42</v>
      </c>
      <c r="Z384" s="428" t="s">
        <v>762</v>
      </c>
      <c r="AA384" s="428" t="s">
        <v>762</v>
      </c>
      <c r="AB384" s="428" t="s">
        <v>762</v>
      </c>
      <c r="AC384" s="428" t="s">
        <v>762</v>
      </c>
      <c r="AD384" s="428" t="s">
        <v>762</v>
      </c>
      <c r="AE384" s="428" t="s">
        <v>762</v>
      </c>
      <c r="AF384" s="428" t="s">
        <v>762</v>
      </c>
      <c r="AG384" s="428" t="s">
        <v>762</v>
      </c>
      <c r="AH384" s="428" t="s">
        <v>762</v>
      </c>
      <c r="AI384" s="428" t="s">
        <v>762</v>
      </c>
      <c r="AJ384" s="428" t="s">
        <v>762</v>
      </c>
      <c r="AK384" s="428" t="s">
        <v>762</v>
      </c>
      <c r="AL384" s="428" t="s">
        <v>762</v>
      </c>
      <c r="AM384" s="428" t="s">
        <v>762</v>
      </c>
      <c r="AN384" s="428" t="s">
        <v>762</v>
      </c>
      <c r="AO384" s="428" t="s">
        <v>762</v>
      </c>
      <c r="AP384" s="428" t="s">
        <v>762</v>
      </c>
      <c r="AQ384" s="428" t="s">
        <v>762</v>
      </c>
      <c r="AR384" s="428" t="s">
        <v>762</v>
      </c>
      <c r="AS384" s="428" t="s">
        <v>762</v>
      </c>
      <c r="AT384" s="428" t="s">
        <v>762</v>
      </c>
      <c r="AU384" s="428" t="s">
        <v>762</v>
      </c>
      <c r="AV384" s="428" t="s">
        <v>762</v>
      </c>
      <c r="AW384" s="428" t="s">
        <v>762</v>
      </c>
      <c r="AX384" s="428" t="s">
        <v>762</v>
      </c>
      <c r="AY384" s="428" t="s">
        <v>762</v>
      </c>
      <c r="AZ384" s="428" t="s">
        <v>762</v>
      </c>
      <c r="BA384" s="428" t="s">
        <v>762</v>
      </c>
      <c r="BB384" s="428" t="s">
        <v>762</v>
      </c>
      <c r="BC384" s="428" t="s">
        <v>762</v>
      </c>
      <c r="BD384" s="428" t="s">
        <v>762</v>
      </c>
      <c r="BE384" s="428" t="s">
        <v>762</v>
      </c>
      <c r="BF384" s="428" t="s">
        <v>762</v>
      </c>
      <c r="BG384" s="428" t="s">
        <v>762</v>
      </c>
      <c r="BH384" s="428" t="s">
        <v>762</v>
      </c>
      <c r="BI384" s="428" t="s">
        <v>762</v>
      </c>
      <c r="BJ384" s="428" t="s">
        <v>762</v>
      </c>
      <c r="BK384" s="428" t="s">
        <v>762</v>
      </c>
      <c r="BL384" s="428" t="s">
        <v>762</v>
      </c>
      <c r="BM384" s="428" t="s">
        <v>762</v>
      </c>
      <c r="BN384" s="428" t="s">
        <v>762</v>
      </c>
      <c r="BO384" s="428" t="s">
        <v>762</v>
      </c>
      <c r="BP384" s="428" t="s">
        <v>762</v>
      </c>
      <c r="BQ384" s="428" t="s">
        <v>762</v>
      </c>
      <c r="BR384" s="428" t="s">
        <v>762</v>
      </c>
      <c r="BS384" s="428" t="s">
        <v>762</v>
      </c>
      <c r="BT384" s="428" t="s">
        <v>762</v>
      </c>
      <c r="BU384" s="428" t="s">
        <v>762</v>
      </c>
      <c r="BV384" s="428" t="s">
        <v>762</v>
      </c>
      <c r="BW384" s="428" t="s">
        <v>762</v>
      </c>
      <c r="BX384" s="428" t="s">
        <v>762</v>
      </c>
      <c r="BY384" s="428" t="s">
        <v>762</v>
      </c>
      <c r="BZ384" s="428" t="s">
        <v>762</v>
      </c>
      <c r="CA384" s="428" t="s">
        <v>762</v>
      </c>
      <c r="CB384" s="428" t="s">
        <v>762</v>
      </c>
      <c r="CC384" s="428" t="s">
        <v>762</v>
      </c>
      <c r="CD384" s="428" t="s">
        <v>762</v>
      </c>
      <c r="CE384" s="428" t="s">
        <v>762</v>
      </c>
      <c r="CF384" s="428" t="s">
        <v>762</v>
      </c>
      <c r="CG384" s="428" t="s">
        <v>762</v>
      </c>
      <c r="CH384" s="428" t="s">
        <v>762</v>
      </c>
      <c r="CI384" s="428" t="s">
        <v>762</v>
      </c>
      <c r="CJ384" s="428" t="s">
        <v>762</v>
      </c>
      <c r="CK384" s="428" t="s">
        <v>762</v>
      </c>
      <c r="CL384" s="428" t="s">
        <v>762</v>
      </c>
    </row>
    <row r="385" spans="1:90" s="429" customFormat="1">
      <c r="A385" s="427" t="s">
        <v>551</v>
      </c>
      <c r="B385" s="427" t="s">
        <v>103</v>
      </c>
      <c r="C385" s="428">
        <f t="shared" si="391"/>
        <v>14</v>
      </c>
      <c r="D385" s="428">
        <f t="shared" si="392"/>
        <v>14</v>
      </c>
      <c r="E385" s="428">
        <f t="shared" si="393"/>
        <v>14</v>
      </c>
      <c r="F385" s="428">
        <f t="shared" si="394"/>
        <v>14</v>
      </c>
      <c r="G385" s="428">
        <f t="shared" si="395"/>
        <v>15</v>
      </c>
      <c r="H385" s="428">
        <f t="shared" si="396"/>
        <v>15</v>
      </c>
      <c r="I385" s="428">
        <f t="shared" si="397"/>
        <v>15</v>
      </c>
      <c r="J385" s="428">
        <f t="shared" si="398"/>
        <v>15</v>
      </c>
      <c r="K385" s="428">
        <f t="shared" si="399"/>
        <v>15</v>
      </c>
      <c r="L385" s="428">
        <f t="shared" si="400"/>
        <v>16</v>
      </c>
      <c r="M385" s="428">
        <f t="shared" si="401"/>
        <v>16</v>
      </c>
      <c r="N385" s="428">
        <f t="shared" si="402"/>
        <v>17</v>
      </c>
      <c r="O385" s="428">
        <f t="shared" si="403"/>
        <v>17</v>
      </c>
      <c r="P385" s="428">
        <f t="shared" si="404"/>
        <v>18</v>
      </c>
      <c r="Q385" s="428">
        <f t="shared" si="405"/>
        <v>18</v>
      </c>
      <c r="R385" s="428">
        <f t="shared" si="406"/>
        <v>18</v>
      </c>
      <c r="S385" s="428">
        <f t="shared" si="407"/>
        <v>18</v>
      </c>
      <c r="T385" s="428">
        <f t="shared" si="408"/>
        <v>18</v>
      </c>
      <c r="U385" s="428">
        <f t="shared" si="409"/>
        <v>22</v>
      </c>
      <c r="V385" s="428">
        <f t="shared" si="410"/>
        <v>22</v>
      </c>
      <c r="W385" s="428">
        <f t="shared" si="411"/>
        <v>26</v>
      </c>
      <c r="X385" s="428">
        <f t="shared" si="412"/>
        <v>34</v>
      </c>
      <c r="Y385" s="428">
        <f t="shared" si="413"/>
        <v>42</v>
      </c>
      <c r="Z385" s="428" t="s">
        <v>762</v>
      </c>
      <c r="AA385" s="428" t="s">
        <v>762</v>
      </c>
      <c r="AB385" s="428" t="s">
        <v>762</v>
      </c>
      <c r="AC385" s="428" t="s">
        <v>762</v>
      </c>
      <c r="AD385" s="428" t="s">
        <v>762</v>
      </c>
      <c r="AE385" s="428" t="s">
        <v>762</v>
      </c>
      <c r="AF385" s="428" t="s">
        <v>762</v>
      </c>
      <c r="AG385" s="428" t="s">
        <v>762</v>
      </c>
      <c r="AH385" s="428" t="s">
        <v>762</v>
      </c>
      <c r="AI385" s="428" t="s">
        <v>762</v>
      </c>
      <c r="AJ385" s="428" t="s">
        <v>762</v>
      </c>
      <c r="AK385" s="428" t="s">
        <v>762</v>
      </c>
      <c r="AL385" s="428" t="s">
        <v>762</v>
      </c>
      <c r="AM385" s="428" t="s">
        <v>762</v>
      </c>
      <c r="AN385" s="428" t="s">
        <v>762</v>
      </c>
      <c r="AO385" s="428" t="s">
        <v>762</v>
      </c>
      <c r="AP385" s="428" t="s">
        <v>762</v>
      </c>
      <c r="AQ385" s="428" t="s">
        <v>762</v>
      </c>
      <c r="AR385" s="428" t="s">
        <v>762</v>
      </c>
      <c r="AS385" s="428" t="s">
        <v>762</v>
      </c>
      <c r="AT385" s="428" t="s">
        <v>762</v>
      </c>
      <c r="AU385" s="428" t="s">
        <v>762</v>
      </c>
      <c r="AV385" s="428" t="s">
        <v>762</v>
      </c>
      <c r="AW385" s="428" t="s">
        <v>762</v>
      </c>
      <c r="AX385" s="428" t="s">
        <v>762</v>
      </c>
      <c r="AY385" s="428" t="s">
        <v>762</v>
      </c>
      <c r="AZ385" s="428" t="s">
        <v>762</v>
      </c>
      <c r="BA385" s="428" t="s">
        <v>762</v>
      </c>
      <c r="BB385" s="428" t="s">
        <v>762</v>
      </c>
      <c r="BC385" s="428" t="s">
        <v>762</v>
      </c>
      <c r="BD385" s="428" t="s">
        <v>762</v>
      </c>
      <c r="BE385" s="428" t="s">
        <v>762</v>
      </c>
      <c r="BF385" s="428" t="s">
        <v>762</v>
      </c>
      <c r="BG385" s="428" t="s">
        <v>762</v>
      </c>
      <c r="BH385" s="428" t="s">
        <v>762</v>
      </c>
      <c r="BI385" s="428" t="s">
        <v>762</v>
      </c>
      <c r="BJ385" s="428" t="s">
        <v>762</v>
      </c>
      <c r="BK385" s="428" t="s">
        <v>762</v>
      </c>
      <c r="BL385" s="428" t="s">
        <v>762</v>
      </c>
      <c r="BM385" s="428" t="s">
        <v>762</v>
      </c>
      <c r="BN385" s="428" t="s">
        <v>762</v>
      </c>
      <c r="BO385" s="428" t="s">
        <v>762</v>
      </c>
      <c r="BP385" s="428" t="s">
        <v>762</v>
      </c>
      <c r="BQ385" s="428" t="s">
        <v>762</v>
      </c>
      <c r="BR385" s="428" t="s">
        <v>762</v>
      </c>
      <c r="BS385" s="428" t="s">
        <v>762</v>
      </c>
      <c r="BT385" s="428" t="s">
        <v>762</v>
      </c>
      <c r="BU385" s="428" t="s">
        <v>762</v>
      </c>
      <c r="BV385" s="428" t="s">
        <v>762</v>
      </c>
      <c r="BW385" s="428" t="s">
        <v>762</v>
      </c>
      <c r="BX385" s="428" t="s">
        <v>762</v>
      </c>
      <c r="BY385" s="428" t="s">
        <v>762</v>
      </c>
      <c r="BZ385" s="428" t="s">
        <v>762</v>
      </c>
      <c r="CA385" s="428" t="s">
        <v>762</v>
      </c>
      <c r="CB385" s="428" t="s">
        <v>762</v>
      </c>
      <c r="CC385" s="428" t="s">
        <v>762</v>
      </c>
      <c r="CD385" s="428" t="s">
        <v>762</v>
      </c>
      <c r="CE385" s="428" t="s">
        <v>762</v>
      </c>
      <c r="CF385" s="428" t="s">
        <v>762</v>
      </c>
      <c r="CG385" s="428" t="s">
        <v>762</v>
      </c>
      <c r="CH385" s="428" t="s">
        <v>762</v>
      </c>
      <c r="CI385" s="428" t="s">
        <v>762</v>
      </c>
      <c r="CJ385" s="428" t="s">
        <v>762</v>
      </c>
      <c r="CK385" s="428" t="s">
        <v>762</v>
      </c>
      <c r="CL385" s="428" t="s">
        <v>762</v>
      </c>
    </row>
    <row r="386" spans="1:90" s="429" customFormat="1">
      <c r="A386" s="427" t="s">
        <v>552</v>
      </c>
      <c r="B386" s="427" t="s">
        <v>103</v>
      </c>
      <c r="C386" s="428">
        <f t="shared" si="391"/>
        <v>14</v>
      </c>
      <c r="D386" s="428">
        <f t="shared" si="392"/>
        <v>14</v>
      </c>
      <c r="E386" s="428">
        <f t="shared" si="393"/>
        <v>14</v>
      </c>
      <c r="F386" s="428">
        <f t="shared" si="394"/>
        <v>14</v>
      </c>
      <c r="G386" s="428">
        <f t="shared" si="395"/>
        <v>15</v>
      </c>
      <c r="H386" s="428">
        <f t="shared" si="396"/>
        <v>15</v>
      </c>
      <c r="I386" s="428">
        <f t="shared" si="397"/>
        <v>15</v>
      </c>
      <c r="J386" s="428">
        <f t="shared" si="398"/>
        <v>15</v>
      </c>
      <c r="K386" s="428">
        <f t="shared" si="399"/>
        <v>15</v>
      </c>
      <c r="L386" s="428">
        <f t="shared" si="400"/>
        <v>16</v>
      </c>
      <c r="M386" s="428">
        <f t="shared" si="401"/>
        <v>16</v>
      </c>
      <c r="N386" s="428">
        <f t="shared" si="402"/>
        <v>17</v>
      </c>
      <c r="O386" s="428">
        <f t="shared" si="403"/>
        <v>17</v>
      </c>
      <c r="P386" s="428">
        <f t="shared" si="404"/>
        <v>18</v>
      </c>
      <c r="Q386" s="428">
        <f t="shared" si="405"/>
        <v>18</v>
      </c>
      <c r="R386" s="428">
        <f t="shared" si="406"/>
        <v>18</v>
      </c>
      <c r="S386" s="428">
        <f t="shared" si="407"/>
        <v>18</v>
      </c>
      <c r="T386" s="428">
        <f t="shared" si="408"/>
        <v>18</v>
      </c>
      <c r="U386" s="428">
        <f t="shared" si="409"/>
        <v>22</v>
      </c>
      <c r="V386" s="428">
        <f t="shared" si="410"/>
        <v>22</v>
      </c>
      <c r="W386" s="428">
        <f t="shared" si="411"/>
        <v>26</v>
      </c>
      <c r="X386" s="428">
        <f t="shared" si="412"/>
        <v>34</v>
      </c>
      <c r="Y386" s="428">
        <f t="shared" si="413"/>
        <v>42</v>
      </c>
      <c r="Z386" s="428" t="s">
        <v>762</v>
      </c>
      <c r="AA386" s="428" t="s">
        <v>762</v>
      </c>
      <c r="AB386" s="428" t="s">
        <v>762</v>
      </c>
      <c r="AC386" s="428" t="s">
        <v>762</v>
      </c>
      <c r="AD386" s="428" t="s">
        <v>762</v>
      </c>
      <c r="AE386" s="428" t="s">
        <v>762</v>
      </c>
      <c r="AF386" s="428" t="s">
        <v>762</v>
      </c>
      <c r="AG386" s="428" t="s">
        <v>762</v>
      </c>
      <c r="AH386" s="428" t="s">
        <v>762</v>
      </c>
      <c r="AI386" s="428" t="s">
        <v>762</v>
      </c>
      <c r="AJ386" s="428" t="s">
        <v>762</v>
      </c>
      <c r="AK386" s="428" t="s">
        <v>762</v>
      </c>
      <c r="AL386" s="428" t="s">
        <v>762</v>
      </c>
      <c r="AM386" s="428" t="s">
        <v>762</v>
      </c>
      <c r="AN386" s="428" t="s">
        <v>762</v>
      </c>
      <c r="AO386" s="428" t="s">
        <v>762</v>
      </c>
      <c r="AP386" s="428" t="s">
        <v>762</v>
      </c>
      <c r="AQ386" s="428" t="s">
        <v>762</v>
      </c>
      <c r="AR386" s="428" t="s">
        <v>762</v>
      </c>
      <c r="AS386" s="428" t="s">
        <v>762</v>
      </c>
      <c r="AT386" s="428" t="s">
        <v>762</v>
      </c>
      <c r="AU386" s="428" t="s">
        <v>762</v>
      </c>
      <c r="AV386" s="428" t="s">
        <v>762</v>
      </c>
      <c r="AW386" s="428" t="s">
        <v>762</v>
      </c>
      <c r="AX386" s="428" t="s">
        <v>762</v>
      </c>
      <c r="AY386" s="428" t="s">
        <v>762</v>
      </c>
      <c r="AZ386" s="428" t="s">
        <v>762</v>
      </c>
      <c r="BA386" s="428" t="s">
        <v>762</v>
      </c>
      <c r="BB386" s="428" t="s">
        <v>762</v>
      </c>
      <c r="BC386" s="428" t="s">
        <v>762</v>
      </c>
      <c r="BD386" s="428" t="s">
        <v>762</v>
      </c>
      <c r="BE386" s="428" t="s">
        <v>762</v>
      </c>
      <c r="BF386" s="428" t="s">
        <v>762</v>
      </c>
      <c r="BG386" s="428" t="s">
        <v>762</v>
      </c>
      <c r="BH386" s="428" t="s">
        <v>762</v>
      </c>
      <c r="BI386" s="428" t="s">
        <v>762</v>
      </c>
      <c r="BJ386" s="428" t="s">
        <v>762</v>
      </c>
      <c r="BK386" s="428" t="s">
        <v>762</v>
      </c>
      <c r="BL386" s="428" t="s">
        <v>762</v>
      </c>
      <c r="BM386" s="428" t="s">
        <v>762</v>
      </c>
      <c r="BN386" s="428" t="s">
        <v>762</v>
      </c>
      <c r="BO386" s="428" t="s">
        <v>762</v>
      </c>
      <c r="BP386" s="428" t="s">
        <v>762</v>
      </c>
      <c r="BQ386" s="428" t="s">
        <v>762</v>
      </c>
      <c r="BR386" s="428" t="s">
        <v>762</v>
      </c>
      <c r="BS386" s="428" t="s">
        <v>762</v>
      </c>
      <c r="BT386" s="428" t="s">
        <v>762</v>
      </c>
      <c r="BU386" s="428" t="s">
        <v>762</v>
      </c>
      <c r="BV386" s="428" t="s">
        <v>762</v>
      </c>
      <c r="BW386" s="428" t="s">
        <v>762</v>
      </c>
      <c r="BX386" s="428" t="s">
        <v>762</v>
      </c>
      <c r="BY386" s="428" t="s">
        <v>762</v>
      </c>
      <c r="BZ386" s="428" t="s">
        <v>762</v>
      </c>
      <c r="CA386" s="428" t="s">
        <v>762</v>
      </c>
      <c r="CB386" s="428" t="s">
        <v>762</v>
      </c>
      <c r="CC386" s="428" t="s">
        <v>762</v>
      </c>
      <c r="CD386" s="428" t="s">
        <v>762</v>
      </c>
      <c r="CE386" s="428" t="s">
        <v>762</v>
      </c>
      <c r="CF386" s="428" t="s">
        <v>762</v>
      </c>
      <c r="CG386" s="428" t="s">
        <v>762</v>
      </c>
      <c r="CH386" s="428" t="s">
        <v>762</v>
      </c>
      <c r="CI386" s="428" t="s">
        <v>762</v>
      </c>
      <c r="CJ386" s="428" t="s">
        <v>762</v>
      </c>
      <c r="CK386" s="428" t="s">
        <v>762</v>
      </c>
      <c r="CL386" s="428" t="s">
        <v>762</v>
      </c>
    </row>
    <row r="387" spans="1:90" s="429" customFormat="1">
      <c r="A387" s="427" t="s">
        <v>553</v>
      </c>
      <c r="B387" s="427" t="s">
        <v>103</v>
      </c>
      <c r="C387" s="428">
        <f t="shared" si="391"/>
        <v>14</v>
      </c>
      <c r="D387" s="428">
        <f t="shared" si="392"/>
        <v>14</v>
      </c>
      <c r="E387" s="428">
        <f t="shared" si="393"/>
        <v>14</v>
      </c>
      <c r="F387" s="428">
        <f t="shared" si="394"/>
        <v>14</v>
      </c>
      <c r="G387" s="428">
        <f t="shared" si="395"/>
        <v>15</v>
      </c>
      <c r="H387" s="428">
        <f t="shared" si="396"/>
        <v>15</v>
      </c>
      <c r="I387" s="428">
        <f t="shared" si="397"/>
        <v>15</v>
      </c>
      <c r="J387" s="428">
        <f t="shared" si="398"/>
        <v>15</v>
      </c>
      <c r="K387" s="428">
        <f t="shared" si="399"/>
        <v>15</v>
      </c>
      <c r="L387" s="428">
        <f t="shared" si="400"/>
        <v>16</v>
      </c>
      <c r="M387" s="428">
        <f t="shared" si="401"/>
        <v>16</v>
      </c>
      <c r="N387" s="428">
        <f t="shared" si="402"/>
        <v>17</v>
      </c>
      <c r="O387" s="428">
        <f t="shared" si="403"/>
        <v>17</v>
      </c>
      <c r="P387" s="428">
        <f t="shared" si="404"/>
        <v>18</v>
      </c>
      <c r="Q387" s="428">
        <f t="shared" si="405"/>
        <v>18</v>
      </c>
      <c r="R387" s="428">
        <f t="shared" si="406"/>
        <v>18</v>
      </c>
      <c r="S387" s="428">
        <f t="shared" si="407"/>
        <v>18</v>
      </c>
      <c r="T387" s="428">
        <f t="shared" si="408"/>
        <v>18</v>
      </c>
      <c r="U387" s="428">
        <f t="shared" si="409"/>
        <v>22</v>
      </c>
      <c r="V387" s="428">
        <f t="shared" si="410"/>
        <v>22</v>
      </c>
      <c r="W387" s="428">
        <f t="shared" si="411"/>
        <v>26</v>
      </c>
      <c r="X387" s="428">
        <f t="shared" si="412"/>
        <v>34</v>
      </c>
      <c r="Y387" s="428">
        <f t="shared" si="413"/>
        <v>42</v>
      </c>
      <c r="Z387" s="428" t="s">
        <v>762</v>
      </c>
      <c r="AA387" s="428" t="s">
        <v>762</v>
      </c>
      <c r="AB387" s="428" t="s">
        <v>762</v>
      </c>
      <c r="AC387" s="428" t="s">
        <v>762</v>
      </c>
      <c r="AD387" s="428" t="s">
        <v>762</v>
      </c>
      <c r="AE387" s="428" t="s">
        <v>762</v>
      </c>
      <c r="AF387" s="428" t="s">
        <v>762</v>
      </c>
      <c r="AG387" s="428" t="s">
        <v>762</v>
      </c>
      <c r="AH387" s="428" t="s">
        <v>762</v>
      </c>
      <c r="AI387" s="428" t="s">
        <v>762</v>
      </c>
      <c r="AJ387" s="428" t="s">
        <v>762</v>
      </c>
      <c r="AK387" s="428" t="s">
        <v>762</v>
      </c>
      <c r="AL387" s="428" t="s">
        <v>762</v>
      </c>
      <c r="AM387" s="428" t="s">
        <v>762</v>
      </c>
      <c r="AN387" s="428" t="s">
        <v>762</v>
      </c>
      <c r="AO387" s="428" t="s">
        <v>762</v>
      </c>
      <c r="AP387" s="428" t="s">
        <v>762</v>
      </c>
      <c r="AQ387" s="428" t="s">
        <v>762</v>
      </c>
      <c r="AR387" s="428" t="s">
        <v>762</v>
      </c>
      <c r="AS387" s="428" t="s">
        <v>762</v>
      </c>
      <c r="AT387" s="428" t="s">
        <v>762</v>
      </c>
      <c r="AU387" s="428" t="s">
        <v>762</v>
      </c>
      <c r="AV387" s="428" t="s">
        <v>762</v>
      </c>
      <c r="AW387" s="428" t="s">
        <v>762</v>
      </c>
      <c r="AX387" s="428" t="s">
        <v>762</v>
      </c>
      <c r="AY387" s="428" t="s">
        <v>762</v>
      </c>
      <c r="AZ387" s="428" t="s">
        <v>762</v>
      </c>
      <c r="BA387" s="428" t="s">
        <v>762</v>
      </c>
      <c r="BB387" s="428" t="s">
        <v>762</v>
      </c>
      <c r="BC387" s="428" t="s">
        <v>762</v>
      </c>
      <c r="BD387" s="428" t="s">
        <v>762</v>
      </c>
      <c r="BE387" s="428" t="s">
        <v>762</v>
      </c>
      <c r="BF387" s="428" t="s">
        <v>762</v>
      </c>
      <c r="BG387" s="428" t="s">
        <v>762</v>
      </c>
      <c r="BH387" s="428" t="s">
        <v>762</v>
      </c>
      <c r="BI387" s="428" t="s">
        <v>762</v>
      </c>
      <c r="BJ387" s="428" t="s">
        <v>762</v>
      </c>
      <c r="BK387" s="428" t="s">
        <v>762</v>
      </c>
      <c r="BL387" s="428" t="s">
        <v>762</v>
      </c>
      <c r="BM387" s="428" t="s">
        <v>762</v>
      </c>
      <c r="BN387" s="428" t="s">
        <v>762</v>
      </c>
      <c r="BO387" s="428" t="s">
        <v>762</v>
      </c>
      <c r="BP387" s="428" t="s">
        <v>762</v>
      </c>
      <c r="BQ387" s="428" t="s">
        <v>762</v>
      </c>
      <c r="BR387" s="428" t="s">
        <v>762</v>
      </c>
      <c r="BS387" s="428" t="s">
        <v>762</v>
      </c>
      <c r="BT387" s="428" t="s">
        <v>762</v>
      </c>
      <c r="BU387" s="428" t="s">
        <v>762</v>
      </c>
      <c r="BV387" s="428" t="s">
        <v>762</v>
      </c>
      <c r="BW387" s="428" t="s">
        <v>762</v>
      </c>
      <c r="BX387" s="428" t="s">
        <v>762</v>
      </c>
      <c r="BY387" s="428" t="s">
        <v>762</v>
      </c>
      <c r="BZ387" s="428" t="s">
        <v>762</v>
      </c>
      <c r="CA387" s="428" t="s">
        <v>762</v>
      </c>
      <c r="CB387" s="428" t="s">
        <v>762</v>
      </c>
      <c r="CC387" s="428" t="s">
        <v>762</v>
      </c>
      <c r="CD387" s="428" t="s">
        <v>762</v>
      </c>
      <c r="CE387" s="428" t="s">
        <v>762</v>
      </c>
      <c r="CF387" s="428" t="s">
        <v>762</v>
      </c>
      <c r="CG387" s="428" t="s">
        <v>762</v>
      </c>
      <c r="CH387" s="428" t="s">
        <v>762</v>
      </c>
      <c r="CI387" s="428" t="s">
        <v>762</v>
      </c>
      <c r="CJ387" s="428" t="s">
        <v>762</v>
      </c>
      <c r="CK387" s="428" t="s">
        <v>762</v>
      </c>
      <c r="CL387" s="428" t="s">
        <v>762</v>
      </c>
    </row>
    <row r="388" spans="1:90" s="429" customFormat="1">
      <c r="A388" s="427" t="s">
        <v>554</v>
      </c>
      <c r="B388" s="427" t="s">
        <v>103</v>
      </c>
      <c r="C388" s="428">
        <f t="shared" si="391"/>
        <v>14</v>
      </c>
      <c r="D388" s="428">
        <f t="shared" si="392"/>
        <v>14</v>
      </c>
      <c r="E388" s="428">
        <f t="shared" si="393"/>
        <v>14</v>
      </c>
      <c r="F388" s="428">
        <f t="shared" si="394"/>
        <v>14</v>
      </c>
      <c r="G388" s="428">
        <f t="shared" si="395"/>
        <v>15</v>
      </c>
      <c r="H388" s="428">
        <f t="shared" si="396"/>
        <v>15</v>
      </c>
      <c r="I388" s="428">
        <f t="shared" si="397"/>
        <v>15</v>
      </c>
      <c r="J388" s="428">
        <f t="shared" si="398"/>
        <v>15</v>
      </c>
      <c r="K388" s="428">
        <f t="shared" si="399"/>
        <v>15</v>
      </c>
      <c r="L388" s="428">
        <f t="shared" si="400"/>
        <v>16</v>
      </c>
      <c r="M388" s="428">
        <f t="shared" si="401"/>
        <v>16</v>
      </c>
      <c r="N388" s="428">
        <f t="shared" si="402"/>
        <v>17</v>
      </c>
      <c r="O388" s="428">
        <f t="shared" si="403"/>
        <v>17</v>
      </c>
      <c r="P388" s="428">
        <f t="shared" si="404"/>
        <v>18</v>
      </c>
      <c r="Q388" s="428">
        <f t="shared" si="405"/>
        <v>18</v>
      </c>
      <c r="R388" s="428">
        <f t="shared" si="406"/>
        <v>18</v>
      </c>
      <c r="S388" s="428">
        <f t="shared" si="407"/>
        <v>18</v>
      </c>
      <c r="T388" s="428">
        <f t="shared" si="408"/>
        <v>18</v>
      </c>
      <c r="U388" s="428">
        <f t="shared" si="409"/>
        <v>22</v>
      </c>
      <c r="V388" s="428">
        <f t="shared" si="410"/>
        <v>22</v>
      </c>
      <c r="W388" s="428">
        <f t="shared" si="411"/>
        <v>26</v>
      </c>
      <c r="X388" s="428">
        <f t="shared" si="412"/>
        <v>34</v>
      </c>
      <c r="Y388" s="428">
        <f t="shared" si="413"/>
        <v>42</v>
      </c>
      <c r="Z388" s="428" t="s">
        <v>762</v>
      </c>
      <c r="AA388" s="428" t="s">
        <v>762</v>
      </c>
      <c r="AB388" s="428" t="s">
        <v>762</v>
      </c>
      <c r="AC388" s="428" t="s">
        <v>762</v>
      </c>
      <c r="AD388" s="428" t="s">
        <v>762</v>
      </c>
      <c r="AE388" s="428" t="s">
        <v>762</v>
      </c>
      <c r="AF388" s="428" t="s">
        <v>762</v>
      </c>
      <c r="AG388" s="428" t="s">
        <v>762</v>
      </c>
      <c r="AH388" s="428" t="s">
        <v>762</v>
      </c>
      <c r="AI388" s="428" t="s">
        <v>762</v>
      </c>
      <c r="AJ388" s="428" t="s">
        <v>762</v>
      </c>
      <c r="AK388" s="428" t="s">
        <v>762</v>
      </c>
      <c r="AL388" s="428" t="s">
        <v>762</v>
      </c>
      <c r="AM388" s="428" t="s">
        <v>762</v>
      </c>
      <c r="AN388" s="428" t="s">
        <v>762</v>
      </c>
      <c r="AO388" s="428" t="s">
        <v>762</v>
      </c>
      <c r="AP388" s="428" t="s">
        <v>762</v>
      </c>
      <c r="AQ388" s="428" t="s">
        <v>762</v>
      </c>
      <c r="AR388" s="428" t="s">
        <v>762</v>
      </c>
      <c r="AS388" s="428" t="s">
        <v>762</v>
      </c>
      <c r="AT388" s="428" t="s">
        <v>762</v>
      </c>
      <c r="AU388" s="428" t="s">
        <v>762</v>
      </c>
      <c r="AV388" s="428" t="s">
        <v>762</v>
      </c>
      <c r="AW388" s="428" t="s">
        <v>762</v>
      </c>
      <c r="AX388" s="428" t="s">
        <v>762</v>
      </c>
      <c r="AY388" s="428" t="s">
        <v>762</v>
      </c>
      <c r="AZ388" s="428" t="s">
        <v>762</v>
      </c>
      <c r="BA388" s="428" t="s">
        <v>762</v>
      </c>
      <c r="BB388" s="428" t="s">
        <v>762</v>
      </c>
      <c r="BC388" s="428" t="s">
        <v>762</v>
      </c>
      <c r="BD388" s="428" t="s">
        <v>762</v>
      </c>
      <c r="BE388" s="428" t="s">
        <v>762</v>
      </c>
      <c r="BF388" s="428" t="s">
        <v>762</v>
      </c>
      <c r="BG388" s="428" t="s">
        <v>762</v>
      </c>
      <c r="BH388" s="428" t="s">
        <v>762</v>
      </c>
      <c r="BI388" s="428" t="s">
        <v>762</v>
      </c>
      <c r="BJ388" s="428" t="s">
        <v>762</v>
      </c>
      <c r="BK388" s="428" t="s">
        <v>762</v>
      </c>
      <c r="BL388" s="428" t="s">
        <v>762</v>
      </c>
      <c r="BM388" s="428" t="s">
        <v>762</v>
      </c>
      <c r="BN388" s="428" t="s">
        <v>762</v>
      </c>
      <c r="BO388" s="428" t="s">
        <v>762</v>
      </c>
      <c r="BP388" s="428" t="s">
        <v>762</v>
      </c>
      <c r="BQ388" s="428" t="s">
        <v>762</v>
      </c>
      <c r="BR388" s="428" t="s">
        <v>762</v>
      </c>
      <c r="BS388" s="428" t="s">
        <v>762</v>
      </c>
      <c r="BT388" s="428" t="s">
        <v>762</v>
      </c>
      <c r="BU388" s="428" t="s">
        <v>762</v>
      </c>
      <c r="BV388" s="428" t="s">
        <v>762</v>
      </c>
      <c r="BW388" s="428" t="s">
        <v>762</v>
      </c>
      <c r="BX388" s="428" t="s">
        <v>762</v>
      </c>
      <c r="BY388" s="428" t="s">
        <v>762</v>
      </c>
      <c r="BZ388" s="428" t="s">
        <v>762</v>
      </c>
      <c r="CA388" s="428" t="s">
        <v>762</v>
      </c>
      <c r="CB388" s="428" t="s">
        <v>762</v>
      </c>
      <c r="CC388" s="428" t="s">
        <v>762</v>
      </c>
      <c r="CD388" s="428" t="s">
        <v>762</v>
      </c>
      <c r="CE388" s="428" t="s">
        <v>762</v>
      </c>
      <c r="CF388" s="428" t="s">
        <v>762</v>
      </c>
      <c r="CG388" s="428" t="s">
        <v>762</v>
      </c>
      <c r="CH388" s="428" t="s">
        <v>762</v>
      </c>
      <c r="CI388" s="428" t="s">
        <v>762</v>
      </c>
      <c r="CJ388" s="428" t="s">
        <v>762</v>
      </c>
      <c r="CK388" s="428" t="s">
        <v>762</v>
      </c>
      <c r="CL388" s="428" t="s">
        <v>762</v>
      </c>
    </row>
    <row r="389" spans="1:90" s="429" customFormat="1">
      <c r="A389" s="427" t="s">
        <v>555</v>
      </c>
      <c r="B389" s="427" t="s">
        <v>103</v>
      </c>
      <c r="C389" s="428">
        <f t="shared" si="391"/>
        <v>14</v>
      </c>
      <c r="D389" s="428">
        <f t="shared" si="392"/>
        <v>14</v>
      </c>
      <c r="E389" s="428">
        <f t="shared" si="393"/>
        <v>14</v>
      </c>
      <c r="F389" s="428">
        <f t="shared" si="394"/>
        <v>14</v>
      </c>
      <c r="G389" s="428">
        <f t="shared" si="395"/>
        <v>15</v>
      </c>
      <c r="H389" s="428">
        <f t="shared" si="396"/>
        <v>15</v>
      </c>
      <c r="I389" s="428">
        <f t="shared" si="397"/>
        <v>15</v>
      </c>
      <c r="J389" s="428">
        <f t="shared" si="398"/>
        <v>15</v>
      </c>
      <c r="K389" s="428">
        <f t="shared" si="399"/>
        <v>15</v>
      </c>
      <c r="L389" s="428">
        <f t="shared" si="400"/>
        <v>16</v>
      </c>
      <c r="M389" s="428">
        <f t="shared" si="401"/>
        <v>16</v>
      </c>
      <c r="N389" s="428">
        <f t="shared" si="402"/>
        <v>17</v>
      </c>
      <c r="O389" s="428">
        <f t="shared" si="403"/>
        <v>17</v>
      </c>
      <c r="P389" s="428">
        <f t="shared" si="404"/>
        <v>18</v>
      </c>
      <c r="Q389" s="428">
        <f t="shared" si="405"/>
        <v>18</v>
      </c>
      <c r="R389" s="428">
        <f t="shared" si="406"/>
        <v>18</v>
      </c>
      <c r="S389" s="428">
        <f t="shared" si="407"/>
        <v>18</v>
      </c>
      <c r="T389" s="428">
        <f t="shared" si="408"/>
        <v>18</v>
      </c>
      <c r="U389" s="428">
        <f t="shared" si="409"/>
        <v>22</v>
      </c>
      <c r="V389" s="428">
        <f t="shared" si="410"/>
        <v>22</v>
      </c>
      <c r="W389" s="428">
        <f t="shared" si="411"/>
        <v>26</v>
      </c>
      <c r="X389" s="428">
        <f t="shared" si="412"/>
        <v>34</v>
      </c>
      <c r="Y389" s="428">
        <f t="shared" si="413"/>
        <v>42</v>
      </c>
      <c r="Z389" s="428" t="s">
        <v>762</v>
      </c>
      <c r="AA389" s="428" t="s">
        <v>762</v>
      </c>
      <c r="AB389" s="428" t="s">
        <v>762</v>
      </c>
      <c r="AC389" s="428" t="s">
        <v>762</v>
      </c>
      <c r="AD389" s="428" t="s">
        <v>762</v>
      </c>
      <c r="AE389" s="428" t="s">
        <v>762</v>
      </c>
      <c r="AF389" s="428" t="s">
        <v>762</v>
      </c>
      <c r="AG389" s="428" t="s">
        <v>762</v>
      </c>
      <c r="AH389" s="428" t="s">
        <v>762</v>
      </c>
      <c r="AI389" s="428" t="s">
        <v>762</v>
      </c>
      <c r="AJ389" s="428" t="s">
        <v>762</v>
      </c>
      <c r="AK389" s="428" t="s">
        <v>762</v>
      </c>
      <c r="AL389" s="428" t="s">
        <v>762</v>
      </c>
      <c r="AM389" s="428" t="s">
        <v>762</v>
      </c>
      <c r="AN389" s="428" t="s">
        <v>762</v>
      </c>
      <c r="AO389" s="428" t="s">
        <v>762</v>
      </c>
      <c r="AP389" s="428" t="s">
        <v>762</v>
      </c>
      <c r="AQ389" s="428" t="s">
        <v>762</v>
      </c>
      <c r="AR389" s="428" t="s">
        <v>762</v>
      </c>
      <c r="AS389" s="428" t="s">
        <v>762</v>
      </c>
      <c r="AT389" s="428" t="s">
        <v>762</v>
      </c>
      <c r="AU389" s="428" t="s">
        <v>762</v>
      </c>
      <c r="AV389" s="428" t="s">
        <v>762</v>
      </c>
      <c r="AW389" s="428" t="s">
        <v>762</v>
      </c>
      <c r="AX389" s="428" t="s">
        <v>762</v>
      </c>
      <c r="AY389" s="428" t="s">
        <v>762</v>
      </c>
      <c r="AZ389" s="428" t="s">
        <v>762</v>
      </c>
      <c r="BA389" s="428" t="s">
        <v>762</v>
      </c>
      <c r="BB389" s="428" t="s">
        <v>762</v>
      </c>
      <c r="BC389" s="428" t="s">
        <v>762</v>
      </c>
      <c r="BD389" s="428" t="s">
        <v>762</v>
      </c>
      <c r="BE389" s="428" t="s">
        <v>762</v>
      </c>
      <c r="BF389" s="428" t="s">
        <v>762</v>
      </c>
      <c r="BG389" s="428" t="s">
        <v>762</v>
      </c>
      <c r="BH389" s="428" t="s">
        <v>762</v>
      </c>
      <c r="BI389" s="428" t="s">
        <v>762</v>
      </c>
      <c r="BJ389" s="428" t="s">
        <v>762</v>
      </c>
      <c r="BK389" s="428" t="s">
        <v>762</v>
      </c>
      <c r="BL389" s="428" t="s">
        <v>762</v>
      </c>
      <c r="BM389" s="428" t="s">
        <v>762</v>
      </c>
      <c r="BN389" s="428" t="s">
        <v>762</v>
      </c>
      <c r="BO389" s="428" t="s">
        <v>762</v>
      </c>
      <c r="BP389" s="428" t="s">
        <v>762</v>
      </c>
      <c r="BQ389" s="428" t="s">
        <v>762</v>
      </c>
      <c r="BR389" s="428" t="s">
        <v>762</v>
      </c>
      <c r="BS389" s="428" t="s">
        <v>762</v>
      </c>
      <c r="BT389" s="428" t="s">
        <v>762</v>
      </c>
      <c r="BU389" s="428" t="s">
        <v>762</v>
      </c>
      <c r="BV389" s="428" t="s">
        <v>762</v>
      </c>
      <c r="BW389" s="428" t="s">
        <v>762</v>
      </c>
      <c r="BX389" s="428" t="s">
        <v>762</v>
      </c>
      <c r="BY389" s="428" t="s">
        <v>762</v>
      </c>
      <c r="BZ389" s="428" t="s">
        <v>762</v>
      </c>
      <c r="CA389" s="428" t="s">
        <v>762</v>
      </c>
      <c r="CB389" s="428" t="s">
        <v>762</v>
      </c>
      <c r="CC389" s="428" t="s">
        <v>762</v>
      </c>
      <c r="CD389" s="428" t="s">
        <v>762</v>
      </c>
      <c r="CE389" s="428" t="s">
        <v>762</v>
      </c>
      <c r="CF389" s="428" t="s">
        <v>762</v>
      </c>
      <c r="CG389" s="428" t="s">
        <v>762</v>
      </c>
      <c r="CH389" s="428" t="s">
        <v>762</v>
      </c>
      <c r="CI389" s="428" t="s">
        <v>762</v>
      </c>
      <c r="CJ389" s="428" t="s">
        <v>762</v>
      </c>
      <c r="CK389" s="428" t="s">
        <v>762</v>
      </c>
      <c r="CL389" s="428" t="s">
        <v>762</v>
      </c>
    </row>
    <row r="390" spans="1:90" s="429" customFormat="1">
      <c r="A390" s="427" t="s">
        <v>556</v>
      </c>
      <c r="B390" s="427" t="s">
        <v>103</v>
      </c>
      <c r="C390" s="428">
        <f t="shared" si="391"/>
        <v>14</v>
      </c>
      <c r="D390" s="428">
        <f t="shared" si="392"/>
        <v>14</v>
      </c>
      <c r="E390" s="428">
        <f t="shared" si="393"/>
        <v>14</v>
      </c>
      <c r="F390" s="428">
        <f t="shared" si="394"/>
        <v>14</v>
      </c>
      <c r="G390" s="428">
        <f t="shared" si="395"/>
        <v>15</v>
      </c>
      <c r="H390" s="428">
        <f t="shared" si="396"/>
        <v>15</v>
      </c>
      <c r="I390" s="428">
        <f t="shared" si="397"/>
        <v>15</v>
      </c>
      <c r="J390" s="428">
        <f t="shared" si="398"/>
        <v>15</v>
      </c>
      <c r="K390" s="428">
        <f t="shared" si="399"/>
        <v>15</v>
      </c>
      <c r="L390" s="428">
        <f t="shared" si="400"/>
        <v>16</v>
      </c>
      <c r="M390" s="428">
        <f t="shared" si="401"/>
        <v>16</v>
      </c>
      <c r="N390" s="428">
        <f t="shared" si="402"/>
        <v>17</v>
      </c>
      <c r="O390" s="428">
        <f t="shared" si="403"/>
        <v>17</v>
      </c>
      <c r="P390" s="428">
        <f t="shared" si="404"/>
        <v>18</v>
      </c>
      <c r="Q390" s="428">
        <f t="shared" si="405"/>
        <v>18</v>
      </c>
      <c r="R390" s="428">
        <f t="shared" si="406"/>
        <v>18</v>
      </c>
      <c r="S390" s="428">
        <f t="shared" si="407"/>
        <v>18</v>
      </c>
      <c r="T390" s="428">
        <f t="shared" si="408"/>
        <v>18</v>
      </c>
      <c r="U390" s="428">
        <f t="shared" si="409"/>
        <v>22</v>
      </c>
      <c r="V390" s="428">
        <f t="shared" si="410"/>
        <v>22</v>
      </c>
      <c r="W390" s="428">
        <f t="shared" si="411"/>
        <v>26</v>
      </c>
      <c r="X390" s="428">
        <f t="shared" si="412"/>
        <v>34</v>
      </c>
      <c r="Y390" s="428">
        <f t="shared" si="413"/>
        <v>42</v>
      </c>
      <c r="Z390" s="428" t="s">
        <v>762</v>
      </c>
      <c r="AA390" s="428" t="s">
        <v>762</v>
      </c>
      <c r="AB390" s="428" t="s">
        <v>762</v>
      </c>
      <c r="AC390" s="428" t="s">
        <v>762</v>
      </c>
      <c r="AD390" s="428" t="s">
        <v>762</v>
      </c>
      <c r="AE390" s="428" t="s">
        <v>762</v>
      </c>
      <c r="AF390" s="428" t="s">
        <v>762</v>
      </c>
      <c r="AG390" s="428" t="s">
        <v>762</v>
      </c>
      <c r="AH390" s="428" t="s">
        <v>762</v>
      </c>
      <c r="AI390" s="428" t="s">
        <v>762</v>
      </c>
      <c r="AJ390" s="428" t="s">
        <v>762</v>
      </c>
      <c r="AK390" s="428" t="s">
        <v>762</v>
      </c>
      <c r="AL390" s="428" t="s">
        <v>762</v>
      </c>
      <c r="AM390" s="428" t="s">
        <v>762</v>
      </c>
      <c r="AN390" s="428" t="s">
        <v>762</v>
      </c>
      <c r="AO390" s="428" t="s">
        <v>762</v>
      </c>
      <c r="AP390" s="428" t="s">
        <v>762</v>
      </c>
      <c r="AQ390" s="428" t="s">
        <v>762</v>
      </c>
      <c r="AR390" s="428" t="s">
        <v>762</v>
      </c>
      <c r="AS390" s="428" t="s">
        <v>762</v>
      </c>
      <c r="AT390" s="428" t="s">
        <v>762</v>
      </c>
      <c r="AU390" s="428" t="s">
        <v>762</v>
      </c>
      <c r="AV390" s="428" t="s">
        <v>762</v>
      </c>
      <c r="AW390" s="428" t="s">
        <v>762</v>
      </c>
      <c r="AX390" s="428" t="s">
        <v>762</v>
      </c>
      <c r="AY390" s="428" t="s">
        <v>762</v>
      </c>
      <c r="AZ390" s="428" t="s">
        <v>762</v>
      </c>
      <c r="BA390" s="428" t="s">
        <v>762</v>
      </c>
      <c r="BB390" s="428" t="s">
        <v>762</v>
      </c>
      <c r="BC390" s="428" t="s">
        <v>762</v>
      </c>
      <c r="BD390" s="428" t="s">
        <v>762</v>
      </c>
      <c r="BE390" s="428" t="s">
        <v>762</v>
      </c>
      <c r="BF390" s="428" t="s">
        <v>762</v>
      </c>
      <c r="BG390" s="428" t="s">
        <v>762</v>
      </c>
      <c r="BH390" s="428" t="s">
        <v>762</v>
      </c>
      <c r="BI390" s="428" t="s">
        <v>762</v>
      </c>
      <c r="BJ390" s="428" t="s">
        <v>762</v>
      </c>
      <c r="BK390" s="428" t="s">
        <v>762</v>
      </c>
      <c r="BL390" s="428" t="s">
        <v>762</v>
      </c>
      <c r="BM390" s="428" t="s">
        <v>762</v>
      </c>
      <c r="BN390" s="428" t="s">
        <v>762</v>
      </c>
      <c r="BO390" s="428" t="s">
        <v>762</v>
      </c>
      <c r="BP390" s="428" t="s">
        <v>762</v>
      </c>
      <c r="BQ390" s="428" t="s">
        <v>762</v>
      </c>
      <c r="BR390" s="428" t="s">
        <v>762</v>
      </c>
      <c r="BS390" s="428" t="s">
        <v>762</v>
      </c>
      <c r="BT390" s="428" t="s">
        <v>762</v>
      </c>
      <c r="BU390" s="428" t="s">
        <v>762</v>
      </c>
      <c r="BV390" s="428" t="s">
        <v>762</v>
      </c>
      <c r="BW390" s="428" t="s">
        <v>762</v>
      </c>
      <c r="BX390" s="428" t="s">
        <v>762</v>
      </c>
      <c r="BY390" s="428" t="s">
        <v>762</v>
      </c>
      <c r="BZ390" s="428" t="s">
        <v>762</v>
      </c>
      <c r="CA390" s="428" t="s">
        <v>762</v>
      </c>
      <c r="CB390" s="428" t="s">
        <v>762</v>
      </c>
      <c r="CC390" s="428" t="s">
        <v>762</v>
      </c>
      <c r="CD390" s="428" t="s">
        <v>762</v>
      </c>
      <c r="CE390" s="428" t="s">
        <v>762</v>
      </c>
      <c r="CF390" s="428" t="s">
        <v>762</v>
      </c>
      <c r="CG390" s="428" t="s">
        <v>762</v>
      </c>
      <c r="CH390" s="428" t="s">
        <v>762</v>
      </c>
      <c r="CI390" s="428" t="s">
        <v>762</v>
      </c>
      <c r="CJ390" s="428" t="s">
        <v>762</v>
      </c>
      <c r="CK390" s="428" t="s">
        <v>762</v>
      </c>
      <c r="CL390" s="428" t="s">
        <v>762</v>
      </c>
    </row>
    <row r="391" spans="1:90" s="429" customFormat="1">
      <c r="A391" s="427" t="s">
        <v>557</v>
      </c>
      <c r="B391" s="427" t="s">
        <v>103</v>
      </c>
      <c r="C391" s="428">
        <f t="shared" si="391"/>
        <v>14</v>
      </c>
      <c r="D391" s="428">
        <f t="shared" si="392"/>
        <v>14</v>
      </c>
      <c r="E391" s="428">
        <f t="shared" si="393"/>
        <v>14</v>
      </c>
      <c r="F391" s="428">
        <f t="shared" si="394"/>
        <v>14</v>
      </c>
      <c r="G391" s="428">
        <f t="shared" si="395"/>
        <v>15</v>
      </c>
      <c r="H391" s="428">
        <f t="shared" si="396"/>
        <v>15</v>
      </c>
      <c r="I391" s="428">
        <f t="shared" si="397"/>
        <v>15</v>
      </c>
      <c r="J391" s="428">
        <f t="shared" si="398"/>
        <v>15</v>
      </c>
      <c r="K391" s="428">
        <f t="shared" si="399"/>
        <v>15</v>
      </c>
      <c r="L391" s="428">
        <f t="shared" si="400"/>
        <v>16</v>
      </c>
      <c r="M391" s="428">
        <f t="shared" si="401"/>
        <v>16</v>
      </c>
      <c r="N391" s="428">
        <f t="shared" si="402"/>
        <v>17</v>
      </c>
      <c r="O391" s="428">
        <f t="shared" si="403"/>
        <v>17</v>
      </c>
      <c r="P391" s="428">
        <f t="shared" si="404"/>
        <v>18</v>
      </c>
      <c r="Q391" s="428">
        <f t="shared" si="405"/>
        <v>18</v>
      </c>
      <c r="R391" s="428">
        <f t="shared" si="406"/>
        <v>18</v>
      </c>
      <c r="S391" s="428">
        <f t="shared" si="407"/>
        <v>18</v>
      </c>
      <c r="T391" s="428">
        <f t="shared" si="408"/>
        <v>18</v>
      </c>
      <c r="U391" s="428">
        <f t="shared" si="409"/>
        <v>22</v>
      </c>
      <c r="V391" s="428">
        <f t="shared" si="410"/>
        <v>22</v>
      </c>
      <c r="W391" s="428">
        <f t="shared" si="411"/>
        <v>26</v>
      </c>
      <c r="X391" s="428">
        <f t="shared" si="412"/>
        <v>34</v>
      </c>
      <c r="Y391" s="428">
        <f t="shared" si="413"/>
        <v>42</v>
      </c>
      <c r="Z391" s="428" t="s">
        <v>762</v>
      </c>
      <c r="AA391" s="428" t="s">
        <v>762</v>
      </c>
      <c r="AB391" s="428" t="s">
        <v>762</v>
      </c>
      <c r="AC391" s="428" t="s">
        <v>762</v>
      </c>
      <c r="AD391" s="428" t="s">
        <v>762</v>
      </c>
      <c r="AE391" s="428" t="s">
        <v>762</v>
      </c>
      <c r="AF391" s="428" t="s">
        <v>762</v>
      </c>
      <c r="AG391" s="428" t="s">
        <v>762</v>
      </c>
      <c r="AH391" s="428" t="s">
        <v>762</v>
      </c>
      <c r="AI391" s="428" t="s">
        <v>762</v>
      </c>
      <c r="AJ391" s="428" t="s">
        <v>762</v>
      </c>
      <c r="AK391" s="428" t="s">
        <v>762</v>
      </c>
      <c r="AL391" s="428" t="s">
        <v>762</v>
      </c>
      <c r="AM391" s="428" t="s">
        <v>762</v>
      </c>
      <c r="AN391" s="428" t="s">
        <v>762</v>
      </c>
      <c r="AO391" s="428" t="s">
        <v>762</v>
      </c>
      <c r="AP391" s="428" t="s">
        <v>762</v>
      </c>
      <c r="AQ391" s="428" t="s">
        <v>762</v>
      </c>
      <c r="AR391" s="428" t="s">
        <v>762</v>
      </c>
      <c r="AS391" s="428" t="s">
        <v>762</v>
      </c>
      <c r="AT391" s="428" t="s">
        <v>762</v>
      </c>
      <c r="AU391" s="428" t="s">
        <v>762</v>
      </c>
      <c r="AV391" s="428" t="s">
        <v>762</v>
      </c>
      <c r="AW391" s="428" t="s">
        <v>762</v>
      </c>
      <c r="AX391" s="428" t="s">
        <v>762</v>
      </c>
      <c r="AY391" s="428" t="s">
        <v>762</v>
      </c>
      <c r="AZ391" s="428" t="s">
        <v>762</v>
      </c>
      <c r="BA391" s="428" t="s">
        <v>762</v>
      </c>
      <c r="BB391" s="428" t="s">
        <v>762</v>
      </c>
      <c r="BC391" s="428" t="s">
        <v>762</v>
      </c>
      <c r="BD391" s="428" t="s">
        <v>762</v>
      </c>
      <c r="BE391" s="428" t="s">
        <v>762</v>
      </c>
      <c r="BF391" s="428" t="s">
        <v>762</v>
      </c>
      <c r="BG391" s="428" t="s">
        <v>762</v>
      </c>
      <c r="BH391" s="428" t="s">
        <v>762</v>
      </c>
      <c r="BI391" s="428" t="s">
        <v>762</v>
      </c>
      <c r="BJ391" s="428" t="s">
        <v>762</v>
      </c>
      <c r="BK391" s="428" t="s">
        <v>762</v>
      </c>
      <c r="BL391" s="428" t="s">
        <v>762</v>
      </c>
      <c r="BM391" s="428" t="s">
        <v>762</v>
      </c>
      <c r="BN391" s="428" t="s">
        <v>762</v>
      </c>
      <c r="BO391" s="428" t="s">
        <v>762</v>
      </c>
      <c r="BP391" s="428" t="s">
        <v>762</v>
      </c>
      <c r="BQ391" s="428" t="s">
        <v>762</v>
      </c>
      <c r="BR391" s="428" t="s">
        <v>762</v>
      </c>
      <c r="BS391" s="428" t="s">
        <v>762</v>
      </c>
      <c r="BT391" s="428" t="s">
        <v>762</v>
      </c>
      <c r="BU391" s="428" t="s">
        <v>762</v>
      </c>
      <c r="BV391" s="428" t="s">
        <v>762</v>
      </c>
      <c r="BW391" s="428" t="s">
        <v>762</v>
      </c>
      <c r="BX391" s="428" t="s">
        <v>762</v>
      </c>
      <c r="BY391" s="428" t="s">
        <v>762</v>
      </c>
      <c r="BZ391" s="428" t="s">
        <v>762</v>
      </c>
      <c r="CA391" s="428" t="s">
        <v>762</v>
      </c>
      <c r="CB391" s="428" t="s">
        <v>762</v>
      </c>
      <c r="CC391" s="428" t="s">
        <v>762</v>
      </c>
      <c r="CD391" s="428" t="s">
        <v>762</v>
      </c>
      <c r="CE391" s="428" t="s">
        <v>762</v>
      </c>
      <c r="CF391" s="428" t="s">
        <v>762</v>
      </c>
      <c r="CG391" s="428" t="s">
        <v>762</v>
      </c>
      <c r="CH391" s="428" t="s">
        <v>762</v>
      </c>
      <c r="CI391" s="428" t="s">
        <v>762</v>
      </c>
      <c r="CJ391" s="428" t="s">
        <v>762</v>
      </c>
      <c r="CK391" s="428" t="s">
        <v>762</v>
      </c>
      <c r="CL391" s="428" t="s">
        <v>762</v>
      </c>
    </row>
    <row r="392" spans="1:90" s="429" customFormat="1">
      <c r="A392" s="427" t="s">
        <v>558</v>
      </c>
      <c r="B392" s="427" t="s">
        <v>103</v>
      </c>
      <c r="C392" s="428">
        <f t="shared" si="391"/>
        <v>14</v>
      </c>
      <c r="D392" s="428">
        <f t="shared" si="392"/>
        <v>14</v>
      </c>
      <c r="E392" s="428">
        <f t="shared" si="393"/>
        <v>14</v>
      </c>
      <c r="F392" s="428">
        <f t="shared" si="394"/>
        <v>14</v>
      </c>
      <c r="G392" s="428">
        <f t="shared" si="395"/>
        <v>15</v>
      </c>
      <c r="H392" s="428">
        <f t="shared" si="396"/>
        <v>15</v>
      </c>
      <c r="I392" s="428">
        <f t="shared" si="397"/>
        <v>15</v>
      </c>
      <c r="J392" s="428">
        <f t="shared" si="398"/>
        <v>15</v>
      </c>
      <c r="K392" s="428">
        <f t="shared" si="399"/>
        <v>15</v>
      </c>
      <c r="L392" s="428">
        <f t="shared" si="400"/>
        <v>16</v>
      </c>
      <c r="M392" s="428">
        <f t="shared" si="401"/>
        <v>16</v>
      </c>
      <c r="N392" s="428">
        <f t="shared" si="402"/>
        <v>17</v>
      </c>
      <c r="O392" s="428">
        <f t="shared" si="403"/>
        <v>17</v>
      </c>
      <c r="P392" s="428">
        <f t="shared" si="404"/>
        <v>18</v>
      </c>
      <c r="Q392" s="428">
        <f t="shared" si="405"/>
        <v>18</v>
      </c>
      <c r="R392" s="428">
        <f t="shared" si="406"/>
        <v>18</v>
      </c>
      <c r="S392" s="428">
        <f t="shared" si="407"/>
        <v>18</v>
      </c>
      <c r="T392" s="428">
        <f t="shared" si="408"/>
        <v>18</v>
      </c>
      <c r="U392" s="428">
        <f t="shared" si="409"/>
        <v>22</v>
      </c>
      <c r="V392" s="428">
        <f t="shared" si="410"/>
        <v>22</v>
      </c>
      <c r="W392" s="428">
        <f t="shared" si="411"/>
        <v>26</v>
      </c>
      <c r="X392" s="428">
        <f t="shared" si="412"/>
        <v>34</v>
      </c>
      <c r="Y392" s="428">
        <f t="shared" si="413"/>
        <v>42</v>
      </c>
      <c r="Z392" s="428" t="s">
        <v>762</v>
      </c>
      <c r="AA392" s="428" t="s">
        <v>762</v>
      </c>
      <c r="AB392" s="428" t="s">
        <v>762</v>
      </c>
      <c r="AC392" s="428" t="s">
        <v>762</v>
      </c>
      <c r="AD392" s="428" t="s">
        <v>762</v>
      </c>
      <c r="AE392" s="428" t="s">
        <v>762</v>
      </c>
      <c r="AF392" s="428" t="s">
        <v>762</v>
      </c>
      <c r="AG392" s="428" t="s">
        <v>762</v>
      </c>
      <c r="AH392" s="428" t="s">
        <v>762</v>
      </c>
      <c r="AI392" s="428" t="s">
        <v>762</v>
      </c>
      <c r="AJ392" s="428" t="s">
        <v>762</v>
      </c>
      <c r="AK392" s="428" t="s">
        <v>762</v>
      </c>
      <c r="AL392" s="428" t="s">
        <v>762</v>
      </c>
      <c r="AM392" s="428" t="s">
        <v>762</v>
      </c>
      <c r="AN392" s="428" t="s">
        <v>762</v>
      </c>
      <c r="AO392" s="428" t="s">
        <v>762</v>
      </c>
      <c r="AP392" s="428" t="s">
        <v>762</v>
      </c>
      <c r="AQ392" s="428" t="s">
        <v>762</v>
      </c>
      <c r="AR392" s="428" t="s">
        <v>762</v>
      </c>
      <c r="AS392" s="428" t="s">
        <v>762</v>
      </c>
      <c r="AT392" s="428" t="s">
        <v>762</v>
      </c>
      <c r="AU392" s="428" t="s">
        <v>762</v>
      </c>
      <c r="AV392" s="428" t="s">
        <v>762</v>
      </c>
      <c r="AW392" s="428" t="s">
        <v>762</v>
      </c>
      <c r="AX392" s="428" t="s">
        <v>762</v>
      </c>
      <c r="AY392" s="428" t="s">
        <v>762</v>
      </c>
      <c r="AZ392" s="428" t="s">
        <v>762</v>
      </c>
      <c r="BA392" s="428" t="s">
        <v>762</v>
      </c>
      <c r="BB392" s="428" t="s">
        <v>762</v>
      </c>
      <c r="BC392" s="428" t="s">
        <v>762</v>
      </c>
      <c r="BD392" s="428" t="s">
        <v>762</v>
      </c>
      <c r="BE392" s="428" t="s">
        <v>762</v>
      </c>
      <c r="BF392" s="428" t="s">
        <v>762</v>
      </c>
      <c r="BG392" s="428" t="s">
        <v>762</v>
      </c>
      <c r="BH392" s="428" t="s">
        <v>762</v>
      </c>
      <c r="BI392" s="428" t="s">
        <v>762</v>
      </c>
      <c r="BJ392" s="428" t="s">
        <v>762</v>
      </c>
      <c r="BK392" s="428" t="s">
        <v>762</v>
      </c>
      <c r="BL392" s="428" t="s">
        <v>762</v>
      </c>
      <c r="BM392" s="428" t="s">
        <v>762</v>
      </c>
      <c r="BN392" s="428" t="s">
        <v>762</v>
      </c>
      <c r="BO392" s="428" t="s">
        <v>762</v>
      </c>
      <c r="BP392" s="428" t="s">
        <v>762</v>
      </c>
      <c r="BQ392" s="428" t="s">
        <v>762</v>
      </c>
      <c r="BR392" s="428" t="s">
        <v>762</v>
      </c>
      <c r="BS392" s="428" t="s">
        <v>762</v>
      </c>
      <c r="BT392" s="428" t="s">
        <v>762</v>
      </c>
      <c r="BU392" s="428" t="s">
        <v>762</v>
      </c>
      <c r="BV392" s="428" t="s">
        <v>762</v>
      </c>
      <c r="BW392" s="428" t="s">
        <v>762</v>
      </c>
      <c r="BX392" s="428" t="s">
        <v>762</v>
      </c>
      <c r="BY392" s="428" t="s">
        <v>762</v>
      </c>
      <c r="BZ392" s="428" t="s">
        <v>762</v>
      </c>
      <c r="CA392" s="428" t="s">
        <v>762</v>
      </c>
      <c r="CB392" s="428" t="s">
        <v>762</v>
      </c>
      <c r="CC392" s="428" t="s">
        <v>762</v>
      </c>
      <c r="CD392" s="428" t="s">
        <v>762</v>
      </c>
      <c r="CE392" s="428" t="s">
        <v>762</v>
      </c>
      <c r="CF392" s="428" t="s">
        <v>762</v>
      </c>
      <c r="CG392" s="428" t="s">
        <v>762</v>
      </c>
      <c r="CH392" s="428" t="s">
        <v>762</v>
      </c>
      <c r="CI392" s="428" t="s">
        <v>762</v>
      </c>
      <c r="CJ392" s="428" t="s">
        <v>762</v>
      </c>
      <c r="CK392" s="428" t="s">
        <v>762</v>
      </c>
      <c r="CL392" s="428" t="s">
        <v>762</v>
      </c>
    </row>
    <row r="393" spans="1:90" s="429" customFormat="1">
      <c r="A393" s="427" t="s">
        <v>559</v>
      </c>
      <c r="B393" s="427" t="s">
        <v>103</v>
      </c>
      <c r="C393" s="428">
        <f t="shared" si="391"/>
        <v>14</v>
      </c>
      <c r="D393" s="428">
        <f t="shared" si="392"/>
        <v>14</v>
      </c>
      <c r="E393" s="428">
        <f t="shared" si="393"/>
        <v>14</v>
      </c>
      <c r="F393" s="428">
        <f t="shared" si="394"/>
        <v>14</v>
      </c>
      <c r="G393" s="428">
        <f t="shared" si="395"/>
        <v>15</v>
      </c>
      <c r="H393" s="428">
        <f t="shared" si="396"/>
        <v>15</v>
      </c>
      <c r="I393" s="428">
        <f t="shared" si="397"/>
        <v>15</v>
      </c>
      <c r="J393" s="428">
        <f t="shared" si="398"/>
        <v>15</v>
      </c>
      <c r="K393" s="428">
        <f t="shared" si="399"/>
        <v>15</v>
      </c>
      <c r="L393" s="428">
        <f t="shared" si="400"/>
        <v>16</v>
      </c>
      <c r="M393" s="428">
        <f t="shared" si="401"/>
        <v>16</v>
      </c>
      <c r="N393" s="428">
        <f t="shared" si="402"/>
        <v>17</v>
      </c>
      <c r="O393" s="428">
        <f t="shared" si="403"/>
        <v>17</v>
      </c>
      <c r="P393" s="428">
        <f t="shared" si="404"/>
        <v>18</v>
      </c>
      <c r="Q393" s="428">
        <f t="shared" si="405"/>
        <v>18</v>
      </c>
      <c r="R393" s="428">
        <f t="shared" si="406"/>
        <v>18</v>
      </c>
      <c r="S393" s="428">
        <f t="shared" si="407"/>
        <v>18</v>
      </c>
      <c r="T393" s="428">
        <f t="shared" si="408"/>
        <v>18</v>
      </c>
      <c r="U393" s="428">
        <f t="shared" si="409"/>
        <v>22</v>
      </c>
      <c r="V393" s="428">
        <f t="shared" si="410"/>
        <v>22</v>
      </c>
      <c r="W393" s="428">
        <f t="shared" si="411"/>
        <v>26</v>
      </c>
      <c r="X393" s="428">
        <f t="shared" si="412"/>
        <v>34</v>
      </c>
      <c r="Y393" s="428">
        <f t="shared" si="413"/>
        <v>42</v>
      </c>
      <c r="Z393" s="428" t="s">
        <v>762</v>
      </c>
      <c r="AA393" s="428" t="s">
        <v>762</v>
      </c>
      <c r="AB393" s="428" t="s">
        <v>762</v>
      </c>
      <c r="AC393" s="428" t="s">
        <v>762</v>
      </c>
      <c r="AD393" s="428" t="s">
        <v>762</v>
      </c>
      <c r="AE393" s="428" t="s">
        <v>762</v>
      </c>
      <c r="AF393" s="428" t="s">
        <v>762</v>
      </c>
      <c r="AG393" s="428" t="s">
        <v>762</v>
      </c>
      <c r="AH393" s="428" t="s">
        <v>762</v>
      </c>
      <c r="AI393" s="428" t="s">
        <v>762</v>
      </c>
      <c r="AJ393" s="428" t="s">
        <v>762</v>
      </c>
      <c r="AK393" s="428" t="s">
        <v>762</v>
      </c>
      <c r="AL393" s="428" t="s">
        <v>762</v>
      </c>
      <c r="AM393" s="428" t="s">
        <v>762</v>
      </c>
      <c r="AN393" s="428" t="s">
        <v>762</v>
      </c>
      <c r="AO393" s="428" t="s">
        <v>762</v>
      </c>
      <c r="AP393" s="428" t="s">
        <v>762</v>
      </c>
      <c r="AQ393" s="428" t="s">
        <v>762</v>
      </c>
      <c r="AR393" s="428" t="s">
        <v>762</v>
      </c>
      <c r="AS393" s="428" t="s">
        <v>762</v>
      </c>
      <c r="AT393" s="428" t="s">
        <v>762</v>
      </c>
      <c r="AU393" s="428" t="s">
        <v>762</v>
      </c>
      <c r="AV393" s="428" t="s">
        <v>762</v>
      </c>
      <c r="AW393" s="428" t="s">
        <v>762</v>
      </c>
      <c r="AX393" s="428" t="s">
        <v>762</v>
      </c>
      <c r="AY393" s="428" t="s">
        <v>762</v>
      </c>
      <c r="AZ393" s="428" t="s">
        <v>762</v>
      </c>
      <c r="BA393" s="428" t="s">
        <v>762</v>
      </c>
      <c r="BB393" s="428" t="s">
        <v>762</v>
      </c>
      <c r="BC393" s="428" t="s">
        <v>762</v>
      </c>
      <c r="BD393" s="428" t="s">
        <v>762</v>
      </c>
      <c r="BE393" s="428" t="s">
        <v>762</v>
      </c>
      <c r="BF393" s="428" t="s">
        <v>762</v>
      </c>
      <c r="BG393" s="428" t="s">
        <v>762</v>
      </c>
      <c r="BH393" s="428" t="s">
        <v>762</v>
      </c>
      <c r="BI393" s="428" t="s">
        <v>762</v>
      </c>
      <c r="BJ393" s="428" t="s">
        <v>762</v>
      </c>
      <c r="BK393" s="428" t="s">
        <v>762</v>
      </c>
      <c r="BL393" s="428" t="s">
        <v>762</v>
      </c>
      <c r="BM393" s="428" t="s">
        <v>762</v>
      </c>
      <c r="BN393" s="428" t="s">
        <v>762</v>
      </c>
      <c r="BO393" s="428" t="s">
        <v>762</v>
      </c>
      <c r="BP393" s="428" t="s">
        <v>762</v>
      </c>
      <c r="BQ393" s="428" t="s">
        <v>762</v>
      </c>
      <c r="BR393" s="428" t="s">
        <v>762</v>
      </c>
      <c r="BS393" s="428" t="s">
        <v>762</v>
      </c>
      <c r="BT393" s="428" t="s">
        <v>762</v>
      </c>
      <c r="BU393" s="428" t="s">
        <v>762</v>
      </c>
      <c r="BV393" s="428" t="s">
        <v>762</v>
      </c>
      <c r="BW393" s="428" t="s">
        <v>762</v>
      </c>
      <c r="BX393" s="428" t="s">
        <v>762</v>
      </c>
      <c r="BY393" s="428" t="s">
        <v>762</v>
      </c>
      <c r="BZ393" s="428" t="s">
        <v>762</v>
      </c>
      <c r="CA393" s="428" t="s">
        <v>762</v>
      </c>
      <c r="CB393" s="428" t="s">
        <v>762</v>
      </c>
      <c r="CC393" s="428" t="s">
        <v>762</v>
      </c>
      <c r="CD393" s="428" t="s">
        <v>762</v>
      </c>
      <c r="CE393" s="428" t="s">
        <v>762</v>
      </c>
      <c r="CF393" s="428" t="s">
        <v>762</v>
      </c>
      <c r="CG393" s="428" t="s">
        <v>762</v>
      </c>
      <c r="CH393" s="428" t="s">
        <v>762</v>
      </c>
      <c r="CI393" s="428" t="s">
        <v>762</v>
      </c>
      <c r="CJ393" s="428" t="s">
        <v>762</v>
      </c>
      <c r="CK393" s="428" t="s">
        <v>762</v>
      </c>
      <c r="CL393" s="428" t="s">
        <v>762</v>
      </c>
    </row>
    <row r="394" spans="1:90" s="429" customFormat="1">
      <c r="A394" s="427" t="s">
        <v>560</v>
      </c>
      <c r="B394" s="427" t="s">
        <v>103</v>
      </c>
      <c r="C394" s="428">
        <f t="shared" si="391"/>
        <v>14</v>
      </c>
      <c r="D394" s="428">
        <f t="shared" si="392"/>
        <v>14</v>
      </c>
      <c r="E394" s="428">
        <f t="shared" si="393"/>
        <v>14</v>
      </c>
      <c r="F394" s="428">
        <f t="shared" si="394"/>
        <v>14</v>
      </c>
      <c r="G394" s="428">
        <f t="shared" si="395"/>
        <v>15</v>
      </c>
      <c r="H394" s="428">
        <f t="shared" si="396"/>
        <v>15</v>
      </c>
      <c r="I394" s="428">
        <f t="shared" si="397"/>
        <v>15</v>
      </c>
      <c r="J394" s="428">
        <f t="shared" si="398"/>
        <v>15</v>
      </c>
      <c r="K394" s="428">
        <f t="shared" si="399"/>
        <v>15</v>
      </c>
      <c r="L394" s="428">
        <f t="shared" si="400"/>
        <v>16</v>
      </c>
      <c r="M394" s="428">
        <f t="shared" si="401"/>
        <v>16</v>
      </c>
      <c r="N394" s="428">
        <f t="shared" si="402"/>
        <v>17</v>
      </c>
      <c r="O394" s="428">
        <f t="shared" si="403"/>
        <v>17</v>
      </c>
      <c r="P394" s="428">
        <f t="shared" si="404"/>
        <v>18</v>
      </c>
      <c r="Q394" s="428">
        <f t="shared" si="405"/>
        <v>18</v>
      </c>
      <c r="R394" s="428">
        <f t="shared" si="406"/>
        <v>18</v>
      </c>
      <c r="S394" s="428">
        <f t="shared" si="407"/>
        <v>18</v>
      </c>
      <c r="T394" s="428">
        <f t="shared" si="408"/>
        <v>18</v>
      </c>
      <c r="U394" s="428">
        <f t="shared" si="409"/>
        <v>22</v>
      </c>
      <c r="V394" s="428">
        <f t="shared" si="410"/>
        <v>22</v>
      </c>
      <c r="W394" s="428">
        <f t="shared" si="411"/>
        <v>26</v>
      </c>
      <c r="X394" s="428">
        <f t="shared" si="412"/>
        <v>34</v>
      </c>
      <c r="Y394" s="428">
        <f t="shared" si="413"/>
        <v>42</v>
      </c>
      <c r="Z394" s="428" t="s">
        <v>762</v>
      </c>
      <c r="AA394" s="428" t="s">
        <v>762</v>
      </c>
      <c r="AB394" s="428" t="s">
        <v>762</v>
      </c>
      <c r="AC394" s="428" t="s">
        <v>762</v>
      </c>
      <c r="AD394" s="428" t="s">
        <v>762</v>
      </c>
      <c r="AE394" s="428" t="s">
        <v>762</v>
      </c>
      <c r="AF394" s="428" t="s">
        <v>762</v>
      </c>
      <c r="AG394" s="428" t="s">
        <v>762</v>
      </c>
      <c r="AH394" s="428" t="s">
        <v>762</v>
      </c>
      <c r="AI394" s="428" t="s">
        <v>762</v>
      </c>
      <c r="AJ394" s="428" t="s">
        <v>762</v>
      </c>
      <c r="AK394" s="428" t="s">
        <v>762</v>
      </c>
      <c r="AL394" s="428" t="s">
        <v>762</v>
      </c>
      <c r="AM394" s="428" t="s">
        <v>762</v>
      </c>
      <c r="AN394" s="428" t="s">
        <v>762</v>
      </c>
      <c r="AO394" s="428" t="s">
        <v>762</v>
      </c>
      <c r="AP394" s="428" t="s">
        <v>762</v>
      </c>
      <c r="AQ394" s="428" t="s">
        <v>762</v>
      </c>
      <c r="AR394" s="428" t="s">
        <v>762</v>
      </c>
      <c r="AS394" s="428" t="s">
        <v>762</v>
      </c>
      <c r="AT394" s="428" t="s">
        <v>762</v>
      </c>
      <c r="AU394" s="428" t="s">
        <v>762</v>
      </c>
      <c r="AV394" s="428" t="s">
        <v>762</v>
      </c>
      <c r="AW394" s="428" t="s">
        <v>762</v>
      </c>
      <c r="AX394" s="428" t="s">
        <v>762</v>
      </c>
      <c r="AY394" s="428" t="s">
        <v>762</v>
      </c>
      <c r="AZ394" s="428" t="s">
        <v>762</v>
      </c>
      <c r="BA394" s="428" t="s">
        <v>762</v>
      </c>
      <c r="BB394" s="428" t="s">
        <v>762</v>
      </c>
      <c r="BC394" s="428" t="s">
        <v>762</v>
      </c>
      <c r="BD394" s="428" t="s">
        <v>762</v>
      </c>
      <c r="BE394" s="428" t="s">
        <v>762</v>
      </c>
      <c r="BF394" s="428" t="s">
        <v>762</v>
      </c>
      <c r="BG394" s="428" t="s">
        <v>762</v>
      </c>
      <c r="BH394" s="428" t="s">
        <v>762</v>
      </c>
      <c r="BI394" s="428" t="s">
        <v>762</v>
      </c>
      <c r="BJ394" s="428" t="s">
        <v>762</v>
      </c>
      <c r="BK394" s="428" t="s">
        <v>762</v>
      </c>
      <c r="BL394" s="428" t="s">
        <v>762</v>
      </c>
      <c r="BM394" s="428" t="s">
        <v>762</v>
      </c>
      <c r="BN394" s="428" t="s">
        <v>762</v>
      </c>
      <c r="BO394" s="428" t="s">
        <v>762</v>
      </c>
      <c r="BP394" s="428" t="s">
        <v>762</v>
      </c>
      <c r="BQ394" s="428" t="s">
        <v>762</v>
      </c>
      <c r="BR394" s="428" t="s">
        <v>762</v>
      </c>
      <c r="BS394" s="428" t="s">
        <v>762</v>
      </c>
      <c r="BT394" s="428" t="s">
        <v>762</v>
      </c>
      <c r="BU394" s="428" t="s">
        <v>762</v>
      </c>
      <c r="BV394" s="428" t="s">
        <v>762</v>
      </c>
      <c r="BW394" s="428" t="s">
        <v>762</v>
      </c>
      <c r="BX394" s="428" t="s">
        <v>762</v>
      </c>
      <c r="BY394" s="428" t="s">
        <v>762</v>
      </c>
      <c r="BZ394" s="428" t="s">
        <v>762</v>
      </c>
      <c r="CA394" s="428" t="s">
        <v>762</v>
      </c>
      <c r="CB394" s="428" t="s">
        <v>762</v>
      </c>
      <c r="CC394" s="428" t="s">
        <v>762</v>
      </c>
      <c r="CD394" s="428" t="s">
        <v>762</v>
      </c>
      <c r="CE394" s="428" t="s">
        <v>762</v>
      </c>
      <c r="CF394" s="428" t="s">
        <v>762</v>
      </c>
      <c r="CG394" s="428" t="s">
        <v>762</v>
      </c>
      <c r="CH394" s="428" t="s">
        <v>762</v>
      </c>
      <c r="CI394" s="428" t="s">
        <v>762</v>
      </c>
      <c r="CJ394" s="428" t="s">
        <v>762</v>
      </c>
      <c r="CK394" s="428" t="s">
        <v>762</v>
      </c>
      <c r="CL394" s="428" t="s">
        <v>762</v>
      </c>
    </row>
    <row r="395" spans="1:90" s="429" customFormat="1">
      <c r="A395" s="427" t="s">
        <v>561</v>
      </c>
      <c r="B395" s="427" t="s">
        <v>103</v>
      </c>
      <c r="C395" s="428">
        <f t="shared" si="391"/>
        <v>14</v>
      </c>
      <c r="D395" s="428">
        <f t="shared" si="392"/>
        <v>14</v>
      </c>
      <c r="E395" s="428">
        <f t="shared" si="393"/>
        <v>14</v>
      </c>
      <c r="F395" s="428">
        <f t="shared" si="394"/>
        <v>14</v>
      </c>
      <c r="G395" s="428">
        <f t="shared" si="395"/>
        <v>15</v>
      </c>
      <c r="H395" s="428">
        <f t="shared" si="396"/>
        <v>15</v>
      </c>
      <c r="I395" s="428">
        <f t="shared" si="397"/>
        <v>15</v>
      </c>
      <c r="J395" s="428">
        <f t="shared" si="398"/>
        <v>15</v>
      </c>
      <c r="K395" s="428">
        <f t="shared" si="399"/>
        <v>15</v>
      </c>
      <c r="L395" s="428">
        <f t="shared" si="400"/>
        <v>16</v>
      </c>
      <c r="M395" s="428">
        <f t="shared" si="401"/>
        <v>16</v>
      </c>
      <c r="N395" s="428">
        <f t="shared" si="402"/>
        <v>17</v>
      </c>
      <c r="O395" s="428">
        <f t="shared" si="403"/>
        <v>17</v>
      </c>
      <c r="P395" s="428">
        <f t="shared" si="404"/>
        <v>18</v>
      </c>
      <c r="Q395" s="428">
        <f t="shared" si="405"/>
        <v>18</v>
      </c>
      <c r="R395" s="428">
        <f t="shared" si="406"/>
        <v>18</v>
      </c>
      <c r="S395" s="428">
        <f t="shared" si="407"/>
        <v>18</v>
      </c>
      <c r="T395" s="428">
        <f t="shared" si="408"/>
        <v>18</v>
      </c>
      <c r="U395" s="428">
        <f t="shared" si="409"/>
        <v>22</v>
      </c>
      <c r="V395" s="428">
        <f t="shared" si="410"/>
        <v>22</v>
      </c>
      <c r="W395" s="428">
        <f t="shared" si="411"/>
        <v>26</v>
      </c>
      <c r="X395" s="428">
        <f t="shared" si="412"/>
        <v>34</v>
      </c>
      <c r="Y395" s="428">
        <f t="shared" si="413"/>
        <v>42</v>
      </c>
      <c r="Z395" s="428" t="s">
        <v>762</v>
      </c>
      <c r="AA395" s="428" t="s">
        <v>762</v>
      </c>
      <c r="AB395" s="428" t="s">
        <v>762</v>
      </c>
      <c r="AC395" s="428" t="s">
        <v>762</v>
      </c>
      <c r="AD395" s="428" t="s">
        <v>762</v>
      </c>
      <c r="AE395" s="428" t="s">
        <v>762</v>
      </c>
      <c r="AF395" s="428" t="s">
        <v>762</v>
      </c>
      <c r="AG395" s="428" t="s">
        <v>762</v>
      </c>
      <c r="AH395" s="428" t="s">
        <v>762</v>
      </c>
      <c r="AI395" s="428" t="s">
        <v>762</v>
      </c>
      <c r="AJ395" s="428" t="s">
        <v>762</v>
      </c>
      <c r="AK395" s="428" t="s">
        <v>762</v>
      </c>
      <c r="AL395" s="428" t="s">
        <v>762</v>
      </c>
      <c r="AM395" s="428" t="s">
        <v>762</v>
      </c>
      <c r="AN395" s="428" t="s">
        <v>762</v>
      </c>
      <c r="AO395" s="428" t="s">
        <v>762</v>
      </c>
      <c r="AP395" s="428" t="s">
        <v>762</v>
      </c>
      <c r="AQ395" s="428" t="s">
        <v>762</v>
      </c>
      <c r="AR395" s="428" t="s">
        <v>762</v>
      </c>
      <c r="AS395" s="428" t="s">
        <v>762</v>
      </c>
      <c r="AT395" s="428" t="s">
        <v>762</v>
      </c>
      <c r="AU395" s="428" t="s">
        <v>762</v>
      </c>
      <c r="AV395" s="428" t="s">
        <v>762</v>
      </c>
      <c r="AW395" s="428" t="s">
        <v>762</v>
      </c>
      <c r="AX395" s="428" t="s">
        <v>762</v>
      </c>
      <c r="AY395" s="428" t="s">
        <v>762</v>
      </c>
      <c r="AZ395" s="428" t="s">
        <v>762</v>
      </c>
      <c r="BA395" s="428" t="s">
        <v>762</v>
      </c>
      <c r="BB395" s="428" t="s">
        <v>762</v>
      </c>
      <c r="BC395" s="428" t="s">
        <v>762</v>
      </c>
      <c r="BD395" s="428" t="s">
        <v>762</v>
      </c>
      <c r="BE395" s="428" t="s">
        <v>762</v>
      </c>
      <c r="BF395" s="428" t="s">
        <v>762</v>
      </c>
      <c r="BG395" s="428" t="s">
        <v>762</v>
      </c>
      <c r="BH395" s="428" t="s">
        <v>762</v>
      </c>
      <c r="BI395" s="428" t="s">
        <v>762</v>
      </c>
      <c r="BJ395" s="428" t="s">
        <v>762</v>
      </c>
      <c r="BK395" s="428" t="s">
        <v>762</v>
      </c>
      <c r="BL395" s="428" t="s">
        <v>762</v>
      </c>
      <c r="BM395" s="428" t="s">
        <v>762</v>
      </c>
      <c r="BN395" s="428" t="s">
        <v>762</v>
      </c>
      <c r="BO395" s="428" t="s">
        <v>762</v>
      </c>
      <c r="BP395" s="428" t="s">
        <v>762</v>
      </c>
      <c r="BQ395" s="428" t="s">
        <v>762</v>
      </c>
      <c r="BR395" s="428" t="s">
        <v>762</v>
      </c>
      <c r="BS395" s="428" t="s">
        <v>762</v>
      </c>
      <c r="BT395" s="428" t="s">
        <v>762</v>
      </c>
      <c r="BU395" s="428" t="s">
        <v>762</v>
      </c>
      <c r="BV395" s="428" t="s">
        <v>762</v>
      </c>
      <c r="BW395" s="428" t="s">
        <v>762</v>
      </c>
      <c r="BX395" s="428" t="s">
        <v>762</v>
      </c>
      <c r="BY395" s="428" t="s">
        <v>762</v>
      </c>
      <c r="BZ395" s="428" t="s">
        <v>762</v>
      </c>
      <c r="CA395" s="428" t="s">
        <v>762</v>
      </c>
      <c r="CB395" s="428" t="s">
        <v>762</v>
      </c>
      <c r="CC395" s="428" t="s">
        <v>762</v>
      </c>
      <c r="CD395" s="428" t="s">
        <v>762</v>
      </c>
      <c r="CE395" s="428" t="s">
        <v>762</v>
      </c>
      <c r="CF395" s="428" t="s">
        <v>762</v>
      </c>
      <c r="CG395" s="428" t="s">
        <v>762</v>
      </c>
      <c r="CH395" s="428" t="s">
        <v>762</v>
      </c>
      <c r="CI395" s="428" t="s">
        <v>762</v>
      </c>
      <c r="CJ395" s="428" t="s">
        <v>762</v>
      </c>
      <c r="CK395" s="428" t="s">
        <v>762</v>
      </c>
      <c r="CL395" s="428" t="s">
        <v>762</v>
      </c>
    </row>
    <row r="396" spans="1:90" s="429" customFormat="1">
      <c r="A396" s="427" t="s">
        <v>562</v>
      </c>
      <c r="B396" s="427" t="s">
        <v>103</v>
      </c>
      <c r="C396" s="428">
        <f t="shared" si="391"/>
        <v>14</v>
      </c>
      <c r="D396" s="428">
        <f t="shared" si="392"/>
        <v>14</v>
      </c>
      <c r="E396" s="428">
        <f t="shared" si="393"/>
        <v>14</v>
      </c>
      <c r="F396" s="428">
        <f t="shared" si="394"/>
        <v>14</v>
      </c>
      <c r="G396" s="428">
        <f t="shared" si="395"/>
        <v>15</v>
      </c>
      <c r="H396" s="428">
        <f t="shared" si="396"/>
        <v>15</v>
      </c>
      <c r="I396" s="428">
        <f t="shared" si="397"/>
        <v>15</v>
      </c>
      <c r="J396" s="428">
        <f t="shared" si="398"/>
        <v>15</v>
      </c>
      <c r="K396" s="428">
        <f t="shared" si="399"/>
        <v>15</v>
      </c>
      <c r="L396" s="428">
        <f t="shared" si="400"/>
        <v>16</v>
      </c>
      <c r="M396" s="428">
        <f t="shared" si="401"/>
        <v>16</v>
      </c>
      <c r="N396" s="428">
        <f t="shared" si="402"/>
        <v>17</v>
      </c>
      <c r="O396" s="428">
        <f t="shared" si="403"/>
        <v>17</v>
      </c>
      <c r="P396" s="428">
        <f t="shared" si="404"/>
        <v>18</v>
      </c>
      <c r="Q396" s="428">
        <f t="shared" si="405"/>
        <v>18</v>
      </c>
      <c r="R396" s="428">
        <f t="shared" si="406"/>
        <v>18</v>
      </c>
      <c r="S396" s="428">
        <f t="shared" si="407"/>
        <v>18</v>
      </c>
      <c r="T396" s="428">
        <f t="shared" si="408"/>
        <v>18</v>
      </c>
      <c r="U396" s="428">
        <f t="shared" si="409"/>
        <v>22</v>
      </c>
      <c r="V396" s="428">
        <f t="shared" si="410"/>
        <v>22</v>
      </c>
      <c r="W396" s="428">
        <f t="shared" si="411"/>
        <v>26</v>
      </c>
      <c r="X396" s="428">
        <f t="shared" si="412"/>
        <v>34</v>
      </c>
      <c r="Y396" s="428">
        <f t="shared" si="413"/>
        <v>42</v>
      </c>
      <c r="Z396" s="428" t="s">
        <v>762</v>
      </c>
      <c r="AA396" s="428" t="s">
        <v>762</v>
      </c>
      <c r="AB396" s="428" t="s">
        <v>762</v>
      </c>
      <c r="AC396" s="428" t="s">
        <v>762</v>
      </c>
      <c r="AD396" s="428" t="s">
        <v>762</v>
      </c>
      <c r="AE396" s="428" t="s">
        <v>762</v>
      </c>
      <c r="AF396" s="428" t="s">
        <v>762</v>
      </c>
      <c r="AG396" s="428" t="s">
        <v>762</v>
      </c>
      <c r="AH396" s="428" t="s">
        <v>762</v>
      </c>
      <c r="AI396" s="428" t="s">
        <v>762</v>
      </c>
      <c r="AJ396" s="428" t="s">
        <v>762</v>
      </c>
      <c r="AK396" s="428" t="s">
        <v>762</v>
      </c>
      <c r="AL396" s="428" t="s">
        <v>762</v>
      </c>
      <c r="AM396" s="428" t="s">
        <v>762</v>
      </c>
      <c r="AN396" s="428" t="s">
        <v>762</v>
      </c>
      <c r="AO396" s="428" t="s">
        <v>762</v>
      </c>
      <c r="AP396" s="428" t="s">
        <v>762</v>
      </c>
      <c r="AQ396" s="428" t="s">
        <v>762</v>
      </c>
      <c r="AR396" s="428" t="s">
        <v>762</v>
      </c>
      <c r="AS396" s="428" t="s">
        <v>762</v>
      </c>
      <c r="AT396" s="428" t="s">
        <v>762</v>
      </c>
      <c r="AU396" s="428" t="s">
        <v>762</v>
      </c>
      <c r="AV396" s="428" t="s">
        <v>762</v>
      </c>
      <c r="AW396" s="428" t="s">
        <v>762</v>
      </c>
      <c r="AX396" s="428" t="s">
        <v>762</v>
      </c>
      <c r="AY396" s="428" t="s">
        <v>762</v>
      </c>
      <c r="AZ396" s="428" t="s">
        <v>762</v>
      </c>
      <c r="BA396" s="428" t="s">
        <v>762</v>
      </c>
      <c r="BB396" s="428" t="s">
        <v>762</v>
      </c>
      <c r="BC396" s="428" t="s">
        <v>762</v>
      </c>
      <c r="BD396" s="428" t="s">
        <v>762</v>
      </c>
      <c r="BE396" s="428" t="s">
        <v>762</v>
      </c>
      <c r="BF396" s="428" t="s">
        <v>762</v>
      </c>
      <c r="BG396" s="428" t="s">
        <v>762</v>
      </c>
      <c r="BH396" s="428" t="s">
        <v>762</v>
      </c>
      <c r="BI396" s="428" t="s">
        <v>762</v>
      </c>
      <c r="BJ396" s="428" t="s">
        <v>762</v>
      </c>
      <c r="BK396" s="428" t="s">
        <v>762</v>
      </c>
      <c r="BL396" s="428" t="s">
        <v>762</v>
      </c>
      <c r="BM396" s="428" t="s">
        <v>762</v>
      </c>
      <c r="BN396" s="428" t="s">
        <v>762</v>
      </c>
      <c r="BO396" s="428" t="s">
        <v>762</v>
      </c>
      <c r="BP396" s="428" t="s">
        <v>762</v>
      </c>
      <c r="BQ396" s="428" t="s">
        <v>762</v>
      </c>
      <c r="BR396" s="428" t="s">
        <v>762</v>
      </c>
      <c r="BS396" s="428" t="s">
        <v>762</v>
      </c>
      <c r="BT396" s="428" t="s">
        <v>762</v>
      </c>
      <c r="BU396" s="428" t="s">
        <v>762</v>
      </c>
      <c r="BV396" s="428" t="s">
        <v>762</v>
      </c>
      <c r="BW396" s="428" t="s">
        <v>762</v>
      </c>
      <c r="BX396" s="428" t="s">
        <v>762</v>
      </c>
      <c r="BY396" s="428" t="s">
        <v>762</v>
      </c>
      <c r="BZ396" s="428" t="s">
        <v>762</v>
      </c>
      <c r="CA396" s="428" t="s">
        <v>762</v>
      </c>
      <c r="CB396" s="428" t="s">
        <v>762</v>
      </c>
      <c r="CC396" s="428" t="s">
        <v>762</v>
      </c>
      <c r="CD396" s="428" t="s">
        <v>762</v>
      </c>
      <c r="CE396" s="428" t="s">
        <v>762</v>
      </c>
      <c r="CF396" s="428" t="s">
        <v>762</v>
      </c>
      <c r="CG396" s="428" t="s">
        <v>762</v>
      </c>
      <c r="CH396" s="428" t="s">
        <v>762</v>
      </c>
      <c r="CI396" s="428" t="s">
        <v>762</v>
      </c>
      <c r="CJ396" s="428" t="s">
        <v>762</v>
      </c>
      <c r="CK396" s="428" t="s">
        <v>762</v>
      </c>
      <c r="CL396" s="428" t="s">
        <v>762</v>
      </c>
    </row>
    <row r="397" spans="1:90" s="429" customFormat="1">
      <c r="A397" s="427" t="s">
        <v>563</v>
      </c>
      <c r="B397" s="427" t="s">
        <v>103</v>
      </c>
      <c r="C397" s="428">
        <f t="shared" si="391"/>
        <v>14</v>
      </c>
      <c r="D397" s="428">
        <f t="shared" si="392"/>
        <v>14</v>
      </c>
      <c r="E397" s="428">
        <f t="shared" si="393"/>
        <v>14</v>
      </c>
      <c r="F397" s="428">
        <f t="shared" si="394"/>
        <v>14</v>
      </c>
      <c r="G397" s="428">
        <f t="shared" si="395"/>
        <v>15</v>
      </c>
      <c r="H397" s="428">
        <f t="shared" si="396"/>
        <v>15</v>
      </c>
      <c r="I397" s="428">
        <f t="shared" si="397"/>
        <v>15</v>
      </c>
      <c r="J397" s="428">
        <f t="shared" si="398"/>
        <v>15</v>
      </c>
      <c r="K397" s="428">
        <f t="shared" si="399"/>
        <v>15</v>
      </c>
      <c r="L397" s="428">
        <f t="shared" si="400"/>
        <v>16</v>
      </c>
      <c r="M397" s="428">
        <f t="shared" si="401"/>
        <v>16</v>
      </c>
      <c r="N397" s="428">
        <f t="shared" si="402"/>
        <v>17</v>
      </c>
      <c r="O397" s="428">
        <f t="shared" si="403"/>
        <v>17</v>
      </c>
      <c r="P397" s="428">
        <f t="shared" si="404"/>
        <v>18</v>
      </c>
      <c r="Q397" s="428">
        <f t="shared" si="405"/>
        <v>18</v>
      </c>
      <c r="R397" s="428">
        <f t="shared" si="406"/>
        <v>18</v>
      </c>
      <c r="S397" s="428">
        <f t="shared" si="407"/>
        <v>18</v>
      </c>
      <c r="T397" s="428">
        <f t="shared" si="408"/>
        <v>18</v>
      </c>
      <c r="U397" s="428">
        <f t="shared" si="409"/>
        <v>22</v>
      </c>
      <c r="V397" s="428">
        <f t="shared" si="410"/>
        <v>22</v>
      </c>
      <c r="W397" s="428">
        <f t="shared" si="411"/>
        <v>26</v>
      </c>
      <c r="X397" s="428">
        <f t="shared" si="412"/>
        <v>34</v>
      </c>
      <c r="Y397" s="428">
        <f t="shared" si="413"/>
        <v>42</v>
      </c>
      <c r="Z397" s="428" t="s">
        <v>762</v>
      </c>
      <c r="AA397" s="428" t="s">
        <v>762</v>
      </c>
      <c r="AB397" s="428" t="s">
        <v>762</v>
      </c>
      <c r="AC397" s="428" t="s">
        <v>762</v>
      </c>
      <c r="AD397" s="428" t="s">
        <v>762</v>
      </c>
      <c r="AE397" s="428" t="s">
        <v>762</v>
      </c>
      <c r="AF397" s="428" t="s">
        <v>762</v>
      </c>
      <c r="AG397" s="428" t="s">
        <v>762</v>
      </c>
      <c r="AH397" s="428" t="s">
        <v>762</v>
      </c>
      <c r="AI397" s="428" t="s">
        <v>762</v>
      </c>
      <c r="AJ397" s="428" t="s">
        <v>762</v>
      </c>
      <c r="AK397" s="428" t="s">
        <v>762</v>
      </c>
      <c r="AL397" s="428" t="s">
        <v>762</v>
      </c>
      <c r="AM397" s="428" t="s">
        <v>762</v>
      </c>
      <c r="AN397" s="428" t="s">
        <v>762</v>
      </c>
      <c r="AO397" s="428" t="s">
        <v>762</v>
      </c>
      <c r="AP397" s="428" t="s">
        <v>762</v>
      </c>
      <c r="AQ397" s="428" t="s">
        <v>762</v>
      </c>
      <c r="AR397" s="428" t="s">
        <v>762</v>
      </c>
      <c r="AS397" s="428" t="s">
        <v>762</v>
      </c>
      <c r="AT397" s="428" t="s">
        <v>762</v>
      </c>
      <c r="AU397" s="428" t="s">
        <v>762</v>
      </c>
      <c r="AV397" s="428" t="s">
        <v>762</v>
      </c>
      <c r="AW397" s="428" t="s">
        <v>762</v>
      </c>
      <c r="AX397" s="428" t="s">
        <v>762</v>
      </c>
      <c r="AY397" s="428" t="s">
        <v>762</v>
      </c>
      <c r="AZ397" s="428" t="s">
        <v>762</v>
      </c>
      <c r="BA397" s="428" t="s">
        <v>762</v>
      </c>
      <c r="BB397" s="428" t="s">
        <v>762</v>
      </c>
      <c r="BC397" s="428" t="s">
        <v>762</v>
      </c>
      <c r="BD397" s="428" t="s">
        <v>762</v>
      </c>
      <c r="BE397" s="428" t="s">
        <v>762</v>
      </c>
      <c r="BF397" s="428" t="s">
        <v>762</v>
      </c>
      <c r="BG397" s="428" t="s">
        <v>762</v>
      </c>
      <c r="BH397" s="428" t="s">
        <v>762</v>
      </c>
      <c r="BI397" s="428" t="s">
        <v>762</v>
      </c>
      <c r="BJ397" s="428" t="s">
        <v>762</v>
      </c>
      <c r="BK397" s="428" t="s">
        <v>762</v>
      </c>
      <c r="BL397" s="428" t="s">
        <v>762</v>
      </c>
      <c r="BM397" s="428" t="s">
        <v>762</v>
      </c>
      <c r="BN397" s="428" t="s">
        <v>762</v>
      </c>
      <c r="BO397" s="428" t="s">
        <v>762</v>
      </c>
      <c r="BP397" s="428" t="s">
        <v>762</v>
      </c>
      <c r="BQ397" s="428" t="s">
        <v>762</v>
      </c>
      <c r="BR397" s="428" t="s">
        <v>762</v>
      </c>
      <c r="BS397" s="428" t="s">
        <v>762</v>
      </c>
      <c r="BT397" s="428" t="s">
        <v>762</v>
      </c>
      <c r="BU397" s="428" t="s">
        <v>762</v>
      </c>
      <c r="BV397" s="428" t="s">
        <v>762</v>
      </c>
      <c r="BW397" s="428" t="s">
        <v>762</v>
      </c>
      <c r="BX397" s="428" t="s">
        <v>762</v>
      </c>
      <c r="BY397" s="428" t="s">
        <v>762</v>
      </c>
      <c r="BZ397" s="428" t="s">
        <v>762</v>
      </c>
      <c r="CA397" s="428" t="s">
        <v>762</v>
      </c>
      <c r="CB397" s="428" t="s">
        <v>762</v>
      </c>
      <c r="CC397" s="428" t="s">
        <v>762</v>
      </c>
      <c r="CD397" s="428" t="s">
        <v>762</v>
      </c>
      <c r="CE397" s="428" t="s">
        <v>762</v>
      </c>
      <c r="CF397" s="428" t="s">
        <v>762</v>
      </c>
      <c r="CG397" s="428" t="s">
        <v>762</v>
      </c>
      <c r="CH397" s="428" t="s">
        <v>762</v>
      </c>
      <c r="CI397" s="428" t="s">
        <v>762</v>
      </c>
      <c r="CJ397" s="428" t="s">
        <v>762</v>
      </c>
      <c r="CK397" s="428" t="s">
        <v>762</v>
      </c>
      <c r="CL397" s="428" t="s">
        <v>762</v>
      </c>
    </row>
    <row r="398" spans="1:90" s="429" customFormat="1">
      <c r="A398" s="427" t="s">
        <v>564</v>
      </c>
      <c r="B398" s="427" t="s">
        <v>103</v>
      </c>
      <c r="C398" s="428">
        <f t="shared" si="391"/>
        <v>14</v>
      </c>
      <c r="D398" s="428">
        <f t="shared" si="392"/>
        <v>14</v>
      </c>
      <c r="E398" s="428">
        <f t="shared" si="393"/>
        <v>14</v>
      </c>
      <c r="F398" s="428">
        <f t="shared" si="394"/>
        <v>14</v>
      </c>
      <c r="G398" s="428">
        <f t="shared" si="395"/>
        <v>15</v>
      </c>
      <c r="H398" s="428">
        <f t="shared" si="396"/>
        <v>15</v>
      </c>
      <c r="I398" s="428">
        <f t="shared" si="397"/>
        <v>15</v>
      </c>
      <c r="J398" s="428">
        <f t="shared" si="398"/>
        <v>15</v>
      </c>
      <c r="K398" s="428">
        <f t="shared" si="399"/>
        <v>15</v>
      </c>
      <c r="L398" s="428">
        <f t="shared" si="400"/>
        <v>16</v>
      </c>
      <c r="M398" s="428">
        <f t="shared" si="401"/>
        <v>16</v>
      </c>
      <c r="N398" s="428">
        <f t="shared" si="402"/>
        <v>17</v>
      </c>
      <c r="O398" s="428">
        <f t="shared" si="403"/>
        <v>17</v>
      </c>
      <c r="P398" s="428">
        <f t="shared" si="404"/>
        <v>18</v>
      </c>
      <c r="Q398" s="428">
        <f t="shared" si="405"/>
        <v>18</v>
      </c>
      <c r="R398" s="428">
        <f t="shared" si="406"/>
        <v>18</v>
      </c>
      <c r="S398" s="428">
        <f t="shared" si="407"/>
        <v>18</v>
      </c>
      <c r="T398" s="428">
        <f t="shared" si="408"/>
        <v>18</v>
      </c>
      <c r="U398" s="428">
        <f t="shared" si="409"/>
        <v>22</v>
      </c>
      <c r="V398" s="428">
        <f t="shared" si="410"/>
        <v>22</v>
      </c>
      <c r="W398" s="428">
        <f t="shared" si="411"/>
        <v>26</v>
      </c>
      <c r="X398" s="428">
        <f t="shared" si="412"/>
        <v>34</v>
      </c>
      <c r="Y398" s="428">
        <f t="shared" si="413"/>
        <v>42</v>
      </c>
      <c r="Z398" s="428" t="s">
        <v>762</v>
      </c>
      <c r="AA398" s="428" t="s">
        <v>762</v>
      </c>
      <c r="AB398" s="428" t="s">
        <v>762</v>
      </c>
      <c r="AC398" s="428" t="s">
        <v>762</v>
      </c>
      <c r="AD398" s="428" t="s">
        <v>762</v>
      </c>
      <c r="AE398" s="428" t="s">
        <v>762</v>
      </c>
      <c r="AF398" s="428" t="s">
        <v>762</v>
      </c>
      <c r="AG398" s="428" t="s">
        <v>762</v>
      </c>
      <c r="AH398" s="428" t="s">
        <v>762</v>
      </c>
      <c r="AI398" s="428" t="s">
        <v>762</v>
      </c>
      <c r="AJ398" s="428" t="s">
        <v>762</v>
      </c>
      <c r="AK398" s="428" t="s">
        <v>762</v>
      </c>
      <c r="AL398" s="428" t="s">
        <v>762</v>
      </c>
      <c r="AM398" s="428" t="s">
        <v>762</v>
      </c>
      <c r="AN398" s="428" t="s">
        <v>762</v>
      </c>
      <c r="AO398" s="428" t="s">
        <v>762</v>
      </c>
      <c r="AP398" s="428" t="s">
        <v>762</v>
      </c>
      <c r="AQ398" s="428" t="s">
        <v>762</v>
      </c>
      <c r="AR398" s="428" t="s">
        <v>762</v>
      </c>
      <c r="AS398" s="428" t="s">
        <v>762</v>
      </c>
      <c r="AT398" s="428" t="s">
        <v>762</v>
      </c>
      <c r="AU398" s="428" t="s">
        <v>762</v>
      </c>
      <c r="AV398" s="428" t="s">
        <v>762</v>
      </c>
      <c r="AW398" s="428" t="s">
        <v>762</v>
      </c>
      <c r="AX398" s="428" t="s">
        <v>762</v>
      </c>
      <c r="AY398" s="428" t="s">
        <v>762</v>
      </c>
      <c r="AZ398" s="428" t="s">
        <v>762</v>
      </c>
      <c r="BA398" s="428" t="s">
        <v>762</v>
      </c>
      <c r="BB398" s="428" t="s">
        <v>762</v>
      </c>
      <c r="BC398" s="428" t="s">
        <v>762</v>
      </c>
      <c r="BD398" s="428" t="s">
        <v>762</v>
      </c>
      <c r="BE398" s="428" t="s">
        <v>762</v>
      </c>
      <c r="BF398" s="428" t="s">
        <v>762</v>
      </c>
      <c r="BG398" s="428" t="s">
        <v>762</v>
      </c>
      <c r="BH398" s="428" t="s">
        <v>762</v>
      </c>
      <c r="BI398" s="428" t="s">
        <v>762</v>
      </c>
      <c r="BJ398" s="428" t="s">
        <v>762</v>
      </c>
      <c r="BK398" s="428" t="s">
        <v>762</v>
      </c>
      <c r="BL398" s="428" t="s">
        <v>762</v>
      </c>
      <c r="BM398" s="428" t="s">
        <v>762</v>
      </c>
      <c r="BN398" s="428" t="s">
        <v>762</v>
      </c>
      <c r="BO398" s="428" t="s">
        <v>762</v>
      </c>
      <c r="BP398" s="428" t="s">
        <v>762</v>
      </c>
      <c r="BQ398" s="428" t="s">
        <v>762</v>
      </c>
      <c r="BR398" s="428" t="s">
        <v>762</v>
      </c>
      <c r="BS398" s="428" t="s">
        <v>762</v>
      </c>
      <c r="BT398" s="428" t="s">
        <v>762</v>
      </c>
      <c r="BU398" s="428" t="s">
        <v>762</v>
      </c>
      <c r="BV398" s="428" t="s">
        <v>762</v>
      </c>
      <c r="BW398" s="428" t="s">
        <v>762</v>
      </c>
      <c r="BX398" s="428" t="s">
        <v>762</v>
      </c>
      <c r="BY398" s="428" t="s">
        <v>762</v>
      </c>
      <c r="BZ398" s="428" t="s">
        <v>762</v>
      </c>
      <c r="CA398" s="428" t="s">
        <v>762</v>
      </c>
      <c r="CB398" s="428" t="s">
        <v>762</v>
      </c>
      <c r="CC398" s="428" t="s">
        <v>762</v>
      </c>
      <c r="CD398" s="428" t="s">
        <v>762</v>
      </c>
      <c r="CE398" s="428" t="s">
        <v>762</v>
      </c>
      <c r="CF398" s="428" t="s">
        <v>762</v>
      </c>
      <c r="CG398" s="428" t="s">
        <v>762</v>
      </c>
      <c r="CH398" s="428" t="s">
        <v>762</v>
      </c>
      <c r="CI398" s="428" t="s">
        <v>762</v>
      </c>
      <c r="CJ398" s="428" t="s">
        <v>762</v>
      </c>
      <c r="CK398" s="428" t="s">
        <v>762</v>
      </c>
      <c r="CL398" s="428" t="s">
        <v>762</v>
      </c>
    </row>
    <row r="399" spans="1:90" s="429" customFormat="1">
      <c r="A399" s="427" t="s">
        <v>565</v>
      </c>
      <c r="B399" s="427" t="s">
        <v>103</v>
      </c>
      <c r="C399" s="428">
        <f t="shared" si="391"/>
        <v>14</v>
      </c>
      <c r="D399" s="428">
        <f t="shared" si="392"/>
        <v>14</v>
      </c>
      <c r="E399" s="428">
        <f t="shared" si="393"/>
        <v>14</v>
      </c>
      <c r="F399" s="428">
        <f t="shared" si="394"/>
        <v>14</v>
      </c>
      <c r="G399" s="428">
        <f t="shared" si="395"/>
        <v>15</v>
      </c>
      <c r="H399" s="428">
        <f t="shared" si="396"/>
        <v>15</v>
      </c>
      <c r="I399" s="428">
        <f t="shared" si="397"/>
        <v>15</v>
      </c>
      <c r="J399" s="428">
        <f t="shared" si="398"/>
        <v>15</v>
      </c>
      <c r="K399" s="428">
        <f t="shared" si="399"/>
        <v>15</v>
      </c>
      <c r="L399" s="428">
        <f t="shared" si="400"/>
        <v>16</v>
      </c>
      <c r="M399" s="428">
        <f t="shared" si="401"/>
        <v>16</v>
      </c>
      <c r="N399" s="428">
        <f t="shared" si="402"/>
        <v>17</v>
      </c>
      <c r="O399" s="428">
        <f t="shared" si="403"/>
        <v>17</v>
      </c>
      <c r="P399" s="428">
        <f t="shared" si="404"/>
        <v>18</v>
      </c>
      <c r="Q399" s="428">
        <f t="shared" si="405"/>
        <v>18</v>
      </c>
      <c r="R399" s="428">
        <f t="shared" si="406"/>
        <v>18</v>
      </c>
      <c r="S399" s="428">
        <f t="shared" si="407"/>
        <v>18</v>
      </c>
      <c r="T399" s="428">
        <f t="shared" si="408"/>
        <v>18</v>
      </c>
      <c r="U399" s="428">
        <f t="shared" si="409"/>
        <v>22</v>
      </c>
      <c r="V399" s="428">
        <f t="shared" si="410"/>
        <v>22</v>
      </c>
      <c r="W399" s="428">
        <f t="shared" si="411"/>
        <v>26</v>
      </c>
      <c r="X399" s="428">
        <f t="shared" si="412"/>
        <v>34</v>
      </c>
      <c r="Y399" s="428">
        <f t="shared" si="413"/>
        <v>42</v>
      </c>
      <c r="Z399" s="428" t="s">
        <v>762</v>
      </c>
      <c r="AA399" s="428" t="s">
        <v>762</v>
      </c>
      <c r="AB399" s="428" t="s">
        <v>762</v>
      </c>
      <c r="AC399" s="428" t="s">
        <v>762</v>
      </c>
      <c r="AD399" s="428" t="s">
        <v>762</v>
      </c>
      <c r="AE399" s="428" t="s">
        <v>762</v>
      </c>
      <c r="AF399" s="428" t="s">
        <v>762</v>
      </c>
      <c r="AG399" s="428" t="s">
        <v>762</v>
      </c>
      <c r="AH399" s="428" t="s">
        <v>762</v>
      </c>
      <c r="AI399" s="428" t="s">
        <v>762</v>
      </c>
      <c r="AJ399" s="428" t="s">
        <v>762</v>
      </c>
      <c r="AK399" s="428" t="s">
        <v>762</v>
      </c>
      <c r="AL399" s="428" t="s">
        <v>762</v>
      </c>
      <c r="AM399" s="428" t="s">
        <v>762</v>
      </c>
      <c r="AN399" s="428" t="s">
        <v>762</v>
      </c>
      <c r="AO399" s="428" t="s">
        <v>762</v>
      </c>
      <c r="AP399" s="428" t="s">
        <v>762</v>
      </c>
      <c r="AQ399" s="428" t="s">
        <v>762</v>
      </c>
      <c r="AR399" s="428" t="s">
        <v>762</v>
      </c>
      <c r="AS399" s="428" t="s">
        <v>762</v>
      </c>
      <c r="AT399" s="428" t="s">
        <v>762</v>
      </c>
      <c r="AU399" s="428" t="s">
        <v>762</v>
      </c>
      <c r="AV399" s="428" t="s">
        <v>762</v>
      </c>
      <c r="AW399" s="428" t="s">
        <v>762</v>
      </c>
      <c r="AX399" s="428" t="s">
        <v>762</v>
      </c>
      <c r="AY399" s="428" t="s">
        <v>762</v>
      </c>
      <c r="AZ399" s="428" t="s">
        <v>762</v>
      </c>
      <c r="BA399" s="428" t="s">
        <v>762</v>
      </c>
      <c r="BB399" s="428" t="s">
        <v>762</v>
      </c>
      <c r="BC399" s="428" t="s">
        <v>762</v>
      </c>
      <c r="BD399" s="428" t="s">
        <v>762</v>
      </c>
      <c r="BE399" s="428" t="s">
        <v>762</v>
      </c>
      <c r="BF399" s="428" t="s">
        <v>762</v>
      </c>
      <c r="BG399" s="428" t="s">
        <v>762</v>
      </c>
      <c r="BH399" s="428" t="s">
        <v>762</v>
      </c>
      <c r="BI399" s="428" t="s">
        <v>762</v>
      </c>
      <c r="BJ399" s="428" t="s">
        <v>762</v>
      </c>
      <c r="BK399" s="428" t="s">
        <v>762</v>
      </c>
      <c r="BL399" s="428" t="s">
        <v>762</v>
      </c>
      <c r="BM399" s="428" t="s">
        <v>762</v>
      </c>
      <c r="BN399" s="428" t="s">
        <v>762</v>
      </c>
      <c r="BO399" s="428" t="s">
        <v>762</v>
      </c>
      <c r="BP399" s="428" t="s">
        <v>762</v>
      </c>
      <c r="BQ399" s="428" t="s">
        <v>762</v>
      </c>
      <c r="BR399" s="428" t="s">
        <v>762</v>
      </c>
      <c r="BS399" s="428" t="s">
        <v>762</v>
      </c>
      <c r="BT399" s="428" t="s">
        <v>762</v>
      </c>
      <c r="BU399" s="428" t="s">
        <v>762</v>
      </c>
      <c r="BV399" s="428" t="s">
        <v>762</v>
      </c>
      <c r="BW399" s="428" t="s">
        <v>762</v>
      </c>
      <c r="BX399" s="428" t="s">
        <v>762</v>
      </c>
      <c r="BY399" s="428" t="s">
        <v>762</v>
      </c>
      <c r="BZ399" s="428" t="s">
        <v>762</v>
      </c>
      <c r="CA399" s="428" t="s">
        <v>762</v>
      </c>
      <c r="CB399" s="428" t="s">
        <v>762</v>
      </c>
      <c r="CC399" s="428" t="s">
        <v>762</v>
      </c>
      <c r="CD399" s="428" t="s">
        <v>762</v>
      </c>
      <c r="CE399" s="428" t="s">
        <v>762</v>
      </c>
      <c r="CF399" s="428" t="s">
        <v>762</v>
      </c>
      <c r="CG399" s="428" t="s">
        <v>762</v>
      </c>
      <c r="CH399" s="428" t="s">
        <v>762</v>
      </c>
      <c r="CI399" s="428" t="s">
        <v>762</v>
      </c>
      <c r="CJ399" s="428" t="s">
        <v>762</v>
      </c>
      <c r="CK399" s="428" t="s">
        <v>762</v>
      </c>
      <c r="CL399" s="428" t="s">
        <v>762</v>
      </c>
    </row>
    <row r="400" spans="1:90" s="429" customFormat="1">
      <c r="A400" s="427" t="s">
        <v>566</v>
      </c>
      <c r="B400" s="427" t="s">
        <v>103</v>
      </c>
      <c r="C400" s="428">
        <f t="shared" si="391"/>
        <v>14</v>
      </c>
      <c r="D400" s="428">
        <f t="shared" si="392"/>
        <v>14</v>
      </c>
      <c r="E400" s="428">
        <f t="shared" si="393"/>
        <v>14</v>
      </c>
      <c r="F400" s="428">
        <f t="shared" si="394"/>
        <v>14</v>
      </c>
      <c r="G400" s="428">
        <f t="shared" si="395"/>
        <v>15</v>
      </c>
      <c r="H400" s="428">
        <f t="shared" si="396"/>
        <v>15</v>
      </c>
      <c r="I400" s="428">
        <f t="shared" si="397"/>
        <v>15</v>
      </c>
      <c r="J400" s="428">
        <f t="shared" si="398"/>
        <v>15</v>
      </c>
      <c r="K400" s="428">
        <f t="shared" si="399"/>
        <v>15</v>
      </c>
      <c r="L400" s="428">
        <f t="shared" si="400"/>
        <v>16</v>
      </c>
      <c r="M400" s="428">
        <f t="shared" si="401"/>
        <v>16</v>
      </c>
      <c r="N400" s="428">
        <f t="shared" si="402"/>
        <v>17</v>
      </c>
      <c r="O400" s="428">
        <f t="shared" si="403"/>
        <v>17</v>
      </c>
      <c r="P400" s="428">
        <f t="shared" si="404"/>
        <v>18</v>
      </c>
      <c r="Q400" s="428">
        <f t="shared" si="405"/>
        <v>18</v>
      </c>
      <c r="R400" s="428">
        <f t="shared" si="406"/>
        <v>18</v>
      </c>
      <c r="S400" s="428">
        <f t="shared" si="407"/>
        <v>18</v>
      </c>
      <c r="T400" s="428">
        <f t="shared" si="408"/>
        <v>18</v>
      </c>
      <c r="U400" s="428">
        <f t="shared" si="409"/>
        <v>22</v>
      </c>
      <c r="V400" s="428">
        <f t="shared" si="410"/>
        <v>22</v>
      </c>
      <c r="W400" s="428">
        <f t="shared" si="411"/>
        <v>26</v>
      </c>
      <c r="X400" s="428">
        <f t="shared" si="412"/>
        <v>34</v>
      </c>
      <c r="Y400" s="428">
        <f t="shared" si="413"/>
        <v>42</v>
      </c>
      <c r="Z400" s="428" t="s">
        <v>762</v>
      </c>
      <c r="AA400" s="428" t="s">
        <v>762</v>
      </c>
      <c r="AB400" s="428" t="s">
        <v>762</v>
      </c>
      <c r="AC400" s="428" t="s">
        <v>762</v>
      </c>
      <c r="AD400" s="428" t="s">
        <v>762</v>
      </c>
      <c r="AE400" s="428" t="s">
        <v>762</v>
      </c>
      <c r="AF400" s="428" t="s">
        <v>762</v>
      </c>
      <c r="AG400" s="428" t="s">
        <v>762</v>
      </c>
      <c r="AH400" s="428" t="s">
        <v>762</v>
      </c>
      <c r="AI400" s="428" t="s">
        <v>762</v>
      </c>
      <c r="AJ400" s="428" t="s">
        <v>762</v>
      </c>
      <c r="AK400" s="428" t="s">
        <v>762</v>
      </c>
      <c r="AL400" s="428" t="s">
        <v>762</v>
      </c>
      <c r="AM400" s="428" t="s">
        <v>762</v>
      </c>
      <c r="AN400" s="428" t="s">
        <v>762</v>
      </c>
      <c r="AO400" s="428" t="s">
        <v>762</v>
      </c>
      <c r="AP400" s="428" t="s">
        <v>762</v>
      </c>
      <c r="AQ400" s="428" t="s">
        <v>762</v>
      </c>
      <c r="AR400" s="428" t="s">
        <v>762</v>
      </c>
      <c r="AS400" s="428" t="s">
        <v>762</v>
      </c>
      <c r="AT400" s="428" t="s">
        <v>762</v>
      </c>
      <c r="AU400" s="428" t="s">
        <v>762</v>
      </c>
      <c r="AV400" s="428" t="s">
        <v>762</v>
      </c>
      <c r="AW400" s="428" t="s">
        <v>762</v>
      </c>
      <c r="AX400" s="428" t="s">
        <v>762</v>
      </c>
      <c r="AY400" s="428" t="s">
        <v>762</v>
      </c>
      <c r="AZ400" s="428" t="s">
        <v>762</v>
      </c>
      <c r="BA400" s="428" t="s">
        <v>762</v>
      </c>
      <c r="BB400" s="428" t="s">
        <v>762</v>
      </c>
      <c r="BC400" s="428" t="s">
        <v>762</v>
      </c>
      <c r="BD400" s="428" t="s">
        <v>762</v>
      </c>
      <c r="BE400" s="428" t="s">
        <v>762</v>
      </c>
      <c r="BF400" s="428" t="s">
        <v>762</v>
      </c>
      <c r="BG400" s="428" t="s">
        <v>762</v>
      </c>
      <c r="BH400" s="428" t="s">
        <v>762</v>
      </c>
      <c r="BI400" s="428" t="s">
        <v>762</v>
      </c>
      <c r="BJ400" s="428" t="s">
        <v>762</v>
      </c>
      <c r="BK400" s="428" t="s">
        <v>762</v>
      </c>
      <c r="BL400" s="428" t="s">
        <v>762</v>
      </c>
      <c r="BM400" s="428" t="s">
        <v>762</v>
      </c>
      <c r="BN400" s="428" t="s">
        <v>762</v>
      </c>
      <c r="BO400" s="428" t="s">
        <v>762</v>
      </c>
      <c r="BP400" s="428" t="s">
        <v>762</v>
      </c>
      <c r="BQ400" s="428" t="s">
        <v>762</v>
      </c>
      <c r="BR400" s="428" t="s">
        <v>762</v>
      </c>
      <c r="BS400" s="428" t="s">
        <v>762</v>
      </c>
      <c r="BT400" s="428" t="s">
        <v>762</v>
      </c>
      <c r="BU400" s="428" t="s">
        <v>762</v>
      </c>
      <c r="BV400" s="428" t="s">
        <v>762</v>
      </c>
      <c r="BW400" s="428" t="s">
        <v>762</v>
      </c>
      <c r="BX400" s="428" t="s">
        <v>762</v>
      </c>
      <c r="BY400" s="428" t="s">
        <v>762</v>
      </c>
      <c r="BZ400" s="428" t="s">
        <v>762</v>
      </c>
      <c r="CA400" s="428" t="s">
        <v>762</v>
      </c>
      <c r="CB400" s="428" t="s">
        <v>762</v>
      </c>
      <c r="CC400" s="428" t="s">
        <v>762</v>
      </c>
      <c r="CD400" s="428" t="s">
        <v>762</v>
      </c>
      <c r="CE400" s="428" t="s">
        <v>762</v>
      </c>
      <c r="CF400" s="428" t="s">
        <v>762</v>
      </c>
      <c r="CG400" s="428" t="s">
        <v>762</v>
      </c>
      <c r="CH400" s="428" t="s">
        <v>762</v>
      </c>
      <c r="CI400" s="428" t="s">
        <v>762</v>
      </c>
      <c r="CJ400" s="428" t="s">
        <v>762</v>
      </c>
      <c r="CK400" s="428" t="s">
        <v>762</v>
      </c>
      <c r="CL400" s="428" t="s">
        <v>762</v>
      </c>
    </row>
    <row r="401" spans="1:90" s="429" customFormat="1">
      <c r="A401" s="427" t="s">
        <v>567</v>
      </c>
      <c r="B401" s="427" t="s">
        <v>103</v>
      </c>
      <c r="C401" s="428">
        <f t="shared" si="391"/>
        <v>14</v>
      </c>
      <c r="D401" s="428">
        <f t="shared" si="392"/>
        <v>14</v>
      </c>
      <c r="E401" s="428">
        <f t="shared" si="393"/>
        <v>14</v>
      </c>
      <c r="F401" s="428">
        <f t="shared" si="394"/>
        <v>14</v>
      </c>
      <c r="G401" s="428">
        <f t="shared" si="395"/>
        <v>15</v>
      </c>
      <c r="H401" s="428">
        <f t="shared" si="396"/>
        <v>15</v>
      </c>
      <c r="I401" s="428">
        <f t="shared" si="397"/>
        <v>15</v>
      </c>
      <c r="J401" s="428">
        <f t="shared" si="398"/>
        <v>15</v>
      </c>
      <c r="K401" s="428">
        <f t="shared" si="399"/>
        <v>15</v>
      </c>
      <c r="L401" s="428">
        <f t="shared" si="400"/>
        <v>16</v>
      </c>
      <c r="M401" s="428">
        <f t="shared" si="401"/>
        <v>16</v>
      </c>
      <c r="N401" s="428">
        <f t="shared" si="402"/>
        <v>17</v>
      </c>
      <c r="O401" s="428">
        <f t="shared" si="403"/>
        <v>17</v>
      </c>
      <c r="P401" s="428">
        <f t="shared" si="404"/>
        <v>18</v>
      </c>
      <c r="Q401" s="428">
        <f t="shared" si="405"/>
        <v>18</v>
      </c>
      <c r="R401" s="428">
        <f t="shared" si="406"/>
        <v>18</v>
      </c>
      <c r="S401" s="428">
        <f t="shared" si="407"/>
        <v>18</v>
      </c>
      <c r="T401" s="428">
        <f t="shared" si="408"/>
        <v>18</v>
      </c>
      <c r="U401" s="428">
        <f t="shared" si="409"/>
        <v>22</v>
      </c>
      <c r="V401" s="428">
        <f t="shared" si="410"/>
        <v>22</v>
      </c>
      <c r="W401" s="428">
        <f t="shared" si="411"/>
        <v>26</v>
      </c>
      <c r="X401" s="428">
        <f t="shared" si="412"/>
        <v>34</v>
      </c>
      <c r="Y401" s="428">
        <f t="shared" si="413"/>
        <v>42</v>
      </c>
      <c r="Z401" s="428" t="s">
        <v>762</v>
      </c>
      <c r="AA401" s="428" t="s">
        <v>762</v>
      </c>
      <c r="AB401" s="428" t="s">
        <v>762</v>
      </c>
      <c r="AC401" s="428" t="s">
        <v>762</v>
      </c>
      <c r="AD401" s="428" t="s">
        <v>762</v>
      </c>
      <c r="AE401" s="428" t="s">
        <v>762</v>
      </c>
      <c r="AF401" s="428" t="s">
        <v>762</v>
      </c>
      <c r="AG401" s="428" t="s">
        <v>762</v>
      </c>
      <c r="AH401" s="428" t="s">
        <v>762</v>
      </c>
      <c r="AI401" s="428" t="s">
        <v>762</v>
      </c>
      <c r="AJ401" s="428" t="s">
        <v>762</v>
      </c>
      <c r="AK401" s="428" t="s">
        <v>762</v>
      </c>
      <c r="AL401" s="428" t="s">
        <v>762</v>
      </c>
      <c r="AM401" s="428" t="s">
        <v>762</v>
      </c>
      <c r="AN401" s="428" t="s">
        <v>762</v>
      </c>
      <c r="AO401" s="428" t="s">
        <v>762</v>
      </c>
      <c r="AP401" s="428" t="s">
        <v>762</v>
      </c>
      <c r="AQ401" s="428" t="s">
        <v>762</v>
      </c>
      <c r="AR401" s="428" t="s">
        <v>762</v>
      </c>
      <c r="AS401" s="428" t="s">
        <v>762</v>
      </c>
      <c r="AT401" s="428" t="s">
        <v>762</v>
      </c>
      <c r="AU401" s="428" t="s">
        <v>762</v>
      </c>
      <c r="AV401" s="428" t="s">
        <v>762</v>
      </c>
      <c r="AW401" s="428" t="s">
        <v>762</v>
      </c>
      <c r="AX401" s="428" t="s">
        <v>762</v>
      </c>
      <c r="AY401" s="428" t="s">
        <v>762</v>
      </c>
      <c r="AZ401" s="428" t="s">
        <v>762</v>
      </c>
      <c r="BA401" s="428" t="s">
        <v>762</v>
      </c>
      <c r="BB401" s="428" t="s">
        <v>762</v>
      </c>
      <c r="BC401" s="428" t="s">
        <v>762</v>
      </c>
      <c r="BD401" s="428" t="s">
        <v>762</v>
      </c>
      <c r="BE401" s="428" t="s">
        <v>762</v>
      </c>
      <c r="BF401" s="428" t="s">
        <v>762</v>
      </c>
      <c r="BG401" s="428" t="s">
        <v>762</v>
      </c>
      <c r="BH401" s="428" t="s">
        <v>762</v>
      </c>
      <c r="BI401" s="428" t="s">
        <v>762</v>
      </c>
      <c r="BJ401" s="428" t="s">
        <v>762</v>
      </c>
      <c r="BK401" s="428" t="s">
        <v>762</v>
      </c>
      <c r="BL401" s="428" t="s">
        <v>762</v>
      </c>
      <c r="BM401" s="428" t="s">
        <v>762</v>
      </c>
      <c r="BN401" s="428" t="s">
        <v>762</v>
      </c>
      <c r="BO401" s="428" t="s">
        <v>762</v>
      </c>
      <c r="BP401" s="428" t="s">
        <v>762</v>
      </c>
      <c r="BQ401" s="428" t="s">
        <v>762</v>
      </c>
      <c r="BR401" s="428" t="s">
        <v>762</v>
      </c>
      <c r="BS401" s="428" t="s">
        <v>762</v>
      </c>
      <c r="BT401" s="428" t="s">
        <v>762</v>
      </c>
      <c r="BU401" s="428" t="s">
        <v>762</v>
      </c>
      <c r="BV401" s="428" t="s">
        <v>762</v>
      </c>
      <c r="BW401" s="428" t="s">
        <v>762</v>
      </c>
      <c r="BX401" s="428" t="s">
        <v>762</v>
      </c>
      <c r="BY401" s="428" t="s">
        <v>762</v>
      </c>
      <c r="BZ401" s="428" t="s">
        <v>762</v>
      </c>
      <c r="CA401" s="428" t="s">
        <v>762</v>
      </c>
      <c r="CB401" s="428" t="s">
        <v>762</v>
      </c>
      <c r="CC401" s="428" t="s">
        <v>762</v>
      </c>
      <c r="CD401" s="428" t="s">
        <v>762</v>
      </c>
      <c r="CE401" s="428" t="s">
        <v>762</v>
      </c>
      <c r="CF401" s="428" t="s">
        <v>762</v>
      </c>
      <c r="CG401" s="428" t="s">
        <v>762</v>
      </c>
      <c r="CH401" s="428" t="s">
        <v>762</v>
      </c>
      <c r="CI401" s="428" t="s">
        <v>762</v>
      </c>
      <c r="CJ401" s="428" t="s">
        <v>762</v>
      </c>
      <c r="CK401" s="428" t="s">
        <v>762</v>
      </c>
      <c r="CL401" s="428" t="s">
        <v>762</v>
      </c>
    </row>
    <row r="402" spans="1:90" s="429" customFormat="1">
      <c r="A402" s="427" t="s">
        <v>568</v>
      </c>
      <c r="B402" s="427" t="s">
        <v>103</v>
      </c>
      <c r="C402" s="428">
        <f t="shared" si="391"/>
        <v>14</v>
      </c>
      <c r="D402" s="428">
        <f t="shared" si="392"/>
        <v>14</v>
      </c>
      <c r="E402" s="428">
        <f t="shared" si="393"/>
        <v>14</v>
      </c>
      <c r="F402" s="428">
        <f t="shared" si="394"/>
        <v>14</v>
      </c>
      <c r="G402" s="428">
        <f t="shared" si="395"/>
        <v>15</v>
      </c>
      <c r="H402" s="428">
        <f t="shared" si="396"/>
        <v>15</v>
      </c>
      <c r="I402" s="428">
        <f t="shared" si="397"/>
        <v>15</v>
      </c>
      <c r="J402" s="428">
        <f t="shared" si="398"/>
        <v>15</v>
      </c>
      <c r="K402" s="428">
        <f t="shared" si="399"/>
        <v>15</v>
      </c>
      <c r="L402" s="428">
        <f t="shared" si="400"/>
        <v>16</v>
      </c>
      <c r="M402" s="428">
        <f t="shared" si="401"/>
        <v>16</v>
      </c>
      <c r="N402" s="428">
        <f t="shared" si="402"/>
        <v>17</v>
      </c>
      <c r="O402" s="428">
        <f t="shared" si="403"/>
        <v>17</v>
      </c>
      <c r="P402" s="428">
        <f t="shared" si="404"/>
        <v>18</v>
      </c>
      <c r="Q402" s="428">
        <f t="shared" si="405"/>
        <v>18</v>
      </c>
      <c r="R402" s="428">
        <f t="shared" si="406"/>
        <v>18</v>
      </c>
      <c r="S402" s="428">
        <f t="shared" si="407"/>
        <v>18</v>
      </c>
      <c r="T402" s="428">
        <f t="shared" si="408"/>
        <v>18</v>
      </c>
      <c r="U402" s="428">
        <f t="shared" si="409"/>
        <v>22</v>
      </c>
      <c r="V402" s="428">
        <f t="shared" si="410"/>
        <v>22</v>
      </c>
      <c r="W402" s="428">
        <f t="shared" si="411"/>
        <v>26</v>
      </c>
      <c r="X402" s="428">
        <f t="shared" si="412"/>
        <v>34</v>
      </c>
      <c r="Y402" s="428">
        <f t="shared" si="413"/>
        <v>42</v>
      </c>
      <c r="Z402" s="428" t="s">
        <v>762</v>
      </c>
      <c r="AA402" s="428" t="s">
        <v>762</v>
      </c>
      <c r="AB402" s="428" t="s">
        <v>762</v>
      </c>
      <c r="AC402" s="428" t="s">
        <v>762</v>
      </c>
      <c r="AD402" s="428" t="s">
        <v>762</v>
      </c>
      <c r="AE402" s="428" t="s">
        <v>762</v>
      </c>
      <c r="AF402" s="428" t="s">
        <v>762</v>
      </c>
      <c r="AG402" s="428" t="s">
        <v>762</v>
      </c>
      <c r="AH402" s="428" t="s">
        <v>762</v>
      </c>
      <c r="AI402" s="428" t="s">
        <v>762</v>
      </c>
      <c r="AJ402" s="428" t="s">
        <v>762</v>
      </c>
      <c r="AK402" s="428" t="s">
        <v>762</v>
      </c>
      <c r="AL402" s="428" t="s">
        <v>762</v>
      </c>
      <c r="AM402" s="428" t="s">
        <v>762</v>
      </c>
      <c r="AN402" s="428" t="s">
        <v>762</v>
      </c>
      <c r="AO402" s="428" t="s">
        <v>762</v>
      </c>
      <c r="AP402" s="428" t="s">
        <v>762</v>
      </c>
      <c r="AQ402" s="428" t="s">
        <v>762</v>
      </c>
      <c r="AR402" s="428" t="s">
        <v>762</v>
      </c>
      <c r="AS402" s="428" t="s">
        <v>762</v>
      </c>
      <c r="AT402" s="428" t="s">
        <v>762</v>
      </c>
      <c r="AU402" s="428" t="s">
        <v>762</v>
      </c>
      <c r="AV402" s="428" t="s">
        <v>762</v>
      </c>
      <c r="AW402" s="428" t="s">
        <v>762</v>
      </c>
      <c r="AX402" s="428" t="s">
        <v>762</v>
      </c>
      <c r="AY402" s="428" t="s">
        <v>762</v>
      </c>
      <c r="AZ402" s="428" t="s">
        <v>762</v>
      </c>
      <c r="BA402" s="428" t="s">
        <v>762</v>
      </c>
      <c r="BB402" s="428" t="s">
        <v>762</v>
      </c>
      <c r="BC402" s="428" t="s">
        <v>762</v>
      </c>
      <c r="BD402" s="428" t="s">
        <v>762</v>
      </c>
      <c r="BE402" s="428" t="s">
        <v>762</v>
      </c>
      <c r="BF402" s="428" t="s">
        <v>762</v>
      </c>
      <c r="BG402" s="428" t="s">
        <v>762</v>
      </c>
      <c r="BH402" s="428" t="s">
        <v>762</v>
      </c>
      <c r="BI402" s="428" t="s">
        <v>762</v>
      </c>
      <c r="BJ402" s="428" t="s">
        <v>762</v>
      </c>
      <c r="BK402" s="428" t="s">
        <v>762</v>
      </c>
      <c r="BL402" s="428" t="s">
        <v>762</v>
      </c>
      <c r="BM402" s="428" t="s">
        <v>762</v>
      </c>
      <c r="BN402" s="428" t="s">
        <v>762</v>
      </c>
      <c r="BO402" s="428" t="s">
        <v>762</v>
      </c>
      <c r="BP402" s="428" t="s">
        <v>762</v>
      </c>
      <c r="BQ402" s="428" t="s">
        <v>762</v>
      </c>
      <c r="BR402" s="428" t="s">
        <v>762</v>
      </c>
      <c r="BS402" s="428" t="s">
        <v>762</v>
      </c>
      <c r="BT402" s="428" t="s">
        <v>762</v>
      </c>
      <c r="BU402" s="428" t="s">
        <v>762</v>
      </c>
      <c r="BV402" s="428" t="s">
        <v>762</v>
      </c>
      <c r="BW402" s="428" t="s">
        <v>762</v>
      </c>
      <c r="BX402" s="428" t="s">
        <v>762</v>
      </c>
      <c r="BY402" s="428" t="s">
        <v>762</v>
      </c>
      <c r="BZ402" s="428" t="s">
        <v>762</v>
      </c>
      <c r="CA402" s="428" t="s">
        <v>762</v>
      </c>
      <c r="CB402" s="428" t="s">
        <v>762</v>
      </c>
      <c r="CC402" s="428" t="s">
        <v>762</v>
      </c>
      <c r="CD402" s="428" t="s">
        <v>762</v>
      </c>
      <c r="CE402" s="428" t="s">
        <v>762</v>
      </c>
      <c r="CF402" s="428" t="s">
        <v>762</v>
      </c>
      <c r="CG402" s="428" t="s">
        <v>762</v>
      </c>
      <c r="CH402" s="428" t="s">
        <v>762</v>
      </c>
      <c r="CI402" s="428" t="s">
        <v>762</v>
      </c>
      <c r="CJ402" s="428" t="s">
        <v>762</v>
      </c>
      <c r="CK402" s="428" t="s">
        <v>762</v>
      </c>
      <c r="CL402" s="428" t="s">
        <v>762</v>
      </c>
    </row>
    <row r="403" spans="1:90" s="429" customFormat="1">
      <c r="A403" s="427" t="s">
        <v>569</v>
      </c>
      <c r="B403" s="427" t="s">
        <v>103</v>
      </c>
      <c r="C403" s="428">
        <f t="shared" si="391"/>
        <v>14</v>
      </c>
      <c r="D403" s="428">
        <f t="shared" si="392"/>
        <v>14</v>
      </c>
      <c r="E403" s="428">
        <f t="shared" si="393"/>
        <v>14</v>
      </c>
      <c r="F403" s="428">
        <f t="shared" si="394"/>
        <v>14</v>
      </c>
      <c r="G403" s="428">
        <f t="shared" si="395"/>
        <v>15</v>
      </c>
      <c r="H403" s="428">
        <f t="shared" si="396"/>
        <v>15</v>
      </c>
      <c r="I403" s="428">
        <f t="shared" si="397"/>
        <v>15</v>
      </c>
      <c r="J403" s="428">
        <f t="shared" si="398"/>
        <v>15</v>
      </c>
      <c r="K403" s="428">
        <f t="shared" si="399"/>
        <v>15</v>
      </c>
      <c r="L403" s="428">
        <f t="shared" si="400"/>
        <v>16</v>
      </c>
      <c r="M403" s="428">
        <f t="shared" si="401"/>
        <v>16</v>
      </c>
      <c r="N403" s="428">
        <f t="shared" si="402"/>
        <v>17</v>
      </c>
      <c r="O403" s="428">
        <f t="shared" si="403"/>
        <v>17</v>
      </c>
      <c r="P403" s="428">
        <f t="shared" si="404"/>
        <v>18</v>
      </c>
      <c r="Q403" s="428">
        <f t="shared" si="405"/>
        <v>18</v>
      </c>
      <c r="R403" s="428">
        <f t="shared" si="406"/>
        <v>18</v>
      </c>
      <c r="S403" s="428">
        <f t="shared" si="407"/>
        <v>18</v>
      </c>
      <c r="T403" s="428">
        <f t="shared" si="408"/>
        <v>18</v>
      </c>
      <c r="U403" s="428">
        <f t="shared" si="409"/>
        <v>22</v>
      </c>
      <c r="V403" s="428">
        <f t="shared" si="410"/>
        <v>22</v>
      </c>
      <c r="W403" s="428">
        <f t="shared" si="411"/>
        <v>26</v>
      </c>
      <c r="X403" s="428">
        <f t="shared" si="412"/>
        <v>34</v>
      </c>
      <c r="Y403" s="428">
        <f t="shared" si="413"/>
        <v>42</v>
      </c>
      <c r="Z403" s="428" t="s">
        <v>762</v>
      </c>
      <c r="AA403" s="428" t="s">
        <v>762</v>
      </c>
      <c r="AB403" s="428" t="s">
        <v>762</v>
      </c>
      <c r="AC403" s="428" t="s">
        <v>762</v>
      </c>
      <c r="AD403" s="428" t="s">
        <v>762</v>
      </c>
      <c r="AE403" s="428" t="s">
        <v>762</v>
      </c>
      <c r="AF403" s="428" t="s">
        <v>762</v>
      </c>
      <c r="AG403" s="428" t="s">
        <v>762</v>
      </c>
      <c r="AH403" s="428" t="s">
        <v>762</v>
      </c>
      <c r="AI403" s="428" t="s">
        <v>762</v>
      </c>
      <c r="AJ403" s="428" t="s">
        <v>762</v>
      </c>
      <c r="AK403" s="428" t="s">
        <v>762</v>
      </c>
      <c r="AL403" s="428" t="s">
        <v>762</v>
      </c>
      <c r="AM403" s="428" t="s">
        <v>762</v>
      </c>
      <c r="AN403" s="428" t="s">
        <v>762</v>
      </c>
      <c r="AO403" s="428" t="s">
        <v>762</v>
      </c>
      <c r="AP403" s="428" t="s">
        <v>762</v>
      </c>
      <c r="AQ403" s="428" t="s">
        <v>762</v>
      </c>
      <c r="AR403" s="428" t="s">
        <v>762</v>
      </c>
      <c r="AS403" s="428" t="s">
        <v>762</v>
      </c>
      <c r="AT403" s="428" t="s">
        <v>762</v>
      </c>
      <c r="AU403" s="428" t="s">
        <v>762</v>
      </c>
      <c r="AV403" s="428" t="s">
        <v>762</v>
      </c>
      <c r="AW403" s="428" t="s">
        <v>762</v>
      </c>
      <c r="AX403" s="428" t="s">
        <v>762</v>
      </c>
      <c r="AY403" s="428" t="s">
        <v>762</v>
      </c>
      <c r="AZ403" s="428" t="s">
        <v>762</v>
      </c>
      <c r="BA403" s="428" t="s">
        <v>762</v>
      </c>
      <c r="BB403" s="428" t="s">
        <v>762</v>
      </c>
      <c r="BC403" s="428" t="s">
        <v>762</v>
      </c>
      <c r="BD403" s="428" t="s">
        <v>762</v>
      </c>
      <c r="BE403" s="428" t="s">
        <v>762</v>
      </c>
      <c r="BF403" s="428" t="s">
        <v>762</v>
      </c>
      <c r="BG403" s="428" t="s">
        <v>762</v>
      </c>
      <c r="BH403" s="428" t="s">
        <v>762</v>
      </c>
      <c r="BI403" s="428" t="s">
        <v>762</v>
      </c>
      <c r="BJ403" s="428" t="s">
        <v>762</v>
      </c>
      <c r="BK403" s="428" t="s">
        <v>762</v>
      </c>
      <c r="BL403" s="428" t="s">
        <v>762</v>
      </c>
      <c r="BM403" s="428" t="s">
        <v>762</v>
      </c>
      <c r="BN403" s="428" t="s">
        <v>762</v>
      </c>
      <c r="BO403" s="428" t="s">
        <v>762</v>
      </c>
      <c r="BP403" s="428" t="s">
        <v>762</v>
      </c>
      <c r="BQ403" s="428" t="s">
        <v>762</v>
      </c>
      <c r="BR403" s="428" t="s">
        <v>762</v>
      </c>
      <c r="BS403" s="428" t="s">
        <v>762</v>
      </c>
      <c r="BT403" s="428" t="s">
        <v>762</v>
      </c>
      <c r="BU403" s="428" t="s">
        <v>762</v>
      </c>
      <c r="BV403" s="428" t="s">
        <v>762</v>
      </c>
      <c r="BW403" s="428" t="s">
        <v>762</v>
      </c>
      <c r="BX403" s="428" t="s">
        <v>762</v>
      </c>
      <c r="BY403" s="428" t="s">
        <v>762</v>
      </c>
      <c r="BZ403" s="428" t="s">
        <v>762</v>
      </c>
      <c r="CA403" s="428" t="s">
        <v>762</v>
      </c>
      <c r="CB403" s="428" t="s">
        <v>762</v>
      </c>
      <c r="CC403" s="428" t="s">
        <v>762</v>
      </c>
      <c r="CD403" s="428" t="s">
        <v>762</v>
      </c>
      <c r="CE403" s="428" t="s">
        <v>762</v>
      </c>
      <c r="CF403" s="428" t="s">
        <v>762</v>
      </c>
      <c r="CG403" s="428" t="s">
        <v>762</v>
      </c>
      <c r="CH403" s="428" t="s">
        <v>762</v>
      </c>
      <c r="CI403" s="428" t="s">
        <v>762</v>
      </c>
      <c r="CJ403" s="428" t="s">
        <v>762</v>
      </c>
      <c r="CK403" s="428" t="s">
        <v>762</v>
      </c>
      <c r="CL403" s="428" t="s">
        <v>762</v>
      </c>
    </row>
    <row r="404" spans="1:90" s="429" customFormat="1">
      <c r="A404" s="427" t="s">
        <v>570</v>
      </c>
      <c r="B404" s="427" t="s">
        <v>103</v>
      </c>
      <c r="C404" s="428">
        <f t="shared" si="391"/>
        <v>14</v>
      </c>
      <c r="D404" s="428">
        <f t="shared" si="392"/>
        <v>14</v>
      </c>
      <c r="E404" s="428">
        <f t="shared" si="393"/>
        <v>14</v>
      </c>
      <c r="F404" s="428">
        <f t="shared" si="394"/>
        <v>14</v>
      </c>
      <c r="G404" s="428">
        <f t="shared" si="395"/>
        <v>15</v>
      </c>
      <c r="H404" s="428">
        <f t="shared" si="396"/>
        <v>15</v>
      </c>
      <c r="I404" s="428">
        <f t="shared" si="397"/>
        <v>15</v>
      </c>
      <c r="J404" s="428">
        <f t="shared" si="398"/>
        <v>15</v>
      </c>
      <c r="K404" s="428">
        <f t="shared" si="399"/>
        <v>15</v>
      </c>
      <c r="L404" s="428">
        <f t="shared" si="400"/>
        <v>16</v>
      </c>
      <c r="M404" s="428">
        <f t="shared" si="401"/>
        <v>16</v>
      </c>
      <c r="N404" s="428">
        <f t="shared" si="402"/>
        <v>17</v>
      </c>
      <c r="O404" s="428">
        <f t="shared" si="403"/>
        <v>17</v>
      </c>
      <c r="P404" s="428">
        <f t="shared" si="404"/>
        <v>18</v>
      </c>
      <c r="Q404" s="428">
        <f t="shared" si="405"/>
        <v>18</v>
      </c>
      <c r="R404" s="428">
        <f t="shared" si="406"/>
        <v>18</v>
      </c>
      <c r="S404" s="428">
        <f t="shared" si="407"/>
        <v>18</v>
      </c>
      <c r="T404" s="428">
        <f t="shared" si="408"/>
        <v>18</v>
      </c>
      <c r="U404" s="428">
        <f t="shared" si="409"/>
        <v>22</v>
      </c>
      <c r="V404" s="428">
        <f t="shared" si="410"/>
        <v>22</v>
      </c>
      <c r="W404" s="428">
        <f t="shared" si="411"/>
        <v>26</v>
      </c>
      <c r="X404" s="428">
        <f t="shared" si="412"/>
        <v>34</v>
      </c>
      <c r="Y404" s="428">
        <f t="shared" si="413"/>
        <v>42</v>
      </c>
      <c r="Z404" s="428" t="s">
        <v>762</v>
      </c>
      <c r="AA404" s="428" t="s">
        <v>762</v>
      </c>
      <c r="AB404" s="428" t="s">
        <v>762</v>
      </c>
      <c r="AC404" s="428" t="s">
        <v>762</v>
      </c>
      <c r="AD404" s="428" t="s">
        <v>762</v>
      </c>
      <c r="AE404" s="428" t="s">
        <v>762</v>
      </c>
      <c r="AF404" s="428" t="s">
        <v>762</v>
      </c>
      <c r="AG404" s="428" t="s">
        <v>762</v>
      </c>
      <c r="AH404" s="428" t="s">
        <v>762</v>
      </c>
      <c r="AI404" s="428" t="s">
        <v>762</v>
      </c>
      <c r="AJ404" s="428" t="s">
        <v>762</v>
      </c>
      <c r="AK404" s="428" t="s">
        <v>762</v>
      </c>
      <c r="AL404" s="428" t="s">
        <v>762</v>
      </c>
      <c r="AM404" s="428" t="s">
        <v>762</v>
      </c>
      <c r="AN404" s="428" t="s">
        <v>762</v>
      </c>
      <c r="AO404" s="428" t="s">
        <v>762</v>
      </c>
      <c r="AP404" s="428" t="s">
        <v>762</v>
      </c>
      <c r="AQ404" s="428" t="s">
        <v>762</v>
      </c>
      <c r="AR404" s="428" t="s">
        <v>762</v>
      </c>
      <c r="AS404" s="428" t="s">
        <v>762</v>
      </c>
      <c r="AT404" s="428" t="s">
        <v>762</v>
      </c>
      <c r="AU404" s="428" t="s">
        <v>762</v>
      </c>
      <c r="AV404" s="428" t="s">
        <v>762</v>
      </c>
      <c r="AW404" s="428" t="s">
        <v>762</v>
      </c>
      <c r="AX404" s="428" t="s">
        <v>762</v>
      </c>
      <c r="AY404" s="428" t="s">
        <v>762</v>
      </c>
      <c r="AZ404" s="428" t="s">
        <v>762</v>
      </c>
      <c r="BA404" s="428" t="s">
        <v>762</v>
      </c>
      <c r="BB404" s="428" t="s">
        <v>762</v>
      </c>
      <c r="BC404" s="428" t="s">
        <v>762</v>
      </c>
      <c r="BD404" s="428" t="s">
        <v>762</v>
      </c>
      <c r="BE404" s="428" t="s">
        <v>762</v>
      </c>
      <c r="BF404" s="428" t="s">
        <v>762</v>
      </c>
      <c r="BG404" s="428" t="s">
        <v>762</v>
      </c>
      <c r="BH404" s="428" t="s">
        <v>762</v>
      </c>
      <c r="BI404" s="428" t="s">
        <v>762</v>
      </c>
      <c r="BJ404" s="428" t="s">
        <v>762</v>
      </c>
      <c r="BK404" s="428" t="s">
        <v>762</v>
      </c>
      <c r="BL404" s="428" t="s">
        <v>762</v>
      </c>
      <c r="BM404" s="428" t="s">
        <v>762</v>
      </c>
      <c r="BN404" s="428" t="s">
        <v>762</v>
      </c>
      <c r="BO404" s="428" t="s">
        <v>762</v>
      </c>
      <c r="BP404" s="428" t="s">
        <v>762</v>
      </c>
      <c r="BQ404" s="428" t="s">
        <v>762</v>
      </c>
      <c r="BR404" s="428" t="s">
        <v>762</v>
      </c>
      <c r="BS404" s="428" t="s">
        <v>762</v>
      </c>
      <c r="BT404" s="428" t="s">
        <v>762</v>
      </c>
      <c r="BU404" s="428" t="s">
        <v>762</v>
      </c>
      <c r="BV404" s="428" t="s">
        <v>762</v>
      </c>
      <c r="BW404" s="428" t="s">
        <v>762</v>
      </c>
      <c r="BX404" s="428" t="s">
        <v>762</v>
      </c>
      <c r="BY404" s="428" t="s">
        <v>762</v>
      </c>
      <c r="BZ404" s="428" t="s">
        <v>762</v>
      </c>
      <c r="CA404" s="428" t="s">
        <v>762</v>
      </c>
      <c r="CB404" s="428" t="s">
        <v>762</v>
      </c>
      <c r="CC404" s="428" t="s">
        <v>762</v>
      </c>
      <c r="CD404" s="428" t="s">
        <v>762</v>
      </c>
      <c r="CE404" s="428" t="s">
        <v>762</v>
      </c>
      <c r="CF404" s="428" t="s">
        <v>762</v>
      </c>
      <c r="CG404" s="428" t="s">
        <v>762</v>
      </c>
      <c r="CH404" s="428" t="s">
        <v>762</v>
      </c>
      <c r="CI404" s="428" t="s">
        <v>762</v>
      </c>
      <c r="CJ404" s="428" t="s">
        <v>762</v>
      </c>
      <c r="CK404" s="428" t="s">
        <v>762</v>
      </c>
      <c r="CL404" s="428" t="s">
        <v>762</v>
      </c>
    </row>
    <row r="405" spans="1:90" s="429" customFormat="1">
      <c r="A405" s="427" t="s">
        <v>571</v>
      </c>
      <c r="B405" s="427" t="s">
        <v>103</v>
      </c>
      <c r="C405" s="428">
        <f t="shared" si="391"/>
        <v>14</v>
      </c>
      <c r="D405" s="428">
        <f t="shared" si="392"/>
        <v>14</v>
      </c>
      <c r="E405" s="428">
        <f t="shared" si="393"/>
        <v>14</v>
      </c>
      <c r="F405" s="428">
        <f t="shared" si="394"/>
        <v>14</v>
      </c>
      <c r="G405" s="428">
        <f t="shared" si="395"/>
        <v>15</v>
      </c>
      <c r="H405" s="428">
        <f t="shared" si="396"/>
        <v>15</v>
      </c>
      <c r="I405" s="428">
        <f t="shared" si="397"/>
        <v>15</v>
      </c>
      <c r="J405" s="428">
        <f t="shared" si="398"/>
        <v>15</v>
      </c>
      <c r="K405" s="428">
        <f t="shared" si="399"/>
        <v>15</v>
      </c>
      <c r="L405" s="428">
        <f t="shared" si="400"/>
        <v>16</v>
      </c>
      <c r="M405" s="428">
        <f t="shared" si="401"/>
        <v>16</v>
      </c>
      <c r="N405" s="428">
        <f t="shared" si="402"/>
        <v>17</v>
      </c>
      <c r="O405" s="428">
        <f t="shared" si="403"/>
        <v>17</v>
      </c>
      <c r="P405" s="428">
        <f t="shared" si="404"/>
        <v>18</v>
      </c>
      <c r="Q405" s="428">
        <f t="shared" si="405"/>
        <v>18</v>
      </c>
      <c r="R405" s="428">
        <f t="shared" si="406"/>
        <v>18</v>
      </c>
      <c r="S405" s="428">
        <f t="shared" si="407"/>
        <v>18</v>
      </c>
      <c r="T405" s="428">
        <f t="shared" si="408"/>
        <v>18</v>
      </c>
      <c r="U405" s="428">
        <f t="shared" si="409"/>
        <v>22</v>
      </c>
      <c r="V405" s="428">
        <f t="shared" si="410"/>
        <v>22</v>
      </c>
      <c r="W405" s="428">
        <f t="shared" si="411"/>
        <v>26</v>
      </c>
      <c r="X405" s="428">
        <f t="shared" si="412"/>
        <v>34</v>
      </c>
      <c r="Y405" s="428">
        <f t="shared" si="413"/>
        <v>42</v>
      </c>
      <c r="Z405" s="428" t="s">
        <v>762</v>
      </c>
      <c r="AA405" s="428" t="s">
        <v>762</v>
      </c>
      <c r="AB405" s="428" t="s">
        <v>762</v>
      </c>
      <c r="AC405" s="428" t="s">
        <v>762</v>
      </c>
      <c r="AD405" s="428" t="s">
        <v>762</v>
      </c>
      <c r="AE405" s="428" t="s">
        <v>762</v>
      </c>
      <c r="AF405" s="428" t="s">
        <v>762</v>
      </c>
      <c r="AG405" s="428" t="s">
        <v>762</v>
      </c>
      <c r="AH405" s="428" t="s">
        <v>762</v>
      </c>
      <c r="AI405" s="428" t="s">
        <v>762</v>
      </c>
      <c r="AJ405" s="428" t="s">
        <v>762</v>
      </c>
      <c r="AK405" s="428" t="s">
        <v>762</v>
      </c>
      <c r="AL405" s="428" t="s">
        <v>762</v>
      </c>
      <c r="AM405" s="428" t="s">
        <v>762</v>
      </c>
      <c r="AN405" s="428" t="s">
        <v>762</v>
      </c>
      <c r="AO405" s="428" t="s">
        <v>762</v>
      </c>
      <c r="AP405" s="428" t="s">
        <v>762</v>
      </c>
      <c r="AQ405" s="428" t="s">
        <v>762</v>
      </c>
      <c r="AR405" s="428" t="s">
        <v>762</v>
      </c>
      <c r="AS405" s="428" t="s">
        <v>762</v>
      </c>
      <c r="AT405" s="428" t="s">
        <v>762</v>
      </c>
      <c r="AU405" s="428" t="s">
        <v>762</v>
      </c>
      <c r="AV405" s="428" t="s">
        <v>762</v>
      </c>
      <c r="AW405" s="428" t="s">
        <v>762</v>
      </c>
      <c r="AX405" s="428" t="s">
        <v>762</v>
      </c>
      <c r="AY405" s="428" t="s">
        <v>762</v>
      </c>
      <c r="AZ405" s="428" t="s">
        <v>762</v>
      </c>
      <c r="BA405" s="428" t="s">
        <v>762</v>
      </c>
      <c r="BB405" s="428" t="s">
        <v>762</v>
      </c>
      <c r="BC405" s="428" t="s">
        <v>762</v>
      </c>
      <c r="BD405" s="428" t="s">
        <v>762</v>
      </c>
      <c r="BE405" s="428" t="s">
        <v>762</v>
      </c>
      <c r="BF405" s="428" t="s">
        <v>762</v>
      </c>
      <c r="BG405" s="428" t="s">
        <v>762</v>
      </c>
      <c r="BH405" s="428" t="s">
        <v>762</v>
      </c>
      <c r="BI405" s="428" t="s">
        <v>762</v>
      </c>
      <c r="BJ405" s="428" t="s">
        <v>762</v>
      </c>
      <c r="BK405" s="428" t="s">
        <v>762</v>
      </c>
      <c r="BL405" s="428" t="s">
        <v>762</v>
      </c>
      <c r="BM405" s="428" t="s">
        <v>762</v>
      </c>
      <c r="BN405" s="428" t="s">
        <v>762</v>
      </c>
      <c r="BO405" s="428" t="s">
        <v>762</v>
      </c>
      <c r="BP405" s="428" t="s">
        <v>762</v>
      </c>
      <c r="BQ405" s="428" t="s">
        <v>762</v>
      </c>
      <c r="BR405" s="428" t="s">
        <v>762</v>
      </c>
      <c r="BS405" s="428" t="s">
        <v>762</v>
      </c>
      <c r="BT405" s="428" t="s">
        <v>762</v>
      </c>
      <c r="BU405" s="428" t="s">
        <v>762</v>
      </c>
      <c r="BV405" s="428" t="s">
        <v>762</v>
      </c>
      <c r="BW405" s="428" t="s">
        <v>762</v>
      </c>
      <c r="BX405" s="428" t="s">
        <v>762</v>
      </c>
      <c r="BY405" s="428" t="s">
        <v>762</v>
      </c>
      <c r="BZ405" s="428" t="s">
        <v>762</v>
      </c>
      <c r="CA405" s="428" t="s">
        <v>762</v>
      </c>
      <c r="CB405" s="428" t="s">
        <v>762</v>
      </c>
      <c r="CC405" s="428" t="s">
        <v>762</v>
      </c>
      <c r="CD405" s="428" t="s">
        <v>762</v>
      </c>
      <c r="CE405" s="428" t="s">
        <v>762</v>
      </c>
      <c r="CF405" s="428" t="s">
        <v>762</v>
      </c>
      <c r="CG405" s="428" t="s">
        <v>762</v>
      </c>
      <c r="CH405" s="428" t="s">
        <v>762</v>
      </c>
      <c r="CI405" s="428" t="s">
        <v>762</v>
      </c>
      <c r="CJ405" s="428" t="s">
        <v>762</v>
      </c>
      <c r="CK405" s="428" t="s">
        <v>762</v>
      </c>
      <c r="CL405" s="428" t="s">
        <v>762</v>
      </c>
    </row>
    <row r="406" spans="1:90" s="429" customFormat="1">
      <c r="A406" s="427" t="s">
        <v>572</v>
      </c>
      <c r="B406" s="427" t="s">
        <v>103</v>
      </c>
      <c r="C406" s="428">
        <f t="shared" si="391"/>
        <v>14</v>
      </c>
      <c r="D406" s="428">
        <f t="shared" si="392"/>
        <v>14</v>
      </c>
      <c r="E406" s="428">
        <f t="shared" si="393"/>
        <v>14</v>
      </c>
      <c r="F406" s="428">
        <f t="shared" si="394"/>
        <v>14</v>
      </c>
      <c r="G406" s="428">
        <f t="shared" si="395"/>
        <v>15</v>
      </c>
      <c r="H406" s="428">
        <f t="shared" si="396"/>
        <v>15</v>
      </c>
      <c r="I406" s="428">
        <f t="shared" si="397"/>
        <v>15</v>
      </c>
      <c r="J406" s="428">
        <f t="shared" si="398"/>
        <v>15</v>
      </c>
      <c r="K406" s="428">
        <f t="shared" si="399"/>
        <v>15</v>
      </c>
      <c r="L406" s="428">
        <f t="shared" si="400"/>
        <v>16</v>
      </c>
      <c r="M406" s="428">
        <f t="shared" si="401"/>
        <v>16</v>
      </c>
      <c r="N406" s="428">
        <f t="shared" si="402"/>
        <v>17</v>
      </c>
      <c r="O406" s="428">
        <f t="shared" si="403"/>
        <v>17</v>
      </c>
      <c r="P406" s="428">
        <f t="shared" si="404"/>
        <v>18</v>
      </c>
      <c r="Q406" s="428">
        <f t="shared" si="405"/>
        <v>18</v>
      </c>
      <c r="R406" s="428">
        <f t="shared" si="406"/>
        <v>18</v>
      </c>
      <c r="S406" s="428">
        <f t="shared" si="407"/>
        <v>18</v>
      </c>
      <c r="T406" s="428">
        <f t="shared" si="408"/>
        <v>18</v>
      </c>
      <c r="U406" s="428">
        <f t="shared" si="409"/>
        <v>22</v>
      </c>
      <c r="V406" s="428">
        <f t="shared" si="410"/>
        <v>22</v>
      </c>
      <c r="W406" s="428">
        <f t="shared" si="411"/>
        <v>26</v>
      </c>
      <c r="X406" s="428">
        <f t="shared" si="412"/>
        <v>34</v>
      </c>
      <c r="Y406" s="428">
        <f t="shared" si="413"/>
        <v>42</v>
      </c>
      <c r="Z406" s="428" t="s">
        <v>762</v>
      </c>
      <c r="AA406" s="428" t="s">
        <v>762</v>
      </c>
      <c r="AB406" s="428" t="s">
        <v>762</v>
      </c>
      <c r="AC406" s="428" t="s">
        <v>762</v>
      </c>
      <c r="AD406" s="428" t="s">
        <v>762</v>
      </c>
      <c r="AE406" s="428" t="s">
        <v>762</v>
      </c>
      <c r="AF406" s="428" t="s">
        <v>762</v>
      </c>
      <c r="AG406" s="428" t="s">
        <v>762</v>
      </c>
      <c r="AH406" s="428" t="s">
        <v>762</v>
      </c>
      <c r="AI406" s="428" t="s">
        <v>762</v>
      </c>
      <c r="AJ406" s="428" t="s">
        <v>762</v>
      </c>
      <c r="AK406" s="428" t="s">
        <v>762</v>
      </c>
      <c r="AL406" s="428" t="s">
        <v>762</v>
      </c>
      <c r="AM406" s="428" t="s">
        <v>762</v>
      </c>
      <c r="AN406" s="428" t="s">
        <v>762</v>
      </c>
      <c r="AO406" s="428" t="s">
        <v>762</v>
      </c>
      <c r="AP406" s="428" t="s">
        <v>762</v>
      </c>
      <c r="AQ406" s="428" t="s">
        <v>762</v>
      </c>
      <c r="AR406" s="428" t="s">
        <v>762</v>
      </c>
      <c r="AS406" s="428" t="s">
        <v>762</v>
      </c>
      <c r="AT406" s="428" t="s">
        <v>762</v>
      </c>
      <c r="AU406" s="428" t="s">
        <v>762</v>
      </c>
      <c r="AV406" s="428" t="s">
        <v>762</v>
      </c>
      <c r="AW406" s="428" t="s">
        <v>762</v>
      </c>
      <c r="AX406" s="428" t="s">
        <v>762</v>
      </c>
      <c r="AY406" s="428" t="s">
        <v>762</v>
      </c>
      <c r="AZ406" s="428" t="s">
        <v>762</v>
      </c>
      <c r="BA406" s="428" t="s">
        <v>762</v>
      </c>
      <c r="BB406" s="428" t="s">
        <v>762</v>
      </c>
      <c r="BC406" s="428" t="s">
        <v>762</v>
      </c>
      <c r="BD406" s="428" t="s">
        <v>762</v>
      </c>
      <c r="BE406" s="428" t="s">
        <v>762</v>
      </c>
      <c r="BF406" s="428" t="s">
        <v>762</v>
      </c>
      <c r="BG406" s="428" t="s">
        <v>762</v>
      </c>
      <c r="BH406" s="428" t="s">
        <v>762</v>
      </c>
      <c r="BI406" s="428" t="s">
        <v>762</v>
      </c>
      <c r="BJ406" s="428" t="s">
        <v>762</v>
      </c>
      <c r="BK406" s="428" t="s">
        <v>762</v>
      </c>
      <c r="BL406" s="428" t="s">
        <v>762</v>
      </c>
      <c r="BM406" s="428" t="s">
        <v>762</v>
      </c>
      <c r="BN406" s="428" t="s">
        <v>762</v>
      </c>
      <c r="BO406" s="428" t="s">
        <v>762</v>
      </c>
      <c r="BP406" s="428" t="s">
        <v>762</v>
      </c>
      <c r="BQ406" s="428" t="s">
        <v>762</v>
      </c>
      <c r="BR406" s="428" t="s">
        <v>762</v>
      </c>
      <c r="BS406" s="428" t="s">
        <v>762</v>
      </c>
      <c r="BT406" s="428" t="s">
        <v>762</v>
      </c>
      <c r="BU406" s="428" t="s">
        <v>762</v>
      </c>
      <c r="BV406" s="428" t="s">
        <v>762</v>
      </c>
      <c r="BW406" s="428" t="s">
        <v>762</v>
      </c>
      <c r="BX406" s="428" t="s">
        <v>762</v>
      </c>
      <c r="BY406" s="428" t="s">
        <v>762</v>
      </c>
      <c r="BZ406" s="428" t="s">
        <v>762</v>
      </c>
      <c r="CA406" s="428" t="s">
        <v>762</v>
      </c>
      <c r="CB406" s="428" t="s">
        <v>762</v>
      </c>
      <c r="CC406" s="428" t="s">
        <v>762</v>
      </c>
      <c r="CD406" s="428" t="s">
        <v>762</v>
      </c>
      <c r="CE406" s="428" t="s">
        <v>762</v>
      </c>
      <c r="CF406" s="428" t="s">
        <v>762</v>
      </c>
      <c r="CG406" s="428" t="s">
        <v>762</v>
      </c>
      <c r="CH406" s="428" t="s">
        <v>762</v>
      </c>
      <c r="CI406" s="428" t="s">
        <v>762</v>
      </c>
      <c r="CJ406" s="428" t="s">
        <v>762</v>
      </c>
      <c r="CK406" s="428" t="s">
        <v>762</v>
      </c>
      <c r="CL406" s="428" t="s">
        <v>762</v>
      </c>
    </row>
    <row r="407" spans="1:90" s="429" customFormat="1">
      <c r="A407" s="427" t="s">
        <v>573</v>
      </c>
      <c r="B407" s="427" t="s">
        <v>103</v>
      </c>
      <c r="C407" s="428">
        <f t="shared" si="391"/>
        <v>14</v>
      </c>
      <c r="D407" s="428">
        <f t="shared" si="392"/>
        <v>14</v>
      </c>
      <c r="E407" s="428">
        <f t="shared" si="393"/>
        <v>14</v>
      </c>
      <c r="F407" s="428">
        <f t="shared" si="394"/>
        <v>14</v>
      </c>
      <c r="G407" s="428">
        <f t="shared" si="395"/>
        <v>15</v>
      </c>
      <c r="H407" s="428">
        <f t="shared" si="396"/>
        <v>15</v>
      </c>
      <c r="I407" s="428">
        <f t="shared" si="397"/>
        <v>15</v>
      </c>
      <c r="J407" s="428">
        <f t="shared" si="398"/>
        <v>15</v>
      </c>
      <c r="K407" s="428">
        <f t="shared" si="399"/>
        <v>15</v>
      </c>
      <c r="L407" s="428">
        <f t="shared" si="400"/>
        <v>16</v>
      </c>
      <c r="M407" s="428">
        <f t="shared" si="401"/>
        <v>16</v>
      </c>
      <c r="N407" s="428">
        <f t="shared" si="402"/>
        <v>17</v>
      </c>
      <c r="O407" s="428">
        <f t="shared" si="403"/>
        <v>17</v>
      </c>
      <c r="P407" s="428">
        <f t="shared" si="404"/>
        <v>18</v>
      </c>
      <c r="Q407" s="428">
        <f t="shared" si="405"/>
        <v>18</v>
      </c>
      <c r="R407" s="428">
        <f t="shared" si="406"/>
        <v>18</v>
      </c>
      <c r="S407" s="428">
        <f t="shared" si="407"/>
        <v>18</v>
      </c>
      <c r="T407" s="428">
        <f t="shared" si="408"/>
        <v>18</v>
      </c>
      <c r="U407" s="428">
        <f t="shared" si="409"/>
        <v>22</v>
      </c>
      <c r="V407" s="428">
        <f t="shared" si="410"/>
        <v>22</v>
      </c>
      <c r="W407" s="428">
        <f t="shared" si="411"/>
        <v>26</v>
      </c>
      <c r="X407" s="428">
        <f t="shared" si="412"/>
        <v>34</v>
      </c>
      <c r="Y407" s="428">
        <f t="shared" si="413"/>
        <v>42</v>
      </c>
      <c r="Z407" s="428" t="s">
        <v>762</v>
      </c>
      <c r="AA407" s="428" t="s">
        <v>762</v>
      </c>
      <c r="AB407" s="428" t="s">
        <v>762</v>
      </c>
      <c r="AC407" s="428" t="s">
        <v>762</v>
      </c>
      <c r="AD407" s="428" t="s">
        <v>762</v>
      </c>
      <c r="AE407" s="428" t="s">
        <v>762</v>
      </c>
      <c r="AF407" s="428" t="s">
        <v>762</v>
      </c>
      <c r="AG407" s="428" t="s">
        <v>762</v>
      </c>
      <c r="AH407" s="428" t="s">
        <v>762</v>
      </c>
      <c r="AI407" s="428" t="s">
        <v>762</v>
      </c>
      <c r="AJ407" s="428" t="s">
        <v>762</v>
      </c>
      <c r="AK407" s="428" t="s">
        <v>762</v>
      </c>
      <c r="AL407" s="428" t="s">
        <v>762</v>
      </c>
      <c r="AM407" s="428" t="s">
        <v>762</v>
      </c>
      <c r="AN407" s="428" t="s">
        <v>762</v>
      </c>
      <c r="AO407" s="428" t="s">
        <v>762</v>
      </c>
      <c r="AP407" s="428" t="s">
        <v>762</v>
      </c>
      <c r="AQ407" s="428" t="s">
        <v>762</v>
      </c>
      <c r="AR407" s="428" t="s">
        <v>762</v>
      </c>
      <c r="AS407" s="428" t="s">
        <v>762</v>
      </c>
      <c r="AT407" s="428" t="s">
        <v>762</v>
      </c>
      <c r="AU407" s="428" t="s">
        <v>762</v>
      </c>
      <c r="AV407" s="428" t="s">
        <v>762</v>
      </c>
      <c r="AW407" s="428" t="s">
        <v>762</v>
      </c>
      <c r="AX407" s="428" t="s">
        <v>762</v>
      </c>
      <c r="AY407" s="428" t="s">
        <v>762</v>
      </c>
      <c r="AZ407" s="428" t="s">
        <v>762</v>
      </c>
      <c r="BA407" s="428" t="s">
        <v>762</v>
      </c>
      <c r="BB407" s="428" t="s">
        <v>762</v>
      </c>
      <c r="BC407" s="428" t="s">
        <v>762</v>
      </c>
      <c r="BD407" s="428" t="s">
        <v>762</v>
      </c>
      <c r="BE407" s="428" t="s">
        <v>762</v>
      </c>
      <c r="BF407" s="428" t="s">
        <v>762</v>
      </c>
      <c r="BG407" s="428" t="s">
        <v>762</v>
      </c>
      <c r="BH407" s="428" t="s">
        <v>762</v>
      </c>
      <c r="BI407" s="428" t="s">
        <v>762</v>
      </c>
      <c r="BJ407" s="428" t="s">
        <v>762</v>
      </c>
      <c r="BK407" s="428" t="s">
        <v>762</v>
      </c>
      <c r="BL407" s="428" t="s">
        <v>762</v>
      </c>
      <c r="BM407" s="428" t="s">
        <v>762</v>
      </c>
      <c r="BN407" s="428" t="s">
        <v>762</v>
      </c>
      <c r="BO407" s="428" t="s">
        <v>762</v>
      </c>
      <c r="BP407" s="428" t="s">
        <v>762</v>
      </c>
      <c r="BQ407" s="428" t="s">
        <v>762</v>
      </c>
      <c r="BR407" s="428" t="s">
        <v>762</v>
      </c>
      <c r="BS407" s="428" t="s">
        <v>762</v>
      </c>
      <c r="BT407" s="428" t="s">
        <v>762</v>
      </c>
      <c r="BU407" s="428" t="s">
        <v>762</v>
      </c>
      <c r="BV407" s="428" t="s">
        <v>762</v>
      </c>
      <c r="BW407" s="428" t="s">
        <v>762</v>
      </c>
      <c r="BX407" s="428" t="s">
        <v>762</v>
      </c>
      <c r="BY407" s="428" t="s">
        <v>762</v>
      </c>
      <c r="BZ407" s="428" t="s">
        <v>762</v>
      </c>
      <c r="CA407" s="428" t="s">
        <v>762</v>
      </c>
      <c r="CB407" s="428" t="s">
        <v>762</v>
      </c>
      <c r="CC407" s="428" t="s">
        <v>762</v>
      </c>
      <c r="CD407" s="428" t="s">
        <v>762</v>
      </c>
      <c r="CE407" s="428" t="s">
        <v>762</v>
      </c>
      <c r="CF407" s="428" t="s">
        <v>762</v>
      </c>
      <c r="CG407" s="428" t="s">
        <v>762</v>
      </c>
      <c r="CH407" s="428" t="s">
        <v>762</v>
      </c>
      <c r="CI407" s="428" t="s">
        <v>762</v>
      </c>
      <c r="CJ407" s="428" t="s">
        <v>762</v>
      </c>
      <c r="CK407" s="428" t="s">
        <v>762</v>
      </c>
      <c r="CL407" s="428" t="s">
        <v>762</v>
      </c>
    </row>
    <row r="408" spans="1:90" s="429" customFormat="1">
      <c r="A408" s="427" t="s">
        <v>574</v>
      </c>
      <c r="B408" s="427" t="s">
        <v>103</v>
      </c>
      <c r="C408" s="428">
        <f t="shared" si="391"/>
        <v>14</v>
      </c>
      <c r="D408" s="428">
        <f t="shared" si="392"/>
        <v>14</v>
      </c>
      <c r="E408" s="428">
        <f t="shared" si="393"/>
        <v>14</v>
      </c>
      <c r="F408" s="428">
        <f t="shared" si="394"/>
        <v>14</v>
      </c>
      <c r="G408" s="428">
        <f t="shared" si="395"/>
        <v>15</v>
      </c>
      <c r="H408" s="428">
        <f t="shared" si="396"/>
        <v>15</v>
      </c>
      <c r="I408" s="428">
        <f t="shared" si="397"/>
        <v>15</v>
      </c>
      <c r="J408" s="428">
        <f t="shared" si="398"/>
        <v>15</v>
      </c>
      <c r="K408" s="428">
        <f t="shared" si="399"/>
        <v>15</v>
      </c>
      <c r="L408" s="428">
        <f t="shared" si="400"/>
        <v>16</v>
      </c>
      <c r="M408" s="428">
        <f t="shared" si="401"/>
        <v>16</v>
      </c>
      <c r="N408" s="428">
        <f t="shared" si="402"/>
        <v>17</v>
      </c>
      <c r="O408" s="428">
        <f t="shared" si="403"/>
        <v>17</v>
      </c>
      <c r="P408" s="428">
        <f t="shared" si="404"/>
        <v>18</v>
      </c>
      <c r="Q408" s="428">
        <f t="shared" si="405"/>
        <v>18</v>
      </c>
      <c r="R408" s="428">
        <f t="shared" si="406"/>
        <v>18</v>
      </c>
      <c r="S408" s="428">
        <f t="shared" si="407"/>
        <v>18</v>
      </c>
      <c r="T408" s="428">
        <f t="shared" si="408"/>
        <v>18</v>
      </c>
      <c r="U408" s="428">
        <f t="shared" si="409"/>
        <v>22</v>
      </c>
      <c r="V408" s="428">
        <f t="shared" si="410"/>
        <v>22</v>
      </c>
      <c r="W408" s="428">
        <f t="shared" si="411"/>
        <v>26</v>
      </c>
      <c r="X408" s="428">
        <f t="shared" si="412"/>
        <v>34</v>
      </c>
      <c r="Y408" s="428">
        <f t="shared" si="413"/>
        <v>42</v>
      </c>
      <c r="Z408" s="428" t="s">
        <v>762</v>
      </c>
      <c r="AA408" s="428" t="s">
        <v>762</v>
      </c>
      <c r="AB408" s="428" t="s">
        <v>762</v>
      </c>
      <c r="AC408" s="428" t="s">
        <v>762</v>
      </c>
      <c r="AD408" s="428" t="s">
        <v>762</v>
      </c>
      <c r="AE408" s="428" t="s">
        <v>762</v>
      </c>
      <c r="AF408" s="428" t="s">
        <v>762</v>
      </c>
      <c r="AG408" s="428" t="s">
        <v>762</v>
      </c>
      <c r="AH408" s="428" t="s">
        <v>762</v>
      </c>
      <c r="AI408" s="428" t="s">
        <v>762</v>
      </c>
      <c r="AJ408" s="428" t="s">
        <v>762</v>
      </c>
      <c r="AK408" s="428" t="s">
        <v>762</v>
      </c>
      <c r="AL408" s="428" t="s">
        <v>762</v>
      </c>
      <c r="AM408" s="428" t="s">
        <v>762</v>
      </c>
      <c r="AN408" s="428" t="s">
        <v>762</v>
      </c>
      <c r="AO408" s="428" t="s">
        <v>762</v>
      </c>
      <c r="AP408" s="428" t="s">
        <v>762</v>
      </c>
      <c r="AQ408" s="428" t="s">
        <v>762</v>
      </c>
      <c r="AR408" s="428" t="s">
        <v>762</v>
      </c>
      <c r="AS408" s="428" t="s">
        <v>762</v>
      </c>
      <c r="AT408" s="428" t="s">
        <v>762</v>
      </c>
      <c r="AU408" s="428" t="s">
        <v>762</v>
      </c>
      <c r="AV408" s="428" t="s">
        <v>762</v>
      </c>
      <c r="AW408" s="428" t="s">
        <v>762</v>
      </c>
      <c r="AX408" s="428" t="s">
        <v>762</v>
      </c>
      <c r="AY408" s="428" t="s">
        <v>762</v>
      </c>
      <c r="AZ408" s="428" t="s">
        <v>762</v>
      </c>
      <c r="BA408" s="428" t="s">
        <v>762</v>
      </c>
      <c r="BB408" s="428" t="s">
        <v>762</v>
      </c>
      <c r="BC408" s="428" t="s">
        <v>762</v>
      </c>
      <c r="BD408" s="428" t="s">
        <v>762</v>
      </c>
      <c r="BE408" s="428" t="s">
        <v>762</v>
      </c>
      <c r="BF408" s="428" t="s">
        <v>762</v>
      </c>
      <c r="BG408" s="428" t="s">
        <v>762</v>
      </c>
      <c r="BH408" s="428" t="s">
        <v>762</v>
      </c>
      <c r="BI408" s="428" t="s">
        <v>762</v>
      </c>
      <c r="BJ408" s="428" t="s">
        <v>762</v>
      </c>
      <c r="BK408" s="428" t="s">
        <v>762</v>
      </c>
      <c r="BL408" s="428" t="s">
        <v>762</v>
      </c>
      <c r="BM408" s="428" t="s">
        <v>762</v>
      </c>
      <c r="BN408" s="428" t="s">
        <v>762</v>
      </c>
      <c r="BO408" s="428" t="s">
        <v>762</v>
      </c>
      <c r="BP408" s="428" t="s">
        <v>762</v>
      </c>
      <c r="BQ408" s="428" t="s">
        <v>762</v>
      </c>
      <c r="BR408" s="428" t="s">
        <v>762</v>
      </c>
      <c r="BS408" s="428" t="s">
        <v>762</v>
      </c>
      <c r="BT408" s="428" t="s">
        <v>762</v>
      </c>
      <c r="BU408" s="428" t="s">
        <v>762</v>
      </c>
      <c r="BV408" s="428" t="s">
        <v>762</v>
      </c>
      <c r="BW408" s="428" t="s">
        <v>762</v>
      </c>
      <c r="BX408" s="428" t="s">
        <v>762</v>
      </c>
      <c r="BY408" s="428" t="s">
        <v>762</v>
      </c>
      <c r="BZ408" s="428" t="s">
        <v>762</v>
      </c>
      <c r="CA408" s="428" t="s">
        <v>762</v>
      </c>
      <c r="CB408" s="428" t="s">
        <v>762</v>
      </c>
      <c r="CC408" s="428" t="s">
        <v>762</v>
      </c>
      <c r="CD408" s="428" t="s">
        <v>762</v>
      </c>
      <c r="CE408" s="428" t="s">
        <v>762</v>
      </c>
      <c r="CF408" s="428" t="s">
        <v>762</v>
      </c>
      <c r="CG408" s="428" t="s">
        <v>762</v>
      </c>
      <c r="CH408" s="428" t="s">
        <v>762</v>
      </c>
      <c r="CI408" s="428" t="s">
        <v>762</v>
      </c>
      <c r="CJ408" s="428" t="s">
        <v>762</v>
      </c>
      <c r="CK408" s="428" t="s">
        <v>762</v>
      </c>
      <c r="CL408" s="428" t="s">
        <v>762</v>
      </c>
    </row>
    <row r="409" spans="1:90" s="429" customFormat="1">
      <c r="A409" s="427" t="s">
        <v>575</v>
      </c>
      <c r="B409" s="427" t="s">
        <v>103</v>
      </c>
      <c r="C409" s="428">
        <f t="shared" ref="C409:C457" si="414">$P$604</f>
        <v>14</v>
      </c>
      <c r="D409" s="428">
        <f t="shared" ref="D409:D457" si="415">$P$605</f>
        <v>14</v>
      </c>
      <c r="E409" s="428">
        <f t="shared" ref="E409:E457" si="416">$P$606</f>
        <v>14</v>
      </c>
      <c r="F409" s="428">
        <f t="shared" ref="F409:F457" si="417">$P$607</f>
        <v>14</v>
      </c>
      <c r="G409" s="428">
        <f t="shared" ref="G409:G457" si="418">$P$608</f>
        <v>15</v>
      </c>
      <c r="H409" s="428">
        <f t="shared" ref="H409:H457" si="419">$P$609</f>
        <v>15</v>
      </c>
      <c r="I409" s="428">
        <f t="shared" ref="I409:I457" si="420">$P$610</f>
        <v>15</v>
      </c>
      <c r="J409" s="428">
        <f t="shared" ref="J409:J457" si="421">$P$611</f>
        <v>15</v>
      </c>
      <c r="K409" s="428">
        <f t="shared" ref="K409:K457" si="422">$P$612</f>
        <v>15</v>
      </c>
      <c r="L409" s="428">
        <f t="shared" ref="L409:L457" si="423">$P$613</f>
        <v>16</v>
      </c>
      <c r="M409" s="428">
        <f t="shared" ref="M409:M457" si="424">$P$614</f>
        <v>16</v>
      </c>
      <c r="N409" s="428">
        <f t="shared" ref="N409:N457" si="425">$P$615</f>
        <v>17</v>
      </c>
      <c r="O409" s="428">
        <f t="shared" ref="O409:O457" si="426">$P$616</f>
        <v>17</v>
      </c>
      <c r="P409" s="428">
        <f t="shared" ref="P409:P457" si="427">$P$617</f>
        <v>18</v>
      </c>
      <c r="Q409" s="428">
        <f t="shared" ref="Q409:Q457" si="428">$P$618</f>
        <v>18</v>
      </c>
      <c r="R409" s="428">
        <f t="shared" ref="R409:R457" si="429">$P$619</f>
        <v>18</v>
      </c>
      <c r="S409" s="428">
        <f t="shared" ref="S409:S457" si="430">$P$620</f>
        <v>18</v>
      </c>
      <c r="T409" s="428">
        <f t="shared" ref="T409:T457" si="431">$P$621</f>
        <v>18</v>
      </c>
      <c r="U409" s="428">
        <f t="shared" ref="U409:U457" si="432">$P$622</f>
        <v>22</v>
      </c>
      <c r="V409" s="428">
        <f t="shared" ref="V409:V457" si="433">$P$623</f>
        <v>22</v>
      </c>
      <c r="W409" s="428">
        <f t="shared" ref="W409:W457" si="434">$P$633</f>
        <v>26</v>
      </c>
      <c r="X409" s="428">
        <f t="shared" ref="X409:X457" si="435">(10*$P$634)+$P$633</f>
        <v>34</v>
      </c>
      <c r="Y409" s="428">
        <f t="shared" ref="Y409:Y457" si="436">(20*$P$634)+$P$633</f>
        <v>42</v>
      </c>
      <c r="Z409" s="428" t="s">
        <v>762</v>
      </c>
      <c r="AA409" s="428" t="s">
        <v>762</v>
      </c>
      <c r="AB409" s="428" t="s">
        <v>762</v>
      </c>
      <c r="AC409" s="428" t="s">
        <v>762</v>
      </c>
      <c r="AD409" s="428" t="s">
        <v>762</v>
      </c>
      <c r="AE409" s="428" t="s">
        <v>762</v>
      </c>
      <c r="AF409" s="428" t="s">
        <v>762</v>
      </c>
      <c r="AG409" s="428" t="s">
        <v>762</v>
      </c>
      <c r="AH409" s="428" t="s">
        <v>762</v>
      </c>
      <c r="AI409" s="428" t="s">
        <v>762</v>
      </c>
      <c r="AJ409" s="428" t="s">
        <v>762</v>
      </c>
      <c r="AK409" s="428" t="s">
        <v>762</v>
      </c>
      <c r="AL409" s="428" t="s">
        <v>762</v>
      </c>
      <c r="AM409" s="428" t="s">
        <v>762</v>
      </c>
      <c r="AN409" s="428" t="s">
        <v>762</v>
      </c>
      <c r="AO409" s="428" t="s">
        <v>762</v>
      </c>
      <c r="AP409" s="428" t="s">
        <v>762</v>
      </c>
      <c r="AQ409" s="428" t="s">
        <v>762</v>
      </c>
      <c r="AR409" s="428" t="s">
        <v>762</v>
      </c>
      <c r="AS409" s="428" t="s">
        <v>762</v>
      </c>
      <c r="AT409" s="428" t="s">
        <v>762</v>
      </c>
      <c r="AU409" s="428" t="s">
        <v>762</v>
      </c>
      <c r="AV409" s="428" t="s">
        <v>762</v>
      </c>
      <c r="AW409" s="428" t="s">
        <v>762</v>
      </c>
      <c r="AX409" s="428" t="s">
        <v>762</v>
      </c>
      <c r="AY409" s="428" t="s">
        <v>762</v>
      </c>
      <c r="AZ409" s="428" t="s">
        <v>762</v>
      </c>
      <c r="BA409" s="428" t="s">
        <v>762</v>
      </c>
      <c r="BB409" s="428" t="s">
        <v>762</v>
      </c>
      <c r="BC409" s="428" t="s">
        <v>762</v>
      </c>
      <c r="BD409" s="428" t="s">
        <v>762</v>
      </c>
      <c r="BE409" s="428" t="s">
        <v>762</v>
      </c>
      <c r="BF409" s="428" t="s">
        <v>762</v>
      </c>
      <c r="BG409" s="428" t="s">
        <v>762</v>
      </c>
      <c r="BH409" s="428" t="s">
        <v>762</v>
      </c>
      <c r="BI409" s="428" t="s">
        <v>762</v>
      </c>
      <c r="BJ409" s="428" t="s">
        <v>762</v>
      </c>
      <c r="BK409" s="428" t="s">
        <v>762</v>
      </c>
      <c r="BL409" s="428" t="s">
        <v>762</v>
      </c>
      <c r="BM409" s="428" t="s">
        <v>762</v>
      </c>
      <c r="BN409" s="428" t="s">
        <v>762</v>
      </c>
      <c r="BO409" s="428" t="s">
        <v>762</v>
      </c>
      <c r="BP409" s="428" t="s">
        <v>762</v>
      </c>
      <c r="BQ409" s="428" t="s">
        <v>762</v>
      </c>
      <c r="BR409" s="428" t="s">
        <v>762</v>
      </c>
      <c r="BS409" s="428" t="s">
        <v>762</v>
      </c>
      <c r="BT409" s="428" t="s">
        <v>762</v>
      </c>
      <c r="BU409" s="428" t="s">
        <v>762</v>
      </c>
      <c r="BV409" s="428" t="s">
        <v>762</v>
      </c>
      <c r="BW409" s="428" t="s">
        <v>762</v>
      </c>
      <c r="BX409" s="428" t="s">
        <v>762</v>
      </c>
      <c r="BY409" s="428" t="s">
        <v>762</v>
      </c>
      <c r="BZ409" s="428" t="s">
        <v>762</v>
      </c>
      <c r="CA409" s="428" t="s">
        <v>762</v>
      </c>
      <c r="CB409" s="428" t="s">
        <v>762</v>
      </c>
      <c r="CC409" s="428" t="s">
        <v>762</v>
      </c>
      <c r="CD409" s="428" t="s">
        <v>762</v>
      </c>
      <c r="CE409" s="428" t="s">
        <v>762</v>
      </c>
      <c r="CF409" s="428" t="s">
        <v>762</v>
      </c>
      <c r="CG409" s="428" t="s">
        <v>762</v>
      </c>
      <c r="CH409" s="428" t="s">
        <v>762</v>
      </c>
      <c r="CI409" s="428" t="s">
        <v>762</v>
      </c>
      <c r="CJ409" s="428" t="s">
        <v>762</v>
      </c>
      <c r="CK409" s="428" t="s">
        <v>762</v>
      </c>
      <c r="CL409" s="428" t="s">
        <v>762</v>
      </c>
    </row>
    <row r="410" spans="1:90" s="429" customFormat="1">
      <c r="A410" s="427" t="s">
        <v>576</v>
      </c>
      <c r="B410" s="427" t="s">
        <v>103</v>
      </c>
      <c r="C410" s="428">
        <f t="shared" si="414"/>
        <v>14</v>
      </c>
      <c r="D410" s="428">
        <f t="shared" si="415"/>
        <v>14</v>
      </c>
      <c r="E410" s="428">
        <f t="shared" si="416"/>
        <v>14</v>
      </c>
      <c r="F410" s="428">
        <f t="shared" si="417"/>
        <v>14</v>
      </c>
      <c r="G410" s="428">
        <f t="shared" si="418"/>
        <v>15</v>
      </c>
      <c r="H410" s="428">
        <f t="shared" si="419"/>
        <v>15</v>
      </c>
      <c r="I410" s="428">
        <f t="shared" si="420"/>
        <v>15</v>
      </c>
      <c r="J410" s="428">
        <f t="shared" si="421"/>
        <v>15</v>
      </c>
      <c r="K410" s="428">
        <f t="shared" si="422"/>
        <v>15</v>
      </c>
      <c r="L410" s="428">
        <f t="shared" si="423"/>
        <v>16</v>
      </c>
      <c r="M410" s="428">
        <f t="shared" si="424"/>
        <v>16</v>
      </c>
      <c r="N410" s="428">
        <f t="shared" si="425"/>
        <v>17</v>
      </c>
      <c r="O410" s="428">
        <f t="shared" si="426"/>
        <v>17</v>
      </c>
      <c r="P410" s="428">
        <f t="shared" si="427"/>
        <v>18</v>
      </c>
      <c r="Q410" s="428">
        <f t="shared" si="428"/>
        <v>18</v>
      </c>
      <c r="R410" s="428">
        <f t="shared" si="429"/>
        <v>18</v>
      </c>
      <c r="S410" s="428">
        <f t="shared" si="430"/>
        <v>18</v>
      </c>
      <c r="T410" s="428">
        <f t="shared" si="431"/>
        <v>18</v>
      </c>
      <c r="U410" s="428">
        <f t="shared" si="432"/>
        <v>22</v>
      </c>
      <c r="V410" s="428">
        <f t="shared" si="433"/>
        <v>22</v>
      </c>
      <c r="W410" s="428">
        <f t="shared" si="434"/>
        <v>26</v>
      </c>
      <c r="X410" s="428">
        <f t="shared" si="435"/>
        <v>34</v>
      </c>
      <c r="Y410" s="428">
        <f t="shared" si="436"/>
        <v>42</v>
      </c>
      <c r="Z410" s="428" t="s">
        <v>762</v>
      </c>
      <c r="AA410" s="428" t="s">
        <v>762</v>
      </c>
      <c r="AB410" s="428" t="s">
        <v>762</v>
      </c>
      <c r="AC410" s="428" t="s">
        <v>762</v>
      </c>
      <c r="AD410" s="428" t="s">
        <v>762</v>
      </c>
      <c r="AE410" s="428" t="s">
        <v>762</v>
      </c>
      <c r="AF410" s="428" t="s">
        <v>762</v>
      </c>
      <c r="AG410" s="428" t="s">
        <v>762</v>
      </c>
      <c r="AH410" s="428" t="s">
        <v>762</v>
      </c>
      <c r="AI410" s="428" t="s">
        <v>762</v>
      </c>
      <c r="AJ410" s="428" t="s">
        <v>762</v>
      </c>
      <c r="AK410" s="428" t="s">
        <v>762</v>
      </c>
      <c r="AL410" s="428" t="s">
        <v>762</v>
      </c>
      <c r="AM410" s="428" t="s">
        <v>762</v>
      </c>
      <c r="AN410" s="428" t="s">
        <v>762</v>
      </c>
      <c r="AO410" s="428" t="s">
        <v>762</v>
      </c>
      <c r="AP410" s="428" t="s">
        <v>762</v>
      </c>
      <c r="AQ410" s="428" t="s">
        <v>762</v>
      </c>
      <c r="AR410" s="428" t="s">
        <v>762</v>
      </c>
      <c r="AS410" s="428" t="s">
        <v>762</v>
      </c>
      <c r="AT410" s="428" t="s">
        <v>762</v>
      </c>
      <c r="AU410" s="428" t="s">
        <v>762</v>
      </c>
      <c r="AV410" s="428" t="s">
        <v>762</v>
      </c>
      <c r="AW410" s="428" t="s">
        <v>762</v>
      </c>
      <c r="AX410" s="428" t="s">
        <v>762</v>
      </c>
      <c r="AY410" s="428" t="s">
        <v>762</v>
      </c>
      <c r="AZ410" s="428" t="s">
        <v>762</v>
      </c>
      <c r="BA410" s="428" t="s">
        <v>762</v>
      </c>
      <c r="BB410" s="428" t="s">
        <v>762</v>
      </c>
      <c r="BC410" s="428" t="s">
        <v>762</v>
      </c>
      <c r="BD410" s="428" t="s">
        <v>762</v>
      </c>
      <c r="BE410" s="428" t="s">
        <v>762</v>
      </c>
      <c r="BF410" s="428" t="s">
        <v>762</v>
      </c>
      <c r="BG410" s="428" t="s">
        <v>762</v>
      </c>
      <c r="BH410" s="428" t="s">
        <v>762</v>
      </c>
      <c r="BI410" s="428" t="s">
        <v>762</v>
      </c>
      <c r="BJ410" s="428" t="s">
        <v>762</v>
      </c>
      <c r="BK410" s="428" t="s">
        <v>762</v>
      </c>
      <c r="BL410" s="428" t="s">
        <v>762</v>
      </c>
      <c r="BM410" s="428" t="s">
        <v>762</v>
      </c>
      <c r="BN410" s="428" t="s">
        <v>762</v>
      </c>
      <c r="BO410" s="428" t="s">
        <v>762</v>
      </c>
      <c r="BP410" s="428" t="s">
        <v>762</v>
      </c>
      <c r="BQ410" s="428" t="s">
        <v>762</v>
      </c>
      <c r="BR410" s="428" t="s">
        <v>762</v>
      </c>
      <c r="BS410" s="428" t="s">
        <v>762</v>
      </c>
      <c r="BT410" s="428" t="s">
        <v>762</v>
      </c>
      <c r="BU410" s="428" t="s">
        <v>762</v>
      </c>
      <c r="BV410" s="428" t="s">
        <v>762</v>
      </c>
      <c r="BW410" s="428" t="s">
        <v>762</v>
      </c>
      <c r="BX410" s="428" t="s">
        <v>762</v>
      </c>
      <c r="BY410" s="428" t="s">
        <v>762</v>
      </c>
      <c r="BZ410" s="428" t="s">
        <v>762</v>
      </c>
      <c r="CA410" s="428" t="s">
        <v>762</v>
      </c>
      <c r="CB410" s="428" t="s">
        <v>762</v>
      </c>
      <c r="CC410" s="428" t="s">
        <v>762</v>
      </c>
      <c r="CD410" s="428" t="s">
        <v>762</v>
      </c>
      <c r="CE410" s="428" t="s">
        <v>762</v>
      </c>
      <c r="CF410" s="428" t="s">
        <v>762</v>
      </c>
      <c r="CG410" s="428" t="s">
        <v>762</v>
      </c>
      <c r="CH410" s="428" t="s">
        <v>762</v>
      </c>
      <c r="CI410" s="428" t="s">
        <v>762</v>
      </c>
      <c r="CJ410" s="428" t="s">
        <v>762</v>
      </c>
      <c r="CK410" s="428" t="s">
        <v>762</v>
      </c>
      <c r="CL410" s="428" t="s">
        <v>762</v>
      </c>
    </row>
    <row r="411" spans="1:90" s="429" customFormat="1">
      <c r="A411" s="427" t="s">
        <v>577</v>
      </c>
      <c r="B411" s="427" t="s">
        <v>103</v>
      </c>
      <c r="C411" s="428">
        <f t="shared" si="414"/>
        <v>14</v>
      </c>
      <c r="D411" s="428">
        <f t="shared" si="415"/>
        <v>14</v>
      </c>
      <c r="E411" s="428">
        <f t="shared" si="416"/>
        <v>14</v>
      </c>
      <c r="F411" s="428">
        <f t="shared" si="417"/>
        <v>14</v>
      </c>
      <c r="G411" s="428">
        <f t="shared" si="418"/>
        <v>15</v>
      </c>
      <c r="H411" s="428">
        <f t="shared" si="419"/>
        <v>15</v>
      </c>
      <c r="I411" s="428">
        <f t="shared" si="420"/>
        <v>15</v>
      </c>
      <c r="J411" s="428">
        <f t="shared" si="421"/>
        <v>15</v>
      </c>
      <c r="K411" s="428">
        <f t="shared" si="422"/>
        <v>15</v>
      </c>
      <c r="L411" s="428">
        <f t="shared" si="423"/>
        <v>16</v>
      </c>
      <c r="M411" s="428">
        <f t="shared" si="424"/>
        <v>16</v>
      </c>
      <c r="N411" s="428">
        <f t="shared" si="425"/>
        <v>17</v>
      </c>
      <c r="O411" s="428">
        <f t="shared" si="426"/>
        <v>17</v>
      </c>
      <c r="P411" s="428">
        <f t="shared" si="427"/>
        <v>18</v>
      </c>
      <c r="Q411" s="428">
        <f t="shared" si="428"/>
        <v>18</v>
      </c>
      <c r="R411" s="428">
        <f t="shared" si="429"/>
        <v>18</v>
      </c>
      <c r="S411" s="428">
        <f t="shared" si="430"/>
        <v>18</v>
      </c>
      <c r="T411" s="428">
        <f t="shared" si="431"/>
        <v>18</v>
      </c>
      <c r="U411" s="428">
        <f t="shared" si="432"/>
        <v>22</v>
      </c>
      <c r="V411" s="428">
        <f t="shared" si="433"/>
        <v>22</v>
      </c>
      <c r="W411" s="428">
        <f t="shared" si="434"/>
        <v>26</v>
      </c>
      <c r="X411" s="428">
        <f t="shared" si="435"/>
        <v>34</v>
      </c>
      <c r="Y411" s="428">
        <f t="shared" si="436"/>
        <v>42</v>
      </c>
      <c r="Z411" s="428" t="s">
        <v>762</v>
      </c>
      <c r="AA411" s="428" t="s">
        <v>762</v>
      </c>
      <c r="AB411" s="428" t="s">
        <v>762</v>
      </c>
      <c r="AC411" s="428" t="s">
        <v>762</v>
      </c>
      <c r="AD411" s="428" t="s">
        <v>762</v>
      </c>
      <c r="AE411" s="428" t="s">
        <v>762</v>
      </c>
      <c r="AF411" s="428" t="s">
        <v>762</v>
      </c>
      <c r="AG411" s="428" t="s">
        <v>762</v>
      </c>
      <c r="AH411" s="428" t="s">
        <v>762</v>
      </c>
      <c r="AI411" s="428" t="s">
        <v>762</v>
      </c>
      <c r="AJ411" s="428" t="s">
        <v>762</v>
      </c>
      <c r="AK411" s="428" t="s">
        <v>762</v>
      </c>
      <c r="AL411" s="428" t="s">
        <v>762</v>
      </c>
      <c r="AM411" s="428" t="s">
        <v>762</v>
      </c>
      <c r="AN411" s="428" t="s">
        <v>762</v>
      </c>
      <c r="AO411" s="428" t="s">
        <v>762</v>
      </c>
      <c r="AP411" s="428" t="s">
        <v>762</v>
      </c>
      <c r="AQ411" s="428" t="s">
        <v>762</v>
      </c>
      <c r="AR411" s="428" t="s">
        <v>762</v>
      </c>
      <c r="AS411" s="428" t="s">
        <v>762</v>
      </c>
      <c r="AT411" s="428" t="s">
        <v>762</v>
      </c>
      <c r="AU411" s="428" t="s">
        <v>762</v>
      </c>
      <c r="AV411" s="428" t="s">
        <v>762</v>
      </c>
      <c r="AW411" s="428" t="s">
        <v>762</v>
      </c>
      <c r="AX411" s="428" t="s">
        <v>762</v>
      </c>
      <c r="AY411" s="428" t="s">
        <v>762</v>
      </c>
      <c r="AZ411" s="428" t="s">
        <v>762</v>
      </c>
      <c r="BA411" s="428" t="s">
        <v>762</v>
      </c>
      <c r="BB411" s="428" t="s">
        <v>762</v>
      </c>
      <c r="BC411" s="428" t="s">
        <v>762</v>
      </c>
      <c r="BD411" s="428" t="s">
        <v>762</v>
      </c>
      <c r="BE411" s="428" t="s">
        <v>762</v>
      </c>
      <c r="BF411" s="428" t="s">
        <v>762</v>
      </c>
      <c r="BG411" s="428" t="s">
        <v>762</v>
      </c>
      <c r="BH411" s="428" t="s">
        <v>762</v>
      </c>
      <c r="BI411" s="428" t="s">
        <v>762</v>
      </c>
      <c r="BJ411" s="428" t="s">
        <v>762</v>
      </c>
      <c r="BK411" s="428" t="s">
        <v>762</v>
      </c>
      <c r="BL411" s="428" t="s">
        <v>762</v>
      </c>
      <c r="BM411" s="428" t="s">
        <v>762</v>
      </c>
      <c r="BN411" s="428" t="s">
        <v>762</v>
      </c>
      <c r="BO411" s="428" t="s">
        <v>762</v>
      </c>
      <c r="BP411" s="428" t="s">
        <v>762</v>
      </c>
      <c r="BQ411" s="428" t="s">
        <v>762</v>
      </c>
      <c r="BR411" s="428" t="s">
        <v>762</v>
      </c>
      <c r="BS411" s="428" t="s">
        <v>762</v>
      </c>
      <c r="BT411" s="428" t="s">
        <v>762</v>
      </c>
      <c r="BU411" s="428" t="s">
        <v>762</v>
      </c>
      <c r="BV411" s="428" t="s">
        <v>762</v>
      </c>
      <c r="BW411" s="428" t="s">
        <v>762</v>
      </c>
      <c r="BX411" s="428" t="s">
        <v>762</v>
      </c>
      <c r="BY411" s="428" t="s">
        <v>762</v>
      </c>
      <c r="BZ411" s="428" t="s">
        <v>762</v>
      </c>
      <c r="CA411" s="428" t="s">
        <v>762</v>
      </c>
      <c r="CB411" s="428" t="s">
        <v>762</v>
      </c>
      <c r="CC411" s="428" t="s">
        <v>762</v>
      </c>
      <c r="CD411" s="428" t="s">
        <v>762</v>
      </c>
      <c r="CE411" s="428" t="s">
        <v>762</v>
      </c>
      <c r="CF411" s="428" t="s">
        <v>762</v>
      </c>
      <c r="CG411" s="428" t="s">
        <v>762</v>
      </c>
      <c r="CH411" s="428" t="s">
        <v>762</v>
      </c>
      <c r="CI411" s="428" t="s">
        <v>762</v>
      </c>
      <c r="CJ411" s="428" t="s">
        <v>762</v>
      </c>
      <c r="CK411" s="428" t="s">
        <v>762</v>
      </c>
      <c r="CL411" s="428" t="s">
        <v>762</v>
      </c>
    </row>
    <row r="412" spans="1:90" s="429" customFormat="1">
      <c r="A412" s="427" t="s">
        <v>578</v>
      </c>
      <c r="B412" s="427" t="s">
        <v>103</v>
      </c>
      <c r="C412" s="428">
        <f t="shared" si="414"/>
        <v>14</v>
      </c>
      <c r="D412" s="428">
        <f t="shared" si="415"/>
        <v>14</v>
      </c>
      <c r="E412" s="428">
        <f t="shared" si="416"/>
        <v>14</v>
      </c>
      <c r="F412" s="428">
        <f t="shared" si="417"/>
        <v>14</v>
      </c>
      <c r="G412" s="428">
        <f t="shared" si="418"/>
        <v>15</v>
      </c>
      <c r="H412" s="428">
        <f t="shared" si="419"/>
        <v>15</v>
      </c>
      <c r="I412" s="428">
        <f t="shared" si="420"/>
        <v>15</v>
      </c>
      <c r="J412" s="428">
        <f t="shared" si="421"/>
        <v>15</v>
      </c>
      <c r="K412" s="428">
        <f t="shared" si="422"/>
        <v>15</v>
      </c>
      <c r="L412" s="428">
        <f t="shared" si="423"/>
        <v>16</v>
      </c>
      <c r="M412" s="428">
        <f t="shared" si="424"/>
        <v>16</v>
      </c>
      <c r="N412" s="428">
        <f t="shared" si="425"/>
        <v>17</v>
      </c>
      <c r="O412" s="428">
        <f t="shared" si="426"/>
        <v>17</v>
      </c>
      <c r="P412" s="428">
        <f t="shared" si="427"/>
        <v>18</v>
      </c>
      <c r="Q412" s="428">
        <f t="shared" si="428"/>
        <v>18</v>
      </c>
      <c r="R412" s="428">
        <f t="shared" si="429"/>
        <v>18</v>
      </c>
      <c r="S412" s="428">
        <f t="shared" si="430"/>
        <v>18</v>
      </c>
      <c r="T412" s="428">
        <f t="shared" si="431"/>
        <v>18</v>
      </c>
      <c r="U412" s="428">
        <f t="shared" si="432"/>
        <v>22</v>
      </c>
      <c r="V412" s="428">
        <f t="shared" si="433"/>
        <v>22</v>
      </c>
      <c r="W412" s="428">
        <f t="shared" si="434"/>
        <v>26</v>
      </c>
      <c r="X412" s="428">
        <f t="shared" si="435"/>
        <v>34</v>
      </c>
      <c r="Y412" s="428">
        <f t="shared" si="436"/>
        <v>42</v>
      </c>
      <c r="Z412" s="428" t="s">
        <v>762</v>
      </c>
      <c r="AA412" s="428" t="s">
        <v>762</v>
      </c>
      <c r="AB412" s="428" t="s">
        <v>762</v>
      </c>
      <c r="AC412" s="428" t="s">
        <v>762</v>
      </c>
      <c r="AD412" s="428" t="s">
        <v>762</v>
      </c>
      <c r="AE412" s="428" t="s">
        <v>762</v>
      </c>
      <c r="AF412" s="428" t="s">
        <v>762</v>
      </c>
      <c r="AG412" s="428" t="s">
        <v>762</v>
      </c>
      <c r="AH412" s="428" t="s">
        <v>762</v>
      </c>
      <c r="AI412" s="428" t="s">
        <v>762</v>
      </c>
      <c r="AJ412" s="428" t="s">
        <v>762</v>
      </c>
      <c r="AK412" s="428" t="s">
        <v>762</v>
      </c>
      <c r="AL412" s="428" t="s">
        <v>762</v>
      </c>
      <c r="AM412" s="428" t="s">
        <v>762</v>
      </c>
      <c r="AN412" s="428" t="s">
        <v>762</v>
      </c>
      <c r="AO412" s="428" t="s">
        <v>762</v>
      </c>
      <c r="AP412" s="428" t="s">
        <v>762</v>
      </c>
      <c r="AQ412" s="428" t="s">
        <v>762</v>
      </c>
      <c r="AR412" s="428" t="s">
        <v>762</v>
      </c>
      <c r="AS412" s="428" t="s">
        <v>762</v>
      </c>
      <c r="AT412" s="428" t="s">
        <v>762</v>
      </c>
      <c r="AU412" s="428" t="s">
        <v>762</v>
      </c>
      <c r="AV412" s="428" t="s">
        <v>762</v>
      </c>
      <c r="AW412" s="428" t="s">
        <v>762</v>
      </c>
      <c r="AX412" s="428" t="s">
        <v>762</v>
      </c>
      <c r="AY412" s="428" t="s">
        <v>762</v>
      </c>
      <c r="AZ412" s="428" t="s">
        <v>762</v>
      </c>
      <c r="BA412" s="428" t="s">
        <v>762</v>
      </c>
      <c r="BB412" s="428" t="s">
        <v>762</v>
      </c>
      <c r="BC412" s="428" t="s">
        <v>762</v>
      </c>
      <c r="BD412" s="428" t="s">
        <v>762</v>
      </c>
      <c r="BE412" s="428" t="s">
        <v>762</v>
      </c>
      <c r="BF412" s="428" t="s">
        <v>762</v>
      </c>
      <c r="BG412" s="428" t="s">
        <v>762</v>
      </c>
      <c r="BH412" s="428" t="s">
        <v>762</v>
      </c>
      <c r="BI412" s="428" t="s">
        <v>762</v>
      </c>
      <c r="BJ412" s="428" t="s">
        <v>762</v>
      </c>
      <c r="BK412" s="428" t="s">
        <v>762</v>
      </c>
      <c r="BL412" s="428" t="s">
        <v>762</v>
      </c>
      <c r="BM412" s="428" t="s">
        <v>762</v>
      </c>
      <c r="BN412" s="428" t="s">
        <v>762</v>
      </c>
      <c r="BO412" s="428" t="s">
        <v>762</v>
      </c>
      <c r="BP412" s="428" t="s">
        <v>762</v>
      </c>
      <c r="BQ412" s="428" t="s">
        <v>762</v>
      </c>
      <c r="BR412" s="428" t="s">
        <v>762</v>
      </c>
      <c r="BS412" s="428" t="s">
        <v>762</v>
      </c>
      <c r="BT412" s="428" t="s">
        <v>762</v>
      </c>
      <c r="BU412" s="428" t="s">
        <v>762</v>
      </c>
      <c r="BV412" s="428" t="s">
        <v>762</v>
      </c>
      <c r="BW412" s="428" t="s">
        <v>762</v>
      </c>
      <c r="BX412" s="428" t="s">
        <v>762</v>
      </c>
      <c r="BY412" s="428" t="s">
        <v>762</v>
      </c>
      <c r="BZ412" s="428" t="s">
        <v>762</v>
      </c>
      <c r="CA412" s="428" t="s">
        <v>762</v>
      </c>
      <c r="CB412" s="428" t="s">
        <v>762</v>
      </c>
      <c r="CC412" s="428" t="s">
        <v>762</v>
      </c>
      <c r="CD412" s="428" t="s">
        <v>762</v>
      </c>
      <c r="CE412" s="428" t="s">
        <v>762</v>
      </c>
      <c r="CF412" s="428" t="s">
        <v>762</v>
      </c>
      <c r="CG412" s="428" t="s">
        <v>762</v>
      </c>
      <c r="CH412" s="428" t="s">
        <v>762</v>
      </c>
      <c r="CI412" s="428" t="s">
        <v>762</v>
      </c>
      <c r="CJ412" s="428" t="s">
        <v>762</v>
      </c>
      <c r="CK412" s="428" t="s">
        <v>762</v>
      </c>
      <c r="CL412" s="428" t="s">
        <v>762</v>
      </c>
    </row>
    <row r="413" spans="1:90" s="429" customFormat="1">
      <c r="A413" s="427" t="s">
        <v>579</v>
      </c>
      <c r="B413" s="427" t="s">
        <v>103</v>
      </c>
      <c r="C413" s="428">
        <f t="shared" si="414"/>
        <v>14</v>
      </c>
      <c r="D413" s="428">
        <f t="shared" si="415"/>
        <v>14</v>
      </c>
      <c r="E413" s="428">
        <f t="shared" si="416"/>
        <v>14</v>
      </c>
      <c r="F413" s="428">
        <f t="shared" si="417"/>
        <v>14</v>
      </c>
      <c r="G413" s="428">
        <f t="shared" si="418"/>
        <v>15</v>
      </c>
      <c r="H413" s="428">
        <f t="shared" si="419"/>
        <v>15</v>
      </c>
      <c r="I413" s="428">
        <f t="shared" si="420"/>
        <v>15</v>
      </c>
      <c r="J413" s="428">
        <f t="shared" si="421"/>
        <v>15</v>
      </c>
      <c r="K413" s="428">
        <f t="shared" si="422"/>
        <v>15</v>
      </c>
      <c r="L413" s="428">
        <f t="shared" si="423"/>
        <v>16</v>
      </c>
      <c r="M413" s="428">
        <f t="shared" si="424"/>
        <v>16</v>
      </c>
      <c r="N413" s="428">
        <f t="shared" si="425"/>
        <v>17</v>
      </c>
      <c r="O413" s="428">
        <f t="shared" si="426"/>
        <v>17</v>
      </c>
      <c r="P413" s="428">
        <f t="shared" si="427"/>
        <v>18</v>
      </c>
      <c r="Q413" s="428">
        <f t="shared" si="428"/>
        <v>18</v>
      </c>
      <c r="R413" s="428">
        <f t="shared" si="429"/>
        <v>18</v>
      </c>
      <c r="S413" s="428">
        <f t="shared" si="430"/>
        <v>18</v>
      </c>
      <c r="T413" s="428">
        <f t="shared" si="431"/>
        <v>18</v>
      </c>
      <c r="U413" s="428">
        <f t="shared" si="432"/>
        <v>22</v>
      </c>
      <c r="V413" s="428">
        <f t="shared" si="433"/>
        <v>22</v>
      </c>
      <c r="W413" s="428">
        <f t="shared" si="434"/>
        <v>26</v>
      </c>
      <c r="X413" s="428">
        <f t="shared" si="435"/>
        <v>34</v>
      </c>
      <c r="Y413" s="428">
        <f t="shared" si="436"/>
        <v>42</v>
      </c>
      <c r="Z413" s="428" t="s">
        <v>762</v>
      </c>
      <c r="AA413" s="428" t="s">
        <v>762</v>
      </c>
      <c r="AB413" s="428" t="s">
        <v>762</v>
      </c>
      <c r="AC413" s="428" t="s">
        <v>762</v>
      </c>
      <c r="AD413" s="428" t="s">
        <v>762</v>
      </c>
      <c r="AE413" s="428" t="s">
        <v>762</v>
      </c>
      <c r="AF413" s="428" t="s">
        <v>762</v>
      </c>
      <c r="AG413" s="428" t="s">
        <v>762</v>
      </c>
      <c r="AH413" s="428" t="s">
        <v>762</v>
      </c>
      <c r="AI413" s="428" t="s">
        <v>762</v>
      </c>
      <c r="AJ413" s="428" t="s">
        <v>762</v>
      </c>
      <c r="AK413" s="428" t="s">
        <v>762</v>
      </c>
      <c r="AL413" s="428" t="s">
        <v>762</v>
      </c>
      <c r="AM413" s="428" t="s">
        <v>762</v>
      </c>
      <c r="AN413" s="428" t="s">
        <v>762</v>
      </c>
      <c r="AO413" s="428" t="s">
        <v>762</v>
      </c>
      <c r="AP413" s="428" t="s">
        <v>762</v>
      </c>
      <c r="AQ413" s="428" t="s">
        <v>762</v>
      </c>
      <c r="AR413" s="428" t="s">
        <v>762</v>
      </c>
      <c r="AS413" s="428" t="s">
        <v>762</v>
      </c>
      <c r="AT413" s="428" t="s">
        <v>762</v>
      </c>
      <c r="AU413" s="428" t="s">
        <v>762</v>
      </c>
      <c r="AV413" s="428" t="s">
        <v>762</v>
      </c>
      <c r="AW413" s="428" t="s">
        <v>762</v>
      </c>
      <c r="AX413" s="428" t="s">
        <v>762</v>
      </c>
      <c r="AY413" s="428" t="s">
        <v>762</v>
      </c>
      <c r="AZ413" s="428" t="s">
        <v>762</v>
      </c>
      <c r="BA413" s="428" t="s">
        <v>762</v>
      </c>
      <c r="BB413" s="428" t="s">
        <v>762</v>
      </c>
      <c r="BC413" s="428" t="s">
        <v>762</v>
      </c>
      <c r="BD413" s="428" t="s">
        <v>762</v>
      </c>
      <c r="BE413" s="428" t="s">
        <v>762</v>
      </c>
      <c r="BF413" s="428" t="s">
        <v>762</v>
      </c>
      <c r="BG413" s="428" t="s">
        <v>762</v>
      </c>
      <c r="BH413" s="428" t="s">
        <v>762</v>
      </c>
      <c r="BI413" s="428" t="s">
        <v>762</v>
      </c>
      <c r="BJ413" s="428" t="s">
        <v>762</v>
      </c>
      <c r="BK413" s="428" t="s">
        <v>762</v>
      </c>
      <c r="BL413" s="428" t="s">
        <v>762</v>
      </c>
      <c r="BM413" s="428" t="s">
        <v>762</v>
      </c>
      <c r="BN413" s="428" t="s">
        <v>762</v>
      </c>
      <c r="BO413" s="428" t="s">
        <v>762</v>
      </c>
      <c r="BP413" s="428" t="s">
        <v>762</v>
      </c>
      <c r="BQ413" s="428" t="s">
        <v>762</v>
      </c>
      <c r="BR413" s="428" t="s">
        <v>762</v>
      </c>
      <c r="BS413" s="428" t="s">
        <v>762</v>
      </c>
      <c r="BT413" s="428" t="s">
        <v>762</v>
      </c>
      <c r="BU413" s="428" t="s">
        <v>762</v>
      </c>
      <c r="BV413" s="428" t="s">
        <v>762</v>
      </c>
      <c r="BW413" s="428" t="s">
        <v>762</v>
      </c>
      <c r="BX413" s="428" t="s">
        <v>762</v>
      </c>
      <c r="BY413" s="428" t="s">
        <v>762</v>
      </c>
      <c r="BZ413" s="428" t="s">
        <v>762</v>
      </c>
      <c r="CA413" s="428" t="s">
        <v>762</v>
      </c>
      <c r="CB413" s="428" t="s">
        <v>762</v>
      </c>
      <c r="CC413" s="428" t="s">
        <v>762</v>
      </c>
      <c r="CD413" s="428" t="s">
        <v>762</v>
      </c>
      <c r="CE413" s="428" t="s">
        <v>762</v>
      </c>
      <c r="CF413" s="428" t="s">
        <v>762</v>
      </c>
      <c r="CG413" s="428" t="s">
        <v>762</v>
      </c>
      <c r="CH413" s="428" t="s">
        <v>762</v>
      </c>
      <c r="CI413" s="428" t="s">
        <v>762</v>
      </c>
      <c r="CJ413" s="428" t="s">
        <v>762</v>
      </c>
      <c r="CK413" s="428" t="s">
        <v>762</v>
      </c>
      <c r="CL413" s="428" t="s">
        <v>762</v>
      </c>
    </row>
    <row r="414" spans="1:90" s="429" customFormat="1">
      <c r="A414" s="427" t="s">
        <v>580</v>
      </c>
      <c r="B414" s="427" t="s">
        <v>103</v>
      </c>
      <c r="C414" s="428">
        <f t="shared" si="414"/>
        <v>14</v>
      </c>
      <c r="D414" s="428">
        <f t="shared" si="415"/>
        <v>14</v>
      </c>
      <c r="E414" s="428">
        <f t="shared" si="416"/>
        <v>14</v>
      </c>
      <c r="F414" s="428">
        <f t="shared" si="417"/>
        <v>14</v>
      </c>
      <c r="G414" s="428">
        <f t="shared" si="418"/>
        <v>15</v>
      </c>
      <c r="H414" s="428">
        <f t="shared" si="419"/>
        <v>15</v>
      </c>
      <c r="I414" s="428">
        <f t="shared" si="420"/>
        <v>15</v>
      </c>
      <c r="J414" s="428">
        <f t="shared" si="421"/>
        <v>15</v>
      </c>
      <c r="K414" s="428">
        <f t="shared" si="422"/>
        <v>15</v>
      </c>
      <c r="L414" s="428">
        <f t="shared" si="423"/>
        <v>16</v>
      </c>
      <c r="M414" s="428">
        <f t="shared" si="424"/>
        <v>16</v>
      </c>
      <c r="N414" s="428">
        <f t="shared" si="425"/>
        <v>17</v>
      </c>
      <c r="O414" s="428">
        <f t="shared" si="426"/>
        <v>17</v>
      </c>
      <c r="P414" s="428">
        <f t="shared" si="427"/>
        <v>18</v>
      </c>
      <c r="Q414" s="428">
        <f t="shared" si="428"/>
        <v>18</v>
      </c>
      <c r="R414" s="428">
        <f t="shared" si="429"/>
        <v>18</v>
      </c>
      <c r="S414" s="428">
        <f t="shared" si="430"/>
        <v>18</v>
      </c>
      <c r="T414" s="428">
        <f t="shared" si="431"/>
        <v>18</v>
      </c>
      <c r="U414" s="428">
        <f t="shared" si="432"/>
        <v>22</v>
      </c>
      <c r="V414" s="428">
        <f t="shared" si="433"/>
        <v>22</v>
      </c>
      <c r="W414" s="428">
        <f t="shared" si="434"/>
        <v>26</v>
      </c>
      <c r="X414" s="428">
        <f t="shared" si="435"/>
        <v>34</v>
      </c>
      <c r="Y414" s="428">
        <f t="shared" si="436"/>
        <v>42</v>
      </c>
      <c r="Z414" s="428" t="s">
        <v>762</v>
      </c>
      <c r="AA414" s="428" t="s">
        <v>762</v>
      </c>
      <c r="AB414" s="428" t="s">
        <v>762</v>
      </c>
      <c r="AC414" s="428" t="s">
        <v>762</v>
      </c>
      <c r="AD414" s="428" t="s">
        <v>762</v>
      </c>
      <c r="AE414" s="428" t="s">
        <v>762</v>
      </c>
      <c r="AF414" s="428" t="s">
        <v>762</v>
      </c>
      <c r="AG414" s="428" t="s">
        <v>762</v>
      </c>
      <c r="AH414" s="428" t="s">
        <v>762</v>
      </c>
      <c r="AI414" s="428" t="s">
        <v>762</v>
      </c>
      <c r="AJ414" s="428" t="s">
        <v>762</v>
      </c>
      <c r="AK414" s="428" t="s">
        <v>762</v>
      </c>
      <c r="AL414" s="428" t="s">
        <v>762</v>
      </c>
      <c r="AM414" s="428" t="s">
        <v>762</v>
      </c>
      <c r="AN414" s="428" t="s">
        <v>762</v>
      </c>
      <c r="AO414" s="428" t="s">
        <v>762</v>
      </c>
      <c r="AP414" s="428" t="s">
        <v>762</v>
      </c>
      <c r="AQ414" s="428" t="s">
        <v>762</v>
      </c>
      <c r="AR414" s="428" t="s">
        <v>762</v>
      </c>
      <c r="AS414" s="428" t="s">
        <v>762</v>
      </c>
      <c r="AT414" s="428" t="s">
        <v>762</v>
      </c>
      <c r="AU414" s="428" t="s">
        <v>762</v>
      </c>
      <c r="AV414" s="428" t="s">
        <v>762</v>
      </c>
      <c r="AW414" s="428" t="s">
        <v>762</v>
      </c>
      <c r="AX414" s="428" t="s">
        <v>762</v>
      </c>
      <c r="AY414" s="428" t="s">
        <v>762</v>
      </c>
      <c r="AZ414" s="428" t="s">
        <v>762</v>
      </c>
      <c r="BA414" s="428" t="s">
        <v>762</v>
      </c>
      <c r="BB414" s="428" t="s">
        <v>762</v>
      </c>
      <c r="BC414" s="428" t="s">
        <v>762</v>
      </c>
      <c r="BD414" s="428" t="s">
        <v>762</v>
      </c>
      <c r="BE414" s="428" t="s">
        <v>762</v>
      </c>
      <c r="BF414" s="428" t="s">
        <v>762</v>
      </c>
      <c r="BG414" s="428" t="s">
        <v>762</v>
      </c>
      <c r="BH414" s="428" t="s">
        <v>762</v>
      </c>
      <c r="BI414" s="428" t="s">
        <v>762</v>
      </c>
      <c r="BJ414" s="428" t="s">
        <v>762</v>
      </c>
      <c r="BK414" s="428" t="s">
        <v>762</v>
      </c>
      <c r="BL414" s="428" t="s">
        <v>762</v>
      </c>
      <c r="BM414" s="428" t="s">
        <v>762</v>
      </c>
      <c r="BN414" s="428" t="s">
        <v>762</v>
      </c>
      <c r="BO414" s="428" t="s">
        <v>762</v>
      </c>
      <c r="BP414" s="428" t="s">
        <v>762</v>
      </c>
      <c r="BQ414" s="428" t="s">
        <v>762</v>
      </c>
      <c r="BR414" s="428" t="s">
        <v>762</v>
      </c>
      <c r="BS414" s="428" t="s">
        <v>762</v>
      </c>
      <c r="BT414" s="428" t="s">
        <v>762</v>
      </c>
      <c r="BU414" s="428" t="s">
        <v>762</v>
      </c>
      <c r="BV414" s="428" t="s">
        <v>762</v>
      </c>
      <c r="BW414" s="428" t="s">
        <v>762</v>
      </c>
      <c r="BX414" s="428" t="s">
        <v>762</v>
      </c>
      <c r="BY414" s="428" t="s">
        <v>762</v>
      </c>
      <c r="BZ414" s="428" t="s">
        <v>762</v>
      </c>
      <c r="CA414" s="428" t="s">
        <v>762</v>
      </c>
      <c r="CB414" s="428" t="s">
        <v>762</v>
      </c>
      <c r="CC414" s="428" t="s">
        <v>762</v>
      </c>
      <c r="CD414" s="428" t="s">
        <v>762</v>
      </c>
      <c r="CE414" s="428" t="s">
        <v>762</v>
      </c>
      <c r="CF414" s="428" t="s">
        <v>762</v>
      </c>
      <c r="CG414" s="428" t="s">
        <v>762</v>
      </c>
      <c r="CH414" s="428" t="s">
        <v>762</v>
      </c>
      <c r="CI414" s="428" t="s">
        <v>762</v>
      </c>
      <c r="CJ414" s="428" t="s">
        <v>762</v>
      </c>
      <c r="CK414" s="428" t="s">
        <v>762</v>
      </c>
      <c r="CL414" s="428" t="s">
        <v>762</v>
      </c>
    </row>
    <row r="415" spans="1:90" s="429" customFormat="1">
      <c r="A415" s="427" t="s">
        <v>581</v>
      </c>
      <c r="B415" s="427" t="s">
        <v>103</v>
      </c>
      <c r="C415" s="428">
        <f t="shared" si="414"/>
        <v>14</v>
      </c>
      <c r="D415" s="428">
        <f t="shared" si="415"/>
        <v>14</v>
      </c>
      <c r="E415" s="428">
        <f t="shared" si="416"/>
        <v>14</v>
      </c>
      <c r="F415" s="428">
        <f t="shared" si="417"/>
        <v>14</v>
      </c>
      <c r="G415" s="428">
        <f t="shared" si="418"/>
        <v>15</v>
      </c>
      <c r="H415" s="428">
        <f t="shared" si="419"/>
        <v>15</v>
      </c>
      <c r="I415" s="428">
        <f t="shared" si="420"/>
        <v>15</v>
      </c>
      <c r="J415" s="428">
        <f t="shared" si="421"/>
        <v>15</v>
      </c>
      <c r="K415" s="428">
        <f t="shared" si="422"/>
        <v>15</v>
      </c>
      <c r="L415" s="428">
        <f t="shared" si="423"/>
        <v>16</v>
      </c>
      <c r="M415" s="428">
        <f t="shared" si="424"/>
        <v>16</v>
      </c>
      <c r="N415" s="428">
        <f t="shared" si="425"/>
        <v>17</v>
      </c>
      <c r="O415" s="428">
        <f t="shared" si="426"/>
        <v>17</v>
      </c>
      <c r="P415" s="428">
        <f t="shared" si="427"/>
        <v>18</v>
      </c>
      <c r="Q415" s="428">
        <f t="shared" si="428"/>
        <v>18</v>
      </c>
      <c r="R415" s="428">
        <f t="shared" si="429"/>
        <v>18</v>
      </c>
      <c r="S415" s="428">
        <f t="shared" si="430"/>
        <v>18</v>
      </c>
      <c r="T415" s="428">
        <f t="shared" si="431"/>
        <v>18</v>
      </c>
      <c r="U415" s="428">
        <f t="shared" si="432"/>
        <v>22</v>
      </c>
      <c r="V415" s="428">
        <f t="shared" si="433"/>
        <v>22</v>
      </c>
      <c r="W415" s="428">
        <f t="shared" si="434"/>
        <v>26</v>
      </c>
      <c r="X415" s="428">
        <f t="shared" si="435"/>
        <v>34</v>
      </c>
      <c r="Y415" s="428">
        <f t="shared" si="436"/>
        <v>42</v>
      </c>
      <c r="Z415" s="428" t="s">
        <v>762</v>
      </c>
      <c r="AA415" s="428" t="s">
        <v>762</v>
      </c>
      <c r="AB415" s="428" t="s">
        <v>762</v>
      </c>
      <c r="AC415" s="428" t="s">
        <v>762</v>
      </c>
      <c r="AD415" s="428" t="s">
        <v>762</v>
      </c>
      <c r="AE415" s="428" t="s">
        <v>762</v>
      </c>
      <c r="AF415" s="428" t="s">
        <v>762</v>
      </c>
      <c r="AG415" s="428" t="s">
        <v>762</v>
      </c>
      <c r="AH415" s="428" t="s">
        <v>762</v>
      </c>
      <c r="AI415" s="428" t="s">
        <v>762</v>
      </c>
      <c r="AJ415" s="428" t="s">
        <v>762</v>
      </c>
      <c r="AK415" s="428" t="s">
        <v>762</v>
      </c>
      <c r="AL415" s="428" t="s">
        <v>762</v>
      </c>
      <c r="AM415" s="428" t="s">
        <v>762</v>
      </c>
      <c r="AN415" s="428" t="s">
        <v>762</v>
      </c>
      <c r="AO415" s="428" t="s">
        <v>762</v>
      </c>
      <c r="AP415" s="428" t="s">
        <v>762</v>
      </c>
      <c r="AQ415" s="428" t="s">
        <v>762</v>
      </c>
      <c r="AR415" s="428" t="s">
        <v>762</v>
      </c>
      <c r="AS415" s="428" t="s">
        <v>762</v>
      </c>
      <c r="AT415" s="428" t="s">
        <v>762</v>
      </c>
      <c r="AU415" s="428" t="s">
        <v>762</v>
      </c>
      <c r="AV415" s="428" t="s">
        <v>762</v>
      </c>
      <c r="AW415" s="428" t="s">
        <v>762</v>
      </c>
      <c r="AX415" s="428" t="s">
        <v>762</v>
      </c>
      <c r="AY415" s="428" t="s">
        <v>762</v>
      </c>
      <c r="AZ415" s="428" t="s">
        <v>762</v>
      </c>
      <c r="BA415" s="428" t="s">
        <v>762</v>
      </c>
      <c r="BB415" s="428" t="s">
        <v>762</v>
      </c>
      <c r="BC415" s="428" t="s">
        <v>762</v>
      </c>
      <c r="BD415" s="428" t="s">
        <v>762</v>
      </c>
      <c r="BE415" s="428" t="s">
        <v>762</v>
      </c>
      <c r="BF415" s="428" t="s">
        <v>762</v>
      </c>
      <c r="BG415" s="428" t="s">
        <v>762</v>
      </c>
      <c r="BH415" s="428" t="s">
        <v>762</v>
      </c>
      <c r="BI415" s="428" t="s">
        <v>762</v>
      </c>
      <c r="BJ415" s="428" t="s">
        <v>762</v>
      </c>
      <c r="BK415" s="428" t="s">
        <v>762</v>
      </c>
      <c r="BL415" s="428" t="s">
        <v>762</v>
      </c>
      <c r="BM415" s="428" t="s">
        <v>762</v>
      </c>
      <c r="BN415" s="428" t="s">
        <v>762</v>
      </c>
      <c r="BO415" s="428" t="s">
        <v>762</v>
      </c>
      <c r="BP415" s="428" t="s">
        <v>762</v>
      </c>
      <c r="BQ415" s="428" t="s">
        <v>762</v>
      </c>
      <c r="BR415" s="428" t="s">
        <v>762</v>
      </c>
      <c r="BS415" s="428" t="s">
        <v>762</v>
      </c>
      <c r="BT415" s="428" t="s">
        <v>762</v>
      </c>
      <c r="BU415" s="428" t="s">
        <v>762</v>
      </c>
      <c r="BV415" s="428" t="s">
        <v>762</v>
      </c>
      <c r="BW415" s="428" t="s">
        <v>762</v>
      </c>
      <c r="BX415" s="428" t="s">
        <v>762</v>
      </c>
      <c r="BY415" s="428" t="s">
        <v>762</v>
      </c>
      <c r="BZ415" s="428" t="s">
        <v>762</v>
      </c>
      <c r="CA415" s="428" t="s">
        <v>762</v>
      </c>
      <c r="CB415" s="428" t="s">
        <v>762</v>
      </c>
      <c r="CC415" s="428" t="s">
        <v>762</v>
      </c>
      <c r="CD415" s="428" t="s">
        <v>762</v>
      </c>
      <c r="CE415" s="428" t="s">
        <v>762</v>
      </c>
      <c r="CF415" s="428" t="s">
        <v>762</v>
      </c>
      <c r="CG415" s="428" t="s">
        <v>762</v>
      </c>
      <c r="CH415" s="428" t="s">
        <v>762</v>
      </c>
      <c r="CI415" s="428" t="s">
        <v>762</v>
      </c>
      <c r="CJ415" s="428" t="s">
        <v>762</v>
      </c>
      <c r="CK415" s="428" t="s">
        <v>762</v>
      </c>
      <c r="CL415" s="428" t="s">
        <v>762</v>
      </c>
    </row>
    <row r="416" spans="1:90" s="429" customFormat="1">
      <c r="A416" s="427" t="s">
        <v>582</v>
      </c>
      <c r="B416" s="427" t="s">
        <v>103</v>
      </c>
      <c r="C416" s="428">
        <f t="shared" si="414"/>
        <v>14</v>
      </c>
      <c r="D416" s="428">
        <f t="shared" si="415"/>
        <v>14</v>
      </c>
      <c r="E416" s="428">
        <f t="shared" si="416"/>
        <v>14</v>
      </c>
      <c r="F416" s="428">
        <f t="shared" si="417"/>
        <v>14</v>
      </c>
      <c r="G416" s="428">
        <f t="shared" si="418"/>
        <v>15</v>
      </c>
      <c r="H416" s="428">
        <f t="shared" si="419"/>
        <v>15</v>
      </c>
      <c r="I416" s="428">
        <f t="shared" si="420"/>
        <v>15</v>
      </c>
      <c r="J416" s="428">
        <f t="shared" si="421"/>
        <v>15</v>
      </c>
      <c r="K416" s="428">
        <f t="shared" si="422"/>
        <v>15</v>
      </c>
      <c r="L416" s="428">
        <f t="shared" si="423"/>
        <v>16</v>
      </c>
      <c r="M416" s="428">
        <f t="shared" si="424"/>
        <v>16</v>
      </c>
      <c r="N416" s="428">
        <f t="shared" si="425"/>
        <v>17</v>
      </c>
      <c r="O416" s="428">
        <f t="shared" si="426"/>
        <v>17</v>
      </c>
      <c r="P416" s="428">
        <f t="shared" si="427"/>
        <v>18</v>
      </c>
      <c r="Q416" s="428">
        <f t="shared" si="428"/>
        <v>18</v>
      </c>
      <c r="R416" s="428">
        <f t="shared" si="429"/>
        <v>18</v>
      </c>
      <c r="S416" s="428">
        <f t="shared" si="430"/>
        <v>18</v>
      </c>
      <c r="T416" s="428">
        <f t="shared" si="431"/>
        <v>18</v>
      </c>
      <c r="U416" s="428">
        <f t="shared" si="432"/>
        <v>22</v>
      </c>
      <c r="V416" s="428">
        <f t="shared" si="433"/>
        <v>22</v>
      </c>
      <c r="W416" s="428">
        <f t="shared" si="434"/>
        <v>26</v>
      </c>
      <c r="X416" s="428">
        <f t="shared" si="435"/>
        <v>34</v>
      </c>
      <c r="Y416" s="428">
        <f t="shared" si="436"/>
        <v>42</v>
      </c>
      <c r="Z416" s="428" t="s">
        <v>762</v>
      </c>
      <c r="AA416" s="428" t="s">
        <v>762</v>
      </c>
      <c r="AB416" s="428" t="s">
        <v>762</v>
      </c>
      <c r="AC416" s="428" t="s">
        <v>762</v>
      </c>
      <c r="AD416" s="428" t="s">
        <v>762</v>
      </c>
      <c r="AE416" s="428" t="s">
        <v>762</v>
      </c>
      <c r="AF416" s="428" t="s">
        <v>762</v>
      </c>
      <c r="AG416" s="428" t="s">
        <v>762</v>
      </c>
      <c r="AH416" s="428" t="s">
        <v>762</v>
      </c>
      <c r="AI416" s="428" t="s">
        <v>762</v>
      </c>
      <c r="AJ416" s="428" t="s">
        <v>762</v>
      </c>
      <c r="AK416" s="428" t="s">
        <v>762</v>
      </c>
      <c r="AL416" s="428" t="s">
        <v>762</v>
      </c>
      <c r="AM416" s="428" t="s">
        <v>762</v>
      </c>
      <c r="AN416" s="428" t="s">
        <v>762</v>
      </c>
      <c r="AO416" s="428" t="s">
        <v>762</v>
      </c>
      <c r="AP416" s="428" t="s">
        <v>762</v>
      </c>
      <c r="AQ416" s="428" t="s">
        <v>762</v>
      </c>
      <c r="AR416" s="428" t="s">
        <v>762</v>
      </c>
      <c r="AS416" s="428" t="s">
        <v>762</v>
      </c>
      <c r="AT416" s="428" t="s">
        <v>762</v>
      </c>
      <c r="AU416" s="428" t="s">
        <v>762</v>
      </c>
      <c r="AV416" s="428" t="s">
        <v>762</v>
      </c>
      <c r="AW416" s="428" t="s">
        <v>762</v>
      </c>
      <c r="AX416" s="428" t="s">
        <v>762</v>
      </c>
      <c r="AY416" s="428" t="s">
        <v>762</v>
      </c>
      <c r="AZ416" s="428" t="s">
        <v>762</v>
      </c>
      <c r="BA416" s="428" t="s">
        <v>762</v>
      </c>
      <c r="BB416" s="428" t="s">
        <v>762</v>
      </c>
      <c r="BC416" s="428" t="s">
        <v>762</v>
      </c>
      <c r="BD416" s="428" t="s">
        <v>762</v>
      </c>
      <c r="BE416" s="428" t="s">
        <v>762</v>
      </c>
      <c r="BF416" s="428" t="s">
        <v>762</v>
      </c>
      <c r="BG416" s="428" t="s">
        <v>762</v>
      </c>
      <c r="BH416" s="428" t="s">
        <v>762</v>
      </c>
      <c r="BI416" s="428" t="s">
        <v>762</v>
      </c>
      <c r="BJ416" s="428" t="s">
        <v>762</v>
      </c>
      <c r="BK416" s="428" t="s">
        <v>762</v>
      </c>
      <c r="BL416" s="428" t="s">
        <v>762</v>
      </c>
      <c r="BM416" s="428" t="s">
        <v>762</v>
      </c>
      <c r="BN416" s="428" t="s">
        <v>762</v>
      </c>
      <c r="BO416" s="428" t="s">
        <v>762</v>
      </c>
      <c r="BP416" s="428" t="s">
        <v>762</v>
      </c>
      <c r="BQ416" s="428" t="s">
        <v>762</v>
      </c>
      <c r="BR416" s="428" t="s">
        <v>762</v>
      </c>
      <c r="BS416" s="428" t="s">
        <v>762</v>
      </c>
      <c r="BT416" s="428" t="s">
        <v>762</v>
      </c>
      <c r="BU416" s="428" t="s">
        <v>762</v>
      </c>
      <c r="BV416" s="428" t="s">
        <v>762</v>
      </c>
      <c r="BW416" s="428" t="s">
        <v>762</v>
      </c>
      <c r="BX416" s="428" t="s">
        <v>762</v>
      </c>
      <c r="BY416" s="428" t="s">
        <v>762</v>
      </c>
      <c r="BZ416" s="428" t="s">
        <v>762</v>
      </c>
      <c r="CA416" s="428" t="s">
        <v>762</v>
      </c>
      <c r="CB416" s="428" t="s">
        <v>762</v>
      </c>
      <c r="CC416" s="428" t="s">
        <v>762</v>
      </c>
      <c r="CD416" s="428" t="s">
        <v>762</v>
      </c>
      <c r="CE416" s="428" t="s">
        <v>762</v>
      </c>
      <c r="CF416" s="428" t="s">
        <v>762</v>
      </c>
      <c r="CG416" s="428" t="s">
        <v>762</v>
      </c>
      <c r="CH416" s="428" t="s">
        <v>762</v>
      </c>
      <c r="CI416" s="428" t="s">
        <v>762</v>
      </c>
      <c r="CJ416" s="428" t="s">
        <v>762</v>
      </c>
      <c r="CK416" s="428" t="s">
        <v>762</v>
      </c>
      <c r="CL416" s="428" t="s">
        <v>762</v>
      </c>
    </row>
    <row r="417" spans="1:90" s="429" customFormat="1">
      <c r="A417" s="427" t="s">
        <v>583</v>
      </c>
      <c r="B417" s="427" t="s">
        <v>103</v>
      </c>
      <c r="C417" s="428">
        <f t="shared" si="414"/>
        <v>14</v>
      </c>
      <c r="D417" s="428">
        <f t="shared" si="415"/>
        <v>14</v>
      </c>
      <c r="E417" s="428">
        <f t="shared" si="416"/>
        <v>14</v>
      </c>
      <c r="F417" s="428">
        <f t="shared" si="417"/>
        <v>14</v>
      </c>
      <c r="G417" s="428">
        <f t="shared" si="418"/>
        <v>15</v>
      </c>
      <c r="H417" s="428">
        <f t="shared" si="419"/>
        <v>15</v>
      </c>
      <c r="I417" s="428">
        <f t="shared" si="420"/>
        <v>15</v>
      </c>
      <c r="J417" s="428">
        <f t="shared" si="421"/>
        <v>15</v>
      </c>
      <c r="K417" s="428">
        <f t="shared" si="422"/>
        <v>15</v>
      </c>
      <c r="L417" s="428">
        <f t="shared" si="423"/>
        <v>16</v>
      </c>
      <c r="M417" s="428">
        <f t="shared" si="424"/>
        <v>16</v>
      </c>
      <c r="N417" s="428">
        <f t="shared" si="425"/>
        <v>17</v>
      </c>
      <c r="O417" s="428">
        <f t="shared" si="426"/>
        <v>17</v>
      </c>
      <c r="P417" s="428">
        <f t="shared" si="427"/>
        <v>18</v>
      </c>
      <c r="Q417" s="428">
        <f t="shared" si="428"/>
        <v>18</v>
      </c>
      <c r="R417" s="428">
        <f t="shared" si="429"/>
        <v>18</v>
      </c>
      <c r="S417" s="428">
        <f t="shared" si="430"/>
        <v>18</v>
      </c>
      <c r="T417" s="428">
        <f t="shared" si="431"/>
        <v>18</v>
      </c>
      <c r="U417" s="428">
        <f t="shared" si="432"/>
        <v>22</v>
      </c>
      <c r="V417" s="428">
        <f t="shared" si="433"/>
        <v>22</v>
      </c>
      <c r="W417" s="428">
        <f t="shared" si="434"/>
        <v>26</v>
      </c>
      <c r="X417" s="428">
        <f t="shared" si="435"/>
        <v>34</v>
      </c>
      <c r="Y417" s="428">
        <f t="shared" si="436"/>
        <v>42</v>
      </c>
      <c r="Z417" s="428" t="s">
        <v>762</v>
      </c>
      <c r="AA417" s="428" t="s">
        <v>762</v>
      </c>
      <c r="AB417" s="428" t="s">
        <v>762</v>
      </c>
      <c r="AC417" s="428" t="s">
        <v>762</v>
      </c>
      <c r="AD417" s="428" t="s">
        <v>762</v>
      </c>
      <c r="AE417" s="428" t="s">
        <v>762</v>
      </c>
      <c r="AF417" s="428" t="s">
        <v>762</v>
      </c>
      <c r="AG417" s="428" t="s">
        <v>762</v>
      </c>
      <c r="AH417" s="428" t="s">
        <v>762</v>
      </c>
      <c r="AI417" s="428" t="s">
        <v>762</v>
      </c>
      <c r="AJ417" s="428" t="s">
        <v>762</v>
      </c>
      <c r="AK417" s="428" t="s">
        <v>762</v>
      </c>
      <c r="AL417" s="428" t="s">
        <v>762</v>
      </c>
      <c r="AM417" s="428" t="s">
        <v>762</v>
      </c>
      <c r="AN417" s="428" t="s">
        <v>762</v>
      </c>
      <c r="AO417" s="428" t="s">
        <v>762</v>
      </c>
      <c r="AP417" s="428" t="s">
        <v>762</v>
      </c>
      <c r="AQ417" s="428" t="s">
        <v>762</v>
      </c>
      <c r="AR417" s="428" t="s">
        <v>762</v>
      </c>
      <c r="AS417" s="428" t="s">
        <v>762</v>
      </c>
      <c r="AT417" s="428" t="s">
        <v>762</v>
      </c>
      <c r="AU417" s="428" t="s">
        <v>762</v>
      </c>
      <c r="AV417" s="428" t="s">
        <v>762</v>
      </c>
      <c r="AW417" s="428" t="s">
        <v>762</v>
      </c>
      <c r="AX417" s="428" t="s">
        <v>762</v>
      </c>
      <c r="AY417" s="428" t="s">
        <v>762</v>
      </c>
      <c r="AZ417" s="428" t="s">
        <v>762</v>
      </c>
      <c r="BA417" s="428" t="s">
        <v>762</v>
      </c>
      <c r="BB417" s="428" t="s">
        <v>762</v>
      </c>
      <c r="BC417" s="428" t="s">
        <v>762</v>
      </c>
      <c r="BD417" s="428" t="s">
        <v>762</v>
      </c>
      <c r="BE417" s="428" t="s">
        <v>762</v>
      </c>
      <c r="BF417" s="428" t="s">
        <v>762</v>
      </c>
      <c r="BG417" s="428" t="s">
        <v>762</v>
      </c>
      <c r="BH417" s="428" t="s">
        <v>762</v>
      </c>
      <c r="BI417" s="428" t="s">
        <v>762</v>
      </c>
      <c r="BJ417" s="428" t="s">
        <v>762</v>
      </c>
      <c r="BK417" s="428" t="s">
        <v>762</v>
      </c>
      <c r="BL417" s="428" t="s">
        <v>762</v>
      </c>
      <c r="BM417" s="428" t="s">
        <v>762</v>
      </c>
      <c r="BN417" s="428" t="s">
        <v>762</v>
      </c>
      <c r="BO417" s="428" t="s">
        <v>762</v>
      </c>
      <c r="BP417" s="428" t="s">
        <v>762</v>
      </c>
      <c r="BQ417" s="428" t="s">
        <v>762</v>
      </c>
      <c r="BR417" s="428" t="s">
        <v>762</v>
      </c>
      <c r="BS417" s="428" t="s">
        <v>762</v>
      </c>
      <c r="BT417" s="428" t="s">
        <v>762</v>
      </c>
      <c r="BU417" s="428" t="s">
        <v>762</v>
      </c>
      <c r="BV417" s="428" t="s">
        <v>762</v>
      </c>
      <c r="BW417" s="428" t="s">
        <v>762</v>
      </c>
      <c r="BX417" s="428" t="s">
        <v>762</v>
      </c>
      <c r="BY417" s="428" t="s">
        <v>762</v>
      </c>
      <c r="BZ417" s="428" t="s">
        <v>762</v>
      </c>
      <c r="CA417" s="428" t="s">
        <v>762</v>
      </c>
      <c r="CB417" s="428" t="s">
        <v>762</v>
      </c>
      <c r="CC417" s="428" t="s">
        <v>762</v>
      </c>
      <c r="CD417" s="428" t="s">
        <v>762</v>
      </c>
      <c r="CE417" s="428" t="s">
        <v>762</v>
      </c>
      <c r="CF417" s="428" t="s">
        <v>762</v>
      </c>
      <c r="CG417" s="428" t="s">
        <v>762</v>
      </c>
      <c r="CH417" s="428" t="s">
        <v>762</v>
      </c>
      <c r="CI417" s="428" t="s">
        <v>762</v>
      </c>
      <c r="CJ417" s="428" t="s">
        <v>762</v>
      </c>
      <c r="CK417" s="428" t="s">
        <v>762</v>
      </c>
      <c r="CL417" s="428" t="s">
        <v>762</v>
      </c>
    </row>
    <row r="418" spans="1:90" s="429" customFormat="1">
      <c r="A418" s="427" t="s">
        <v>584</v>
      </c>
      <c r="B418" s="427" t="s">
        <v>103</v>
      </c>
      <c r="C418" s="428">
        <f t="shared" si="414"/>
        <v>14</v>
      </c>
      <c r="D418" s="428">
        <f t="shared" si="415"/>
        <v>14</v>
      </c>
      <c r="E418" s="428">
        <f t="shared" si="416"/>
        <v>14</v>
      </c>
      <c r="F418" s="428">
        <f t="shared" si="417"/>
        <v>14</v>
      </c>
      <c r="G418" s="428">
        <f t="shared" si="418"/>
        <v>15</v>
      </c>
      <c r="H418" s="428">
        <f t="shared" si="419"/>
        <v>15</v>
      </c>
      <c r="I418" s="428">
        <f t="shared" si="420"/>
        <v>15</v>
      </c>
      <c r="J418" s="428">
        <f t="shared" si="421"/>
        <v>15</v>
      </c>
      <c r="K418" s="428">
        <f t="shared" si="422"/>
        <v>15</v>
      </c>
      <c r="L418" s="428">
        <f t="shared" si="423"/>
        <v>16</v>
      </c>
      <c r="M418" s="428">
        <f t="shared" si="424"/>
        <v>16</v>
      </c>
      <c r="N418" s="428">
        <f t="shared" si="425"/>
        <v>17</v>
      </c>
      <c r="O418" s="428">
        <f t="shared" si="426"/>
        <v>17</v>
      </c>
      <c r="P418" s="428">
        <f t="shared" si="427"/>
        <v>18</v>
      </c>
      <c r="Q418" s="428">
        <f t="shared" si="428"/>
        <v>18</v>
      </c>
      <c r="R418" s="428">
        <f t="shared" si="429"/>
        <v>18</v>
      </c>
      <c r="S418" s="428">
        <f t="shared" si="430"/>
        <v>18</v>
      </c>
      <c r="T418" s="428">
        <f t="shared" si="431"/>
        <v>18</v>
      </c>
      <c r="U418" s="428">
        <f t="shared" si="432"/>
        <v>22</v>
      </c>
      <c r="V418" s="428">
        <f t="shared" si="433"/>
        <v>22</v>
      </c>
      <c r="W418" s="428">
        <f t="shared" si="434"/>
        <v>26</v>
      </c>
      <c r="X418" s="428">
        <f t="shared" si="435"/>
        <v>34</v>
      </c>
      <c r="Y418" s="428">
        <f t="shared" si="436"/>
        <v>42</v>
      </c>
      <c r="Z418" s="428" t="s">
        <v>762</v>
      </c>
      <c r="AA418" s="428" t="s">
        <v>762</v>
      </c>
      <c r="AB418" s="428" t="s">
        <v>762</v>
      </c>
      <c r="AC418" s="428" t="s">
        <v>762</v>
      </c>
      <c r="AD418" s="428" t="s">
        <v>762</v>
      </c>
      <c r="AE418" s="428" t="s">
        <v>762</v>
      </c>
      <c r="AF418" s="428" t="s">
        <v>762</v>
      </c>
      <c r="AG418" s="428" t="s">
        <v>762</v>
      </c>
      <c r="AH418" s="428" t="s">
        <v>762</v>
      </c>
      <c r="AI418" s="428" t="s">
        <v>762</v>
      </c>
      <c r="AJ418" s="428" t="s">
        <v>762</v>
      </c>
      <c r="AK418" s="428" t="s">
        <v>762</v>
      </c>
      <c r="AL418" s="428" t="s">
        <v>762</v>
      </c>
      <c r="AM418" s="428" t="s">
        <v>762</v>
      </c>
      <c r="AN418" s="428" t="s">
        <v>762</v>
      </c>
      <c r="AO418" s="428" t="s">
        <v>762</v>
      </c>
      <c r="AP418" s="428" t="s">
        <v>762</v>
      </c>
      <c r="AQ418" s="428" t="s">
        <v>762</v>
      </c>
      <c r="AR418" s="428" t="s">
        <v>762</v>
      </c>
      <c r="AS418" s="428" t="s">
        <v>762</v>
      </c>
      <c r="AT418" s="428" t="s">
        <v>762</v>
      </c>
      <c r="AU418" s="428" t="s">
        <v>762</v>
      </c>
      <c r="AV418" s="428" t="s">
        <v>762</v>
      </c>
      <c r="AW418" s="428" t="s">
        <v>762</v>
      </c>
      <c r="AX418" s="428" t="s">
        <v>762</v>
      </c>
      <c r="AY418" s="428" t="s">
        <v>762</v>
      </c>
      <c r="AZ418" s="428" t="s">
        <v>762</v>
      </c>
      <c r="BA418" s="428" t="s">
        <v>762</v>
      </c>
      <c r="BB418" s="428" t="s">
        <v>762</v>
      </c>
      <c r="BC418" s="428" t="s">
        <v>762</v>
      </c>
      <c r="BD418" s="428" t="s">
        <v>762</v>
      </c>
      <c r="BE418" s="428" t="s">
        <v>762</v>
      </c>
      <c r="BF418" s="428" t="s">
        <v>762</v>
      </c>
      <c r="BG418" s="428" t="s">
        <v>762</v>
      </c>
      <c r="BH418" s="428" t="s">
        <v>762</v>
      </c>
      <c r="BI418" s="428" t="s">
        <v>762</v>
      </c>
      <c r="BJ418" s="428" t="s">
        <v>762</v>
      </c>
      <c r="BK418" s="428" t="s">
        <v>762</v>
      </c>
      <c r="BL418" s="428" t="s">
        <v>762</v>
      </c>
      <c r="BM418" s="428" t="s">
        <v>762</v>
      </c>
      <c r="BN418" s="428" t="s">
        <v>762</v>
      </c>
      <c r="BO418" s="428" t="s">
        <v>762</v>
      </c>
      <c r="BP418" s="428" t="s">
        <v>762</v>
      </c>
      <c r="BQ418" s="428" t="s">
        <v>762</v>
      </c>
      <c r="BR418" s="428" t="s">
        <v>762</v>
      </c>
      <c r="BS418" s="428" t="s">
        <v>762</v>
      </c>
      <c r="BT418" s="428" t="s">
        <v>762</v>
      </c>
      <c r="BU418" s="428" t="s">
        <v>762</v>
      </c>
      <c r="BV418" s="428" t="s">
        <v>762</v>
      </c>
      <c r="BW418" s="428" t="s">
        <v>762</v>
      </c>
      <c r="BX418" s="428" t="s">
        <v>762</v>
      </c>
      <c r="BY418" s="428" t="s">
        <v>762</v>
      </c>
      <c r="BZ418" s="428" t="s">
        <v>762</v>
      </c>
      <c r="CA418" s="428" t="s">
        <v>762</v>
      </c>
      <c r="CB418" s="428" t="s">
        <v>762</v>
      </c>
      <c r="CC418" s="428" t="s">
        <v>762</v>
      </c>
      <c r="CD418" s="428" t="s">
        <v>762</v>
      </c>
      <c r="CE418" s="428" t="s">
        <v>762</v>
      </c>
      <c r="CF418" s="428" t="s">
        <v>762</v>
      </c>
      <c r="CG418" s="428" t="s">
        <v>762</v>
      </c>
      <c r="CH418" s="428" t="s">
        <v>762</v>
      </c>
      <c r="CI418" s="428" t="s">
        <v>762</v>
      </c>
      <c r="CJ418" s="428" t="s">
        <v>762</v>
      </c>
      <c r="CK418" s="428" t="s">
        <v>762</v>
      </c>
      <c r="CL418" s="428" t="s">
        <v>762</v>
      </c>
    </row>
    <row r="419" spans="1:90" s="429" customFormat="1">
      <c r="A419" s="427" t="s">
        <v>585</v>
      </c>
      <c r="B419" s="427" t="s">
        <v>103</v>
      </c>
      <c r="C419" s="428">
        <f t="shared" si="414"/>
        <v>14</v>
      </c>
      <c r="D419" s="428">
        <f t="shared" si="415"/>
        <v>14</v>
      </c>
      <c r="E419" s="428">
        <f t="shared" si="416"/>
        <v>14</v>
      </c>
      <c r="F419" s="428">
        <f t="shared" si="417"/>
        <v>14</v>
      </c>
      <c r="G419" s="428">
        <f t="shared" si="418"/>
        <v>15</v>
      </c>
      <c r="H419" s="428">
        <f t="shared" si="419"/>
        <v>15</v>
      </c>
      <c r="I419" s="428">
        <f t="shared" si="420"/>
        <v>15</v>
      </c>
      <c r="J419" s="428">
        <f t="shared" si="421"/>
        <v>15</v>
      </c>
      <c r="K419" s="428">
        <f t="shared" si="422"/>
        <v>15</v>
      </c>
      <c r="L419" s="428">
        <f t="shared" si="423"/>
        <v>16</v>
      </c>
      <c r="M419" s="428">
        <f t="shared" si="424"/>
        <v>16</v>
      </c>
      <c r="N419" s="428">
        <f t="shared" si="425"/>
        <v>17</v>
      </c>
      <c r="O419" s="428">
        <f t="shared" si="426"/>
        <v>17</v>
      </c>
      <c r="P419" s="428">
        <f t="shared" si="427"/>
        <v>18</v>
      </c>
      <c r="Q419" s="428">
        <f t="shared" si="428"/>
        <v>18</v>
      </c>
      <c r="R419" s="428">
        <f t="shared" si="429"/>
        <v>18</v>
      </c>
      <c r="S419" s="428">
        <f t="shared" si="430"/>
        <v>18</v>
      </c>
      <c r="T419" s="428">
        <f t="shared" si="431"/>
        <v>18</v>
      </c>
      <c r="U419" s="428">
        <f t="shared" si="432"/>
        <v>22</v>
      </c>
      <c r="V419" s="428">
        <f t="shared" si="433"/>
        <v>22</v>
      </c>
      <c r="W419" s="428">
        <f t="shared" si="434"/>
        <v>26</v>
      </c>
      <c r="X419" s="428">
        <f t="shared" si="435"/>
        <v>34</v>
      </c>
      <c r="Y419" s="428">
        <f t="shared" si="436"/>
        <v>42</v>
      </c>
      <c r="Z419" s="428" t="s">
        <v>762</v>
      </c>
      <c r="AA419" s="428" t="s">
        <v>762</v>
      </c>
      <c r="AB419" s="428" t="s">
        <v>762</v>
      </c>
      <c r="AC419" s="428" t="s">
        <v>762</v>
      </c>
      <c r="AD419" s="428" t="s">
        <v>762</v>
      </c>
      <c r="AE419" s="428" t="s">
        <v>762</v>
      </c>
      <c r="AF419" s="428" t="s">
        <v>762</v>
      </c>
      <c r="AG419" s="428" t="s">
        <v>762</v>
      </c>
      <c r="AH419" s="428" t="s">
        <v>762</v>
      </c>
      <c r="AI419" s="428" t="s">
        <v>762</v>
      </c>
      <c r="AJ419" s="428" t="s">
        <v>762</v>
      </c>
      <c r="AK419" s="428" t="s">
        <v>762</v>
      </c>
      <c r="AL419" s="428" t="s">
        <v>762</v>
      </c>
      <c r="AM419" s="428" t="s">
        <v>762</v>
      </c>
      <c r="AN419" s="428" t="s">
        <v>762</v>
      </c>
      <c r="AO419" s="428" t="s">
        <v>762</v>
      </c>
      <c r="AP419" s="428" t="s">
        <v>762</v>
      </c>
      <c r="AQ419" s="428" t="s">
        <v>762</v>
      </c>
      <c r="AR419" s="428" t="s">
        <v>762</v>
      </c>
      <c r="AS419" s="428" t="s">
        <v>762</v>
      </c>
      <c r="AT419" s="428" t="s">
        <v>762</v>
      </c>
      <c r="AU419" s="428" t="s">
        <v>762</v>
      </c>
      <c r="AV419" s="428" t="s">
        <v>762</v>
      </c>
      <c r="AW419" s="428" t="s">
        <v>762</v>
      </c>
      <c r="AX419" s="428" t="s">
        <v>762</v>
      </c>
      <c r="AY419" s="428" t="s">
        <v>762</v>
      </c>
      <c r="AZ419" s="428" t="s">
        <v>762</v>
      </c>
      <c r="BA419" s="428" t="s">
        <v>762</v>
      </c>
      <c r="BB419" s="428" t="s">
        <v>762</v>
      </c>
      <c r="BC419" s="428" t="s">
        <v>762</v>
      </c>
      <c r="BD419" s="428" t="s">
        <v>762</v>
      </c>
      <c r="BE419" s="428" t="s">
        <v>762</v>
      </c>
      <c r="BF419" s="428" t="s">
        <v>762</v>
      </c>
      <c r="BG419" s="428" t="s">
        <v>762</v>
      </c>
      <c r="BH419" s="428" t="s">
        <v>762</v>
      </c>
      <c r="BI419" s="428" t="s">
        <v>762</v>
      </c>
      <c r="BJ419" s="428" t="s">
        <v>762</v>
      </c>
      <c r="BK419" s="428" t="s">
        <v>762</v>
      </c>
      <c r="BL419" s="428" t="s">
        <v>762</v>
      </c>
      <c r="BM419" s="428" t="s">
        <v>762</v>
      </c>
      <c r="BN419" s="428" t="s">
        <v>762</v>
      </c>
      <c r="BO419" s="428" t="s">
        <v>762</v>
      </c>
      <c r="BP419" s="428" t="s">
        <v>762</v>
      </c>
      <c r="BQ419" s="428" t="s">
        <v>762</v>
      </c>
      <c r="BR419" s="428" t="s">
        <v>762</v>
      </c>
      <c r="BS419" s="428" t="s">
        <v>762</v>
      </c>
      <c r="BT419" s="428" t="s">
        <v>762</v>
      </c>
      <c r="BU419" s="428" t="s">
        <v>762</v>
      </c>
      <c r="BV419" s="428" t="s">
        <v>762</v>
      </c>
      <c r="BW419" s="428" t="s">
        <v>762</v>
      </c>
      <c r="BX419" s="428" t="s">
        <v>762</v>
      </c>
      <c r="BY419" s="428" t="s">
        <v>762</v>
      </c>
      <c r="BZ419" s="428" t="s">
        <v>762</v>
      </c>
      <c r="CA419" s="428" t="s">
        <v>762</v>
      </c>
      <c r="CB419" s="428" t="s">
        <v>762</v>
      </c>
      <c r="CC419" s="428" t="s">
        <v>762</v>
      </c>
      <c r="CD419" s="428" t="s">
        <v>762</v>
      </c>
      <c r="CE419" s="428" t="s">
        <v>762</v>
      </c>
      <c r="CF419" s="428" t="s">
        <v>762</v>
      </c>
      <c r="CG419" s="428" t="s">
        <v>762</v>
      </c>
      <c r="CH419" s="428" t="s">
        <v>762</v>
      </c>
      <c r="CI419" s="428" t="s">
        <v>762</v>
      </c>
      <c r="CJ419" s="428" t="s">
        <v>762</v>
      </c>
      <c r="CK419" s="428" t="s">
        <v>762</v>
      </c>
      <c r="CL419" s="428" t="s">
        <v>762</v>
      </c>
    </row>
    <row r="420" spans="1:90" s="429" customFormat="1">
      <c r="A420" s="427" t="s">
        <v>586</v>
      </c>
      <c r="B420" s="427" t="s">
        <v>103</v>
      </c>
      <c r="C420" s="428">
        <f t="shared" si="414"/>
        <v>14</v>
      </c>
      <c r="D420" s="428">
        <f t="shared" si="415"/>
        <v>14</v>
      </c>
      <c r="E420" s="428">
        <f t="shared" si="416"/>
        <v>14</v>
      </c>
      <c r="F420" s="428">
        <f t="shared" si="417"/>
        <v>14</v>
      </c>
      <c r="G420" s="428">
        <f t="shared" si="418"/>
        <v>15</v>
      </c>
      <c r="H420" s="428">
        <f t="shared" si="419"/>
        <v>15</v>
      </c>
      <c r="I420" s="428">
        <f t="shared" si="420"/>
        <v>15</v>
      </c>
      <c r="J420" s="428">
        <f t="shared" si="421"/>
        <v>15</v>
      </c>
      <c r="K420" s="428">
        <f t="shared" si="422"/>
        <v>15</v>
      </c>
      <c r="L420" s="428">
        <f t="shared" si="423"/>
        <v>16</v>
      </c>
      <c r="M420" s="428">
        <f t="shared" si="424"/>
        <v>16</v>
      </c>
      <c r="N420" s="428">
        <f t="shared" si="425"/>
        <v>17</v>
      </c>
      <c r="O420" s="428">
        <f t="shared" si="426"/>
        <v>17</v>
      </c>
      <c r="P420" s="428">
        <f t="shared" si="427"/>
        <v>18</v>
      </c>
      <c r="Q420" s="428">
        <f t="shared" si="428"/>
        <v>18</v>
      </c>
      <c r="R420" s="428">
        <f t="shared" si="429"/>
        <v>18</v>
      </c>
      <c r="S420" s="428">
        <f t="shared" si="430"/>
        <v>18</v>
      </c>
      <c r="T420" s="428">
        <f t="shared" si="431"/>
        <v>18</v>
      </c>
      <c r="U420" s="428">
        <f t="shared" si="432"/>
        <v>22</v>
      </c>
      <c r="V420" s="428">
        <f t="shared" si="433"/>
        <v>22</v>
      </c>
      <c r="W420" s="428">
        <f t="shared" si="434"/>
        <v>26</v>
      </c>
      <c r="X420" s="428">
        <f t="shared" si="435"/>
        <v>34</v>
      </c>
      <c r="Y420" s="428">
        <f t="shared" si="436"/>
        <v>42</v>
      </c>
      <c r="Z420" s="428" t="s">
        <v>762</v>
      </c>
      <c r="AA420" s="428" t="s">
        <v>762</v>
      </c>
      <c r="AB420" s="428" t="s">
        <v>762</v>
      </c>
      <c r="AC420" s="428" t="s">
        <v>762</v>
      </c>
      <c r="AD420" s="428" t="s">
        <v>762</v>
      </c>
      <c r="AE420" s="428" t="s">
        <v>762</v>
      </c>
      <c r="AF420" s="428" t="s">
        <v>762</v>
      </c>
      <c r="AG420" s="428" t="s">
        <v>762</v>
      </c>
      <c r="AH420" s="428" t="s">
        <v>762</v>
      </c>
      <c r="AI420" s="428" t="s">
        <v>762</v>
      </c>
      <c r="AJ420" s="428" t="s">
        <v>762</v>
      </c>
      <c r="AK420" s="428" t="s">
        <v>762</v>
      </c>
      <c r="AL420" s="428" t="s">
        <v>762</v>
      </c>
      <c r="AM420" s="428" t="s">
        <v>762</v>
      </c>
      <c r="AN420" s="428" t="s">
        <v>762</v>
      </c>
      <c r="AO420" s="428" t="s">
        <v>762</v>
      </c>
      <c r="AP420" s="428" t="s">
        <v>762</v>
      </c>
      <c r="AQ420" s="428" t="s">
        <v>762</v>
      </c>
      <c r="AR420" s="428" t="s">
        <v>762</v>
      </c>
      <c r="AS420" s="428" t="s">
        <v>762</v>
      </c>
      <c r="AT420" s="428" t="s">
        <v>762</v>
      </c>
      <c r="AU420" s="428" t="s">
        <v>762</v>
      </c>
      <c r="AV420" s="428" t="s">
        <v>762</v>
      </c>
      <c r="AW420" s="428" t="s">
        <v>762</v>
      </c>
      <c r="AX420" s="428" t="s">
        <v>762</v>
      </c>
      <c r="AY420" s="428" t="s">
        <v>762</v>
      </c>
      <c r="AZ420" s="428" t="s">
        <v>762</v>
      </c>
      <c r="BA420" s="428" t="s">
        <v>762</v>
      </c>
      <c r="BB420" s="428" t="s">
        <v>762</v>
      </c>
      <c r="BC420" s="428" t="s">
        <v>762</v>
      </c>
      <c r="BD420" s="428" t="s">
        <v>762</v>
      </c>
      <c r="BE420" s="428" t="s">
        <v>762</v>
      </c>
      <c r="BF420" s="428" t="s">
        <v>762</v>
      </c>
      <c r="BG420" s="428" t="s">
        <v>762</v>
      </c>
      <c r="BH420" s="428" t="s">
        <v>762</v>
      </c>
      <c r="BI420" s="428" t="s">
        <v>762</v>
      </c>
      <c r="BJ420" s="428" t="s">
        <v>762</v>
      </c>
      <c r="BK420" s="428" t="s">
        <v>762</v>
      </c>
      <c r="BL420" s="428" t="s">
        <v>762</v>
      </c>
      <c r="BM420" s="428" t="s">
        <v>762</v>
      </c>
      <c r="BN420" s="428" t="s">
        <v>762</v>
      </c>
      <c r="BO420" s="428" t="s">
        <v>762</v>
      </c>
      <c r="BP420" s="428" t="s">
        <v>762</v>
      </c>
      <c r="BQ420" s="428" t="s">
        <v>762</v>
      </c>
      <c r="BR420" s="428" t="s">
        <v>762</v>
      </c>
      <c r="BS420" s="428" t="s">
        <v>762</v>
      </c>
      <c r="BT420" s="428" t="s">
        <v>762</v>
      </c>
      <c r="BU420" s="428" t="s">
        <v>762</v>
      </c>
      <c r="BV420" s="428" t="s">
        <v>762</v>
      </c>
      <c r="BW420" s="428" t="s">
        <v>762</v>
      </c>
      <c r="BX420" s="428" t="s">
        <v>762</v>
      </c>
      <c r="BY420" s="428" t="s">
        <v>762</v>
      </c>
      <c r="BZ420" s="428" t="s">
        <v>762</v>
      </c>
      <c r="CA420" s="428" t="s">
        <v>762</v>
      </c>
      <c r="CB420" s="428" t="s">
        <v>762</v>
      </c>
      <c r="CC420" s="428" t="s">
        <v>762</v>
      </c>
      <c r="CD420" s="428" t="s">
        <v>762</v>
      </c>
      <c r="CE420" s="428" t="s">
        <v>762</v>
      </c>
      <c r="CF420" s="428" t="s">
        <v>762</v>
      </c>
      <c r="CG420" s="428" t="s">
        <v>762</v>
      </c>
      <c r="CH420" s="428" t="s">
        <v>762</v>
      </c>
      <c r="CI420" s="428" t="s">
        <v>762</v>
      </c>
      <c r="CJ420" s="428" t="s">
        <v>762</v>
      </c>
      <c r="CK420" s="428" t="s">
        <v>762</v>
      </c>
      <c r="CL420" s="428" t="s">
        <v>762</v>
      </c>
    </row>
    <row r="421" spans="1:90" s="429" customFormat="1">
      <c r="A421" s="427" t="s">
        <v>587</v>
      </c>
      <c r="B421" s="427" t="s">
        <v>103</v>
      </c>
      <c r="C421" s="428">
        <f t="shared" si="414"/>
        <v>14</v>
      </c>
      <c r="D421" s="428">
        <f t="shared" si="415"/>
        <v>14</v>
      </c>
      <c r="E421" s="428">
        <f t="shared" si="416"/>
        <v>14</v>
      </c>
      <c r="F421" s="428">
        <f t="shared" si="417"/>
        <v>14</v>
      </c>
      <c r="G421" s="428">
        <f t="shared" si="418"/>
        <v>15</v>
      </c>
      <c r="H421" s="428">
        <f t="shared" si="419"/>
        <v>15</v>
      </c>
      <c r="I421" s="428">
        <f t="shared" si="420"/>
        <v>15</v>
      </c>
      <c r="J421" s="428">
        <f t="shared" si="421"/>
        <v>15</v>
      </c>
      <c r="K421" s="428">
        <f t="shared" si="422"/>
        <v>15</v>
      </c>
      <c r="L421" s="428">
        <f t="shared" si="423"/>
        <v>16</v>
      </c>
      <c r="M421" s="428">
        <f t="shared" si="424"/>
        <v>16</v>
      </c>
      <c r="N421" s="428">
        <f t="shared" si="425"/>
        <v>17</v>
      </c>
      <c r="O421" s="428">
        <f t="shared" si="426"/>
        <v>17</v>
      </c>
      <c r="P421" s="428">
        <f t="shared" si="427"/>
        <v>18</v>
      </c>
      <c r="Q421" s="428">
        <f t="shared" si="428"/>
        <v>18</v>
      </c>
      <c r="R421" s="428">
        <f t="shared" si="429"/>
        <v>18</v>
      </c>
      <c r="S421" s="428">
        <f t="shared" si="430"/>
        <v>18</v>
      </c>
      <c r="T421" s="428">
        <f t="shared" si="431"/>
        <v>18</v>
      </c>
      <c r="U421" s="428">
        <f t="shared" si="432"/>
        <v>22</v>
      </c>
      <c r="V421" s="428">
        <f t="shared" si="433"/>
        <v>22</v>
      </c>
      <c r="W421" s="428">
        <f t="shared" si="434"/>
        <v>26</v>
      </c>
      <c r="X421" s="428">
        <f t="shared" si="435"/>
        <v>34</v>
      </c>
      <c r="Y421" s="428">
        <f t="shared" si="436"/>
        <v>42</v>
      </c>
      <c r="Z421" s="428" t="s">
        <v>762</v>
      </c>
      <c r="AA421" s="428" t="s">
        <v>762</v>
      </c>
      <c r="AB421" s="428" t="s">
        <v>762</v>
      </c>
      <c r="AC421" s="428" t="s">
        <v>762</v>
      </c>
      <c r="AD421" s="428" t="s">
        <v>762</v>
      </c>
      <c r="AE421" s="428" t="s">
        <v>762</v>
      </c>
      <c r="AF421" s="428" t="s">
        <v>762</v>
      </c>
      <c r="AG421" s="428" t="s">
        <v>762</v>
      </c>
      <c r="AH421" s="428" t="s">
        <v>762</v>
      </c>
      <c r="AI421" s="428" t="s">
        <v>762</v>
      </c>
      <c r="AJ421" s="428" t="s">
        <v>762</v>
      </c>
      <c r="AK421" s="428" t="s">
        <v>762</v>
      </c>
      <c r="AL421" s="428" t="s">
        <v>762</v>
      </c>
      <c r="AM421" s="428" t="s">
        <v>762</v>
      </c>
      <c r="AN421" s="428" t="s">
        <v>762</v>
      </c>
      <c r="AO421" s="428" t="s">
        <v>762</v>
      </c>
      <c r="AP421" s="428" t="s">
        <v>762</v>
      </c>
      <c r="AQ421" s="428" t="s">
        <v>762</v>
      </c>
      <c r="AR421" s="428" t="s">
        <v>762</v>
      </c>
      <c r="AS421" s="428" t="s">
        <v>762</v>
      </c>
      <c r="AT421" s="428" t="s">
        <v>762</v>
      </c>
      <c r="AU421" s="428" t="s">
        <v>762</v>
      </c>
      <c r="AV421" s="428" t="s">
        <v>762</v>
      </c>
      <c r="AW421" s="428" t="s">
        <v>762</v>
      </c>
      <c r="AX421" s="428" t="s">
        <v>762</v>
      </c>
      <c r="AY421" s="428" t="s">
        <v>762</v>
      </c>
      <c r="AZ421" s="428" t="s">
        <v>762</v>
      </c>
      <c r="BA421" s="428" t="s">
        <v>762</v>
      </c>
      <c r="BB421" s="428" t="s">
        <v>762</v>
      </c>
      <c r="BC421" s="428" t="s">
        <v>762</v>
      </c>
      <c r="BD421" s="428" t="s">
        <v>762</v>
      </c>
      <c r="BE421" s="428" t="s">
        <v>762</v>
      </c>
      <c r="BF421" s="428" t="s">
        <v>762</v>
      </c>
      <c r="BG421" s="428" t="s">
        <v>762</v>
      </c>
      <c r="BH421" s="428" t="s">
        <v>762</v>
      </c>
      <c r="BI421" s="428" t="s">
        <v>762</v>
      </c>
      <c r="BJ421" s="428" t="s">
        <v>762</v>
      </c>
      <c r="BK421" s="428" t="s">
        <v>762</v>
      </c>
      <c r="BL421" s="428" t="s">
        <v>762</v>
      </c>
      <c r="BM421" s="428" t="s">
        <v>762</v>
      </c>
      <c r="BN421" s="428" t="s">
        <v>762</v>
      </c>
      <c r="BO421" s="428" t="s">
        <v>762</v>
      </c>
      <c r="BP421" s="428" t="s">
        <v>762</v>
      </c>
      <c r="BQ421" s="428" t="s">
        <v>762</v>
      </c>
      <c r="BR421" s="428" t="s">
        <v>762</v>
      </c>
      <c r="BS421" s="428" t="s">
        <v>762</v>
      </c>
      <c r="BT421" s="428" t="s">
        <v>762</v>
      </c>
      <c r="BU421" s="428" t="s">
        <v>762</v>
      </c>
      <c r="BV421" s="428" t="s">
        <v>762</v>
      </c>
      <c r="BW421" s="428" t="s">
        <v>762</v>
      </c>
      <c r="BX421" s="428" t="s">
        <v>762</v>
      </c>
      <c r="BY421" s="428" t="s">
        <v>762</v>
      </c>
      <c r="BZ421" s="428" t="s">
        <v>762</v>
      </c>
      <c r="CA421" s="428" t="s">
        <v>762</v>
      </c>
      <c r="CB421" s="428" t="s">
        <v>762</v>
      </c>
      <c r="CC421" s="428" t="s">
        <v>762</v>
      </c>
      <c r="CD421" s="428" t="s">
        <v>762</v>
      </c>
      <c r="CE421" s="428" t="s">
        <v>762</v>
      </c>
      <c r="CF421" s="428" t="s">
        <v>762</v>
      </c>
      <c r="CG421" s="428" t="s">
        <v>762</v>
      </c>
      <c r="CH421" s="428" t="s">
        <v>762</v>
      </c>
      <c r="CI421" s="428" t="s">
        <v>762</v>
      </c>
      <c r="CJ421" s="428" t="s">
        <v>762</v>
      </c>
      <c r="CK421" s="428" t="s">
        <v>762</v>
      </c>
      <c r="CL421" s="428" t="s">
        <v>762</v>
      </c>
    </row>
    <row r="422" spans="1:90" s="429" customFormat="1">
      <c r="A422" s="427" t="s">
        <v>588</v>
      </c>
      <c r="B422" s="427" t="s">
        <v>103</v>
      </c>
      <c r="C422" s="428">
        <f t="shared" si="414"/>
        <v>14</v>
      </c>
      <c r="D422" s="428">
        <f t="shared" si="415"/>
        <v>14</v>
      </c>
      <c r="E422" s="428">
        <f t="shared" si="416"/>
        <v>14</v>
      </c>
      <c r="F422" s="428">
        <f t="shared" si="417"/>
        <v>14</v>
      </c>
      <c r="G422" s="428">
        <f t="shared" si="418"/>
        <v>15</v>
      </c>
      <c r="H422" s="428">
        <f t="shared" si="419"/>
        <v>15</v>
      </c>
      <c r="I422" s="428">
        <f t="shared" si="420"/>
        <v>15</v>
      </c>
      <c r="J422" s="428">
        <f t="shared" si="421"/>
        <v>15</v>
      </c>
      <c r="K422" s="428">
        <f t="shared" si="422"/>
        <v>15</v>
      </c>
      <c r="L422" s="428">
        <f t="shared" si="423"/>
        <v>16</v>
      </c>
      <c r="M422" s="428">
        <f t="shared" si="424"/>
        <v>16</v>
      </c>
      <c r="N422" s="428">
        <f t="shared" si="425"/>
        <v>17</v>
      </c>
      <c r="O422" s="428">
        <f t="shared" si="426"/>
        <v>17</v>
      </c>
      <c r="P422" s="428">
        <f t="shared" si="427"/>
        <v>18</v>
      </c>
      <c r="Q422" s="428">
        <f t="shared" si="428"/>
        <v>18</v>
      </c>
      <c r="R422" s="428">
        <f t="shared" si="429"/>
        <v>18</v>
      </c>
      <c r="S422" s="428">
        <f t="shared" si="430"/>
        <v>18</v>
      </c>
      <c r="T422" s="428">
        <f t="shared" si="431"/>
        <v>18</v>
      </c>
      <c r="U422" s="428">
        <f t="shared" si="432"/>
        <v>22</v>
      </c>
      <c r="V422" s="428">
        <f t="shared" si="433"/>
        <v>22</v>
      </c>
      <c r="W422" s="428">
        <f t="shared" si="434"/>
        <v>26</v>
      </c>
      <c r="X422" s="428">
        <f t="shared" si="435"/>
        <v>34</v>
      </c>
      <c r="Y422" s="428">
        <f t="shared" si="436"/>
        <v>42</v>
      </c>
      <c r="Z422" s="428" t="s">
        <v>762</v>
      </c>
      <c r="AA422" s="428" t="s">
        <v>762</v>
      </c>
      <c r="AB422" s="428" t="s">
        <v>762</v>
      </c>
      <c r="AC422" s="428" t="s">
        <v>762</v>
      </c>
      <c r="AD422" s="428" t="s">
        <v>762</v>
      </c>
      <c r="AE422" s="428" t="s">
        <v>762</v>
      </c>
      <c r="AF422" s="428" t="s">
        <v>762</v>
      </c>
      <c r="AG422" s="428" t="s">
        <v>762</v>
      </c>
      <c r="AH422" s="428" t="s">
        <v>762</v>
      </c>
      <c r="AI422" s="428" t="s">
        <v>762</v>
      </c>
      <c r="AJ422" s="428" t="s">
        <v>762</v>
      </c>
      <c r="AK422" s="428" t="s">
        <v>762</v>
      </c>
      <c r="AL422" s="428" t="s">
        <v>762</v>
      </c>
      <c r="AM422" s="428" t="s">
        <v>762</v>
      </c>
      <c r="AN422" s="428" t="s">
        <v>762</v>
      </c>
      <c r="AO422" s="428" t="s">
        <v>762</v>
      </c>
      <c r="AP422" s="428" t="s">
        <v>762</v>
      </c>
      <c r="AQ422" s="428" t="s">
        <v>762</v>
      </c>
      <c r="AR422" s="428" t="s">
        <v>762</v>
      </c>
      <c r="AS422" s="428" t="s">
        <v>762</v>
      </c>
      <c r="AT422" s="428" t="s">
        <v>762</v>
      </c>
      <c r="AU422" s="428" t="s">
        <v>762</v>
      </c>
      <c r="AV422" s="428" t="s">
        <v>762</v>
      </c>
      <c r="AW422" s="428" t="s">
        <v>762</v>
      </c>
      <c r="AX422" s="428" t="s">
        <v>762</v>
      </c>
      <c r="AY422" s="428" t="s">
        <v>762</v>
      </c>
      <c r="AZ422" s="428" t="s">
        <v>762</v>
      </c>
      <c r="BA422" s="428" t="s">
        <v>762</v>
      </c>
      <c r="BB422" s="428" t="s">
        <v>762</v>
      </c>
      <c r="BC422" s="428" t="s">
        <v>762</v>
      </c>
      <c r="BD422" s="428" t="s">
        <v>762</v>
      </c>
      <c r="BE422" s="428" t="s">
        <v>762</v>
      </c>
      <c r="BF422" s="428" t="s">
        <v>762</v>
      </c>
      <c r="BG422" s="428" t="s">
        <v>762</v>
      </c>
      <c r="BH422" s="428" t="s">
        <v>762</v>
      </c>
      <c r="BI422" s="428" t="s">
        <v>762</v>
      </c>
      <c r="BJ422" s="428" t="s">
        <v>762</v>
      </c>
      <c r="BK422" s="428" t="s">
        <v>762</v>
      </c>
      <c r="BL422" s="428" t="s">
        <v>762</v>
      </c>
      <c r="BM422" s="428" t="s">
        <v>762</v>
      </c>
      <c r="BN422" s="428" t="s">
        <v>762</v>
      </c>
      <c r="BO422" s="428" t="s">
        <v>762</v>
      </c>
      <c r="BP422" s="428" t="s">
        <v>762</v>
      </c>
      <c r="BQ422" s="428" t="s">
        <v>762</v>
      </c>
      <c r="BR422" s="428" t="s">
        <v>762</v>
      </c>
      <c r="BS422" s="428" t="s">
        <v>762</v>
      </c>
      <c r="BT422" s="428" t="s">
        <v>762</v>
      </c>
      <c r="BU422" s="428" t="s">
        <v>762</v>
      </c>
      <c r="BV422" s="428" t="s">
        <v>762</v>
      </c>
      <c r="BW422" s="428" t="s">
        <v>762</v>
      </c>
      <c r="BX422" s="428" t="s">
        <v>762</v>
      </c>
      <c r="BY422" s="428" t="s">
        <v>762</v>
      </c>
      <c r="BZ422" s="428" t="s">
        <v>762</v>
      </c>
      <c r="CA422" s="428" t="s">
        <v>762</v>
      </c>
      <c r="CB422" s="428" t="s">
        <v>762</v>
      </c>
      <c r="CC422" s="428" t="s">
        <v>762</v>
      </c>
      <c r="CD422" s="428" t="s">
        <v>762</v>
      </c>
      <c r="CE422" s="428" t="s">
        <v>762</v>
      </c>
      <c r="CF422" s="428" t="s">
        <v>762</v>
      </c>
      <c r="CG422" s="428" t="s">
        <v>762</v>
      </c>
      <c r="CH422" s="428" t="s">
        <v>762</v>
      </c>
      <c r="CI422" s="428" t="s">
        <v>762</v>
      </c>
      <c r="CJ422" s="428" t="s">
        <v>762</v>
      </c>
      <c r="CK422" s="428" t="s">
        <v>762</v>
      </c>
      <c r="CL422" s="428" t="s">
        <v>762</v>
      </c>
    </row>
    <row r="423" spans="1:90" s="429" customFormat="1">
      <c r="A423" s="427" t="s">
        <v>589</v>
      </c>
      <c r="B423" s="427" t="s">
        <v>103</v>
      </c>
      <c r="C423" s="428">
        <f t="shared" si="414"/>
        <v>14</v>
      </c>
      <c r="D423" s="428">
        <f t="shared" si="415"/>
        <v>14</v>
      </c>
      <c r="E423" s="428">
        <f t="shared" si="416"/>
        <v>14</v>
      </c>
      <c r="F423" s="428">
        <f t="shared" si="417"/>
        <v>14</v>
      </c>
      <c r="G423" s="428">
        <f t="shared" si="418"/>
        <v>15</v>
      </c>
      <c r="H423" s="428">
        <f t="shared" si="419"/>
        <v>15</v>
      </c>
      <c r="I423" s="428">
        <f t="shared" si="420"/>
        <v>15</v>
      </c>
      <c r="J423" s="428">
        <f t="shared" si="421"/>
        <v>15</v>
      </c>
      <c r="K423" s="428">
        <f t="shared" si="422"/>
        <v>15</v>
      </c>
      <c r="L423" s="428">
        <f t="shared" si="423"/>
        <v>16</v>
      </c>
      <c r="M423" s="428">
        <f t="shared" si="424"/>
        <v>16</v>
      </c>
      <c r="N423" s="428">
        <f t="shared" si="425"/>
        <v>17</v>
      </c>
      <c r="O423" s="428">
        <f t="shared" si="426"/>
        <v>17</v>
      </c>
      <c r="P423" s="428">
        <f t="shared" si="427"/>
        <v>18</v>
      </c>
      <c r="Q423" s="428">
        <f t="shared" si="428"/>
        <v>18</v>
      </c>
      <c r="R423" s="428">
        <f t="shared" si="429"/>
        <v>18</v>
      </c>
      <c r="S423" s="428">
        <f t="shared" si="430"/>
        <v>18</v>
      </c>
      <c r="T423" s="428">
        <f t="shared" si="431"/>
        <v>18</v>
      </c>
      <c r="U423" s="428">
        <f t="shared" si="432"/>
        <v>22</v>
      </c>
      <c r="V423" s="428">
        <f t="shared" si="433"/>
        <v>22</v>
      </c>
      <c r="W423" s="428">
        <f t="shared" si="434"/>
        <v>26</v>
      </c>
      <c r="X423" s="428">
        <f t="shared" si="435"/>
        <v>34</v>
      </c>
      <c r="Y423" s="428">
        <f t="shared" si="436"/>
        <v>42</v>
      </c>
      <c r="Z423" s="428" t="s">
        <v>762</v>
      </c>
      <c r="AA423" s="428" t="s">
        <v>762</v>
      </c>
      <c r="AB423" s="428" t="s">
        <v>762</v>
      </c>
      <c r="AC423" s="428" t="s">
        <v>762</v>
      </c>
      <c r="AD423" s="428" t="s">
        <v>762</v>
      </c>
      <c r="AE423" s="428" t="s">
        <v>762</v>
      </c>
      <c r="AF423" s="428" t="s">
        <v>762</v>
      </c>
      <c r="AG423" s="428" t="s">
        <v>762</v>
      </c>
      <c r="AH423" s="428" t="s">
        <v>762</v>
      </c>
      <c r="AI423" s="428" t="s">
        <v>762</v>
      </c>
      <c r="AJ423" s="428" t="s">
        <v>762</v>
      </c>
      <c r="AK423" s="428" t="s">
        <v>762</v>
      </c>
      <c r="AL423" s="428" t="s">
        <v>762</v>
      </c>
      <c r="AM423" s="428" t="s">
        <v>762</v>
      </c>
      <c r="AN423" s="428" t="s">
        <v>762</v>
      </c>
      <c r="AO423" s="428" t="s">
        <v>762</v>
      </c>
      <c r="AP423" s="428" t="s">
        <v>762</v>
      </c>
      <c r="AQ423" s="428" t="s">
        <v>762</v>
      </c>
      <c r="AR423" s="428" t="s">
        <v>762</v>
      </c>
      <c r="AS423" s="428" t="s">
        <v>762</v>
      </c>
      <c r="AT423" s="428" t="s">
        <v>762</v>
      </c>
      <c r="AU423" s="428" t="s">
        <v>762</v>
      </c>
      <c r="AV423" s="428" t="s">
        <v>762</v>
      </c>
      <c r="AW423" s="428" t="s">
        <v>762</v>
      </c>
      <c r="AX423" s="428" t="s">
        <v>762</v>
      </c>
      <c r="AY423" s="428" t="s">
        <v>762</v>
      </c>
      <c r="AZ423" s="428" t="s">
        <v>762</v>
      </c>
      <c r="BA423" s="428" t="s">
        <v>762</v>
      </c>
      <c r="BB423" s="428" t="s">
        <v>762</v>
      </c>
      <c r="BC423" s="428" t="s">
        <v>762</v>
      </c>
      <c r="BD423" s="428" t="s">
        <v>762</v>
      </c>
      <c r="BE423" s="428" t="s">
        <v>762</v>
      </c>
      <c r="BF423" s="428" t="s">
        <v>762</v>
      </c>
      <c r="BG423" s="428" t="s">
        <v>762</v>
      </c>
      <c r="BH423" s="428" t="s">
        <v>762</v>
      </c>
      <c r="BI423" s="428" t="s">
        <v>762</v>
      </c>
      <c r="BJ423" s="428" t="s">
        <v>762</v>
      </c>
      <c r="BK423" s="428" t="s">
        <v>762</v>
      </c>
      <c r="BL423" s="428" t="s">
        <v>762</v>
      </c>
      <c r="BM423" s="428" t="s">
        <v>762</v>
      </c>
      <c r="BN423" s="428" t="s">
        <v>762</v>
      </c>
      <c r="BO423" s="428" t="s">
        <v>762</v>
      </c>
      <c r="BP423" s="428" t="s">
        <v>762</v>
      </c>
      <c r="BQ423" s="428" t="s">
        <v>762</v>
      </c>
      <c r="BR423" s="428" t="s">
        <v>762</v>
      </c>
      <c r="BS423" s="428" t="s">
        <v>762</v>
      </c>
      <c r="BT423" s="428" t="s">
        <v>762</v>
      </c>
      <c r="BU423" s="428" t="s">
        <v>762</v>
      </c>
      <c r="BV423" s="428" t="s">
        <v>762</v>
      </c>
      <c r="BW423" s="428" t="s">
        <v>762</v>
      </c>
      <c r="BX423" s="428" t="s">
        <v>762</v>
      </c>
      <c r="BY423" s="428" t="s">
        <v>762</v>
      </c>
      <c r="BZ423" s="428" t="s">
        <v>762</v>
      </c>
      <c r="CA423" s="428" t="s">
        <v>762</v>
      </c>
      <c r="CB423" s="428" t="s">
        <v>762</v>
      </c>
      <c r="CC423" s="428" t="s">
        <v>762</v>
      </c>
      <c r="CD423" s="428" t="s">
        <v>762</v>
      </c>
      <c r="CE423" s="428" t="s">
        <v>762</v>
      </c>
      <c r="CF423" s="428" t="s">
        <v>762</v>
      </c>
      <c r="CG423" s="428" t="s">
        <v>762</v>
      </c>
      <c r="CH423" s="428" t="s">
        <v>762</v>
      </c>
      <c r="CI423" s="428" t="s">
        <v>762</v>
      </c>
      <c r="CJ423" s="428" t="s">
        <v>762</v>
      </c>
      <c r="CK423" s="428" t="s">
        <v>762</v>
      </c>
      <c r="CL423" s="428" t="s">
        <v>762</v>
      </c>
    </row>
    <row r="424" spans="1:90" s="429" customFormat="1">
      <c r="A424" s="427" t="s">
        <v>590</v>
      </c>
      <c r="B424" s="427" t="s">
        <v>103</v>
      </c>
      <c r="C424" s="428">
        <f t="shared" si="414"/>
        <v>14</v>
      </c>
      <c r="D424" s="428">
        <f t="shared" si="415"/>
        <v>14</v>
      </c>
      <c r="E424" s="428">
        <f t="shared" si="416"/>
        <v>14</v>
      </c>
      <c r="F424" s="428">
        <f t="shared" si="417"/>
        <v>14</v>
      </c>
      <c r="G424" s="428">
        <f t="shared" si="418"/>
        <v>15</v>
      </c>
      <c r="H424" s="428">
        <f t="shared" si="419"/>
        <v>15</v>
      </c>
      <c r="I424" s="428">
        <f t="shared" si="420"/>
        <v>15</v>
      </c>
      <c r="J424" s="428">
        <f t="shared" si="421"/>
        <v>15</v>
      </c>
      <c r="K424" s="428">
        <f t="shared" si="422"/>
        <v>15</v>
      </c>
      <c r="L424" s="428">
        <f t="shared" si="423"/>
        <v>16</v>
      </c>
      <c r="M424" s="428">
        <f t="shared" si="424"/>
        <v>16</v>
      </c>
      <c r="N424" s="428">
        <f t="shared" si="425"/>
        <v>17</v>
      </c>
      <c r="O424" s="428">
        <f t="shared" si="426"/>
        <v>17</v>
      </c>
      <c r="P424" s="428">
        <f t="shared" si="427"/>
        <v>18</v>
      </c>
      <c r="Q424" s="428">
        <f t="shared" si="428"/>
        <v>18</v>
      </c>
      <c r="R424" s="428">
        <f t="shared" si="429"/>
        <v>18</v>
      </c>
      <c r="S424" s="428">
        <f t="shared" si="430"/>
        <v>18</v>
      </c>
      <c r="T424" s="428">
        <f t="shared" si="431"/>
        <v>18</v>
      </c>
      <c r="U424" s="428">
        <f t="shared" si="432"/>
        <v>22</v>
      </c>
      <c r="V424" s="428">
        <f t="shared" si="433"/>
        <v>22</v>
      </c>
      <c r="W424" s="428">
        <f t="shared" si="434"/>
        <v>26</v>
      </c>
      <c r="X424" s="428">
        <f t="shared" si="435"/>
        <v>34</v>
      </c>
      <c r="Y424" s="428">
        <f t="shared" si="436"/>
        <v>42</v>
      </c>
      <c r="Z424" s="428" t="s">
        <v>762</v>
      </c>
      <c r="AA424" s="428" t="s">
        <v>762</v>
      </c>
      <c r="AB424" s="428" t="s">
        <v>762</v>
      </c>
      <c r="AC424" s="428" t="s">
        <v>762</v>
      </c>
      <c r="AD424" s="428" t="s">
        <v>762</v>
      </c>
      <c r="AE424" s="428" t="s">
        <v>762</v>
      </c>
      <c r="AF424" s="428" t="s">
        <v>762</v>
      </c>
      <c r="AG424" s="428" t="s">
        <v>762</v>
      </c>
      <c r="AH424" s="428" t="s">
        <v>762</v>
      </c>
      <c r="AI424" s="428" t="s">
        <v>762</v>
      </c>
      <c r="AJ424" s="428" t="s">
        <v>762</v>
      </c>
      <c r="AK424" s="428" t="s">
        <v>762</v>
      </c>
      <c r="AL424" s="428" t="s">
        <v>762</v>
      </c>
      <c r="AM424" s="428" t="s">
        <v>762</v>
      </c>
      <c r="AN424" s="428" t="s">
        <v>762</v>
      </c>
      <c r="AO424" s="428" t="s">
        <v>762</v>
      </c>
      <c r="AP424" s="428" t="s">
        <v>762</v>
      </c>
      <c r="AQ424" s="428" t="s">
        <v>762</v>
      </c>
      <c r="AR424" s="428" t="s">
        <v>762</v>
      </c>
      <c r="AS424" s="428" t="s">
        <v>762</v>
      </c>
      <c r="AT424" s="428" t="s">
        <v>762</v>
      </c>
      <c r="AU424" s="428" t="s">
        <v>762</v>
      </c>
      <c r="AV424" s="428" t="s">
        <v>762</v>
      </c>
      <c r="AW424" s="428" t="s">
        <v>762</v>
      </c>
      <c r="AX424" s="428" t="s">
        <v>762</v>
      </c>
      <c r="AY424" s="428" t="s">
        <v>762</v>
      </c>
      <c r="AZ424" s="428" t="s">
        <v>762</v>
      </c>
      <c r="BA424" s="428" t="s">
        <v>762</v>
      </c>
      <c r="BB424" s="428" t="s">
        <v>762</v>
      </c>
      <c r="BC424" s="428" t="s">
        <v>762</v>
      </c>
      <c r="BD424" s="428" t="s">
        <v>762</v>
      </c>
      <c r="BE424" s="428" t="s">
        <v>762</v>
      </c>
      <c r="BF424" s="428" t="s">
        <v>762</v>
      </c>
      <c r="BG424" s="428" t="s">
        <v>762</v>
      </c>
      <c r="BH424" s="428" t="s">
        <v>762</v>
      </c>
      <c r="BI424" s="428" t="s">
        <v>762</v>
      </c>
      <c r="BJ424" s="428" t="s">
        <v>762</v>
      </c>
      <c r="BK424" s="428" t="s">
        <v>762</v>
      </c>
      <c r="BL424" s="428" t="s">
        <v>762</v>
      </c>
      <c r="BM424" s="428" t="s">
        <v>762</v>
      </c>
      <c r="BN424" s="428" t="s">
        <v>762</v>
      </c>
      <c r="BO424" s="428" t="s">
        <v>762</v>
      </c>
      <c r="BP424" s="428" t="s">
        <v>762</v>
      </c>
      <c r="BQ424" s="428" t="s">
        <v>762</v>
      </c>
      <c r="BR424" s="428" t="s">
        <v>762</v>
      </c>
      <c r="BS424" s="428" t="s">
        <v>762</v>
      </c>
      <c r="BT424" s="428" t="s">
        <v>762</v>
      </c>
      <c r="BU424" s="428" t="s">
        <v>762</v>
      </c>
      <c r="BV424" s="428" t="s">
        <v>762</v>
      </c>
      <c r="BW424" s="428" t="s">
        <v>762</v>
      </c>
      <c r="BX424" s="428" t="s">
        <v>762</v>
      </c>
      <c r="BY424" s="428" t="s">
        <v>762</v>
      </c>
      <c r="BZ424" s="428" t="s">
        <v>762</v>
      </c>
      <c r="CA424" s="428" t="s">
        <v>762</v>
      </c>
      <c r="CB424" s="428" t="s">
        <v>762</v>
      </c>
      <c r="CC424" s="428" t="s">
        <v>762</v>
      </c>
      <c r="CD424" s="428" t="s">
        <v>762</v>
      </c>
      <c r="CE424" s="428" t="s">
        <v>762</v>
      </c>
      <c r="CF424" s="428" t="s">
        <v>762</v>
      </c>
      <c r="CG424" s="428" t="s">
        <v>762</v>
      </c>
      <c r="CH424" s="428" t="s">
        <v>762</v>
      </c>
      <c r="CI424" s="428" t="s">
        <v>762</v>
      </c>
      <c r="CJ424" s="428" t="s">
        <v>762</v>
      </c>
      <c r="CK424" s="428" t="s">
        <v>762</v>
      </c>
      <c r="CL424" s="428" t="s">
        <v>762</v>
      </c>
    </row>
    <row r="425" spans="1:90" s="429" customFormat="1">
      <c r="A425" s="427" t="s">
        <v>591</v>
      </c>
      <c r="B425" s="427" t="s">
        <v>103</v>
      </c>
      <c r="C425" s="428">
        <f t="shared" si="414"/>
        <v>14</v>
      </c>
      <c r="D425" s="428">
        <f t="shared" si="415"/>
        <v>14</v>
      </c>
      <c r="E425" s="428">
        <f t="shared" si="416"/>
        <v>14</v>
      </c>
      <c r="F425" s="428">
        <f t="shared" si="417"/>
        <v>14</v>
      </c>
      <c r="G425" s="428">
        <f t="shared" si="418"/>
        <v>15</v>
      </c>
      <c r="H425" s="428">
        <f t="shared" si="419"/>
        <v>15</v>
      </c>
      <c r="I425" s="428">
        <f t="shared" si="420"/>
        <v>15</v>
      </c>
      <c r="J425" s="428">
        <f t="shared" si="421"/>
        <v>15</v>
      </c>
      <c r="K425" s="428">
        <f t="shared" si="422"/>
        <v>15</v>
      </c>
      <c r="L425" s="428">
        <f t="shared" si="423"/>
        <v>16</v>
      </c>
      <c r="M425" s="428">
        <f t="shared" si="424"/>
        <v>16</v>
      </c>
      <c r="N425" s="428">
        <f t="shared" si="425"/>
        <v>17</v>
      </c>
      <c r="O425" s="428">
        <f t="shared" si="426"/>
        <v>17</v>
      </c>
      <c r="P425" s="428">
        <f t="shared" si="427"/>
        <v>18</v>
      </c>
      <c r="Q425" s="428">
        <f t="shared" si="428"/>
        <v>18</v>
      </c>
      <c r="R425" s="428">
        <f t="shared" si="429"/>
        <v>18</v>
      </c>
      <c r="S425" s="428">
        <f t="shared" si="430"/>
        <v>18</v>
      </c>
      <c r="T425" s="428">
        <f t="shared" si="431"/>
        <v>18</v>
      </c>
      <c r="U425" s="428">
        <f t="shared" si="432"/>
        <v>22</v>
      </c>
      <c r="V425" s="428">
        <f t="shared" si="433"/>
        <v>22</v>
      </c>
      <c r="W425" s="428">
        <f t="shared" si="434"/>
        <v>26</v>
      </c>
      <c r="X425" s="428">
        <f t="shared" si="435"/>
        <v>34</v>
      </c>
      <c r="Y425" s="428">
        <f t="shared" si="436"/>
        <v>42</v>
      </c>
      <c r="Z425" s="428" t="s">
        <v>762</v>
      </c>
      <c r="AA425" s="428" t="s">
        <v>762</v>
      </c>
      <c r="AB425" s="428" t="s">
        <v>762</v>
      </c>
      <c r="AC425" s="428" t="s">
        <v>762</v>
      </c>
      <c r="AD425" s="428" t="s">
        <v>762</v>
      </c>
      <c r="AE425" s="428" t="s">
        <v>762</v>
      </c>
      <c r="AF425" s="428" t="s">
        <v>762</v>
      </c>
      <c r="AG425" s="428" t="s">
        <v>762</v>
      </c>
      <c r="AH425" s="428" t="s">
        <v>762</v>
      </c>
      <c r="AI425" s="428" t="s">
        <v>762</v>
      </c>
      <c r="AJ425" s="428" t="s">
        <v>762</v>
      </c>
      <c r="AK425" s="428" t="s">
        <v>762</v>
      </c>
      <c r="AL425" s="428" t="s">
        <v>762</v>
      </c>
      <c r="AM425" s="428" t="s">
        <v>762</v>
      </c>
      <c r="AN425" s="428" t="s">
        <v>762</v>
      </c>
      <c r="AO425" s="428" t="s">
        <v>762</v>
      </c>
      <c r="AP425" s="428" t="s">
        <v>762</v>
      </c>
      <c r="AQ425" s="428" t="s">
        <v>762</v>
      </c>
      <c r="AR425" s="428" t="s">
        <v>762</v>
      </c>
      <c r="AS425" s="428" t="s">
        <v>762</v>
      </c>
      <c r="AT425" s="428" t="s">
        <v>762</v>
      </c>
      <c r="AU425" s="428" t="s">
        <v>762</v>
      </c>
      <c r="AV425" s="428" t="s">
        <v>762</v>
      </c>
      <c r="AW425" s="428" t="s">
        <v>762</v>
      </c>
      <c r="AX425" s="428" t="s">
        <v>762</v>
      </c>
      <c r="AY425" s="428" t="s">
        <v>762</v>
      </c>
      <c r="AZ425" s="428" t="s">
        <v>762</v>
      </c>
      <c r="BA425" s="428" t="s">
        <v>762</v>
      </c>
      <c r="BB425" s="428" t="s">
        <v>762</v>
      </c>
      <c r="BC425" s="428" t="s">
        <v>762</v>
      </c>
      <c r="BD425" s="428" t="s">
        <v>762</v>
      </c>
      <c r="BE425" s="428" t="s">
        <v>762</v>
      </c>
      <c r="BF425" s="428" t="s">
        <v>762</v>
      </c>
      <c r="BG425" s="428" t="s">
        <v>762</v>
      </c>
      <c r="BH425" s="428" t="s">
        <v>762</v>
      </c>
      <c r="BI425" s="428" t="s">
        <v>762</v>
      </c>
      <c r="BJ425" s="428" t="s">
        <v>762</v>
      </c>
      <c r="BK425" s="428" t="s">
        <v>762</v>
      </c>
      <c r="BL425" s="428" t="s">
        <v>762</v>
      </c>
      <c r="BM425" s="428" t="s">
        <v>762</v>
      </c>
      <c r="BN425" s="428" t="s">
        <v>762</v>
      </c>
      <c r="BO425" s="428" t="s">
        <v>762</v>
      </c>
      <c r="BP425" s="428" t="s">
        <v>762</v>
      </c>
      <c r="BQ425" s="428" t="s">
        <v>762</v>
      </c>
      <c r="BR425" s="428" t="s">
        <v>762</v>
      </c>
      <c r="BS425" s="428" t="s">
        <v>762</v>
      </c>
      <c r="BT425" s="428" t="s">
        <v>762</v>
      </c>
      <c r="BU425" s="428" t="s">
        <v>762</v>
      </c>
      <c r="BV425" s="428" t="s">
        <v>762</v>
      </c>
      <c r="BW425" s="428" t="s">
        <v>762</v>
      </c>
      <c r="BX425" s="428" t="s">
        <v>762</v>
      </c>
      <c r="BY425" s="428" t="s">
        <v>762</v>
      </c>
      <c r="BZ425" s="428" t="s">
        <v>762</v>
      </c>
      <c r="CA425" s="428" t="s">
        <v>762</v>
      </c>
      <c r="CB425" s="428" t="s">
        <v>762</v>
      </c>
      <c r="CC425" s="428" t="s">
        <v>762</v>
      </c>
      <c r="CD425" s="428" t="s">
        <v>762</v>
      </c>
      <c r="CE425" s="428" t="s">
        <v>762</v>
      </c>
      <c r="CF425" s="428" t="s">
        <v>762</v>
      </c>
      <c r="CG425" s="428" t="s">
        <v>762</v>
      </c>
      <c r="CH425" s="428" t="s">
        <v>762</v>
      </c>
      <c r="CI425" s="428" t="s">
        <v>762</v>
      </c>
      <c r="CJ425" s="428" t="s">
        <v>762</v>
      </c>
      <c r="CK425" s="428" t="s">
        <v>762</v>
      </c>
      <c r="CL425" s="428" t="s">
        <v>762</v>
      </c>
    </row>
    <row r="426" spans="1:90" s="429" customFormat="1">
      <c r="A426" s="427" t="s">
        <v>592</v>
      </c>
      <c r="B426" s="427" t="s">
        <v>103</v>
      </c>
      <c r="C426" s="428">
        <f t="shared" si="414"/>
        <v>14</v>
      </c>
      <c r="D426" s="428">
        <f t="shared" si="415"/>
        <v>14</v>
      </c>
      <c r="E426" s="428">
        <f t="shared" si="416"/>
        <v>14</v>
      </c>
      <c r="F426" s="428">
        <f t="shared" si="417"/>
        <v>14</v>
      </c>
      <c r="G426" s="428">
        <f t="shared" si="418"/>
        <v>15</v>
      </c>
      <c r="H426" s="428">
        <f t="shared" si="419"/>
        <v>15</v>
      </c>
      <c r="I426" s="428">
        <f t="shared" si="420"/>
        <v>15</v>
      </c>
      <c r="J426" s="428">
        <f t="shared" si="421"/>
        <v>15</v>
      </c>
      <c r="K426" s="428">
        <f t="shared" si="422"/>
        <v>15</v>
      </c>
      <c r="L426" s="428">
        <f t="shared" si="423"/>
        <v>16</v>
      </c>
      <c r="M426" s="428">
        <f t="shared" si="424"/>
        <v>16</v>
      </c>
      <c r="N426" s="428">
        <f t="shared" si="425"/>
        <v>17</v>
      </c>
      <c r="O426" s="428">
        <f t="shared" si="426"/>
        <v>17</v>
      </c>
      <c r="P426" s="428">
        <f t="shared" si="427"/>
        <v>18</v>
      </c>
      <c r="Q426" s="428">
        <f t="shared" si="428"/>
        <v>18</v>
      </c>
      <c r="R426" s="428">
        <f t="shared" si="429"/>
        <v>18</v>
      </c>
      <c r="S426" s="428">
        <f t="shared" si="430"/>
        <v>18</v>
      </c>
      <c r="T426" s="428">
        <f t="shared" si="431"/>
        <v>18</v>
      </c>
      <c r="U426" s="428">
        <f t="shared" si="432"/>
        <v>22</v>
      </c>
      <c r="V426" s="428">
        <f t="shared" si="433"/>
        <v>22</v>
      </c>
      <c r="W426" s="428">
        <f t="shared" si="434"/>
        <v>26</v>
      </c>
      <c r="X426" s="428">
        <f t="shared" si="435"/>
        <v>34</v>
      </c>
      <c r="Y426" s="428">
        <f t="shared" si="436"/>
        <v>42</v>
      </c>
      <c r="Z426" s="428" t="s">
        <v>762</v>
      </c>
      <c r="AA426" s="428" t="s">
        <v>762</v>
      </c>
      <c r="AB426" s="428" t="s">
        <v>762</v>
      </c>
      <c r="AC426" s="428" t="s">
        <v>762</v>
      </c>
      <c r="AD426" s="428" t="s">
        <v>762</v>
      </c>
      <c r="AE426" s="428" t="s">
        <v>762</v>
      </c>
      <c r="AF426" s="428" t="s">
        <v>762</v>
      </c>
      <c r="AG426" s="428" t="s">
        <v>762</v>
      </c>
      <c r="AH426" s="428" t="s">
        <v>762</v>
      </c>
      <c r="AI426" s="428" t="s">
        <v>762</v>
      </c>
      <c r="AJ426" s="428" t="s">
        <v>762</v>
      </c>
      <c r="AK426" s="428" t="s">
        <v>762</v>
      </c>
      <c r="AL426" s="428" t="s">
        <v>762</v>
      </c>
      <c r="AM426" s="428" t="s">
        <v>762</v>
      </c>
      <c r="AN426" s="428" t="s">
        <v>762</v>
      </c>
      <c r="AO426" s="428" t="s">
        <v>762</v>
      </c>
      <c r="AP426" s="428" t="s">
        <v>762</v>
      </c>
      <c r="AQ426" s="428" t="s">
        <v>762</v>
      </c>
      <c r="AR426" s="428" t="s">
        <v>762</v>
      </c>
      <c r="AS426" s="428" t="s">
        <v>762</v>
      </c>
      <c r="AT426" s="428" t="s">
        <v>762</v>
      </c>
      <c r="AU426" s="428" t="s">
        <v>762</v>
      </c>
      <c r="AV426" s="428" t="s">
        <v>762</v>
      </c>
      <c r="AW426" s="428" t="s">
        <v>762</v>
      </c>
      <c r="AX426" s="428" t="s">
        <v>762</v>
      </c>
      <c r="AY426" s="428" t="s">
        <v>762</v>
      </c>
      <c r="AZ426" s="428" t="s">
        <v>762</v>
      </c>
      <c r="BA426" s="428" t="s">
        <v>762</v>
      </c>
      <c r="BB426" s="428" t="s">
        <v>762</v>
      </c>
      <c r="BC426" s="428" t="s">
        <v>762</v>
      </c>
      <c r="BD426" s="428" t="s">
        <v>762</v>
      </c>
      <c r="BE426" s="428" t="s">
        <v>762</v>
      </c>
      <c r="BF426" s="428" t="s">
        <v>762</v>
      </c>
      <c r="BG426" s="428" t="s">
        <v>762</v>
      </c>
      <c r="BH426" s="428" t="s">
        <v>762</v>
      </c>
      <c r="BI426" s="428" t="s">
        <v>762</v>
      </c>
      <c r="BJ426" s="428" t="s">
        <v>762</v>
      </c>
      <c r="BK426" s="428" t="s">
        <v>762</v>
      </c>
      <c r="BL426" s="428" t="s">
        <v>762</v>
      </c>
      <c r="BM426" s="428" t="s">
        <v>762</v>
      </c>
      <c r="BN426" s="428" t="s">
        <v>762</v>
      </c>
      <c r="BO426" s="428" t="s">
        <v>762</v>
      </c>
      <c r="BP426" s="428" t="s">
        <v>762</v>
      </c>
      <c r="BQ426" s="428" t="s">
        <v>762</v>
      </c>
      <c r="BR426" s="428" t="s">
        <v>762</v>
      </c>
      <c r="BS426" s="428" t="s">
        <v>762</v>
      </c>
      <c r="BT426" s="428" t="s">
        <v>762</v>
      </c>
      <c r="BU426" s="428" t="s">
        <v>762</v>
      </c>
      <c r="BV426" s="428" t="s">
        <v>762</v>
      </c>
      <c r="BW426" s="428" t="s">
        <v>762</v>
      </c>
      <c r="BX426" s="428" t="s">
        <v>762</v>
      </c>
      <c r="BY426" s="428" t="s">
        <v>762</v>
      </c>
      <c r="BZ426" s="428" t="s">
        <v>762</v>
      </c>
      <c r="CA426" s="428" t="s">
        <v>762</v>
      </c>
      <c r="CB426" s="428" t="s">
        <v>762</v>
      </c>
      <c r="CC426" s="428" t="s">
        <v>762</v>
      </c>
      <c r="CD426" s="428" t="s">
        <v>762</v>
      </c>
      <c r="CE426" s="428" t="s">
        <v>762</v>
      </c>
      <c r="CF426" s="428" t="s">
        <v>762</v>
      </c>
      <c r="CG426" s="428" t="s">
        <v>762</v>
      </c>
      <c r="CH426" s="428" t="s">
        <v>762</v>
      </c>
      <c r="CI426" s="428" t="s">
        <v>762</v>
      </c>
      <c r="CJ426" s="428" t="s">
        <v>762</v>
      </c>
      <c r="CK426" s="428" t="s">
        <v>762</v>
      </c>
      <c r="CL426" s="428" t="s">
        <v>762</v>
      </c>
    </row>
    <row r="427" spans="1:90" s="429" customFormat="1">
      <c r="A427" s="427" t="s">
        <v>593</v>
      </c>
      <c r="B427" s="427" t="s">
        <v>103</v>
      </c>
      <c r="C427" s="428">
        <f t="shared" si="414"/>
        <v>14</v>
      </c>
      <c r="D427" s="428">
        <f t="shared" si="415"/>
        <v>14</v>
      </c>
      <c r="E427" s="428">
        <f t="shared" si="416"/>
        <v>14</v>
      </c>
      <c r="F427" s="428">
        <f t="shared" si="417"/>
        <v>14</v>
      </c>
      <c r="G427" s="428">
        <f t="shared" si="418"/>
        <v>15</v>
      </c>
      <c r="H427" s="428">
        <f t="shared" si="419"/>
        <v>15</v>
      </c>
      <c r="I427" s="428">
        <f t="shared" si="420"/>
        <v>15</v>
      </c>
      <c r="J427" s="428">
        <f t="shared" si="421"/>
        <v>15</v>
      </c>
      <c r="K427" s="428">
        <f t="shared" si="422"/>
        <v>15</v>
      </c>
      <c r="L427" s="428">
        <f t="shared" si="423"/>
        <v>16</v>
      </c>
      <c r="M427" s="428">
        <f t="shared" si="424"/>
        <v>16</v>
      </c>
      <c r="N427" s="428">
        <f t="shared" si="425"/>
        <v>17</v>
      </c>
      <c r="O427" s="428">
        <f t="shared" si="426"/>
        <v>17</v>
      </c>
      <c r="P427" s="428">
        <f t="shared" si="427"/>
        <v>18</v>
      </c>
      <c r="Q427" s="428">
        <f t="shared" si="428"/>
        <v>18</v>
      </c>
      <c r="R427" s="428">
        <f t="shared" si="429"/>
        <v>18</v>
      </c>
      <c r="S427" s="428">
        <f t="shared" si="430"/>
        <v>18</v>
      </c>
      <c r="T427" s="428">
        <f t="shared" si="431"/>
        <v>18</v>
      </c>
      <c r="U427" s="428">
        <f t="shared" si="432"/>
        <v>22</v>
      </c>
      <c r="V427" s="428">
        <f t="shared" si="433"/>
        <v>22</v>
      </c>
      <c r="W427" s="428">
        <f t="shared" si="434"/>
        <v>26</v>
      </c>
      <c r="X427" s="428">
        <f t="shared" si="435"/>
        <v>34</v>
      </c>
      <c r="Y427" s="428">
        <f t="shared" si="436"/>
        <v>42</v>
      </c>
      <c r="Z427" s="428" t="s">
        <v>762</v>
      </c>
      <c r="AA427" s="428" t="s">
        <v>762</v>
      </c>
      <c r="AB427" s="428" t="s">
        <v>762</v>
      </c>
      <c r="AC427" s="428" t="s">
        <v>762</v>
      </c>
      <c r="AD427" s="428" t="s">
        <v>762</v>
      </c>
      <c r="AE427" s="428" t="s">
        <v>762</v>
      </c>
      <c r="AF427" s="428" t="s">
        <v>762</v>
      </c>
      <c r="AG427" s="428" t="s">
        <v>762</v>
      </c>
      <c r="AH427" s="428" t="s">
        <v>762</v>
      </c>
      <c r="AI427" s="428" t="s">
        <v>762</v>
      </c>
      <c r="AJ427" s="428" t="s">
        <v>762</v>
      </c>
      <c r="AK427" s="428" t="s">
        <v>762</v>
      </c>
      <c r="AL427" s="428" t="s">
        <v>762</v>
      </c>
      <c r="AM427" s="428" t="s">
        <v>762</v>
      </c>
      <c r="AN427" s="428" t="s">
        <v>762</v>
      </c>
      <c r="AO427" s="428" t="s">
        <v>762</v>
      </c>
      <c r="AP427" s="428" t="s">
        <v>762</v>
      </c>
      <c r="AQ427" s="428" t="s">
        <v>762</v>
      </c>
      <c r="AR427" s="428" t="s">
        <v>762</v>
      </c>
      <c r="AS427" s="428" t="s">
        <v>762</v>
      </c>
      <c r="AT427" s="428" t="s">
        <v>762</v>
      </c>
      <c r="AU427" s="428" t="s">
        <v>762</v>
      </c>
      <c r="AV427" s="428" t="s">
        <v>762</v>
      </c>
      <c r="AW427" s="428" t="s">
        <v>762</v>
      </c>
      <c r="AX427" s="428" t="s">
        <v>762</v>
      </c>
      <c r="AY427" s="428" t="s">
        <v>762</v>
      </c>
      <c r="AZ427" s="428" t="s">
        <v>762</v>
      </c>
      <c r="BA427" s="428" t="s">
        <v>762</v>
      </c>
      <c r="BB427" s="428" t="s">
        <v>762</v>
      </c>
      <c r="BC427" s="428" t="s">
        <v>762</v>
      </c>
      <c r="BD427" s="428" t="s">
        <v>762</v>
      </c>
      <c r="BE427" s="428" t="s">
        <v>762</v>
      </c>
      <c r="BF427" s="428" t="s">
        <v>762</v>
      </c>
      <c r="BG427" s="428" t="s">
        <v>762</v>
      </c>
      <c r="BH427" s="428" t="s">
        <v>762</v>
      </c>
      <c r="BI427" s="428" t="s">
        <v>762</v>
      </c>
      <c r="BJ427" s="428" t="s">
        <v>762</v>
      </c>
      <c r="BK427" s="428" t="s">
        <v>762</v>
      </c>
      <c r="BL427" s="428" t="s">
        <v>762</v>
      </c>
      <c r="BM427" s="428" t="s">
        <v>762</v>
      </c>
      <c r="BN427" s="428" t="s">
        <v>762</v>
      </c>
      <c r="BO427" s="428" t="s">
        <v>762</v>
      </c>
      <c r="BP427" s="428" t="s">
        <v>762</v>
      </c>
      <c r="BQ427" s="428" t="s">
        <v>762</v>
      </c>
      <c r="BR427" s="428" t="s">
        <v>762</v>
      </c>
      <c r="BS427" s="428" t="s">
        <v>762</v>
      </c>
      <c r="BT427" s="428" t="s">
        <v>762</v>
      </c>
      <c r="BU427" s="428" t="s">
        <v>762</v>
      </c>
      <c r="BV427" s="428" t="s">
        <v>762</v>
      </c>
      <c r="BW427" s="428" t="s">
        <v>762</v>
      </c>
      <c r="BX427" s="428" t="s">
        <v>762</v>
      </c>
      <c r="BY427" s="428" t="s">
        <v>762</v>
      </c>
      <c r="BZ427" s="428" t="s">
        <v>762</v>
      </c>
      <c r="CA427" s="428" t="s">
        <v>762</v>
      </c>
      <c r="CB427" s="428" t="s">
        <v>762</v>
      </c>
      <c r="CC427" s="428" t="s">
        <v>762</v>
      </c>
      <c r="CD427" s="428" t="s">
        <v>762</v>
      </c>
      <c r="CE427" s="428" t="s">
        <v>762</v>
      </c>
      <c r="CF427" s="428" t="s">
        <v>762</v>
      </c>
      <c r="CG427" s="428" t="s">
        <v>762</v>
      </c>
      <c r="CH427" s="428" t="s">
        <v>762</v>
      </c>
      <c r="CI427" s="428" t="s">
        <v>762</v>
      </c>
      <c r="CJ427" s="428" t="s">
        <v>762</v>
      </c>
      <c r="CK427" s="428" t="s">
        <v>762</v>
      </c>
      <c r="CL427" s="428" t="s">
        <v>762</v>
      </c>
    </row>
    <row r="428" spans="1:90" s="429" customFormat="1">
      <c r="A428" s="427" t="s">
        <v>594</v>
      </c>
      <c r="B428" s="427" t="s">
        <v>103</v>
      </c>
      <c r="C428" s="428">
        <f t="shared" si="414"/>
        <v>14</v>
      </c>
      <c r="D428" s="428">
        <f t="shared" si="415"/>
        <v>14</v>
      </c>
      <c r="E428" s="428">
        <f t="shared" si="416"/>
        <v>14</v>
      </c>
      <c r="F428" s="428">
        <f t="shared" si="417"/>
        <v>14</v>
      </c>
      <c r="G428" s="428">
        <f t="shared" si="418"/>
        <v>15</v>
      </c>
      <c r="H428" s="428">
        <f t="shared" si="419"/>
        <v>15</v>
      </c>
      <c r="I428" s="428">
        <f t="shared" si="420"/>
        <v>15</v>
      </c>
      <c r="J428" s="428">
        <f t="shared" si="421"/>
        <v>15</v>
      </c>
      <c r="K428" s="428">
        <f t="shared" si="422"/>
        <v>15</v>
      </c>
      <c r="L428" s="428">
        <f t="shared" si="423"/>
        <v>16</v>
      </c>
      <c r="M428" s="428">
        <f t="shared" si="424"/>
        <v>16</v>
      </c>
      <c r="N428" s="428">
        <f t="shared" si="425"/>
        <v>17</v>
      </c>
      <c r="O428" s="428">
        <f t="shared" si="426"/>
        <v>17</v>
      </c>
      <c r="P428" s="428">
        <f t="shared" si="427"/>
        <v>18</v>
      </c>
      <c r="Q428" s="428">
        <f t="shared" si="428"/>
        <v>18</v>
      </c>
      <c r="R428" s="428">
        <f t="shared" si="429"/>
        <v>18</v>
      </c>
      <c r="S428" s="428">
        <f t="shared" si="430"/>
        <v>18</v>
      </c>
      <c r="T428" s="428">
        <f t="shared" si="431"/>
        <v>18</v>
      </c>
      <c r="U428" s="428">
        <f t="shared" si="432"/>
        <v>22</v>
      </c>
      <c r="V428" s="428">
        <f t="shared" si="433"/>
        <v>22</v>
      </c>
      <c r="W428" s="428">
        <f t="shared" si="434"/>
        <v>26</v>
      </c>
      <c r="X428" s="428">
        <f t="shared" si="435"/>
        <v>34</v>
      </c>
      <c r="Y428" s="428">
        <f t="shared" si="436"/>
        <v>42</v>
      </c>
      <c r="Z428" s="428" t="s">
        <v>762</v>
      </c>
      <c r="AA428" s="428" t="s">
        <v>762</v>
      </c>
      <c r="AB428" s="428" t="s">
        <v>762</v>
      </c>
      <c r="AC428" s="428" t="s">
        <v>762</v>
      </c>
      <c r="AD428" s="428" t="s">
        <v>762</v>
      </c>
      <c r="AE428" s="428" t="s">
        <v>762</v>
      </c>
      <c r="AF428" s="428" t="s">
        <v>762</v>
      </c>
      <c r="AG428" s="428" t="s">
        <v>762</v>
      </c>
      <c r="AH428" s="428" t="s">
        <v>762</v>
      </c>
      <c r="AI428" s="428" t="s">
        <v>762</v>
      </c>
      <c r="AJ428" s="428" t="s">
        <v>762</v>
      </c>
      <c r="AK428" s="428" t="s">
        <v>762</v>
      </c>
      <c r="AL428" s="428" t="s">
        <v>762</v>
      </c>
      <c r="AM428" s="428" t="s">
        <v>762</v>
      </c>
      <c r="AN428" s="428" t="s">
        <v>762</v>
      </c>
      <c r="AO428" s="428" t="s">
        <v>762</v>
      </c>
      <c r="AP428" s="428" t="s">
        <v>762</v>
      </c>
      <c r="AQ428" s="428" t="s">
        <v>762</v>
      </c>
      <c r="AR428" s="428" t="s">
        <v>762</v>
      </c>
      <c r="AS428" s="428" t="s">
        <v>762</v>
      </c>
      <c r="AT428" s="428" t="s">
        <v>762</v>
      </c>
      <c r="AU428" s="428" t="s">
        <v>762</v>
      </c>
      <c r="AV428" s="428" t="s">
        <v>762</v>
      </c>
      <c r="AW428" s="428" t="s">
        <v>762</v>
      </c>
      <c r="AX428" s="428" t="s">
        <v>762</v>
      </c>
      <c r="AY428" s="428" t="s">
        <v>762</v>
      </c>
      <c r="AZ428" s="428" t="s">
        <v>762</v>
      </c>
      <c r="BA428" s="428" t="s">
        <v>762</v>
      </c>
      <c r="BB428" s="428" t="s">
        <v>762</v>
      </c>
      <c r="BC428" s="428" t="s">
        <v>762</v>
      </c>
      <c r="BD428" s="428" t="s">
        <v>762</v>
      </c>
      <c r="BE428" s="428" t="s">
        <v>762</v>
      </c>
      <c r="BF428" s="428" t="s">
        <v>762</v>
      </c>
      <c r="BG428" s="428" t="s">
        <v>762</v>
      </c>
      <c r="BH428" s="428" t="s">
        <v>762</v>
      </c>
      <c r="BI428" s="428" t="s">
        <v>762</v>
      </c>
      <c r="BJ428" s="428" t="s">
        <v>762</v>
      </c>
      <c r="BK428" s="428" t="s">
        <v>762</v>
      </c>
      <c r="BL428" s="428" t="s">
        <v>762</v>
      </c>
      <c r="BM428" s="428" t="s">
        <v>762</v>
      </c>
      <c r="BN428" s="428" t="s">
        <v>762</v>
      </c>
      <c r="BO428" s="428" t="s">
        <v>762</v>
      </c>
      <c r="BP428" s="428" t="s">
        <v>762</v>
      </c>
      <c r="BQ428" s="428" t="s">
        <v>762</v>
      </c>
      <c r="BR428" s="428" t="s">
        <v>762</v>
      </c>
      <c r="BS428" s="428" t="s">
        <v>762</v>
      </c>
      <c r="BT428" s="428" t="s">
        <v>762</v>
      </c>
      <c r="BU428" s="428" t="s">
        <v>762</v>
      </c>
      <c r="BV428" s="428" t="s">
        <v>762</v>
      </c>
      <c r="BW428" s="428" t="s">
        <v>762</v>
      </c>
      <c r="BX428" s="428" t="s">
        <v>762</v>
      </c>
      <c r="BY428" s="428" t="s">
        <v>762</v>
      </c>
      <c r="BZ428" s="428" t="s">
        <v>762</v>
      </c>
      <c r="CA428" s="428" t="s">
        <v>762</v>
      </c>
      <c r="CB428" s="428" t="s">
        <v>762</v>
      </c>
      <c r="CC428" s="428" t="s">
        <v>762</v>
      </c>
      <c r="CD428" s="428" t="s">
        <v>762</v>
      </c>
      <c r="CE428" s="428" t="s">
        <v>762</v>
      </c>
      <c r="CF428" s="428" t="s">
        <v>762</v>
      </c>
      <c r="CG428" s="428" t="s">
        <v>762</v>
      </c>
      <c r="CH428" s="428" t="s">
        <v>762</v>
      </c>
      <c r="CI428" s="428" t="s">
        <v>762</v>
      </c>
      <c r="CJ428" s="428" t="s">
        <v>762</v>
      </c>
      <c r="CK428" s="428" t="s">
        <v>762</v>
      </c>
      <c r="CL428" s="428" t="s">
        <v>762</v>
      </c>
    </row>
    <row r="429" spans="1:90" s="429" customFormat="1">
      <c r="A429" s="427" t="s">
        <v>595</v>
      </c>
      <c r="B429" s="427" t="s">
        <v>103</v>
      </c>
      <c r="C429" s="428">
        <f t="shared" si="414"/>
        <v>14</v>
      </c>
      <c r="D429" s="428">
        <f t="shared" si="415"/>
        <v>14</v>
      </c>
      <c r="E429" s="428">
        <f t="shared" si="416"/>
        <v>14</v>
      </c>
      <c r="F429" s="428">
        <f t="shared" si="417"/>
        <v>14</v>
      </c>
      <c r="G429" s="428">
        <f t="shared" si="418"/>
        <v>15</v>
      </c>
      <c r="H429" s="428">
        <f t="shared" si="419"/>
        <v>15</v>
      </c>
      <c r="I429" s="428">
        <f t="shared" si="420"/>
        <v>15</v>
      </c>
      <c r="J429" s="428">
        <f t="shared" si="421"/>
        <v>15</v>
      </c>
      <c r="K429" s="428">
        <f t="shared" si="422"/>
        <v>15</v>
      </c>
      <c r="L429" s="428">
        <f t="shared" si="423"/>
        <v>16</v>
      </c>
      <c r="M429" s="428">
        <f t="shared" si="424"/>
        <v>16</v>
      </c>
      <c r="N429" s="428">
        <f t="shared" si="425"/>
        <v>17</v>
      </c>
      <c r="O429" s="428">
        <f t="shared" si="426"/>
        <v>17</v>
      </c>
      <c r="P429" s="428">
        <f t="shared" si="427"/>
        <v>18</v>
      </c>
      <c r="Q429" s="428">
        <f t="shared" si="428"/>
        <v>18</v>
      </c>
      <c r="R429" s="428">
        <f t="shared" si="429"/>
        <v>18</v>
      </c>
      <c r="S429" s="428">
        <f t="shared" si="430"/>
        <v>18</v>
      </c>
      <c r="T429" s="428">
        <f t="shared" si="431"/>
        <v>18</v>
      </c>
      <c r="U429" s="428">
        <f t="shared" si="432"/>
        <v>22</v>
      </c>
      <c r="V429" s="428">
        <f t="shared" si="433"/>
        <v>22</v>
      </c>
      <c r="W429" s="428">
        <f t="shared" si="434"/>
        <v>26</v>
      </c>
      <c r="X429" s="428">
        <f t="shared" si="435"/>
        <v>34</v>
      </c>
      <c r="Y429" s="428">
        <f t="shared" si="436"/>
        <v>42</v>
      </c>
      <c r="Z429" s="428" t="s">
        <v>762</v>
      </c>
      <c r="AA429" s="428" t="s">
        <v>762</v>
      </c>
      <c r="AB429" s="428" t="s">
        <v>762</v>
      </c>
      <c r="AC429" s="428" t="s">
        <v>762</v>
      </c>
      <c r="AD429" s="428" t="s">
        <v>762</v>
      </c>
      <c r="AE429" s="428" t="s">
        <v>762</v>
      </c>
      <c r="AF429" s="428" t="s">
        <v>762</v>
      </c>
      <c r="AG429" s="428" t="s">
        <v>762</v>
      </c>
      <c r="AH429" s="428" t="s">
        <v>762</v>
      </c>
      <c r="AI429" s="428" t="s">
        <v>762</v>
      </c>
      <c r="AJ429" s="428" t="s">
        <v>762</v>
      </c>
      <c r="AK429" s="428" t="s">
        <v>762</v>
      </c>
      <c r="AL429" s="428" t="s">
        <v>762</v>
      </c>
      <c r="AM429" s="428" t="s">
        <v>762</v>
      </c>
      <c r="AN429" s="428" t="s">
        <v>762</v>
      </c>
      <c r="AO429" s="428" t="s">
        <v>762</v>
      </c>
      <c r="AP429" s="428" t="s">
        <v>762</v>
      </c>
      <c r="AQ429" s="428" t="s">
        <v>762</v>
      </c>
      <c r="AR429" s="428" t="s">
        <v>762</v>
      </c>
      <c r="AS429" s="428" t="s">
        <v>762</v>
      </c>
      <c r="AT429" s="428" t="s">
        <v>762</v>
      </c>
      <c r="AU429" s="428" t="s">
        <v>762</v>
      </c>
      <c r="AV429" s="428" t="s">
        <v>762</v>
      </c>
      <c r="AW429" s="428" t="s">
        <v>762</v>
      </c>
      <c r="AX429" s="428" t="s">
        <v>762</v>
      </c>
      <c r="AY429" s="428" t="s">
        <v>762</v>
      </c>
      <c r="AZ429" s="428" t="s">
        <v>762</v>
      </c>
      <c r="BA429" s="428" t="s">
        <v>762</v>
      </c>
      <c r="BB429" s="428" t="s">
        <v>762</v>
      </c>
      <c r="BC429" s="428" t="s">
        <v>762</v>
      </c>
      <c r="BD429" s="428" t="s">
        <v>762</v>
      </c>
      <c r="BE429" s="428" t="s">
        <v>762</v>
      </c>
      <c r="BF429" s="428" t="s">
        <v>762</v>
      </c>
      <c r="BG429" s="428" t="s">
        <v>762</v>
      </c>
      <c r="BH429" s="428" t="s">
        <v>762</v>
      </c>
      <c r="BI429" s="428" t="s">
        <v>762</v>
      </c>
      <c r="BJ429" s="428" t="s">
        <v>762</v>
      </c>
      <c r="BK429" s="428" t="s">
        <v>762</v>
      </c>
      <c r="BL429" s="428" t="s">
        <v>762</v>
      </c>
      <c r="BM429" s="428" t="s">
        <v>762</v>
      </c>
      <c r="BN429" s="428" t="s">
        <v>762</v>
      </c>
      <c r="BO429" s="428" t="s">
        <v>762</v>
      </c>
      <c r="BP429" s="428" t="s">
        <v>762</v>
      </c>
      <c r="BQ429" s="428" t="s">
        <v>762</v>
      </c>
      <c r="BR429" s="428" t="s">
        <v>762</v>
      </c>
      <c r="BS429" s="428" t="s">
        <v>762</v>
      </c>
      <c r="BT429" s="428" t="s">
        <v>762</v>
      </c>
      <c r="BU429" s="428" t="s">
        <v>762</v>
      </c>
      <c r="BV429" s="428" t="s">
        <v>762</v>
      </c>
      <c r="BW429" s="428" t="s">
        <v>762</v>
      </c>
      <c r="BX429" s="428" t="s">
        <v>762</v>
      </c>
      <c r="BY429" s="428" t="s">
        <v>762</v>
      </c>
      <c r="BZ429" s="428" t="s">
        <v>762</v>
      </c>
      <c r="CA429" s="428" t="s">
        <v>762</v>
      </c>
      <c r="CB429" s="428" t="s">
        <v>762</v>
      </c>
      <c r="CC429" s="428" t="s">
        <v>762</v>
      </c>
      <c r="CD429" s="428" t="s">
        <v>762</v>
      </c>
      <c r="CE429" s="428" t="s">
        <v>762</v>
      </c>
      <c r="CF429" s="428" t="s">
        <v>762</v>
      </c>
      <c r="CG429" s="428" t="s">
        <v>762</v>
      </c>
      <c r="CH429" s="428" t="s">
        <v>762</v>
      </c>
      <c r="CI429" s="428" t="s">
        <v>762</v>
      </c>
      <c r="CJ429" s="428" t="s">
        <v>762</v>
      </c>
      <c r="CK429" s="428" t="s">
        <v>762</v>
      </c>
      <c r="CL429" s="428" t="s">
        <v>762</v>
      </c>
    </row>
    <row r="430" spans="1:90" s="429" customFormat="1">
      <c r="A430" s="427" t="s">
        <v>596</v>
      </c>
      <c r="B430" s="427" t="s">
        <v>103</v>
      </c>
      <c r="C430" s="428">
        <f t="shared" si="414"/>
        <v>14</v>
      </c>
      <c r="D430" s="428">
        <f t="shared" si="415"/>
        <v>14</v>
      </c>
      <c r="E430" s="428">
        <f t="shared" si="416"/>
        <v>14</v>
      </c>
      <c r="F430" s="428">
        <f t="shared" si="417"/>
        <v>14</v>
      </c>
      <c r="G430" s="428">
        <f t="shared" si="418"/>
        <v>15</v>
      </c>
      <c r="H430" s="428">
        <f t="shared" si="419"/>
        <v>15</v>
      </c>
      <c r="I430" s="428">
        <f t="shared" si="420"/>
        <v>15</v>
      </c>
      <c r="J430" s="428">
        <f t="shared" si="421"/>
        <v>15</v>
      </c>
      <c r="K430" s="428">
        <f t="shared" si="422"/>
        <v>15</v>
      </c>
      <c r="L430" s="428">
        <f t="shared" si="423"/>
        <v>16</v>
      </c>
      <c r="M430" s="428">
        <f t="shared" si="424"/>
        <v>16</v>
      </c>
      <c r="N430" s="428">
        <f t="shared" si="425"/>
        <v>17</v>
      </c>
      <c r="O430" s="428">
        <f t="shared" si="426"/>
        <v>17</v>
      </c>
      <c r="P430" s="428">
        <f t="shared" si="427"/>
        <v>18</v>
      </c>
      <c r="Q430" s="428">
        <f t="shared" si="428"/>
        <v>18</v>
      </c>
      <c r="R430" s="428">
        <f t="shared" si="429"/>
        <v>18</v>
      </c>
      <c r="S430" s="428">
        <f t="shared" si="430"/>
        <v>18</v>
      </c>
      <c r="T430" s="428">
        <f t="shared" si="431"/>
        <v>18</v>
      </c>
      <c r="U430" s="428">
        <f t="shared" si="432"/>
        <v>22</v>
      </c>
      <c r="V430" s="428">
        <f t="shared" si="433"/>
        <v>22</v>
      </c>
      <c r="W430" s="428">
        <f t="shared" si="434"/>
        <v>26</v>
      </c>
      <c r="X430" s="428">
        <f t="shared" si="435"/>
        <v>34</v>
      </c>
      <c r="Y430" s="428">
        <f t="shared" si="436"/>
        <v>42</v>
      </c>
      <c r="Z430" s="428" t="s">
        <v>762</v>
      </c>
      <c r="AA430" s="428" t="s">
        <v>762</v>
      </c>
      <c r="AB430" s="428" t="s">
        <v>762</v>
      </c>
      <c r="AC430" s="428" t="s">
        <v>762</v>
      </c>
      <c r="AD430" s="428" t="s">
        <v>762</v>
      </c>
      <c r="AE430" s="428" t="s">
        <v>762</v>
      </c>
      <c r="AF430" s="428" t="s">
        <v>762</v>
      </c>
      <c r="AG430" s="428" t="s">
        <v>762</v>
      </c>
      <c r="AH430" s="428" t="s">
        <v>762</v>
      </c>
      <c r="AI430" s="428" t="s">
        <v>762</v>
      </c>
      <c r="AJ430" s="428" t="s">
        <v>762</v>
      </c>
      <c r="AK430" s="428" t="s">
        <v>762</v>
      </c>
      <c r="AL430" s="428" t="s">
        <v>762</v>
      </c>
      <c r="AM430" s="428" t="s">
        <v>762</v>
      </c>
      <c r="AN430" s="428" t="s">
        <v>762</v>
      </c>
      <c r="AO430" s="428" t="s">
        <v>762</v>
      </c>
      <c r="AP430" s="428" t="s">
        <v>762</v>
      </c>
      <c r="AQ430" s="428" t="s">
        <v>762</v>
      </c>
      <c r="AR430" s="428" t="s">
        <v>762</v>
      </c>
      <c r="AS430" s="428" t="s">
        <v>762</v>
      </c>
      <c r="AT430" s="428" t="s">
        <v>762</v>
      </c>
      <c r="AU430" s="428" t="s">
        <v>762</v>
      </c>
      <c r="AV430" s="428" t="s">
        <v>762</v>
      </c>
      <c r="AW430" s="428" t="s">
        <v>762</v>
      </c>
      <c r="AX430" s="428" t="s">
        <v>762</v>
      </c>
      <c r="AY430" s="428" t="s">
        <v>762</v>
      </c>
      <c r="AZ430" s="428" t="s">
        <v>762</v>
      </c>
      <c r="BA430" s="428" t="s">
        <v>762</v>
      </c>
      <c r="BB430" s="428" t="s">
        <v>762</v>
      </c>
      <c r="BC430" s="428" t="s">
        <v>762</v>
      </c>
      <c r="BD430" s="428" t="s">
        <v>762</v>
      </c>
      <c r="BE430" s="428" t="s">
        <v>762</v>
      </c>
      <c r="BF430" s="428" t="s">
        <v>762</v>
      </c>
      <c r="BG430" s="428" t="s">
        <v>762</v>
      </c>
      <c r="BH430" s="428" t="s">
        <v>762</v>
      </c>
      <c r="BI430" s="428" t="s">
        <v>762</v>
      </c>
      <c r="BJ430" s="428" t="s">
        <v>762</v>
      </c>
      <c r="BK430" s="428" t="s">
        <v>762</v>
      </c>
      <c r="BL430" s="428" t="s">
        <v>762</v>
      </c>
      <c r="BM430" s="428" t="s">
        <v>762</v>
      </c>
      <c r="BN430" s="428" t="s">
        <v>762</v>
      </c>
      <c r="BO430" s="428" t="s">
        <v>762</v>
      </c>
      <c r="BP430" s="428" t="s">
        <v>762</v>
      </c>
      <c r="BQ430" s="428" t="s">
        <v>762</v>
      </c>
      <c r="BR430" s="428" t="s">
        <v>762</v>
      </c>
      <c r="BS430" s="428" t="s">
        <v>762</v>
      </c>
      <c r="BT430" s="428" t="s">
        <v>762</v>
      </c>
      <c r="BU430" s="428" t="s">
        <v>762</v>
      </c>
      <c r="BV430" s="428" t="s">
        <v>762</v>
      </c>
      <c r="BW430" s="428" t="s">
        <v>762</v>
      </c>
      <c r="BX430" s="428" t="s">
        <v>762</v>
      </c>
      <c r="BY430" s="428" t="s">
        <v>762</v>
      </c>
      <c r="BZ430" s="428" t="s">
        <v>762</v>
      </c>
      <c r="CA430" s="428" t="s">
        <v>762</v>
      </c>
      <c r="CB430" s="428" t="s">
        <v>762</v>
      </c>
      <c r="CC430" s="428" t="s">
        <v>762</v>
      </c>
      <c r="CD430" s="428" t="s">
        <v>762</v>
      </c>
      <c r="CE430" s="428" t="s">
        <v>762</v>
      </c>
      <c r="CF430" s="428" t="s">
        <v>762</v>
      </c>
      <c r="CG430" s="428" t="s">
        <v>762</v>
      </c>
      <c r="CH430" s="428" t="s">
        <v>762</v>
      </c>
      <c r="CI430" s="428" t="s">
        <v>762</v>
      </c>
      <c r="CJ430" s="428" t="s">
        <v>762</v>
      </c>
      <c r="CK430" s="428" t="s">
        <v>762</v>
      </c>
      <c r="CL430" s="428" t="s">
        <v>762</v>
      </c>
    </row>
    <row r="431" spans="1:90" s="429" customFormat="1">
      <c r="A431" s="427" t="s">
        <v>597</v>
      </c>
      <c r="B431" s="427" t="s">
        <v>103</v>
      </c>
      <c r="C431" s="428">
        <f t="shared" si="414"/>
        <v>14</v>
      </c>
      <c r="D431" s="428">
        <f t="shared" si="415"/>
        <v>14</v>
      </c>
      <c r="E431" s="428">
        <f t="shared" si="416"/>
        <v>14</v>
      </c>
      <c r="F431" s="428">
        <f t="shared" si="417"/>
        <v>14</v>
      </c>
      <c r="G431" s="428">
        <f t="shared" si="418"/>
        <v>15</v>
      </c>
      <c r="H431" s="428">
        <f t="shared" si="419"/>
        <v>15</v>
      </c>
      <c r="I431" s="428">
        <f t="shared" si="420"/>
        <v>15</v>
      </c>
      <c r="J431" s="428">
        <f t="shared" si="421"/>
        <v>15</v>
      </c>
      <c r="K431" s="428">
        <f t="shared" si="422"/>
        <v>15</v>
      </c>
      <c r="L431" s="428">
        <f t="shared" si="423"/>
        <v>16</v>
      </c>
      <c r="M431" s="428">
        <f t="shared" si="424"/>
        <v>16</v>
      </c>
      <c r="N431" s="428">
        <f t="shared" si="425"/>
        <v>17</v>
      </c>
      <c r="O431" s="428">
        <f t="shared" si="426"/>
        <v>17</v>
      </c>
      <c r="P431" s="428">
        <f t="shared" si="427"/>
        <v>18</v>
      </c>
      <c r="Q431" s="428">
        <f t="shared" si="428"/>
        <v>18</v>
      </c>
      <c r="R431" s="428">
        <f t="shared" si="429"/>
        <v>18</v>
      </c>
      <c r="S431" s="428">
        <f t="shared" si="430"/>
        <v>18</v>
      </c>
      <c r="T431" s="428">
        <f t="shared" si="431"/>
        <v>18</v>
      </c>
      <c r="U431" s="428">
        <f t="shared" si="432"/>
        <v>22</v>
      </c>
      <c r="V431" s="428">
        <f t="shared" si="433"/>
        <v>22</v>
      </c>
      <c r="W431" s="428">
        <f t="shared" si="434"/>
        <v>26</v>
      </c>
      <c r="X431" s="428">
        <f t="shared" si="435"/>
        <v>34</v>
      </c>
      <c r="Y431" s="428">
        <f t="shared" si="436"/>
        <v>42</v>
      </c>
      <c r="Z431" s="428" t="s">
        <v>762</v>
      </c>
      <c r="AA431" s="428" t="s">
        <v>762</v>
      </c>
      <c r="AB431" s="428" t="s">
        <v>762</v>
      </c>
      <c r="AC431" s="428" t="s">
        <v>762</v>
      </c>
      <c r="AD431" s="428" t="s">
        <v>762</v>
      </c>
      <c r="AE431" s="428" t="s">
        <v>762</v>
      </c>
      <c r="AF431" s="428" t="s">
        <v>762</v>
      </c>
      <c r="AG431" s="428" t="s">
        <v>762</v>
      </c>
      <c r="AH431" s="428" t="s">
        <v>762</v>
      </c>
      <c r="AI431" s="428" t="s">
        <v>762</v>
      </c>
      <c r="AJ431" s="428" t="s">
        <v>762</v>
      </c>
      <c r="AK431" s="428" t="s">
        <v>762</v>
      </c>
      <c r="AL431" s="428" t="s">
        <v>762</v>
      </c>
      <c r="AM431" s="428" t="s">
        <v>762</v>
      </c>
      <c r="AN431" s="428" t="s">
        <v>762</v>
      </c>
      <c r="AO431" s="428" t="s">
        <v>762</v>
      </c>
      <c r="AP431" s="428" t="s">
        <v>762</v>
      </c>
      <c r="AQ431" s="428" t="s">
        <v>762</v>
      </c>
      <c r="AR431" s="428" t="s">
        <v>762</v>
      </c>
      <c r="AS431" s="428" t="s">
        <v>762</v>
      </c>
      <c r="AT431" s="428" t="s">
        <v>762</v>
      </c>
      <c r="AU431" s="428" t="s">
        <v>762</v>
      </c>
      <c r="AV431" s="428" t="s">
        <v>762</v>
      </c>
      <c r="AW431" s="428" t="s">
        <v>762</v>
      </c>
      <c r="AX431" s="428" t="s">
        <v>762</v>
      </c>
      <c r="AY431" s="428" t="s">
        <v>762</v>
      </c>
      <c r="AZ431" s="428" t="s">
        <v>762</v>
      </c>
      <c r="BA431" s="428" t="s">
        <v>762</v>
      </c>
      <c r="BB431" s="428" t="s">
        <v>762</v>
      </c>
      <c r="BC431" s="428" t="s">
        <v>762</v>
      </c>
      <c r="BD431" s="428" t="s">
        <v>762</v>
      </c>
      <c r="BE431" s="428" t="s">
        <v>762</v>
      </c>
      <c r="BF431" s="428" t="s">
        <v>762</v>
      </c>
      <c r="BG431" s="428" t="s">
        <v>762</v>
      </c>
      <c r="BH431" s="428" t="s">
        <v>762</v>
      </c>
      <c r="BI431" s="428" t="s">
        <v>762</v>
      </c>
      <c r="BJ431" s="428" t="s">
        <v>762</v>
      </c>
      <c r="BK431" s="428" t="s">
        <v>762</v>
      </c>
      <c r="BL431" s="428" t="s">
        <v>762</v>
      </c>
      <c r="BM431" s="428" t="s">
        <v>762</v>
      </c>
      <c r="BN431" s="428" t="s">
        <v>762</v>
      </c>
      <c r="BO431" s="428" t="s">
        <v>762</v>
      </c>
      <c r="BP431" s="428" t="s">
        <v>762</v>
      </c>
      <c r="BQ431" s="428" t="s">
        <v>762</v>
      </c>
      <c r="BR431" s="428" t="s">
        <v>762</v>
      </c>
      <c r="BS431" s="428" t="s">
        <v>762</v>
      </c>
      <c r="BT431" s="428" t="s">
        <v>762</v>
      </c>
      <c r="BU431" s="428" t="s">
        <v>762</v>
      </c>
      <c r="BV431" s="428" t="s">
        <v>762</v>
      </c>
      <c r="BW431" s="428" t="s">
        <v>762</v>
      </c>
      <c r="BX431" s="428" t="s">
        <v>762</v>
      </c>
      <c r="BY431" s="428" t="s">
        <v>762</v>
      </c>
      <c r="BZ431" s="428" t="s">
        <v>762</v>
      </c>
      <c r="CA431" s="428" t="s">
        <v>762</v>
      </c>
      <c r="CB431" s="428" t="s">
        <v>762</v>
      </c>
      <c r="CC431" s="428" t="s">
        <v>762</v>
      </c>
      <c r="CD431" s="428" t="s">
        <v>762</v>
      </c>
      <c r="CE431" s="428" t="s">
        <v>762</v>
      </c>
      <c r="CF431" s="428" t="s">
        <v>762</v>
      </c>
      <c r="CG431" s="428" t="s">
        <v>762</v>
      </c>
      <c r="CH431" s="428" t="s">
        <v>762</v>
      </c>
      <c r="CI431" s="428" t="s">
        <v>762</v>
      </c>
      <c r="CJ431" s="428" t="s">
        <v>762</v>
      </c>
      <c r="CK431" s="428" t="s">
        <v>762</v>
      </c>
      <c r="CL431" s="428" t="s">
        <v>762</v>
      </c>
    </row>
    <row r="432" spans="1:90" s="429" customFormat="1">
      <c r="A432" s="427" t="s">
        <v>598</v>
      </c>
      <c r="B432" s="427" t="s">
        <v>103</v>
      </c>
      <c r="C432" s="428">
        <f t="shared" si="414"/>
        <v>14</v>
      </c>
      <c r="D432" s="428">
        <f t="shared" si="415"/>
        <v>14</v>
      </c>
      <c r="E432" s="428">
        <f t="shared" si="416"/>
        <v>14</v>
      </c>
      <c r="F432" s="428">
        <f t="shared" si="417"/>
        <v>14</v>
      </c>
      <c r="G432" s="428">
        <f t="shared" si="418"/>
        <v>15</v>
      </c>
      <c r="H432" s="428">
        <f t="shared" si="419"/>
        <v>15</v>
      </c>
      <c r="I432" s="428">
        <f t="shared" si="420"/>
        <v>15</v>
      </c>
      <c r="J432" s="428">
        <f t="shared" si="421"/>
        <v>15</v>
      </c>
      <c r="K432" s="428">
        <f t="shared" si="422"/>
        <v>15</v>
      </c>
      <c r="L432" s="428">
        <f t="shared" si="423"/>
        <v>16</v>
      </c>
      <c r="M432" s="428">
        <f t="shared" si="424"/>
        <v>16</v>
      </c>
      <c r="N432" s="428">
        <f t="shared" si="425"/>
        <v>17</v>
      </c>
      <c r="O432" s="428">
        <f t="shared" si="426"/>
        <v>17</v>
      </c>
      <c r="P432" s="428">
        <f t="shared" si="427"/>
        <v>18</v>
      </c>
      <c r="Q432" s="428">
        <f t="shared" si="428"/>
        <v>18</v>
      </c>
      <c r="R432" s="428">
        <f t="shared" si="429"/>
        <v>18</v>
      </c>
      <c r="S432" s="428">
        <f t="shared" si="430"/>
        <v>18</v>
      </c>
      <c r="T432" s="428">
        <f t="shared" si="431"/>
        <v>18</v>
      </c>
      <c r="U432" s="428">
        <f t="shared" si="432"/>
        <v>22</v>
      </c>
      <c r="V432" s="428">
        <f t="shared" si="433"/>
        <v>22</v>
      </c>
      <c r="W432" s="428">
        <f t="shared" si="434"/>
        <v>26</v>
      </c>
      <c r="X432" s="428">
        <f t="shared" si="435"/>
        <v>34</v>
      </c>
      <c r="Y432" s="428">
        <f t="shared" si="436"/>
        <v>42</v>
      </c>
      <c r="Z432" s="428" t="s">
        <v>762</v>
      </c>
      <c r="AA432" s="428" t="s">
        <v>762</v>
      </c>
      <c r="AB432" s="428" t="s">
        <v>762</v>
      </c>
      <c r="AC432" s="428" t="s">
        <v>762</v>
      </c>
      <c r="AD432" s="428" t="s">
        <v>762</v>
      </c>
      <c r="AE432" s="428" t="s">
        <v>762</v>
      </c>
      <c r="AF432" s="428" t="s">
        <v>762</v>
      </c>
      <c r="AG432" s="428" t="s">
        <v>762</v>
      </c>
      <c r="AH432" s="428" t="s">
        <v>762</v>
      </c>
      <c r="AI432" s="428" t="s">
        <v>762</v>
      </c>
      <c r="AJ432" s="428" t="s">
        <v>762</v>
      </c>
      <c r="AK432" s="428" t="s">
        <v>762</v>
      </c>
      <c r="AL432" s="428" t="s">
        <v>762</v>
      </c>
      <c r="AM432" s="428" t="s">
        <v>762</v>
      </c>
      <c r="AN432" s="428" t="s">
        <v>762</v>
      </c>
      <c r="AO432" s="428" t="s">
        <v>762</v>
      </c>
      <c r="AP432" s="428" t="s">
        <v>762</v>
      </c>
      <c r="AQ432" s="428" t="s">
        <v>762</v>
      </c>
      <c r="AR432" s="428" t="s">
        <v>762</v>
      </c>
      <c r="AS432" s="428" t="s">
        <v>762</v>
      </c>
      <c r="AT432" s="428" t="s">
        <v>762</v>
      </c>
      <c r="AU432" s="428" t="s">
        <v>762</v>
      </c>
      <c r="AV432" s="428" t="s">
        <v>762</v>
      </c>
      <c r="AW432" s="428" t="s">
        <v>762</v>
      </c>
      <c r="AX432" s="428" t="s">
        <v>762</v>
      </c>
      <c r="AY432" s="428" t="s">
        <v>762</v>
      </c>
      <c r="AZ432" s="428" t="s">
        <v>762</v>
      </c>
      <c r="BA432" s="428" t="s">
        <v>762</v>
      </c>
      <c r="BB432" s="428" t="s">
        <v>762</v>
      </c>
      <c r="BC432" s="428" t="s">
        <v>762</v>
      </c>
      <c r="BD432" s="428" t="s">
        <v>762</v>
      </c>
      <c r="BE432" s="428" t="s">
        <v>762</v>
      </c>
      <c r="BF432" s="428" t="s">
        <v>762</v>
      </c>
      <c r="BG432" s="428" t="s">
        <v>762</v>
      </c>
      <c r="BH432" s="428" t="s">
        <v>762</v>
      </c>
      <c r="BI432" s="428" t="s">
        <v>762</v>
      </c>
      <c r="BJ432" s="428" t="s">
        <v>762</v>
      </c>
      <c r="BK432" s="428" t="s">
        <v>762</v>
      </c>
      <c r="BL432" s="428" t="s">
        <v>762</v>
      </c>
      <c r="BM432" s="428" t="s">
        <v>762</v>
      </c>
      <c r="BN432" s="428" t="s">
        <v>762</v>
      </c>
      <c r="BO432" s="428" t="s">
        <v>762</v>
      </c>
      <c r="BP432" s="428" t="s">
        <v>762</v>
      </c>
      <c r="BQ432" s="428" t="s">
        <v>762</v>
      </c>
      <c r="BR432" s="428" t="s">
        <v>762</v>
      </c>
      <c r="BS432" s="428" t="s">
        <v>762</v>
      </c>
      <c r="BT432" s="428" t="s">
        <v>762</v>
      </c>
      <c r="BU432" s="428" t="s">
        <v>762</v>
      </c>
      <c r="BV432" s="428" t="s">
        <v>762</v>
      </c>
      <c r="BW432" s="428" t="s">
        <v>762</v>
      </c>
      <c r="BX432" s="428" t="s">
        <v>762</v>
      </c>
      <c r="BY432" s="428" t="s">
        <v>762</v>
      </c>
      <c r="BZ432" s="428" t="s">
        <v>762</v>
      </c>
      <c r="CA432" s="428" t="s">
        <v>762</v>
      </c>
      <c r="CB432" s="428" t="s">
        <v>762</v>
      </c>
      <c r="CC432" s="428" t="s">
        <v>762</v>
      </c>
      <c r="CD432" s="428" t="s">
        <v>762</v>
      </c>
      <c r="CE432" s="428" t="s">
        <v>762</v>
      </c>
      <c r="CF432" s="428" t="s">
        <v>762</v>
      </c>
      <c r="CG432" s="428" t="s">
        <v>762</v>
      </c>
      <c r="CH432" s="428" t="s">
        <v>762</v>
      </c>
      <c r="CI432" s="428" t="s">
        <v>762</v>
      </c>
      <c r="CJ432" s="428" t="s">
        <v>762</v>
      </c>
      <c r="CK432" s="428" t="s">
        <v>762</v>
      </c>
      <c r="CL432" s="428" t="s">
        <v>762</v>
      </c>
    </row>
    <row r="433" spans="1:90" s="429" customFormat="1">
      <c r="A433" s="427" t="s">
        <v>599</v>
      </c>
      <c r="B433" s="427" t="s">
        <v>103</v>
      </c>
      <c r="C433" s="428">
        <f t="shared" si="414"/>
        <v>14</v>
      </c>
      <c r="D433" s="428">
        <f t="shared" si="415"/>
        <v>14</v>
      </c>
      <c r="E433" s="428">
        <f t="shared" si="416"/>
        <v>14</v>
      </c>
      <c r="F433" s="428">
        <f t="shared" si="417"/>
        <v>14</v>
      </c>
      <c r="G433" s="428">
        <f t="shared" si="418"/>
        <v>15</v>
      </c>
      <c r="H433" s="428">
        <f t="shared" si="419"/>
        <v>15</v>
      </c>
      <c r="I433" s="428">
        <f t="shared" si="420"/>
        <v>15</v>
      </c>
      <c r="J433" s="428">
        <f t="shared" si="421"/>
        <v>15</v>
      </c>
      <c r="K433" s="428">
        <f t="shared" si="422"/>
        <v>15</v>
      </c>
      <c r="L433" s="428">
        <f t="shared" si="423"/>
        <v>16</v>
      </c>
      <c r="M433" s="428">
        <f t="shared" si="424"/>
        <v>16</v>
      </c>
      <c r="N433" s="428">
        <f t="shared" si="425"/>
        <v>17</v>
      </c>
      <c r="O433" s="428">
        <f t="shared" si="426"/>
        <v>17</v>
      </c>
      <c r="P433" s="428">
        <f t="shared" si="427"/>
        <v>18</v>
      </c>
      <c r="Q433" s="428">
        <f t="shared" si="428"/>
        <v>18</v>
      </c>
      <c r="R433" s="428">
        <f t="shared" si="429"/>
        <v>18</v>
      </c>
      <c r="S433" s="428">
        <f t="shared" si="430"/>
        <v>18</v>
      </c>
      <c r="T433" s="428">
        <f t="shared" si="431"/>
        <v>18</v>
      </c>
      <c r="U433" s="428">
        <f t="shared" si="432"/>
        <v>22</v>
      </c>
      <c r="V433" s="428">
        <f t="shared" si="433"/>
        <v>22</v>
      </c>
      <c r="W433" s="428">
        <f t="shared" si="434"/>
        <v>26</v>
      </c>
      <c r="X433" s="428">
        <f t="shared" si="435"/>
        <v>34</v>
      </c>
      <c r="Y433" s="428">
        <f t="shared" si="436"/>
        <v>42</v>
      </c>
      <c r="Z433" s="428" t="s">
        <v>762</v>
      </c>
      <c r="AA433" s="428" t="s">
        <v>762</v>
      </c>
      <c r="AB433" s="428" t="s">
        <v>762</v>
      </c>
      <c r="AC433" s="428" t="s">
        <v>762</v>
      </c>
      <c r="AD433" s="428" t="s">
        <v>762</v>
      </c>
      <c r="AE433" s="428" t="s">
        <v>762</v>
      </c>
      <c r="AF433" s="428" t="s">
        <v>762</v>
      </c>
      <c r="AG433" s="428" t="s">
        <v>762</v>
      </c>
      <c r="AH433" s="428" t="s">
        <v>762</v>
      </c>
      <c r="AI433" s="428" t="s">
        <v>762</v>
      </c>
      <c r="AJ433" s="428" t="s">
        <v>762</v>
      </c>
      <c r="AK433" s="428" t="s">
        <v>762</v>
      </c>
      <c r="AL433" s="428" t="s">
        <v>762</v>
      </c>
      <c r="AM433" s="428" t="s">
        <v>762</v>
      </c>
      <c r="AN433" s="428" t="s">
        <v>762</v>
      </c>
      <c r="AO433" s="428" t="s">
        <v>762</v>
      </c>
      <c r="AP433" s="428" t="s">
        <v>762</v>
      </c>
      <c r="AQ433" s="428" t="s">
        <v>762</v>
      </c>
      <c r="AR433" s="428" t="s">
        <v>762</v>
      </c>
      <c r="AS433" s="428" t="s">
        <v>762</v>
      </c>
      <c r="AT433" s="428" t="s">
        <v>762</v>
      </c>
      <c r="AU433" s="428" t="s">
        <v>762</v>
      </c>
      <c r="AV433" s="428" t="s">
        <v>762</v>
      </c>
      <c r="AW433" s="428" t="s">
        <v>762</v>
      </c>
      <c r="AX433" s="428" t="s">
        <v>762</v>
      </c>
      <c r="AY433" s="428" t="s">
        <v>762</v>
      </c>
      <c r="AZ433" s="428" t="s">
        <v>762</v>
      </c>
      <c r="BA433" s="428" t="s">
        <v>762</v>
      </c>
      <c r="BB433" s="428" t="s">
        <v>762</v>
      </c>
      <c r="BC433" s="428" t="s">
        <v>762</v>
      </c>
      <c r="BD433" s="428" t="s">
        <v>762</v>
      </c>
      <c r="BE433" s="428" t="s">
        <v>762</v>
      </c>
      <c r="BF433" s="428" t="s">
        <v>762</v>
      </c>
      <c r="BG433" s="428" t="s">
        <v>762</v>
      </c>
      <c r="BH433" s="428" t="s">
        <v>762</v>
      </c>
      <c r="BI433" s="428" t="s">
        <v>762</v>
      </c>
      <c r="BJ433" s="428" t="s">
        <v>762</v>
      </c>
      <c r="BK433" s="428" t="s">
        <v>762</v>
      </c>
      <c r="BL433" s="428" t="s">
        <v>762</v>
      </c>
      <c r="BM433" s="428" t="s">
        <v>762</v>
      </c>
      <c r="BN433" s="428" t="s">
        <v>762</v>
      </c>
      <c r="BO433" s="428" t="s">
        <v>762</v>
      </c>
      <c r="BP433" s="428" t="s">
        <v>762</v>
      </c>
      <c r="BQ433" s="428" t="s">
        <v>762</v>
      </c>
      <c r="BR433" s="428" t="s">
        <v>762</v>
      </c>
      <c r="BS433" s="428" t="s">
        <v>762</v>
      </c>
      <c r="BT433" s="428" t="s">
        <v>762</v>
      </c>
      <c r="BU433" s="428" t="s">
        <v>762</v>
      </c>
      <c r="BV433" s="428" t="s">
        <v>762</v>
      </c>
      <c r="BW433" s="428" t="s">
        <v>762</v>
      </c>
      <c r="BX433" s="428" t="s">
        <v>762</v>
      </c>
      <c r="BY433" s="428" t="s">
        <v>762</v>
      </c>
      <c r="BZ433" s="428" t="s">
        <v>762</v>
      </c>
      <c r="CA433" s="428" t="s">
        <v>762</v>
      </c>
      <c r="CB433" s="428" t="s">
        <v>762</v>
      </c>
      <c r="CC433" s="428" t="s">
        <v>762</v>
      </c>
      <c r="CD433" s="428" t="s">
        <v>762</v>
      </c>
      <c r="CE433" s="428" t="s">
        <v>762</v>
      </c>
      <c r="CF433" s="428" t="s">
        <v>762</v>
      </c>
      <c r="CG433" s="428" t="s">
        <v>762</v>
      </c>
      <c r="CH433" s="428" t="s">
        <v>762</v>
      </c>
      <c r="CI433" s="428" t="s">
        <v>762</v>
      </c>
      <c r="CJ433" s="428" t="s">
        <v>762</v>
      </c>
      <c r="CK433" s="428" t="s">
        <v>762</v>
      </c>
      <c r="CL433" s="428" t="s">
        <v>762</v>
      </c>
    </row>
    <row r="434" spans="1:90" s="429" customFormat="1">
      <c r="A434" s="427" t="s">
        <v>600</v>
      </c>
      <c r="B434" s="427" t="s">
        <v>103</v>
      </c>
      <c r="C434" s="428">
        <f t="shared" si="414"/>
        <v>14</v>
      </c>
      <c r="D434" s="428">
        <f t="shared" si="415"/>
        <v>14</v>
      </c>
      <c r="E434" s="428">
        <f t="shared" si="416"/>
        <v>14</v>
      </c>
      <c r="F434" s="428">
        <f t="shared" si="417"/>
        <v>14</v>
      </c>
      <c r="G434" s="428">
        <f t="shared" si="418"/>
        <v>15</v>
      </c>
      <c r="H434" s="428">
        <f t="shared" si="419"/>
        <v>15</v>
      </c>
      <c r="I434" s="428">
        <f t="shared" si="420"/>
        <v>15</v>
      </c>
      <c r="J434" s="428">
        <f t="shared" si="421"/>
        <v>15</v>
      </c>
      <c r="K434" s="428">
        <f t="shared" si="422"/>
        <v>15</v>
      </c>
      <c r="L434" s="428">
        <f t="shared" si="423"/>
        <v>16</v>
      </c>
      <c r="M434" s="428">
        <f t="shared" si="424"/>
        <v>16</v>
      </c>
      <c r="N434" s="428">
        <f t="shared" si="425"/>
        <v>17</v>
      </c>
      <c r="O434" s="428">
        <f t="shared" si="426"/>
        <v>17</v>
      </c>
      <c r="P434" s="428">
        <f t="shared" si="427"/>
        <v>18</v>
      </c>
      <c r="Q434" s="428">
        <f t="shared" si="428"/>
        <v>18</v>
      </c>
      <c r="R434" s="428">
        <f t="shared" si="429"/>
        <v>18</v>
      </c>
      <c r="S434" s="428">
        <f t="shared" si="430"/>
        <v>18</v>
      </c>
      <c r="T434" s="428">
        <f t="shared" si="431"/>
        <v>18</v>
      </c>
      <c r="U434" s="428">
        <f t="shared" si="432"/>
        <v>22</v>
      </c>
      <c r="V434" s="428">
        <f t="shared" si="433"/>
        <v>22</v>
      </c>
      <c r="W434" s="428">
        <f t="shared" si="434"/>
        <v>26</v>
      </c>
      <c r="X434" s="428">
        <f t="shared" si="435"/>
        <v>34</v>
      </c>
      <c r="Y434" s="428">
        <f t="shared" si="436"/>
        <v>42</v>
      </c>
      <c r="Z434" s="428" t="s">
        <v>762</v>
      </c>
      <c r="AA434" s="428" t="s">
        <v>762</v>
      </c>
      <c r="AB434" s="428" t="s">
        <v>762</v>
      </c>
      <c r="AC434" s="428" t="s">
        <v>762</v>
      </c>
      <c r="AD434" s="428" t="s">
        <v>762</v>
      </c>
      <c r="AE434" s="428" t="s">
        <v>762</v>
      </c>
      <c r="AF434" s="428" t="s">
        <v>762</v>
      </c>
      <c r="AG434" s="428" t="s">
        <v>762</v>
      </c>
      <c r="AH434" s="428" t="s">
        <v>762</v>
      </c>
      <c r="AI434" s="428" t="s">
        <v>762</v>
      </c>
      <c r="AJ434" s="428" t="s">
        <v>762</v>
      </c>
      <c r="AK434" s="428" t="s">
        <v>762</v>
      </c>
      <c r="AL434" s="428" t="s">
        <v>762</v>
      </c>
      <c r="AM434" s="428" t="s">
        <v>762</v>
      </c>
      <c r="AN434" s="428" t="s">
        <v>762</v>
      </c>
      <c r="AO434" s="428" t="s">
        <v>762</v>
      </c>
      <c r="AP434" s="428" t="s">
        <v>762</v>
      </c>
      <c r="AQ434" s="428" t="s">
        <v>762</v>
      </c>
      <c r="AR434" s="428" t="s">
        <v>762</v>
      </c>
      <c r="AS434" s="428" t="s">
        <v>762</v>
      </c>
      <c r="AT434" s="428" t="s">
        <v>762</v>
      </c>
      <c r="AU434" s="428" t="s">
        <v>762</v>
      </c>
      <c r="AV434" s="428" t="s">
        <v>762</v>
      </c>
      <c r="AW434" s="428" t="s">
        <v>762</v>
      </c>
      <c r="AX434" s="428" t="s">
        <v>762</v>
      </c>
      <c r="AY434" s="428" t="s">
        <v>762</v>
      </c>
      <c r="AZ434" s="428" t="s">
        <v>762</v>
      </c>
      <c r="BA434" s="428" t="s">
        <v>762</v>
      </c>
      <c r="BB434" s="428" t="s">
        <v>762</v>
      </c>
      <c r="BC434" s="428" t="s">
        <v>762</v>
      </c>
      <c r="BD434" s="428" t="s">
        <v>762</v>
      </c>
      <c r="BE434" s="428" t="s">
        <v>762</v>
      </c>
      <c r="BF434" s="428" t="s">
        <v>762</v>
      </c>
      <c r="BG434" s="428" t="s">
        <v>762</v>
      </c>
      <c r="BH434" s="428" t="s">
        <v>762</v>
      </c>
      <c r="BI434" s="428" t="s">
        <v>762</v>
      </c>
      <c r="BJ434" s="428" t="s">
        <v>762</v>
      </c>
      <c r="BK434" s="428" t="s">
        <v>762</v>
      </c>
      <c r="BL434" s="428" t="s">
        <v>762</v>
      </c>
      <c r="BM434" s="428" t="s">
        <v>762</v>
      </c>
      <c r="BN434" s="428" t="s">
        <v>762</v>
      </c>
      <c r="BO434" s="428" t="s">
        <v>762</v>
      </c>
      <c r="BP434" s="428" t="s">
        <v>762</v>
      </c>
      <c r="BQ434" s="428" t="s">
        <v>762</v>
      </c>
      <c r="BR434" s="428" t="s">
        <v>762</v>
      </c>
      <c r="BS434" s="428" t="s">
        <v>762</v>
      </c>
      <c r="BT434" s="428" t="s">
        <v>762</v>
      </c>
      <c r="BU434" s="428" t="s">
        <v>762</v>
      </c>
      <c r="BV434" s="428" t="s">
        <v>762</v>
      </c>
      <c r="BW434" s="428" t="s">
        <v>762</v>
      </c>
      <c r="BX434" s="428" t="s">
        <v>762</v>
      </c>
      <c r="BY434" s="428" t="s">
        <v>762</v>
      </c>
      <c r="BZ434" s="428" t="s">
        <v>762</v>
      </c>
      <c r="CA434" s="428" t="s">
        <v>762</v>
      </c>
      <c r="CB434" s="428" t="s">
        <v>762</v>
      </c>
      <c r="CC434" s="428" t="s">
        <v>762</v>
      </c>
      <c r="CD434" s="428" t="s">
        <v>762</v>
      </c>
      <c r="CE434" s="428" t="s">
        <v>762</v>
      </c>
      <c r="CF434" s="428" t="s">
        <v>762</v>
      </c>
      <c r="CG434" s="428" t="s">
        <v>762</v>
      </c>
      <c r="CH434" s="428" t="s">
        <v>762</v>
      </c>
      <c r="CI434" s="428" t="s">
        <v>762</v>
      </c>
      <c r="CJ434" s="428" t="s">
        <v>762</v>
      </c>
      <c r="CK434" s="428" t="s">
        <v>762</v>
      </c>
      <c r="CL434" s="428" t="s">
        <v>762</v>
      </c>
    </row>
    <row r="435" spans="1:90" s="429" customFormat="1">
      <c r="A435" s="427" t="s">
        <v>601</v>
      </c>
      <c r="B435" s="427" t="s">
        <v>103</v>
      </c>
      <c r="C435" s="428">
        <f t="shared" si="414"/>
        <v>14</v>
      </c>
      <c r="D435" s="428">
        <f t="shared" si="415"/>
        <v>14</v>
      </c>
      <c r="E435" s="428">
        <f t="shared" si="416"/>
        <v>14</v>
      </c>
      <c r="F435" s="428">
        <f t="shared" si="417"/>
        <v>14</v>
      </c>
      <c r="G435" s="428">
        <f t="shared" si="418"/>
        <v>15</v>
      </c>
      <c r="H435" s="428">
        <f t="shared" si="419"/>
        <v>15</v>
      </c>
      <c r="I435" s="428">
        <f t="shared" si="420"/>
        <v>15</v>
      </c>
      <c r="J435" s="428">
        <f t="shared" si="421"/>
        <v>15</v>
      </c>
      <c r="K435" s="428">
        <f t="shared" si="422"/>
        <v>15</v>
      </c>
      <c r="L435" s="428">
        <f t="shared" si="423"/>
        <v>16</v>
      </c>
      <c r="M435" s="428">
        <f t="shared" si="424"/>
        <v>16</v>
      </c>
      <c r="N435" s="428">
        <f t="shared" si="425"/>
        <v>17</v>
      </c>
      <c r="O435" s="428">
        <f t="shared" si="426"/>
        <v>17</v>
      </c>
      <c r="P435" s="428">
        <f t="shared" si="427"/>
        <v>18</v>
      </c>
      <c r="Q435" s="428">
        <f t="shared" si="428"/>
        <v>18</v>
      </c>
      <c r="R435" s="428">
        <f t="shared" si="429"/>
        <v>18</v>
      </c>
      <c r="S435" s="428">
        <f t="shared" si="430"/>
        <v>18</v>
      </c>
      <c r="T435" s="428">
        <f t="shared" si="431"/>
        <v>18</v>
      </c>
      <c r="U435" s="428">
        <f t="shared" si="432"/>
        <v>22</v>
      </c>
      <c r="V435" s="428">
        <f t="shared" si="433"/>
        <v>22</v>
      </c>
      <c r="W435" s="428">
        <f t="shared" si="434"/>
        <v>26</v>
      </c>
      <c r="X435" s="428">
        <f t="shared" si="435"/>
        <v>34</v>
      </c>
      <c r="Y435" s="428">
        <f t="shared" si="436"/>
        <v>42</v>
      </c>
      <c r="Z435" s="428" t="s">
        <v>762</v>
      </c>
      <c r="AA435" s="428" t="s">
        <v>762</v>
      </c>
      <c r="AB435" s="428" t="s">
        <v>762</v>
      </c>
      <c r="AC435" s="428" t="s">
        <v>762</v>
      </c>
      <c r="AD435" s="428" t="s">
        <v>762</v>
      </c>
      <c r="AE435" s="428" t="s">
        <v>762</v>
      </c>
      <c r="AF435" s="428" t="s">
        <v>762</v>
      </c>
      <c r="AG435" s="428" t="s">
        <v>762</v>
      </c>
      <c r="AH435" s="428" t="s">
        <v>762</v>
      </c>
      <c r="AI435" s="428" t="s">
        <v>762</v>
      </c>
      <c r="AJ435" s="428" t="s">
        <v>762</v>
      </c>
      <c r="AK435" s="428" t="s">
        <v>762</v>
      </c>
      <c r="AL435" s="428" t="s">
        <v>762</v>
      </c>
      <c r="AM435" s="428" t="s">
        <v>762</v>
      </c>
      <c r="AN435" s="428" t="s">
        <v>762</v>
      </c>
      <c r="AO435" s="428" t="s">
        <v>762</v>
      </c>
      <c r="AP435" s="428" t="s">
        <v>762</v>
      </c>
      <c r="AQ435" s="428" t="s">
        <v>762</v>
      </c>
      <c r="AR435" s="428" t="s">
        <v>762</v>
      </c>
      <c r="AS435" s="428" t="s">
        <v>762</v>
      </c>
      <c r="AT435" s="428" t="s">
        <v>762</v>
      </c>
      <c r="AU435" s="428" t="s">
        <v>762</v>
      </c>
      <c r="AV435" s="428" t="s">
        <v>762</v>
      </c>
      <c r="AW435" s="428" t="s">
        <v>762</v>
      </c>
      <c r="AX435" s="428" t="s">
        <v>762</v>
      </c>
      <c r="AY435" s="428" t="s">
        <v>762</v>
      </c>
      <c r="AZ435" s="428" t="s">
        <v>762</v>
      </c>
      <c r="BA435" s="428" t="s">
        <v>762</v>
      </c>
      <c r="BB435" s="428" t="s">
        <v>762</v>
      </c>
      <c r="BC435" s="428" t="s">
        <v>762</v>
      </c>
      <c r="BD435" s="428" t="s">
        <v>762</v>
      </c>
      <c r="BE435" s="428" t="s">
        <v>762</v>
      </c>
      <c r="BF435" s="428" t="s">
        <v>762</v>
      </c>
      <c r="BG435" s="428" t="s">
        <v>762</v>
      </c>
      <c r="BH435" s="428" t="s">
        <v>762</v>
      </c>
      <c r="BI435" s="428" t="s">
        <v>762</v>
      </c>
      <c r="BJ435" s="428" t="s">
        <v>762</v>
      </c>
      <c r="BK435" s="428" t="s">
        <v>762</v>
      </c>
      <c r="BL435" s="428" t="s">
        <v>762</v>
      </c>
      <c r="BM435" s="428" t="s">
        <v>762</v>
      </c>
      <c r="BN435" s="428" t="s">
        <v>762</v>
      </c>
      <c r="BO435" s="428" t="s">
        <v>762</v>
      </c>
      <c r="BP435" s="428" t="s">
        <v>762</v>
      </c>
      <c r="BQ435" s="428" t="s">
        <v>762</v>
      </c>
      <c r="BR435" s="428" t="s">
        <v>762</v>
      </c>
      <c r="BS435" s="428" t="s">
        <v>762</v>
      </c>
      <c r="BT435" s="428" t="s">
        <v>762</v>
      </c>
      <c r="BU435" s="428" t="s">
        <v>762</v>
      </c>
      <c r="BV435" s="428" t="s">
        <v>762</v>
      </c>
      <c r="BW435" s="428" t="s">
        <v>762</v>
      </c>
      <c r="BX435" s="428" t="s">
        <v>762</v>
      </c>
      <c r="BY435" s="428" t="s">
        <v>762</v>
      </c>
      <c r="BZ435" s="428" t="s">
        <v>762</v>
      </c>
      <c r="CA435" s="428" t="s">
        <v>762</v>
      </c>
      <c r="CB435" s="428" t="s">
        <v>762</v>
      </c>
      <c r="CC435" s="428" t="s">
        <v>762</v>
      </c>
      <c r="CD435" s="428" t="s">
        <v>762</v>
      </c>
      <c r="CE435" s="428" t="s">
        <v>762</v>
      </c>
      <c r="CF435" s="428" t="s">
        <v>762</v>
      </c>
      <c r="CG435" s="428" t="s">
        <v>762</v>
      </c>
      <c r="CH435" s="428" t="s">
        <v>762</v>
      </c>
      <c r="CI435" s="428" t="s">
        <v>762</v>
      </c>
      <c r="CJ435" s="428" t="s">
        <v>762</v>
      </c>
      <c r="CK435" s="428" t="s">
        <v>762</v>
      </c>
      <c r="CL435" s="428" t="s">
        <v>762</v>
      </c>
    </row>
    <row r="436" spans="1:90" s="429" customFormat="1">
      <c r="A436" s="427" t="s">
        <v>602</v>
      </c>
      <c r="B436" s="427" t="s">
        <v>103</v>
      </c>
      <c r="C436" s="428">
        <f t="shared" si="414"/>
        <v>14</v>
      </c>
      <c r="D436" s="428">
        <f t="shared" si="415"/>
        <v>14</v>
      </c>
      <c r="E436" s="428">
        <f t="shared" si="416"/>
        <v>14</v>
      </c>
      <c r="F436" s="428">
        <f t="shared" si="417"/>
        <v>14</v>
      </c>
      <c r="G436" s="428">
        <f t="shared" si="418"/>
        <v>15</v>
      </c>
      <c r="H436" s="428">
        <f t="shared" si="419"/>
        <v>15</v>
      </c>
      <c r="I436" s="428">
        <f t="shared" si="420"/>
        <v>15</v>
      </c>
      <c r="J436" s="428">
        <f t="shared" si="421"/>
        <v>15</v>
      </c>
      <c r="K436" s="428">
        <f t="shared" si="422"/>
        <v>15</v>
      </c>
      <c r="L436" s="428">
        <f t="shared" si="423"/>
        <v>16</v>
      </c>
      <c r="M436" s="428">
        <f t="shared" si="424"/>
        <v>16</v>
      </c>
      <c r="N436" s="428">
        <f t="shared" si="425"/>
        <v>17</v>
      </c>
      <c r="O436" s="428">
        <f t="shared" si="426"/>
        <v>17</v>
      </c>
      <c r="P436" s="428">
        <f t="shared" si="427"/>
        <v>18</v>
      </c>
      <c r="Q436" s="428">
        <f t="shared" si="428"/>
        <v>18</v>
      </c>
      <c r="R436" s="428">
        <f t="shared" si="429"/>
        <v>18</v>
      </c>
      <c r="S436" s="428">
        <f t="shared" si="430"/>
        <v>18</v>
      </c>
      <c r="T436" s="428">
        <f t="shared" si="431"/>
        <v>18</v>
      </c>
      <c r="U436" s="428">
        <f t="shared" si="432"/>
        <v>22</v>
      </c>
      <c r="V436" s="428">
        <f t="shared" si="433"/>
        <v>22</v>
      </c>
      <c r="W436" s="428">
        <f t="shared" si="434"/>
        <v>26</v>
      </c>
      <c r="X436" s="428">
        <f t="shared" si="435"/>
        <v>34</v>
      </c>
      <c r="Y436" s="428">
        <f t="shared" si="436"/>
        <v>42</v>
      </c>
      <c r="Z436" s="428" t="s">
        <v>762</v>
      </c>
      <c r="AA436" s="428" t="s">
        <v>762</v>
      </c>
      <c r="AB436" s="428" t="s">
        <v>762</v>
      </c>
      <c r="AC436" s="428" t="s">
        <v>762</v>
      </c>
      <c r="AD436" s="428" t="s">
        <v>762</v>
      </c>
      <c r="AE436" s="428" t="s">
        <v>762</v>
      </c>
      <c r="AF436" s="428" t="s">
        <v>762</v>
      </c>
      <c r="AG436" s="428" t="s">
        <v>762</v>
      </c>
      <c r="AH436" s="428" t="s">
        <v>762</v>
      </c>
      <c r="AI436" s="428" t="s">
        <v>762</v>
      </c>
      <c r="AJ436" s="428" t="s">
        <v>762</v>
      </c>
      <c r="AK436" s="428" t="s">
        <v>762</v>
      </c>
      <c r="AL436" s="428" t="s">
        <v>762</v>
      </c>
      <c r="AM436" s="428" t="s">
        <v>762</v>
      </c>
      <c r="AN436" s="428" t="s">
        <v>762</v>
      </c>
      <c r="AO436" s="428" t="s">
        <v>762</v>
      </c>
      <c r="AP436" s="428" t="s">
        <v>762</v>
      </c>
      <c r="AQ436" s="428" t="s">
        <v>762</v>
      </c>
      <c r="AR436" s="428" t="s">
        <v>762</v>
      </c>
      <c r="AS436" s="428" t="s">
        <v>762</v>
      </c>
      <c r="AT436" s="428" t="s">
        <v>762</v>
      </c>
      <c r="AU436" s="428" t="s">
        <v>762</v>
      </c>
      <c r="AV436" s="428" t="s">
        <v>762</v>
      </c>
      <c r="AW436" s="428" t="s">
        <v>762</v>
      </c>
      <c r="AX436" s="428" t="s">
        <v>762</v>
      </c>
      <c r="AY436" s="428" t="s">
        <v>762</v>
      </c>
      <c r="AZ436" s="428" t="s">
        <v>762</v>
      </c>
      <c r="BA436" s="428" t="s">
        <v>762</v>
      </c>
      <c r="BB436" s="428" t="s">
        <v>762</v>
      </c>
      <c r="BC436" s="428" t="s">
        <v>762</v>
      </c>
      <c r="BD436" s="428" t="s">
        <v>762</v>
      </c>
      <c r="BE436" s="428" t="s">
        <v>762</v>
      </c>
      <c r="BF436" s="428" t="s">
        <v>762</v>
      </c>
      <c r="BG436" s="428" t="s">
        <v>762</v>
      </c>
      <c r="BH436" s="428" t="s">
        <v>762</v>
      </c>
      <c r="BI436" s="428" t="s">
        <v>762</v>
      </c>
      <c r="BJ436" s="428" t="s">
        <v>762</v>
      </c>
      <c r="BK436" s="428" t="s">
        <v>762</v>
      </c>
      <c r="BL436" s="428" t="s">
        <v>762</v>
      </c>
      <c r="BM436" s="428" t="s">
        <v>762</v>
      </c>
      <c r="BN436" s="428" t="s">
        <v>762</v>
      </c>
      <c r="BO436" s="428" t="s">
        <v>762</v>
      </c>
      <c r="BP436" s="428" t="s">
        <v>762</v>
      </c>
      <c r="BQ436" s="428" t="s">
        <v>762</v>
      </c>
      <c r="BR436" s="428" t="s">
        <v>762</v>
      </c>
      <c r="BS436" s="428" t="s">
        <v>762</v>
      </c>
      <c r="BT436" s="428" t="s">
        <v>762</v>
      </c>
      <c r="BU436" s="428" t="s">
        <v>762</v>
      </c>
      <c r="BV436" s="428" t="s">
        <v>762</v>
      </c>
      <c r="BW436" s="428" t="s">
        <v>762</v>
      </c>
      <c r="BX436" s="428" t="s">
        <v>762</v>
      </c>
      <c r="BY436" s="428" t="s">
        <v>762</v>
      </c>
      <c r="BZ436" s="428" t="s">
        <v>762</v>
      </c>
      <c r="CA436" s="428" t="s">
        <v>762</v>
      </c>
      <c r="CB436" s="428" t="s">
        <v>762</v>
      </c>
      <c r="CC436" s="428" t="s">
        <v>762</v>
      </c>
      <c r="CD436" s="428" t="s">
        <v>762</v>
      </c>
      <c r="CE436" s="428" t="s">
        <v>762</v>
      </c>
      <c r="CF436" s="428" t="s">
        <v>762</v>
      </c>
      <c r="CG436" s="428" t="s">
        <v>762</v>
      </c>
      <c r="CH436" s="428" t="s">
        <v>762</v>
      </c>
      <c r="CI436" s="428" t="s">
        <v>762</v>
      </c>
      <c r="CJ436" s="428" t="s">
        <v>762</v>
      </c>
      <c r="CK436" s="428" t="s">
        <v>762</v>
      </c>
      <c r="CL436" s="428" t="s">
        <v>762</v>
      </c>
    </row>
    <row r="437" spans="1:90" s="429" customFormat="1">
      <c r="A437" s="427" t="s">
        <v>603</v>
      </c>
      <c r="B437" s="427" t="s">
        <v>103</v>
      </c>
      <c r="C437" s="428">
        <f t="shared" si="414"/>
        <v>14</v>
      </c>
      <c r="D437" s="428">
        <f t="shared" si="415"/>
        <v>14</v>
      </c>
      <c r="E437" s="428">
        <f t="shared" si="416"/>
        <v>14</v>
      </c>
      <c r="F437" s="428">
        <f t="shared" si="417"/>
        <v>14</v>
      </c>
      <c r="G437" s="428">
        <f t="shared" si="418"/>
        <v>15</v>
      </c>
      <c r="H437" s="428">
        <f t="shared" si="419"/>
        <v>15</v>
      </c>
      <c r="I437" s="428">
        <f t="shared" si="420"/>
        <v>15</v>
      </c>
      <c r="J437" s="428">
        <f t="shared" si="421"/>
        <v>15</v>
      </c>
      <c r="K437" s="428">
        <f t="shared" si="422"/>
        <v>15</v>
      </c>
      <c r="L437" s="428">
        <f t="shared" si="423"/>
        <v>16</v>
      </c>
      <c r="M437" s="428">
        <f t="shared" si="424"/>
        <v>16</v>
      </c>
      <c r="N437" s="428">
        <f t="shared" si="425"/>
        <v>17</v>
      </c>
      <c r="O437" s="428">
        <f t="shared" si="426"/>
        <v>17</v>
      </c>
      <c r="P437" s="428">
        <f t="shared" si="427"/>
        <v>18</v>
      </c>
      <c r="Q437" s="428">
        <f t="shared" si="428"/>
        <v>18</v>
      </c>
      <c r="R437" s="428">
        <f t="shared" si="429"/>
        <v>18</v>
      </c>
      <c r="S437" s="428">
        <f t="shared" si="430"/>
        <v>18</v>
      </c>
      <c r="T437" s="428">
        <f t="shared" si="431"/>
        <v>18</v>
      </c>
      <c r="U437" s="428">
        <f t="shared" si="432"/>
        <v>22</v>
      </c>
      <c r="V437" s="428">
        <f t="shared" si="433"/>
        <v>22</v>
      </c>
      <c r="W437" s="428">
        <f t="shared" si="434"/>
        <v>26</v>
      </c>
      <c r="X437" s="428">
        <f t="shared" si="435"/>
        <v>34</v>
      </c>
      <c r="Y437" s="428">
        <f t="shared" si="436"/>
        <v>42</v>
      </c>
      <c r="Z437" s="428" t="s">
        <v>762</v>
      </c>
      <c r="AA437" s="428" t="s">
        <v>762</v>
      </c>
      <c r="AB437" s="428" t="s">
        <v>762</v>
      </c>
      <c r="AC437" s="428" t="s">
        <v>762</v>
      </c>
      <c r="AD437" s="428" t="s">
        <v>762</v>
      </c>
      <c r="AE437" s="428" t="s">
        <v>762</v>
      </c>
      <c r="AF437" s="428" t="s">
        <v>762</v>
      </c>
      <c r="AG437" s="428" t="s">
        <v>762</v>
      </c>
      <c r="AH437" s="428" t="s">
        <v>762</v>
      </c>
      <c r="AI437" s="428" t="s">
        <v>762</v>
      </c>
      <c r="AJ437" s="428" t="s">
        <v>762</v>
      </c>
      <c r="AK437" s="428" t="s">
        <v>762</v>
      </c>
      <c r="AL437" s="428" t="s">
        <v>762</v>
      </c>
      <c r="AM437" s="428" t="s">
        <v>762</v>
      </c>
      <c r="AN437" s="428" t="s">
        <v>762</v>
      </c>
      <c r="AO437" s="428" t="s">
        <v>762</v>
      </c>
      <c r="AP437" s="428" t="s">
        <v>762</v>
      </c>
      <c r="AQ437" s="428" t="s">
        <v>762</v>
      </c>
      <c r="AR437" s="428" t="s">
        <v>762</v>
      </c>
      <c r="AS437" s="428" t="s">
        <v>762</v>
      </c>
      <c r="AT437" s="428" t="s">
        <v>762</v>
      </c>
      <c r="AU437" s="428" t="s">
        <v>762</v>
      </c>
      <c r="AV437" s="428" t="s">
        <v>762</v>
      </c>
      <c r="AW437" s="428" t="s">
        <v>762</v>
      </c>
      <c r="AX437" s="428" t="s">
        <v>762</v>
      </c>
      <c r="AY437" s="428" t="s">
        <v>762</v>
      </c>
      <c r="AZ437" s="428" t="s">
        <v>762</v>
      </c>
      <c r="BA437" s="428" t="s">
        <v>762</v>
      </c>
      <c r="BB437" s="428" t="s">
        <v>762</v>
      </c>
      <c r="BC437" s="428" t="s">
        <v>762</v>
      </c>
      <c r="BD437" s="428" t="s">
        <v>762</v>
      </c>
      <c r="BE437" s="428" t="s">
        <v>762</v>
      </c>
      <c r="BF437" s="428" t="s">
        <v>762</v>
      </c>
      <c r="BG437" s="428" t="s">
        <v>762</v>
      </c>
      <c r="BH437" s="428" t="s">
        <v>762</v>
      </c>
      <c r="BI437" s="428" t="s">
        <v>762</v>
      </c>
      <c r="BJ437" s="428" t="s">
        <v>762</v>
      </c>
      <c r="BK437" s="428" t="s">
        <v>762</v>
      </c>
      <c r="BL437" s="428" t="s">
        <v>762</v>
      </c>
      <c r="BM437" s="428" t="s">
        <v>762</v>
      </c>
      <c r="BN437" s="428" t="s">
        <v>762</v>
      </c>
      <c r="BO437" s="428" t="s">
        <v>762</v>
      </c>
      <c r="BP437" s="428" t="s">
        <v>762</v>
      </c>
      <c r="BQ437" s="428" t="s">
        <v>762</v>
      </c>
      <c r="BR437" s="428" t="s">
        <v>762</v>
      </c>
      <c r="BS437" s="428" t="s">
        <v>762</v>
      </c>
      <c r="BT437" s="428" t="s">
        <v>762</v>
      </c>
      <c r="BU437" s="428" t="s">
        <v>762</v>
      </c>
      <c r="BV437" s="428" t="s">
        <v>762</v>
      </c>
      <c r="BW437" s="428" t="s">
        <v>762</v>
      </c>
      <c r="BX437" s="428" t="s">
        <v>762</v>
      </c>
      <c r="BY437" s="428" t="s">
        <v>762</v>
      </c>
      <c r="BZ437" s="428" t="s">
        <v>762</v>
      </c>
      <c r="CA437" s="428" t="s">
        <v>762</v>
      </c>
      <c r="CB437" s="428" t="s">
        <v>762</v>
      </c>
      <c r="CC437" s="428" t="s">
        <v>762</v>
      </c>
      <c r="CD437" s="428" t="s">
        <v>762</v>
      </c>
      <c r="CE437" s="428" t="s">
        <v>762</v>
      </c>
      <c r="CF437" s="428" t="s">
        <v>762</v>
      </c>
      <c r="CG437" s="428" t="s">
        <v>762</v>
      </c>
      <c r="CH437" s="428" t="s">
        <v>762</v>
      </c>
      <c r="CI437" s="428" t="s">
        <v>762</v>
      </c>
      <c r="CJ437" s="428" t="s">
        <v>762</v>
      </c>
      <c r="CK437" s="428" t="s">
        <v>762</v>
      </c>
      <c r="CL437" s="428" t="s">
        <v>762</v>
      </c>
    </row>
    <row r="438" spans="1:90" s="429" customFormat="1">
      <c r="A438" s="427" t="s">
        <v>604</v>
      </c>
      <c r="B438" s="427" t="s">
        <v>103</v>
      </c>
      <c r="C438" s="428">
        <f t="shared" si="414"/>
        <v>14</v>
      </c>
      <c r="D438" s="428">
        <f t="shared" si="415"/>
        <v>14</v>
      </c>
      <c r="E438" s="428">
        <f t="shared" si="416"/>
        <v>14</v>
      </c>
      <c r="F438" s="428">
        <f t="shared" si="417"/>
        <v>14</v>
      </c>
      <c r="G438" s="428">
        <f t="shared" si="418"/>
        <v>15</v>
      </c>
      <c r="H438" s="428">
        <f t="shared" si="419"/>
        <v>15</v>
      </c>
      <c r="I438" s="428">
        <f t="shared" si="420"/>
        <v>15</v>
      </c>
      <c r="J438" s="428">
        <f t="shared" si="421"/>
        <v>15</v>
      </c>
      <c r="K438" s="428">
        <f t="shared" si="422"/>
        <v>15</v>
      </c>
      <c r="L438" s="428">
        <f t="shared" si="423"/>
        <v>16</v>
      </c>
      <c r="M438" s="428">
        <f t="shared" si="424"/>
        <v>16</v>
      </c>
      <c r="N438" s="428">
        <f t="shared" si="425"/>
        <v>17</v>
      </c>
      <c r="O438" s="428">
        <f t="shared" si="426"/>
        <v>17</v>
      </c>
      <c r="P438" s="428">
        <f t="shared" si="427"/>
        <v>18</v>
      </c>
      <c r="Q438" s="428">
        <f t="shared" si="428"/>
        <v>18</v>
      </c>
      <c r="R438" s="428">
        <f t="shared" si="429"/>
        <v>18</v>
      </c>
      <c r="S438" s="428">
        <f t="shared" si="430"/>
        <v>18</v>
      </c>
      <c r="T438" s="428">
        <f t="shared" si="431"/>
        <v>18</v>
      </c>
      <c r="U438" s="428">
        <f t="shared" si="432"/>
        <v>22</v>
      </c>
      <c r="V438" s="428">
        <f t="shared" si="433"/>
        <v>22</v>
      </c>
      <c r="W438" s="428">
        <f t="shared" si="434"/>
        <v>26</v>
      </c>
      <c r="X438" s="428">
        <f t="shared" si="435"/>
        <v>34</v>
      </c>
      <c r="Y438" s="428">
        <f t="shared" si="436"/>
        <v>42</v>
      </c>
      <c r="Z438" s="428" t="s">
        <v>762</v>
      </c>
      <c r="AA438" s="428" t="s">
        <v>762</v>
      </c>
      <c r="AB438" s="428" t="s">
        <v>762</v>
      </c>
      <c r="AC438" s="428" t="s">
        <v>762</v>
      </c>
      <c r="AD438" s="428" t="s">
        <v>762</v>
      </c>
      <c r="AE438" s="428" t="s">
        <v>762</v>
      </c>
      <c r="AF438" s="428" t="s">
        <v>762</v>
      </c>
      <c r="AG438" s="428" t="s">
        <v>762</v>
      </c>
      <c r="AH438" s="428" t="s">
        <v>762</v>
      </c>
      <c r="AI438" s="428" t="s">
        <v>762</v>
      </c>
      <c r="AJ438" s="428" t="s">
        <v>762</v>
      </c>
      <c r="AK438" s="428" t="s">
        <v>762</v>
      </c>
      <c r="AL438" s="428" t="s">
        <v>762</v>
      </c>
      <c r="AM438" s="428" t="s">
        <v>762</v>
      </c>
      <c r="AN438" s="428" t="s">
        <v>762</v>
      </c>
      <c r="AO438" s="428" t="s">
        <v>762</v>
      </c>
      <c r="AP438" s="428" t="s">
        <v>762</v>
      </c>
      <c r="AQ438" s="428" t="s">
        <v>762</v>
      </c>
      <c r="AR438" s="428" t="s">
        <v>762</v>
      </c>
      <c r="AS438" s="428" t="s">
        <v>762</v>
      </c>
      <c r="AT438" s="428" t="s">
        <v>762</v>
      </c>
      <c r="AU438" s="428" t="s">
        <v>762</v>
      </c>
      <c r="AV438" s="428" t="s">
        <v>762</v>
      </c>
      <c r="AW438" s="428" t="s">
        <v>762</v>
      </c>
      <c r="AX438" s="428" t="s">
        <v>762</v>
      </c>
      <c r="AY438" s="428" t="s">
        <v>762</v>
      </c>
      <c r="AZ438" s="428" t="s">
        <v>762</v>
      </c>
      <c r="BA438" s="428" t="s">
        <v>762</v>
      </c>
      <c r="BB438" s="428" t="s">
        <v>762</v>
      </c>
      <c r="BC438" s="428" t="s">
        <v>762</v>
      </c>
      <c r="BD438" s="428" t="s">
        <v>762</v>
      </c>
      <c r="BE438" s="428" t="s">
        <v>762</v>
      </c>
      <c r="BF438" s="428" t="s">
        <v>762</v>
      </c>
      <c r="BG438" s="428" t="s">
        <v>762</v>
      </c>
      <c r="BH438" s="428" t="s">
        <v>762</v>
      </c>
      <c r="BI438" s="428" t="s">
        <v>762</v>
      </c>
      <c r="BJ438" s="428" t="s">
        <v>762</v>
      </c>
      <c r="BK438" s="428" t="s">
        <v>762</v>
      </c>
      <c r="BL438" s="428" t="s">
        <v>762</v>
      </c>
      <c r="BM438" s="428" t="s">
        <v>762</v>
      </c>
      <c r="BN438" s="428" t="s">
        <v>762</v>
      </c>
      <c r="BO438" s="428" t="s">
        <v>762</v>
      </c>
      <c r="BP438" s="428" t="s">
        <v>762</v>
      </c>
      <c r="BQ438" s="428" t="s">
        <v>762</v>
      </c>
      <c r="BR438" s="428" t="s">
        <v>762</v>
      </c>
      <c r="BS438" s="428" t="s">
        <v>762</v>
      </c>
      <c r="BT438" s="428" t="s">
        <v>762</v>
      </c>
      <c r="BU438" s="428" t="s">
        <v>762</v>
      </c>
      <c r="BV438" s="428" t="s">
        <v>762</v>
      </c>
      <c r="BW438" s="428" t="s">
        <v>762</v>
      </c>
      <c r="BX438" s="428" t="s">
        <v>762</v>
      </c>
      <c r="BY438" s="428" t="s">
        <v>762</v>
      </c>
      <c r="BZ438" s="428" t="s">
        <v>762</v>
      </c>
      <c r="CA438" s="428" t="s">
        <v>762</v>
      </c>
      <c r="CB438" s="428" t="s">
        <v>762</v>
      </c>
      <c r="CC438" s="428" t="s">
        <v>762</v>
      </c>
      <c r="CD438" s="428" t="s">
        <v>762</v>
      </c>
      <c r="CE438" s="428" t="s">
        <v>762</v>
      </c>
      <c r="CF438" s="428" t="s">
        <v>762</v>
      </c>
      <c r="CG438" s="428" t="s">
        <v>762</v>
      </c>
      <c r="CH438" s="428" t="s">
        <v>762</v>
      </c>
      <c r="CI438" s="428" t="s">
        <v>762</v>
      </c>
      <c r="CJ438" s="428" t="s">
        <v>762</v>
      </c>
      <c r="CK438" s="428" t="s">
        <v>762</v>
      </c>
      <c r="CL438" s="428" t="s">
        <v>762</v>
      </c>
    </row>
    <row r="439" spans="1:90" s="429" customFormat="1">
      <c r="A439" s="427" t="s">
        <v>605</v>
      </c>
      <c r="B439" s="427" t="s">
        <v>103</v>
      </c>
      <c r="C439" s="428">
        <f t="shared" si="414"/>
        <v>14</v>
      </c>
      <c r="D439" s="428">
        <f t="shared" si="415"/>
        <v>14</v>
      </c>
      <c r="E439" s="428">
        <f t="shared" si="416"/>
        <v>14</v>
      </c>
      <c r="F439" s="428">
        <f t="shared" si="417"/>
        <v>14</v>
      </c>
      <c r="G439" s="428">
        <f t="shared" si="418"/>
        <v>15</v>
      </c>
      <c r="H439" s="428">
        <f t="shared" si="419"/>
        <v>15</v>
      </c>
      <c r="I439" s="428">
        <f t="shared" si="420"/>
        <v>15</v>
      </c>
      <c r="J439" s="428">
        <f t="shared" si="421"/>
        <v>15</v>
      </c>
      <c r="K439" s="428">
        <f t="shared" si="422"/>
        <v>15</v>
      </c>
      <c r="L439" s="428">
        <f t="shared" si="423"/>
        <v>16</v>
      </c>
      <c r="M439" s="428">
        <f t="shared" si="424"/>
        <v>16</v>
      </c>
      <c r="N439" s="428">
        <f t="shared" si="425"/>
        <v>17</v>
      </c>
      <c r="O439" s="428">
        <f t="shared" si="426"/>
        <v>17</v>
      </c>
      <c r="P439" s="428">
        <f t="shared" si="427"/>
        <v>18</v>
      </c>
      <c r="Q439" s="428">
        <f t="shared" si="428"/>
        <v>18</v>
      </c>
      <c r="R439" s="428">
        <f t="shared" si="429"/>
        <v>18</v>
      </c>
      <c r="S439" s="428">
        <f t="shared" si="430"/>
        <v>18</v>
      </c>
      <c r="T439" s="428">
        <f t="shared" si="431"/>
        <v>18</v>
      </c>
      <c r="U439" s="428">
        <f t="shared" si="432"/>
        <v>22</v>
      </c>
      <c r="V439" s="428">
        <f t="shared" si="433"/>
        <v>22</v>
      </c>
      <c r="W439" s="428">
        <f t="shared" si="434"/>
        <v>26</v>
      </c>
      <c r="X439" s="428">
        <f t="shared" si="435"/>
        <v>34</v>
      </c>
      <c r="Y439" s="428">
        <f t="shared" si="436"/>
        <v>42</v>
      </c>
      <c r="Z439" s="428" t="s">
        <v>762</v>
      </c>
      <c r="AA439" s="428" t="s">
        <v>762</v>
      </c>
      <c r="AB439" s="428" t="s">
        <v>762</v>
      </c>
      <c r="AC439" s="428" t="s">
        <v>762</v>
      </c>
      <c r="AD439" s="428" t="s">
        <v>762</v>
      </c>
      <c r="AE439" s="428" t="s">
        <v>762</v>
      </c>
      <c r="AF439" s="428" t="s">
        <v>762</v>
      </c>
      <c r="AG439" s="428" t="s">
        <v>762</v>
      </c>
      <c r="AH439" s="428" t="s">
        <v>762</v>
      </c>
      <c r="AI439" s="428" t="s">
        <v>762</v>
      </c>
      <c r="AJ439" s="428" t="s">
        <v>762</v>
      </c>
      <c r="AK439" s="428" t="s">
        <v>762</v>
      </c>
      <c r="AL439" s="428" t="s">
        <v>762</v>
      </c>
      <c r="AM439" s="428" t="s">
        <v>762</v>
      </c>
      <c r="AN439" s="428" t="s">
        <v>762</v>
      </c>
      <c r="AO439" s="428" t="s">
        <v>762</v>
      </c>
      <c r="AP439" s="428" t="s">
        <v>762</v>
      </c>
      <c r="AQ439" s="428" t="s">
        <v>762</v>
      </c>
      <c r="AR439" s="428" t="s">
        <v>762</v>
      </c>
      <c r="AS439" s="428" t="s">
        <v>762</v>
      </c>
      <c r="AT439" s="428" t="s">
        <v>762</v>
      </c>
      <c r="AU439" s="428" t="s">
        <v>762</v>
      </c>
      <c r="AV439" s="428" t="s">
        <v>762</v>
      </c>
      <c r="AW439" s="428" t="s">
        <v>762</v>
      </c>
      <c r="AX439" s="428" t="s">
        <v>762</v>
      </c>
      <c r="AY439" s="428" t="s">
        <v>762</v>
      </c>
      <c r="AZ439" s="428" t="s">
        <v>762</v>
      </c>
      <c r="BA439" s="428" t="s">
        <v>762</v>
      </c>
      <c r="BB439" s="428" t="s">
        <v>762</v>
      </c>
      <c r="BC439" s="428" t="s">
        <v>762</v>
      </c>
      <c r="BD439" s="428" t="s">
        <v>762</v>
      </c>
      <c r="BE439" s="428" t="s">
        <v>762</v>
      </c>
      <c r="BF439" s="428" t="s">
        <v>762</v>
      </c>
      <c r="BG439" s="428" t="s">
        <v>762</v>
      </c>
      <c r="BH439" s="428" t="s">
        <v>762</v>
      </c>
      <c r="BI439" s="428" t="s">
        <v>762</v>
      </c>
      <c r="BJ439" s="428" t="s">
        <v>762</v>
      </c>
      <c r="BK439" s="428" t="s">
        <v>762</v>
      </c>
      <c r="BL439" s="428" t="s">
        <v>762</v>
      </c>
      <c r="BM439" s="428" t="s">
        <v>762</v>
      </c>
      <c r="BN439" s="428" t="s">
        <v>762</v>
      </c>
      <c r="BO439" s="428" t="s">
        <v>762</v>
      </c>
      <c r="BP439" s="428" t="s">
        <v>762</v>
      </c>
      <c r="BQ439" s="428" t="s">
        <v>762</v>
      </c>
      <c r="BR439" s="428" t="s">
        <v>762</v>
      </c>
      <c r="BS439" s="428" t="s">
        <v>762</v>
      </c>
      <c r="BT439" s="428" t="s">
        <v>762</v>
      </c>
      <c r="BU439" s="428" t="s">
        <v>762</v>
      </c>
      <c r="BV439" s="428" t="s">
        <v>762</v>
      </c>
      <c r="BW439" s="428" t="s">
        <v>762</v>
      </c>
      <c r="BX439" s="428" t="s">
        <v>762</v>
      </c>
      <c r="BY439" s="428" t="s">
        <v>762</v>
      </c>
      <c r="BZ439" s="428" t="s">
        <v>762</v>
      </c>
      <c r="CA439" s="428" t="s">
        <v>762</v>
      </c>
      <c r="CB439" s="428" t="s">
        <v>762</v>
      </c>
      <c r="CC439" s="428" t="s">
        <v>762</v>
      </c>
      <c r="CD439" s="428" t="s">
        <v>762</v>
      </c>
      <c r="CE439" s="428" t="s">
        <v>762</v>
      </c>
      <c r="CF439" s="428" t="s">
        <v>762</v>
      </c>
      <c r="CG439" s="428" t="s">
        <v>762</v>
      </c>
      <c r="CH439" s="428" t="s">
        <v>762</v>
      </c>
      <c r="CI439" s="428" t="s">
        <v>762</v>
      </c>
      <c r="CJ439" s="428" t="s">
        <v>762</v>
      </c>
      <c r="CK439" s="428" t="s">
        <v>762</v>
      </c>
      <c r="CL439" s="428" t="s">
        <v>762</v>
      </c>
    </row>
    <row r="440" spans="1:90" s="429" customFormat="1">
      <c r="A440" s="427" t="s">
        <v>606</v>
      </c>
      <c r="B440" s="427" t="s">
        <v>103</v>
      </c>
      <c r="C440" s="428">
        <f t="shared" si="414"/>
        <v>14</v>
      </c>
      <c r="D440" s="428">
        <f t="shared" si="415"/>
        <v>14</v>
      </c>
      <c r="E440" s="428">
        <f t="shared" si="416"/>
        <v>14</v>
      </c>
      <c r="F440" s="428">
        <f t="shared" si="417"/>
        <v>14</v>
      </c>
      <c r="G440" s="428">
        <f t="shared" si="418"/>
        <v>15</v>
      </c>
      <c r="H440" s="428">
        <f t="shared" si="419"/>
        <v>15</v>
      </c>
      <c r="I440" s="428">
        <f t="shared" si="420"/>
        <v>15</v>
      </c>
      <c r="J440" s="428">
        <f t="shared" si="421"/>
        <v>15</v>
      </c>
      <c r="K440" s="428">
        <f t="shared" si="422"/>
        <v>15</v>
      </c>
      <c r="L440" s="428">
        <f t="shared" si="423"/>
        <v>16</v>
      </c>
      <c r="M440" s="428">
        <f t="shared" si="424"/>
        <v>16</v>
      </c>
      <c r="N440" s="428">
        <f t="shared" si="425"/>
        <v>17</v>
      </c>
      <c r="O440" s="428">
        <f t="shared" si="426"/>
        <v>17</v>
      </c>
      <c r="P440" s="428">
        <f t="shared" si="427"/>
        <v>18</v>
      </c>
      <c r="Q440" s="428">
        <f t="shared" si="428"/>
        <v>18</v>
      </c>
      <c r="R440" s="428">
        <f t="shared" si="429"/>
        <v>18</v>
      </c>
      <c r="S440" s="428">
        <f t="shared" si="430"/>
        <v>18</v>
      </c>
      <c r="T440" s="428">
        <f t="shared" si="431"/>
        <v>18</v>
      </c>
      <c r="U440" s="428">
        <f t="shared" si="432"/>
        <v>22</v>
      </c>
      <c r="V440" s="428">
        <f t="shared" si="433"/>
        <v>22</v>
      </c>
      <c r="W440" s="428">
        <f t="shared" si="434"/>
        <v>26</v>
      </c>
      <c r="X440" s="428">
        <f t="shared" si="435"/>
        <v>34</v>
      </c>
      <c r="Y440" s="428">
        <f t="shared" si="436"/>
        <v>42</v>
      </c>
      <c r="Z440" s="428" t="s">
        <v>762</v>
      </c>
      <c r="AA440" s="428" t="s">
        <v>762</v>
      </c>
      <c r="AB440" s="428" t="s">
        <v>762</v>
      </c>
      <c r="AC440" s="428" t="s">
        <v>762</v>
      </c>
      <c r="AD440" s="428" t="s">
        <v>762</v>
      </c>
      <c r="AE440" s="428" t="s">
        <v>762</v>
      </c>
      <c r="AF440" s="428" t="s">
        <v>762</v>
      </c>
      <c r="AG440" s="428" t="s">
        <v>762</v>
      </c>
      <c r="AH440" s="428" t="s">
        <v>762</v>
      </c>
      <c r="AI440" s="428" t="s">
        <v>762</v>
      </c>
      <c r="AJ440" s="428" t="s">
        <v>762</v>
      </c>
      <c r="AK440" s="428" t="s">
        <v>762</v>
      </c>
      <c r="AL440" s="428" t="s">
        <v>762</v>
      </c>
      <c r="AM440" s="428" t="s">
        <v>762</v>
      </c>
      <c r="AN440" s="428" t="s">
        <v>762</v>
      </c>
      <c r="AO440" s="428" t="s">
        <v>762</v>
      </c>
      <c r="AP440" s="428" t="s">
        <v>762</v>
      </c>
      <c r="AQ440" s="428" t="s">
        <v>762</v>
      </c>
      <c r="AR440" s="428" t="s">
        <v>762</v>
      </c>
      <c r="AS440" s="428" t="s">
        <v>762</v>
      </c>
      <c r="AT440" s="428" t="s">
        <v>762</v>
      </c>
      <c r="AU440" s="428" t="s">
        <v>762</v>
      </c>
      <c r="AV440" s="428" t="s">
        <v>762</v>
      </c>
      <c r="AW440" s="428" t="s">
        <v>762</v>
      </c>
      <c r="AX440" s="428" t="s">
        <v>762</v>
      </c>
      <c r="AY440" s="428" t="s">
        <v>762</v>
      </c>
      <c r="AZ440" s="428" t="s">
        <v>762</v>
      </c>
      <c r="BA440" s="428" t="s">
        <v>762</v>
      </c>
      <c r="BB440" s="428" t="s">
        <v>762</v>
      </c>
      <c r="BC440" s="428" t="s">
        <v>762</v>
      </c>
      <c r="BD440" s="428" t="s">
        <v>762</v>
      </c>
      <c r="BE440" s="428" t="s">
        <v>762</v>
      </c>
      <c r="BF440" s="428" t="s">
        <v>762</v>
      </c>
      <c r="BG440" s="428" t="s">
        <v>762</v>
      </c>
      <c r="BH440" s="428" t="s">
        <v>762</v>
      </c>
      <c r="BI440" s="428" t="s">
        <v>762</v>
      </c>
      <c r="BJ440" s="428" t="s">
        <v>762</v>
      </c>
      <c r="BK440" s="428" t="s">
        <v>762</v>
      </c>
      <c r="BL440" s="428" t="s">
        <v>762</v>
      </c>
      <c r="BM440" s="428" t="s">
        <v>762</v>
      </c>
      <c r="BN440" s="428" t="s">
        <v>762</v>
      </c>
      <c r="BO440" s="428" t="s">
        <v>762</v>
      </c>
      <c r="BP440" s="428" t="s">
        <v>762</v>
      </c>
      <c r="BQ440" s="428" t="s">
        <v>762</v>
      </c>
      <c r="BR440" s="428" t="s">
        <v>762</v>
      </c>
      <c r="BS440" s="428" t="s">
        <v>762</v>
      </c>
      <c r="BT440" s="428" t="s">
        <v>762</v>
      </c>
      <c r="BU440" s="428" t="s">
        <v>762</v>
      </c>
      <c r="BV440" s="428" t="s">
        <v>762</v>
      </c>
      <c r="BW440" s="428" t="s">
        <v>762</v>
      </c>
      <c r="BX440" s="428" t="s">
        <v>762</v>
      </c>
      <c r="BY440" s="428" t="s">
        <v>762</v>
      </c>
      <c r="BZ440" s="428" t="s">
        <v>762</v>
      </c>
      <c r="CA440" s="428" t="s">
        <v>762</v>
      </c>
      <c r="CB440" s="428" t="s">
        <v>762</v>
      </c>
      <c r="CC440" s="428" t="s">
        <v>762</v>
      </c>
      <c r="CD440" s="428" t="s">
        <v>762</v>
      </c>
      <c r="CE440" s="428" t="s">
        <v>762</v>
      </c>
      <c r="CF440" s="428" t="s">
        <v>762</v>
      </c>
      <c r="CG440" s="428" t="s">
        <v>762</v>
      </c>
      <c r="CH440" s="428" t="s">
        <v>762</v>
      </c>
      <c r="CI440" s="428" t="s">
        <v>762</v>
      </c>
      <c r="CJ440" s="428" t="s">
        <v>762</v>
      </c>
      <c r="CK440" s="428" t="s">
        <v>762</v>
      </c>
      <c r="CL440" s="428" t="s">
        <v>762</v>
      </c>
    </row>
    <row r="441" spans="1:90" s="429" customFormat="1">
      <c r="A441" s="427" t="s">
        <v>607</v>
      </c>
      <c r="B441" s="427" t="s">
        <v>103</v>
      </c>
      <c r="C441" s="428">
        <f t="shared" si="414"/>
        <v>14</v>
      </c>
      <c r="D441" s="428">
        <f t="shared" si="415"/>
        <v>14</v>
      </c>
      <c r="E441" s="428">
        <f t="shared" si="416"/>
        <v>14</v>
      </c>
      <c r="F441" s="428">
        <f t="shared" si="417"/>
        <v>14</v>
      </c>
      <c r="G441" s="428">
        <f t="shared" si="418"/>
        <v>15</v>
      </c>
      <c r="H441" s="428">
        <f t="shared" si="419"/>
        <v>15</v>
      </c>
      <c r="I441" s="428">
        <f t="shared" si="420"/>
        <v>15</v>
      </c>
      <c r="J441" s="428">
        <f t="shared" si="421"/>
        <v>15</v>
      </c>
      <c r="K441" s="428">
        <f t="shared" si="422"/>
        <v>15</v>
      </c>
      <c r="L441" s="428">
        <f t="shared" si="423"/>
        <v>16</v>
      </c>
      <c r="M441" s="428">
        <f t="shared" si="424"/>
        <v>16</v>
      </c>
      <c r="N441" s="428">
        <f t="shared" si="425"/>
        <v>17</v>
      </c>
      <c r="O441" s="428">
        <f t="shared" si="426"/>
        <v>17</v>
      </c>
      <c r="P441" s="428">
        <f t="shared" si="427"/>
        <v>18</v>
      </c>
      <c r="Q441" s="428">
        <f t="shared" si="428"/>
        <v>18</v>
      </c>
      <c r="R441" s="428">
        <f t="shared" si="429"/>
        <v>18</v>
      </c>
      <c r="S441" s="428">
        <f t="shared" si="430"/>
        <v>18</v>
      </c>
      <c r="T441" s="428">
        <f t="shared" si="431"/>
        <v>18</v>
      </c>
      <c r="U441" s="428">
        <f t="shared" si="432"/>
        <v>22</v>
      </c>
      <c r="V441" s="428">
        <f t="shared" si="433"/>
        <v>22</v>
      </c>
      <c r="W441" s="428">
        <f t="shared" si="434"/>
        <v>26</v>
      </c>
      <c r="X441" s="428">
        <f t="shared" si="435"/>
        <v>34</v>
      </c>
      <c r="Y441" s="428">
        <f t="shared" si="436"/>
        <v>42</v>
      </c>
      <c r="Z441" s="428" t="s">
        <v>762</v>
      </c>
      <c r="AA441" s="428" t="s">
        <v>762</v>
      </c>
      <c r="AB441" s="428" t="s">
        <v>762</v>
      </c>
      <c r="AC441" s="428" t="s">
        <v>762</v>
      </c>
      <c r="AD441" s="428" t="s">
        <v>762</v>
      </c>
      <c r="AE441" s="428" t="s">
        <v>762</v>
      </c>
      <c r="AF441" s="428" t="s">
        <v>762</v>
      </c>
      <c r="AG441" s="428" t="s">
        <v>762</v>
      </c>
      <c r="AH441" s="428" t="s">
        <v>762</v>
      </c>
      <c r="AI441" s="428" t="s">
        <v>762</v>
      </c>
      <c r="AJ441" s="428" t="s">
        <v>762</v>
      </c>
      <c r="AK441" s="428" t="s">
        <v>762</v>
      </c>
      <c r="AL441" s="428" t="s">
        <v>762</v>
      </c>
      <c r="AM441" s="428" t="s">
        <v>762</v>
      </c>
      <c r="AN441" s="428" t="s">
        <v>762</v>
      </c>
      <c r="AO441" s="428" t="s">
        <v>762</v>
      </c>
      <c r="AP441" s="428" t="s">
        <v>762</v>
      </c>
      <c r="AQ441" s="428" t="s">
        <v>762</v>
      </c>
      <c r="AR441" s="428" t="s">
        <v>762</v>
      </c>
      <c r="AS441" s="428" t="s">
        <v>762</v>
      </c>
      <c r="AT441" s="428" t="s">
        <v>762</v>
      </c>
      <c r="AU441" s="428" t="s">
        <v>762</v>
      </c>
      <c r="AV441" s="428" t="s">
        <v>762</v>
      </c>
      <c r="AW441" s="428" t="s">
        <v>762</v>
      </c>
      <c r="AX441" s="428" t="s">
        <v>762</v>
      </c>
      <c r="AY441" s="428" t="s">
        <v>762</v>
      </c>
      <c r="AZ441" s="428" t="s">
        <v>762</v>
      </c>
      <c r="BA441" s="428" t="s">
        <v>762</v>
      </c>
      <c r="BB441" s="428" t="s">
        <v>762</v>
      </c>
      <c r="BC441" s="428" t="s">
        <v>762</v>
      </c>
      <c r="BD441" s="428" t="s">
        <v>762</v>
      </c>
      <c r="BE441" s="428" t="s">
        <v>762</v>
      </c>
      <c r="BF441" s="428" t="s">
        <v>762</v>
      </c>
      <c r="BG441" s="428" t="s">
        <v>762</v>
      </c>
      <c r="BH441" s="428" t="s">
        <v>762</v>
      </c>
      <c r="BI441" s="428" t="s">
        <v>762</v>
      </c>
      <c r="BJ441" s="428" t="s">
        <v>762</v>
      </c>
      <c r="BK441" s="428" t="s">
        <v>762</v>
      </c>
      <c r="BL441" s="428" t="s">
        <v>762</v>
      </c>
      <c r="BM441" s="428" t="s">
        <v>762</v>
      </c>
      <c r="BN441" s="428" t="s">
        <v>762</v>
      </c>
      <c r="BO441" s="428" t="s">
        <v>762</v>
      </c>
      <c r="BP441" s="428" t="s">
        <v>762</v>
      </c>
      <c r="BQ441" s="428" t="s">
        <v>762</v>
      </c>
      <c r="BR441" s="428" t="s">
        <v>762</v>
      </c>
      <c r="BS441" s="428" t="s">
        <v>762</v>
      </c>
      <c r="BT441" s="428" t="s">
        <v>762</v>
      </c>
      <c r="BU441" s="428" t="s">
        <v>762</v>
      </c>
      <c r="BV441" s="428" t="s">
        <v>762</v>
      </c>
      <c r="BW441" s="428" t="s">
        <v>762</v>
      </c>
      <c r="BX441" s="428" t="s">
        <v>762</v>
      </c>
      <c r="BY441" s="428" t="s">
        <v>762</v>
      </c>
      <c r="BZ441" s="428" t="s">
        <v>762</v>
      </c>
      <c r="CA441" s="428" t="s">
        <v>762</v>
      </c>
      <c r="CB441" s="428" t="s">
        <v>762</v>
      </c>
      <c r="CC441" s="428" t="s">
        <v>762</v>
      </c>
      <c r="CD441" s="428" t="s">
        <v>762</v>
      </c>
      <c r="CE441" s="428" t="s">
        <v>762</v>
      </c>
      <c r="CF441" s="428" t="s">
        <v>762</v>
      </c>
      <c r="CG441" s="428" t="s">
        <v>762</v>
      </c>
      <c r="CH441" s="428" t="s">
        <v>762</v>
      </c>
      <c r="CI441" s="428" t="s">
        <v>762</v>
      </c>
      <c r="CJ441" s="428" t="s">
        <v>762</v>
      </c>
      <c r="CK441" s="428" t="s">
        <v>762</v>
      </c>
      <c r="CL441" s="428" t="s">
        <v>762</v>
      </c>
    </row>
    <row r="442" spans="1:90" s="429" customFormat="1">
      <c r="A442" s="427" t="s">
        <v>608</v>
      </c>
      <c r="B442" s="427" t="s">
        <v>103</v>
      </c>
      <c r="C442" s="428">
        <f t="shared" si="414"/>
        <v>14</v>
      </c>
      <c r="D442" s="428">
        <f t="shared" si="415"/>
        <v>14</v>
      </c>
      <c r="E442" s="428">
        <f t="shared" si="416"/>
        <v>14</v>
      </c>
      <c r="F442" s="428">
        <f t="shared" si="417"/>
        <v>14</v>
      </c>
      <c r="G442" s="428">
        <f t="shared" si="418"/>
        <v>15</v>
      </c>
      <c r="H442" s="428">
        <f t="shared" si="419"/>
        <v>15</v>
      </c>
      <c r="I442" s="428">
        <f t="shared" si="420"/>
        <v>15</v>
      </c>
      <c r="J442" s="428">
        <f t="shared" si="421"/>
        <v>15</v>
      </c>
      <c r="K442" s="428">
        <f t="shared" si="422"/>
        <v>15</v>
      </c>
      <c r="L442" s="428">
        <f t="shared" si="423"/>
        <v>16</v>
      </c>
      <c r="M442" s="428">
        <f t="shared" si="424"/>
        <v>16</v>
      </c>
      <c r="N442" s="428">
        <f t="shared" si="425"/>
        <v>17</v>
      </c>
      <c r="O442" s="428">
        <f t="shared" si="426"/>
        <v>17</v>
      </c>
      <c r="P442" s="428">
        <f t="shared" si="427"/>
        <v>18</v>
      </c>
      <c r="Q442" s="428">
        <f t="shared" si="428"/>
        <v>18</v>
      </c>
      <c r="R442" s="428">
        <f t="shared" si="429"/>
        <v>18</v>
      </c>
      <c r="S442" s="428">
        <f t="shared" si="430"/>
        <v>18</v>
      </c>
      <c r="T442" s="428">
        <f t="shared" si="431"/>
        <v>18</v>
      </c>
      <c r="U442" s="428">
        <f t="shared" si="432"/>
        <v>22</v>
      </c>
      <c r="V442" s="428">
        <f t="shared" si="433"/>
        <v>22</v>
      </c>
      <c r="W442" s="428">
        <f t="shared" si="434"/>
        <v>26</v>
      </c>
      <c r="X442" s="428">
        <f t="shared" si="435"/>
        <v>34</v>
      </c>
      <c r="Y442" s="428">
        <f t="shared" si="436"/>
        <v>42</v>
      </c>
      <c r="Z442" s="428" t="s">
        <v>762</v>
      </c>
      <c r="AA442" s="428" t="s">
        <v>762</v>
      </c>
      <c r="AB442" s="428" t="s">
        <v>762</v>
      </c>
      <c r="AC442" s="428" t="s">
        <v>762</v>
      </c>
      <c r="AD442" s="428" t="s">
        <v>762</v>
      </c>
      <c r="AE442" s="428" t="s">
        <v>762</v>
      </c>
      <c r="AF442" s="428" t="s">
        <v>762</v>
      </c>
      <c r="AG442" s="428" t="s">
        <v>762</v>
      </c>
      <c r="AH442" s="428" t="s">
        <v>762</v>
      </c>
      <c r="AI442" s="428" t="s">
        <v>762</v>
      </c>
      <c r="AJ442" s="428" t="s">
        <v>762</v>
      </c>
      <c r="AK442" s="428" t="s">
        <v>762</v>
      </c>
      <c r="AL442" s="428" t="s">
        <v>762</v>
      </c>
      <c r="AM442" s="428" t="s">
        <v>762</v>
      </c>
      <c r="AN442" s="428" t="s">
        <v>762</v>
      </c>
      <c r="AO442" s="428" t="s">
        <v>762</v>
      </c>
      <c r="AP442" s="428" t="s">
        <v>762</v>
      </c>
      <c r="AQ442" s="428" t="s">
        <v>762</v>
      </c>
      <c r="AR442" s="428" t="s">
        <v>762</v>
      </c>
      <c r="AS442" s="428" t="s">
        <v>762</v>
      </c>
      <c r="AT442" s="428" t="s">
        <v>762</v>
      </c>
      <c r="AU442" s="428" t="s">
        <v>762</v>
      </c>
      <c r="AV442" s="428" t="s">
        <v>762</v>
      </c>
      <c r="AW442" s="428" t="s">
        <v>762</v>
      </c>
      <c r="AX442" s="428" t="s">
        <v>762</v>
      </c>
      <c r="AY442" s="428" t="s">
        <v>762</v>
      </c>
      <c r="AZ442" s="428" t="s">
        <v>762</v>
      </c>
      <c r="BA442" s="428" t="s">
        <v>762</v>
      </c>
      <c r="BB442" s="428" t="s">
        <v>762</v>
      </c>
      <c r="BC442" s="428" t="s">
        <v>762</v>
      </c>
      <c r="BD442" s="428" t="s">
        <v>762</v>
      </c>
      <c r="BE442" s="428" t="s">
        <v>762</v>
      </c>
      <c r="BF442" s="428" t="s">
        <v>762</v>
      </c>
      <c r="BG442" s="428" t="s">
        <v>762</v>
      </c>
      <c r="BH442" s="428" t="s">
        <v>762</v>
      </c>
      <c r="BI442" s="428" t="s">
        <v>762</v>
      </c>
      <c r="BJ442" s="428" t="s">
        <v>762</v>
      </c>
      <c r="BK442" s="428" t="s">
        <v>762</v>
      </c>
      <c r="BL442" s="428" t="s">
        <v>762</v>
      </c>
      <c r="BM442" s="428" t="s">
        <v>762</v>
      </c>
      <c r="BN442" s="428" t="s">
        <v>762</v>
      </c>
      <c r="BO442" s="428" t="s">
        <v>762</v>
      </c>
      <c r="BP442" s="428" t="s">
        <v>762</v>
      </c>
      <c r="BQ442" s="428" t="s">
        <v>762</v>
      </c>
      <c r="BR442" s="428" t="s">
        <v>762</v>
      </c>
      <c r="BS442" s="428" t="s">
        <v>762</v>
      </c>
      <c r="BT442" s="428" t="s">
        <v>762</v>
      </c>
      <c r="BU442" s="428" t="s">
        <v>762</v>
      </c>
      <c r="BV442" s="428" t="s">
        <v>762</v>
      </c>
      <c r="BW442" s="428" t="s">
        <v>762</v>
      </c>
      <c r="BX442" s="428" t="s">
        <v>762</v>
      </c>
      <c r="BY442" s="428" t="s">
        <v>762</v>
      </c>
      <c r="BZ442" s="428" t="s">
        <v>762</v>
      </c>
      <c r="CA442" s="428" t="s">
        <v>762</v>
      </c>
      <c r="CB442" s="428" t="s">
        <v>762</v>
      </c>
      <c r="CC442" s="428" t="s">
        <v>762</v>
      </c>
      <c r="CD442" s="428" t="s">
        <v>762</v>
      </c>
      <c r="CE442" s="428" t="s">
        <v>762</v>
      </c>
      <c r="CF442" s="428" t="s">
        <v>762</v>
      </c>
      <c r="CG442" s="428" t="s">
        <v>762</v>
      </c>
      <c r="CH442" s="428" t="s">
        <v>762</v>
      </c>
      <c r="CI442" s="428" t="s">
        <v>762</v>
      </c>
      <c r="CJ442" s="428" t="s">
        <v>762</v>
      </c>
      <c r="CK442" s="428" t="s">
        <v>762</v>
      </c>
      <c r="CL442" s="428" t="s">
        <v>762</v>
      </c>
    </row>
    <row r="443" spans="1:90" s="429" customFormat="1">
      <c r="A443" s="427" t="s">
        <v>609</v>
      </c>
      <c r="B443" s="427" t="s">
        <v>103</v>
      </c>
      <c r="C443" s="428">
        <f t="shared" si="414"/>
        <v>14</v>
      </c>
      <c r="D443" s="428">
        <f t="shared" si="415"/>
        <v>14</v>
      </c>
      <c r="E443" s="428">
        <f t="shared" si="416"/>
        <v>14</v>
      </c>
      <c r="F443" s="428">
        <f t="shared" si="417"/>
        <v>14</v>
      </c>
      <c r="G443" s="428">
        <f t="shared" si="418"/>
        <v>15</v>
      </c>
      <c r="H443" s="428">
        <f t="shared" si="419"/>
        <v>15</v>
      </c>
      <c r="I443" s="428">
        <f t="shared" si="420"/>
        <v>15</v>
      </c>
      <c r="J443" s="428">
        <f t="shared" si="421"/>
        <v>15</v>
      </c>
      <c r="K443" s="428">
        <f t="shared" si="422"/>
        <v>15</v>
      </c>
      <c r="L443" s="428">
        <f t="shared" si="423"/>
        <v>16</v>
      </c>
      <c r="M443" s="428">
        <f t="shared" si="424"/>
        <v>16</v>
      </c>
      <c r="N443" s="428">
        <f t="shared" si="425"/>
        <v>17</v>
      </c>
      <c r="O443" s="428">
        <f t="shared" si="426"/>
        <v>17</v>
      </c>
      <c r="P443" s="428">
        <f t="shared" si="427"/>
        <v>18</v>
      </c>
      <c r="Q443" s="428">
        <f t="shared" si="428"/>
        <v>18</v>
      </c>
      <c r="R443" s="428">
        <f t="shared" si="429"/>
        <v>18</v>
      </c>
      <c r="S443" s="428">
        <f t="shared" si="430"/>
        <v>18</v>
      </c>
      <c r="T443" s="428">
        <f t="shared" si="431"/>
        <v>18</v>
      </c>
      <c r="U443" s="428">
        <f t="shared" si="432"/>
        <v>22</v>
      </c>
      <c r="V443" s="428">
        <f t="shared" si="433"/>
        <v>22</v>
      </c>
      <c r="W443" s="428">
        <f t="shared" si="434"/>
        <v>26</v>
      </c>
      <c r="X443" s="428">
        <f t="shared" si="435"/>
        <v>34</v>
      </c>
      <c r="Y443" s="428">
        <f t="shared" si="436"/>
        <v>42</v>
      </c>
      <c r="Z443" s="428" t="s">
        <v>762</v>
      </c>
      <c r="AA443" s="428" t="s">
        <v>762</v>
      </c>
      <c r="AB443" s="428" t="s">
        <v>762</v>
      </c>
      <c r="AC443" s="428" t="s">
        <v>762</v>
      </c>
      <c r="AD443" s="428" t="s">
        <v>762</v>
      </c>
      <c r="AE443" s="428" t="s">
        <v>762</v>
      </c>
      <c r="AF443" s="428" t="s">
        <v>762</v>
      </c>
      <c r="AG443" s="428" t="s">
        <v>762</v>
      </c>
      <c r="AH443" s="428" t="s">
        <v>762</v>
      </c>
      <c r="AI443" s="428" t="s">
        <v>762</v>
      </c>
      <c r="AJ443" s="428" t="s">
        <v>762</v>
      </c>
      <c r="AK443" s="428" t="s">
        <v>762</v>
      </c>
      <c r="AL443" s="428" t="s">
        <v>762</v>
      </c>
      <c r="AM443" s="428" t="s">
        <v>762</v>
      </c>
      <c r="AN443" s="428" t="s">
        <v>762</v>
      </c>
      <c r="AO443" s="428" t="s">
        <v>762</v>
      </c>
      <c r="AP443" s="428" t="s">
        <v>762</v>
      </c>
      <c r="AQ443" s="428" t="s">
        <v>762</v>
      </c>
      <c r="AR443" s="428" t="s">
        <v>762</v>
      </c>
      <c r="AS443" s="428" t="s">
        <v>762</v>
      </c>
      <c r="AT443" s="428" t="s">
        <v>762</v>
      </c>
      <c r="AU443" s="428" t="s">
        <v>762</v>
      </c>
      <c r="AV443" s="428" t="s">
        <v>762</v>
      </c>
      <c r="AW443" s="428" t="s">
        <v>762</v>
      </c>
      <c r="AX443" s="428" t="s">
        <v>762</v>
      </c>
      <c r="AY443" s="428" t="s">
        <v>762</v>
      </c>
      <c r="AZ443" s="428" t="s">
        <v>762</v>
      </c>
      <c r="BA443" s="428" t="s">
        <v>762</v>
      </c>
      <c r="BB443" s="428" t="s">
        <v>762</v>
      </c>
      <c r="BC443" s="428" t="s">
        <v>762</v>
      </c>
      <c r="BD443" s="428" t="s">
        <v>762</v>
      </c>
      <c r="BE443" s="428" t="s">
        <v>762</v>
      </c>
      <c r="BF443" s="428" t="s">
        <v>762</v>
      </c>
      <c r="BG443" s="428" t="s">
        <v>762</v>
      </c>
      <c r="BH443" s="428" t="s">
        <v>762</v>
      </c>
      <c r="BI443" s="428" t="s">
        <v>762</v>
      </c>
      <c r="BJ443" s="428" t="s">
        <v>762</v>
      </c>
      <c r="BK443" s="428" t="s">
        <v>762</v>
      </c>
      <c r="BL443" s="428" t="s">
        <v>762</v>
      </c>
      <c r="BM443" s="428" t="s">
        <v>762</v>
      </c>
      <c r="BN443" s="428" t="s">
        <v>762</v>
      </c>
      <c r="BO443" s="428" t="s">
        <v>762</v>
      </c>
      <c r="BP443" s="428" t="s">
        <v>762</v>
      </c>
      <c r="BQ443" s="428" t="s">
        <v>762</v>
      </c>
      <c r="BR443" s="428" t="s">
        <v>762</v>
      </c>
      <c r="BS443" s="428" t="s">
        <v>762</v>
      </c>
      <c r="BT443" s="428" t="s">
        <v>762</v>
      </c>
      <c r="BU443" s="428" t="s">
        <v>762</v>
      </c>
      <c r="BV443" s="428" t="s">
        <v>762</v>
      </c>
      <c r="BW443" s="428" t="s">
        <v>762</v>
      </c>
      <c r="BX443" s="428" t="s">
        <v>762</v>
      </c>
      <c r="BY443" s="428" t="s">
        <v>762</v>
      </c>
      <c r="BZ443" s="428" t="s">
        <v>762</v>
      </c>
      <c r="CA443" s="428" t="s">
        <v>762</v>
      </c>
      <c r="CB443" s="428" t="s">
        <v>762</v>
      </c>
      <c r="CC443" s="428" t="s">
        <v>762</v>
      </c>
      <c r="CD443" s="428" t="s">
        <v>762</v>
      </c>
      <c r="CE443" s="428" t="s">
        <v>762</v>
      </c>
      <c r="CF443" s="428" t="s">
        <v>762</v>
      </c>
      <c r="CG443" s="428" t="s">
        <v>762</v>
      </c>
      <c r="CH443" s="428" t="s">
        <v>762</v>
      </c>
      <c r="CI443" s="428" t="s">
        <v>762</v>
      </c>
      <c r="CJ443" s="428" t="s">
        <v>762</v>
      </c>
      <c r="CK443" s="428" t="s">
        <v>762</v>
      </c>
      <c r="CL443" s="428" t="s">
        <v>762</v>
      </c>
    </row>
    <row r="444" spans="1:90" s="429" customFormat="1">
      <c r="A444" s="427" t="s">
        <v>610</v>
      </c>
      <c r="B444" s="427" t="s">
        <v>103</v>
      </c>
      <c r="C444" s="428">
        <f t="shared" si="414"/>
        <v>14</v>
      </c>
      <c r="D444" s="428">
        <f t="shared" si="415"/>
        <v>14</v>
      </c>
      <c r="E444" s="428">
        <f t="shared" si="416"/>
        <v>14</v>
      </c>
      <c r="F444" s="428">
        <f t="shared" si="417"/>
        <v>14</v>
      </c>
      <c r="G444" s="428">
        <f t="shared" si="418"/>
        <v>15</v>
      </c>
      <c r="H444" s="428">
        <f t="shared" si="419"/>
        <v>15</v>
      </c>
      <c r="I444" s="428">
        <f t="shared" si="420"/>
        <v>15</v>
      </c>
      <c r="J444" s="428">
        <f t="shared" si="421"/>
        <v>15</v>
      </c>
      <c r="K444" s="428">
        <f t="shared" si="422"/>
        <v>15</v>
      </c>
      <c r="L444" s="428">
        <f t="shared" si="423"/>
        <v>16</v>
      </c>
      <c r="M444" s="428">
        <f t="shared" si="424"/>
        <v>16</v>
      </c>
      <c r="N444" s="428">
        <f t="shared" si="425"/>
        <v>17</v>
      </c>
      <c r="O444" s="428">
        <f t="shared" si="426"/>
        <v>17</v>
      </c>
      <c r="P444" s="428">
        <f t="shared" si="427"/>
        <v>18</v>
      </c>
      <c r="Q444" s="428">
        <f t="shared" si="428"/>
        <v>18</v>
      </c>
      <c r="R444" s="428">
        <f t="shared" si="429"/>
        <v>18</v>
      </c>
      <c r="S444" s="428">
        <f t="shared" si="430"/>
        <v>18</v>
      </c>
      <c r="T444" s="428">
        <f t="shared" si="431"/>
        <v>18</v>
      </c>
      <c r="U444" s="428">
        <f t="shared" si="432"/>
        <v>22</v>
      </c>
      <c r="V444" s="428">
        <f t="shared" si="433"/>
        <v>22</v>
      </c>
      <c r="W444" s="428">
        <f t="shared" si="434"/>
        <v>26</v>
      </c>
      <c r="X444" s="428">
        <f t="shared" si="435"/>
        <v>34</v>
      </c>
      <c r="Y444" s="428">
        <f t="shared" si="436"/>
        <v>42</v>
      </c>
      <c r="Z444" s="428" t="s">
        <v>762</v>
      </c>
      <c r="AA444" s="428" t="s">
        <v>762</v>
      </c>
      <c r="AB444" s="428" t="s">
        <v>762</v>
      </c>
      <c r="AC444" s="428" t="s">
        <v>762</v>
      </c>
      <c r="AD444" s="428" t="s">
        <v>762</v>
      </c>
      <c r="AE444" s="428" t="s">
        <v>762</v>
      </c>
      <c r="AF444" s="428" t="s">
        <v>762</v>
      </c>
      <c r="AG444" s="428" t="s">
        <v>762</v>
      </c>
      <c r="AH444" s="428" t="s">
        <v>762</v>
      </c>
      <c r="AI444" s="428" t="s">
        <v>762</v>
      </c>
      <c r="AJ444" s="428" t="s">
        <v>762</v>
      </c>
      <c r="AK444" s="428" t="s">
        <v>762</v>
      </c>
      <c r="AL444" s="428" t="s">
        <v>762</v>
      </c>
      <c r="AM444" s="428" t="s">
        <v>762</v>
      </c>
      <c r="AN444" s="428" t="s">
        <v>762</v>
      </c>
      <c r="AO444" s="428" t="s">
        <v>762</v>
      </c>
      <c r="AP444" s="428" t="s">
        <v>762</v>
      </c>
      <c r="AQ444" s="428" t="s">
        <v>762</v>
      </c>
      <c r="AR444" s="428" t="s">
        <v>762</v>
      </c>
      <c r="AS444" s="428" t="s">
        <v>762</v>
      </c>
      <c r="AT444" s="428" t="s">
        <v>762</v>
      </c>
      <c r="AU444" s="428" t="s">
        <v>762</v>
      </c>
      <c r="AV444" s="428" t="s">
        <v>762</v>
      </c>
      <c r="AW444" s="428" t="s">
        <v>762</v>
      </c>
      <c r="AX444" s="428" t="s">
        <v>762</v>
      </c>
      <c r="AY444" s="428" t="s">
        <v>762</v>
      </c>
      <c r="AZ444" s="428" t="s">
        <v>762</v>
      </c>
      <c r="BA444" s="428" t="s">
        <v>762</v>
      </c>
      <c r="BB444" s="428" t="s">
        <v>762</v>
      </c>
      <c r="BC444" s="428" t="s">
        <v>762</v>
      </c>
      <c r="BD444" s="428" t="s">
        <v>762</v>
      </c>
      <c r="BE444" s="428" t="s">
        <v>762</v>
      </c>
      <c r="BF444" s="428" t="s">
        <v>762</v>
      </c>
      <c r="BG444" s="428" t="s">
        <v>762</v>
      </c>
      <c r="BH444" s="428" t="s">
        <v>762</v>
      </c>
      <c r="BI444" s="428" t="s">
        <v>762</v>
      </c>
      <c r="BJ444" s="428" t="s">
        <v>762</v>
      </c>
      <c r="BK444" s="428" t="s">
        <v>762</v>
      </c>
      <c r="BL444" s="428" t="s">
        <v>762</v>
      </c>
      <c r="BM444" s="428" t="s">
        <v>762</v>
      </c>
      <c r="BN444" s="428" t="s">
        <v>762</v>
      </c>
      <c r="BO444" s="428" t="s">
        <v>762</v>
      </c>
      <c r="BP444" s="428" t="s">
        <v>762</v>
      </c>
      <c r="BQ444" s="428" t="s">
        <v>762</v>
      </c>
      <c r="BR444" s="428" t="s">
        <v>762</v>
      </c>
      <c r="BS444" s="428" t="s">
        <v>762</v>
      </c>
      <c r="BT444" s="428" t="s">
        <v>762</v>
      </c>
      <c r="BU444" s="428" t="s">
        <v>762</v>
      </c>
      <c r="BV444" s="428" t="s">
        <v>762</v>
      </c>
      <c r="BW444" s="428" t="s">
        <v>762</v>
      </c>
      <c r="BX444" s="428" t="s">
        <v>762</v>
      </c>
      <c r="BY444" s="428" t="s">
        <v>762</v>
      </c>
      <c r="BZ444" s="428" t="s">
        <v>762</v>
      </c>
      <c r="CA444" s="428" t="s">
        <v>762</v>
      </c>
      <c r="CB444" s="428" t="s">
        <v>762</v>
      </c>
      <c r="CC444" s="428" t="s">
        <v>762</v>
      </c>
      <c r="CD444" s="428" t="s">
        <v>762</v>
      </c>
      <c r="CE444" s="428" t="s">
        <v>762</v>
      </c>
      <c r="CF444" s="428" t="s">
        <v>762</v>
      </c>
      <c r="CG444" s="428" t="s">
        <v>762</v>
      </c>
      <c r="CH444" s="428" t="s">
        <v>762</v>
      </c>
      <c r="CI444" s="428" t="s">
        <v>762</v>
      </c>
      <c r="CJ444" s="428" t="s">
        <v>762</v>
      </c>
      <c r="CK444" s="428" t="s">
        <v>762</v>
      </c>
      <c r="CL444" s="428" t="s">
        <v>762</v>
      </c>
    </row>
    <row r="445" spans="1:90" s="429" customFormat="1">
      <c r="A445" s="427" t="s">
        <v>611</v>
      </c>
      <c r="B445" s="427" t="s">
        <v>103</v>
      </c>
      <c r="C445" s="428">
        <f t="shared" si="414"/>
        <v>14</v>
      </c>
      <c r="D445" s="428">
        <f t="shared" si="415"/>
        <v>14</v>
      </c>
      <c r="E445" s="428">
        <f t="shared" si="416"/>
        <v>14</v>
      </c>
      <c r="F445" s="428">
        <f t="shared" si="417"/>
        <v>14</v>
      </c>
      <c r="G445" s="428">
        <f t="shared" si="418"/>
        <v>15</v>
      </c>
      <c r="H445" s="428">
        <f t="shared" si="419"/>
        <v>15</v>
      </c>
      <c r="I445" s="428">
        <f t="shared" si="420"/>
        <v>15</v>
      </c>
      <c r="J445" s="428">
        <f t="shared" si="421"/>
        <v>15</v>
      </c>
      <c r="K445" s="428">
        <f t="shared" si="422"/>
        <v>15</v>
      </c>
      <c r="L445" s="428">
        <f t="shared" si="423"/>
        <v>16</v>
      </c>
      <c r="M445" s="428">
        <f t="shared" si="424"/>
        <v>16</v>
      </c>
      <c r="N445" s="428">
        <f t="shared" si="425"/>
        <v>17</v>
      </c>
      <c r="O445" s="428">
        <f t="shared" si="426"/>
        <v>17</v>
      </c>
      <c r="P445" s="428">
        <f t="shared" si="427"/>
        <v>18</v>
      </c>
      <c r="Q445" s="428">
        <f t="shared" si="428"/>
        <v>18</v>
      </c>
      <c r="R445" s="428">
        <f t="shared" si="429"/>
        <v>18</v>
      </c>
      <c r="S445" s="428">
        <f t="shared" si="430"/>
        <v>18</v>
      </c>
      <c r="T445" s="428">
        <f t="shared" si="431"/>
        <v>18</v>
      </c>
      <c r="U445" s="428">
        <f t="shared" si="432"/>
        <v>22</v>
      </c>
      <c r="V445" s="428">
        <f t="shared" si="433"/>
        <v>22</v>
      </c>
      <c r="W445" s="428">
        <f t="shared" si="434"/>
        <v>26</v>
      </c>
      <c r="X445" s="428">
        <f t="shared" si="435"/>
        <v>34</v>
      </c>
      <c r="Y445" s="428">
        <f t="shared" si="436"/>
        <v>42</v>
      </c>
      <c r="Z445" s="428" t="s">
        <v>762</v>
      </c>
      <c r="AA445" s="428" t="s">
        <v>762</v>
      </c>
      <c r="AB445" s="428" t="s">
        <v>762</v>
      </c>
      <c r="AC445" s="428" t="s">
        <v>762</v>
      </c>
      <c r="AD445" s="428" t="s">
        <v>762</v>
      </c>
      <c r="AE445" s="428" t="s">
        <v>762</v>
      </c>
      <c r="AF445" s="428" t="s">
        <v>762</v>
      </c>
      <c r="AG445" s="428" t="s">
        <v>762</v>
      </c>
      <c r="AH445" s="428" t="s">
        <v>762</v>
      </c>
      <c r="AI445" s="428" t="s">
        <v>762</v>
      </c>
      <c r="AJ445" s="428" t="s">
        <v>762</v>
      </c>
      <c r="AK445" s="428" t="s">
        <v>762</v>
      </c>
      <c r="AL445" s="428" t="s">
        <v>762</v>
      </c>
      <c r="AM445" s="428" t="s">
        <v>762</v>
      </c>
      <c r="AN445" s="428" t="s">
        <v>762</v>
      </c>
      <c r="AO445" s="428" t="s">
        <v>762</v>
      </c>
      <c r="AP445" s="428" t="s">
        <v>762</v>
      </c>
      <c r="AQ445" s="428" t="s">
        <v>762</v>
      </c>
      <c r="AR445" s="428" t="s">
        <v>762</v>
      </c>
      <c r="AS445" s="428" t="s">
        <v>762</v>
      </c>
      <c r="AT445" s="428" t="s">
        <v>762</v>
      </c>
      <c r="AU445" s="428" t="s">
        <v>762</v>
      </c>
      <c r="AV445" s="428" t="s">
        <v>762</v>
      </c>
      <c r="AW445" s="428" t="s">
        <v>762</v>
      </c>
      <c r="AX445" s="428" t="s">
        <v>762</v>
      </c>
      <c r="AY445" s="428" t="s">
        <v>762</v>
      </c>
      <c r="AZ445" s="428" t="s">
        <v>762</v>
      </c>
      <c r="BA445" s="428" t="s">
        <v>762</v>
      </c>
      <c r="BB445" s="428" t="s">
        <v>762</v>
      </c>
      <c r="BC445" s="428" t="s">
        <v>762</v>
      </c>
      <c r="BD445" s="428" t="s">
        <v>762</v>
      </c>
      <c r="BE445" s="428" t="s">
        <v>762</v>
      </c>
      <c r="BF445" s="428" t="s">
        <v>762</v>
      </c>
      <c r="BG445" s="428" t="s">
        <v>762</v>
      </c>
      <c r="BH445" s="428" t="s">
        <v>762</v>
      </c>
      <c r="BI445" s="428" t="s">
        <v>762</v>
      </c>
      <c r="BJ445" s="428" t="s">
        <v>762</v>
      </c>
      <c r="BK445" s="428" t="s">
        <v>762</v>
      </c>
      <c r="BL445" s="428" t="s">
        <v>762</v>
      </c>
      <c r="BM445" s="428" t="s">
        <v>762</v>
      </c>
      <c r="BN445" s="428" t="s">
        <v>762</v>
      </c>
      <c r="BO445" s="428" t="s">
        <v>762</v>
      </c>
      <c r="BP445" s="428" t="s">
        <v>762</v>
      </c>
      <c r="BQ445" s="428" t="s">
        <v>762</v>
      </c>
      <c r="BR445" s="428" t="s">
        <v>762</v>
      </c>
      <c r="BS445" s="428" t="s">
        <v>762</v>
      </c>
      <c r="BT445" s="428" t="s">
        <v>762</v>
      </c>
      <c r="BU445" s="428" t="s">
        <v>762</v>
      </c>
      <c r="BV445" s="428" t="s">
        <v>762</v>
      </c>
      <c r="BW445" s="428" t="s">
        <v>762</v>
      </c>
      <c r="BX445" s="428" t="s">
        <v>762</v>
      </c>
      <c r="BY445" s="428" t="s">
        <v>762</v>
      </c>
      <c r="BZ445" s="428" t="s">
        <v>762</v>
      </c>
      <c r="CA445" s="428" t="s">
        <v>762</v>
      </c>
      <c r="CB445" s="428" t="s">
        <v>762</v>
      </c>
      <c r="CC445" s="428" t="s">
        <v>762</v>
      </c>
      <c r="CD445" s="428" t="s">
        <v>762</v>
      </c>
      <c r="CE445" s="428" t="s">
        <v>762</v>
      </c>
      <c r="CF445" s="428" t="s">
        <v>762</v>
      </c>
      <c r="CG445" s="428" t="s">
        <v>762</v>
      </c>
      <c r="CH445" s="428" t="s">
        <v>762</v>
      </c>
      <c r="CI445" s="428" t="s">
        <v>762</v>
      </c>
      <c r="CJ445" s="428" t="s">
        <v>762</v>
      </c>
      <c r="CK445" s="428" t="s">
        <v>762</v>
      </c>
      <c r="CL445" s="428" t="s">
        <v>762</v>
      </c>
    </row>
    <row r="446" spans="1:90" s="429" customFormat="1">
      <c r="A446" s="427" t="s">
        <v>612</v>
      </c>
      <c r="B446" s="427" t="s">
        <v>103</v>
      </c>
      <c r="C446" s="428">
        <f t="shared" si="414"/>
        <v>14</v>
      </c>
      <c r="D446" s="428">
        <f t="shared" si="415"/>
        <v>14</v>
      </c>
      <c r="E446" s="428">
        <f t="shared" si="416"/>
        <v>14</v>
      </c>
      <c r="F446" s="428">
        <f t="shared" si="417"/>
        <v>14</v>
      </c>
      <c r="G446" s="428">
        <f t="shared" si="418"/>
        <v>15</v>
      </c>
      <c r="H446" s="428">
        <f t="shared" si="419"/>
        <v>15</v>
      </c>
      <c r="I446" s="428">
        <f t="shared" si="420"/>
        <v>15</v>
      </c>
      <c r="J446" s="428">
        <f t="shared" si="421"/>
        <v>15</v>
      </c>
      <c r="K446" s="428">
        <f t="shared" si="422"/>
        <v>15</v>
      </c>
      <c r="L446" s="428">
        <f t="shared" si="423"/>
        <v>16</v>
      </c>
      <c r="M446" s="428">
        <f t="shared" si="424"/>
        <v>16</v>
      </c>
      <c r="N446" s="428">
        <f t="shared" si="425"/>
        <v>17</v>
      </c>
      <c r="O446" s="428">
        <f t="shared" si="426"/>
        <v>17</v>
      </c>
      <c r="P446" s="428">
        <f t="shared" si="427"/>
        <v>18</v>
      </c>
      <c r="Q446" s="428">
        <f t="shared" si="428"/>
        <v>18</v>
      </c>
      <c r="R446" s="428">
        <f t="shared" si="429"/>
        <v>18</v>
      </c>
      <c r="S446" s="428">
        <f t="shared" si="430"/>
        <v>18</v>
      </c>
      <c r="T446" s="428">
        <f t="shared" si="431"/>
        <v>18</v>
      </c>
      <c r="U446" s="428">
        <f t="shared" si="432"/>
        <v>22</v>
      </c>
      <c r="V446" s="428">
        <f t="shared" si="433"/>
        <v>22</v>
      </c>
      <c r="W446" s="428">
        <f t="shared" si="434"/>
        <v>26</v>
      </c>
      <c r="X446" s="428">
        <f t="shared" si="435"/>
        <v>34</v>
      </c>
      <c r="Y446" s="428">
        <f t="shared" si="436"/>
        <v>42</v>
      </c>
      <c r="Z446" s="428" t="s">
        <v>762</v>
      </c>
      <c r="AA446" s="428" t="s">
        <v>762</v>
      </c>
      <c r="AB446" s="428" t="s">
        <v>762</v>
      </c>
      <c r="AC446" s="428" t="s">
        <v>762</v>
      </c>
      <c r="AD446" s="428" t="s">
        <v>762</v>
      </c>
      <c r="AE446" s="428" t="s">
        <v>762</v>
      </c>
      <c r="AF446" s="428" t="s">
        <v>762</v>
      </c>
      <c r="AG446" s="428" t="s">
        <v>762</v>
      </c>
      <c r="AH446" s="428" t="s">
        <v>762</v>
      </c>
      <c r="AI446" s="428" t="s">
        <v>762</v>
      </c>
      <c r="AJ446" s="428" t="s">
        <v>762</v>
      </c>
      <c r="AK446" s="428" t="s">
        <v>762</v>
      </c>
      <c r="AL446" s="428" t="s">
        <v>762</v>
      </c>
      <c r="AM446" s="428" t="s">
        <v>762</v>
      </c>
      <c r="AN446" s="428" t="s">
        <v>762</v>
      </c>
      <c r="AO446" s="428" t="s">
        <v>762</v>
      </c>
      <c r="AP446" s="428" t="s">
        <v>762</v>
      </c>
      <c r="AQ446" s="428" t="s">
        <v>762</v>
      </c>
      <c r="AR446" s="428" t="s">
        <v>762</v>
      </c>
      <c r="AS446" s="428" t="s">
        <v>762</v>
      </c>
      <c r="AT446" s="428" t="s">
        <v>762</v>
      </c>
      <c r="AU446" s="428" t="s">
        <v>762</v>
      </c>
      <c r="AV446" s="428" t="s">
        <v>762</v>
      </c>
      <c r="AW446" s="428" t="s">
        <v>762</v>
      </c>
      <c r="AX446" s="428" t="s">
        <v>762</v>
      </c>
      <c r="AY446" s="428" t="s">
        <v>762</v>
      </c>
      <c r="AZ446" s="428" t="s">
        <v>762</v>
      </c>
      <c r="BA446" s="428" t="s">
        <v>762</v>
      </c>
      <c r="BB446" s="428" t="s">
        <v>762</v>
      </c>
      <c r="BC446" s="428" t="s">
        <v>762</v>
      </c>
      <c r="BD446" s="428" t="s">
        <v>762</v>
      </c>
      <c r="BE446" s="428" t="s">
        <v>762</v>
      </c>
      <c r="BF446" s="428" t="s">
        <v>762</v>
      </c>
      <c r="BG446" s="428" t="s">
        <v>762</v>
      </c>
      <c r="BH446" s="428" t="s">
        <v>762</v>
      </c>
      <c r="BI446" s="428" t="s">
        <v>762</v>
      </c>
      <c r="BJ446" s="428" t="s">
        <v>762</v>
      </c>
      <c r="BK446" s="428" t="s">
        <v>762</v>
      </c>
      <c r="BL446" s="428" t="s">
        <v>762</v>
      </c>
      <c r="BM446" s="428" t="s">
        <v>762</v>
      </c>
      <c r="BN446" s="428" t="s">
        <v>762</v>
      </c>
      <c r="BO446" s="428" t="s">
        <v>762</v>
      </c>
      <c r="BP446" s="428" t="s">
        <v>762</v>
      </c>
      <c r="BQ446" s="428" t="s">
        <v>762</v>
      </c>
      <c r="BR446" s="428" t="s">
        <v>762</v>
      </c>
      <c r="BS446" s="428" t="s">
        <v>762</v>
      </c>
      <c r="BT446" s="428" t="s">
        <v>762</v>
      </c>
      <c r="BU446" s="428" t="s">
        <v>762</v>
      </c>
      <c r="BV446" s="428" t="s">
        <v>762</v>
      </c>
      <c r="BW446" s="428" t="s">
        <v>762</v>
      </c>
      <c r="BX446" s="428" t="s">
        <v>762</v>
      </c>
      <c r="BY446" s="428" t="s">
        <v>762</v>
      </c>
      <c r="BZ446" s="428" t="s">
        <v>762</v>
      </c>
      <c r="CA446" s="428" t="s">
        <v>762</v>
      </c>
      <c r="CB446" s="428" t="s">
        <v>762</v>
      </c>
      <c r="CC446" s="428" t="s">
        <v>762</v>
      </c>
      <c r="CD446" s="428" t="s">
        <v>762</v>
      </c>
      <c r="CE446" s="428" t="s">
        <v>762</v>
      </c>
      <c r="CF446" s="428" t="s">
        <v>762</v>
      </c>
      <c r="CG446" s="428" t="s">
        <v>762</v>
      </c>
      <c r="CH446" s="428" t="s">
        <v>762</v>
      </c>
      <c r="CI446" s="428" t="s">
        <v>762</v>
      </c>
      <c r="CJ446" s="428" t="s">
        <v>762</v>
      </c>
      <c r="CK446" s="428" t="s">
        <v>762</v>
      </c>
      <c r="CL446" s="428" t="s">
        <v>762</v>
      </c>
    </row>
    <row r="447" spans="1:90" s="429" customFormat="1">
      <c r="A447" s="427" t="s">
        <v>613</v>
      </c>
      <c r="B447" s="427" t="s">
        <v>103</v>
      </c>
      <c r="C447" s="428">
        <f t="shared" si="414"/>
        <v>14</v>
      </c>
      <c r="D447" s="428">
        <f t="shared" si="415"/>
        <v>14</v>
      </c>
      <c r="E447" s="428">
        <f t="shared" si="416"/>
        <v>14</v>
      </c>
      <c r="F447" s="428">
        <f t="shared" si="417"/>
        <v>14</v>
      </c>
      <c r="G447" s="428">
        <f t="shared" si="418"/>
        <v>15</v>
      </c>
      <c r="H447" s="428">
        <f t="shared" si="419"/>
        <v>15</v>
      </c>
      <c r="I447" s="428">
        <f t="shared" si="420"/>
        <v>15</v>
      </c>
      <c r="J447" s="428">
        <f t="shared" si="421"/>
        <v>15</v>
      </c>
      <c r="K447" s="428">
        <f t="shared" si="422"/>
        <v>15</v>
      </c>
      <c r="L447" s="428">
        <f t="shared" si="423"/>
        <v>16</v>
      </c>
      <c r="M447" s="428">
        <f t="shared" si="424"/>
        <v>16</v>
      </c>
      <c r="N447" s="428">
        <f t="shared" si="425"/>
        <v>17</v>
      </c>
      <c r="O447" s="428">
        <f t="shared" si="426"/>
        <v>17</v>
      </c>
      <c r="P447" s="428">
        <f t="shared" si="427"/>
        <v>18</v>
      </c>
      <c r="Q447" s="428">
        <f t="shared" si="428"/>
        <v>18</v>
      </c>
      <c r="R447" s="428">
        <f t="shared" si="429"/>
        <v>18</v>
      </c>
      <c r="S447" s="428">
        <f t="shared" si="430"/>
        <v>18</v>
      </c>
      <c r="T447" s="428">
        <f t="shared" si="431"/>
        <v>18</v>
      </c>
      <c r="U447" s="428">
        <f t="shared" si="432"/>
        <v>22</v>
      </c>
      <c r="V447" s="428">
        <f t="shared" si="433"/>
        <v>22</v>
      </c>
      <c r="W447" s="428">
        <f t="shared" si="434"/>
        <v>26</v>
      </c>
      <c r="X447" s="428">
        <f t="shared" si="435"/>
        <v>34</v>
      </c>
      <c r="Y447" s="428">
        <f t="shared" si="436"/>
        <v>42</v>
      </c>
      <c r="Z447" s="428" t="s">
        <v>762</v>
      </c>
      <c r="AA447" s="428" t="s">
        <v>762</v>
      </c>
      <c r="AB447" s="428" t="s">
        <v>762</v>
      </c>
      <c r="AC447" s="428" t="s">
        <v>762</v>
      </c>
      <c r="AD447" s="428" t="s">
        <v>762</v>
      </c>
      <c r="AE447" s="428" t="s">
        <v>762</v>
      </c>
      <c r="AF447" s="428" t="s">
        <v>762</v>
      </c>
      <c r="AG447" s="428" t="s">
        <v>762</v>
      </c>
      <c r="AH447" s="428" t="s">
        <v>762</v>
      </c>
      <c r="AI447" s="428" t="s">
        <v>762</v>
      </c>
      <c r="AJ447" s="428" t="s">
        <v>762</v>
      </c>
      <c r="AK447" s="428" t="s">
        <v>762</v>
      </c>
      <c r="AL447" s="428" t="s">
        <v>762</v>
      </c>
      <c r="AM447" s="428" t="s">
        <v>762</v>
      </c>
      <c r="AN447" s="428" t="s">
        <v>762</v>
      </c>
      <c r="AO447" s="428" t="s">
        <v>762</v>
      </c>
      <c r="AP447" s="428" t="s">
        <v>762</v>
      </c>
      <c r="AQ447" s="428" t="s">
        <v>762</v>
      </c>
      <c r="AR447" s="428" t="s">
        <v>762</v>
      </c>
      <c r="AS447" s="428" t="s">
        <v>762</v>
      </c>
      <c r="AT447" s="428" t="s">
        <v>762</v>
      </c>
      <c r="AU447" s="428" t="s">
        <v>762</v>
      </c>
      <c r="AV447" s="428" t="s">
        <v>762</v>
      </c>
      <c r="AW447" s="428" t="s">
        <v>762</v>
      </c>
      <c r="AX447" s="428" t="s">
        <v>762</v>
      </c>
      <c r="AY447" s="428" t="s">
        <v>762</v>
      </c>
      <c r="AZ447" s="428" t="s">
        <v>762</v>
      </c>
      <c r="BA447" s="428" t="s">
        <v>762</v>
      </c>
      <c r="BB447" s="428" t="s">
        <v>762</v>
      </c>
      <c r="BC447" s="428" t="s">
        <v>762</v>
      </c>
      <c r="BD447" s="428" t="s">
        <v>762</v>
      </c>
      <c r="BE447" s="428" t="s">
        <v>762</v>
      </c>
      <c r="BF447" s="428" t="s">
        <v>762</v>
      </c>
      <c r="BG447" s="428" t="s">
        <v>762</v>
      </c>
      <c r="BH447" s="428" t="s">
        <v>762</v>
      </c>
      <c r="BI447" s="428" t="s">
        <v>762</v>
      </c>
      <c r="BJ447" s="428" t="s">
        <v>762</v>
      </c>
      <c r="BK447" s="428" t="s">
        <v>762</v>
      </c>
      <c r="BL447" s="428" t="s">
        <v>762</v>
      </c>
      <c r="BM447" s="428" t="s">
        <v>762</v>
      </c>
      <c r="BN447" s="428" t="s">
        <v>762</v>
      </c>
      <c r="BO447" s="428" t="s">
        <v>762</v>
      </c>
      <c r="BP447" s="428" t="s">
        <v>762</v>
      </c>
      <c r="BQ447" s="428" t="s">
        <v>762</v>
      </c>
      <c r="BR447" s="428" t="s">
        <v>762</v>
      </c>
      <c r="BS447" s="428" t="s">
        <v>762</v>
      </c>
      <c r="BT447" s="428" t="s">
        <v>762</v>
      </c>
      <c r="BU447" s="428" t="s">
        <v>762</v>
      </c>
      <c r="BV447" s="428" t="s">
        <v>762</v>
      </c>
      <c r="BW447" s="428" t="s">
        <v>762</v>
      </c>
      <c r="BX447" s="428" t="s">
        <v>762</v>
      </c>
      <c r="BY447" s="428" t="s">
        <v>762</v>
      </c>
      <c r="BZ447" s="428" t="s">
        <v>762</v>
      </c>
      <c r="CA447" s="428" t="s">
        <v>762</v>
      </c>
      <c r="CB447" s="428" t="s">
        <v>762</v>
      </c>
      <c r="CC447" s="428" t="s">
        <v>762</v>
      </c>
      <c r="CD447" s="428" t="s">
        <v>762</v>
      </c>
      <c r="CE447" s="428" t="s">
        <v>762</v>
      </c>
      <c r="CF447" s="428" t="s">
        <v>762</v>
      </c>
      <c r="CG447" s="428" t="s">
        <v>762</v>
      </c>
      <c r="CH447" s="428" t="s">
        <v>762</v>
      </c>
      <c r="CI447" s="428" t="s">
        <v>762</v>
      </c>
      <c r="CJ447" s="428" t="s">
        <v>762</v>
      </c>
      <c r="CK447" s="428" t="s">
        <v>762</v>
      </c>
      <c r="CL447" s="428" t="s">
        <v>762</v>
      </c>
    </row>
    <row r="448" spans="1:90" s="429" customFormat="1">
      <c r="A448" s="427" t="s">
        <v>614</v>
      </c>
      <c r="B448" s="427" t="s">
        <v>103</v>
      </c>
      <c r="C448" s="428">
        <f t="shared" si="414"/>
        <v>14</v>
      </c>
      <c r="D448" s="428">
        <f t="shared" si="415"/>
        <v>14</v>
      </c>
      <c r="E448" s="428">
        <f t="shared" si="416"/>
        <v>14</v>
      </c>
      <c r="F448" s="428">
        <f t="shared" si="417"/>
        <v>14</v>
      </c>
      <c r="G448" s="428">
        <f t="shared" si="418"/>
        <v>15</v>
      </c>
      <c r="H448" s="428">
        <f t="shared" si="419"/>
        <v>15</v>
      </c>
      <c r="I448" s="428">
        <f t="shared" si="420"/>
        <v>15</v>
      </c>
      <c r="J448" s="428">
        <f t="shared" si="421"/>
        <v>15</v>
      </c>
      <c r="K448" s="428">
        <f t="shared" si="422"/>
        <v>15</v>
      </c>
      <c r="L448" s="428">
        <f t="shared" si="423"/>
        <v>16</v>
      </c>
      <c r="M448" s="428">
        <f t="shared" si="424"/>
        <v>16</v>
      </c>
      <c r="N448" s="428">
        <f t="shared" si="425"/>
        <v>17</v>
      </c>
      <c r="O448" s="428">
        <f t="shared" si="426"/>
        <v>17</v>
      </c>
      <c r="P448" s="428">
        <f t="shared" si="427"/>
        <v>18</v>
      </c>
      <c r="Q448" s="428">
        <f t="shared" si="428"/>
        <v>18</v>
      </c>
      <c r="R448" s="428">
        <f t="shared" si="429"/>
        <v>18</v>
      </c>
      <c r="S448" s="428">
        <f t="shared" si="430"/>
        <v>18</v>
      </c>
      <c r="T448" s="428">
        <f t="shared" si="431"/>
        <v>18</v>
      </c>
      <c r="U448" s="428">
        <f t="shared" si="432"/>
        <v>22</v>
      </c>
      <c r="V448" s="428">
        <f t="shared" si="433"/>
        <v>22</v>
      </c>
      <c r="W448" s="428">
        <f t="shared" si="434"/>
        <v>26</v>
      </c>
      <c r="X448" s="428">
        <f t="shared" si="435"/>
        <v>34</v>
      </c>
      <c r="Y448" s="428">
        <f t="shared" si="436"/>
        <v>42</v>
      </c>
      <c r="Z448" s="428" t="s">
        <v>762</v>
      </c>
      <c r="AA448" s="428" t="s">
        <v>762</v>
      </c>
      <c r="AB448" s="428" t="s">
        <v>762</v>
      </c>
      <c r="AC448" s="428" t="s">
        <v>762</v>
      </c>
      <c r="AD448" s="428" t="s">
        <v>762</v>
      </c>
      <c r="AE448" s="428" t="s">
        <v>762</v>
      </c>
      <c r="AF448" s="428" t="s">
        <v>762</v>
      </c>
      <c r="AG448" s="428" t="s">
        <v>762</v>
      </c>
      <c r="AH448" s="428" t="s">
        <v>762</v>
      </c>
      <c r="AI448" s="428" t="s">
        <v>762</v>
      </c>
      <c r="AJ448" s="428" t="s">
        <v>762</v>
      </c>
      <c r="AK448" s="428" t="s">
        <v>762</v>
      </c>
      <c r="AL448" s="428" t="s">
        <v>762</v>
      </c>
      <c r="AM448" s="428" t="s">
        <v>762</v>
      </c>
      <c r="AN448" s="428" t="s">
        <v>762</v>
      </c>
      <c r="AO448" s="428" t="s">
        <v>762</v>
      </c>
      <c r="AP448" s="428" t="s">
        <v>762</v>
      </c>
      <c r="AQ448" s="428" t="s">
        <v>762</v>
      </c>
      <c r="AR448" s="428" t="s">
        <v>762</v>
      </c>
      <c r="AS448" s="428" t="s">
        <v>762</v>
      </c>
      <c r="AT448" s="428" t="s">
        <v>762</v>
      </c>
      <c r="AU448" s="428" t="s">
        <v>762</v>
      </c>
      <c r="AV448" s="428" t="s">
        <v>762</v>
      </c>
      <c r="AW448" s="428" t="s">
        <v>762</v>
      </c>
      <c r="AX448" s="428" t="s">
        <v>762</v>
      </c>
      <c r="AY448" s="428" t="s">
        <v>762</v>
      </c>
      <c r="AZ448" s="428" t="s">
        <v>762</v>
      </c>
      <c r="BA448" s="428" t="s">
        <v>762</v>
      </c>
      <c r="BB448" s="428" t="s">
        <v>762</v>
      </c>
      <c r="BC448" s="428" t="s">
        <v>762</v>
      </c>
      <c r="BD448" s="428" t="s">
        <v>762</v>
      </c>
      <c r="BE448" s="428" t="s">
        <v>762</v>
      </c>
      <c r="BF448" s="428" t="s">
        <v>762</v>
      </c>
      <c r="BG448" s="428" t="s">
        <v>762</v>
      </c>
      <c r="BH448" s="428" t="s">
        <v>762</v>
      </c>
      <c r="BI448" s="428" t="s">
        <v>762</v>
      </c>
      <c r="BJ448" s="428" t="s">
        <v>762</v>
      </c>
      <c r="BK448" s="428" t="s">
        <v>762</v>
      </c>
      <c r="BL448" s="428" t="s">
        <v>762</v>
      </c>
      <c r="BM448" s="428" t="s">
        <v>762</v>
      </c>
      <c r="BN448" s="428" t="s">
        <v>762</v>
      </c>
      <c r="BO448" s="428" t="s">
        <v>762</v>
      </c>
      <c r="BP448" s="428" t="s">
        <v>762</v>
      </c>
      <c r="BQ448" s="428" t="s">
        <v>762</v>
      </c>
      <c r="BR448" s="428" t="s">
        <v>762</v>
      </c>
      <c r="BS448" s="428" t="s">
        <v>762</v>
      </c>
      <c r="BT448" s="428" t="s">
        <v>762</v>
      </c>
      <c r="BU448" s="428" t="s">
        <v>762</v>
      </c>
      <c r="BV448" s="428" t="s">
        <v>762</v>
      </c>
      <c r="BW448" s="428" t="s">
        <v>762</v>
      </c>
      <c r="BX448" s="428" t="s">
        <v>762</v>
      </c>
      <c r="BY448" s="428" t="s">
        <v>762</v>
      </c>
      <c r="BZ448" s="428" t="s">
        <v>762</v>
      </c>
      <c r="CA448" s="428" t="s">
        <v>762</v>
      </c>
      <c r="CB448" s="428" t="s">
        <v>762</v>
      </c>
      <c r="CC448" s="428" t="s">
        <v>762</v>
      </c>
      <c r="CD448" s="428" t="s">
        <v>762</v>
      </c>
      <c r="CE448" s="428" t="s">
        <v>762</v>
      </c>
      <c r="CF448" s="428" t="s">
        <v>762</v>
      </c>
      <c r="CG448" s="428" t="s">
        <v>762</v>
      </c>
      <c r="CH448" s="428" t="s">
        <v>762</v>
      </c>
      <c r="CI448" s="428" t="s">
        <v>762</v>
      </c>
      <c r="CJ448" s="428" t="s">
        <v>762</v>
      </c>
      <c r="CK448" s="428" t="s">
        <v>762</v>
      </c>
      <c r="CL448" s="428" t="s">
        <v>762</v>
      </c>
    </row>
    <row r="449" spans="1:90" s="429" customFormat="1">
      <c r="A449" s="427" t="s">
        <v>615</v>
      </c>
      <c r="B449" s="427" t="s">
        <v>103</v>
      </c>
      <c r="C449" s="428">
        <f t="shared" si="414"/>
        <v>14</v>
      </c>
      <c r="D449" s="428">
        <f t="shared" si="415"/>
        <v>14</v>
      </c>
      <c r="E449" s="428">
        <f t="shared" si="416"/>
        <v>14</v>
      </c>
      <c r="F449" s="428">
        <f t="shared" si="417"/>
        <v>14</v>
      </c>
      <c r="G449" s="428">
        <f t="shared" si="418"/>
        <v>15</v>
      </c>
      <c r="H449" s="428">
        <f t="shared" si="419"/>
        <v>15</v>
      </c>
      <c r="I449" s="428">
        <f t="shared" si="420"/>
        <v>15</v>
      </c>
      <c r="J449" s="428">
        <f t="shared" si="421"/>
        <v>15</v>
      </c>
      <c r="K449" s="428">
        <f t="shared" si="422"/>
        <v>15</v>
      </c>
      <c r="L449" s="428">
        <f t="shared" si="423"/>
        <v>16</v>
      </c>
      <c r="M449" s="428">
        <f t="shared" si="424"/>
        <v>16</v>
      </c>
      <c r="N449" s="428">
        <f t="shared" si="425"/>
        <v>17</v>
      </c>
      <c r="O449" s="428">
        <f t="shared" si="426"/>
        <v>17</v>
      </c>
      <c r="P449" s="428">
        <f t="shared" si="427"/>
        <v>18</v>
      </c>
      <c r="Q449" s="428">
        <f t="shared" si="428"/>
        <v>18</v>
      </c>
      <c r="R449" s="428">
        <f t="shared" si="429"/>
        <v>18</v>
      </c>
      <c r="S449" s="428">
        <f t="shared" si="430"/>
        <v>18</v>
      </c>
      <c r="T449" s="428">
        <f t="shared" si="431"/>
        <v>18</v>
      </c>
      <c r="U449" s="428">
        <f t="shared" si="432"/>
        <v>22</v>
      </c>
      <c r="V449" s="428">
        <f t="shared" si="433"/>
        <v>22</v>
      </c>
      <c r="W449" s="428">
        <f t="shared" si="434"/>
        <v>26</v>
      </c>
      <c r="X449" s="428">
        <f t="shared" si="435"/>
        <v>34</v>
      </c>
      <c r="Y449" s="428">
        <f t="shared" si="436"/>
        <v>42</v>
      </c>
      <c r="Z449" s="428" t="s">
        <v>762</v>
      </c>
      <c r="AA449" s="428" t="s">
        <v>762</v>
      </c>
      <c r="AB449" s="428" t="s">
        <v>762</v>
      </c>
      <c r="AC449" s="428" t="s">
        <v>762</v>
      </c>
      <c r="AD449" s="428" t="s">
        <v>762</v>
      </c>
      <c r="AE449" s="428" t="s">
        <v>762</v>
      </c>
      <c r="AF449" s="428" t="s">
        <v>762</v>
      </c>
      <c r="AG449" s="428" t="s">
        <v>762</v>
      </c>
      <c r="AH449" s="428" t="s">
        <v>762</v>
      </c>
      <c r="AI449" s="428" t="s">
        <v>762</v>
      </c>
      <c r="AJ449" s="428" t="s">
        <v>762</v>
      </c>
      <c r="AK449" s="428" t="s">
        <v>762</v>
      </c>
      <c r="AL449" s="428" t="s">
        <v>762</v>
      </c>
      <c r="AM449" s="428" t="s">
        <v>762</v>
      </c>
      <c r="AN449" s="428" t="s">
        <v>762</v>
      </c>
      <c r="AO449" s="428" t="s">
        <v>762</v>
      </c>
      <c r="AP449" s="428" t="s">
        <v>762</v>
      </c>
      <c r="AQ449" s="428" t="s">
        <v>762</v>
      </c>
      <c r="AR449" s="428" t="s">
        <v>762</v>
      </c>
      <c r="AS449" s="428" t="s">
        <v>762</v>
      </c>
      <c r="AT449" s="428" t="s">
        <v>762</v>
      </c>
      <c r="AU449" s="428" t="s">
        <v>762</v>
      </c>
      <c r="AV449" s="428" t="s">
        <v>762</v>
      </c>
      <c r="AW449" s="428" t="s">
        <v>762</v>
      </c>
      <c r="AX449" s="428" t="s">
        <v>762</v>
      </c>
      <c r="AY449" s="428" t="s">
        <v>762</v>
      </c>
      <c r="AZ449" s="428" t="s">
        <v>762</v>
      </c>
      <c r="BA449" s="428" t="s">
        <v>762</v>
      </c>
      <c r="BB449" s="428" t="s">
        <v>762</v>
      </c>
      <c r="BC449" s="428" t="s">
        <v>762</v>
      </c>
      <c r="BD449" s="428" t="s">
        <v>762</v>
      </c>
      <c r="BE449" s="428" t="s">
        <v>762</v>
      </c>
      <c r="BF449" s="428" t="s">
        <v>762</v>
      </c>
      <c r="BG449" s="428" t="s">
        <v>762</v>
      </c>
      <c r="BH449" s="428" t="s">
        <v>762</v>
      </c>
      <c r="BI449" s="428" t="s">
        <v>762</v>
      </c>
      <c r="BJ449" s="428" t="s">
        <v>762</v>
      </c>
      <c r="BK449" s="428" t="s">
        <v>762</v>
      </c>
      <c r="BL449" s="428" t="s">
        <v>762</v>
      </c>
      <c r="BM449" s="428" t="s">
        <v>762</v>
      </c>
      <c r="BN449" s="428" t="s">
        <v>762</v>
      </c>
      <c r="BO449" s="428" t="s">
        <v>762</v>
      </c>
      <c r="BP449" s="428" t="s">
        <v>762</v>
      </c>
      <c r="BQ449" s="428" t="s">
        <v>762</v>
      </c>
      <c r="BR449" s="428" t="s">
        <v>762</v>
      </c>
      <c r="BS449" s="428" t="s">
        <v>762</v>
      </c>
      <c r="BT449" s="428" t="s">
        <v>762</v>
      </c>
      <c r="BU449" s="428" t="s">
        <v>762</v>
      </c>
      <c r="BV449" s="428" t="s">
        <v>762</v>
      </c>
      <c r="BW449" s="428" t="s">
        <v>762</v>
      </c>
      <c r="BX449" s="428" t="s">
        <v>762</v>
      </c>
      <c r="BY449" s="428" t="s">
        <v>762</v>
      </c>
      <c r="BZ449" s="428" t="s">
        <v>762</v>
      </c>
      <c r="CA449" s="428" t="s">
        <v>762</v>
      </c>
      <c r="CB449" s="428" t="s">
        <v>762</v>
      </c>
      <c r="CC449" s="428" t="s">
        <v>762</v>
      </c>
      <c r="CD449" s="428" t="s">
        <v>762</v>
      </c>
      <c r="CE449" s="428" t="s">
        <v>762</v>
      </c>
      <c r="CF449" s="428" t="s">
        <v>762</v>
      </c>
      <c r="CG449" s="428" t="s">
        <v>762</v>
      </c>
      <c r="CH449" s="428" t="s">
        <v>762</v>
      </c>
      <c r="CI449" s="428" t="s">
        <v>762</v>
      </c>
      <c r="CJ449" s="428" t="s">
        <v>762</v>
      </c>
      <c r="CK449" s="428" t="s">
        <v>762</v>
      </c>
      <c r="CL449" s="428" t="s">
        <v>762</v>
      </c>
    </row>
    <row r="450" spans="1:90" s="429" customFormat="1">
      <c r="A450" s="427" t="s">
        <v>616</v>
      </c>
      <c r="B450" s="427" t="s">
        <v>103</v>
      </c>
      <c r="C450" s="428">
        <f t="shared" si="414"/>
        <v>14</v>
      </c>
      <c r="D450" s="428">
        <f t="shared" si="415"/>
        <v>14</v>
      </c>
      <c r="E450" s="428">
        <f t="shared" si="416"/>
        <v>14</v>
      </c>
      <c r="F450" s="428">
        <f t="shared" si="417"/>
        <v>14</v>
      </c>
      <c r="G450" s="428">
        <f t="shared" si="418"/>
        <v>15</v>
      </c>
      <c r="H450" s="428">
        <f t="shared" si="419"/>
        <v>15</v>
      </c>
      <c r="I450" s="428">
        <f t="shared" si="420"/>
        <v>15</v>
      </c>
      <c r="J450" s="428">
        <f t="shared" si="421"/>
        <v>15</v>
      </c>
      <c r="K450" s="428">
        <f t="shared" si="422"/>
        <v>15</v>
      </c>
      <c r="L450" s="428">
        <f t="shared" si="423"/>
        <v>16</v>
      </c>
      <c r="M450" s="428">
        <f t="shared" si="424"/>
        <v>16</v>
      </c>
      <c r="N450" s="428">
        <f t="shared" si="425"/>
        <v>17</v>
      </c>
      <c r="O450" s="428">
        <f t="shared" si="426"/>
        <v>17</v>
      </c>
      <c r="P450" s="428">
        <f t="shared" si="427"/>
        <v>18</v>
      </c>
      <c r="Q450" s="428">
        <f t="shared" si="428"/>
        <v>18</v>
      </c>
      <c r="R450" s="428">
        <f t="shared" si="429"/>
        <v>18</v>
      </c>
      <c r="S450" s="428">
        <f t="shared" si="430"/>
        <v>18</v>
      </c>
      <c r="T450" s="428">
        <f t="shared" si="431"/>
        <v>18</v>
      </c>
      <c r="U450" s="428">
        <f t="shared" si="432"/>
        <v>22</v>
      </c>
      <c r="V450" s="428">
        <f t="shared" si="433"/>
        <v>22</v>
      </c>
      <c r="W450" s="428">
        <f t="shared" si="434"/>
        <v>26</v>
      </c>
      <c r="X450" s="428">
        <f t="shared" si="435"/>
        <v>34</v>
      </c>
      <c r="Y450" s="428">
        <f t="shared" si="436"/>
        <v>42</v>
      </c>
      <c r="Z450" s="428" t="s">
        <v>762</v>
      </c>
      <c r="AA450" s="428" t="s">
        <v>762</v>
      </c>
      <c r="AB450" s="428" t="s">
        <v>762</v>
      </c>
      <c r="AC450" s="428" t="s">
        <v>762</v>
      </c>
      <c r="AD450" s="428" t="s">
        <v>762</v>
      </c>
      <c r="AE450" s="428" t="s">
        <v>762</v>
      </c>
      <c r="AF450" s="428" t="s">
        <v>762</v>
      </c>
      <c r="AG450" s="428" t="s">
        <v>762</v>
      </c>
      <c r="AH450" s="428" t="s">
        <v>762</v>
      </c>
      <c r="AI450" s="428" t="s">
        <v>762</v>
      </c>
      <c r="AJ450" s="428" t="s">
        <v>762</v>
      </c>
      <c r="AK450" s="428" t="s">
        <v>762</v>
      </c>
      <c r="AL450" s="428" t="s">
        <v>762</v>
      </c>
      <c r="AM450" s="428" t="s">
        <v>762</v>
      </c>
      <c r="AN450" s="428" t="s">
        <v>762</v>
      </c>
      <c r="AO450" s="428" t="s">
        <v>762</v>
      </c>
      <c r="AP450" s="428" t="s">
        <v>762</v>
      </c>
      <c r="AQ450" s="428" t="s">
        <v>762</v>
      </c>
      <c r="AR450" s="428" t="s">
        <v>762</v>
      </c>
      <c r="AS450" s="428" t="s">
        <v>762</v>
      </c>
      <c r="AT450" s="428" t="s">
        <v>762</v>
      </c>
      <c r="AU450" s="428" t="s">
        <v>762</v>
      </c>
      <c r="AV450" s="428" t="s">
        <v>762</v>
      </c>
      <c r="AW450" s="428" t="s">
        <v>762</v>
      </c>
      <c r="AX450" s="428" t="s">
        <v>762</v>
      </c>
      <c r="AY450" s="428" t="s">
        <v>762</v>
      </c>
      <c r="AZ450" s="428" t="s">
        <v>762</v>
      </c>
      <c r="BA450" s="428" t="s">
        <v>762</v>
      </c>
      <c r="BB450" s="428" t="s">
        <v>762</v>
      </c>
      <c r="BC450" s="428" t="s">
        <v>762</v>
      </c>
      <c r="BD450" s="428" t="s">
        <v>762</v>
      </c>
      <c r="BE450" s="428" t="s">
        <v>762</v>
      </c>
      <c r="BF450" s="428" t="s">
        <v>762</v>
      </c>
      <c r="BG450" s="428" t="s">
        <v>762</v>
      </c>
      <c r="BH450" s="428" t="s">
        <v>762</v>
      </c>
      <c r="BI450" s="428" t="s">
        <v>762</v>
      </c>
      <c r="BJ450" s="428" t="s">
        <v>762</v>
      </c>
      <c r="BK450" s="428" t="s">
        <v>762</v>
      </c>
      <c r="BL450" s="428" t="s">
        <v>762</v>
      </c>
      <c r="BM450" s="428" t="s">
        <v>762</v>
      </c>
      <c r="BN450" s="428" t="s">
        <v>762</v>
      </c>
      <c r="BO450" s="428" t="s">
        <v>762</v>
      </c>
      <c r="BP450" s="428" t="s">
        <v>762</v>
      </c>
      <c r="BQ450" s="428" t="s">
        <v>762</v>
      </c>
      <c r="BR450" s="428" t="s">
        <v>762</v>
      </c>
      <c r="BS450" s="428" t="s">
        <v>762</v>
      </c>
      <c r="BT450" s="428" t="s">
        <v>762</v>
      </c>
      <c r="BU450" s="428" t="s">
        <v>762</v>
      </c>
      <c r="BV450" s="428" t="s">
        <v>762</v>
      </c>
      <c r="BW450" s="428" t="s">
        <v>762</v>
      </c>
      <c r="BX450" s="428" t="s">
        <v>762</v>
      </c>
      <c r="BY450" s="428" t="s">
        <v>762</v>
      </c>
      <c r="BZ450" s="428" t="s">
        <v>762</v>
      </c>
      <c r="CA450" s="428" t="s">
        <v>762</v>
      </c>
      <c r="CB450" s="428" t="s">
        <v>762</v>
      </c>
      <c r="CC450" s="428" t="s">
        <v>762</v>
      </c>
      <c r="CD450" s="428" t="s">
        <v>762</v>
      </c>
      <c r="CE450" s="428" t="s">
        <v>762</v>
      </c>
      <c r="CF450" s="428" t="s">
        <v>762</v>
      </c>
      <c r="CG450" s="428" t="s">
        <v>762</v>
      </c>
      <c r="CH450" s="428" t="s">
        <v>762</v>
      </c>
      <c r="CI450" s="428" t="s">
        <v>762</v>
      </c>
      <c r="CJ450" s="428" t="s">
        <v>762</v>
      </c>
      <c r="CK450" s="428" t="s">
        <v>762</v>
      </c>
      <c r="CL450" s="428" t="s">
        <v>762</v>
      </c>
    </row>
    <row r="451" spans="1:90" s="429" customFormat="1">
      <c r="A451" s="427" t="s">
        <v>617</v>
      </c>
      <c r="B451" s="427" t="s">
        <v>103</v>
      </c>
      <c r="C451" s="428">
        <f t="shared" si="414"/>
        <v>14</v>
      </c>
      <c r="D451" s="428">
        <f t="shared" si="415"/>
        <v>14</v>
      </c>
      <c r="E451" s="428">
        <f t="shared" si="416"/>
        <v>14</v>
      </c>
      <c r="F451" s="428">
        <f t="shared" si="417"/>
        <v>14</v>
      </c>
      <c r="G451" s="428">
        <f t="shared" si="418"/>
        <v>15</v>
      </c>
      <c r="H451" s="428">
        <f t="shared" si="419"/>
        <v>15</v>
      </c>
      <c r="I451" s="428">
        <f t="shared" si="420"/>
        <v>15</v>
      </c>
      <c r="J451" s="428">
        <f t="shared" si="421"/>
        <v>15</v>
      </c>
      <c r="K451" s="428">
        <f t="shared" si="422"/>
        <v>15</v>
      </c>
      <c r="L451" s="428">
        <f t="shared" si="423"/>
        <v>16</v>
      </c>
      <c r="M451" s="428">
        <f t="shared" si="424"/>
        <v>16</v>
      </c>
      <c r="N451" s="428">
        <f t="shared" si="425"/>
        <v>17</v>
      </c>
      <c r="O451" s="428">
        <f t="shared" si="426"/>
        <v>17</v>
      </c>
      <c r="P451" s="428">
        <f t="shared" si="427"/>
        <v>18</v>
      </c>
      <c r="Q451" s="428">
        <f t="shared" si="428"/>
        <v>18</v>
      </c>
      <c r="R451" s="428">
        <f t="shared" si="429"/>
        <v>18</v>
      </c>
      <c r="S451" s="428">
        <f t="shared" si="430"/>
        <v>18</v>
      </c>
      <c r="T451" s="428">
        <f t="shared" si="431"/>
        <v>18</v>
      </c>
      <c r="U451" s="428">
        <f t="shared" si="432"/>
        <v>22</v>
      </c>
      <c r="V451" s="428">
        <f t="shared" si="433"/>
        <v>22</v>
      </c>
      <c r="W451" s="428">
        <f t="shared" si="434"/>
        <v>26</v>
      </c>
      <c r="X451" s="428">
        <f t="shared" si="435"/>
        <v>34</v>
      </c>
      <c r="Y451" s="428">
        <f t="shared" si="436"/>
        <v>42</v>
      </c>
      <c r="Z451" s="428" t="s">
        <v>762</v>
      </c>
      <c r="AA451" s="428" t="s">
        <v>762</v>
      </c>
      <c r="AB451" s="428" t="s">
        <v>762</v>
      </c>
      <c r="AC451" s="428" t="s">
        <v>762</v>
      </c>
      <c r="AD451" s="428" t="s">
        <v>762</v>
      </c>
      <c r="AE451" s="428" t="s">
        <v>762</v>
      </c>
      <c r="AF451" s="428" t="s">
        <v>762</v>
      </c>
      <c r="AG451" s="428" t="s">
        <v>762</v>
      </c>
      <c r="AH451" s="428" t="s">
        <v>762</v>
      </c>
      <c r="AI451" s="428" t="s">
        <v>762</v>
      </c>
      <c r="AJ451" s="428" t="s">
        <v>762</v>
      </c>
      <c r="AK451" s="428" t="s">
        <v>762</v>
      </c>
      <c r="AL451" s="428" t="s">
        <v>762</v>
      </c>
      <c r="AM451" s="428" t="s">
        <v>762</v>
      </c>
      <c r="AN451" s="428" t="s">
        <v>762</v>
      </c>
      <c r="AO451" s="428" t="s">
        <v>762</v>
      </c>
      <c r="AP451" s="428" t="s">
        <v>762</v>
      </c>
      <c r="AQ451" s="428" t="s">
        <v>762</v>
      </c>
      <c r="AR451" s="428" t="s">
        <v>762</v>
      </c>
      <c r="AS451" s="428" t="s">
        <v>762</v>
      </c>
      <c r="AT451" s="428" t="s">
        <v>762</v>
      </c>
      <c r="AU451" s="428" t="s">
        <v>762</v>
      </c>
      <c r="AV451" s="428" t="s">
        <v>762</v>
      </c>
      <c r="AW451" s="428" t="s">
        <v>762</v>
      </c>
      <c r="AX451" s="428" t="s">
        <v>762</v>
      </c>
      <c r="AY451" s="428" t="s">
        <v>762</v>
      </c>
      <c r="AZ451" s="428" t="s">
        <v>762</v>
      </c>
      <c r="BA451" s="428" t="s">
        <v>762</v>
      </c>
      <c r="BB451" s="428" t="s">
        <v>762</v>
      </c>
      <c r="BC451" s="428" t="s">
        <v>762</v>
      </c>
      <c r="BD451" s="428" t="s">
        <v>762</v>
      </c>
      <c r="BE451" s="428" t="s">
        <v>762</v>
      </c>
      <c r="BF451" s="428" t="s">
        <v>762</v>
      </c>
      <c r="BG451" s="428" t="s">
        <v>762</v>
      </c>
      <c r="BH451" s="428" t="s">
        <v>762</v>
      </c>
      <c r="BI451" s="428" t="s">
        <v>762</v>
      </c>
      <c r="BJ451" s="428" t="s">
        <v>762</v>
      </c>
      <c r="BK451" s="428" t="s">
        <v>762</v>
      </c>
      <c r="BL451" s="428" t="s">
        <v>762</v>
      </c>
      <c r="BM451" s="428" t="s">
        <v>762</v>
      </c>
      <c r="BN451" s="428" t="s">
        <v>762</v>
      </c>
      <c r="BO451" s="428" t="s">
        <v>762</v>
      </c>
      <c r="BP451" s="428" t="s">
        <v>762</v>
      </c>
      <c r="BQ451" s="428" t="s">
        <v>762</v>
      </c>
      <c r="BR451" s="428" t="s">
        <v>762</v>
      </c>
      <c r="BS451" s="428" t="s">
        <v>762</v>
      </c>
      <c r="BT451" s="428" t="s">
        <v>762</v>
      </c>
      <c r="BU451" s="428" t="s">
        <v>762</v>
      </c>
      <c r="BV451" s="428" t="s">
        <v>762</v>
      </c>
      <c r="BW451" s="428" t="s">
        <v>762</v>
      </c>
      <c r="BX451" s="428" t="s">
        <v>762</v>
      </c>
      <c r="BY451" s="428" t="s">
        <v>762</v>
      </c>
      <c r="BZ451" s="428" t="s">
        <v>762</v>
      </c>
      <c r="CA451" s="428" t="s">
        <v>762</v>
      </c>
      <c r="CB451" s="428" t="s">
        <v>762</v>
      </c>
      <c r="CC451" s="428" t="s">
        <v>762</v>
      </c>
      <c r="CD451" s="428" t="s">
        <v>762</v>
      </c>
      <c r="CE451" s="428" t="s">
        <v>762</v>
      </c>
      <c r="CF451" s="428" t="s">
        <v>762</v>
      </c>
      <c r="CG451" s="428" t="s">
        <v>762</v>
      </c>
      <c r="CH451" s="428" t="s">
        <v>762</v>
      </c>
      <c r="CI451" s="428" t="s">
        <v>762</v>
      </c>
      <c r="CJ451" s="428" t="s">
        <v>762</v>
      </c>
      <c r="CK451" s="428" t="s">
        <v>762</v>
      </c>
      <c r="CL451" s="428" t="s">
        <v>762</v>
      </c>
    </row>
    <row r="452" spans="1:90" s="429" customFormat="1">
      <c r="A452" s="427" t="s">
        <v>618</v>
      </c>
      <c r="B452" s="427" t="s">
        <v>103</v>
      </c>
      <c r="C452" s="428">
        <f t="shared" si="414"/>
        <v>14</v>
      </c>
      <c r="D452" s="428">
        <f t="shared" si="415"/>
        <v>14</v>
      </c>
      <c r="E452" s="428">
        <f t="shared" si="416"/>
        <v>14</v>
      </c>
      <c r="F452" s="428">
        <f t="shared" si="417"/>
        <v>14</v>
      </c>
      <c r="G452" s="428">
        <f t="shared" si="418"/>
        <v>15</v>
      </c>
      <c r="H452" s="428">
        <f t="shared" si="419"/>
        <v>15</v>
      </c>
      <c r="I452" s="428">
        <f t="shared" si="420"/>
        <v>15</v>
      </c>
      <c r="J452" s="428">
        <f t="shared" si="421"/>
        <v>15</v>
      </c>
      <c r="K452" s="428">
        <f t="shared" si="422"/>
        <v>15</v>
      </c>
      <c r="L452" s="428">
        <f t="shared" si="423"/>
        <v>16</v>
      </c>
      <c r="M452" s="428">
        <f t="shared" si="424"/>
        <v>16</v>
      </c>
      <c r="N452" s="428">
        <f t="shared" si="425"/>
        <v>17</v>
      </c>
      <c r="O452" s="428">
        <f t="shared" si="426"/>
        <v>17</v>
      </c>
      <c r="P452" s="428">
        <f t="shared" si="427"/>
        <v>18</v>
      </c>
      <c r="Q452" s="428">
        <f t="shared" si="428"/>
        <v>18</v>
      </c>
      <c r="R452" s="428">
        <f t="shared" si="429"/>
        <v>18</v>
      </c>
      <c r="S452" s="428">
        <f t="shared" si="430"/>
        <v>18</v>
      </c>
      <c r="T452" s="428">
        <f t="shared" si="431"/>
        <v>18</v>
      </c>
      <c r="U452" s="428">
        <f t="shared" si="432"/>
        <v>22</v>
      </c>
      <c r="V452" s="428">
        <f t="shared" si="433"/>
        <v>22</v>
      </c>
      <c r="W452" s="428">
        <f t="shared" si="434"/>
        <v>26</v>
      </c>
      <c r="X452" s="428">
        <f t="shared" si="435"/>
        <v>34</v>
      </c>
      <c r="Y452" s="428">
        <f t="shared" si="436"/>
        <v>42</v>
      </c>
      <c r="Z452" s="428" t="s">
        <v>762</v>
      </c>
      <c r="AA452" s="428" t="s">
        <v>762</v>
      </c>
      <c r="AB452" s="428" t="s">
        <v>762</v>
      </c>
      <c r="AC452" s="428" t="s">
        <v>762</v>
      </c>
      <c r="AD452" s="428" t="s">
        <v>762</v>
      </c>
      <c r="AE452" s="428" t="s">
        <v>762</v>
      </c>
      <c r="AF452" s="428" t="s">
        <v>762</v>
      </c>
      <c r="AG452" s="428" t="s">
        <v>762</v>
      </c>
      <c r="AH452" s="428" t="s">
        <v>762</v>
      </c>
      <c r="AI452" s="428" t="s">
        <v>762</v>
      </c>
      <c r="AJ452" s="428" t="s">
        <v>762</v>
      </c>
      <c r="AK452" s="428" t="s">
        <v>762</v>
      </c>
      <c r="AL452" s="428" t="s">
        <v>762</v>
      </c>
      <c r="AM452" s="428" t="s">
        <v>762</v>
      </c>
      <c r="AN452" s="428" t="s">
        <v>762</v>
      </c>
      <c r="AO452" s="428" t="s">
        <v>762</v>
      </c>
      <c r="AP452" s="428" t="s">
        <v>762</v>
      </c>
      <c r="AQ452" s="428" t="s">
        <v>762</v>
      </c>
      <c r="AR452" s="428" t="s">
        <v>762</v>
      </c>
      <c r="AS452" s="428" t="s">
        <v>762</v>
      </c>
      <c r="AT452" s="428" t="s">
        <v>762</v>
      </c>
      <c r="AU452" s="428" t="s">
        <v>762</v>
      </c>
      <c r="AV452" s="428" t="s">
        <v>762</v>
      </c>
      <c r="AW452" s="428" t="s">
        <v>762</v>
      </c>
      <c r="AX452" s="428" t="s">
        <v>762</v>
      </c>
      <c r="AY452" s="428" t="s">
        <v>762</v>
      </c>
      <c r="AZ452" s="428" t="s">
        <v>762</v>
      </c>
      <c r="BA452" s="428" t="s">
        <v>762</v>
      </c>
      <c r="BB452" s="428" t="s">
        <v>762</v>
      </c>
      <c r="BC452" s="428" t="s">
        <v>762</v>
      </c>
      <c r="BD452" s="428" t="s">
        <v>762</v>
      </c>
      <c r="BE452" s="428" t="s">
        <v>762</v>
      </c>
      <c r="BF452" s="428" t="s">
        <v>762</v>
      </c>
      <c r="BG452" s="428" t="s">
        <v>762</v>
      </c>
      <c r="BH452" s="428" t="s">
        <v>762</v>
      </c>
      <c r="BI452" s="428" t="s">
        <v>762</v>
      </c>
      <c r="BJ452" s="428" t="s">
        <v>762</v>
      </c>
      <c r="BK452" s="428" t="s">
        <v>762</v>
      </c>
      <c r="BL452" s="428" t="s">
        <v>762</v>
      </c>
      <c r="BM452" s="428" t="s">
        <v>762</v>
      </c>
      <c r="BN452" s="428" t="s">
        <v>762</v>
      </c>
      <c r="BO452" s="428" t="s">
        <v>762</v>
      </c>
      <c r="BP452" s="428" t="s">
        <v>762</v>
      </c>
      <c r="BQ452" s="428" t="s">
        <v>762</v>
      </c>
      <c r="BR452" s="428" t="s">
        <v>762</v>
      </c>
      <c r="BS452" s="428" t="s">
        <v>762</v>
      </c>
      <c r="BT452" s="428" t="s">
        <v>762</v>
      </c>
      <c r="BU452" s="428" t="s">
        <v>762</v>
      </c>
      <c r="BV452" s="428" t="s">
        <v>762</v>
      </c>
      <c r="BW452" s="428" t="s">
        <v>762</v>
      </c>
      <c r="BX452" s="428" t="s">
        <v>762</v>
      </c>
      <c r="BY452" s="428" t="s">
        <v>762</v>
      </c>
      <c r="BZ452" s="428" t="s">
        <v>762</v>
      </c>
      <c r="CA452" s="428" t="s">
        <v>762</v>
      </c>
      <c r="CB452" s="428" t="s">
        <v>762</v>
      </c>
      <c r="CC452" s="428" t="s">
        <v>762</v>
      </c>
      <c r="CD452" s="428" t="s">
        <v>762</v>
      </c>
      <c r="CE452" s="428" t="s">
        <v>762</v>
      </c>
      <c r="CF452" s="428" t="s">
        <v>762</v>
      </c>
      <c r="CG452" s="428" t="s">
        <v>762</v>
      </c>
      <c r="CH452" s="428" t="s">
        <v>762</v>
      </c>
      <c r="CI452" s="428" t="s">
        <v>762</v>
      </c>
      <c r="CJ452" s="428" t="s">
        <v>762</v>
      </c>
      <c r="CK452" s="428" t="s">
        <v>762</v>
      </c>
      <c r="CL452" s="428" t="s">
        <v>762</v>
      </c>
    </row>
    <row r="453" spans="1:90" s="429" customFormat="1">
      <c r="A453" s="427" t="s">
        <v>619</v>
      </c>
      <c r="B453" s="427" t="s">
        <v>103</v>
      </c>
      <c r="C453" s="428">
        <f t="shared" si="414"/>
        <v>14</v>
      </c>
      <c r="D453" s="428">
        <f t="shared" si="415"/>
        <v>14</v>
      </c>
      <c r="E453" s="428">
        <f t="shared" si="416"/>
        <v>14</v>
      </c>
      <c r="F453" s="428">
        <f t="shared" si="417"/>
        <v>14</v>
      </c>
      <c r="G453" s="428">
        <f t="shared" si="418"/>
        <v>15</v>
      </c>
      <c r="H453" s="428">
        <f t="shared" si="419"/>
        <v>15</v>
      </c>
      <c r="I453" s="428">
        <f t="shared" si="420"/>
        <v>15</v>
      </c>
      <c r="J453" s="428">
        <f t="shared" si="421"/>
        <v>15</v>
      </c>
      <c r="K453" s="428">
        <f t="shared" si="422"/>
        <v>15</v>
      </c>
      <c r="L453" s="428">
        <f t="shared" si="423"/>
        <v>16</v>
      </c>
      <c r="M453" s="428">
        <f t="shared" si="424"/>
        <v>16</v>
      </c>
      <c r="N453" s="428">
        <f t="shared" si="425"/>
        <v>17</v>
      </c>
      <c r="O453" s="428">
        <f t="shared" si="426"/>
        <v>17</v>
      </c>
      <c r="P453" s="428">
        <f t="shared" si="427"/>
        <v>18</v>
      </c>
      <c r="Q453" s="428">
        <f t="shared" si="428"/>
        <v>18</v>
      </c>
      <c r="R453" s="428">
        <f t="shared" si="429"/>
        <v>18</v>
      </c>
      <c r="S453" s="428">
        <f t="shared" si="430"/>
        <v>18</v>
      </c>
      <c r="T453" s="428">
        <f t="shared" si="431"/>
        <v>18</v>
      </c>
      <c r="U453" s="428">
        <f t="shared" si="432"/>
        <v>22</v>
      </c>
      <c r="V453" s="428">
        <f t="shared" si="433"/>
        <v>22</v>
      </c>
      <c r="W453" s="428">
        <f t="shared" si="434"/>
        <v>26</v>
      </c>
      <c r="X453" s="428">
        <f t="shared" si="435"/>
        <v>34</v>
      </c>
      <c r="Y453" s="428">
        <f t="shared" si="436"/>
        <v>42</v>
      </c>
      <c r="Z453" s="428" t="s">
        <v>762</v>
      </c>
      <c r="AA453" s="428" t="s">
        <v>762</v>
      </c>
      <c r="AB453" s="428" t="s">
        <v>762</v>
      </c>
      <c r="AC453" s="428" t="s">
        <v>762</v>
      </c>
      <c r="AD453" s="428" t="s">
        <v>762</v>
      </c>
      <c r="AE453" s="428" t="s">
        <v>762</v>
      </c>
      <c r="AF453" s="428" t="s">
        <v>762</v>
      </c>
      <c r="AG453" s="428" t="s">
        <v>762</v>
      </c>
      <c r="AH453" s="428" t="s">
        <v>762</v>
      </c>
      <c r="AI453" s="428" t="s">
        <v>762</v>
      </c>
      <c r="AJ453" s="428" t="s">
        <v>762</v>
      </c>
      <c r="AK453" s="428" t="s">
        <v>762</v>
      </c>
      <c r="AL453" s="428" t="s">
        <v>762</v>
      </c>
      <c r="AM453" s="428" t="s">
        <v>762</v>
      </c>
      <c r="AN453" s="428" t="s">
        <v>762</v>
      </c>
      <c r="AO453" s="428" t="s">
        <v>762</v>
      </c>
      <c r="AP453" s="428" t="s">
        <v>762</v>
      </c>
      <c r="AQ453" s="428" t="s">
        <v>762</v>
      </c>
      <c r="AR453" s="428" t="s">
        <v>762</v>
      </c>
      <c r="AS453" s="428" t="s">
        <v>762</v>
      </c>
      <c r="AT453" s="428" t="s">
        <v>762</v>
      </c>
      <c r="AU453" s="428" t="s">
        <v>762</v>
      </c>
      <c r="AV453" s="428" t="s">
        <v>762</v>
      </c>
      <c r="AW453" s="428" t="s">
        <v>762</v>
      </c>
      <c r="AX453" s="428" t="s">
        <v>762</v>
      </c>
      <c r="AY453" s="428" t="s">
        <v>762</v>
      </c>
      <c r="AZ453" s="428" t="s">
        <v>762</v>
      </c>
      <c r="BA453" s="428" t="s">
        <v>762</v>
      </c>
      <c r="BB453" s="428" t="s">
        <v>762</v>
      </c>
      <c r="BC453" s="428" t="s">
        <v>762</v>
      </c>
      <c r="BD453" s="428" t="s">
        <v>762</v>
      </c>
      <c r="BE453" s="428" t="s">
        <v>762</v>
      </c>
      <c r="BF453" s="428" t="s">
        <v>762</v>
      </c>
      <c r="BG453" s="428" t="s">
        <v>762</v>
      </c>
      <c r="BH453" s="428" t="s">
        <v>762</v>
      </c>
      <c r="BI453" s="428" t="s">
        <v>762</v>
      </c>
      <c r="BJ453" s="428" t="s">
        <v>762</v>
      </c>
      <c r="BK453" s="428" t="s">
        <v>762</v>
      </c>
      <c r="BL453" s="428" t="s">
        <v>762</v>
      </c>
      <c r="BM453" s="428" t="s">
        <v>762</v>
      </c>
      <c r="BN453" s="428" t="s">
        <v>762</v>
      </c>
      <c r="BO453" s="428" t="s">
        <v>762</v>
      </c>
      <c r="BP453" s="428" t="s">
        <v>762</v>
      </c>
      <c r="BQ453" s="428" t="s">
        <v>762</v>
      </c>
      <c r="BR453" s="428" t="s">
        <v>762</v>
      </c>
      <c r="BS453" s="428" t="s">
        <v>762</v>
      </c>
      <c r="BT453" s="428" t="s">
        <v>762</v>
      </c>
      <c r="BU453" s="428" t="s">
        <v>762</v>
      </c>
      <c r="BV453" s="428" t="s">
        <v>762</v>
      </c>
      <c r="BW453" s="428" t="s">
        <v>762</v>
      </c>
      <c r="BX453" s="428" t="s">
        <v>762</v>
      </c>
      <c r="BY453" s="428" t="s">
        <v>762</v>
      </c>
      <c r="BZ453" s="428" t="s">
        <v>762</v>
      </c>
      <c r="CA453" s="428" t="s">
        <v>762</v>
      </c>
      <c r="CB453" s="428" t="s">
        <v>762</v>
      </c>
      <c r="CC453" s="428" t="s">
        <v>762</v>
      </c>
      <c r="CD453" s="428" t="s">
        <v>762</v>
      </c>
      <c r="CE453" s="428" t="s">
        <v>762</v>
      </c>
      <c r="CF453" s="428" t="s">
        <v>762</v>
      </c>
      <c r="CG453" s="428" t="s">
        <v>762</v>
      </c>
      <c r="CH453" s="428" t="s">
        <v>762</v>
      </c>
      <c r="CI453" s="428" t="s">
        <v>762</v>
      </c>
      <c r="CJ453" s="428" t="s">
        <v>762</v>
      </c>
      <c r="CK453" s="428" t="s">
        <v>762</v>
      </c>
      <c r="CL453" s="428" t="s">
        <v>762</v>
      </c>
    </row>
    <row r="454" spans="1:90" s="429" customFormat="1">
      <c r="A454" s="427" t="s">
        <v>620</v>
      </c>
      <c r="B454" s="427" t="s">
        <v>103</v>
      </c>
      <c r="C454" s="428">
        <f t="shared" si="414"/>
        <v>14</v>
      </c>
      <c r="D454" s="428">
        <f t="shared" si="415"/>
        <v>14</v>
      </c>
      <c r="E454" s="428">
        <f t="shared" si="416"/>
        <v>14</v>
      </c>
      <c r="F454" s="428">
        <f t="shared" si="417"/>
        <v>14</v>
      </c>
      <c r="G454" s="428">
        <f t="shared" si="418"/>
        <v>15</v>
      </c>
      <c r="H454" s="428">
        <f t="shared" si="419"/>
        <v>15</v>
      </c>
      <c r="I454" s="428">
        <f t="shared" si="420"/>
        <v>15</v>
      </c>
      <c r="J454" s="428">
        <f t="shared" si="421"/>
        <v>15</v>
      </c>
      <c r="K454" s="428">
        <f t="shared" si="422"/>
        <v>15</v>
      </c>
      <c r="L454" s="428">
        <f t="shared" si="423"/>
        <v>16</v>
      </c>
      <c r="M454" s="428">
        <f t="shared" si="424"/>
        <v>16</v>
      </c>
      <c r="N454" s="428">
        <f t="shared" si="425"/>
        <v>17</v>
      </c>
      <c r="O454" s="428">
        <f t="shared" si="426"/>
        <v>17</v>
      </c>
      <c r="P454" s="428">
        <f t="shared" si="427"/>
        <v>18</v>
      </c>
      <c r="Q454" s="428">
        <f t="shared" si="428"/>
        <v>18</v>
      </c>
      <c r="R454" s="428">
        <f t="shared" si="429"/>
        <v>18</v>
      </c>
      <c r="S454" s="428">
        <f t="shared" si="430"/>
        <v>18</v>
      </c>
      <c r="T454" s="428">
        <f t="shared" si="431"/>
        <v>18</v>
      </c>
      <c r="U454" s="428">
        <f t="shared" si="432"/>
        <v>22</v>
      </c>
      <c r="V454" s="428">
        <f t="shared" si="433"/>
        <v>22</v>
      </c>
      <c r="W454" s="428">
        <f t="shared" si="434"/>
        <v>26</v>
      </c>
      <c r="X454" s="428">
        <f t="shared" si="435"/>
        <v>34</v>
      </c>
      <c r="Y454" s="428">
        <f t="shared" si="436"/>
        <v>42</v>
      </c>
      <c r="Z454" s="428" t="s">
        <v>762</v>
      </c>
      <c r="AA454" s="428" t="s">
        <v>762</v>
      </c>
      <c r="AB454" s="428" t="s">
        <v>762</v>
      </c>
      <c r="AC454" s="428" t="s">
        <v>762</v>
      </c>
      <c r="AD454" s="428" t="s">
        <v>762</v>
      </c>
      <c r="AE454" s="428" t="s">
        <v>762</v>
      </c>
      <c r="AF454" s="428" t="s">
        <v>762</v>
      </c>
      <c r="AG454" s="428" t="s">
        <v>762</v>
      </c>
      <c r="AH454" s="428" t="s">
        <v>762</v>
      </c>
      <c r="AI454" s="428" t="s">
        <v>762</v>
      </c>
      <c r="AJ454" s="428" t="s">
        <v>762</v>
      </c>
      <c r="AK454" s="428" t="s">
        <v>762</v>
      </c>
      <c r="AL454" s="428" t="s">
        <v>762</v>
      </c>
      <c r="AM454" s="428" t="s">
        <v>762</v>
      </c>
      <c r="AN454" s="428" t="s">
        <v>762</v>
      </c>
      <c r="AO454" s="428" t="s">
        <v>762</v>
      </c>
      <c r="AP454" s="428" t="s">
        <v>762</v>
      </c>
      <c r="AQ454" s="428" t="s">
        <v>762</v>
      </c>
      <c r="AR454" s="428" t="s">
        <v>762</v>
      </c>
      <c r="AS454" s="428" t="s">
        <v>762</v>
      </c>
      <c r="AT454" s="428" t="s">
        <v>762</v>
      </c>
      <c r="AU454" s="428" t="s">
        <v>762</v>
      </c>
      <c r="AV454" s="428" t="s">
        <v>762</v>
      </c>
      <c r="AW454" s="428" t="s">
        <v>762</v>
      </c>
      <c r="AX454" s="428" t="s">
        <v>762</v>
      </c>
      <c r="AY454" s="428" t="s">
        <v>762</v>
      </c>
      <c r="AZ454" s="428" t="s">
        <v>762</v>
      </c>
      <c r="BA454" s="428" t="s">
        <v>762</v>
      </c>
      <c r="BB454" s="428" t="s">
        <v>762</v>
      </c>
      <c r="BC454" s="428" t="s">
        <v>762</v>
      </c>
      <c r="BD454" s="428" t="s">
        <v>762</v>
      </c>
      <c r="BE454" s="428" t="s">
        <v>762</v>
      </c>
      <c r="BF454" s="428" t="s">
        <v>762</v>
      </c>
      <c r="BG454" s="428" t="s">
        <v>762</v>
      </c>
      <c r="BH454" s="428" t="s">
        <v>762</v>
      </c>
      <c r="BI454" s="428" t="s">
        <v>762</v>
      </c>
      <c r="BJ454" s="428" t="s">
        <v>762</v>
      </c>
      <c r="BK454" s="428" t="s">
        <v>762</v>
      </c>
      <c r="BL454" s="428" t="s">
        <v>762</v>
      </c>
      <c r="BM454" s="428" t="s">
        <v>762</v>
      </c>
      <c r="BN454" s="428" t="s">
        <v>762</v>
      </c>
      <c r="BO454" s="428" t="s">
        <v>762</v>
      </c>
      <c r="BP454" s="428" t="s">
        <v>762</v>
      </c>
      <c r="BQ454" s="428" t="s">
        <v>762</v>
      </c>
      <c r="BR454" s="428" t="s">
        <v>762</v>
      </c>
      <c r="BS454" s="428" t="s">
        <v>762</v>
      </c>
      <c r="BT454" s="428" t="s">
        <v>762</v>
      </c>
      <c r="BU454" s="428" t="s">
        <v>762</v>
      </c>
      <c r="BV454" s="428" t="s">
        <v>762</v>
      </c>
      <c r="BW454" s="428" t="s">
        <v>762</v>
      </c>
      <c r="BX454" s="428" t="s">
        <v>762</v>
      </c>
      <c r="BY454" s="428" t="s">
        <v>762</v>
      </c>
      <c r="BZ454" s="428" t="s">
        <v>762</v>
      </c>
      <c r="CA454" s="428" t="s">
        <v>762</v>
      </c>
      <c r="CB454" s="428" t="s">
        <v>762</v>
      </c>
      <c r="CC454" s="428" t="s">
        <v>762</v>
      </c>
      <c r="CD454" s="428" t="s">
        <v>762</v>
      </c>
      <c r="CE454" s="428" t="s">
        <v>762</v>
      </c>
      <c r="CF454" s="428" t="s">
        <v>762</v>
      </c>
      <c r="CG454" s="428" t="s">
        <v>762</v>
      </c>
      <c r="CH454" s="428" t="s">
        <v>762</v>
      </c>
      <c r="CI454" s="428" t="s">
        <v>762</v>
      </c>
      <c r="CJ454" s="428" t="s">
        <v>762</v>
      </c>
      <c r="CK454" s="428" t="s">
        <v>762</v>
      </c>
      <c r="CL454" s="428" t="s">
        <v>762</v>
      </c>
    </row>
    <row r="455" spans="1:90" s="429" customFormat="1">
      <c r="A455" s="427" t="s">
        <v>621</v>
      </c>
      <c r="B455" s="427" t="s">
        <v>103</v>
      </c>
      <c r="C455" s="428">
        <f t="shared" si="414"/>
        <v>14</v>
      </c>
      <c r="D455" s="428">
        <f t="shared" si="415"/>
        <v>14</v>
      </c>
      <c r="E455" s="428">
        <f t="shared" si="416"/>
        <v>14</v>
      </c>
      <c r="F455" s="428">
        <f t="shared" si="417"/>
        <v>14</v>
      </c>
      <c r="G455" s="428">
        <f t="shared" si="418"/>
        <v>15</v>
      </c>
      <c r="H455" s="428">
        <f t="shared" si="419"/>
        <v>15</v>
      </c>
      <c r="I455" s="428">
        <f t="shared" si="420"/>
        <v>15</v>
      </c>
      <c r="J455" s="428">
        <f t="shared" si="421"/>
        <v>15</v>
      </c>
      <c r="K455" s="428">
        <f t="shared" si="422"/>
        <v>15</v>
      </c>
      <c r="L455" s="428">
        <f t="shared" si="423"/>
        <v>16</v>
      </c>
      <c r="M455" s="428">
        <f t="shared" si="424"/>
        <v>16</v>
      </c>
      <c r="N455" s="428">
        <f t="shared" si="425"/>
        <v>17</v>
      </c>
      <c r="O455" s="428">
        <f t="shared" si="426"/>
        <v>17</v>
      </c>
      <c r="P455" s="428">
        <f t="shared" si="427"/>
        <v>18</v>
      </c>
      <c r="Q455" s="428">
        <f t="shared" si="428"/>
        <v>18</v>
      </c>
      <c r="R455" s="428">
        <f t="shared" si="429"/>
        <v>18</v>
      </c>
      <c r="S455" s="428">
        <f t="shared" si="430"/>
        <v>18</v>
      </c>
      <c r="T455" s="428">
        <f t="shared" si="431"/>
        <v>18</v>
      </c>
      <c r="U455" s="428">
        <f t="shared" si="432"/>
        <v>22</v>
      </c>
      <c r="V455" s="428">
        <f t="shared" si="433"/>
        <v>22</v>
      </c>
      <c r="W455" s="428">
        <f t="shared" si="434"/>
        <v>26</v>
      </c>
      <c r="X455" s="428">
        <f t="shared" si="435"/>
        <v>34</v>
      </c>
      <c r="Y455" s="428">
        <f t="shared" si="436"/>
        <v>42</v>
      </c>
      <c r="Z455" s="428" t="s">
        <v>762</v>
      </c>
      <c r="AA455" s="428" t="s">
        <v>762</v>
      </c>
      <c r="AB455" s="428" t="s">
        <v>762</v>
      </c>
      <c r="AC455" s="428" t="s">
        <v>762</v>
      </c>
      <c r="AD455" s="428" t="s">
        <v>762</v>
      </c>
      <c r="AE455" s="428" t="s">
        <v>762</v>
      </c>
      <c r="AF455" s="428" t="s">
        <v>762</v>
      </c>
      <c r="AG455" s="428" t="s">
        <v>762</v>
      </c>
      <c r="AH455" s="428" t="s">
        <v>762</v>
      </c>
      <c r="AI455" s="428" t="s">
        <v>762</v>
      </c>
      <c r="AJ455" s="428" t="s">
        <v>762</v>
      </c>
      <c r="AK455" s="428" t="s">
        <v>762</v>
      </c>
      <c r="AL455" s="428" t="s">
        <v>762</v>
      </c>
      <c r="AM455" s="428" t="s">
        <v>762</v>
      </c>
      <c r="AN455" s="428" t="s">
        <v>762</v>
      </c>
      <c r="AO455" s="428" t="s">
        <v>762</v>
      </c>
      <c r="AP455" s="428" t="s">
        <v>762</v>
      </c>
      <c r="AQ455" s="428" t="s">
        <v>762</v>
      </c>
      <c r="AR455" s="428" t="s">
        <v>762</v>
      </c>
      <c r="AS455" s="428" t="s">
        <v>762</v>
      </c>
      <c r="AT455" s="428" t="s">
        <v>762</v>
      </c>
      <c r="AU455" s="428" t="s">
        <v>762</v>
      </c>
      <c r="AV455" s="428" t="s">
        <v>762</v>
      </c>
      <c r="AW455" s="428" t="s">
        <v>762</v>
      </c>
      <c r="AX455" s="428" t="s">
        <v>762</v>
      </c>
      <c r="AY455" s="428" t="s">
        <v>762</v>
      </c>
      <c r="AZ455" s="428" t="s">
        <v>762</v>
      </c>
      <c r="BA455" s="428" t="s">
        <v>762</v>
      </c>
      <c r="BB455" s="428" t="s">
        <v>762</v>
      </c>
      <c r="BC455" s="428" t="s">
        <v>762</v>
      </c>
      <c r="BD455" s="428" t="s">
        <v>762</v>
      </c>
      <c r="BE455" s="428" t="s">
        <v>762</v>
      </c>
      <c r="BF455" s="428" t="s">
        <v>762</v>
      </c>
      <c r="BG455" s="428" t="s">
        <v>762</v>
      </c>
      <c r="BH455" s="428" t="s">
        <v>762</v>
      </c>
      <c r="BI455" s="428" t="s">
        <v>762</v>
      </c>
      <c r="BJ455" s="428" t="s">
        <v>762</v>
      </c>
      <c r="BK455" s="428" t="s">
        <v>762</v>
      </c>
      <c r="BL455" s="428" t="s">
        <v>762</v>
      </c>
      <c r="BM455" s="428" t="s">
        <v>762</v>
      </c>
      <c r="BN455" s="428" t="s">
        <v>762</v>
      </c>
      <c r="BO455" s="428" t="s">
        <v>762</v>
      </c>
      <c r="BP455" s="428" t="s">
        <v>762</v>
      </c>
      <c r="BQ455" s="428" t="s">
        <v>762</v>
      </c>
      <c r="BR455" s="428" t="s">
        <v>762</v>
      </c>
      <c r="BS455" s="428" t="s">
        <v>762</v>
      </c>
      <c r="BT455" s="428" t="s">
        <v>762</v>
      </c>
      <c r="BU455" s="428" t="s">
        <v>762</v>
      </c>
      <c r="BV455" s="428" t="s">
        <v>762</v>
      </c>
      <c r="BW455" s="428" t="s">
        <v>762</v>
      </c>
      <c r="BX455" s="428" t="s">
        <v>762</v>
      </c>
      <c r="BY455" s="428" t="s">
        <v>762</v>
      </c>
      <c r="BZ455" s="428" t="s">
        <v>762</v>
      </c>
      <c r="CA455" s="428" t="s">
        <v>762</v>
      </c>
      <c r="CB455" s="428" t="s">
        <v>762</v>
      </c>
      <c r="CC455" s="428" t="s">
        <v>762</v>
      </c>
      <c r="CD455" s="428" t="s">
        <v>762</v>
      </c>
      <c r="CE455" s="428" t="s">
        <v>762</v>
      </c>
      <c r="CF455" s="428" t="s">
        <v>762</v>
      </c>
      <c r="CG455" s="428" t="s">
        <v>762</v>
      </c>
      <c r="CH455" s="428" t="s">
        <v>762</v>
      </c>
      <c r="CI455" s="428" t="s">
        <v>762</v>
      </c>
      <c r="CJ455" s="428" t="s">
        <v>762</v>
      </c>
      <c r="CK455" s="428" t="s">
        <v>762</v>
      </c>
      <c r="CL455" s="428" t="s">
        <v>762</v>
      </c>
    </row>
    <row r="456" spans="1:90" s="429" customFormat="1">
      <c r="A456" s="427" t="s">
        <v>622</v>
      </c>
      <c r="B456" s="427" t="s">
        <v>103</v>
      </c>
      <c r="C456" s="428">
        <f t="shared" si="414"/>
        <v>14</v>
      </c>
      <c r="D456" s="428">
        <f t="shared" si="415"/>
        <v>14</v>
      </c>
      <c r="E456" s="428">
        <f t="shared" si="416"/>
        <v>14</v>
      </c>
      <c r="F456" s="428">
        <f t="shared" si="417"/>
        <v>14</v>
      </c>
      <c r="G456" s="428">
        <f t="shared" si="418"/>
        <v>15</v>
      </c>
      <c r="H456" s="428">
        <f t="shared" si="419"/>
        <v>15</v>
      </c>
      <c r="I456" s="428">
        <f t="shared" si="420"/>
        <v>15</v>
      </c>
      <c r="J456" s="428">
        <f t="shared" si="421"/>
        <v>15</v>
      </c>
      <c r="K456" s="428">
        <f t="shared" si="422"/>
        <v>15</v>
      </c>
      <c r="L456" s="428">
        <f t="shared" si="423"/>
        <v>16</v>
      </c>
      <c r="M456" s="428">
        <f t="shared" si="424"/>
        <v>16</v>
      </c>
      <c r="N456" s="428">
        <f t="shared" si="425"/>
        <v>17</v>
      </c>
      <c r="O456" s="428">
        <f t="shared" si="426"/>
        <v>17</v>
      </c>
      <c r="P456" s="428">
        <f t="shared" si="427"/>
        <v>18</v>
      </c>
      <c r="Q456" s="428">
        <f t="shared" si="428"/>
        <v>18</v>
      </c>
      <c r="R456" s="428">
        <f t="shared" si="429"/>
        <v>18</v>
      </c>
      <c r="S456" s="428">
        <f t="shared" si="430"/>
        <v>18</v>
      </c>
      <c r="T456" s="428">
        <f t="shared" si="431"/>
        <v>18</v>
      </c>
      <c r="U456" s="428">
        <f t="shared" si="432"/>
        <v>22</v>
      </c>
      <c r="V456" s="428">
        <f t="shared" si="433"/>
        <v>22</v>
      </c>
      <c r="W456" s="428">
        <f t="shared" si="434"/>
        <v>26</v>
      </c>
      <c r="X456" s="428">
        <f t="shared" si="435"/>
        <v>34</v>
      </c>
      <c r="Y456" s="428">
        <f t="shared" si="436"/>
        <v>42</v>
      </c>
      <c r="Z456" s="428" t="s">
        <v>762</v>
      </c>
      <c r="AA456" s="428" t="s">
        <v>762</v>
      </c>
      <c r="AB456" s="428" t="s">
        <v>762</v>
      </c>
      <c r="AC456" s="428" t="s">
        <v>762</v>
      </c>
      <c r="AD456" s="428" t="s">
        <v>762</v>
      </c>
      <c r="AE456" s="428" t="s">
        <v>762</v>
      </c>
      <c r="AF456" s="428" t="s">
        <v>762</v>
      </c>
      <c r="AG456" s="428" t="s">
        <v>762</v>
      </c>
      <c r="AH456" s="428" t="s">
        <v>762</v>
      </c>
      <c r="AI456" s="428" t="s">
        <v>762</v>
      </c>
      <c r="AJ456" s="428" t="s">
        <v>762</v>
      </c>
      <c r="AK456" s="428" t="s">
        <v>762</v>
      </c>
      <c r="AL456" s="428" t="s">
        <v>762</v>
      </c>
      <c r="AM456" s="428" t="s">
        <v>762</v>
      </c>
      <c r="AN456" s="428" t="s">
        <v>762</v>
      </c>
      <c r="AO456" s="428" t="s">
        <v>762</v>
      </c>
      <c r="AP456" s="428" t="s">
        <v>762</v>
      </c>
      <c r="AQ456" s="428" t="s">
        <v>762</v>
      </c>
      <c r="AR456" s="428" t="s">
        <v>762</v>
      </c>
      <c r="AS456" s="428" t="s">
        <v>762</v>
      </c>
      <c r="AT456" s="428" t="s">
        <v>762</v>
      </c>
      <c r="AU456" s="428" t="s">
        <v>762</v>
      </c>
      <c r="AV456" s="428" t="s">
        <v>762</v>
      </c>
      <c r="AW456" s="428" t="s">
        <v>762</v>
      </c>
      <c r="AX456" s="428" t="s">
        <v>762</v>
      </c>
      <c r="AY456" s="428" t="s">
        <v>762</v>
      </c>
      <c r="AZ456" s="428" t="s">
        <v>762</v>
      </c>
      <c r="BA456" s="428" t="s">
        <v>762</v>
      </c>
      <c r="BB456" s="428" t="s">
        <v>762</v>
      </c>
      <c r="BC456" s="428" t="s">
        <v>762</v>
      </c>
      <c r="BD456" s="428" t="s">
        <v>762</v>
      </c>
      <c r="BE456" s="428" t="s">
        <v>762</v>
      </c>
      <c r="BF456" s="428" t="s">
        <v>762</v>
      </c>
      <c r="BG456" s="428" t="s">
        <v>762</v>
      </c>
      <c r="BH456" s="428" t="s">
        <v>762</v>
      </c>
      <c r="BI456" s="428" t="s">
        <v>762</v>
      </c>
      <c r="BJ456" s="428" t="s">
        <v>762</v>
      </c>
      <c r="BK456" s="428" t="s">
        <v>762</v>
      </c>
      <c r="BL456" s="428" t="s">
        <v>762</v>
      </c>
      <c r="BM456" s="428" t="s">
        <v>762</v>
      </c>
      <c r="BN456" s="428" t="s">
        <v>762</v>
      </c>
      <c r="BO456" s="428" t="s">
        <v>762</v>
      </c>
      <c r="BP456" s="428" t="s">
        <v>762</v>
      </c>
      <c r="BQ456" s="428" t="s">
        <v>762</v>
      </c>
      <c r="BR456" s="428" t="s">
        <v>762</v>
      </c>
      <c r="BS456" s="428" t="s">
        <v>762</v>
      </c>
      <c r="BT456" s="428" t="s">
        <v>762</v>
      </c>
      <c r="BU456" s="428" t="s">
        <v>762</v>
      </c>
      <c r="BV456" s="428" t="s">
        <v>762</v>
      </c>
      <c r="BW456" s="428" t="s">
        <v>762</v>
      </c>
      <c r="BX456" s="428" t="s">
        <v>762</v>
      </c>
      <c r="BY456" s="428" t="s">
        <v>762</v>
      </c>
      <c r="BZ456" s="428" t="s">
        <v>762</v>
      </c>
      <c r="CA456" s="428" t="s">
        <v>762</v>
      </c>
      <c r="CB456" s="428" t="s">
        <v>762</v>
      </c>
      <c r="CC456" s="428" t="s">
        <v>762</v>
      </c>
      <c r="CD456" s="428" t="s">
        <v>762</v>
      </c>
      <c r="CE456" s="428" t="s">
        <v>762</v>
      </c>
      <c r="CF456" s="428" t="s">
        <v>762</v>
      </c>
      <c r="CG456" s="428" t="s">
        <v>762</v>
      </c>
      <c r="CH456" s="428" t="s">
        <v>762</v>
      </c>
      <c r="CI456" s="428" t="s">
        <v>762</v>
      </c>
      <c r="CJ456" s="428" t="s">
        <v>762</v>
      </c>
      <c r="CK456" s="428" t="s">
        <v>762</v>
      </c>
      <c r="CL456" s="428" t="s">
        <v>762</v>
      </c>
    </row>
    <row r="457" spans="1:90" s="429" customFormat="1">
      <c r="A457" s="427" t="s">
        <v>623</v>
      </c>
      <c r="B457" s="427" t="s">
        <v>103</v>
      </c>
      <c r="C457" s="428">
        <f t="shared" si="414"/>
        <v>14</v>
      </c>
      <c r="D457" s="428">
        <f t="shared" si="415"/>
        <v>14</v>
      </c>
      <c r="E457" s="428">
        <f t="shared" si="416"/>
        <v>14</v>
      </c>
      <c r="F457" s="428">
        <f t="shared" si="417"/>
        <v>14</v>
      </c>
      <c r="G457" s="428">
        <f t="shared" si="418"/>
        <v>15</v>
      </c>
      <c r="H457" s="428">
        <f t="shared" si="419"/>
        <v>15</v>
      </c>
      <c r="I457" s="428">
        <f t="shared" si="420"/>
        <v>15</v>
      </c>
      <c r="J457" s="428">
        <f t="shared" si="421"/>
        <v>15</v>
      </c>
      <c r="K457" s="428">
        <f t="shared" si="422"/>
        <v>15</v>
      </c>
      <c r="L457" s="428">
        <f t="shared" si="423"/>
        <v>16</v>
      </c>
      <c r="M457" s="428">
        <f t="shared" si="424"/>
        <v>16</v>
      </c>
      <c r="N457" s="428">
        <f t="shared" si="425"/>
        <v>17</v>
      </c>
      <c r="O457" s="428">
        <f t="shared" si="426"/>
        <v>17</v>
      </c>
      <c r="P457" s="428">
        <f t="shared" si="427"/>
        <v>18</v>
      </c>
      <c r="Q457" s="428">
        <f t="shared" si="428"/>
        <v>18</v>
      </c>
      <c r="R457" s="428">
        <f t="shared" si="429"/>
        <v>18</v>
      </c>
      <c r="S457" s="428">
        <f t="shared" si="430"/>
        <v>18</v>
      </c>
      <c r="T457" s="428">
        <f t="shared" si="431"/>
        <v>18</v>
      </c>
      <c r="U457" s="428">
        <f t="shared" si="432"/>
        <v>22</v>
      </c>
      <c r="V457" s="428">
        <f t="shared" si="433"/>
        <v>22</v>
      </c>
      <c r="W457" s="428">
        <f t="shared" si="434"/>
        <v>26</v>
      </c>
      <c r="X457" s="428">
        <f t="shared" si="435"/>
        <v>34</v>
      </c>
      <c r="Y457" s="428">
        <f t="shared" si="436"/>
        <v>42</v>
      </c>
      <c r="Z457" s="428" t="s">
        <v>762</v>
      </c>
      <c r="AA457" s="428" t="s">
        <v>762</v>
      </c>
      <c r="AB457" s="428" t="s">
        <v>762</v>
      </c>
      <c r="AC457" s="428" t="s">
        <v>762</v>
      </c>
      <c r="AD457" s="428" t="s">
        <v>762</v>
      </c>
      <c r="AE457" s="428" t="s">
        <v>762</v>
      </c>
      <c r="AF457" s="428" t="s">
        <v>762</v>
      </c>
      <c r="AG457" s="428" t="s">
        <v>762</v>
      </c>
      <c r="AH457" s="428" t="s">
        <v>762</v>
      </c>
      <c r="AI457" s="428" t="s">
        <v>762</v>
      </c>
      <c r="AJ457" s="428" t="s">
        <v>762</v>
      </c>
      <c r="AK457" s="428" t="s">
        <v>762</v>
      </c>
      <c r="AL457" s="428" t="s">
        <v>762</v>
      </c>
      <c r="AM457" s="428" t="s">
        <v>762</v>
      </c>
      <c r="AN457" s="428" t="s">
        <v>762</v>
      </c>
      <c r="AO457" s="428" t="s">
        <v>762</v>
      </c>
      <c r="AP457" s="428" t="s">
        <v>762</v>
      </c>
      <c r="AQ457" s="428" t="s">
        <v>762</v>
      </c>
      <c r="AR457" s="428" t="s">
        <v>762</v>
      </c>
      <c r="AS457" s="428" t="s">
        <v>762</v>
      </c>
      <c r="AT457" s="428" t="s">
        <v>762</v>
      </c>
      <c r="AU457" s="428" t="s">
        <v>762</v>
      </c>
      <c r="AV457" s="428" t="s">
        <v>762</v>
      </c>
      <c r="AW457" s="428" t="s">
        <v>762</v>
      </c>
      <c r="AX457" s="428" t="s">
        <v>762</v>
      </c>
      <c r="AY457" s="428" t="s">
        <v>762</v>
      </c>
      <c r="AZ457" s="428" t="s">
        <v>762</v>
      </c>
      <c r="BA457" s="428" t="s">
        <v>762</v>
      </c>
      <c r="BB457" s="428" t="s">
        <v>762</v>
      </c>
      <c r="BC457" s="428" t="s">
        <v>762</v>
      </c>
      <c r="BD457" s="428" t="s">
        <v>762</v>
      </c>
      <c r="BE457" s="428" t="s">
        <v>762</v>
      </c>
      <c r="BF457" s="428" t="s">
        <v>762</v>
      </c>
      <c r="BG457" s="428" t="s">
        <v>762</v>
      </c>
      <c r="BH457" s="428" t="s">
        <v>762</v>
      </c>
      <c r="BI457" s="428" t="s">
        <v>762</v>
      </c>
      <c r="BJ457" s="428" t="s">
        <v>762</v>
      </c>
      <c r="BK457" s="428" t="s">
        <v>762</v>
      </c>
      <c r="BL457" s="428" t="s">
        <v>762</v>
      </c>
      <c r="BM457" s="428" t="s">
        <v>762</v>
      </c>
      <c r="BN457" s="428" t="s">
        <v>762</v>
      </c>
      <c r="BO457" s="428" t="s">
        <v>762</v>
      </c>
      <c r="BP457" s="428" t="s">
        <v>762</v>
      </c>
      <c r="BQ457" s="428" t="s">
        <v>762</v>
      </c>
      <c r="BR457" s="428" t="s">
        <v>762</v>
      </c>
      <c r="BS457" s="428" t="s">
        <v>762</v>
      </c>
      <c r="BT457" s="428" t="s">
        <v>762</v>
      </c>
      <c r="BU457" s="428" t="s">
        <v>762</v>
      </c>
      <c r="BV457" s="428" t="s">
        <v>762</v>
      </c>
      <c r="BW457" s="428" t="s">
        <v>762</v>
      </c>
      <c r="BX457" s="428" t="s">
        <v>762</v>
      </c>
      <c r="BY457" s="428" t="s">
        <v>762</v>
      </c>
      <c r="BZ457" s="428" t="s">
        <v>762</v>
      </c>
      <c r="CA457" s="428" t="s">
        <v>762</v>
      </c>
      <c r="CB457" s="428" t="s">
        <v>762</v>
      </c>
      <c r="CC457" s="428" t="s">
        <v>762</v>
      </c>
      <c r="CD457" s="428" t="s">
        <v>762</v>
      </c>
      <c r="CE457" s="428" t="s">
        <v>762</v>
      </c>
      <c r="CF457" s="428" t="s">
        <v>762</v>
      </c>
      <c r="CG457" s="428" t="s">
        <v>762</v>
      </c>
      <c r="CH457" s="428" t="s">
        <v>762</v>
      </c>
      <c r="CI457" s="428" t="s">
        <v>762</v>
      </c>
      <c r="CJ457" s="428" t="s">
        <v>762</v>
      </c>
      <c r="CK457" s="428" t="s">
        <v>762</v>
      </c>
      <c r="CL457" s="428" t="s">
        <v>762</v>
      </c>
    </row>
    <row r="458" spans="1:90" s="432" customFormat="1">
      <c r="A458" s="430" t="s">
        <v>510</v>
      </c>
      <c r="B458" s="430" t="s">
        <v>631</v>
      </c>
      <c r="C458" s="431" t="s">
        <v>762</v>
      </c>
      <c r="D458" s="431" t="s">
        <v>762</v>
      </c>
      <c r="E458" s="431" t="s">
        <v>762</v>
      </c>
      <c r="F458" s="431" t="s">
        <v>762</v>
      </c>
      <c r="G458" s="431" t="s">
        <v>762</v>
      </c>
      <c r="H458" s="431" t="s">
        <v>762</v>
      </c>
      <c r="I458" s="431" t="s">
        <v>762</v>
      </c>
      <c r="J458" s="431" t="s">
        <v>762</v>
      </c>
      <c r="K458" s="431" t="s">
        <v>762</v>
      </c>
      <c r="L458" s="431">
        <v>27</v>
      </c>
      <c r="M458" s="431" t="s">
        <v>762</v>
      </c>
      <c r="N458" s="431" t="s">
        <v>762</v>
      </c>
      <c r="O458" s="431" t="s">
        <v>762</v>
      </c>
      <c r="P458" s="431" t="s">
        <v>762</v>
      </c>
      <c r="Q458" s="431" t="s">
        <v>762</v>
      </c>
      <c r="R458" s="431" t="s">
        <v>762</v>
      </c>
      <c r="S458" s="431" t="s">
        <v>762</v>
      </c>
      <c r="T458" s="431" t="s">
        <v>762</v>
      </c>
      <c r="U458" s="431" t="s">
        <v>762</v>
      </c>
      <c r="V458" s="431">
        <v>34</v>
      </c>
      <c r="W458" s="431">
        <v>41</v>
      </c>
      <c r="X458" s="431">
        <v>48</v>
      </c>
      <c r="Y458" s="431">
        <v>54</v>
      </c>
      <c r="Z458" s="431">
        <v>61</v>
      </c>
      <c r="AA458" s="431">
        <v>68</v>
      </c>
      <c r="AB458" s="431">
        <v>75</v>
      </c>
      <c r="AC458" s="431">
        <v>82</v>
      </c>
      <c r="AD458" s="431">
        <v>89</v>
      </c>
      <c r="AE458" s="431" t="s">
        <v>762</v>
      </c>
      <c r="AF458" s="431" t="s">
        <v>762</v>
      </c>
      <c r="AG458" s="431" t="s">
        <v>762</v>
      </c>
      <c r="AH458" s="431" t="s">
        <v>762</v>
      </c>
      <c r="AI458" s="431" t="s">
        <v>762</v>
      </c>
      <c r="AJ458" s="431" t="s">
        <v>762</v>
      </c>
      <c r="AK458" s="431" t="s">
        <v>762</v>
      </c>
      <c r="AL458" s="431" t="s">
        <v>762</v>
      </c>
      <c r="AM458" s="431" t="s">
        <v>762</v>
      </c>
      <c r="AN458" s="431" t="s">
        <v>762</v>
      </c>
      <c r="AO458" s="431" t="s">
        <v>762</v>
      </c>
      <c r="AP458" s="431" t="s">
        <v>762</v>
      </c>
      <c r="AQ458" s="431" t="s">
        <v>762</v>
      </c>
      <c r="AR458" s="431" t="s">
        <v>762</v>
      </c>
      <c r="AS458" s="431" t="s">
        <v>762</v>
      </c>
      <c r="AT458" s="431" t="s">
        <v>762</v>
      </c>
      <c r="AU458" s="431" t="s">
        <v>762</v>
      </c>
      <c r="AV458" s="431" t="s">
        <v>762</v>
      </c>
      <c r="AW458" s="431" t="s">
        <v>762</v>
      </c>
      <c r="AX458" s="431" t="s">
        <v>762</v>
      </c>
      <c r="AY458" s="431" t="s">
        <v>762</v>
      </c>
      <c r="AZ458" s="431" t="s">
        <v>762</v>
      </c>
      <c r="BA458" s="431" t="s">
        <v>762</v>
      </c>
      <c r="BB458" s="431" t="s">
        <v>762</v>
      </c>
      <c r="BC458" s="431" t="s">
        <v>762</v>
      </c>
      <c r="BD458" s="431" t="s">
        <v>762</v>
      </c>
      <c r="BE458" s="431" t="s">
        <v>762</v>
      </c>
      <c r="BF458" s="431" t="s">
        <v>762</v>
      </c>
      <c r="BG458" s="431" t="s">
        <v>762</v>
      </c>
      <c r="BH458" s="431" t="s">
        <v>762</v>
      </c>
      <c r="BI458" s="431" t="s">
        <v>762</v>
      </c>
      <c r="BJ458" s="431" t="s">
        <v>762</v>
      </c>
      <c r="BK458" s="431" t="s">
        <v>762</v>
      </c>
      <c r="BL458" s="431" t="s">
        <v>762</v>
      </c>
      <c r="BM458" s="431" t="s">
        <v>762</v>
      </c>
      <c r="BN458" s="431" t="s">
        <v>762</v>
      </c>
      <c r="BO458" s="431" t="s">
        <v>762</v>
      </c>
      <c r="BP458" s="431" t="s">
        <v>762</v>
      </c>
      <c r="BQ458" s="431" t="s">
        <v>762</v>
      </c>
      <c r="BR458" s="431" t="s">
        <v>762</v>
      </c>
      <c r="BS458" s="431" t="s">
        <v>762</v>
      </c>
      <c r="BT458" s="431" t="s">
        <v>762</v>
      </c>
      <c r="BU458" s="431" t="s">
        <v>762</v>
      </c>
      <c r="BV458" s="431" t="s">
        <v>762</v>
      </c>
      <c r="BW458" s="431" t="s">
        <v>762</v>
      </c>
      <c r="BX458" s="431" t="s">
        <v>762</v>
      </c>
      <c r="BY458" s="431" t="s">
        <v>762</v>
      </c>
      <c r="BZ458" s="431" t="s">
        <v>762</v>
      </c>
      <c r="CA458" s="431" t="s">
        <v>762</v>
      </c>
      <c r="CB458" s="431" t="s">
        <v>762</v>
      </c>
      <c r="CC458" s="431" t="s">
        <v>762</v>
      </c>
      <c r="CD458" s="431" t="s">
        <v>762</v>
      </c>
      <c r="CE458" s="431" t="s">
        <v>762</v>
      </c>
      <c r="CF458" s="431" t="s">
        <v>762</v>
      </c>
      <c r="CG458" s="431" t="s">
        <v>762</v>
      </c>
      <c r="CH458" s="431" t="s">
        <v>762</v>
      </c>
      <c r="CI458" s="431" t="s">
        <v>762</v>
      </c>
      <c r="CJ458" s="431" t="s">
        <v>762</v>
      </c>
      <c r="CK458" s="431" t="s">
        <v>762</v>
      </c>
      <c r="CL458" s="431" t="s">
        <v>762</v>
      </c>
    </row>
    <row r="459" spans="1:90" s="432" customFormat="1">
      <c r="A459" s="430" t="s">
        <v>511</v>
      </c>
      <c r="B459" s="430" t="s">
        <v>631</v>
      </c>
      <c r="C459" s="431" t="s">
        <v>762</v>
      </c>
      <c r="D459" s="431" t="s">
        <v>762</v>
      </c>
      <c r="E459" s="431" t="s">
        <v>762</v>
      </c>
      <c r="F459" s="431" t="s">
        <v>762</v>
      </c>
      <c r="G459" s="431" t="s">
        <v>762</v>
      </c>
      <c r="H459" s="431" t="s">
        <v>762</v>
      </c>
      <c r="I459" s="431" t="s">
        <v>762</v>
      </c>
      <c r="J459" s="431" t="s">
        <v>762</v>
      </c>
      <c r="K459" s="431" t="s">
        <v>762</v>
      </c>
      <c r="L459" s="431">
        <v>34</v>
      </c>
      <c r="M459" s="431" t="s">
        <v>762</v>
      </c>
      <c r="N459" s="431" t="s">
        <v>762</v>
      </c>
      <c r="O459" s="431" t="s">
        <v>762</v>
      </c>
      <c r="P459" s="431" t="s">
        <v>762</v>
      </c>
      <c r="Q459" s="431" t="s">
        <v>762</v>
      </c>
      <c r="R459" s="431" t="s">
        <v>762</v>
      </c>
      <c r="S459" s="431" t="s">
        <v>762</v>
      </c>
      <c r="T459" s="431" t="s">
        <v>762</v>
      </c>
      <c r="U459" s="431" t="s">
        <v>762</v>
      </c>
      <c r="V459" s="431">
        <v>37</v>
      </c>
      <c r="W459" s="431">
        <v>40</v>
      </c>
      <c r="X459" s="431">
        <v>43</v>
      </c>
      <c r="Y459" s="431">
        <v>47</v>
      </c>
      <c r="Z459" s="431">
        <v>51</v>
      </c>
      <c r="AA459" s="431">
        <v>54</v>
      </c>
      <c r="AB459" s="431">
        <v>60</v>
      </c>
      <c r="AC459" s="431">
        <v>63</v>
      </c>
      <c r="AD459" s="431">
        <v>68</v>
      </c>
      <c r="AE459" s="431" t="s">
        <v>762</v>
      </c>
      <c r="AF459" s="431" t="s">
        <v>762</v>
      </c>
      <c r="AG459" s="431">
        <v>141</v>
      </c>
      <c r="AH459" s="431" t="s">
        <v>762</v>
      </c>
      <c r="AI459" s="431">
        <v>141</v>
      </c>
      <c r="AJ459" s="431" t="s">
        <v>762</v>
      </c>
      <c r="AK459" s="431" t="s">
        <v>762</v>
      </c>
      <c r="AL459" s="431">
        <v>141</v>
      </c>
      <c r="AM459" s="431" t="s">
        <v>762</v>
      </c>
      <c r="AN459" s="431" t="s">
        <v>762</v>
      </c>
      <c r="AO459" s="431" t="s">
        <v>762</v>
      </c>
      <c r="AP459" s="431">
        <v>141</v>
      </c>
      <c r="AQ459" s="431" t="s">
        <v>762</v>
      </c>
      <c r="AR459" s="431" t="s">
        <v>762</v>
      </c>
      <c r="AS459" s="431" t="s">
        <v>762</v>
      </c>
      <c r="AT459" s="431">
        <v>141</v>
      </c>
      <c r="AU459" s="431" t="s">
        <v>762</v>
      </c>
      <c r="AV459" s="431" t="s">
        <v>762</v>
      </c>
      <c r="AW459" s="431" t="s">
        <v>762</v>
      </c>
      <c r="AX459" s="431" t="s">
        <v>762</v>
      </c>
      <c r="AY459" s="431" t="s">
        <v>762</v>
      </c>
      <c r="AZ459" s="431" t="s">
        <v>762</v>
      </c>
      <c r="BA459" s="431" t="s">
        <v>762</v>
      </c>
      <c r="BB459" s="431" t="s">
        <v>762</v>
      </c>
      <c r="BC459" s="431" t="s">
        <v>762</v>
      </c>
      <c r="BD459" s="431" t="s">
        <v>762</v>
      </c>
      <c r="BE459" s="431" t="s">
        <v>762</v>
      </c>
      <c r="BF459" s="431">
        <v>216</v>
      </c>
      <c r="BG459" s="431" t="s">
        <v>762</v>
      </c>
      <c r="BH459" s="431" t="s">
        <v>762</v>
      </c>
      <c r="BI459" s="431" t="s">
        <v>762</v>
      </c>
      <c r="BJ459" s="431" t="s">
        <v>762</v>
      </c>
      <c r="BK459" s="431" t="s">
        <v>762</v>
      </c>
      <c r="BL459" s="431">
        <v>257</v>
      </c>
      <c r="BM459" s="431" t="s">
        <v>762</v>
      </c>
      <c r="BN459" s="431" t="s">
        <v>762</v>
      </c>
      <c r="BO459" s="431" t="s">
        <v>762</v>
      </c>
      <c r="BP459" s="431" t="s">
        <v>762</v>
      </c>
      <c r="BQ459" s="431" t="s">
        <v>762</v>
      </c>
      <c r="BR459" s="431" t="s">
        <v>762</v>
      </c>
      <c r="BS459" s="431" t="s">
        <v>762</v>
      </c>
      <c r="BT459" s="431" t="s">
        <v>762</v>
      </c>
      <c r="BU459" s="431" t="s">
        <v>762</v>
      </c>
      <c r="BV459" s="431" t="s">
        <v>762</v>
      </c>
      <c r="BW459" s="431" t="s">
        <v>762</v>
      </c>
      <c r="BX459" s="431" t="s">
        <v>762</v>
      </c>
      <c r="BY459" s="431" t="s">
        <v>762</v>
      </c>
      <c r="BZ459" s="431" t="s">
        <v>762</v>
      </c>
      <c r="CA459" s="431" t="s">
        <v>762</v>
      </c>
      <c r="CB459" s="431" t="s">
        <v>762</v>
      </c>
      <c r="CC459" s="431" t="s">
        <v>762</v>
      </c>
      <c r="CD459" s="431" t="s">
        <v>762</v>
      </c>
      <c r="CE459" s="431" t="s">
        <v>762</v>
      </c>
      <c r="CF459" s="431" t="s">
        <v>762</v>
      </c>
      <c r="CG459" s="431" t="s">
        <v>762</v>
      </c>
      <c r="CH459" s="431" t="s">
        <v>762</v>
      </c>
      <c r="CI459" s="431" t="s">
        <v>762</v>
      </c>
      <c r="CJ459" s="431" t="s">
        <v>762</v>
      </c>
      <c r="CK459" s="431" t="s">
        <v>762</v>
      </c>
      <c r="CL459" s="431" t="s">
        <v>762</v>
      </c>
    </row>
    <row r="460" spans="1:90" s="432" customFormat="1">
      <c r="A460" s="430" t="s">
        <v>512</v>
      </c>
      <c r="B460" s="430" t="s">
        <v>631</v>
      </c>
      <c r="C460" s="431" t="s">
        <v>762</v>
      </c>
      <c r="D460" s="431" t="s">
        <v>762</v>
      </c>
      <c r="E460" s="431" t="s">
        <v>762</v>
      </c>
      <c r="F460" s="431" t="s">
        <v>762</v>
      </c>
      <c r="G460" s="431" t="s">
        <v>762</v>
      </c>
      <c r="H460" s="431" t="s">
        <v>762</v>
      </c>
      <c r="I460" s="431" t="s">
        <v>762</v>
      </c>
      <c r="J460" s="431" t="s">
        <v>762</v>
      </c>
      <c r="K460" s="431" t="s">
        <v>762</v>
      </c>
      <c r="L460" s="431">
        <v>29</v>
      </c>
      <c r="M460" s="431" t="s">
        <v>762</v>
      </c>
      <c r="N460" s="431" t="s">
        <v>762</v>
      </c>
      <c r="O460" s="431" t="s">
        <v>762</v>
      </c>
      <c r="P460" s="431" t="s">
        <v>762</v>
      </c>
      <c r="Q460" s="431" t="s">
        <v>762</v>
      </c>
      <c r="R460" s="431" t="s">
        <v>762</v>
      </c>
      <c r="S460" s="431" t="s">
        <v>762</v>
      </c>
      <c r="T460" s="431" t="s">
        <v>762</v>
      </c>
      <c r="U460" s="431" t="s">
        <v>762</v>
      </c>
      <c r="V460" s="431">
        <v>34</v>
      </c>
      <c r="W460" s="431">
        <v>42</v>
      </c>
      <c r="X460" s="431">
        <v>49</v>
      </c>
      <c r="Y460" s="431">
        <v>52</v>
      </c>
      <c r="Z460" s="431">
        <v>61</v>
      </c>
      <c r="AA460" s="431">
        <v>65</v>
      </c>
      <c r="AB460" s="431">
        <v>73</v>
      </c>
      <c r="AC460" s="431">
        <v>77</v>
      </c>
      <c r="AD460" s="431">
        <v>86</v>
      </c>
      <c r="AE460" s="431" t="s">
        <v>762</v>
      </c>
      <c r="AF460" s="431" t="s">
        <v>762</v>
      </c>
      <c r="AG460" s="431">
        <v>160</v>
      </c>
      <c r="AH460" s="431" t="s">
        <v>762</v>
      </c>
      <c r="AI460" s="431">
        <v>160</v>
      </c>
      <c r="AJ460" s="431" t="s">
        <v>762</v>
      </c>
      <c r="AK460" s="431" t="s">
        <v>762</v>
      </c>
      <c r="AL460" s="431">
        <v>160</v>
      </c>
      <c r="AM460" s="431" t="s">
        <v>762</v>
      </c>
      <c r="AN460" s="431" t="s">
        <v>762</v>
      </c>
      <c r="AO460" s="431" t="s">
        <v>762</v>
      </c>
      <c r="AP460" s="431">
        <v>160</v>
      </c>
      <c r="AQ460" s="431" t="s">
        <v>762</v>
      </c>
      <c r="AR460" s="431" t="s">
        <v>762</v>
      </c>
      <c r="AS460" s="431" t="s">
        <v>762</v>
      </c>
      <c r="AT460" s="431">
        <v>160</v>
      </c>
      <c r="AU460" s="431" t="s">
        <v>762</v>
      </c>
      <c r="AV460" s="431" t="s">
        <v>762</v>
      </c>
      <c r="AW460" s="431" t="s">
        <v>762</v>
      </c>
      <c r="AX460" s="431" t="s">
        <v>762</v>
      </c>
      <c r="AY460" s="431" t="s">
        <v>762</v>
      </c>
      <c r="AZ460" s="431" t="s">
        <v>762</v>
      </c>
      <c r="BA460" s="431" t="s">
        <v>762</v>
      </c>
      <c r="BB460" s="431" t="s">
        <v>762</v>
      </c>
      <c r="BC460" s="431" t="s">
        <v>762</v>
      </c>
      <c r="BD460" s="431" t="s">
        <v>762</v>
      </c>
      <c r="BE460" s="431" t="s">
        <v>762</v>
      </c>
      <c r="BF460" s="431">
        <v>256</v>
      </c>
      <c r="BG460" s="431" t="s">
        <v>762</v>
      </c>
      <c r="BH460" s="431" t="s">
        <v>762</v>
      </c>
      <c r="BI460" s="431" t="s">
        <v>762</v>
      </c>
      <c r="BJ460" s="431" t="s">
        <v>762</v>
      </c>
      <c r="BK460" s="431" t="s">
        <v>762</v>
      </c>
      <c r="BL460" s="431">
        <v>335</v>
      </c>
      <c r="BM460" s="431" t="s">
        <v>762</v>
      </c>
      <c r="BN460" s="431" t="s">
        <v>762</v>
      </c>
      <c r="BO460" s="431" t="s">
        <v>762</v>
      </c>
      <c r="BP460" s="431" t="s">
        <v>762</v>
      </c>
      <c r="BQ460" s="431" t="s">
        <v>762</v>
      </c>
      <c r="BR460" s="431" t="s">
        <v>762</v>
      </c>
      <c r="BS460" s="431" t="s">
        <v>762</v>
      </c>
      <c r="BT460" s="431" t="s">
        <v>762</v>
      </c>
      <c r="BU460" s="431" t="s">
        <v>762</v>
      </c>
      <c r="BV460" s="431" t="s">
        <v>762</v>
      </c>
      <c r="BW460" s="431" t="s">
        <v>762</v>
      </c>
      <c r="BX460" s="431" t="s">
        <v>762</v>
      </c>
      <c r="BY460" s="431" t="s">
        <v>762</v>
      </c>
      <c r="BZ460" s="431" t="s">
        <v>762</v>
      </c>
      <c r="CA460" s="431" t="s">
        <v>762</v>
      </c>
      <c r="CB460" s="431" t="s">
        <v>762</v>
      </c>
      <c r="CC460" s="431" t="s">
        <v>762</v>
      </c>
      <c r="CD460" s="431" t="s">
        <v>762</v>
      </c>
      <c r="CE460" s="431" t="s">
        <v>762</v>
      </c>
      <c r="CF460" s="431" t="s">
        <v>762</v>
      </c>
      <c r="CG460" s="431" t="s">
        <v>762</v>
      </c>
      <c r="CH460" s="431" t="s">
        <v>762</v>
      </c>
      <c r="CI460" s="431" t="s">
        <v>762</v>
      </c>
      <c r="CJ460" s="431" t="s">
        <v>762</v>
      </c>
      <c r="CK460" s="431" t="s">
        <v>762</v>
      </c>
      <c r="CL460" s="431" t="s">
        <v>762</v>
      </c>
    </row>
    <row r="461" spans="1:90" s="432" customFormat="1">
      <c r="A461" s="430" t="s">
        <v>513</v>
      </c>
      <c r="B461" s="430" t="s">
        <v>631</v>
      </c>
      <c r="C461" s="431" t="s">
        <v>762</v>
      </c>
      <c r="D461" s="431" t="s">
        <v>762</v>
      </c>
      <c r="E461" s="431" t="s">
        <v>762</v>
      </c>
      <c r="F461" s="431" t="s">
        <v>762</v>
      </c>
      <c r="G461" s="431" t="s">
        <v>762</v>
      </c>
      <c r="H461" s="431" t="s">
        <v>762</v>
      </c>
      <c r="I461" s="431" t="s">
        <v>762</v>
      </c>
      <c r="J461" s="431" t="s">
        <v>762</v>
      </c>
      <c r="K461" s="431" t="s">
        <v>762</v>
      </c>
      <c r="L461" s="431">
        <v>31</v>
      </c>
      <c r="M461" s="431" t="s">
        <v>762</v>
      </c>
      <c r="N461" s="431" t="s">
        <v>762</v>
      </c>
      <c r="O461" s="431" t="s">
        <v>762</v>
      </c>
      <c r="P461" s="431" t="s">
        <v>762</v>
      </c>
      <c r="Q461" s="431" t="s">
        <v>762</v>
      </c>
      <c r="R461" s="431" t="s">
        <v>762</v>
      </c>
      <c r="S461" s="431" t="s">
        <v>762</v>
      </c>
      <c r="T461" s="431" t="s">
        <v>762</v>
      </c>
      <c r="U461" s="431" t="s">
        <v>762</v>
      </c>
      <c r="V461" s="431">
        <v>41</v>
      </c>
      <c r="W461" s="431">
        <v>52</v>
      </c>
      <c r="X461" s="431">
        <v>62</v>
      </c>
      <c r="Y461" s="431">
        <v>72</v>
      </c>
      <c r="Z461" s="431">
        <v>83</v>
      </c>
      <c r="AA461" s="431">
        <v>93</v>
      </c>
      <c r="AB461" s="431">
        <v>104</v>
      </c>
      <c r="AC461" s="431">
        <v>115</v>
      </c>
      <c r="AD461" s="431">
        <v>125</v>
      </c>
      <c r="AE461" s="431" t="s">
        <v>762</v>
      </c>
      <c r="AF461" s="431" t="s">
        <v>762</v>
      </c>
      <c r="AG461" s="431">
        <v>196</v>
      </c>
      <c r="AH461" s="431" t="s">
        <v>762</v>
      </c>
      <c r="AI461" s="431">
        <v>196</v>
      </c>
      <c r="AJ461" s="431" t="s">
        <v>762</v>
      </c>
      <c r="AK461" s="431" t="s">
        <v>762</v>
      </c>
      <c r="AL461" s="431">
        <v>196</v>
      </c>
      <c r="AM461" s="431" t="s">
        <v>762</v>
      </c>
      <c r="AN461" s="431" t="s">
        <v>762</v>
      </c>
      <c r="AO461" s="431" t="s">
        <v>762</v>
      </c>
      <c r="AP461" s="431">
        <v>196</v>
      </c>
      <c r="AQ461" s="431" t="s">
        <v>762</v>
      </c>
      <c r="AR461" s="431" t="s">
        <v>762</v>
      </c>
      <c r="AS461" s="431" t="s">
        <v>762</v>
      </c>
      <c r="AT461" s="431">
        <v>196</v>
      </c>
      <c r="AU461" s="431" t="s">
        <v>762</v>
      </c>
      <c r="AV461" s="431" t="s">
        <v>762</v>
      </c>
      <c r="AW461" s="431" t="s">
        <v>762</v>
      </c>
      <c r="AX461" s="431" t="s">
        <v>762</v>
      </c>
      <c r="AY461" s="431" t="s">
        <v>762</v>
      </c>
      <c r="AZ461" s="431" t="s">
        <v>762</v>
      </c>
      <c r="BA461" s="431" t="s">
        <v>762</v>
      </c>
      <c r="BB461" s="431" t="s">
        <v>762</v>
      </c>
      <c r="BC461" s="431" t="s">
        <v>762</v>
      </c>
      <c r="BD461" s="431" t="s">
        <v>762</v>
      </c>
      <c r="BE461" s="431" t="s">
        <v>762</v>
      </c>
      <c r="BF461" s="431">
        <v>329</v>
      </c>
      <c r="BG461" s="431" t="s">
        <v>762</v>
      </c>
      <c r="BH461" s="431" t="s">
        <v>762</v>
      </c>
      <c r="BI461" s="431" t="s">
        <v>762</v>
      </c>
      <c r="BJ461" s="431" t="s">
        <v>762</v>
      </c>
      <c r="BK461" s="431" t="s">
        <v>762</v>
      </c>
      <c r="BL461" s="431">
        <v>447</v>
      </c>
      <c r="BM461" s="431" t="s">
        <v>762</v>
      </c>
      <c r="BN461" s="431" t="s">
        <v>762</v>
      </c>
      <c r="BO461" s="431" t="s">
        <v>762</v>
      </c>
      <c r="BP461" s="431" t="s">
        <v>762</v>
      </c>
      <c r="BQ461" s="431" t="s">
        <v>762</v>
      </c>
      <c r="BR461" s="431" t="s">
        <v>762</v>
      </c>
      <c r="BS461" s="431" t="s">
        <v>762</v>
      </c>
      <c r="BT461" s="431" t="s">
        <v>762</v>
      </c>
      <c r="BU461" s="431" t="s">
        <v>762</v>
      </c>
      <c r="BV461" s="431" t="s">
        <v>762</v>
      </c>
      <c r="BW461" s="431" t="s">
        <v>762</v>
      </c>
      <c r="BX461" s="431" t="s">
        <v>762</v>
      </c>
      <c r="BY461" s="431" t="s">
        <v>762</v>
      </c>
      <c r="BZ461" s="431" t="s">
        <v>762</v>
      </c>
      <c r="CA461" s="431" t="s">
        <v>762</v>
      </c>
      <c r="CB461" s="431" t="s">
        <v>762</v>
      </c>
      <c r="CC461" s="431" t="s">
        <v>762</v>
      </c>
      <c r="CD461" s="431" t="s">
        <v>762</v>
      </c>
      <c r="CE461" s="431" t="s">
        <v>762</v>
      </c>
      <c r="CF461" s="431" t="s">
        <v>762</v>
      </c>
      <c r="CG461" s="431" t="s">
        <v>762</v>
      </c>
      <c r="CH461" s="431" t="s">
        <v>762</v>
      </c>
      <c r="CI461" s="431" t="s">
        <v>762</v>
      </c>
      <c r="CJ461" s="431" t="s">
        <v>762</v>
      </c>
      <c r="CK461" s="431" t="s">
        <v>762</v>
      </c>
      <c r="CL461" s="431" t="s">
        <v>762</v>
      </c>
    </row>
    <row r="462" spans="1:90" s="432" customFormat="1">
      <c r="A462" s="430" t="s">
        <v>514</v>
      </c>
      <c r="B462" s="430" t="s">
        <v>631</v>
      </c>
      <c r="C462" s="431" t="s">
        <v>762</v>
      </c>
      <c r="D462" s="431" t="s">
        <v>762</v>
      </c>
      <c r="E462" s="431" t="s">
        <v>762</v>
      </c>
      <c r="F462" s="431" t="s">
        <v>762</v>
      </c>
      <c r="G462" s="431" t="s">
        <v>762</v>
      </c>
      <c r="H462" s="431" t="s">
        <v>762</v>
      </c>
      <c r="I462" s="431" t="s">
        <v>762</v>
      </c>
      <c r="J462" s="431" t="s">
        <v>762</v>
      </c>
      <c r="K462" s="431" t="s">
        <v>762</v>
      </c>
      <c r="L462" s="431">
        <v>44</v>
      </c>
      <c r="M462" s="431" t="s">
        <v>762</v>
      </c>
      <c r="N462" s="431" t="s">
        <v>762</v>
      </c>
      <c r="O462" s="431" t="s">
        <v>762</v>
      </c>
      <c r="P462" s="431" t="s">
        <v>762</v>
      </c>
      <c r="Q462" s="431" t="s">
        <v>762</v>
      </c>
      <c r="R462" s="431" t="s">
        <v>762</v>
      </c>
      <c r="S462" s="431" t="s">
        <v>762</v>
      </c>
      <c r="T462" s="431" t="s">
        <v>762</v>
      </c>
      <c r="U462" s="431" t="s">
        <v>762</v>
      </c>
      <c r="V462" s="431">
        <v>60</v>
      </c>
      <c r="W462" s="431">
        <v>76</v>
      </c>
      <c r="X462" s="431">
        <v>92</v>
      </c>
      <c r="Y462" s="431">
        <v>107</v>
      </c>
      <c r="Z462" s="431">
        <v>123</v>
      </c>
      <c r="AA462" s="431">
        <v>138</v>
      </c>
      <c r="AB462" s="431">
        <v>154</v>
      </c>
      <c r="AC462" s="431">
        <v>170</v>
      </c>
      <c r="AD462" s="431">
        <v>186</v>
      </c>
      <c r="AE462" s="431" t="s">
        <v>762</v>
      </c>
      <c r="AF462" s="431" t="s">
        <v>762</v>
      </c>
      <c r="AG462" s="431" t="s">
        <v>762</v>
      </c>
      <c r="AH462" s="431" t="s">
        <v>762</v>
      </c>
      <c r="AI462" s="431" t="s">
        <v>762</v>
      </c>
      <c r="AJ462" s="431" t="s">
        <v>762</v>
      </c>
      <c r="AK462" s="431" t="s">
        <v>762</v>
      </c>
      <c r="AL462" s="431" t="s">
        <v>762</v>
      </c>
      <c r="AM462" s="431" t="s">
        <v>762</v>
      </c>
      <c r="AN462" s="431" t="s">
        <v>762</v>
      </c>
      <c r="AO462" s="431" t="s">
        <v>762</v>
      </c>
      <c r="AP462" s="431" t="s">
        <v>762</v>
      </c>
      <c r="AQ462" s="431" t="s">
        <v>762</v>
      </c>
      <c r="AR462" s="431" t="s">
        <v>762</v>
      </c>
      <c r="AS462" s="431" t="s">
        <v>762</v>
      </c>
      <c r="AT462" s="431" t="s">
        <v>762</v>
      </c>
      <c r="AU462" s="431" t="s">
        <v>762</v>
      </c>
      <c r="AV462" s="431" t="s">
        <v>762</v>
      </c>
      <c r="AW462" s="431" t="s">
        <v>762</v>
      </c>
      <c r="AX462" s="431" t="s">
        <v>762</v>
      </c>
      <c r="AY462" s="431" t="s">
        <v>762</v>
      </c>
      <c r="AZ462" s="431" t="s">
        <v>762</v>
      </c>
      <c r="BA462" s="431" t="s">
        <v>762</v>
      </c>
      <c r="BB462" s="431" t="s">
        <v>762</v>
      </c>
      <c r="BC462" s="431" t="s">
        <v>762</v>
      </c>
      <c r="BD462" s="431" t="s">
        <v>762</v>
      </c>
      <c r="BE462" s="431" t="s">
        <v>762</v>
      </c>
      <c r="BF462" s="431" t="s">
        <v>762</v>
      </c>
      <c r="BG462" s="431" t="s">
        <v>762</v>
      </c>
      <c r="BH462" s="431" t="s">
        <v>762</v>
      </c>
      <c r="BI462" s="431" t="s">
        <v>762</v>
      </c>
      <c r="BJ462" s="431" t="s">
        <v>762</v>
      </c>
      <c r="BK462" s="431" t="s">
        <v>762</v>
      </c>
      <c r="BL462" s="431" t="s">
        <v>762</v>
      </c>
      <c r="BM462" s="431" t="s">
        <v>762</v>
      </c>
      <c r="BN462" s="431" t="s">
        <v>762</v>
      </c>
      <c r="BO462" s="431" t="s">
        <v>762</v>
      </c>
      <c r="BP462" s="431" t="s">
        <v>762</v>
      </c>
      <c r="BQ462" s="431" t="s">
        <v>762</v>
      </c>
      <c r="BR462" s="431" t="s">
        <v>762</v>
      </c>
      <c r="BS462" s="431" t="s">
        <v>762</v>
      </c>
      <c r="BT462" s="431" t="s">
        <v>762</v>
      </c>
      <c r="BU462" s="431" t="s">
        <v>762</v>
      </c>
      <c r="BV462" s="431" t="s">
        <v>762</v>
      </c>
      <c r="BW462" s="431" t="s">
        <v>762</v>
      </c>
      <c r="BX462" s="431" t="s">
        <v>762</v>
      </c>
      <c r="BY462" s="431" t="s">
        <v>762</v>
      </c>
      <c r="BZ462" s="431" t="s">
        <v>762</v>
      </c>
      <c r="CA462" s="431" t="s">
        <v>762</v>
      </c>
      <c r="CB462" s="431" t="s">
        <v>762</v>
      </c>
      <c r="CC462" s="431" t="s">
        <v>762</v>
      </c>
      <c r="CD462" s="431" t="s">
        <v>762</v>
      </c>
      <c r="CE462" s="431" t="s">
        <v>762</v>
      </c>
      <c r="CF462" s="431" t="s">
        <v>762</v>
      </c>
      <c r="CG462" s="431" t="s">
        <v>762</v>
      </c>
      <c r="CH462" s="431" t="s">
        <v>762</v>
      </c>
      <c r="CI462" s="431" t="s">
        <v>762</v>
      </c>
      <c r="CJ462" s="431" t="s">
        <v>762</v>
      </c>
      <c r="CK462" s="431" t="s">
        <v>762</v>
      </c>
      <c r="CL462" s="431" t="s">
        <v>762</v>
      </c>
    </row>
    <row r="463" spans="1:90" s="432" customFormat="1">
      <c r="A463" s="430" t="s">
        <v>515</v>
      </c>
      <c r="B463" s="430" t="s">
        <v>631</v>
      </c>
      <c r="C463" s="431" t="s">
        <v>762</v>
      </c>
      <c r="D463" s="431" t="s">
        <v>762</v>
      </c>
      <c r="E463" s="431" t="s">
        <v>762</v>
      </c>
      <c r="F463" s="431" t="s">
        <v>762</v>
      </c>
      <c r="G463" s="431" t="s">
        <v>762</v>
      </c>
      <c r="H463" s="431" t="s">
        <v>762</v>
      </c>
      <c r="I463" s="431" t="s">
        <v>762</v>
      </c>
      <c r="J463" s="431" t="s">
        <v>762</v>
      </c>
      <c r="K463" s="431" t="s">
        <v>762</v>
      </c>
      <c r="L463" s="431">
        <v>29</v>
      </c>
      <c r="M463" s="431" t="s">
        <v>762</v>
      </c>
      <c r="N463" s="431" t="s">
        <v>762</v>
      </c>
      <c r="O463" s="431" t="s">
        <v>762</v>
      </c>
      <c r="P463" s="431" t="s">
        <v>762</v>
      </c>
      <c r="Q463" s="431" t="s">
        <v>762</v>
      </c>
      <c r="R463" s="431" t="s">
        <v>762</v>
      </c>
      <c r="S463" s="431" t="s">
        <v>762</v>
      </c>
      <c r="T463" s="431" t="s">
        <v>762</v>
      </c>
      <c r="U463" s="431" t="s">
        <v>762</v>
      </c>
      <c r="V463" s="431">
        <v>38</v>
      </c>
      <c r="W463" s="431">
        <v>47</v>
      </c>
      <c r="X463" s="431">
        <v>57</v>
      </c>
      <c r="Y463" s="431">
        <v>65</v>
      </c>
      <c r="Z463" s="431">
        <v>75</v>
      </c>
      <c r="AA463" s="431">
        <v>84</v>
      </c>
      <c r="AB463" s="431">
        <v>93</v>
      </c>
      <c r="AC463" s="431">
        <v>102</v>
      </c>
      <c r="AD463" s="431">
        <v>111</v>
      </c>
      <c r="AE463" s="431" t="s">
        <v>762</v>
      </c>
      <c r="AF463" s="431" t="s">
        <v>762</v>
      </c>
      <c r="AG463" s="431">
        <v>197</v>
      </c>
      <c r="AH463" s="431" t="s">
        <v>762</v>
      </c>
      <c r="AI463" s="431">
        <v>197</v>
      </c>
      <c r="AJ463" s="431" t="s">
        <v>762</v>
      </c>
      <c r="AK463" s="431" t="s">
        <v>762</v>
      </c>
      <c r="AL463" s="431">
        <v>197</v>
      </c>
      <c r="AM463" s="431" t="s">
        <v>762</v>
      </c>
      <c r="AN463" s="431" t="s">
        <v>762</v>
      </c>
      <c r="AO463" s="431" t="s">
        <v>762</v>
      </c>
      <c r="AP463" s="431">
        <v>197</v>
      </c>
      <c r="AQ463" s="431" t="s">
        <v>762</v>
      </c>
      <c r="AR463" s="431" t="s">
        <v>762</v>
      </c>
      <c r="AS463" s="431" t="s">
        <v>762</v>
      </c>
      <c r="AT463" s="431">
        <v>197</v>
      </c>
      <c r="AU463" s="431" t="s">
        <v>762</v>
      </c>
      <c r="AV463" s="431" t="s">
        <v>762</v>
      </c>
      <c r="AW463" s="431" t="s">
        <v>762</v>
      </c>
      <c r="AX463" s="431" t="s">
        <v>762</v>
      </c>
      <c r="AY463" s="431" t="s">
        <v>762</v>
      </c>
      <c r="AZ463" s="431" t="s">
        <v>762</v>
      </c>
      <c r="BA463" s="431" t="s">
        <v>762</v>
      </c>
      <c r="BB463" s="431" t="s">
        <v>762</v>
      </c>
      <c r="BC463" s="431" t="s">
        <v>762</v>
      </c>
      <c r="BD463" s="431" t="s">
        <v>762</v>
      </c>
      <c r="BE463" s="431" t="s">
        <v>762</v>
      </c>
      <c r="BF463" s="431">
        <v>331</v>
      </c>
      <c r="BG463" s="431" t="s">
        <v>762</v>
      </c>
      <c r="BH463" s="431" t="s">
        <v>762</v>
      </c>
      <c r="BI463" s="431" t="s">
        <v>762</v>
      </c>
      <c r="BJ463" s="431" t="s">
        <v>762</v>
      </c>
      <c r="BK463" s="431" t="s">
        <v>762</v>
      </c>
      <c r="BL463" s="431">
        <v>450</v>
      </c>
      <c r="BM463" s="431" t="s">
        <v>762</v>
      </c>
      <c r="BN463" s="431" t="s">
        <v>762</v>
      </c>
      <c r="BO463" s="431" t="s">
        <v>762</v>
      </c>
      <c r="BP463" s="431" t="s">
        <v>762</v>
      </c>
      <c r="BQ463" s="431" t="s">
        <v>762</v>
      </c>
      <c r="BR463" s="431" t="s">
        <v>762</v>
      </c>
      <c r="BS463" s="431" t="s">
        <v>762</v>
      </c>
      <c r="BT463" s="431" t="s">
        <v>762</v>
      </c>
      <c r="BU463" s="431" t="s">
        <v>762</v>
      </c>
      <c r="BV463" s="431" t="s">
        <v>762</v>
      </c>
      <c r="BW463" s="431" t="s">
        <v>762</v>
      </c>
      <c r="BX463" s="431" t="s">
        <v>762</v>
      </c>
      <c r="BY463" s="431" t="s">
        <v>762</v>
      </c>
      <c r="BZ463" s="431" t="s">
        <v>762</v>
      </c>
      <c r="CA463" s="431" t="s">
        <v>762</v>
      </c>
      <c r="CB463" s="431" t="s">
        <v>762</v>
      </c>
      <c r="CC463" s="431" t="s">
        <v>762</v>
      </c>
      <c r="CD463" s="431" t="s">
        <v>762</v>
      </c>
      <c r="CE463" s="431" t="s">
        <v>762</v>
      </c>
      <c r="CF463" s="431" t="s">
        <v>762</v>
      </c>
      <c r="CG463" s="431" t="s">
        <v>762</v>
      </c>
      <c r="CH463" s="431" t="s">
        <v>762</v>
      </c>
      <c r="CI463" s="431" t="s">
        <v>762</v>
      </c>
      <c r="CJ463" s="431" t="s">
        <v>762</v>
      </c>
      <c r="CK463" s="431" t="s">
        <v>762</v>
      </c>
      <c r="CL463" s="431" t="s">
        <v>762</v>
      </c>
    </row>
    <row r="464" spans="1:90" s="432" customFormat="1">
      <c r="A464" s="430" t="s">
        <v>516</v>
      </c>
      <c r="B464" s="430" t="s">
        <v>631</v>
      </c>
      <c r="C464" s="431" t="s">
        <v>762</v>
      </c>
      <c r="D464" s="431" t="s">
        <v>762</v>
      </c>
      <c r="E464" s="431" t="s">
        <v>762</v>
      </c>
      <c r="F464" s="431" t="s">
        <v>762</v>
      </c>
      <c r="G464" s="431" t="s">
        <v>762</v>
      </c>
      <c r="H464" s="431" t="s">
        <v>762</v>
      </c>
      <c r="I464" s="431" t="s">
        <v>762</v>
      </c>
      <c r="J464" s="431" t="s">
        <v>762</v>
      </c>
      <c r="K464" s="431" t="s">
        <v>762</v>
      </c>
      <c r="L464" s="431">
        <v>42</v>
      </c>
      <c r="M464" s="431" t="s">
        <v>762</v>
      </c>
      <c r="N464" s="431" t="s">
        <v>762</v>
      </c>
      <c r="O464" s="431" t="s">
        <v>762</v>
      </c>
      <c r="P464" s="431" t="s">
        <v>762</v>
      </c>
      <c r="Q464" s="431" t="s">
        <v>762</v>
      </c>
      <c r="R464" s="431" t="s">
        <v>762</v>
      </c>
      <c r="S464" s="431" t="s">
        <v>762</v>
      </c>
      <c r="T464" s="431" t="s">
        <v>762</v>
      </c>
      <c r="U464" s="431" t="s">
        <v>762</v>
      </c>
      <c r="V464" s="431">
        <v>56</v>
      </c>
      <c r="W464" s="431">
        <v>69</v>
      </c>
      <c r="X464" s="431">
        <v>83</v>
      </c>
      <c r="Y464" s="431">
        <v>96</v>
      </c>
      <c r="Z464" s="431">
        <v>110</v>
      </c>
      <c r="AA464" s="431">
        <v>124</v>
      </c>
      <c r="AB464" s="431">
        <v>137</v>
      </c>
      <c r="AC464" s="431">
        <v>151</v>
      </c>
      <c r="AD464" s="431">
        <v>165</v>
      </c>
      <c r="AE464" s="431" t="s">
        <v>762</v>
      </c>
      <c r="AF464" s="431" t="s">
        <v>762</v>
      </c>
      <c r="AG464" s="431" t="s">
        <v>762</v>
      </c>
      <c r="AH464" s="431" t="s">
        <v>762</v>
      </c>
      <c r="AI464" s="431" t="s">
        <v>762</v>
      </c>
      <c r="AJ464" s="431" t="s">
        <v>762</v>
      </c>
      <c r="AK464" s="431" t="s">
        <v>762</v>
      </c>
      <c r="AL464" s="431" t="s">
        <v>762</v>
      </c>
      <c r="AM464" s="431" t="s">
        <v>762</v>
      </c>
      <c r="AN464" s="431" t="s">
        <v>762</v>
      </c>
      <c r="AO464" s="431" t="s">
        <v>762</v>
      </c>
      <c r="AP464" s="431" t="s">
        <v>762</v>
      </c>
      <c r="AQ464" s="431" t="s">
        <v>762</v>
      </c>
      <c r="AR464" s="431" t="s">
        <v>762</v>
      </c>
      <c r="AS464" s="431" t="s">
        <v>762</v>
      </c>
      <c r="AT464" s="431" t="s">
        <v>762</v>
      </c>
      <c r="AU464" s="431" t="s">
        <v>762</v>
      </c>
      <c r="AV464" s="431" t="s">
        <v>762</v>
      </c>
      <c r="AW464" s="431" t="s">
        <v>762</v>
      </c>
      <c r="AX464" s="431" t="s">
        <v>762</v>
      </c>
      <c r="AY464" s="431" t="s">
        <v>762</v>
      </c>
      <c r="AZ464" s="431" t="s">
        <v>762</v>
      </c>
      <c r="BA464" s="431" t="s">
        <v>762</v>
      </c>
      <c r="BB464" s="431" t="s">
        <v>762</v>
      </c>
      <c r="BC464" s="431" t="s">
        <v>762</v>
      </c>
      <c r="BD464" s="431" t="s">
        <v>762</v>
      </c>
      <c r="BE464" s="431" t="s">
        <v>762</v>
      </c>
      <c r="BF464" s="431" t="s">
        <v>762</v>
      </c>
      <c r="BG464" s="431" t="s">
        <v>762</v>
      </c>
      <c r="BH464" s="431" t="s">
        <v>762</v>
      </c>
      <c r="BI464" s="431" t="s">
        <v>762</v>
      </c>
      <c r="BJ464" s="431" t="s">
        <v>762</v>
      </c>
      <c r="BK464" s="431" t="s">
        <v>762</v>
      </c>
      <c r="BL464" s="431" t="s">
        <v>762</v>
      </c>
      <c r="BM464" s="431" t="s">
        <v>762</v>
      </c>
      <c r="BN464" s="431" t="s">
        <v>762</v>
      </c>
      <c r="BO464" s="431" t="s">
        <v>762</v>
      </c>
      <c r="BP464" s="431" t="s">
        <v>762</v>
      </c>
      <c r="BQ464" s="431" t="s">
        <v>762</v>
      </c>
      <c r="BR464" s="431" t="s">
        <v>762</v>
      </c>
      <c r="BS464" s="431" t="s">
        <v>762</v>
      </c>
      <c r="BT464" s="431" t="s">
        <v>762</v>
      </c>
      <c r="BU464" s="431" t="s">
        <v>762</v>
      </c>
      <c r="BV464" s="431" t="s">
        <v>762</v>
      </c>
      <c r="BW464" s="431" t="s">
        <v>762</v>
      </c>
      <c r="BX464" s="431" t="s">
        <v>762</v>
      </c>
      <c r="BY464" s="431" t="s">
        <v>762</v>
      </c>
      <c r="BZ464" s="431" t="s">
        <v>762</v>
      </c>
      <c r="CA464" s="431" t="s">
        <v>762</v>
      </c>
      <c r="CB464" s="431" t="s">
        <v>762</v>
      </c>
      <c r="CC464" s="431" t="s">
        <v>762</v>
      </c>
      <c r="CD464" s="431" t="s">
        <v>762</v>
      </c>
      <c r="CE464" s="431" t="s">
        <v>762</v>
      </c>
      <c r="CF464" s="431" t="s">
        <v>762</v>
      </c>
      <c r="CG464" s="431" t="s">
        <v>762</v>
      </c>
      <c r="CH464" s="431" t="s">
        <v>762</v>
      </c>
      <c r="CI464" s="431" t="s">
        <v>762</v>
      </c>
      <c r="CJ464" s="431" t="s">
        <v>762</v>
      </c>
      <c r="CK464" s="431" t="s">
        <v>762</v>
      </c>
      <c r="CL464" s="431" t="s">
        <v>762</v>
      </c>
    </row>
    <row r="465" spans="1:90" s="432" customFormat="1">
      <c r="A465" s="430" t="s">
        <v>517</v>
      </c>
      <c r="B465" s="430" t="s">
        <v>631</v>
      </c>
      <c r="C465" s="431" t="s">
        <v>762</v>
      </c>
      <c r="D465" s="431" t="s">
        <v>762</v>
      </c>
      <c r="E465" s="431" t="s">
        <v>762</v>
      </c>
      <c r="F465" s="431" t="s">
        <v>762</v>
      </c>
      <c r="G465" s="431" t="s">
        <v>762</v>
      </c>
      <c r="H465" s="431" t="s">
        <v>762</v>
      </c>
      <c r="I465" s="431" t="s">
        <v>762</v>
      </c>
      <c r="J465" s="431" t="s">
        <v>762</v>
      </c>
      <c r="K465" s="431" t="s">
        <v>762</v>
      </c>
      <c r="L465" s="431">
        <v>49</v>
      </c>
      <c r="M465" s="431" t="s">
        <v>762</v>
      </c>
      <c r="N465" s="431" t="s">
        <v>762</v>
      </c>
      <c r="O465" s="431" t="s">
        <v>762</v>
      </c>
      <c r="P465" s="431" t="s">
        <v>762</v>
      </c>
      <c r="Q465" s="431" t="s">
        <v>762</v>
      </c>
      <c r="R465" s="431" t="s">
        <v>762</v>
      </c>
      <c r="S465" s="431" t="s">
        <v>762</v>
      </c>
      <c r="T465" s="431" t="s">
        <v>762</v>
      </c>
      <c r="U465" s="431" t="s">
        <v>762</v>
      </c>
      <c r="V465" s="431">
        <v>61</v>
      </c>
      <c r="W465" s="431">
        <v>73</v>
      </c>
      <c r="X465" s="431">
        <v>80</v>
      </c>
      <c r="Y465" s="431">
        <v>88</v>
      </c>
      <c r="Z465" s="431">
        <v>95</v>
      </c>
      <c r="AA465" s="431">
        <v>103</v>
      </c>
      <c r="AB465" s="431">
        <v>111</v>
      </c>
      <c r="AC465" s="431">
        <v>116</v>
      </c>
      <c r="AD465" s="431">
        <v>121</v>
      </c>
      <c r="AE465" s="431" t="s">
        <v>762</v>
      </c>
      <c r="AF465" s="431" t="s">
        <v>762</v>
      </c>
      <c r="AG465" s="431">
        <v>202</v>
      </c>
      <c r="AH465" s="431" t="s">
        <v>762</v>
      </c>
      <c r="AI465" s="431">
        <v>202</v>
      </c>
      <c r="AJ465" s="431" t="s">
        <v>762</v>
      </c>
      <c r="AK465" s="431" t="s">
        <v>762</v>
      </c>
      <c r="AL465" s="431">
        <v>202</v>
      </c>
      <c r="AM465" s="431" t="s">
        <v>762</v>
      </c>
      <c r="AN465" s="431" t="s">
        <v>762</v>
      </c>
      <c r="AO465" s="431" t="s">
        <v>762</v>
      </c>
      <c r="AP465" s="431">
        <v>202</v>
      </c>
      <c r="AQ465" s="431" t="s">
        <v>762</v>
      </c>
      <c r="AR465" s="431" t="s">
        <v>762</v>
      </c>
      <c r="AS465" s="431" t="s">
        <v>762</v>
      </c>
      <c r="AT465" s="431">
        <v>202</v>
      </c>
      <c r="AU465" s="431" t="s">
        <v>762</v>
      </c>
      <c r="AV465" s="431" t="s">
        <v>762</v>
      </c>
      <c r="AW465" s="431" t="s">
        <v>762</v>
      </c>
      <c r="AX465" s="431" t="s">
        <v>762</v>
      </c>
      <c r="AY465" s="431" t="s">
        <v>762</v>
      </c>
      <c r="AZ465" s="431" t="s">
        <v>762</v>
      </c>
      <c r="BA465" s="431" t="s">
        <v>762</v>
      </c>
      <c r="BB465" s="431" t="s">
        <v>762</v>
      </c>
      <c r="BC465" s="431" t="s">
        <v>762</v>
      </c>
      <c r="BD465" s="431" t="s">
        <v>762</v>
      </c>
      <c r="BE465" s="431" t="s">
        <v>762</v>
      </c>
      <c r="BF465" s="431">
        <v>340</v>
      </c>
      <c r="BG465" s="431" t="s">
        <v>762</v>
      </c>
      <c r="BH465" s="431" t="s">
        <v>762</v>
      </c>
      <c r="BI465" s="431" t="s">
        <v>762</v>
      </c>
      <c r="BJ465" s="431" t="s">
        <v>762</v>
      </c>
      <c r="BK465" s="431" t="s">
        <v>762</v>
      </c>
      <c r="BL465" s="431">
        <v>464</v>
      </c>
      <c r="BM465" s="431" t="s">
        <v>762</v>
      </c>
      <c r="BN465" s="431" t="s">
        <v>762</v>
      </c>
      <c r="BO465" s="431" t="s">
        <v>762</v>
      </c>
      <c r="BP465" s="431" t="s">
        <v>762</v>
      </c>
      <c r="BQ465" s="431" t="s">
        <v>762</v>
      </c>
      <c r="BR465" s="431" t="s">
        <v>762</v>
      </c>
      <c r="BS465" s="431" t="s">
        <v>762</v>
      </c>
      <c r="BT465" s="431" t="s">
        <v>762</v>
      </c>
      <c r="BU465" s="431" t="s">
        <v>762</v>
      </c>
      <c r="BV465" s="431" t="s">
        <v>762</v>
      </c>
      <c r="BW465" s="431" t="s">
        <v>762</v>
      </c>
      <c r="BX465" s="431" t="s">
        <v>762</v>
      </c>
      <c r="BY465" s="431" t="s">
        <v>762</v>
      </c>
      <c r="BZ465" s="431" t="s">
        <v>762</v>
      </c>
      <c r="CA465" s="431" t="s">
        <v>762</v>
      </c>
      <c r="CB465" s="431" t="s">
        <v>762</v>
      </c>
      <c r="CC465" s="431" t="s">
        <v>762</v>
      </c>
      <c r="CD465" s="431" t="s">
        <v>762</v>
      </c>
      <c r="CE465" s="431" t="s">
        <v>762</v>
      </c>
      <c r="CF465" s="431" t="s">
        <v>762</v>
      </c>
      <c r="CG465" s="431" t="s">
        <v>762</v>
      </c>
      <c r="CH465" s="431" t="s">
        <v>762</v>
      </c>
      <c r="CI465" s="431" t="s">
        <v>762</v>
      </c>
      <c r="CJ465" s="431" t="s">
        <v>762</v>
      </c>
      <c r="CK465" s="431" t="s">
        <v>762</v>
      </c>
      <c r="CL465" s="431" t="s">
        <v>762</v>
      </c>
    </row>
    <row r="466" spans="1:90" s="432" customFormat="1">
      <c r="A466" s="430" t="s">
        <v>518</v>
      </c>
      <c r="B466" s="430" t="s">
        <v>631</v>
      </c>
      <c r="C466" s="431" t="s">
        <v>762</v>
      </c>
      <c r="D466" s="431" t="s">
        <v>762</v>
      </c>
      <c r="E466" s="431" t="s">
        <v>762</v>
      </c>
      <c r="F466" s="431" t="s">
        <v>762</v>
      </c>
      <c r="G466" s="431" t="s">
        <v>762</v>
      </c>
      <c r="H466" s="431" t="s">
        <v>762</v>
      </c>
      <c r="I466" s="431" t="s">
        <v>762</v>
      </c>
      <c r="J466" s="431" t="s">
        <v>762</v>
      </c>
      <c r="K466" s="431" t="s">
        <v>762</v>
      </c>
      <c r="L466" s="431">
        <v>72</v>
      </c>
      <c r="M466" s="431" t="s">
        <v>762</v>
      </c>
      <c r="N466" s="431" t="s">
        <v>762</v>
      </c>
      <c r="O466" s="431" t="s">
        <v>762</v>
      </c>
      <c r="P466" s="431" t="s">
        <v>762</v>
      </c>
      <c r="Q466" s="431" t="s">
        <v>762</v>
      </c>
      <c r="R466" s="431" t="s">
        <v>762</v>
      </c>
      <c r="S466" s="431" t="s">
        <v>762</v>
      </c>
      <c r="T466" s="431" t="s">
        <v>762</v>
      </c>
      <c r="U466" s="431" t="s">
        <v>762</v>
      </c>
      <c r="V466" s="431">
        <v>90</v>
      </c>
      <c r="W466" s="431">
        <v>108</v>
      </c>
      <c r="X466" s="431">
        <v>119</v>
      </c>
      <c r="Y466" s="431">
        <v>130</v>
      </c>
      <c r="Z466" s="431">
        <v>141</v>
      </c>
      <c r="AA466" s="431">
        <v>153</v>
      </c>
      <c r="AB466" s="431">
        <v>165</v>
      </c>
      <c r="AC466" s="431">
        <v>172</v>
      </c>
      <c r="AD466" s="431">
        <v>179</v>
      </c>
      <c r="AE466" s="431" t="s">
        <v>762</v>
      </c>
      <c r="AF466" s="431" t="s">
        <v>762</v>
      </c>
      <c r="AG466" s="431" t="s">
        <v>762</v>
      </c>
      <c r="AH466" s="431" t="s">
        <v>762</v>
      </c>
      <c r="AI466" s="431" t="s">
        <v>762</v>
      </c>
      <c r="AJ466" s="431" t="s">
        <v>762</v>
      </c>
      <c r="AK466" s="431" t="s">
        <v>762</v>
      </c>
      <c r="AL466" s="431" t="s">
        <v>762</v>
      </c>
      <c r="AM466" s="431" t="s">
        <v>762</v>
      </c>
      <c r="AN466" s="431" t="s">
        <v>762</v>
      </c>
      <c r="AO466" s="431" t="s">
        <v>762</v>
      </c>
      <c r="AP466" s="431" t="s">
        <v>762</v>
      </c>
      <c r="AQ466" s="431" t="s">
        <v>762</v>
      </c>
      <c r="AR466" s="431" t="s">
        <v>762</v>
      </c>
      <c r="AS466" s="431" t="s">
        <v>762</v>
      </c>
      <c r="AT466" s="431" t="s">
        <v>762</v>
      </c>
      <c r="AU466" s="431" t="s">
        <v>762</v>
      </c>
      <c r="AV466" s="431" t="s">
        <v>762</v>
      </c>
      <c r="AW466" s="431" t="s">
        <v>762</v>
      </c>
      <c r="AX466" s="431" t="s">
        <v>762</v>
      </c>
      <c r="AY466" s="431" t="s">
        <v>762</v>
      </c>
      <c r="AZ466" s="431" t="s">
        <v>762</v>
      </c>
      <c r="BA466" s="431" t="s">
        <v>762</v>
      </c>
      <c r="BB466" s="431" t="s">
        <v>762</v>
      </c>
      <c r="BC466" s="431" t="s">
        <v>762</v>
      </c>
      <c r="BD466" s="431" t="s">
        <v>762</v>
      </c>
      <c r="BE466" s="431" t="s">
        <v>762</v>
      </c>
      <c r="BF466" s="431" t="s">
        <v>762</v>
      </c>
      <c r="BG466" s="431" t="s">
        <v>762</v>
      </c>
      <c r="BH466" s="431" t="s">
        <v>762</v>
      </c>
      <c r="BI466" s="431" t="s">
        <v>762</v>
      </c>
      <c r="BJ466" s="431" t="s">
        <v>762</v>
      </c>
      <c r="BK466" s="431" t="s">
        <v>762</v>
      </c>
      <c r="BL466" s="431" t="s">
        <v>762</v>
      </c>
      <c r="BM466" s="431" t="s">
        <v>762</v>
      </c>
      <c r="BN466" s="431" t="s">
        <v>762</v>
      </c>
      <c r="BO466" s="431" t="s">
        <v>762</v>
      </c>
      <c r="BP466" s="431" t="s">
        <v>762</v>
      </c>
      <c r="BQ466" s="431" t="s">
        <v>762</v>
      </c>
      <c r="BR466" s="431" t="s">
        <v>762</v>
      </c>
      <c r="BS466" s="431" t="s">
        <v>762</v>
      </c>
      <c r="BT466" s="431" t="s">
        <v>762</v>
      </c>
      <c r="BU466" s="431" t="s">
        <v>762</v>
      </c>
      <c r="BV466" s="431" t="s">
        <v>762</v>
      </c>
      <c r="BW466" s="431" t="s">
        <v>762</v>
      </c>
      <c r="BX466" s="431" t="s">
        <v>762</v>
      </c>
      <c r="BY466" s="431" t="s">
        <v>762</v>
      </c>
      <c r="BZ466" s="431" t="s">
        <v>762</v>
      </c>
      <c r="CA466" s="431" t="s">
        <v>762</v>
      </c>
      <c r="CB466" s="431" t="s">
        <v>762</v>
      </c>
      <c r="CC466" s="431" t="s">
        <v>762</v>
      </c>
      <c r="CD466" s="431" t="s">
        <v>762</v>
      </c>
      <c r="CE466" s="431" t="s">
        <v>762</v>
      </c>
      <c r="CF466" s="431" t="s">
        <v>762</v>
      </c>
      <c r="CG466" s="431" t="s">
        <v>762</v>
      </c>
      <c r="CH466" s="431" t="s">
        <v>762</v>
      </c>
      <c r="CI466" s="431" t="s">
        <v>762</v>
      </c>
      <c r="CJ466" s="431" t="s">
        <v>762</v>
      </c>
      <c r="CK466" s="431" t="s">
        <v>762</v>
      </c>
      <c r="CL466" s="431" t="s">
        <v>762</v>
      </c>
    </row>
    <row r="467" spans="1:90" s="432" customFormat="1">
      <c r="A467" s="430" t="s">
        <v>519</v>
      </c>
      <c r="B467" s="430" t="s">
        <v>631</v>
      </c>
      <c r="C467" s="431" t="s">
        <v>762</v>
      </c>
      <c r="D467" s="431" t="s">
        <v>762</v>
      </c>
      <c r="E467" s="431" t="s">
        <v>762</v>
      </c>
      <c r="F467" s="431" t="s">
        <v>762</v>
      </c>
      <c r="G467" s="431" t="s">
        <v>762</v>
      </c>
      <c r="H467" s="431" t="s">
        <v>762</v>
      </c>
      <c r="I467" s="431" t="s">
        <v>762</v>
      </c>
      <c r="J467" s="431" t="s">
        <v>762</v>
      </c>
      <c r="K467" s="431" t="s">
        <v>762</v>
      </c>
      <c r="L467" s="431">
        <v>32</v>
      </c>
      <c r="M467" s="431" t="s">
        <v>762</v>
      </c>
      <c r="N467" s="431" t="s">
        <v>762</v>
      </c>
      <c r="O467" s="431" t="s">
        <v>762</v>
      </c>
      <c r="P467" s="431" t="s">
        <v>762</v>
      </c>
      <c r="Q467" s="431" t="s">
        <v>762</v>
      </c>
      <c r="R467" s="431" t="s">
        <v>762</v>
      </c>
      <c r="S467" s="431" t="s">
        <v>762</v>
      </c>
      <c r="T467" s="431" t="s">
        <v>762</v>
      </c>
      <c r="U467" s="431" t="s">
        <v>762</v>
      </c>
      <c r="V467" s="431">
        <v>37</v>
      </c>
      <c r="W467" s="431">
        <v>42</v>
      </c>
      <c r="X467" s="431">
        <v>49</v>
      </c>
      <c r="Y467" s="431">
        <v>55</v>
      </c>
      <c r="Z467" s="431">
        <v>61</v>
      </c>
      <c r="AA467" s="431">
        <v>68</v>
      </c>
      <c r="AB467" s="431">
        <v>74</v>
      </c>
      <c r="AC467" s="431">
        <v>80</v>
      </c>
      <c r="AD467" s="431">
        <v>87</v>
      </c>
      <c r="AE467" s="431" t="s">
        <v>762</v>
      </c>
      <c r="AF467" s="431" t="s">
        <v>762</v>
      </c>
      <c r="AG467" s="431">
        <v>178</v>
      </c>
      <c r="AH467" s="431" t="s">
        <v>762</v>
      </c>
      <c r="AI467" s="431">
        <v>178</v>
      </c>
      <c r="AJ467" s="431" t="s">
        <v>762</v>
      </c>
      <c r="AK467" s="431" t="s">
        <v>762</v>
      </c>
      <c r="AL467" s="431">
        <v>178</v>
      </c>
      <c r="AM467" s="431" t="s">
        <v>762</v>
      </c>
      <c r="AN467" s="431" t="s">
        <v>762</v>
      </c>
      <c r="AO467" s="431" t="s">
        <v>762</v>
      </c>
      <c r="AP467" s="431">
        <v>178</v>
      </c>
      <c r="AQ467" s="431" t="s">
        <v>762</v>
      </c>
      <c r="AR467" s="431" t="s">
        <v>762</v>
      </c>
      <c r="AS467" s="431" t="s">
        <v>762</v>
      </c>
      <c r="AT467" s="431">
        <v>178</v>
      </c>
      <c r="AU467" s="431" t="s">
        <v>762</v>
      </c>
      <c r="AV467" s="431" t="s">
        <v>762</v>
      </c>
      <c r="AW467" s="431" t="s">
        <v>762</v>
      </c>
      <c r="AX467" s="431" t="s">
        <v>762</v>
      </c>
      <c r="AY467" s="431" t="s">
        <v>762</v>
      </c>
      <c r="AZ467" s="431" t="s">
        <v>762</v>
      </c>
      <c r="BA467" s="431" t="s">
        <v>762</v>
      </c>
      <c r="BB467" s="431" t="s">
        <v>762</v>
      </c>
      <c r="BC467" s="431" t="s">
        <v>762</v>
      </c>
      <c r="BD467" s="431" t="s">
        <v>762</v>
      </c>
      <c r="BE467" s="431" t="s">
        <v>762</v>
      </c>
      <c r="BF467" s="431">
        <v>293</v>
      </c>
      <c r="BG467" s="431" t="s">
        <v>762</v>
      </c>
      <c r="BH467" s="431" t="s">
        <v>762</v>
      </c>
      <c r="BI467" s="431" t="s">
        <v>762</v>
      </c>
      <c r="BJ467" s="431" t="s">
        <v>762</v>
      </c>
      <c r="BK467" s="431" t="s">
        <v>762</v>
      </c>
      <c r="BL467" s="431">
        <v>393</v>
      </c>
      <c r="BM467" s="431" t="s">
        <v>762</v>
      </c>
      <c r="BN467" s="431" t="s">
        <v>762</v>
      </c>
      <c r="BO467" s="431" t="s">
        <v>762</v>
      </c>
      <c r="BP467" s="431" t="s">
        <v>762</v>
      </c>
      <c r="BQ467" s="431" t="s">
        <v>762</v>
      </c>
      <c r="BR467" s="431" t="s">
        <v>762</v>
      </c>
      <c r="BS467" s="431" t="s">
        <v>762</v>
      </c>
      <c r="BT467" s="431" t="s">
        <v>762</v>
      </c>
      <c r="BU467" s="431" t="s">
        <v>762</v>
      </c>
      <c r="BV467" s="431" t="s">
        <v>762</v>
      </c>
      <c r="BW467" s="431" t="s">
        <v>762</v>
      </c>
      <c r="BX467" s="431" t="s">
        <v>762</v>
      </c>
      <c r="BY467" s="431" t="s">
        <v>762</v>
      </c>
      <c r="BZ467" s="431" t="s">
        <v>762</v>
      </c>
      <c r="CA467" s="431" t="s">
        <v>762</v>
      </c>
      <c r="CB467" s="431" t="s">
        <v>762</v>
      </c>
      <c r="CC467" s="431" t="s">
        <v>762</v>
      </c>
      <c r="CD467" s="431" t="s">
        <v>762</v>
      </c>
      <c r="CE467" s="431" t="s">
        <v>762</v>
      </c>
      <c r="CF467" s="431" t="s">
        <v>762</v>
      </c>
      <c r="CG467" s="431" t="s">
        <v>762</v>
      </c>
      <c r="CH467" s="431" t="s">
        <v>762</v>
      </c>
      <c r="CI467" s="431" t="s">
        <v>762</v>
      </c>
      <c r="CJ467" s="431" t="s">
        <v>762</v>
      </c>
      <c r="CK467" s="431" t="s">
        <v>762</v>
      </c>
      <c r="CL467" s="431" t="s">
        <v>762</v>
      </c>
    </row>
    <row r="468" spans="1:90" s="432" customFormat="1">
      <c r="A468" s="430" t="s">
        <v>520</v>
      </c>
      <c r="B468" s="430" t="s">
        <v>631</v>
      </c>
      <c r="C468" s="431" t="s">
        <v>762</v>
      </c>
      <c r="D468" s="431" t="s">
        <v>762</v>
      </c>
      <c r="E468" s="431" t="s">
        <v>762</v>
      </c>
      <c r="F468" s="431" t="s">
        <v>762</v>
      </c>
      <c r="G468" s="431" t="s">
        <v>762</v>
      </c>
      <c r="H468" s="431" t="s">
        <v>762</v>
      </c>
      <c r="I468" s="431" t="s">
        <v>762</v>
      </c>
      <c r="J468" s="431" t="s">
        <v>762</v>
      </c>
      <c r="K468" s="431" t="s">
        <v>762</v>
      </c>
      <c r="L468" s="431">
        <v>34</v>
      </c>
      <c r="M468" s="431" t="s">
        <v>762</v>
      </c>
      <c r="N468" s="431" t="s">
        <v>762</v>
      </c>
      <c r="O468" s="431" t="s">
        <v>762</v>
      </c>
      <c r="P468" s="431" t="s">
        <v>762</v>
      </c>
      <c r="Q468" s="431" t="s">
        <v>762</v>
      </c>
      <c r="R468" s="431" t="s">
        <v>762</v>
      </c>
      <c r="S468" s="431" t="s">
        <v>762</v>
      </c>
      <c r="T468" s="431" t="s">
        <v>762</v>
      </c>
      <c r="U468" s="431" t="s">
        <v>762</v>
      </c>
      <c r="V468" s="431">
        <v>38</v>
      </c>
      <c r="W468" s="431">
        <v>41</v>
      </c>
      <c r="X468" s="431">
        <v>45</v>
      </c>
      <c r="Y468" s="431">
        <v>49</v>
      </c>
      <c r="Z468" s="431">
        <v>53</v>
      </c>
      <c r="AA468" s="431">
        <v>57</v>
      </c>
      <c r="AB468" s="431">
        <v>63</v>
      </c>
      <c r="AC468" s="431">
        <v>67</v>
      </c>
      <c r="AD468" s="431">
        <v>73</v>
      </c>
      <c r="AE468" s="431" t="s">
        <v>762</v>
      </c>
      <c r="AF468" s="431" t="s">
        <v>762</v>
      </c>
      <c r="AG468" s="431">
        <v>145</v>
      </c>
      <c r="AH468" s="431" t="s">
        <v>762</v>
      </c>
      <c r="AI468" s="431">
        <v>145</v>
      </c>
      <c r="AJ468" s="431" t="s">
        <v>762</v>
      </c>
      <c r="AK468" s="431" t="s">
        <v>762</v>
      </c>
      <c r="AL468" s="431">
        <v>145</v>
      </c>
      <c r="AM468" s="431" t="s">
        <v>762</v>
      </c>
      <c r="AN468" s="431" t="s">
        <v>762</v>
      </c>
      <c r="AO468" s="431" t="s">
        <v>762</v>
      </c>
      <c r="AP468" s="431">
        <v>145</v>
      </c>
      <c r="AQ468" s="431" t="s">
        <v>762</v>
      </c>
      <c r="AR468" s="431" t="s">
        <v>762</v>
      </c>
      <c r="AS468" s="431" t="s">
        <v>762</v>
      </c>
      <c r="AT468" s="431">
        <v>145</v>
      </c>
      <c r="AU468" s="431" t="s">
        <v>762</v>
      </c>
      <c r="AV468" s="431" t="s">
        <v>762</v>
      </c>
      <c r="AW468" s="431" t="s">
        <v>762</v>
      </c>
      <c r="AX468" s="431" t="s">
        <v>762</v>
      </c>
      <c r="AY468" s="431" t="s">
        <v>762</v>
      </c>
      <c r="AZ468" s="431" t="s">
        <v>762</v>
      </c>
      <c r="BA468" s="431" t="s">
        <v>762</v>
      </c>
      <c r="BB468" s="431" t="s">
        <v>762</v>
      </c>
      <c r="BC468" s="431" t="s">
        <v>762</v>
      </c>
      <c r="BD468" s="431" t="s">
        <v>762</v>
      </c>
      <c r="BE468" s="431" t="s">
        <v>762</v>
      </c>
      <c r="BF468" s="431">
        <v>226</v>
      </c>
      <c r="BG468" s="431" t="s">
        <v>762</v>
      </c>
      <c r="BH468" s="431" t="s">
        <v>762</v>
      </c>
      <c r="BI468" s="431" t="s">
        <v>762</v>
      </c>
      <c r="BJ468" s="431" t="s">
        <v>762</v>
      </c>
      <c r="BK468" s="431" t="s">
        <v>762</v>
      </c>
      <c r="BL468" s="431">
        <v>273</v>
      </c>
      <c r="BM468" s="431" t="s">
        <v>762</v>
      </c>
      <c r="BN468" s="431" t="s">
        <v>762</v>
      </c>
      <c r="BO468" s="431" t="s">
        <v>762</v>
      </c>
      <c r="BP468" s="431" t="s">
        <v>762</v>
      </c>
      <c r="BQ468" s="431" t="s">
        <v>762</v>
      </c>
      <c r="BR468" s="431" t="s">
        <v>762</v>
      </c>
      <c r="BS468" s="431" t="s">
        <v>762</v>
      </c>
      <c r="BT468" s="431" t="s">
        <v>762</v>
      </c>
      <c r="BU468" s="431" t="s">
        <v>762</v>
      </c>
      <c r="BV468" s="431" t="s">
        <v>762</v>
      </c>
      <c r="BW468" s="431" t="s">
        <v>762</v>
      </c>
      <c r="BX468" s="431" t="s">
        <v>762</v>
      </c>
      <c r="BY468" s="431" t="s">
        <v>762</v>
      </c>
      <c r="BZ468" s="431" t="s">
        <v>762</v>
      </c>
      <c r="CA468" s="431" t="s">
        <v>762</v>
      </c>
      <c r="CB468" s="431" t="s">
        <v>762</v>
      </c>
      <c r="CC468" s="431" t="s">
        <v>762</v>
      </c>
      <c r="CD468" s="431" t="s">
        <v>762</v>
      </c>
      <c r="CE468" s="431" t="s">
        <v>762</v>
      </c>
      <c r="CF468" s="431" t="s">
        <v>762</v>
      </c>
      <c r="CG468" s="431" t="s">
        <v>762</v>
      </c>
      <c r="CH468" s="431" t="s">
        <v>762</v>
      </c>
      <c r="CI468" s="431" t="s">
        <v>762</v>
      </c>
      <c r="CJ468" s="431" t="s">
        <v>762</v>
      </c>
      <c r="CK468" s="431" t="s">
        <v>762</v>
      </c>
      <c r="CL468" s="431" t="s">
        <v>762</v>
      </c>
    </row>
    <row r="469" spans="1:90" s="432" customFormat="1">
      <c r="A469" s="430" t="s">
        <v>521</v>
      </c>
      <c r="B469" s="430" t="s">
        <v>631</v>
      </c>
      <c r="C469" s="431" t="s">
        <v>762</v>
      </c>
      <c r="D469" s="431" t="s">
        <v>762</v>
      </c>
      <c r="E469" s="431" t="s">
        <v>762</v>
      </c>
      <c r="F469" s="431" t="s">
        <v>762</v>
      </c>
      <c r="G469" s="431" t="s">
        <v>762</v>
      </c>
      <c r="H469" s="431" t="s">
        <v>762</v>
      </c>
      <c r="I469" s="431" t="s">
        <v>762</v>
      </c>
      <c r="J469" s="431" t="s">
        <v>762</v>
      </c>
      <c r="K469" s="431" t="s">
        <v>762</v>
      </c>
      <c r="L469" s="431">
        <v>32</v>
      </c>
      <c r="M469" s="431" t="s">
        <v>762</v>
      </c>
      <c r="N469" s="431" t="s">
        <v>762</v>
      </c>
      <c r="O469" s="431" t="s">
        <v>762</v>
      </c>
      <c r="P469" s="431" t="s">
        <v>762</v>
      </c>
      <c r="Q469" s="431" t="s">
        <v>762</v>
      </c>
      <c r="R469" s="431" t="s">
        <v>762</v>
      </c>
      <c r="S469" s="431" t="s">
        <v>762</v>
      </c>
      <c r="T469" s="431" t="s">
        <v>762</v>
      </c>
      <c r="U469" s="431" t="s">
        <v>762</v>
      </c>
      <c r="V469" s="431">
        <v>39</v>
      </c>
      <c r="W469" s="431">
        <v>46</v>
      </c>
      <c r="X469" s="431">
        <v>53</v>
      </c>
      <c r="Y469" s="431">
        <v>63</v>
      </c>
      <c r="Z469" s="431">
        <v>69</v>
      </c>
      <c r="AA469" s="431">
        <v>78</v>
      </c>
      <c r="AB469" s="431">
        <v>85</v>
      </c>
      <c r="AC469" s="431">
        <v>94</v>
      </c>
      <c r="AD469" s="431">
        <v>100</v>
      </c>
      <c r="AE469" s="431" t="s">
        <v>762</v>
      </c>
      <c r="AF469" s="431" t="s">
        <v>762</v>
      </c>
      <c r="AG469" s="431">
        <v>192</v>
      </c>
      <c r="AH469" s="431" t="s">
        <v>762</v>
      </c>
      <c r="AI469" s="431">
        <v>192</v>
      </c>
      <c r="AJ469" s="431" t="s">
        <v>762</v>
      </c>
      <c r="AK469" s="431" t="s">
        <v>762</v>
      </c>
      <c r="AL469" s="431">
        <v>192</v>
      </c>
      <c r="AM469" s="431" t="s">
        <v>762</v>
      </c>
      <c r="AN469" s="431" t="s">
        <v>762</v>
      </c>
      <c r="AO469" s="431" t="s">
        <v>762</v>
      </c>
      <c r="AP469" s="431">
        <v>192</v>
      </c>
      <c r="AQ469" s="431" t="s">
        <v>762</v>
      </c>
      <c r="AR469" s="431" t="s">
        <v>762</v>
      </c>
      <c r="AS469" s="431" t="s">
        <v>762</v>
      </c>
      <c r="AT469" s="431">
        <v>192</v>
      </c>
      <c r="AU469" s="431" t="s">
        <v>762</v>
      </c>
      <c r="AV469" s="431" t="s">
        <v>762</v>
      </c>
      <c r="AW469" s="431" t="s">
        <v>762</v>
      </c>
      <c r="AX469" s="431" t="s">
        <v>762</v>
      </c>
      <c r="AY469" s="431" t="s">
        <v>762</v>
      </c>
      <c r="AZ469" s="431" t="s">
        <v>762</v>
      </c>
      <c r="BA469" s="431" t="s">
        <v>762</v>
      </c>
      <c r="BB469" s="431" t="s">
        <v>762</v>
      </c>
      <c r="BC469" s="431" t="s">
        <v>762</v>
      </c>
      <c r="BD469" s="431" t="s">
        <v>762</v>
      </c>
      <c r="BE469" s="431" t="s">
        <v>762</v>
      </c>
      <c r="BF469" s="431">
        <v>278</v>
      </c>
      <c r="BG469" s="431" t="s">
        <v>762</v>
      </c>
      <c r="BH469" s="431" t="s">
        <v>762</v>
      </c>
      <c r="BI469" s="431" t="s">
        <v>762</v>
      </c>
      <c r="BJ469" s="431" t="s">
        <v>762</v>
      </c>
      <c r="BK469" s="431" t="s">
        <v>762</v>
      </c>
      <c r="BL469" s="431">
        <v>342</v>
      </c>
      <c r="BM469" s="431" t="s">
        <v>762</v>
      </c>
      <c r="BN469" s="431" t="s">
        <v>762</v>
      </c>
      <c r="BO469" s="431" t="s">
        <v>762</v>
      </c>
      <c r="BP469" s="431" t="s">
        <v>762</v>
      </c>
      <c r="BQ469" s="431" t="s">
        <v>762</v>
      </c>
      <c r="BR469" s="431" t="s">
        <v>762</v>
      </c>
      <c r="BS469" s="431" t="s">
        <v>762</v>
      </c>
      <c r="BT469" s="431" t="s">
        <v>762</v>
      </c>
      <c r="BU469" s="431" t="s">
        <v>762</v>
      </c>
      <c r="BV469" s="431" t="s">
        <v>762</v>
      </c>
      <c r="BW469" s="431" t="s">
        <v>762</v>
      </c>
      <c r="BX469" s="431" t="s">
        <v>762</v>
      </c>
      <c r="BY469" s="431" t="s">
        <v>762</v>
      </c>
      <c r="BZ469" s="431" t="s">
        <v>762</v>
      </c>
      <c r="CA469" s="431" t="s">
        <v>762</v>
      </c>
      <c r="CB469" s="431" t="s">
        <v>762</v>
      </c>
      <c r="CC469" s="431" t="s">
        <v>762</v>
      </c>
      <c r="CD469" s="431" t="s">
        <v>762</v>
      </c>
      <c r="CE469" s="431" t="s">
        <v>762</v>
      </c>
      <c r="CF469" s="431" t="s">
        <v>762</v>
      </c>
      <c r="CG469" s="431" t="s">
        <v>762</v>
      </c>
      <c r="CH469" s="431" t="s">
        <v>762</v>
      </c>
      <c r="CI469" s="431" t="s">
        <v>762</v>
      </c>
      <c r="CJ469" s="431" t="s">
        <v>762</v>
      </c>
      <c r="CK469" s="431" t="s">
        <v>762</v>
      </c>
      <c r="CL469" s="431" t="s">
        <v>762</v>
      </c>
    </row>
    <row r="470" spans="1:90" s="432" customFormat="1">
      <c r="A470" s="430" t="s">
        <v>522</v>
      </c>
      <c r="B470" s="430" t="s">
        <v>631</v>
      </c>
      <c r="C470" s="431" t="s">
        <v>762</v>
      </c>
      <c r="D470" s="431" t="s">
        <v>762</v>
      </c>
      <c r="E470" s="431" t="s">
        <v>762</v>
      </c>
      <c r="F470" s="431" t="s">
        <v>762</v>
      </c>
      <c r="G470" s="431" t="s">
        <v>762</v>
      </c>
      <c r="H470" s="431" t="s">
        <v>762</v>
      </c>
      <c r="I470" s="431" t="s">
        <v>762</v>
      </c>
      <c r="J470" s="431" t="s">
        <v>762</v>
      </c>
      <c r="K470" s="431" t="s">
        <v>762</v>
      </c>
      <c r="L470" s="431">
        <v>47</v>
      </c>
      <c r="M470" s="431" t="s">
        <v>762</v>
      </c>
      <c r="N470" s="431" t="s">
        <v>762</v>
      </c>
      <c r="O470" s="431" t="s">
        <v>762</v>
      </c>
      <c r="P470" s="431" t="s">
        <v>762</v>
      </c>
      <c r="Q470" s="431" t="s">
        <v>762</v>
      </c>
      <c r="R470" s="431" t="s">
        <v>762</v>
      </c>
      <c r="S470" s="431" t="s">
        <v>762</v>
      </c>
      <c r="T470" s="431" t="s">
        <v>762</v>
      </c>
      <c r="U470" s="431" t="s">
        <v>762</v>
      </c>
      <c r="V470" s="431">
        <v>57</v>
      </c>
      <c r="W470" s="431">
        <v>67</v>
      </c>
      <c r="X470" s="431">
        <v>78</v>
      </c>
      <c r="Y470" s="431">
        <v>92</v>
      </c>
      <c r="Z470" s="431">
        <v>102</v>
      </c>
      <c r="AA470" s="431">
        <v>116</v>
      </c>
      <c r="AB470" s="431">
        <v>126</v>
      </c>
      <c r="AC470" s="431">
        <v>139</v>
      </c>
      <c r="AD470" s="431">
        <v>149</v>
      </c>
      <c r="AE470" s="431" t="s">
        <v>762</v>
      </c>
      <c r="AF470" s="431" t="s">
        <v>762</v>
      </c>
      <c r="AG470" s="431" t="s">
        <v>762</v>
      </c>
      <c r="AH470" s="431" t="s">
        <v>762</v>
      </c>
      <c r="AI470" s="431" t="s">
        <v>762</v>
      </c>
      <c r="AJ470" s="431" t="s">
        <v>762</v>
      </c>
      <c r="AK470" s="431" t="s">
        <v>762</v>
      </c>
      <c r="AL470" s="431" t="s">
        <v>762</v>
      </c>
      <c r="AM470" s="431" t="s">
        <v>762</v>
      </c>
      <c r="AN470" s="431" t="s">
        <v>762</v>
      </c>
      <c r="AO470" s="431" t="s">
        <v>762</v>
      </c>
      <c r="AP470" s="431" t="s">
        <v>762</v>
      </c>
      <c r="AQ470" s="431" t="s">
        <v>762</v>
      </c>
      <c r="AR470" s="431" t="s">
        <v>762</v>
      </c>
      <c r="AS470" s="431" t="s">
        <v>762</v>
      </c>
      <c r="AT470" s="431" t="s">
        <v>762</v>
      </c>
      <c r="AU470" s="431" t="s">
        <v>762</v>
      </c>
      <c r="AV470" s="431" t="s">
        <v>762</v>
      </c>
      <c r="AW470" s="431" t="s">
        <v>762</v>
      </c>
      <c r="AX470" s="431" t="s">
        <v>762</v>
      </c>
      <c r="AY470" s="431" t="s">
        <v>762</v>
      </c>
      <c r="AZ470" s="431" t="s">
        <v>762</v>
      </c>
      <c r="BA470" s="431" t="s">
        <v>762</v>
      </c>
      <c r="BB470" s="431" t="s">
        <v>762</v>
      </c>
      <c r="BC470" s="431" t="s">
        <v>762</v>
      </c>
      <c r="BD470" s="431" t="s">
        <v>762</v>
      </c>
      <c r="BE470" s="431" t="s">
        <v>762</v>
      </c>
      <c r="BF470" s="431" t="s">
        <v>762</v>
      </c>
      <c r="BG470" s="431" t="s">
        <v>762</v>
      </c>
      <c r="BH470" s="431" t="s">
        <v>762</v>
      </c>
      <c r="BI470" s="431" t="s">
        <v>762</v>
      </c>
      <c r="BJ470" s="431" t="s">
        <v>762</v>
      </c>
      <c r="BK470" s="431" t="s">
        <v>762</v>
      </c>
      <c r="BL470" s="431" t="s">
        <v>762</v>
      </c>
      <c r="BM470" s="431" t="s">
        <v>762</v>
      </c>
      <c r="BN470" s="431" t="s">
        <v>762</v>
      </c>
      <c r="BO470" s="431" t="s">
        <v>762</v>
      </c>
      <c r="BP470" s="431" t="s">
        <v>762</v>
      </c>
      <c r="BQ470" s="431" t="s">
        <v>762</v>
      </c>
      <c r="BR470" s="431" t="s">
        <v>762</v>
      </c>
      <c r="BS470" s="431" t="s">
        <v>762</v>
      </c>
      <c r="BT470" s="431" t="s">
        <v>762</v>
      </c>
      <c r="BU470" s="431" t="s">
        <v>762</v>
      </c>
      <c r="BV470" s="431" t="s">
        <v>762</v>
      </c>
      <c r="BW470" s="431" t="s">
        <v>762</v>
      </c>
      <c r="BX470" s="431" t="s">
        <v>762</v>
      </c>
      <c r="BY470" s="431" t="s">
        <v>762</v>
      </c>
      <c r="BZ470" s="431" t="s">
        <v>762</v>
      </c>
      <c r="CA470" s="431" t="s">
        <v>762</v>
      </c>
      <c r="CB470" s="431" t="s">
        <v>762</v>
      </c>
      <c r="CC470" s="431" t="s">
        <v>762</v>
      </c>
      <c r="CD470" s="431" t="s">
        <v>762</v>
      </c>
      <c r="CE470" s="431" t="s">
        <v>762</v>
      </c>
      <c r="CF470" s="431" t="s">
        <v>762</v>
      </c>
      <c r="CG470" s="431" t="s">
        <v>762</v>
      </c>
      <c r="CH470" s="431" t="s">
        <v>762</v>
      </c>
      <c r="CI470" s="431" t="s">
        <v>762</v>
      </c>
      <c r="CJ470" s="431" t="s">
        <v>762</v>
      </c>
      <c r="CK470" s="431" t="s">
        <v>762</v>
      </c>
      <c r="CL470" s="431" t="s">
        <v>762</v>
      </c>
    </row>
    <row r="471" spans="1:90" s="432" customFormat="1">
      <c r="A471" s="430" t="s">
        <v>523</v>
      </c>
      <c r="B471" s="430" t="s">
        <v>631</v>
      </c>
      <c r="C471" s="431" t="s">
        <v>762</v>
      </c>
      <c r="D471" s="431" t="s">
        <v>762</v>
      </c>
      <c r="E471" s="431" t="s">
        <v>762</v>
      </c>
      <c r="F471" s="431" t="s">
        <v>762</v>
      </c>
      <c r="G471" s="431" t="s">
        <v>762</v>
      </c>
      <c r="H471" s="431" t="s">
        <v>762</v>
      </c>
      <c r="I471" s="431" t="s">
        <v>762</v>
      </c>
      <c r="J471" s="431" t="s">
        <v>762</v>
      </c>
      <c r="K471" s="431" t="s">
        <v>762</v>
      </c>
      <c r="L471" s="431">
        <v>34</v>
      </c>
      <c r="M471" s="431" t="s">
        <v>762</v>
      </c>
      <c r="N471" s="431" t="s">
        <v>762</v>
      </c>
      <c r="O471" s="431" t="s">
        <v>762</v>
      </c>
      <c r="P471" s="431" t="s">
        <v>762</v>
      </c>
      <c r="Q471" s="431" t="s">
        <v>762</v>
      </c>
      <c r="R471" s="431" t="s">
        <v>762</v>
      </c>
      <c r="S471" s="431" t="s">
        <v>762</v>
      </c>
      <c r="T471" s="431" t="s">
        <v>762</v>
      </c>
      <c r="U471" s="431" t="s">
        <v>762</v>
      </c>
      <c r="V471" s="431">
        <v>37</v>
      </c>
      <c r="W471" s="431">
        <v>40</v>
      </c>
      <c r="X471" s="431">
        <v>44</v>
      </c>
      <c r="Y471" s="431">
        <v>48</v>
      </c>
      <c r="Z471" s="431">
        <v>51</v>
      </c>
      <c r="AA471" s="431">
        <v>55</v>
      </c>
      <c r="AB471" s="431">
        <v>60</v>
      </c>
      <c r="AC471" s="431">
        <v>64</v>
      </c>
      <c r="AD471" s="431">
        <v>69</v>
      </c>
      <c r="AE471" s="431" t="s">
        <v>762</v>
      </c>
      <c r="AF471" s="431" t="s">
        <v>762</v>
      </c>
      <c r="AG471" s="431">
        <v>141</v>
      </c>
      <c r="AH471" s="431" t="s">
        <v>762</v>
      </c>
      <c r="AI471" s="431">
        <v>141</v>
      </c>
      <c r="AJ471" s="431" t="s">
        <v>762</v>
      </c>
      <c r="AK471" s="431" t="s">
        <v>762</v>
      </c>
      <c r="AL471" s="431">
        <v>141</v>
      </c>
      <c r="AM471" s="431" t="s">
        <v>762</v>
      </c>
      <c r="AN471" s="431" t="s">
        <v>762</v>
      </c>
      <c r="AO471" s="431" t="s">
        <v>762</v>
      </c>
      <c r="AP471" s="431">
        <v>141</v>
      </c>
      <c r="AQ471" s="431" t="s">
        <v>762</v>
      </c>
      <c r="AR471" s="431" t="s">
        <v>762</v>
      </c>
      <c r="AS471" s="431" t="s">
        <v>762</v>
      </c>
      <c r="AT471" s="431">
        <v>141</v>
      </c>
      <c r="AU471" s="431" t="s">
        <v>762</v>
      </c>
      <c r="AV471" s="431" t="s">
        <v>762</v>
      </c>
      <c r="AW471" s="431" t="s">
        <v>762</v>
      </c>
      <c r="AX471" s="431" t="s">
        <v>762</v>
      </c>
      <c r="AY471" s="431" t="s">
        <v>762</v>
      </c>
      <c r="AZ471" s="431" t="s">
        <v>762</v>
      </c>
      <c r="BA471" s="431" t="s">
        <v>762</v>
      </c>
      <c r="BB471" s="431" t="s">
        <v>762</v>
      </c>
      <c r="BC471" s="431" t="s">
        <v>762</v>
      </c>
      <c r="BD471" s="431" t="s">
        <v>762</v>
      </c>
      <c r="BE471" s="431" t="s">
        <v>762</v>
      </c>
      <c r="BF471" s="431">
        <v>210</v>
      </c>
      <c r="BG471" s="431" t="s">
        <v>762</v>
      </c>
      <c r="BH471" s="431" t="s">
        <v>762</v>
      </c>
      <c r="BI471" s="431" t="s">
        <v>762</v>
      </c>
      <c r="BJ471" s="431" t="s">
        <v>762</v>
      </c>
      <c r="BK471" s="431" t="s">
        <v>762</v>
      </c>
      <c r="BL471" s="431">
        <v>238</v>
      </c>
      <c r="BM471" s="431" t="s">
        <v>762</v>
      </c>
      <c r="BN471" s="431" t="s">
        <v>762</v>
      </c>
      <c r="BO471" s="431" t="s">
        <v>762</v>
      </c>
      <c r="BP471" s="431" t="s">
        <v>762</v>
      </c>
      <c r="BQ471" s="431" t="s">
        <v>762</v>
      </c>
      <c r="BR471" s="431" t="s">
        <v>762</v>
      </c>
      <c r="BS471" s="431" t="s">
        <v>762</v>
      </c>
      <c r="BT471" s="431" t="s">
        <v>762</v>
      </c>
      <c r="BU471" s="431" t="s">
        <v>762</v>
      </c>
      <c r="BV471" s="431" t="s">
        <v>762</v>
      </c>
      <c r="BW471" s="431" t="s">
        <v>762</v>
      </c>
      <c r="BX471" s="431" t="s">
        <v>762</v>
      </c>
      <c r="BY471" s="431" t="s">
        <v>762</v>
      </c>
      <c r="BZ471" s="431" t="s">
        <v>762</v>
      </c>
      <c r="CA471" s="431" t="s">
        <v>762</v>
      </c>
      <c r="CB471" s="431" t="s">
        <v>762</v>
      </c>
      <c r="CC471" s="431" t="s">
        <v>762</v>
      </c>
      <c r="CD471" s="431" t="s">
        <v>762</v>
      </c>
      <c r="CE471" s="431" t="s">
        <v>762</v>
      </c>
      <c r="CF471" s="431" t="s">
        <v>762</v>
      </c>
      <c r="CG471" s="431" t="s">
        <v>762</v>
      </c>
      <c r="CH471" s="431" t="s">
        <v>762</v>
      </c>
      <c r="CI471" s="431" t="s">
        <v>762</v>
      </c>
      <c r="CJ471" s="431" t="s">
        <v>762</v>
      </c>
      <c r="CK471" s="431" t="s">
        <v>762</v>
      </c>
      <c r="CL471" s="431" t="s">
        <v>762</v>
      </c>
    </row>
    <row r="472" spans="1:90" s="432" customFormat="1">
      <c r="A472" s="430" t="s">
        <v>524</v>
      </c>
      <c r="B472" s="430" t="s">
        <v>631</v>
      </c>
      <c r="C472" s="431" t="s">
        <v>762</v>
      </c>
      <c r="D472" s="431" t="s">
        <v>762</v>
      </c>
      <c r="E472" s="431" t="s">
        <v>762</v>
      </c>
      <c r="F472" s="431" t="s">
        <v>762</v>
      </c>
      <c r="G472" s="431" t="s">
        <v>762</v>
      </c>
      <c r="H472" s="431" t="s">
        <v>762</v>
      </c>
      <c r="I472" s="431" t="s">
        <v>762</v>
      </c>
      <c r="J472" s="431" t="s">
        <v>762</v>
      </c>
      <c r="K472" s="431" t="s">
        <v>762</v>
      </c>
      <c r="L472" s="431">
        <v>30</v>
      </c>
      <c r="M472" s="431" t="s">
        <v>762</v>
      </c>
      <c r="N472" s="431" t="s">
        <v>762</v>
      </c>
      <c r="O472" s="431" t="s">
        <v>762</v>
      </c>
      <c r="P472" s="431" t="s">
        <v>762</v>
      </c>
      <c r="Q472" s="431" t="s">
        <v>762</v>
      </c>
      <c r="R472" s="431" t="s">
        <v>762</v>
      </c>
      <c r="S472" s="431" t="s">
        <v>762</v>
      </c>
      <c r="T472" s="431" t="s">
        <v>762</v>
      </c>
      <c r="U472" s="431" t="s">
        <v>762</v>
      </c>
      <c r="V472" s="431">
        <v>37</v>
      </c>
      <c r="W472" s="431">
        <v>43</v>
      </c>
      <c r="X472" s="431">
        <v>50</v>
      </c>
      <c r="Y472" s="431">
        <v>60</v>
      </c>
      <c r="Z472" s="431">
        <v>66</v>
      </c>
      <c r="AA472" s="431">
        <v>75</v>
      </c>
      <c r="AB472" s="431">
        <v>82</v>
      </c>
      <c r="AC472" s="431">
        <v>90</v>
      </c>
      <c r="AD472" s="431">
        <v>96</v>
      </c>
      <c r="AE472" s="431" t="s">
        <v>762</v>
      </c>
      <c r="AF472" s="431" t="s">
        <v>762</v>
      </c>
      <c r="AG472" s="431">
        <v>192</v>
      </c>
      <c r="AH472" s="431" t="s">
        <v>762</v>
      </c>
      <c r="AI472" s="431">
        <v>192</v>
      </c>
      <c r="AJ472" s="431" t="s">
        <v>762</v>
      </c>
      <c r="AK472" s="431" t="s">
        <v>762</v>
      </c>
      <c r="AL472" s="431">
        <v>192</v>
      </c>
      <c r="AM472" s="431" t="s">
        <v>762</v>
      </c>
      <c r="AN472" s="431" t="s">
        <v>762</v>
      </c>
      <c r="AO472" s="431" t="s">
        <v>762</v>
      </c>
      <c r="AP472" s="431">
        <v>192</v>
      </c>
      <c r="AQ472" s="431" t="s">
        <v>762</v>
      </c>
      <c r="AR472" s="431" t="s">
        <v>762</v>
      </c>
      <c r="AS472" s="431" t="s">
        <v>762</v>
      </c>
      <c r="AT472" s="431">
        <v>192</v>
      </c>
      <c r="AU472" s="431" t="s">
        <v>762</v>
      </c>
      <c r="AV472" s="431" t="s">
        <v>762</v>
      </c>
      <c r="AW472" s="431" t="s">
        <v>762</v>
      </c>
      <c r="AX472" s="431" t="s">
        <v>762</v>
      </c>
      <c r="AY472" s="431" t="s">
        <v>762</v>
      </c>
      <c r="AZ472" s="431" t="s">
        <v>762</v>
      </c>
      <c r="BA472" s="431" t="s">
        <v>762</v>
      </c>
      <c r="BB472" s="431" t="s">
        <v>762</v>
      </c>
      <c r="BC472" s="431" t="s">
        <v>762</v>
      </c>
      <c r="BD472" s="431" t="s">
        <v>762</v>
      </c>
      <c r="BE472" s="431" t="s">
        <v>762</v>
      </c>
      <c r="BF472" s="431">
        <v>278</v>
      </c>
      <c r="BG472" s="431" t="s">
        <v>762</v>
      </c>
      <c r="BH472" s="431" t="s">
        <v>762</v>
      </c>
      <c r="BI472" s="431" t="s">
        <v>762</v>
      </c>
      <c r="BJ472" s="431" t="s">
        <v>762</v>
      </c>
      <c r="BK472" s="431" t="s">
        <v>762</v>
      </c>
      <c r="BL472" s="431">
        <v>342</v>
      </c>
      <c r="BM472" s="431" t="s">
        <v>762</v>
      </c>
      <c r="BN472" s="431" t="s">
        <v>762</v>
      </c>
      <c r="BO472" s="431" t="s">
        <v>762</v>
      </c>
      <c r="BP472" s="431" t="s">
        <v>762</v>
      </c>
      <c r="BQ472" s="431" t="s">
        <v>762</v>
      </c>
      <c r="BR472" s="431" t="s">
        <v>762</v>
      </c>
      <c r="BS472" s="431" t="s">
        <v>762</v>
      </c>
      <c r="BT472" s="431" t="s">
        <v>762</v>
      </c>
      <c r="BU472" s="431" t="s">
        <v>762</v>
      </c>
      <c r="BV472" s="431" t="s">
        <v>762</v>
      </c>
      <c r="BW472" s="431" t="s">
        <v>762</v>
      </c>
      <c r="BX472" s="431" t="s">
        <v>762</v>
      </c>
      <c r="BY472" s="431" t="s">
        <v>762</v>
      </c>
      <c r="BZ472" s="431" t="s">
        <v>762</v>
      </c>
      <c r="CA472" s="431" t="s">
        <v>762</v>
      </c>
      <c r="CB472" s="431" t="s">
        <v>762</v>
      </c>
      <c r="CC472" s="431" t="s">
        <v>762</v>
      </c>
      <c r="CD472" s="431" t="s">
        <v>762</v>
      </c>
      <c r="CE472" s="431" t="s">
        <v>762</v>
      </c>
      <c r="CF472" s="431" t="s">
        <v>762</v>
      </c>
      <c r="CG472" s="431" t="s">
        <v>762</v>
      </c>
      <c r="CH472" s="431" t="s">
        <v>762</v>
      </c>
      <c r="CI472" s="431" t="s">
        <v>762</v>
      </c>
      <c r="CJ472" s="431" t="s">
        <v>762</v>
      </c>
      <c r="CK472" s="431" t="s">
        <v>762</v>
      </c>
      <c r="CL472" s="431" t="s">
        <v>762</v>
      </c>
    </row>
    <row r="473" spans="1:90" s="432" customFormat="1">
      <c r="A473" s="430" t="s">
        <v>525</v>
      </c>
      <c r="B473" s="430" t="s">
        <v>631</v>
      </c>
      <c r="C473" s="431" t="s">
        <v>762</v>
      </c>
      <c r="D473" s="431" t="s">
        <v>762</v>
      </c>
      <c r="E473" s="431" t="s">
        <v>762</v>
      </c>
      <c r="F473" s="431" t="s">
        <v>762</v>
      </c>
      <c r="G473" s="431" t="s">
        <v>762</v>
      </c>
      <c r="H473" s="431" t="s">
        <v>762</v>
      </c>
      <c r="I473" s="431" t="s">
        <v>762</v>
      </c>
      <c r="J473" s="431" t="s">
        <v>762</v>
      </c>
      <c r="K473" s="431" t="s">
        <v>762</v>
      </c>
      <c r="L473" s="431" t="s">
        <v>762</v>
      </c>
      <c r="M473" s="431" t="s">
        <v>762</v>
      </c>
      <c r="N473" s="431" t="s">
        <v>762</v>
      </c>
      <c r="O473" s="431" t="s">
        <v>762</v>
      </c>
      <c r="P473" s="431" t="s">
        <v>762</v>
      </c>
      <c r="Q473" s="431" t="s">
        <v>762</v>
      </c>
      <c r="R473" s="431" t="s">
        <v>762</v>
      </c>
      <c r="S473" s="431" t="s">
        <v>762</v>
      </c>
      <c r="T473" s="431" t="s">
        <v>762</v>
      </c>
      <c r="U473" s="431" t="s">
        <v>762</v>
      </c>
      <c r="V473" s="431" t="s">
        <v>762</v>
      </c>
      <c r="W473" s="431" t="s">
        <v>762</v>
      </c>
      <c r="X473" s="431" t="s">
        <v>762</v>
      </c>
      <c r="Y473" s="431" t="s">
        <v>762</v>
      </c>
      <c r="Z473" s="431" t="s">
        <v>762</v>
      </c>
      <c r="AA473" s="431" t="s">
        <v>762</v>
      </c>
      <c r="AB473" s="431" t="s">
        <v>762</v>
      </c>
      <c r="AC473" s="431" t="s">
        <v>762</v>
      </c>
      <c r="AD473" s="431" t="s">
        <v>762</v>
      </c>
      <c r="AE473" s="431" t="s">
        <v>762</v>
      </c>
      <c r="AF473" s="431" t="s">
        <v>762</v>
      </c>
      <c r="AG473" s="431" t="s">
        <v>762</v>
      </c>
      <c r="AH473" s="431" t="s">
        <v>762</v>
      </c>
      <c r="AI473" s="431" t="s">
        <v>762</v>
      </c>
      <c r="AJ473" s="431" t="s">
        <v>762</v>
      </c>
      <c r="AK473" s="431" t="s">
        <v>762</v>
      </c>
      <c r="AL473" s="431" t="s">
        <v>762</v>
      </c>
      <c r="AM473" s="431" t="s">
        <v>762</v>
      </c>
      <c r="AN473" s="431" t="s">
        <v>762</v>
      </c>
      <c r="AO473" s="431" t="s">
        <v>762</v>
      </c>
      <c r="AP473" s="431" t="s">
        <v>762</v>
      </c>
      <c r="AQ473" s="431" t="s">
        <v>762</v>
      </c>
      <c r="AR473" s="431" t="s">
        <v>762</v>
      </c>
      <c r="AS473" s="431" t="s">
        <v>762</v>
      </c>
      <c r="AT473" s="431" t="s">
        <v>762</v>
      </c>
      <c r="AU473" s="431" t="s">
        <v>762</v>
      </c>
      <c r="AV473" s="431" t="s">
        <v>762</v>
      </c>
      <c r="AW473" s="431" t="s">
        <v>762</v>
      </c>
      <c r="AX473" s="431" t="s">
        <v>762</v>
      </c>
      <c r="AY473" s="431" t="s">
        <v>762</v>
      </c>
      <c r="AZ473" s="431" t="s">
        <v>762</v>
      </c>
      <c r="BA473" s="431" t="s">
        <v>762</v>
      </c>
      <c r="BB473" s="431" t="s">
        <v>762</v>
      </c>
      <c r="BC473" s="431" t="s">
        <v>762</v>
      </c>
      <c r="BD473" s="431" t="s">
        <v>762</v>
      </c>
      <c r="BE473" s="431" t="s">
        <v>762</v>
      </c>
      <c r="BF473" s="431" t="s">
        <v>762</v>
      </c>
      <c r="BG473" s="431" t="s">
        <v>762</v>
      </c>
      <c r="BH473" s="431" t="s">
        <v>762</v>
      </c>
      <c r="BI473" s="431" t="s">
        <v>762</v>
      </c>
      <c r="BJ473" s="431" t="s">
        <v>762</v>
      </c>
      <c r="BK473" s="431" t="s">
        <v>762</v>
      </c>
      <c r="BL473" s="431" t="s">
        <v>762</v>
      </c>
      <c r="BM473" s="431" t="s">
        <v>762</v>
      </c>
      <c r="BN473" s="431" t="s">
        <v>762</v>
      </c>
      <c r="BO473" s="431" t="s">
        <v>762</v>
      </c>
      <c r="BP473" s="431" t="s">
        <v>762</v>
      </c>
      <c r="BQ473" s="431" t="s">
        <v>762</v>
      </c>
      <c r="BR473" s="431" t="s">
        <v>762</v>
      </c>
      <c r="BS473" s="431" t="s">
        <v>762</v>
      </c>
      <c r="BT473" s="431" t="s">
        <v>762</v>
      </c>
      <c r="BU473" s="431" t="s">
        <v>762</v>
      </c>
      <c r="BV473" s="431" t="s">
        <v>762</v>
      </c>
      <c r="BW473" s="431" t="s">
        <v>762</v>
      </c>
      <c r="BX473" s="431" t="s">
        <v>762</v>
      </c>
      <c r="BY473" s="431" t="s">
        <v>762</v>
      </c>
      <c r="BZ473" s="431" t="s">
        <v>762</v>
      </c>
      <c r="CA473" s="431" t="s">
        <v>762</v>
      </c>
      <c r="CB473" s="431" t="s">
        <v>762</v>
      </c>
      <c r="CC473" s="431" t="s">
        <v>762</v>
      </c>
      <c r="CD473" s="431" t="s">
        <v>762</v>
      </c>
      <c r="CE473" s="431" t="s">
        <v>762</v>
      </c>
      <c r="CF473" s="431" t="s">
        <v>762</v>
      </c>
      <c r="CG473" s="431" t="s">
        <v>762</v>
      </c>
      <c r="CH473" s="431" t="s">
        <v>762</v>
      </c>
      <c r="CI473" s="431" t="s">
        <v>762</v>
      </c>
      <c r="CJ473" s="431" t="s">
        <v>762</v>
      </c>
      <c r="CK473" s="431" t="s">
        <v>762</v>
      </c>
      <c r="CL473" s="431" t="s">
        <v>762</v>
      </c>
    </row>
    <row r="474" spans="1:90" s="432" customFormat="1">
      <c r="A474" s="430" t="s">
        <v>526</v>
      </c>
      <c r="B474" s="430" t="s">
        <v>631</v>
      </c>
      <c r="C474" s="431" t="s">
        <v>762</v>
      </c>
      <c r="D474" s="431" t="s">
        <v>762</v>
      </c>
      <c r="E474" s="431" t="s">
        <v>762</v>
      </c>
      <c r="F474" s="431" t="s">
        <v>762</v>
      </c>
      <c r="G474" s="431" t="s">
        <v>762</v>
      </c>
      <c r="H474" s="431" t="s">
        <v>762</v>
      </c>
      <c r="I474" s="431" t="s">
        <v>762</v>
      </c>
      <c r="J474" s="431" t="s">
        <v>762</v>
      </c>
      <c r="K474" s="431" t="s">
        <v>762</v>
      </c>
      <c r="L474" s="431">
        <v>30</v>
      </c>
      <c r="M474" s="431" t="s">
        <v>762</v>
      </c>
      <c r="N474" s="431" t="s">
        <v>762</v>
      </c>
      <c r="O474" s="431" t="s">
        <v>762</v>
      </c>
      <c r="P474" s="431" t="s">
        <v>762</v>
      </c>
      <c r="Q474" s="431" t="s">
        <v>762</v>
      </c>
      <c r="R474" s="431" t="s">
        <v>762</v>
      </c>
      <c r="S474" s="431" t="s">
        <v>762</v>
      </c>
      <c r="T474" s="431" t="s">
        <v>762</v>
      </c>
      <c r="U474" s="431" t="s">
        <v>762</v>
      </c>
      <c r="V474" s="431">
        <v>36</v>
      </c>
      <c r="W474" s="431">
        <v>42</v>
      </c>
      <c r="X474" s="431">
        <v>49</v>
      </c>
      <c r="Y474" s="431">
        <v>58</v>
      </c>
      <c r="Z474" s="431">
        <v>64</v>
      </c>
      <c r="AA474" s="431">
        <v>72</v>
      </c>
      <c r="AB474" s="431">
        <v>79</v>
      </c>
      <c r="AC474" s="431">
        <v>87</v>
      </c>
      <c r="AD474" s="431">
        <v>93</v>
      </c>
      <c r="AE474" s="431" t="s">
        <v>762</v>
      </c>
      <c r="AF474" s="431" t="s">
        <v>762</v>
      </c>
      <c r="AG474" s="431">
        <v>197</v>
      </c>
      <c r="AH474" s="431" t="s">
        <v>762</v>
      </c>
      <c r="AI474" s="431">
        <v>197</v>
      </c>
      <c r="AJ474" s="431" t="s">
        <v>762</v>
      </c>
      <c r="AK474" s="431" t="s">
        <v>762</v>
      </c>
      <c r="AL474" s="431">
        <v>197</v>
      </c>
      <c r="AM474" s="431" t="s">
        <v>762</v>
      </c>
      <c r="AN474" s="431" t="s">
        <v>762</v>
      </c>
      <c r="AO474" s="431" t="s">
        <v>762</v>
      </c>
      <c r="AP474" s="431">
        <v>197</v>
      </c>
      <c r="AQ474" s="431" t="s">
        <v>762</v>
      </c>
      <c r="AR474" s="431" t="s">
        <v>762</v>
      </c>
      <c r="AS474" s="431" t="s">
        <v>762</v>
      </c>
      <c r="AT474" s="431">
        <v>197</v>
      </c>
      <c r="AU474" s="431" t="s">
        <v>762</v>
      </c>
      <c r="AV474" s="431" t="s">
        <v>762</v>
      </c>
      <c r="AW474" s="431" t="s">
        <v>762</v>
      </c>
      <c r="AX474" s="431" t="s">
        <v>762</v>
      </c>
      <c r="AY474" s="431" t="s">
        <v>762</v>
      </c>
      <c r="AZ474" s="431" t="s">
        <v>762</v>
      </c>
      <c r="BA474" s="431" t="s">
        <v>762</v>
      </c>
      <c r="BB474" s="431" t="s">
        <v>762</v>
      </c>
      <c r="BC474" s="431" t="s">
        <v>762</v>
      </c>
      <c r="BD474" s="431" t="s">
        <v>762</v>
      </c>
      <c r="BE474" s="431" t="s">
        <v>762</v>
      </c>
      <c r="BF474" s="431">
        <v>282</v>
      </c>
      <c r="BG474" s="431" t="s">
        <v>762</v>
      </c>
      <c r="BH474" s="431" t="s">
        <v>762</v>
      </c>
      <c r="BI474" s="431" t="s">
        <v>762</v>
      </c>
      <c r="BJ474" s="431" t="s">
        <v>762</v>
      </c>
      <c r="BK474" s="431" t="s">
        <v>762</v>
      </c>
      <c r="BL474" s="431">
        <v>353</v>
      </c>
      <c r="BM474" s="431" t="s">
        <v>762</v>
      </c>
      <c r="BN474" s="431" t="s">
        <v>762</v>
      </c>
      <c r="BO474" s="431" t="s">
        <v>762</v>
      </c>
      <c r="BP474" s="431" t="s">
        <v>762</v>
      </c>
      <c r="BQ474" s="431" t="s">
        <v>762</v>
      </c>
      <c r="BR474" s="431" t="s">
        <v>762</v>
      </c>
      <c r="BS474" s="431" t="s">
        <v>762</v>
      </c>
      <c r="BT474" s="431" t="s">
        <v>762</v>
      </c>
      <c r="BU474" s="431" t="s">
        <v>762</v>
      </c>
      <c r="BV474" s="431" t="s">
        <v>762</v>
      </c>
      <c r="BW474" s="431" t="s">
        <v>762</v>
      </c>
      <c r="BX474" s="431" t="s">
        <v>762</v>
      </c>
      <c r="BY474" s="431" t="s">
        <v>762</v>
      </c>
      <c r="BZ474" s="431" t="s">
        <v>762</v>
      </c>
      <c r="CA474" s="431" t="s">
        <v>762</v>
      </c>
      <c r="CB474" s="431" t="s">
        <v>762</v>
      </c>
      <c r="CC474" s="431" t="s">
        <v>762</v>
      </c>
      <c r="CD474" s="431" t="s">
        <v>762</v>
      </c>
      <c r="CE474" s="431" t="s">
        <v>762</v>
      </c>
      <c r="CF474" s="431" t="s">
        <v>762</v>
      </c>
      <c r="CG474" s="431" t="s">
        <v>762</v>
      </c>
      <c r="CH474" s="431" t="s">
        <v>762</v>
      </c>
      <c r="CI474" s="431" t="s">
        <v>762</v>
      </c>
      <c r="CJ474" s="431" t="s">
        <v>762</v>
      </c>
      <c r="CK474" s="431" t="s">
        <v>762</v>
      </c>
      <c r="CL474" s="431" t="s">
        <v>762</v>
      </c>
    </row>
    <row r="475" spans="1:90" s="432" customFormat="1">
      <c r="A475" s="430" t="s">
        <v>527</v>
      </c>
      <c r="B475" s="430" t="s">
        <v>631</v>
      </c>
      <c r="C475" s="431" t="s">
        <v>762</v>
      </c>
      <c r="D475" s="431" t="s">
        <v>762</v>
      </c>
      <c r="E475" s="431" t="s">
        <v>762</v>
      </c>
      <c r="F475" s="431" t="s">
        <v>762</v>
      </c>
      <c r="G475" s="431" t="s">
        <v>762</v>
      </c>
      <c r="H475" s="431" t="s">
        <v>762</v>
      </c>
      <c r="I475" s="431" t="s">
        <v>762</v>
      </c>
      <c r="J475" s="431" t="s">
        <v>762</v>
      </c>
      <c r="K475" s="431" t="s">
        <v>762</v>
      </c>
      <c r="L475" s="431">
        <v>32</v>
      </c>
      <c r="M475" s="431" t="s">
        <v>762</v>
      </c>
      <c r="N475" s="431" t="s">
        <v>762</v>
      </c>
      <c r="O475" s="431" t="s">
        <v>762</v>
      </c>
      <c r="P475" s="431" t="s">
        <v>762</v>
      </c>
      <c r="Q475" s="431" t="s">
        <v>762</v>
      </c>
      <c r="R475" s="431" t="s">
        <v>762</v>
      </c>
      <c r="S475" s="431" t="s">
        <v>762</v>
      </c>
      <c r="T475" s="431" t="s">
        <v>762</v>
      </c>
      <c r="U475" s="431" t="s">
        <v>762</v>
      </c>
      <c r="V475" s="431">
        <v>38</v>
      </c>
      <c r="W475" s="431">
        <v>44</v>
      </c>
      <c r="X475" s="431">
        <v>51</v>
      </c>
      <c r="Y475" s="431">
        <v>58</v>
      </c>
      <c r="Z475" s="431">
        <v>64</v>
      </c>
      <c r="AA475" s="431">
        <v>71</v>
      </c>
      <c r="AB475" s="431">
        <v>78</v>
      </c>
      <c r="AC475" s="431">
        <v>85</v>
      </c>
      <c r="AD475" s="431">
        <v>92</v>
      </c>
      <c r="AE475" s="431" t="s">
        <v>762</v>
      </c>
      <c r="AF475" s="431" t="s">
        <v>762</v>
      </c>
      <c r="AG475" s="431">
        <v>193</v>
      </c>
      <c r="AH475" s="431" t="s">
        <v>762</v>
      </c>
      <c r="AI475" s="431">
        <v>193</v>
      </c>
      <c r="AJ475" s="431" t="s">
        <v>762</v>
      </c>
      <c r="AK475" s="431" t="s">
        <v>762</v>
      </c>
      <c r="AL475" s="431">
        <v>193</v>
      </c>
      <c r="AM475" s="431" t="s">
        <v>762</v>
      </c>
      <c r="AN475" s="431" t="s">
        <v>762</v>
      </c>
      <c r="AO475" s="431" t="s">
        <v>762</v>
      </c>
      <c r="AP475" s="431">
        <v>193</v>
      </c>
      <c r="AQ475" s="431" t="s">
        <v>762</v>
      </c>
      <c r="AR475" s="431" t="s">
        <v>762</v>
      </c>
      <c r="AS475" s="431" t="s">
        <v>762</v>
      </c>
      <c r="AT475" s="431">
        <v>193</v>
      </c>
      <c r="AU475" s="431" t="s">
        <v>762</v>
      </c>
      <c r="AV475" s="431" t="s">
        <v>762</v>
      </c>
      <c r="AW475" s="431" t="s">
        <v>762</v>
      </c>
      <c r="AX475" s="431" t="s">
        <v>762</v>
      </c>
      <c r="AY475" s="431" t="s">
        <v>762</v>
      </c>
      <c r="AZ475" s="431" t="s">
        <v>762</v>
      </c>
      <c r="BA475" s="431" t="s">
        <v>762</v>
      </c>
      <c r="BB475" s="431" t="s">
        <v>762</v>
      </c>
      <c r="BC475" s="431" t="s">
        <v>762</v>
      </c>
      <c r="BD475" s="431" t="s">
        <v>762</v>
      </c>
      <c r="BE475" s="431" t="s">
        <v>762</v>
      </c>
      <c r="BF475" s="431">
        <v>322</v>
      </c>
      <c r="BG475" s="431" t="s">
        <v>762</v>
      </c>
      <c r="BH475" s="431" t="s">
        <v>762</v>
      </c>
      <c r="BI475" s="431" t="s">
        <v>762</v>
      </c>
      <c r="BJ475" s="431" t="s">
        <v>762</v>
      </c>
      <c r="BK475" s="431" t="s">
        <v>762</v>
      </c>
      <c r="BL475" s="431">
        <v>437</v>
      </c>
      <c r="BM475" s="431" t="s">
        <v>762</v>
      </c>
      <c r="BN475" s="431" t="s">
        <v>762</v>
      </c>
      <c r="BO475" s="431" t="s">
        <v>762</v>
      </c>
      <c r="BP475" s="431" t="s">
        <v>762</v>
      </c>
      <c r="BQ475" s="431" t="s">
        <v>762</v>
      </c>
      <c r="BR475" s="431" t="s">
        <v>762</v>
      </c>
      <c r="BS475" s="431" t="s">
        <v>762</v>
      </c>
      <c r="BT475" s="431" t="s">
        <v>762</v>
      </c>
      <c r="BU475" s="431" t="s">
        <v>762</v>
      </c>
      <c r="BV475" s="431" t="s">
        <v>762</v>
      </c>
      <c r="BW475" s="431" t="s">
        <v>762</v>
      </c>
      <c r="BX475" s="431" t="s">
        <v>762</v>
      </c>
      <c r="BY475" s="431" t="s">
        <v>762</v>
      </c>
      <c r="BZ475" s="431" t="s">
        <v>762</v>
      </c>
      <c r="CA475" s="431" t="s">
        <v>762</v>
      </c>
      <c r="CB475" s="431" t="s">
        <v>762</v>
      </c>
      <c r="CC475" s="431" t="s">
        <v>762</v>
      </c>
      <c r="CD475" s="431" t="s">
        <v>762</v>
      </c>
      <c r="CE475" s="431" t="s">
        <v>762</v>
      </c>
      <c r="CF475" s="431" t="s">
        <v>762</v>
      </c>
      <c r="CG475" s="431" t="s">
        <v>762</v>
      </c>
      <c r="CH475" s="431" t="s">
        <v>762</v>
      </c>
      <c r="CI475" s="431" t="s">
        <v>762</v>
      </c>
      <c r="CJ475" s="431" t="s">
        <v>762</v>
      </c>
      <c r="CK475" s="431" t="s">
        <v>762</v>
      </c>
      <c r="CL475" s="431" t="s">
        <v>762</v>
      </c>
    </row>
    <row r="476" spans="1:90" s="432" customFormat="1">
      <c r="A476" s="430" t="s">
        <v>528</v>
      </c>
      <c r="B476" s="430" t="s">
        <v>631</v>
      </c>
      <c r="C476" s="431" t="s">
        <v>762</v>
      </c>
      <c r="D476" s="431" t="s">
        <v>762</v>
      </c>
      <c r="E476" s="431" t="s">
        <v>762</v>
      </c>
      <c r="F476" s="431" t="s">
        <v>762</v>
      </c>
      <c r="G476" s="431" t="s">
        <v>762</v>
      </c>
      <c r="H476" s="431" t="s">
        <v>762</v>
      </c>
      <c r="I476" s="431" t="s">
        <v>762</v>
      </c>
      <c r="J476" s="431" t="s">
        <v>762</v>
      </c>
      <c r="K476" s="431" t="s">
        <v>762</v>
      </c>
      <c r="L476" s="431">
        <v>21</v>
      </c>
      <c r="M476" s="431" t="s">
        <v>762</v>
      </c>
      <c r="N476" s="431" t="s">
        <v>762</v>
      </c>
      <c r="O476" s="431" t="s">
        <v>762</v>
      </c>
      <c r="P476" s="431" t="s">
        <v>762</v>
      </c>
      <c r="Q476" s="431" t="s">
        <v>762</v>
      </c>
      <c r="R476" s="431" t="s">
        <v>762</v>
      </c>
      <c r="S476" s="431" t="s">
        <v>762</v>
      </c>
      <c r="T476" s="431" t="s">
        <v>762</v>
      </c>
      <c r="U476" s="431" t="s">
        <v>762</v>
      </c>
      <c r="V476" s="431">
        <v>22</v>
      </c>
      <c r="W476" s="431">
        <v>25</v>
      </c>
      <c r="X476" s="431">
        <v>28</v>
      </c>
      <c r="Y476" s="431">
        <v>28</v>
      </c>
      <c r="Z476" s="431">
        <v>29</v>
      </c>
      <c r="AA476" s="431">
        <v>29</v>
      </c>
      <c r="AB476" s="431">
        <v>31</v>
      </c>
      <c r="AC476" s="431">
        <v>31</v>
      </c>
      <c r="AD476" s="431">
        <v>33</v>
      </c>
      <c r="AE476" s="431" t="s">
        <v>762</v>
      </c>
      <c r="AF476" s="431" t="s">
        <v>762</v>
      </c>
      <c r="AG476" s="431">
        <v>97</v>
      </c>
      <c r="AH476" s="431" t="s">
        <v>762</v>
      </c>
      <c r="AI476" s="431">
        <v>97</v>
      </c>
      <c r="AJ476" s="431" t="s">
        <v>762</v>
      </c>
      <c r="AK476" s="431" t="s">
        <v>762</v>
      </c>
      <c r="AL476" s="431">
        <v>97</v>
      </c>
      <c r="AM476" s="431" t="s">
        <v>762</v>
      </c>
      <c r="AN476" s="431" t="s">
        <v>762</v>
      </c>
      <c r="AO476" s="431" t="s">
        <v>762</v>
      </c>
      <c r="AP476" s="431">
        <v>97</v>
      </c>
      <c r="AQ476" s="431" t="s">
        <v>762</v>
      </c>
      <c r="AR476" s="431" t="s">
        <v>762</v>
      </c>
      <c r="AS476" s="431" t="s">
        <v>762</v>
      </c>
      <c r="AT476" s="431">
        <v>97</v>
      </c>
      <c r="AU476" s="431" t="s">
        <v>762</v>
      </c>
      <c r="AV476" s="431" t="s">
        <v>762</v>
      </c>
      <c r="AW476" s="431" t="s">
        <v>762</v>
      </c>
      <c r="AX476" s="431" t="s">
        <v>762</v>
      </c>
      <c r="AY476" s="431" t="s">
        <v>762</v>
      </c>
      <c r="AZ476" s="431" t="s">
        <v>762</v>
      </c>
      <c r="BA476" s="431" t="s">
        <v>762</v>
      </c>
      <c r="BB476" s="431" t="s">
        <v>762</v>
      </c>
      <c r="BC476" s="431" t="s">
        <v>762</v>
      </c>
      <c r="BD476" s="431" t="s">
        <v>762</v>
      </c>
      <c r="BE476" s="431" t="s">
        <v>762</v>
      </c>
      <c r="BF476" s="431">
        <v>129</v>
      </c>
      <c r="BG476" s="431" t="s">
        <v>762</v>
      </c>
      <c r="BH476" s="431" t="s">
        <v>762</v>
      </c>
      <c r="BI476" s="431" t="s">
        <v>762</v>
      </c>
      <c r="BJ476" s="431" t="s">
        <v>762</v>
      </c>
      <c r="BK476" s="431" t="s">
        <v>762</v>
      </c>
      <c r="BL476" s="431">
        <v>167</v>
      </c>
      <c r="BM476" s="431" t="s">
        <v>762</v>
      </c>
      <c r="BN476" s="431" t="s">
        <v>762</v>
      </c>
      <c r="BO476" s="431" t="s">
        <v>762</v>
      </c>
      <c r="BP476" s="431" t="s">
        <v>762</v>
      </c>
      <c r="BQ476" s="431" t="s">
        <v>762</v>
      </c>
      <c r="BR476" s="431" t="s">
        <v>762</v>
      </c>
      <c r="BS476" s="431" t="s">
        <v>762</v>
      </c>
      <c r="BT476" s="431" t="s">
        <v>762</v>
      </c>
      <c r="BU476" s="431" t="s">
        <v>762</v>
      </c>
      <c r="BV476" s="431" t="s">
        <v>762</v>
      </c>
      <c r="BW476" s="431" t="s">
        <v>762</v>
      </c>
      <c r="BX476" s="431" t="s">
        <v>762</v>
      </c>
      <c r="BY476" s="431" t="s">
        <v>762</v>
      </c>
      <c r="BZ476" s="431" t="s">
        <v>762</v>
      </c>
      <c r="CA476" s="431" t="s">
        <v>762</v>
      </c>
      <c r="CB476" s="431" t="s">
        <v>762</v>
      </c>
      <c r="CC476" s="431" t="s">
        <v>762</v>
      </c>
      <c r="CD476" s="431" t="s">
        <v>762</v>
      </c>
      <c r="CE476" s="431" t="s">
        <v>762</v>
      </c>
      <c r="CF476" s="431" t="s">
        <v>762</v>
      </c>
      <c r="CG476" s="431" t="s">
        <v>762</v>
      </c>
      <c r="CH476" s="431" t="s">
        <v>762</v>
      </c>
      <c r="CI476" s="431" t="s">
        <v>762</v>
      </c>
      <c r="CJ476" s="431" t="s">
        <v>762</v>
      </c>
      <c r="CK476" s="431" t="s">
        <v>762</v>
      </c>
      <c r="CL476" s="431" t="s">
        <v>762</v>
      </c>
    </row>
    <row r="477" spans="1:90" s="432" customFormat="1">
      <c r="A477" s="430" t="s">
        <v>529</v>
      </c>
      <c r="B477" s="430" t="s">
        <v>631</v>
      </c>
      <c r="C477" s="431" t="s">
        <v>762</v>
      </c>
      <c r="D477" s="431" t="s">
        <v>762</v>
      </c>
      <c r="E477" s="431" t="s">
        <v>762</v>
      </c>
      <c r="F477" s="431" t="s">
        <v>762</v>
      </c>
      <c r="G477" s="431" t="s">
        <v>762</v>
      </c>
      <c r="H477" s="431" t="s">
        <v>762</v>
      </c>
      <c r="I477" s="431" t="s">
        <v>762</v>
      </c>
      <c r="J477" s="431" t="s">
        <v>762</v>
      </c>
      <c r="K477" s="431" t="s">
        <v>762</v>
      </c>
      <c r="L477" s="431">
        <v>29</v>
      </c>
      <c r="M477" s="431" t="s">
        <v>762</v>
      </c>
      <c r="N477" s="431" t="s">
        <v>762</v>
      </c>
      <c r="O477" s="431" t="s">
        <v>762</v>
      </c>
      <c r="P477" s="431" t="s">
        <v>762</v>
      </c>
      <c r="Q477" s="431" t="s">
        <v>762</v>
      </c>
      <c r="R477" s="431" t="s">
        <v>762</v>
      </c>
      <c r="S477" s="431" t="s">
        <v>762</v>
      </c>
      <c r="T477" s="431" t="s">
        <v>762</v>
      </c>
      <c r="U477" s="431" t="s">
        <v>762</v>
      </c>
      <c r="V477" s="431">
        <v>35</v>
      </c>
      <c r="W477" s="431">
        <v>41</v>
      </c>
      <c r="X477" s="431">
        <v>47</v>
      </c>
      <c r="Y477" s="431">
        <v>56</v>
      </c>
      <c r="Z477" s="431">
        <v>61</v>
      </c>
      <c r="AA477" s="431">
        <v>69</v>
      </c>
      <c r="AB477" s="431">
        <v>75</v>
      </c>
      <c r="AC477" s="431">
        <v>83</v>
      </c>
      <c r="AD477" s="431">
        <v>88</v>
      </c>
      <c r="AE477" s="431" t="s">
        <v>762</v>
      </c>
      <c r="AF477" s="431" t="s">
        <v>762</v>
      </c>
      <c r="AG477" s="431">
        <v>169</v>
      </c>
      <c r="AH477" s="431" t="s">
        <v>762</v>
      </c>
      <c r="AI477" s="431">
        <v>169</v>
      </c>
      <c r="AJ477" s="431" t="s">
        <v>762</v>
      </c>
      <c r="AK477" s="431" t="s">
        <v>762</v>
      </c>
      <c r="AL477" s="431">
        <v>169</v>
      </c>
      <c r="AM477" s="431" t="s">
        <v>762</v>
      </c>
      <c r="AN477" s="431" t="s">
        <v>762</v>
      </c>
      <c r="AO477" s="431" t="s">
        <v>762</v>
      </c>
      <c r="AP477" s="431">
        <v>169</v>
      </c>
      <c r="AQ477" s="431" t="s">
        <v>762</v>
      </c>
      <c r="AR477" s="431" t="s">
        <v>762</v>
      </c>
      <c r="AS477" s="431" t="s">
        <v>762</v>
      </c>
      <c r="AT477" s="431">
        <v>169</v>
      </c>
      <c r="AU477" s="431" t="s">
        <v>762</v>
      </c>
      <c r="AV477" s="431" t="s">
        <v>762</v>
      </c>
      <c r="AW477" s="431" t="s">
        <v>762</v>
      </c>
      <c r="AX477" s="431" t="s">
        <v>762</v>
      </c>
      <c r="AY477" s="431" t="s">
        <v>762</v>
      </c>
      <c r="AZ477" s="431" t="s">
        <v>762</v>
      </c>
      <c r="BA477" s="431" t="s">
        <v>762</v>
      </c>
      <c r="BB477" s="431" t="s">
        <v>762</v>
      </c>
      <c r="BC477" s="431" t="s">
        <v>762</v>
      </c>
      <c r="BD477" s="431" t="s">
        <v>762</v>
      </c>
      <c r="BE477" s="431" t="s">
        <v>762</v>
      </c>
      <c r="BF477" s="431">
        <v>274</v>
      </c>
      <c r="BG477" s="431" t="s">
        <v>762</v>
      </c>
      <c r="BH477" s="431" t="s">
        <v>762</v>
      </c>
      <c r="BI477" s="431" t="s">
        <v>762</v>
      </c>
      <c r="BJ477" s="431" t="s">
        <v>762</v>
      </c>
      <c r="BK477" s="431" t="s">
        <v>762</v>
      </c>
      <c r="BL477" s="431">
        <v>365</v>
      </c>
      <c r="BM477" s="431" t="s">
        <v>762</v>
      </c>
      <c r="BN477" s="431" t="s">
        <v>762</v>
      </c>
      <c r="BO477" s="431" t="s">
        <v>762</v>
      </c>
      <c r="BP477" s="431" t="s">
        <v>762</v>
      </c>
      <c r="BQ477" s="431" t="s">
        <v>762</v>
      </c>
      <c r="BR477" s="431" t="s">
        <v>762</v>
      </c>
      <c r="BS477" s="431" t="s">
        <v>762</v>
      </c>
      <c r="BT477" s="431" t="s">
        <v>762</v>
      </c>
      <c r="BU477" s="431" t="s">
        <v>762</v>
      </c>
      <c r="BV477" s="431" t="s">
        <v>762</v>
      </c>
      <c r="BW477" s="431" t="s">
        <v>762</v>
      </c>
      <c r="BX477" s="431" t="s">
        <v>762</v>
      </c>
      <c r="BY477" s="431" t="s">
        <v>762</v>
      </c>
      <c r="BZ477" s="431" t="s">
        <v>762</v>
      </c>
      <c r="CA477" s="431" t="s">
        <v>762</v>
      </c>
      <c r="CB477" s="431" t="s">
        <v>762</v>
      </c>
      <c r="CC477" s="431" t="s">
        <v>762</v>
      </c>
      <c r="CD477" s="431" t="s">
        <v>762</v>
      </c>
      <c r="CE477" s="431" t="s">
        <v>762</v>
      </c>
      <c r="CF477" s="431" t="s">
        <v>762</v>
      </c>
      <c r="CG477" s="431" t="s">
        <v>762</v>
      </c>
      <c r="CH477" s="431" t="s">
        <v>762</v>
      </c>
      <c r="CI477" s="431" t="s">
        <v>762</v>
      </c>
      <c r="CJ477" s="431" t="s">
        <v>762</v>
      </c>
      <c r="CK477" s="431" t="s">
        <v>762</v>
      </c>
      <c r="CL477" s="431" t="s">
        <v>762</v>
      </c>
    </row>
    <row r="478" spans="1:90" s="432" customFormat="1">
      <c r="A478" s="430" t="s">
        <v>530</v>
      </c>
      <c r="B478" s="430" t="s">
        <v>631</v>
      </c>
      <c r="C478" s="431" t="s">
        <v>762</v>
      </c>
      <c r="D478" s="431" t="s">
        <v>762</v>
      </c>
      <c r="E478" s="431" t="s">
        <v>762</v>
      </c>
      <c r="F478" s="431" t="s">
        <v>762</v>
      </c>
      <c r="G478" s="431" t="s">
        <v>762</v>
      </c>
      <c r="H478" s="431" t="s">
        <v>762</v>
      </c>
      <c r="I478" s="431" t="s">
        <v>762</v>
      </c>
      <c r="J478" s="431" t="s">
        <v>762</v>
      </c>
      <c r="K478" s="431" t="s">
        <v>762</v>
      </c>
      <c r="L478" s="431">
        <v>24</v>
      </c>
      <c r="M478" s="431" t="s">
        <v>762</v>
      </c>
      <c r="N478" s="431" t="s">
        <v>762</v>
      </c>
      <c r="O478" s="431" t="s">
        <v>762</v>
      </c>
      <c r="P478" s="431" t="s">
        <v>762</v>
      </c>
      <c r="Q478" s="431" t="s">
        <v>762</v>
      </c>
      <c r="R478" s="431" t="s">
        <v>762</v>
      </c>
      <c r="S478" s="431" t="s">
        <v>762</v>
      </c>
      <c r="T478" s="431" t="s">
        <v>762</v>
      </c>
      <c r="U478" s="431" t="s">
        <v>762</v>
      </c>
      <c r="V478" s="431">
        <v>30</v>
      </c>
      <c r="W478" s="431">
        <v>36</v>
      </c>
      <c r="X478" s="431">
        <v>40</v>
      </c>
      <c r="Y478" s="431">
        <v>46</v>
      </c>
      <c r="Z478" s="431">
        <v>50</v>
      </c>
      <c r="AA478" s="431">
        <v>55</v>
      </c>
      <c r="AB478" s="431">
        <v>59</v>
      </c>
      <c r="AC478" s="431">
        <v>62</v>
      </c>
      <c r="AD478" s="431">
        <v>66</v>
      </c>
      <c r="AE478" s="431" t="s">
        <v>762</v>
      </c>
      <c r="AF478" s="431" t="s">
        <v>762</v>
      </c>
      <c r="AG478" s="431">
        <v>145</v>
      </c>
      <c r="AH478" s="431" t="s">
        <v>762</v>
      </c>
      <c r="AI478" s="431">
        <v>145</v>
      </c>
      <c r="AJ478" s="431" t="s">
        <v>762</v>
      </c>
      <c r="AK478" s="431" t="s">
        <v>762</v>
      </c>
      <c r="AL478" s="431">
        <v>145</v>
      </c>
      <c r="AM478" s="431" t="s">
        <v>762</v>
      </c>
      <c r="AN478" s="431" t="s">
        <v>762</v>
      </c>
      <c r="AO478" s="431" t="s">
        <v>762</v>
      </c>
      <c r="AP478" s="431">
        <v>145</v>
      </c>
      <c r="AQ478" s="431" t="s">
        <v>762</v>
      </c>
      <c r="AR478" s="431" t="s">
        <v>762</v>
      </c>
      <c r="AS478" s="431" t="s">
        <v>762</v>
      </c>
      <c r="AT478" s="431">
        <v>145</v>
      </c>
      <c r="AU478" s="431" t="s">
        <v>762</v>
      </c>
      <c r="AV478" s="431" t="s">
        <v>762</v>
      </c>
      <c r="AW478" s="431" t="s">
        <v>762</v>
      </c>
      <c r="AX478" s="431" t="s">
        <v>762</v>
      </c>
      <c r="AY478" s="431" t="s">
        <v>762</v>
      </c>
      <c r="AZ478" s="431" t="s">
        <v>762</v>
      </c>
      <c r="BA478" s="431" t="s">
        <v>762</v>
      </c>
      <c r="BB478" s="431" t="s">
        <v>762</v>
      </c>
      <c r="BC478" s="431" t="s">
        <v>762</v>
      </c>
      <c r="BD478" s="431" t="s">
        <v>762</v>
      </c>
      <c r="BE478" s="431" t="s">
        <v>762</v>
      </c>
      <c r="BF478" s="431">
        <v>228</v>
      </c>
      <c r="BG478" s="431" t="s">
        <v>762</v>
      </c>
      <c r="BH478" s="431" t="s">
        <v>762</v>
      </c>
      <c r="BI478" s="431" t="s">
        <v>762</v>
      </c>
      <c r="BJ478" s="431" t="s">
        <v>762</v>
      </c>
      <c r="BK478" s="431" t="s">
        <v>762</v>
      </c>
      <c r="BL478" s="431">
        <v>295</v>
      </c>
      <c r="BM478" s="431" t="s">
        <v>762</v>
      </c>
      <c r="BN478" s="431" t="s">
        <v>762</v>
      </c>
      <c r="BO478" s="431" t="s">
        <v>762</v>
      </c>
      <c r="BP478" s="431" t="s">
        <v>762</v>
      </c>
      <c r="BQ478" s="431" t="s">
        <v>762</v>
      </c>
      <c r="BR478" s="431" t="s">
        <v>762</v>
      </c>
      <c r="BS478" s="431" t="s">
        <v>762</v>
      </c>
      <c r="BT478" s="431" t="s">
        <v>762</v>
      </c>
      <c r="BU478" s="431" t="s">
        <v>762</v>
      </c>
      <c r="BV478" s="431" t="s">
        <v>762</v>
      </c>
      <c r="BW478" s="431" t="s">
        <v>762</v>
      </c>
      <c r="BX478" s="431" t="s">
        <v>762</v>
      </c>
      <c r="BY478" s="431" t="s">
        <v>762</v>
      </c>
      <c r="BZ478" s="431" t="s">
        <v>762</v>
      </c>
      <c r="CA478" s="431" t="s">
        <v>762</v>
      </c>
      <c r="CB478" s="431" t="s">
        <v>762</v>
      </c>
      <c r="CC478" s="431" t="s">
        <v>762</v>
      </c>
      <c r="CD478" s="431" t="s">
        <v>762</v>
      </c>
      <c r="CE478" s="431" t="s">
        <v>762</v>
      </c>
      <c r="CF478" s="431" t="s">
        <v>762</v>
      </c>
      <c r="CG478" s="431" t="s">
        <v>762</v>
      </c>
      <c r="CH478" s="431" t="s">
        <v>762</v>
      </c>
      <c r="CI478" s="431" t="s">
        <v>762</v>
      </c>
      <c r="CJ478" s="431" t="s">
        <v>762</v>
      </c>
      <c r="CK478" s="431" t="s">
        <v>762</v>
      </c>
      <c r="CL478" s="431" t="s">
        <v>762</v>
      </c>
    </row>
    <row r="479" spans="1:90" s="432" customFormat="1">
      <c r="A479" s="430" t="s">
        <v>531</v>
      </c>
      <c r="B479" s="430" t="s">
        <v>631</v>
      </c>
      <c r="C479" s="431" t="s">
        <v>762</v>
      </c>
      <c r="D479" s="431" t="s">
        <v>762</v>
      </c>
      <c r="E479" s="431" t="s">
        <v>762</v>
      </c>
      <c r="F479" s="431" t="s">
        <v>762</v>
      </c>
      <c r="G479" s="431" t="s">
        <v>762</v>
      </c>
      <c r="H479" s="431" t="s">
        <v>762</v>
      </c>
      <c r="I479" s="431" t="s">
        <v>762</v>
      </c>
      <c r="J479" s="431" t="s">
        <v>762</v>
      </c>
      <c r="K479" s="431" t="s">
        <v>762</v>
      </c>
      <c r="L479" s="431">
        <v>25</v>
      </c>
      <c r="M479" s="431" t="s">
        <v>762</v>
      </c>
      <c r="N479" s="431" t="s">
        <v>762</v>
      </c>
      <c r="O479" s="431" t="s">
        <v>762</v>
      </c>
      <c r="P479" s="431" t="s">
        <v>762</v>
      </c>
      <c r="Q479" s="431" t="s">
        <v>762</v>
      </c>
      <c r="R479" s="431" t="s">
        <v>762</v>
      </c>
      <c r="S479" s="431" t="s">
        <v>762</v>
      </c>
      <c r="T479" s="431" t="s">
        <v>762</v>
      </c>
      <c r="U479" s="431" t="s">
        <v>762</v>
      </c>
      <c r="V479" s="431">
        <v>29</v>
      </c>
      <c r="W479" s="431">
        <v>36</v>
      </c>
      <c r="X479" s="431">
        <v>41</v>
      </c>
      <c r="Y479" s="431">
        <v>45</v>
      </c>
      <c r="Z479" s="431">
        <v>50</v>
      </c>
      <c r="AA479" s="431">
        <v>53</v>
      </c>
      <c r="AB479" s="431">
        <v>59</v>
      </c>
      <c r="AC479" s="431">
        <v>62</v>
      </c>
      <c r="AD479" s="431">
        <v>68</v>
      </c>
      <c r="AE479" s="431" t="s">
        <v>762</v>
      </c>
      <c r="AF479" s="431" t="s">
        <v>762</v>
      </c>
      <c r="AG479" s="431">
        <v>158</v>
      </c>
      <c r="AH479" s="431" t="s">
        <v>762</v>
      </c>
      <c r="AI479" s="431">
        <v>158</v>
      </c>
      <c r="AJ479" s="431" t="s">
        <v>762</v>
      </c>
      <c r="AK479" s="431" t="s">
        <v>762</v>
      </c>
      <c r="AL479" s="431">
        <v>158</v>
      </c>
      <c r="AM479" s="431" t="s">
        <v>762</v>
      </c>
      <c r="AN479" s="431" t="s">
        <v>762</v>
      </c>
      <c r="AO479" s="431" t="s">
        <v>762</v>
      </c>
      <c r="AP479" s="431">
        <v>158</v>
      </c>
      <c r="AQ479" s="431" t="s">
        <v>762</v>
      </c>
      <c r="AR479" s="431" t="s">
        <v>762</v>
      </c>
      <c r="AS479" s="431" t="s">
        <v>762</v>
      </c>
      <c r="AT479" s="431">
        <v>158</v>
      </c>
      <c r="AU479" s="431" t="s">
        <v>762</v>
      </c>
      <c r="AV479" s="431" t="s">
        <v>762</v>
      </c>
      <c r="AW479" s="431" t="s">
        <v>762</v>
      </c>
      <c r="AX479" s="431" t="s">
        <v>762</v>
      </c>
      <c r="AY479" s="431" t="s">
        <v>762</v>
      </c>
      <c r="AZ479" s="431" t="s">
        <v>762</v>
      </c>
      <c r="BA479" s="431" t="s">
        <v>762</v>
      </c>
      <c r="BB479" s="431" t="s">
        <v>762</v>
      </c>
      <c r="BC479" s="431" t="s">
        <v>762</v>
      </c>
      <c r="BD479" s="431" t="s">
        <v>762</v>
      </c>
      <c r="BE479" s="431" t="s">
        <v>762</v>
      </c>
      <c r="BF479" s="431">
        <v>253</v>
      </c>
      <c r="BG479" s="431" t="s">
        <v>762</v>
      </c>
      <c r="BH479" s="431" t="s">
        <v>762</v>
      </c>
      <c r="BI479" s="431" t="s">
        <v>762</v>
      </c>
      <c r="BJ479" s="431" t="s">
        <v>762</v>
      </c>
      <c r="BK479" s="431" t="s">
        <v>762</v>
      </c>
      <c r="BL479" s="431">
        <v>330</v>
      </c>
      <c r="BM479" s="431" t="s">
        <v>762</v>
      </c>
      <c r="BN479" s="431" t="s">
        <v>762</v>
      </c>
      <c r="BO479" s="431" t="s">
        <v>762</v>
      </c>
      <c r="BP479" s="431" t="s">
        <v>762</v>
      </c>
      <c r="BQ479" s="431" t="s">
        <v>762</v>
      </c>
      <c r="BR479" s="431" t="s">
        <v>762</v>
      </c>
      <c r="BS479" s="431" t="s">
        <v>762</v>
      </c>
      <c r="BT479" s="431" t="s">
        <v>762</v>
      </c>
      <c r="BU479" s="431" t="s">
        <v>762</v>
      </c>
      <c r="BV479" s="431" t="s">
        <v>762</v>
      </c>
      <c r="BW479" s="431" t="s">
        <v>762</v>
      </c>
      <c r="BX479" s="431" t="s">
        <v>762</v>
      </c>
      <c r="BY479" s="431" t="s">
        <v>762</v>
      </c>
      <c r="BZ479" s="431" t="s">
        <v>762</v>
      </c>
      <c r="CA479" s="431" t="s">
        <v>762</v>
      </c>
      <c r="CB479" s="431" t="s">
        <v>762</v>
      </c>
      <c r="CC479" s="431" t="s">
        <v>762</v>
      </c>
      <c r="CD479" s="431" t="s">
        <v>762</v>
      </c>
      <c r="CE479" s="431" t="s">
        <v>762</v>
      </c>
      <c r="CF479" s="431" t="s">
        <v>762</v>
      </c>
      <c r="CG479" s="431" t="s">
        <v>762</v>
      </c>
      <c r="CH479" s="431" t="s">
        <v>762</v>
      </c>
      <c r="CI479" s="431" t="s">
        <v>762</v>
      </c>
      <c r="CJ479" s="431" t="s">
        <v>762</v>
      </c>
      <c r="CK479" s="431" t="s">
        <v>762</v>
      </c>
      <c r="CL479" s="431" t="s">
        <v>762</v>
      </c>
    </row>
    <row r="480" spans="1:90" s="432" customFormat="1">
      <c r="A480" s="430" t="s">
        <v>532</v>
      </c>
      <c r="B480" s="430" t="s">
        <v>631</v>
      </c>
      <c r="C480" s="431" t="s">
        <v>762</v>
      </c>
      <c r="D480" s="431" t="s">
        <v>762</v>
      </c>
      <c r="E480" s="431" t="s">
        <v>762</v>
      </c>
      <c r="F480" s="431" t="s">
        <v>762</v>
      </c>
      <c r="G480" s="431" t="s">
        <v>762</v>
      </c>
      <c r="H480" s="431" t="s">
        <v>762</v>
      </c>
      <c r="I480" s="431" t="s">
        <v>762</v>
      </c>
      <c r="J480" s="431" t="s">
        <v>762</v>
      </c>
      <c r="K480" s="431" t="s">
        <v>762</v>
      </c>
      <c r="L480" s="431">
        <v>35</v>
      </c>
      <c r="M480" s="431" t="s">
        <v>762</v>
      </c>
      <c r="N480" s="431" t="s">
        <v>762</v>
      </c>
      <c r="O480" s="431" t="s">
        <v>762</v>
      </c>
      <c r="P480" s="431" t="s">
        <v>762</v>
      </c>
      <c r="Q480" s="431" t="s">
        <v>762</v>
      </c>
      <c r="R480" s="431" t="s">
        <v>762</v>
      </c>
      <c r="S480" s="431" t="s">
        <v>762</v>
      </c>
      <c r="T480" s="431" t="s">
        <v>762</v>
      </c>
      <c r="U480" s="431" t="s">
        <v>762</v>
      </c>
      <c r="V480" s="431">
        <v>42</v>
      </c>
      <c r="W480" s="431">
        <v>52</v>
      </c>
      <c r="X480" s="431">
        <v>60</v>
      </c>
      <c r="Y480" s="431">
        <v>66</v>
      </c>
      <c r="Z480" s="431">
        <v>73</v>
      </c>
      <c r="AA480" s="431">
        <v>78</v>
      </c>
      <c r="AB480" s="431">
        <v>86</v>
      </c>
      <c r="AC480" s="431">
        <v>92</v>
      </c>
      <c r="AD480" s="431">
        <v>100</v>
      </c>
      <c r="AE480" s="431" t="s">
        <v>762</v>
      </c>
      <c r="AF480" s="431" t="s">
        <v>762</v>
      </c>
      <c r="AG480" s="431" t="s">
        <v>762</v>
      </c>
      <c r="AH480" s="431" t="s">
        <v>762</v>
      </c>
      <c r="AI480" s="431" t="s">
        <v>762</v>
      </c>
      <c r="AJ480" s="431" t="s">
        <v>762</v>
      </c>
      <c r="AK480" s="431" t="s">
        <v>762</v>
      </c>
      <c r="AL480" s="431" t="s">
        <v>762</v>
      </c>
      <c r="AM480" s="431" t="s">
        <v>762</v>
      </c>
      <c r="AN480" s="431" t="s">
        <v>762</v>
      </c>
      <c r="AO480" s="431" t="s">
        <v>762</v>
      </c>
      <c r="AP480" s="431" t="s">
        <v>762</v>
      </c>
      <c r="AQ480" s="431" t="s">
        <v>762</v>
      </c>
      <c r="AR480" s="431" t="s">
        <v>762</v>
      </c>
      <c r="AS480" s="431" t="s">
        <v>762</v>
      </c>
      <c r="AT480" s="431" t="s">
        <v>762</v>
      </c>
      <c r="AU480" s="431" t="s">
        <v>762</v>
      </c>
      <c r="AV480" s="431" t="s">
        <v>762</v>
      </c>
      <c r="AW480" s="431" t="s">
        <v>762</v>
      </c>
      <c r="AX480" s="431" t="s">
        <v>762</v>
      </c>
      <c r="AY480" s="431" t="s">
        <v>762</v>
      </c>
      <c r="AZ480" s="431" t="s">
        <v>762</v>
      </c>
      <c r="BA480" s="431" t="s">
        <v>762</v>
      </c>
      <c r="BB480" s="431" t="s">
        <v>762</v>
      </c>
      <c r="BC480" s="431" t="s">
        <v>762</v>
      </c>
      <c r="BD480" s="431" t="s">
        <v>762</v>
      </c>
      <c r="BE480" s="431" t="s">
        <v>762</v>
      </c>
      <c r="BF480" s="431" t="s">
        <v>762</v>
      </c>
      <c r="BG480" s="431" t="s">
        <v>762</v>
      </c>
      <c r="BH480" s="431" t="s">
        <v>762</v>
      </c>
      <c r="BI480" s="431" t="s">
        <v>762</v>
      </c>
      <c r="BJ480" s="431" t="s">
        <v>762</v>
      </c>
      <c r="BK480" s="431" t="s">
        <v>762</v>
      </c>
      <c r="BL480" s="431" t="s">
        <v>762</v>
      </c>
      <c r="BM480" s="431" t="s">
        <v>762</v>
      </c>
      <c r="BN480" s="431" t="s">
        <v>762</v>
      </c>
      <c r="BO480" s="431" t="s">
        <v>762</v>
      </c>
      <c r="BP480" s="431" t="s">
        <v>762</v>
      </c>
      <c r="BQ480" s="431" t="s">
        <v>762</v>
      </c>
      <c r="BR480" s="431" t="s">
        <v>762</v>
      </c>
      <c r="BS480" s="431" t="s">
        <v>762</v>
      </c>
      <c r="BT480" s="431" t="s">
        <v>762</v>
      </c>
      <c r="BU480" s="431" t="s">
        <v>762</v>
      </c>
      <c r="BV480" s="431" t="s">
        <v>762</v>
      </c>
      <c r="BW480" s="431" t="s">
        <v>762</v>
      </c>
      <c r="BX480" s="431" t="s">
        <v>762</v>
      </c>
      <c r="BY480" s="431" t="s">
        <v>762</v>
      </c>
      <c r="BZ480" s="431" t="s">
        <v>762</v>
      </c>
      <c r="CA480" s="431" t="s">
        <v>762</v>
      </c>
      <c r="CB480" s="431" t="s">
        <v>762</v>
      </c>
      <c r="CC480" s="431" t="s">
        <v>762</v>
      </c>
      <c r="CD480" s="431" t="s">
        <v>762</v>
      </c>
      <c r="CE480" s="431" t="s">
        <v>762</v>
      </c>
      <c r="CF480" s="431" t="s">
        <v>762</v>
      </c>
      <c r="CG480" s="431" t="s">
        <v>762</v>
      </c>
      <c r="CH480" s="431" t="s">
        <v>762</v>
      </c>
      <c r="CI480" s="431" t="s">
        <v>762</v>
      </c>
      <c r="CJ480" s="431" t="s">
        <v>762</v>
      </c>
      <c r="CK480" s="431" t="s">
        <v>762</v>
      </c>
      <c r="CL480" s="431" t="s">
        <v>762</v>
      </c>
    </row>
    <row r="481" spans="1:90" s="432" customFormat="1">
      <c r="A481" s="430" t="s">
        <v>533</v>
      </c>
      <c r="B481" s="430" t="s">
        <v>631</v>
      </c>
      <c r="C481" s="431" t="s">
        <v>762</v>
      </c>
      <c r="D481" s="431" t="s">
        <v>762</v>
      </c>
      <c r="E481" s="431" t="s">
        <v>762</v>
      </c>
      <c r="F481" s="431" t="s">
        <v>762</v>
      </c>
      <c r="G481" s="431" t="s">
        <v>762</v>
      </c>
      <c r="H481" s="431" t="s">
        <v>762</v>
      </c>
      <c r="I481" s="431" t="s">
        <v>762</v>
      </c>
      <c r="J481" s="431" t="s">
        <v>762</v>
      </c>
      <c r="K481" s="431" t="s">
        <v>762</v>
      </c>
      <c r="L481" s="431">
        <v>22</v>
      </c>
      <c r="M481" s="431" t="s">
        <v>762</v>
      </c>
      <c r="N481" s="431" t="s">
        <v>762</v>
      </c>
      <c r="O481" s="431" t="s">
        <v>762</v>
      </c>
      <c r="P481" s="431" t="s">
        <v>762</v>
      </c>
      <c r="Q481" s="431" t="s">
        <v>762</v>
      </c>
      <c r="R481" s="431" t="s">
        <v>762</v>
      </c>
      <c r="S481" s="431" t="s">
        <v>762</v>
      </c>
      <c r="T481" s="431" t="s">
        <v>762</v>
      </c>
      <c r="U481" s="431" t="s">
        <v>762</v>
      </c>
      <c r="V481" s="431">
        <v>28</v>
      </c>
      <c r="W481" s="431">
        <v>34</v>
      </c>
      <c r="X481" s="431">
        <v>37</v>
      </c>
      <c r="Y481" s="431">
        <v>43</v>
      </c>
      <c r="Z481" s="431">
        <v>46</v>
      </c>
      <c r="AA481" s="431">
        <v>51</v>
      </c>
      <c r="AB481" s="431">
        <v>54</v>
      </c>
      <c r="AC481" s="431">
        <v>58</v>
      </c>
      <c r="AD481" s="431">
        <v>61</v>
      </c>
      <c r="AE481" s="431" t="s">
        <v>762</v>
      </c>
      <c r="AF481" s="431" t="s">
        <v>762</v>
      </c>
      <c r="AG481" s="431">
        <v>141</v>
      </c>
      <c r="AH481" s="431" t="s">
        <v>762</v>
      </c>
      <c r="AI481" s="431">
        <v>141</v>
      </c>
      <c r="AJ481" s="431" t="s">
        <v>762</v>
      </c>
      <c r="AK481" s="431" t="s">
        <v>762</v>
      </c>
      <c r="AL481" s="431">
        <v>141</v>
      </c>
      <c r="AM481" s="431" t="s">
        <v>762</v>
      </c>
      <c r="AN481" s="431" t="s">
        <v>762</v>
      </c>
      <c r="AO481" s="431" t="s">
        <v>762</v>
      </c>
      <c r="AP481" s="431">
        <v>141</v>
      </c>
      <c r="AQ481" s="431" t="s">
        <v>762</v>
      </c>
      <c r="AR481" s="431" t="s">
        <v>762</v>
      </c>
      <c r="AS481" s="431" t="s">
        <v>762</v>
      </c>
      <c r="AT481" s="431">
        <v>141</v>
      </c>
      <c r="AU481" s="431" t="s">
        <v>762</v>
      </c>
      <c r="AV481" s="431" t="s">
        <v>762</v>
      </c>
      <c r="AW481" s="431" t="s">
        <v>762</v>
      </c>
      <c r="AX481" s="431" t="s">
        <v>762</v>
      </c>
      <c r="AY481" s="431" t="s">
        <v>762</v>
      </c>
      <c r="AZ481" s="431" t="s">
        <v>762</v>
      </c>
      <c r="BA481" s="431" t="s">
        <v>762</v>
      </c>
      <c r="BB481" s="431" t="s">
        <v>762</v>
      </c>
      <c r="BC481" s="431" t="s">
        <v>762</v>
      </c>
      <c r="BD481" s="431" t="s">
        <v>762</v>
      </c>
      <c r="BE481" s="431" t="s">
        <v>762</v>
      </c>
      <c r="BF481" s="431">
        <v>205</v>
      </c>
      <c r="BG481" s="431" t="s">
        <v>762</v>
      </c>
      <c r="BH481" s="431" t="s">
        <v>762</v>
      </c>
      <c r="BI481" s="431" t="s">
        <v>762</v>
      </c>
      <c r="BJ481" s="431" t="s">
        <v>762</v>
      </c>
      <c r="BK481" s="431" t="s">
        <v>762</v>
      </c>
      <c r="BL481" s="431">
        <v>245</v>
      </c>
      <c r="BM481" s="431" t="s">
        <v>762</v>
      </c>
      <c r="BN481" s="431" t="s">
        <v>762</v>
      </c>
      <c r="BO481" s="431" t="s">
        <v>762</v>
      </c>
      <c r="BP481" s="431" t="s">
        <v>762</v>
      </c>
      <c r="BQ481" s="431" t="s">
        <v>762</v>
      </c>
      <c r="BR481" s="431" t="s">
        <v>762</v>
      </c>
      <c r="BS481" s="431" t="s">
        <v>762</v>
      </c>
      <c r="BT481" s="431" t="s">
        <v>762</v>
      </c>
      <c r="BU481" s="431" t="s">
        <v>762</v>
      </c>
      <c r="BV481" s="431" t="s">
        <v>762</v>
      </c>
      <c r="BW481" s="431" t="s">
        <v>762</v>
      </c>
      <c r="BX481" s="431" t="s">
        <v>762</v>
      </c>
      <c r="BY481" s="431" t="s">
        <v>762</v>
      </c>
      <c r="BZ481" s="431" t="s">
        <v>762</v>
      </c>
      <c r="CA481" s="431" t="s">
        <v>762</v>
      </c>
      <c r="CB481" s="431" t="s">
        <v>762</v>
      </c>
      <c r="CC481" s="431" t="s">
        <v>762</v>
      </c>
      <c r="CD481" s="431" t="s">
        <v>762</v>
      </c>
      <c r="CE481" s="431" t="s">
        <v>762</v>
      </c>
      <c r="CF481" s="431" t="s">
        <v>762</v>
      </c>
      <c r="CG481" s="431" t="s">
        <v>762</v>
      </c>
      <c r="CH481" s="431" t="s">
        <v>762</v>
      </c>
      <c r="CI481" s="431" t="s">
        <v>762</v>
      </c>
      <c r="CJ481" s="431" t="s">
        <v>762</v>
      </c>
      <c r="CK481" s="431" t="s">
        <v>762</v>
      </c>
      <c r="CL481" s="431" t="s">
        <v>762</v>
      </c>
    </row>
    <row r="482" spans="1:90" s="432" customFormat="1">
      <c r="A482" s="430" t="s">
        <v>534</v>
      </c>
      <c r="B482" s="430" t="s">
        <v>631</v>
      </c>
      <c r="C482" s="431" t="s">
        <v>762</v>
      </c>
      <c r="D482" s="431" t="s">
        <v>762</v>
      </c>
      <c r="E482" s="431" t="s">
        <v>762</v>
      </c>
      <c r="F482" s="431" t="s">
        <v>762</v>
      </c>
      <c r="G482" s="431" t="s">
        <v>762</v>
      </c>
      <c r="H482" s="431" t="s">
        <v>762</v>
      </c>
      <c r="I482" s="431" t="s">
        <v>762</v>
      </c>
      <c r="J482" s="431" t="s">
        <v>762</v>
      </c>
      <c r="K482" s="431" t="s">
        <v>762</v>
      </c>
      <c r="L482" s="431">
        <v>25</v>
      </c>
      <c r="M482" s="431" t="s">
        <v>762</v>
      </c>
      <c r="N482" s="431" t="s">
        <v>762</v>
      </c>
      <c r="O482" s="431" t="s">
        <v>762</v>
      </c>
      <c r="P482" s="431" t="s">
        <v>762</v>
      </c>
      <c r="Q482" s="431" t="s">
        <v>762</v>
      </c>
      <c r="R482" s="431" t="s">
        <v>762</v>
      </c>
      <c r="S482" s="431" t="s">
        <v>762</v>
      </c>
      <c r="T482" s="431" t="s">
        <v>762</v>
      </c>
      <c r="U482" s="431" t="s">
        <v>762</v>
      </c>
      <c r="V482" s="431">
        <v>30</v>
      </c>
      <c r="W482" s="431">
        <v>37</v>
      </c>
      <c r="X482" s="431">
        <v>43</v>
      </c>
      <c r="Y482" s="431">
        <v>46</v>
      </c>
      <c r="Z482" s="431">
        <v>52</v>
      </c>
      <c r="AA482" s="431">
        <v>55</v>
      </c>
      <c r="AB482" s="431">
        <v>61</v>
      </c>
      <c r="AC482" s="431">
        <v>65</v>
      </c>
      <c r="AD482" s="431">
        <v>71</v>
      </c>
      <c r="AE482" s="431" t="s">
        <v>762</v>
      </c>
      <c r="AF482" s="431" t="s">
        <v>762</v>
      </c>
      <c r="AG482" s="431">
        <v>150</v>
      </c>
      <c r="AH482" s="431" t="s">
        <v>762</v>
      </c>
      <c r="AI482" s="431">
        <v>150</v>
      </c>
      <c r="AJ482" s="431" t="s">
        <v>762</v>
      </c>
      <c r="AK482" s="431" t="s">
        <v>762</v>
      </c>
      <c r="AL482" s="431">
        <v>150</v>
      </c>
      <c r="AM482" s="431" t="s">
        <v>762</v>
      </c>
      <c r="AN482" s="431" t="s">
        <v>762</v>
      </c>
      <c r="AO482" s="431" t="s">
        <v>762</v>
      </c>
      <c r="AP482" s="431">
        <v>150</v>
      </c>
      <c r="AQ482" s="431" t="s">
        <v>762</v>
      </c>
      <c r="AR482" s="431" t="s">
        <v>762</v>
      </c>
      <c r="AS482" s="431" t="s">
        <v>762</v>
      </c>
      <c r="AT482" s="431">
        <v>150</v>
      </c>
      <c r="AU482" s="431" t="s">
        <v>762</v>
      </c>
      <c r="AV482" s="431" t="s">
        <v>762</v>
      </c>
      <c r="AW482" s="431" t="s">
        <v>762</v>
      </c>
      <c r="AX482" s="431" t="s">
        <v>762</v>
      </c>
      <c r="AY482" s="431" t="s">
        <v>762</v>
      </c>
      <c r="AZ482" s="431" t="s">
        <v>762</v>
      </c>
      <c r="BA482" s="431" t="s">
        <v>762</v>
      </c>
      <c r="BB482" s="431" t="s">
        <v>762</v>
      </c>
      <c r="BC482" s="431" t="s">
        <v>762</v>
      </c>
      <c r="BD482" s="431" t="s">
        <v>762</v>
      </c>
      <c r="BE482" s="431" t="s">
        <v>762</v>
      </c>
      <c r="BF482" s="431">
        <v>213</v>
      </c>
      <c r="BG482" s="431" t="s">
        <v>762</v>
      </c>
      <c r="BH482" s="431" t="s">
        <v>762</v>
      </c>
      <c r="BI482" s="431" t="s">
        <v>762</v>
      </c>
      <c r="BJ482" s="431" t="s">
        <v>762</v>
      </c>
      <c r="BK482" s="431" t="s">
        <v>762</v>
      </c>
      <c r="BL482" s="431">
        <v>253</v>
      </c>
      <c r="BM482" s="431" t="s">
        <v>762</v>
      </c>
      <c r="BN482" s="431" t="s">
        <v>762</v>
      </c>
      <c r="BO482" s="431" t="s">
        <v>762</v>
      </c>
      <c r="BP482" s="431" t="s">
        <v>762</v>
      </c>
      <c r="BQ482" s="431" t="s">
        <v>762</v>
      </c>
      <c r="BR482" s="431" t="s">
        <v>762</v>
      </c>
      <c r="BS482" s="431" t="s">
        <v>762</v>
      </c>
      <c r="BT482" s="431" t="s">
        <v>762</v>
      </c>
      <c r="BU482" s="431" t="s">
        <v>762</v>
      </c>
      <c r="BV482" s="431" t="s">
        <v>762</v>
      </c>
      <c r="BW482" s="431" t="s">
        <v>762</v>
      </c>
      <c r="BX482" s="431" t="s">
        <v>762</v>
      </c>
      <c r="BY482" s="431" t="s">
        <v>762</v>
      </c>
      <c r="BZ482" s="431" t="s">
        <v>762</v>
      </c>
      <c r="CA482" s="431" t="s">
        <v>762</v>
      </c>
      <c r="CB482" s="431" t="s">
        <v>762</v>
      </c>
      <c r="CC482" s="431" t="s">
        <v>762</v>
      </c>
      <c r="CD482" s="431" t="s">
        <v>762</v>
      </c>
      <c r="CE482" s="431" t="s">
        <v>762</v>
      </c>
      <c r="CF482" s="431" t="s">
        <v>762</v>
      </c>
      <c r="CG482" s="431" t="s">
        <v>762</v>
      </c>
      <c r="CH482" s="431" t="s">
        <v>762</v>
      </c>
      <c r="CI482" s="431" t="s">
        <v>762</v>
      </c>
      <c r="CJ482" s="431" t="s">
        <v>762</v>
      </c>
      <c r="CK482" s="431" t="s">
        <v>762</v>
      </c>
      <c r="CL482" s="431" t="s">
        <v>762</v>
      </c>
    </row>
    <row r="483" spans="1:90" s="432" customFormat="1">
      <c r="A483" s="430" t="s">
        <v>535</v>
      </c>
      <c r="B483" s="430" t="s">
        <v>631</v>
      </c>
      <c r="C483" s="431" t="s">
        <v>762</v>
      </c>
      <c r="D483" s="431" t="s">
        <v>762</v>
      </c>
      <c r="E483" s="431" t="s">
        <v>762</v>
      </c>
      <c r="F483" s="431" t="s">
        <v>762</v>
      </c>
      <c r="G483" s="431" t="s">
        <v>762</v>
      </c>
      <c r="H483" s="431" t="s">
        <v>762</v>
      </c>
      <c r="I483" s="431" t="s">
        <v>762</v>
      </c>
      <c r="J483" s="431" t="s">
        <v>762</v>
      </c>
      <c r="K483" s="431" t="s">
        <v>762</v>
      </c>
      <c r="L483" s="431">
        <v>51</v>
      </c>
      <c r="M483" s="431" t="s">
        <v>762</v>
      </c>
      <c r="N483" s="431" t="s">
        <v>762</v>
      </c>
      <c r="O483" s="431" t="s">
        <v>762</v>
      </c>
      <c r="P483" s="431" t="s">
        <v>762</v>
      </c>
      <c r="Q483" s="431" t="s">
        <v>762</v>
      </c>
      <c r="R483" s="431" t="s">
        <v>762</v>
      </c>
      <c r="S483" s="431" t="s">
        <v>762</v>
      </c>
      <c r="T483" s="431" t="s">
        <v>762</v>
      </c>
      <c r="U483" s="431" t="s">
        <v>762</v>
      </c>
      <c r="V483" s="431">
        <v>67</v>
      </c>
      <c r="W483" s="431">
        <v>95</v>
      </c>
      <c r="X483" s="431">
        <v>99</v>
      </c>
      <c r="Y483" s="431">
        <v>112</v>
      </c>
      <c r="Z483" s="431">
        <v>117</v>
      </c>
      <c r="AA483" s="431">
        <v>135</v>
      </c>
      <c r="AB483" s="431">
        <v>140</v>
      </c>
      <c r="AC483" s="431">
        <v>161</v>
      </c>
      <c r="AD483" s="431">
        <v>166</v>
      </c>
      <c r="AE483" s="431" t="s">
        <v>762</v>
      </c>
      <c r="AF483" s="431" t="s">
        <v>762</v>
      </c>
      <c r="AG483" s="431">
        <v>260</v>
      </c>
      <c r="AH483" s="431" t="s">
        <v>762</v>
      </c>
      <c r="AI483" s="431">
        <v>260</v>
      </c>
      <c r="AJ483" s="431" t="s">
        <v>762</v>
      </c>
      <c r="AK483" s="431" t="s">
        <v>762</v>
      </c>
      <c r="AL483" s="431">
        <v>260</v>
      </c>
      <c r="AM483" s="431" t="s">
        <v>762</v>
      </c>
      <c r="AN483" s="431" t="s">
        <v>762</v>
      </c>
      <c r="AO483" s="431" t="s">
        <v>762</v>
      </c>
      <c r="AP483" s="431">
        <v>260</v>
      </c>
      <c r="AQ483" s="431" t="s">
        <v>762</v>
      </c>
      <c r="AR483" s="431" t="s">
        <v>762</v>
      </c>
      <c r="AS483" s="431" t="s">
        <v>762</v>
      </c>
      <c r="AT483" s="431">
        <v>260</v>
      </c>
      <c r="AU483" s="431" t="s">
        <v>762</v>
      </c>
      <c r="AV483" s="431" t="s">
        <v>762</v>
      </c>
      <c r="AW483" s="431" t="s">
        <v>762</v>
      </c>
      <c r="AX483" s="431" t="s">
        <v>762</v>
      </c>
      <c r="AY483" s="431" t="s">
        <v>762</v>
      </c>
      <c r="AZ483" s="431" t="s">
        <v>762</v>
      </c>
      <c r="BA483" s="431" t="s">
        <v>762</v>
      </c>
      <c r="BB483" s="431" t="s">
        <v>762</v>
      </c>
      <c r="BC483" s="431" t="s">
        <v>762</v>
      </c>
      <c r="BD483" s="431" t="s">
        <v>762</v>
      </c>
      <c r="BE483" s="431" t="s">
        <v>762</v>
      </c>
      <c r="BF483" s="431">
        <v>475</v>
      </c>
      <c r="BG483" s="431" t="s">
        <v>762</v>
      </c>
      <c r="BH483" s="431" t="s">
        <v>762</v>
      </c>
      <c r="BI483" s="431" t="s">
        <v>762</v>
      </c>
      <c r="BJ483" s="431" t="s">
        <v>762</v>
      </c>
      <c r="BK483" s="431" t="s">
        <v>762</v>
      </c>
      <c r="BL483" s="431">
        <v>683</v>
      </c>
      <c r="BM483" s="431" t="s">
        <v>762</v>
      </c>
      <c r="BN483" s="431" t="s">
        <v>762</v>
      </c>
      <c r="BO483" s="431" t="s">
        <v>762</v>
      </c>
      <c r="BP483" s="431" t="s">
        <v>762</v>
      </c>
      <c r="BQ483" s="431" t="s">
        <v>762</v>
      </c>
      <c r="BR483" s="431" t="s">
        <v>762</v>
      </c>
      <c r="BS483" s="431" t="s">
        <v>762</v>
      </c>
      <c r="BT483" s="431" t="s">
        <v>762</v>
      </c>
      <c r="BU483" s="431" t="s">
        <v>762</v>
      </c>
      <c r="BV483" s="431" t="s">
        <v>762</v>
      </c>
      <c r="BW483" s="431" t="s">
        <v>762</v>
      </c>
      <c r="BX483" s="431" t="s">
        <v>762</v>
      </c>
      <c r="BY483" s="431" t="s">
        <v>762</v>
      </c>
      <c r="BZ483" s="431" t="s">
        <v>762</v>
      </c>
      <c r="CA483" s="431" t="s">
        <v>762</v>
      </c>
      <c r="CB483" s="431" t="s">
        <v>762</v>
      </c>
      <c r="CC483" s="431" t="s">
        <v>762</v>
      </c>
      <c r="CD483" s="431" t="s">
        <v>762</v>
      </c>
      <c r="CE483" s="431" t="s">
        <v>762</v>
      </c>
      <c r="CF483" s="431" t="s">
        <v>762</v>
      </c>
      <c r="CG483" s="431" t="s">
        <v>762</v>
      </c>
      <c r="CH483" s="431" t="s">
        <v>762</v>
      </c>
      <c r="CI483" s="431" t="s">
        <v>762</v>
      </c>
      <c r="CJ483" s="431" t="s">
        <v>762</v>
      </c>
      <c r="CK483" s="431" t="s">
        <v>762</v>
      </c>
      <c r="CL483" s="431" t="s">
        <v>762</v>
      </c>
    </row>
    <row r="484" spans="1:90" s="432" customFormat="1">
      <c r="A484" s="430" t="s">
        <v>536</v>
      </c>
      <c r="B484" s="430" t="s">
        <v>631</v>
      </c>
      <c r="C484" s="431" t="s">
        <v>762</v>
      </c>
      <c r="D484" s="431" t="s">
        <v>762</v>
      </c>
      <c r="E484" s="431" t="s">
        <v>762</v>
      </c>
      <c r="F484" s="431" t="s">
        <v>762</v>
      </c>
      <c r="G484" s="431" t="s">
        <v>762</v>
      </c>
      <c r="H484" s="431" t="s">
        <v>762</v>
      </c>
      <c r="I484" s="431" t="s">
        <v>762</v>
      </c>
      <c r="J484" s="431" t="s">
        <v>762</v>
      </c>
      <c r="K484" s="431" t="s">
        <v>762</v>
      </c>
      <c r="L484" s="431">
        <v>35</v>
      </c>
      <c r="M484" s="431" t="s">
        <v>762</v>
      </c>
      <c r="N484" s="431" t="s">
        <v>762</v>
      </c>
      <c r="O484" s="431" t="s">
        <v>762</v>
      </c>
      <c r="P484" s="431" t="s">
        <v>762</v>
      </c>
      <c r="Q484" s="431" t="s">
        <v>762</v>
      </c>
      <c r="R484" s="431" t="s">
        <v>762</v>
      </c>
      <c r="S484" s="431" t="s">
        <v>762</v>
      </c>
      <c r="T484" s="431" t="s">
        <v>762</v>
      </c>
      <c r="U484" s="431" t="s">
        <v>762</v>
      </c>
      <c r="V484" s="431">
        <v>38</v>
      </c>
      <c r="W484" s="431">
        <v>42</v>
      </c>
      <c r="X484" s="431">
        <v>46</v>
      </c>
      <c r="Y484" s="431">
        <v>51</v>
      </c>
      <c r="Z484" s="431">
        <v>55</v>
      </c>
      <c r="AA484" s="431">
        <v>59</v>
      </c>
      <c r="AB484" s="431">
        <v>65</v>
      </c>
      <c r="AC484" s="431">
        <v>69</v>
      </c>
      <c r="AD484" s="431">
        <v>76</v>
      </c>
      <c r="AE484" s="431" t="s">
        <v>762</v>
      </c>
      <c r="AF484" s="431" t="s">
        <v>762</v>
      </c>
      <c r="AG484" s="431">
        <v>150</v>
      </c>
      <c r="AH484" s="431" t="s">
        <v>762</v>
      </c>
      <c r="AI484" s="431">
        <v>150</v>
      </c>
      <c r="AJ484" s="431" t="s">
        <v>762</v>
      </c>
      <c r="AK484" s="431" t="s">
        <v>762</v>
      </c>
      <c r="AL484" s="431">
        <v>150</v>
      </c>
      <c r="AM484" s="431" t="s">
        <v>762</v>
      </c>
      <c r="AN484" s="431" t="s">
        <v>762</v>
      </c>
      <c r="AO484" s="431" t="s">
        <v>762</v>
      </c>
      <c r="AP484" s="431">
        <v>150</v>
      </c>
      <c r="AQ484" s="431" t="s">
        <v>762</v>
      </c>
      <c r="AR484" s="431" t="s">
        <v>762</v>
      </c>
      <c r="AS484" s="431" t="s">
        <v>762</v>
      </c>
      <c r="AT484" s="431">
        <v>150</v>
      </c>
      <c r="AU484" s="431" t="s">
        <v>762</v>
      </c>
      <c r="AV484" s="431" t="s">
        <v>762</v>
      </c>
      <c r="AW484" s="431" t="s">
        <v>762</v>
      </c>
      <c r="AX484" s="431" t="s">
        <v>762</v>
      </c>
      <c r="AY484" s="431" t="s">
        <v>762</v>
      </c>
      <c r="AZ484" s="431" t="s">
        <v>762</v>
      </c>
      <c r="BA484" s="431" t="s">
        <v>762</v>
      </c>
      <c r="BB484" s="431" t="s">
        <v>762</v>
      </c>
      <c r="BC484" s="431" t="s">
        <v>762</v>
      </c>
      <c r="BD484" s="431" t="s">
        <v>762</v>
      </c>
      <c r="BE484" s="431" t="s">
        <v>762</v>
      </c>
      <c r="BF484" s="431">
        <v>233</v>
      </c>
      <c r="BG484" s="431" t="s">
        <v>762</v>
      </c>
      <c r="BH484" s="431" t="s">
        <v>762</v>
      </c>
      <c r="BI484" s="431" t="s">
        <v>762</v>
      </c>
      <c r="BJ484" s="431" t="s">
        <v>762</v>
      </c>
      <c r="BK484" s="431" t="s">
        <v>762</v>
      </c>
      <c r="BL484" s="431">
        <v>282</v>
      </c>
      <c r="BM484" s="431" t="s">
        <v>762</v>
      </c>
      <c r="BN484" s="431" t="s">
        <v>762</v>
      </c>
      <c r="BO484" s="431" t="s">
        <v>762</v>
      </c>
      <c r="BP484" s="431" t="s">
        <v>762</v>
      </c>
      <c r="BQ484" s="431" t="s">
        <v>762</v>
      </c>
      <c r="BR484" s="431" t="s">
        <v>762</v>
      </c>
      <c r="BS484" s="431" t="s">
        <v>762</v>
      </c>
      <c r="BT484" s="431" t="s">
        <v>762</v>
      </c>
      <c r="BU484" s="431" t="s">
        <v>762</v>
      </c>
      <c r="BV484" s="431" t="s">
        <v>762</v>
      </c>
      <c r="BW484" s="431" t="s">
        <v>762</v>
      </c>
      <c r="BX484" s="431" t="s">
        <v>762</v>
      </c>
      <c r="BY484" s="431" t="s">
        <v>762</v>
      </c>
      <c r="BZ484" s="431" t="s">
        <v>762</v>
      </c>
      <c r="CA484" s="431" t="s">
        <v>762</v>
      </c>
      <c r="CB484" s="431" t="s">
        <v>762</v>
      </c>
      <c r="CC484" s="431" t="s">
        <v>762</v>
      </c>
      <c r="CD484" s="431" t="s">
        <v>762</v>
      </c>
      <c r="CE484" s="431" t="s">
        <v>762</v>
      </c>
      <c r="CF484" s="431" t="s">
        <v>762</v>
      </c>
      <c r="CG484" s="431" t="s">
        <v>762</v>
      </c>
      <c r="CH484" s="431" t="s">
        <v>762</v>
      </c>
      <c r="CI484" s="431" t="s">
        <v>762</v>
      </c>
      <c r="CJ484" s="431" t="s">
        <v>762</v>
      </c>
      <c r="CK484" s="431" t="s">
        <v>762</v>
      </c>
      <c r="CL484" s="431" t="s">
        <v>762</v>
      </c>
    </row>
    <row r="485" spans="1:90" s="432" customFormat="1">
      <c r="A485" s="430" t="s">
        <v>537</v>
      </c>
      <c r="B485" s="430" t="s">
        <v>631</v>
      </c>
      <c r="C485" s="431" t="s">
        <v>762</v>
      </c>
      <c r="D485" s="431" t="s">
        <v>762</v>
      </c>
      <c r="E485" s="431" t="s">
        <v>762</v>
      </c>
      <c r="F485" s="431" t="s">
        <v>762</v>
      </c>
      <c r="G485" s="431" t="s">
        <v>762</v>
      </c>
      <c r="H485" s="431" t="s">
        <v>762</v>
      </c>
      <c r="I485" s="431" t="s">
        <v>762</v>
      </c>
      <c r="J485" s="431" t="s">
        <v>762</v>
      </c>
      <c r="K485" s="431" t="s">
        <v>762</v>
      </c>
      <c r="L485" s="431">
        <v>27</v>
      </c>
      <c r="M485" s="431" t="s">
        <v>762</v>
      </c>
      <c r="N485" s="431" t="s">
        <v>762</v>
      </c>
      <c r="O485" s="431" t="s">
        <v>762</v>
      </c>
      <c r="P485" s="431" t="s">
        <v>762</v>
      </c>
      <c r="Q485" s="431" t="s">
        <v>762</v>
      </c>
      <c r="R485" s="431" t="s">
        <v>762</v>
      </c>
      <c r="S485" s="431" t="s">
        <v>762</v>
      </c>
      <c r="T485" s="431" t="s">
        <v>762</v>
      </c>
      <c r="U485" s="431" t="s">
        <v>762</v>
      </c>
      <c r="V485" s="431">
        <v>31</v>
      </c>
      <c r="W485" s="431">
        <v>38</v>
      </c>
      <c r="X485" s="431">
        <v>43</v>
      </c>
      <c r="Y485" s="431">
        <v>46</v>
      </c>
      <c r="Z485" s="431">
        <v>53</v>
      </c>
      <c r="AA485" s="431">
        <v>56</v>
      </c>
      <c r="AB485" s="431">
        <v>63</v>
      </c>
      <c r="AC485" s="431">
        <v>65</v>
      </c>
      <c r="AD485" s="431">
        <v>73</v>
      </c>
      <c r="AE485" s="431" t="s">
        <v>762</v>
      </c>
      <c r="AF485" s="431" t="s">
        <v>762</v>
      </c>
      <c r="AG485" s="431">
        <v>141</v>
      </c>
      <c r="AH485" s="431" t="s">
        <v>762</v>
      </c>
      <c r="AI485" s="431">
        <v>141</v>
      </c>
      <c r="AJ485" s="431" t="s">
        <v>762</v>
      </c>
      <c r="AK485" s="431" t="s">
        <v>762</v>
      </c>
      <c r="AL485" s="431">
        <v>141</v>
      </c>
      <c r="AM485" s="431" t="s">
        <v>762</v>
      </c>
      <c r="AN485" s="431" t="s">
        <v>762</v>
      </c>
      <c r="AO485" s="431" t="s">
        <v>762</v>
      </c>
      <c r="AP485" s="431">
        <v>141</v>
      </c>
      <c r="AQ485" s="431" t="s">
        <v>762</v>
      </c>
      <c r="AR485" s="431" t="s">
        <v>762</v>
      </c>
      <c r="AS485" s="431" t="s">
        <v>762</v>
      </c>
      <c r="AT485" s="431">
        <v>141</v>
      </c>
      <c r="AU485" s="431" t="s">
        <v>762</v>
      </c>
      <c r="AV485" s="431" t="s">
        <v>762</v>
      </c>
      <c r="AW485" s="431" t="s">
        <v>762</v>
      </c>
      <c r="AX485" s="431" t="s">
        <v>762</v>
      </c>
      <c r="AY485" s="431" t="s">
        <v>762</v>
      </c>
      <c r="AZ485" s="431" t="s">
        <v>762</v>
      </c>
      <c r="BA485" s="431" t="s">
        <v>762</v>
      </c>
      <c r="BB485" s="431" t="s">
        <v>762</v>
      </c>
      <c r="BC485" s="431" t="s">
        <v>762</v>
      </c>
      <c r="BD485" s="431" t="s">
        <v>762</v>
      </c>
      <c r="BE485" s="431" t="s">
        <v>762</v>
      </c>
      <c r="BF485" s="431">
        <v>219</v>
      </c>
      <c r="BG485" s="431" t="s">
        <v>762</v>
      </c>
      <c r="BH485" s="431" t="s">
        <v>762</v>
      </c>
      <c r="BI485" s="431" t="s">
        <v>762</v>
      </c>
      <c r="BJ485" s="431" t="s">
        <v>762</v>
      </c>
      <c r="BK485" s="431" t="s">
        <v>762</v>
      </c>
      <c r="BL485" s="431">
        <v>276</v>
      </c>
      <c r="BM485" s="431" t="s">
        <v>762</v>
      </c>
      <c r="BN485" s="431" t="s">
        <v>762</v>
      </c>
      <c r="BO485" s="431" t="s">
        <v>762</v>
      </c>
      <c r="BP485" s="431" t="s">
        <v>762</v>
      </c>
      <c r="BQ485" s="431" t="s">
        <v>762</v>
      </c>
      <c r="BR485" s="431" t="s">
        <v>762</v>
      </c>
      <c r="BS485" s="431" t="s">
        <v>762</v>
      </c>
      <c r="BT485" s="431" t="s">
        <v>762</v>
      </c>
      <c r="BU485" s="431" t="s">
        <v>762</v>
      </c>
      <c r="BV485" s="431" t="s">
        <v>762</v>
      </c>
      <c r="BW485" s="431" t="s">
        <v>762</v>
      </c>
      <c r="BX485" s="431" t="s">
        <v>762</v>
      </c>
      <c r="BY485" s="431" t="s">
        <v>762</v>
      </c>
      <c r="BZ485" s="431" t="s">
        <v>762</v>
      </c>
      <c r="CA485" s="431" t="s">
        <v>762</v>
      </c>
      <c r="CB485" s="431" t="s">
        <v>762</v>
      </c>
      <c r="CC485" s="431" t="s">
        <v>762</v>
      </c>
      <c r="CD485" s="431" t="s">
        <v>762</v>
      </c>
      <c r="CE485" s="431" t="s">
        <v>762</v>
      </c>
      <c r="CF485" s="431" t="s">
        <v>762</v>
      </c>
      <c r="CG485" s="431" t="s">
        <v>762</v>
      </c>
      <c r="CH485" s="431" t="s">
        <v>762</v>
      </c>
      <c r="CI485" s="431" t="s">
        <v>762</v>
      </c>
      <c r="CJ485" s="431" t="s">
        <v>762</v>
      </c>
      <c r="CK485" s="431" t="s">
        <v>762</v>
      </c>
      <c r="CL485" s="431" t="s">
        <v>762</v>
      </c>
    </row>
    <row r="486" spans="1:90" s="432" customFormat="1">
      <c r="A486" s="430" t="s">
        <v>538</v>
      </c>
      <c r="B486" s="430" t="s">
        <v>631</v>
      </c>
      <c r="C486" s="431" t="s">
        <v>762</v>
      </c>
      <c r="D486" s="431" t="s">
        <v>762</v>
      </c>
      <c r="E486" s="431" t="s">
        <v>762</v>
      </c>
      <c r="F486" s="431" t="s">
        <v>762</v>
      </c>
      <c r="G486" s="431" t="s">
        <v>762</v>
      </c>
      <c r="H486" s="431" t="s">
        <v>762</v>
      </c>
      <c r="I486" s="431" t="s">
        <v>762</v>
      </c>
      <c r="J486" s="431" t="s">
        <v>762</v>
      </c>
      <c r="K486" s="431" t="s">
        <v>762</v>
      </c>
      <c r="L486" s="431" t="s">
        <v>762</v>
      </c>
      <c r="M486" s="431" t="s">
        <v>762</v>
      </c>
      <c r="N486" s="431" t="s">
        <v>762</v>
      </c>
      <c r="O486" s="431" t="s">
        <v>762</v>
      </c>
      <c r="P486" s="431" t="s">
        <v>762</v>
      </c>
      <c r="Q486" s="431" t="s">
        <v>762</v>
      </c>
      <c r="R486" s="431" t="s">
        <v>762</v>
      </c>
      <c r="S486" s="431" t="s">
        <v>762</v>
      </c>
      <c r="T486" s="431" t="s">
        <v>762</v>
      </c>
      <c r="U486" s="431" t="s">
        <v>762</v>
      </c>
      <c r="V486" s="431" t="s">
        <v>762</v>
      </c>
      <c r="W486" s="431" t="s">
        <v>762</v>
      </c>
      <c r="X486" s="431" t="s">
        <v>762</v>
      </c>
      <c r="Y486" s="431" t="s">
        <v>762</v>
      </c>
      <c r="Z486" s="431" t="s">
        <v>762</v>
      </c>
      <c r="AA486" s="431" t="s">
        <v>762</v>
      </c>
      <c r="AB486" s="431" t="s">
        <v>762</v>
      </c>
      <c r="AC486" s="431" t="s">
        <v>762</v>
      </c>
      <c r="AD486" s="431" t="s">
        <v>762</v>
      </c>
      <c r="AE486" s="431" t="s">
        <v>762</v>
      </c>
      <c r="AF486" s="431" t="s">
        <v>762</v>
      </c>
      <c r="AG486" s="431" t="s">
        <v>762</v>
      </c>
      <c r="AH486" s="431" t="s">
        <v>762</v>
      </c>
      <c r="AI486" s="431" t="s">
        <v>762</v>
      </c>
      <c r="AJ486" s="431" t="s">
        <v>762</v>
      </c>
      <c r="AK486" s="431" t="s">
        <v>762</v>
      </c>
      <c r="AL486" s="431" t="s">
        <v>762</v>
      </c>
      <c r="AM486" s="431" t="s">
        <v>762</v>
      </c>
      <c r="AN486" s="431" t="s">
        <v>762</v>
      </c>
      <c r="AO486" s="431" t="s">
        <v>762</v>
      </c>
      <c r="AP486" s="431" t="s">
        <v>762</v>
      </c>
      <c r="AQ486" s="431" t="s">
        <v>762</v>
      </c>
      <c r="AR486" s="431" t="s">
        <v>762</v>
      </c>
      <c r="AS486" s="431" t="s">
        <v>762</v>
      </c>
      <c r="AT486" s="431" t="s">
        <v>762</v>
      </c>
      <c r="AU486" s="431" t="s">
        <v>762</v>
      </c>
      <c r="AV486" s="431" t="s">
        <v>762</v>
      </c>
      <c r="AW486" s="431" t="s">
        <v>762</v>
      </c>
      <c r="AX486" s="431" t="s">
        <v>762</v>
      </c>
      <c r="AY486" s="431" t="s">
        <v>762</v>
      </c>
      <c r="AZ486" s="431" t="s">
        <v>762</v>
      </c>
      <c r="BA486" s="431" t="s">
        <v>762</v>
      </c>
      <c r="BB486" s="431" t="s">
        <v>762</v>
      </c>
      <c r="BC486" s="431" t="s">
        <v>762</v>
      </c>
      <c r="BD486" s="431" t="s">
        <v>762</v>
      </c>
      <c r="BE486" s="431" t="s">
        <v>762</v>
      </c>
      <c r="BF486" s="431" t="s">
        <v>762</v>
      </c>
      <c r="BG486" s="431" t="s">
        <v>762</v>
      </c>
      <c r="BH486" s="431" t="s">
        <v>762</v>
      </c>
      <c r="BI486" s="431" t="s">
        <v>762</v>
      </c>
      <c r="BJ486" s="431" t="s">
        <v>762</v>
      </c>
      <c r="BK486" s="431" t="s">
        <v>762</v>
      </c>
      <c r="BL486" s="431" t="s">
        <v>762</v>
      </c>
      <c r="BM486" s="431" t="s">
        <v>762</v>
      </c>
      <c r="BN486" s="431" t="s">
        <v>762</v>
      </c>
      <c r="BO486" s="431" t="s">
        <v>762</v>
      </c>
      <c r="BP486" s="431" t="s">
        <v>762</v>
      </c>
      <c r="BQ486" s="431" t="s">
        <v>762</v>
      </c>
      <c r="BR486" s="431" t="s">
        <v>762</v>
      </c>
      <c r="BS486" s="431" t="s">
        <v>762</v>
      </c>
      <c r="BT486" s="431" t="s">
        <v>762</v>
      </c>
      <c r="BU486" s="431" t="s">
        <v>762</v>
      </c>
      <c r="BV486" s="431" t="s">
        <v>762</v>
      </c>
      <c r="BW486" s="431" t="s">
        <v>762</v>
      </c>
      <c r="BX486" s="431" t="s">
        <v>762</v>
      </c>
      <c r="BY486" s="431" t="s">
        <v>762</v>
      </c>
      <c r="BZ486" s="431" t="s">
        <v>762</v>
      </c>
      <c r="CA486" s="431" t="s">
        <v>762</v>
      </c>
      <c r="CB486" s="431" t="s">
        <v>762</v>
      </c>
      <c r="CC486" s="431" t="s">
        <v>762</v>
      </c>
      <c r="CD486" s="431" t="s">
        <v>762</v>
      </c>
      <c r="CE486" s="431" t="s">
        <v>762</v>
      </c>
      <c r="CF486" s="431" t="s">
        <v>762</v>
      </c>
      <c r="CG486" s="431" t="s">
        <v>762</v>
      </c>
      <c r="CH486" s="431" t="s">
        <v>762</v>
      </c>
      <c r="CI486" s="431" t="s">
        <v>762</v>
      </c>
      <c r="CJ486" s="431" t="s">
        <v>762</v>
      </c>
      <c r="CK486" s="431" t="s">
        <v>762</v>
      </c>
      <c r="CL486" s="431" t="s">
        <v>762</v>
      </c>
    </row>
    <row r="487" spans="1:90" s="432" customFormat="1">
      <c r="A487" s="430" t="s">
        <v>539</v>
      </c>
      <c r="B487" s="430" t="s">
        <v>631</v>
      </c>
      <c r="C487" s="431" t="s">
        <v>762</v>
      </c>
      <c r="D487" s="431" t="s">
        <v>762</v>
      </c>
      <c r="E487" s="431" t="s">
        <v>762</v>
      </c>
      <c r="F487" s="431" t="s">
        <v>762</v>
      </c>
      <c r="G487" s="431" t="s">
        <v>762</v>
      </c>
      <c r="H487" s="431" t="s">
        <v>762</v>
      </c>
      <c r="I487" s="431" t="s">
        <v>762</v>
      </c>
      <c r="J487" s="431" t="s">
        <v>762</v>
      </c>
      <c r="K487" s="431" t="s">
        <v>762</v>
      </c>
      <c r="L487" s="431">
        <v>35</v>
      </c>
      <c r="M487" s="431" t="s">
        <v>762</v>
      </c>
      <c r="N487" s="431" t="s">
        <v>762</v>
      </c>
      <c r="O487" s="431" t="s">
        <v>762</v>
      </c>
      <c r="P487" s="431" t="s">
        <v>762</v>
      </c>
      <c r="Q487" s="431" t="s">
        <v>762</v>
      </c>
      <c r="R487" s="431" t="s">
        <v>762</v>
      </c>
      <c r="S487" s="431" t="s">
        <v>762</v>
      </c>
      <c r="T487" s="431" t="s">
        <v>762</v>
      </c>
      <c r="U487" s="431" t="s">
        <v>762</v>
      </c>
      <c r="V487" s="431">
        <v>41</v>
      </c>
      <c r="W487" s="431">
        <v>46</v>
      </c>
      <c r="X487" s="431">
        <v>54</v>
      </c>
      <c r="Y487" s="431">
        <v>64</v>
      </c>
      <c r="Z487" s="431">
        <v>70</v>
      </c>
      <c r="AA487" s="431">
        <v>81</v>
      </c>
      <c r="AB487" s="431">
        <v>86</v>
      </c>
      <c r="AC487" s="431">
        <v>96</v>
      </c>
      <c r="AD487" s="431">
        <v>102</v>
      </c>
      <c r="AE487" s="431" t="s">
        <v>762</v>
      </c>
      <c r="AF487" s="431" t="s">
        <v>762</v>
      </c>
      <c r="AG487" s="431">
        <v>154</v>
      </c>
      <c r="AH487" s="431" t="s">
        <v>762</v>
      </c>
      <c r="AI487" s="431">
        <v>154</v>
      </c>
      <c r="AJ487" s="431" t="s">
        <v>762</v>
      </c>
      <c r="AK487" s="431" t="s">
        <v>762</v>
      </c>
      <c r="AL487" s="431">
        <v>154</v>
      </c>
      <c r="AM487" s="431" t="s">
        <v>762</v>
      </c>
      <c r="AN487" s="431" t="s">
        <v>762</v>
      </c>
      <c r="AO487" s="431" t="s">
        <v>762</v>
      </c>
      <c r="AP487" s="431">
        <v>154</v>
      </c>
      <c r="AQ487" s="431" t="s">
        <v>762</v>
      </c>
      <c r="AR487" s="431" t="s">
        <v>762</v>
      </c>
      <c r="AS487" s="431" t="s">
        <v>762</v>
      </c>
      <c r="AT487" s="431">
        <v>154</v>
      </c>
      <c r="AU487" s="431" t="s">
        <v>762</v>
      </c>
      <c r="AV487" s="431" t="s">
        <v>762</v>
      </c>
      <c r="AW487" s="431" t="s">
        <v>762</v>
      </c>
      <c r="AX487" s="431" t="s">
        <v>762</v>
      </c>
      <c r="AY487" s="431" t="s">
        <v>762</v>
      </c>
      <c r="AZ487" s="431" t="s">
        <v>762</v>
      </c>
      <c r="BA487" s="431" t="s">
        <v>762</v>
      </c>
      <c r="BB487" s="431" t="s">
        <v>762</v>
      </c>
      <c r="BC487" s="431" t="s">
        <v>762</v>
      </c>
      <c r="BD487" s="431" t="s">
        <v>762</v>
      </c>
      <c r="BE487" s="431" t="s">
        <v>762</v>
      </c>
      <c r="BF487" s="431">
        <v>224</v>
      </c>
      <c r="BG487" s="431" t="s">
        <v>762</v>
      </c>
      <c r="BH487" s="431" t="s">
        <v>762</v>
      </c>
      <c r="BI487" s="431" t="s">
        <v>762</v>
      </c>
      <c r="BJ487" s="431" t="s">
        <v>762</v>
      </c>
      <c r="BK487" s="431" t="s">
        <v>762</v>
      </c>
      <c r="BL487" s="431">
        <v>267</v>
      </c>
      <c r="BM487" s="431" t="s">
        <v>762</v>
      </c>
      <c r="BN487" s="431" t="s">
        <v>762</v>
      </c>
      <c r="BO487" s="431" t="s">
        <v>762</v>
      </c>
      <c r="BP487" s="431" t="s">
        <v>762</v>
      </c>
      <c r="BQ487" s="431" t="s">
        <v>762</v>
      </c>
      <c r="BR487" s="431" t="s">
        <v>762</v>
      </c>
      <c r="BS487" s="431" t="s">
        <v>762</v>
      </c>
      <c r="BT487" s="431" t="s">
        <v>762</v>
      </c>
      <c r="BU487" s="431" t="s">
        <v>762</v>
      </c>
      <c r="BV487" s="431" t="s">
        <v>762</v>
      </c>
      <c r="BW487" s="431" t="s">
        <v>762</v>
      </c>
      <c r="BX487" s="431" t="s">
        <v>762</v>
      </c>
      <c r="BY487" s="431" t="s">
        <v>762</v>
      </c>
      <c r="BZ487" s="431" t="s">
        <v>762</v>
      </c>
      <c r="CA487" s="431" t="s">
        <v>762</v>
      </c>
      <c r="CB487" s="431" t="s">
        <v>762</v>
      </c>
      <c r="CC487" s="431" t="s">
        <v>762</v>
      </c>
      <c r="CD487" s="431" t="s">
        <v>762</v>
      </c>
      <c r="CE487" s="431" t="s">
        <v>762</v>
      </c>
      <c r="CF487" s="431" t="s">
        <v>762</v>
      </c>
      <c r="CG487" s="431" t="s">
        <v>762</v>
      </c>
      <c r="CH487" s="431" t="s">
        <v>762</v>
      </c>
      <c r="CI487" s="431" t="s">
        <v>762</v>
      </c>
      <c r="CJ487" s="431" t="s">
        <v>762</v>
      </c>
      <c r="CK487" s="431" t="s">
        <v>762</v>
      </c>
      <c r="CL487" s="431" t="s">
        <v>762</v>
      </c>
    </row>
    <row r="488" spans="1:90" s="432" customFormat="1">
      <c r="A488" s="430" t="s">
        <v>540</v>
      </c>
      <c r="B488" s="430" t="s">
        <v>631</v>
      </c>
      <c r="C488" s="431" t="s">
        <v>762</v>
      </c>
      <c r="D488" s="431" t="s">
        <v>762</v>
      </c>
      <c r="E488" s="431" t="s">
        <v>762</v>
      </c>
      <c r="F488" s="431" t="s">
        <v>762</v>
      </c>
      <c r="G488" s="431" t="s">
        <v>762</v>
      </c>
      <c r="H488" s="431" t="s">
        <v>762</v>
      </c>
      <c r="I488" s="431" t="s">
        <v>762</v>
      </c>
      <c r="J488" s="431" t="s">
        <v>762</v>
      </c>
      <c r="K488" s="431" t="s">
        <v>762</v>
      </c>
      <c r="L488" s="431">
        <v>25</v>
      </c>
      <c r="M488" s="431" t="s">
        <v>762</v>
      </c>
      <c r="N488" s="431" t="s">
        <v>762</v>
      </c>
      <c r="O488" s="431" t="s">
        <v>762</v>
      </c>
      <c r="P488" s="431" t="s">
        <v>762</v>
      </c>
      <c r="Q488" s="431" t="s">
        <v>762</v>
      </c>
      <c r="R488" s="431" t="s">
        <v>762</v>
      </c>
      <c r="S488" s="431" t="s">
        <v>762</v>
      </c>
      <c r="T488" s="431" t="s">
        <v>762</v>
      </c>
      <c r="U488" s="431" t="s">
        <v>762</v>
      </c>
      <c r="V488" s="431">
        <v>30</v>
      </c>
      <c r="W488" s="431">
        <v>37</v>
      </c>
      <c r="X488" s="431">
        <v>43</v>
      </c>
      <c r="Y488" s="431">
        <v>46</v>
      </c>
      <c r="Z488" s="431">
        <v>51</v>
      </c>
      <c r="AA488" s="431">
        <v>55</v>
      </c>
      <c r="AB488" s="431">
        <v>61</v>
      </c>
      <c r="AC488" s="431">
        <v>64</v>
      </c>
      <c r="AD488" s="431">
        <v>70</v>
      </c>
      <c r="AE488" s="431" t="s">
        <v>762</v>
      </c>
      <c r="AF488" s="431" t="s">
        <v>762</v>
      </c>
      <c r="AG488" s="431">
        <v>165</v>
      </c>
      <c r="AH488" s="431" t="s">
        <v>762</v>
      </c>
      <c r="AI488" s="431">
        <v>165</v>
      </c>
      <c r="AJ488" s="431" t="s">
        <v>762</v>
      </c>
      <c r="AK488" s="431" t="s">
        <v>762</v>
      </c>
      <c r="AL488" s="431">
        <v>165</v>
      </c>
      <c r="AM488" s="431" t="s">
        <v>762</v>
      </c>
      <c r="AN488" s="431" t="s">
        <v>762</v>
      </c>
      <c r="AO488" s="431" t="s">
        <v>762</v>
      </c>
      <c r="AP488" s="431">
        <v>165</v>
      </c>
      <c r="AQ488" s="431" t="s">
        <v>762</v>
      </c>
      <c r="AR488" s="431" t="s">
        <v>762</v>
      </c>
      <c r="AS488" s="431" t="s">
        <v>762</v>
      </c>
      <c r="AT488" s="431">
        <v>165</v>
      </c>
      <c r="AU488" s="431" t="s">
        <v>762</v>
      </c>
      <c r="AV488" s="431" t="s">
        <v>762</v>
      </c>
      <c r="AW488" s="431" t="s">
        <v>762</v>
      </c>
      <c r="AX488" s="431" t="s">
        <v>762</v>
      </c>
      <c r="AY488" s="431" t="s">
        <v>762</v>
      </c>
      <c r="AZ488" s="431" t="s">
        <v>762</v>
      </c>
      <c r="BA488" s="431" t="s">
        <v>762</v>
      </c>
      <c r="BB488" s="431" t="s">
        <v>762</v>
      </c>
      <c r="BC488" s="431" t="s">
        <v>762</v>
      </c>
      <c r="BD488" s="431" t="s">
        <v>762</v>
      </c>
      <c r="BE488" s="431" t="s">
        <v>762</v>
      </c>
      <c r="BF488" s="431">
        <v>267</v>
      </c>
      <c r="BG488" s="431" t="s">
        <v>762</v>
      </c>
      <c r="BH488" s="431" t="s">
        <v>762</v>
      </c>
      <c r="BI488" s="431" t="s">
        <v>762</v>
      </c>
      <c r="BJ488" s="431" t="s">
        <v>762</v>
      </c>
      <c r="BK488" s="431" t="s">
        <v>762</v>
      </c>
      <c r="BL488" s="431">
        <v>342</v>
      </c>
      <c r="BM488" s="431" t="s">
        <v>762</v>
      </c>
      <c r="BN488" s="431" t="s">
        <v>762</v>
      </c>
      <c r="BO488" s="431" t="s">
        <v>762</v>
      </c>
      <c r="BP488" s="431" t="s">
        <v>762</v>
      </c>
      <c r="BQ488" s="431" t="s">
        <v>762</v>
      </c>
      <c r="BR488" s="431" t="s">
        <v>762</v>
      </c>
      <c r="BS488" s="431" t="s">
        <v>762</v>
      </c>
      <c r="BT488" s="431" t="s">
        <v>762</v>
      </c>
      <c r="BU488" s="431" t="s">
        <v>762</v>
      </c>
      <c r="BV488" s="431" t="s">
        <v>762</v>
      </c>
      <c r="BW488" s="431" t="s">
        <v>762</v>
      </c>
      <c r="BX488" s="431" t="s">
        <v>762</v>
      </c>
      <c r="BY488" s="431" t="s">
        <v>762</v>
      </c>
      <c r="BZ488" s="431" t="s">
        <v>762</v>
      </c>
      <c r="CA488" s="431" t="s">
        <v>762</v>
      </c>
      <c r="CB488" s="431" t="s">
        <v>762</v>
      </c>
      <c r="CC488" s="431" t="s">
        <v>762</v>
      </c>
      <c r="CD488" s="431" t="s">
        <v>762</v>
      </c>
      <c r="CE488" s="431" t="s">
        <v>762</v>
      </c>
      <c r="CF488" s="431" t="s">
        <v>762</v>
      </c>
      <c r="CG488" s="431" t="s">
        <v>762</v>
      </c>
      <c r="CH488" s="431" t="s">
        <v>762</v>
      </c>
      <c r="CI488" s="431" t="s">
        <v>762</v>
      </c>
      <c r="CJ488" s="431" t="s">
        <v>762</v>
      </c>
      <c r="CK488" s="431" t="s">
        <v>762</v>
      </c>
      <c r="CL488" s="431" t="s">
        <v>762</v>
      </c>
    </row>
    <row r="489" spans="1:90" s="432" customFormat="1">
      <c r="A489" s="430" t="s">
        <v>541</v>
      </c>
      <c r="B489" s="430" t="s">
        <v>631</v>
      </c>
      <c r="C489" s="431" t="s">
        <v>762</v>
      </c>
      <c r="D489" s="431" t="s">
        <v>762</v>
      </c>
      <c r="E489" s="431" t="s">
        <v>762</v>
      </c>
      <c r="F489" s="431" t="s">
        <v>762</v>
      </c>
      <c r="G489" s="431" t="s">
        <v>762</v>
      </c>
      <c r="H489" s="431" t="s">
        <v>762</v>
      </c>
      <c r="I489" s="431" t="s">
        <v>762</v>
      </c>
      <c r="J489" s="431" t="s">
        <v>762</v>
      </c>
      <c r="K489" s="431" t="s">
        <v>762</v>
      </c>
      <c r="L489" s="431">
        <v>39</v>
      </c>
      <c r="M489" s="431" t="s">
        <v>762</v>
      </c>
      <c r="N489" s="431" t="s">
        <v>762</v>
      </c>
      <c r="O489" s="431" t="s">
        <v>762</v>
      </c>
      <c r="P489" s="431" t="s">
        <v>762</v>
      </c>
      <c r="Q489" s="431" t="s">
        <v>762</v>
      </c>
      <c r="R489" s="431" t="s">
        <v>762</v>
      </c>
      <c r="S489" s="431" t="s">
        <v>762</v>
      </c>
      <c r="T489" s="431" t="s">
        <v>762</v>
      </c>
      <c r="U489" s="431" t="s">
        <v>762</v>
      </c>
      <c r="V489" s="431">
        <v>44</v>
      </c>
      <c r="W489" s="431">
        <v>54</v>
      </c>
      <c r="X489" s="431">
        <v>60</v>
      </c>
      <c r="Y489" s="431">
        <v>65</v>
      </c>
      <c r="Z489" s="431">
        <v>73</v>
      </c>
      <c r="AA489" s="431">
        <v>78</v>
      </c>
      <c r="AB489" s="431">
        <v>88</v>
      </c>
      <c r="AC489" s="431">
        <v>93</v>
      </c>
      <c r="AD489" s="431">
        <v>97</v>
      </c>
      <c r="AE489" s="431" t="s">
        <v>762</v>
      </c>
      <c r="AF489" s="431" t="s">
        <v>762</v>
      </c>
      <c r="AG489" s="431">
        <v>164</v>
      </c>
      <c r="AH489" s="431" t="s">
        <v>762</v>
      </c>
      <c r="AI489" s="431">
        <v>164</v>
      </c>
      <c r="AJ489" s="431" t="s">
        <v>762</v>
      </c>
      <c r="AK489" s="431" t="s">
        <v>762</v>
      </c>
      <c r="AL489" s="431">
        <v>164</v>
      </c>
      <c r="AM489" s="431" t="s">
        <v>762</v>
      </c>
      <c r="AN489" s="431" t="s">
        <v>762</v>
      </c>
      <c r="AO489" s="431" t="s">
        <v>762</v>
      </c>
      <c r="AP489" s="431">
        <v>164</v>
      </c>
      <c r="AQ489" s="431" t="s">
        <v>762</v>
      </c>
      <c r="AR489" s="431" t="s">
        <v>762</v>
      </c>
      <c r="AS489" s="431" t="s">
        <v>762</v>
      </c>
      <c r="AT489" s="431">
        <v>164</v>
      </c>
      <c r="AU489" s="431" t="s">
        <v>762</v>
      </c>
      <c r="AV489" s="431" t="s">
        <v>762</v>
      </c>
      <c r="AW489" s="431" t="s">
        <v>762</v>
      </c>
      <c r="AX489" s="431" t="s">
        <v>762</v>
      </c>
      <c r="AY489" s="431" t="s">
        <v>762</v>
      </c>
      <c r="AZ489" s="431" t="s">
        <v>762</v>
      </c>
      <c r="BA489" s="431" t="s">
        <v>762</v>
      </c>
      <c r="BB489" s="431" t="s">
        <v>762</v>
      </c>
      <c r="BC489" s="431" t="s">
        <v>762</v>
      </c>
      <c r="BD489" s="431" t="s">
        <v>762</v>
      </c>
      <c r="BE489" s="431" t="s">
        <v>762</v>
      </c>
      <c r="BF489" s="431">
        <v>224</v>
      </c>
      <c r="BG489" s="431" t="s">
        <v>762</v>
      </c>
      <c r="BH489" s="431" t="s">
        <v>762</v>
      </c>
      <c r="BI489" s="431" t="s">
        <v>762</v>
      </c>
      <c r="BJ489" s="431" t="s">
        <v>762</v>
      </c>
      <c r="BK489" s="431" t="s">
        <v>762</v>
      </c>
      <c r="BL489" s="431">
        <v>263</v>
      </c>
      <c r="BM489" s="431" t="s">
        <v>762</v>
      </c>
      <c r="BN489" s="431" t="s">
        <v>762</v>
      </c>
      <c r="BO489" s="431" t="s">
        <v>762</v>
      </c>
      <c r="BP489" s="431" t="s">
        <v>762</v>
      </c>
      <c r="BQ489" s="431" t="s">
        <v>762</v>
      </c>
      <c r="BR489" s="431" t="s">
        <v>762</v>
      </c>
      <c r="BS489" s="431" t="s">
        <v>762</v>
      </c>
      <c r="BT489" s="431" t="s">
        <v>762</v>
      </c>
      <c r="BU489" s="431" t="s">
        <v>762</v>
      </c>
      <c r="BV489" s="431" t="s">
        <v>762</v>
      </c>
      <c r="BW489" s="431" t="s">
        <v>762</v>
      </c>
      <c r="BX489" s="431" t="s">
        <v>762</v>
      </c>
      <c r="BY489" s="431" t="s">
        <v>762</v>
      </c>
      <c r="BZ489" s="431" t="s">
        <v>762</v>
      </c>
      <c r="CA489" s="431" t="s">
        <v>762</v>
      </c>
      <c r="CB489" s="431" t="s">
        <v>762</v>
      </c>
      <c r="CC489" s="431" t="s">
        <v>762</v>
      </c>
      <c r="CD489" s="431" t="s">
        <v>762</v>
      </c>
      <c r="CE489" s="431" t="s">
        <v>762</v>
      </c>
      <c r="CF489" s="431" t="s">
        <v>762</v>
      </c>
      <c r="CG489" s="431" t="s">
        <v>762</v>
      </c>
      <c r="CH489" s="431" t="s">
        <v>762</v>
      </c>
      <c r="CI489" s="431" t="s">
        <v>762</v>
      </c>
      <c r="CJ489" s="431" t="s">
        <v>762</v>
      </c>
      <c r="CK489" s="431" t="s">
        <v>762</v>
      </c>
      <c r="CL489" s="431" t="s">
        <v>762</v>
      </c>
    </row>
    <row r="490" spans="1:90" s="432" customFormat="1">
      <c r="A490" s="430" t="s">
        <v>542</v>
      </c>
      <c r="B490" s="430" t="s">
        <v>631</v>
      </c>
      <c r="C490" s="431" t="s">
        <v>762</v>
      </c>
      <c r="D490" s="431" t="s">
        <v>762</v>
      </c>
      <c r="E490" s="431" t="s">
        <v>762</v>
      </c>
      <c r="F490" s="431" t="s">
        <v>762</v>
      </c>
      <c r="G490" s="431" t="s">
        <v>762</v>
      </c>
      <c r="H490" s="431" t="s">
        <v>762</v>
      </c>
      <c r="I490" s="431" t="s">
        <v>762</v>
      </c>
      <c r="J490" s="431" t="s">
        <v>762</v>
      </c>
      <c r="K490" s="431" t="s">
        <v>762</v>
      </c>
      <c r="L490" s="431">
        <v>31</v>
      </c>
      <c r="M490" s="431" t="s">
        <v>762</v>
      </c>
      <c r="N490" s="431" t="s">
        <v>762</v>
      </c>
      <c r="O490" s="431" t="s">
        <v>762</v>
      </c>
      <c r="P490" s="431" t="s">
        <v>762</v>
      </c>
      <c r="Q490" s="431" t="s">
        <v>762</v>
      </c>
      <c r="R490" s="431" t="s">
        <v>762</v>
      </c>
      <c r="S490" s="431" t="s">
        <v>762</v>
      </c>
      <c r="T490" s="431" t="s">
        <v>762</v>
      </c>
      <c r="U490" s="431" t="s">
        <v>762</v>
      </c>
      <c r="V490" s="431">
        <v>37</v>
      </c>
      <c r="W490" s="431">
        <v>42</v>
      </c>
      <c r="X490" s="431">
        <v>48</v>
      </c>
      <c r="Y490" s="431">
        <v>55</v>
      </c>
      <c r="Z490" s="431">
        <v>61</v>
      </c>
      <c r="AA490" s="431">
        <v>67</v>
      </c>
      <c r="AB490" s="431">
        <v>73</v>
      </c>
      <c r="AC490" s="431">
        <v>79</v>
      </c>
      <c r="AD490" s="431">
        <v>86</v>
      </c>
      <c r="AE490" s="431" t="s">
        <v>762</v>
      </c>
      <c r="AF490" s="431" t="s">
        <v>762</v>
      </c>
      <c r="AG490" s="431">
        <v>176</v>
      </c>
      <c r="AH490" s="431" t="s">
        <v>762</v>
      </c>
      <c r="AI490" s="431">
        <v>176</v>
      </c>
      <c r="AJ490" s="431" t="s">
        <v>762</v>
      </c>
      <c r="AK490" s="431" t="s">
        <v>762</v>
      </c>
      <c r="AL490" s="431">
        <v>176</v>
      </c>
      <c r="AM490" s="431" t="s">
        <v>762</v>
      </c>
      <c r="AN490" s="431" t="s">
        <v>762</v>
      </c>
      <c r="AO490" s="431" t="s">
        <v>762</v>
      </c>
      <c r="AP490" s="431">
        <v>176</v>
      </c>
      <c r="AQ490" s="431" t="s">
        <v>762</v>
      </c>
      <c r="AR490" s="431" t="s">
        <v>762</v>
      </c>
      <c r="AS490" s="431" t="s">
        <v>762</v>
      </c>
      <c r="AT490" s="431">
        <v>176</v>
      </c>
      <c r="AU490" s="431" t="s">
        <v>762</v>
      </c>
      <c r="AV490" s="431" t="s">
        <v>762</v>
      </c>
      <c r="AW490" s="431" t="s">
        <v>762</v>
      </c>
      <c r="AX490" s="431" t="s">
        <v>762</v>
      </c>
      <c r="AY490" s="431" t="s">
        <v>762</v>
      </c>
      <c r="AZ490" s="431" t="s">
        <v>762</v>
      </c>
      <c r="BA490" s="431" t="s">
        <v>762</v>
      </c>
      <c r="BB490" s="431" t="s">
        <v>762</v>
      </c>
      <c r="BC490" s="431" t="s">
        <v>762</v>
      </c>
      <c r="BD490" s="431" t="s">
        <v>762</v>
      </c>
      <c r="BE490" s="431" t="s">
        <v>762</v>
      </c>
      <c r="BF490" s="431">
        <v>289</v>
      </c>
      <c r="BG490" s="431" t="s">
        <v>762</v>
      </c>
      <c r="BH490" s="431" t="s">
        <v>762</v>
      </c>
      <c r="BI490" s="431" t="s">
        <v>762</v>
      </c>
      <c r="BJ490" s="431" t="s">
        <v>762</v>
      </c>
      <c r="BK490" s="431" t="s">
        <v>762</v>
      </c>
      <c r="BL490" s="431">
        <v>387</v>
      </c>
      <c r="BM490" s="431" t="s">
        <v>762</v>
      </c>
      <c r="BN490" s="431" t="s">
        <v>762</v>
      </c>
      <c r="BO490" s="431" t="s">
        <v>762</v>
      </c>
      <c r="BP490" s="431" t="s">
        <v>762</v>
      </c>
      <c r="BQ490" s="431" t="s">
        <v>762</v>
      </c>
      <c r="BR490" s="431" t="s">
        <v>762</v>
      </c>
      <c r="BS490" s="431" t="s">
        <v>762</v>
      </c>
      <c r="BT490" s="431" t="s">
        <v>762</v>
      </c>
      <c r="BU490" s="431" t="s">
        <v>762</v>
      </c>
      <c r="BV490" s="431" t="s">
        <v>762</v>
      </c>
      <c r="BW490" s="431" t="s">
        <v>762</v>
      </c>
      <c r="BX490" s="431" t="s">
        <v>762</v>
      </c>
      <c r="BY490" s="431" t="s">
        <v>762</v>
      </c>
      <c r="BZ490" s="431" t="s">
        <v>762</v>
      </c>
      <c r="CA490" s="431" t="s">
        <v>762</v>
      </c>
      <c r="CB490" s="431" t="s">
        <v>762</v>
      </c>
      <c r="CC490" s="431" t="s">
        <v>762</v>
      </c>
      <c r="CD490" s="431" t="s">
        <v>762</v>
      </c>
      <c r="CE490" s="431" t="s">
        <v>762</v>
      </c>
      <c r="CF490" s="431" t="s">
        <v>762</v>
      </c>
      <c r="CG490" s="431" t="s">
        <v>762</v>
      </c>
      <c r="CH490" s="431" t="s">
        <v>762</v>
      </c>
      <c r="CI490" s="431" t="s">
        <v>762</v>
      </c>
      <c r="CJ490" s="431" t="s">
        <v>762</v>
      </c>
      <c r="CK490" s="431" t="s">
        <v>762</v>
      </c>
      <c r="CL490" s="431" t="s">
        <v>762</v>
      </c>
    </row>
    <row r="491" spans="1:90" s="432" customFormat="1">
      <c r="A491" s="430" t="s">
        <v>543</v>
      </c>
      <c r="B491" s="430" t="s">
        <v>631</v>
      </c>
      <c r="C491" s="431" t="s">
        <v>762</v>
      </c>
      <c r="D491" s="431" t="s">
        <v>762</v>
      </c>
      <c r="E491" s="431" t="s">
        <v>762</v>
      </c>
      <c r="F491" s="431" t="s">
        <v>762</v>
      </c>
      <c r="G491" s="431" t="s">
        <v>762</v>
      </c>
      <c r="H491" s="431" t="s">
        <v>762</v>
      </c>
      <c r="I491" s="431" t="s">
        <v>762</v>
      </c>
      <c r="J491" s="431" t="s">
        <v>762</v>
      </c>
      <c r="K491" s="431" t="s">
        <v>762</v>
      </c>
      <c r="L491" s="431">
        <v>21</v>
      </c>
      <c r="M491" s="431" t="s">
        <v>762</v>
      </c>
      <c r="N491" s="431" t="s">
        <v>762</v>
      </c>
      <c r="O491" s="431" t="s">
        <v>762</v>
      </c>
      <c r="P491" s="431" t="s">
        <v>762</v>
      </c>
      <c r="Q491" s="431" t="s">
        <v>762</v>
      </c>
      <c r="R491" s="431" t="s">
        <v>762</v>
      </c>
      <c r="S491" s="431" t="s">
        <v>762</v>
      </c>
      <c r="T491" s="431" t="s">
        <v>762</v>
      </c>
      <c r="U491" s="431" t="s">
        <v>762</v>
      </c>
      <c r="V491" s="431">
        <v>25</v>
      </c>
      <c r="W491" s="431">
        <v>29</v>
      </c>
      <c r="X491" s="431">
        <v>30</v>
      </c>
      <c r="Y491" s="431">
        <v>34</v>
      </c>
      <c r="Z491" s="431">
        <v>35</v>
      </c>
      <c r="AA491" s="431">
        <v>39</v>
      </c>
      <c r="AB491" s="431">
        <v>40</v>
      </c>
      <c r="AC491" s="431">
        <v>42</v>
      </c>
      <c r="AD491" s="431">
        <v>43</v>
      </c>
      <c r="AE491" s="431" t="s">
        <v>762</v>
      </c>
      <c r="AF491" s="431" t="s">
        <v>762</v>
      </c>
      <c r="AG491" s="431">
        <v>126</v>
      </c>
      <c r="AH491" s="431" t="s">
        <v>762</v>
      </c>
      <c r="AI491" s="431">
        <v>126</v>
      </c>
      <c r="AJ491" s="431" t="s">
        <v>762</v>
      </c>
      <c r="AK491" s="431" t="s">
        <v>762</v>
      </c>
      <c r="AL491" s="431">
        <v>126</v>
      </c>
      <c r="AM491" s="431" t="s">
        <v>762</v>
      </c>
      <c r="AN491" s="431" t="s">
        <v>762</v>
      </c>
      <c r="AO491" s="431" t="s">
        <v>762</v>
      </c>
      <c r="AP491" s="431">
        <v>126</v>
      </c>
      <c r="AQ491" s="431" t="s">
        <v>762</v>
      </c>
      <c r="AR491" s="431" t="s">
        <v>762</v>
      </c>
      <c r="AS491" s="431" t="s">
        <v>762</v>
      </c>
      <c r="AT491" s="431">
        <v>126</v>
      </c>
      <c r="AU491" s="431" t="s">
        <v>762</v>
      </c>
      <c r="AV491" s="431" t="s">
        <v>762</v>
      </c>
      <c r="AW491" s="431" t="s">
        <v>762</v>
      </c>
      <c r="AX491" s="431" t="s">
        <v>762</v>
      </c>
      <c r="AY491" s="431" t="s">
        <v>762</v>
      </c>
      <c r="AZ491" s="431" t="s">
        <v>762</v>
      </c>
      <c r="BA491" s="431" t="s">
        <v>762</v>
      </c>
      <c r="BB491" s="431" t="s">
        <v>762</v>
      </c>
      <c r="BC491" s="431" t="s">
        <v>762</v>
      </c>
      <c r="BD491" s="431" t="s">
        <v>762</v>
      </c>
      <c r="BE491" s="431" t="s">
        <v>762</v>
      </c>
      <c r="BF491" s="431">
        <v>197</v>
      </c>
      <c r="BG491" s="431" t="s">
        <v>762</v>
      </c>
      <c r="BH491" s="431" t="s">
        <v>762</v>
      </c>
      <c r="BI491" s="431" t="s">
        <v>762</v>
      </c>
      <c r="BJ491" s="431" t="s">
        <v>762</v>
      </c>
      <c r="BK491" s="431" t="s">
        <v>762</v>
      </c>
      <c r="BL491" s="431">
        <v>248</v>
      </c>
      <c r="BM491" s="431" t="s">
        <v>762</v>
      </c>
      <c r="BN491" s="431" t="s">
        <v>762</v>
      </c>
      <c r="BO491" s="431" t="s">
        <v>762</v>
      </c>
      <c r="BP491" s="431" t="s">
        <v>762</v>
      </c>
      <c r="BQ491" s="431" t="s">
        <v>762</v>
      </c>
      <c r="BR491" s="431" t="s">
        <v>762</v>
      </c>
      <c r="BS491" s="431" t="s">
        <v>762</v>
      </c>
      <c r="BT491" s="431" t="s">
        <v>762</v>
      </c>
      <c r="BU491" s="431" t="s">
        <v>762</v>
      </c>
      <c r="BV491" s="431" t="s">
        <v>762</v>
      </c>
      <c r="BW491" s="431" t="s">
        <v>762</v>
      </c>
      <c r="BX491" s="431" t="s">
        <v>762</v>
      </c>
      <c r="BY491" s="431" t="s">
        <v>762</v>
      </c>
      <c r="BZ491" s="431" t="s">
        <v>762</v>
      </c>
      <c r="CA491" s="431" t="s">
        <v>762</v>
      </c>
      <c r="CB491" s="431" t="s">
        <v>762</v>
      </c>
      <c r="CC491" s="431" t="s">
        <v>762</v>
      </c>
      <c r="CD491" s="431" t="s">
        <v>762</v>
      </c>
      <c r="CE491" s="431" t="s">
        <v>762</v>
      </c>
      <c r="CF491" s="431" t="s">
        <v>762</v>
      </c>
      <c r="CG491" s="431" t="s">
        <v>762</v>
      </c>
      <c r="CH491" s="431" t="s">
        <v>762</v>
      </c>
      <c r="CI491" s="431" t="s">
        <v>762</v>
      </c>
      <c r="CJ491" s="431" t="s">
        <v>762</v>
      </c>
      <c r="CK491" s="431" t="s">
        <v>762</v>
      </c>
      <c r="CL491" s="431" t="s">
        <v>762</v>
      </c>
    </row>
    <row r="492" spans="1:90" s="432" customFormat="1">
      <c r="A492" s="430" t="s">
        <v>544</v>
      </c>
      <c r="B492" s="430" t="s">
        <v>631</v>
      </c>
      <c r="C492" s="431" t="s">
        <v>762</v>
      </c>
      <c r="D492" s="431" t="s">
        <v>762</v>
      </c>
      <c r="E492" s="431" t="s">
        <v>762</v>
      </c>
      <c r="F492" s="431" t="s">
        <v>762</v>
      </c>
      <c r="G492" s="431" t="s">
        <v>762</v>
      </c>
      <c r="H492" s="431" t="s">
        <v>762</v>
      </c>
      <c r="I492" s="431" t="s">
        <v>762</v>
      </c>
      <c r="J492" s="431" t="s">
        <v>762</v>
      </c>
      <c r="K492" s="431" t="s">
        <v>762</v>
      </c>
      <c r="L492" s="431">
        <v>22</v>
      </c>
      <c r="M492" s="431" t="s">
        <v>762</v>
      </c>
      <c r="N492" s="431" t="s">
        <v>762</v>
      </c>
      <c r="O492" s="431" t="s">
        <v>762</v>
      </c>
      <c r="P492" s="431" t="s">
        <v>762</v>
      </c>
      <c r="Q492" s="431" t="s">
        <v>762</v>
      </c>
      <c r="R492" s="431" t="s">
        <v>762</v>
      </c>
      <c r="S492" s="431" t="s">
        <v>762</v>
      </c>
      <c r="T492" s="431" t="s">
        <v>762</v>
      </c>
      <c r="U492" s="431" t="s">
        <v>762</v>
      </c>
      <c r="V492" s="431">
        <v>28</v>
      </c>
      <c r="W492" s="431">
        <v>34</v>
      </c>
      <c r="X492" s="431">
        <v>37</v>
      </c>
      <c r="Y492" s="431">
        <v>43</v>
      </c>
      <c r="Z492" s="431">
        <v>46</v>
      </c>
      <c r="AA492" s="431">
        <v>51</v>
      </c>
      <c r="AB492" s="431">
        <v>54</v>
      </c>
      <c r="AC492" s="431">
        <v>58</v>
      </c>
      <c r="AD492" s="431">
        <v>61</v>
      </c>
      <c r="AE492" s="431" t="s">
        <v>762</v>
      </c>
      <c r="AF492" s="431" t="s">
        <v>762</v>
      </c>
      <c r="AG492" s="431">
        <v>136</v>
      </c>
      <c r="AH492" s="431" t="s">
        <v>762</v>
      </c>
      <c r="AI492" s="431">
        <v>136</v>
      </c>
      <c r="AJ492" s="431" t="s">
        <v>762</v>
      </c>
      <c r="AK492" s="431" t="s">
        <v>762</v>
      </c>
      <c r="AL492" s="431">
        <v>136</v>
      </c>
      <c r="AM492" s="431" t="s">
        <v>762</v>
      </c>
      <c r="AN492" s="431" t="s">
        <v>762</v>
      </c>
      <c r="AO492" s="431" t="s">
        <v>762</v>
      </c>
      <c r="AP492" s="431">
        <v>136</v>
      </c>
      <c r="AQ492" s="431" t="s">
        <v>762</v>
      </c>
      <c r="AR492" s="431" t="s">
        <v>762</v>
      </c>
      <c r="AS492" s="431" t="s">
        <v>762</v>
      </c>
      <c r="AT492" s="431">
        <v>136</v>
      </c>
      <c r="AU492" s="431" t="s">
        <v>762</v>
      </c>
      <c r="AV492" s="431" t="s">
        <v>762</v>
      </c>
      <c r="AW492" s="431" t="s">
        <v>762</v>
      </c>
      <c r="AX492" s="431" t="s">
        <v>762</v>
      </c>
      <c r="AY492" s="431" t="s">
        <v>762</v>
      </c>
      <c r="AZ492" s="431" t="s">
        <v>762</v>
      </c>
      <c r="BA492" s="431" t="s">
        <v>762</v>
      </c>
      <c r="BB492" s="431" t="s">
        <v>762</v>
      </c>
      <c r="BC492" s="431" t="s">
        <v>762</v>
      </c>
      <c r="BD492" s="431" t="s">
        <v>762</v>
      </c>
      <c r="BE492" s="431" t="s">
        <v>762</v>
      </c>
      <c r="BF492" s="431">
        <v>196</v>
      </c>
      <c r="BG492" s="431" t="s">
        <v>762</v>
      </c>
      <c r="BH492" s="431" t="s">
        <v>762</v>
      </c>
      <c r="BI492" s="431" t="s">
        <v>762</v>
      </c>
      <c r="BJ492" s="431" t="s">
        <v>762</v>
      </c>
      <c r="BK492" s="431" t="s">
        <v>762</v>
      </c>
      <c r="BL492" s="431">
        <v>241</v>
      </c>
      <c r="BM492" s="431" t="s">
        <v>762</v>
      </c>
      <c r="BN492" s="431" t="s">
        <v>762</v>
      </c>
      <c r="BO492" s="431" t="s">
        <v>762</v>
      </c>
      <c r="BP492" s="431" t="s">
        <v>762</v>
      </c>
      <c r="BQ492" s="431" t="s">
        <v>762</v>
      </c>
      <c r="BR492" s="431" t="s">
        <v>762</v>
      </c>
      <c r="BS492" s="431" t="s">
        <v>762</v>
      </c>
      <c r="BT492" s="431" t="s">
        <v>762</v>
      </c>
      <c r="BU492" s="431" t="s">
        <v>762</v>
      </c>
      <c r="BV492" s="431" t="s">
        <v>762</v>
      </c>
      <c r="BW492" s="431" t="s">
        <v>762</v>
      </c>
      <c r="BX492" s="431" t="s">
        <v>762</v>
      </c>
      <c r="BY492" s="431" t="s">
        <v>762</v>
      </c>
      <c r="BZ492" s="431" t="s">
        <v>762</v>
      </c>
      <c r="CA492" s="431" t="s">
        <v>762</v>
      </c>
      <c r="CB492" s="431" t="s">
        <v>762</v>
      </c>
      <c r="CC492" s="431" t="s">
        <v>762</v>
      </c>
      <c r="CD492" s="431" t="s">
        <v>762</v>
      </c>
      <c r="CE492" s="431" t="s">
        <v>762</v>
      </c>
      <c r="CF492" s="431" t="s">
        <v>762</v>
      </c>
      <c r="CG492" s="431" t="s">
        <v>762</v>
      </c>
      <c r="CH492" s="431" t="s">
        <v>762</v>
      </c>
      <c r="CI492" s="431" t="s">
        <v>762</v>
      </c>
      <c r="CJ492" s="431" t="s">
        <v>762</v>
      </c>
      <c r="CK492" s="431" t="s">
        <v>762</v>
      </c>
      <c r="CL492" s="431" t="s">
        <v>762</v>
      </c>
    </row>
    <row r="493" spans="1:90" s="432" customFormat="1">
      <c r="A493" s="430" t="s">
        <v>545</v>
      </c>
      <c r="B493" s="430" t="s">
        <v>631</v>
      </c>
      <c r="C493" s="431" t="s">
        <v>762</v>
      </c>
      <c r="D493" s="431" t="s">
        <v>762</v>
      </c>
      <c r="E493" s="431" t="s">
        <v>762</v>
      </c>
      <c r="F493" s="431" t="s">
        <v>762</v>
      </c>
      <c r="G493" s="431" t="s">
        <v>762</v>
      </c>
      <c r="H493" s="431" t="s">
        <v>762</v>
      </c>
      <c r="I493" s="431" t="s">
        <v>762</v>
      </c>
      <c r="J493" s="431" t="s">
        <v>762</v>
      </c>
      <c r="K493" s="431" t="s">
        <v>762</v>
      </c>
      <c r="L493" s="431">
        <v>24</v>
      </c>
      <c r="M493" s="431" t="s">
        <v>762</v>
      </c>
      <c r="N493" s="431" t="s">
        <v>762</v>
      </c>
      <c r="O493" s="431" t="s">
        <v>762</v>
      </c>
      <c r="P493" s="431" t="s">
        <v>762</v>
      </c>
      <c r="Q493" s="431" t="s">
        <v>762</v>
      </c>
      <c r="R493" s="431" t="s">
        <v>762</v>
      </c>
      <c r="S493" s="431" t="s">
        <v>762</v>
      </c>
      <c r="T493" s="431" t="s">
        <v>762</v>
      </c>
      <c r="U493" s="431" t="s">
        <v>762</v>
      </c>
      <c r="V493" s="431">
        <v>28</v>
      </c>
      <c r="W493" s="431">
        <v>35</v>
      </c>
      <c r="X493" s="431">
        <v>40</v>
      </c>
      <c r="Y493" s="431">
        <v>43</v>
      </c>
      <c r="Z493" s="431">
        <v>48</v>
      </c>
      <c r="AA493" s="431">
        <v>51</v>
      </c>
      <c r="AB493" s="431">
        <v>56</v>
      </c>
      <c r="AC493" s="431">
        <v>59</v>
      </c>
      <c r="AD493" s="431">
        <v>64</v>
      </c>
      <c r="AE493" s="431" t="s">
        <v>762</v>
      </c>
      <c r="AF493" s="431" t="s">
        <v>762</v>
      </c>
      <c r="AG493" s="431">
        <v>148</v>
      </c>
      <c r="AH493" s="431" t="s">
        <v>762</v>
      </c>
      <c r="AI493" s="431">
        <v>148</v>
      </c>
      <c r="AJ493" s="431" t="s">
        <v>762</v>
      </c>
      <c r="AK493" s="431" t="s">
        <v>762</v>
      </c>
      <c r="AL493" s="431">
        <v>148</v>
      </c>
      <c r="AM493" s="431" t="s">
        <v>762</v>
      </c>
      <c r="AN493" s="431" t="s">
        <v>762</v>
      </c>
      <c r="AO493" s="431" t="s">
        <v>762</v>
      </c>
      <c r="AP493" s="431">
        <v>148</v>
      </c>
      <c r="AQ493" s="431" t="s">
        <v>762</v>
      </c>
      <c r="AR493" s="431" t="s">
        <v>762</v>
      </c>
      <c r="AS493" s="431" t="s">
        <v>762</v>
      </c>
      <c r="AT493" s="431">
        <v>148</v>
      </c>
      <c r="AU493" s="431" t="s">
        <v>762</v>
      </c>
      <c r="AV493" s="431" t="s">
        <v>762</v>
      </c>
      <c r="AW493" s="431" t="s">
        <v>762</v>
      </c>
      <c r="AX493" s="431" t="s">
        <v>762</v>
      </c>
      <c r="AY493" s="431" t="s">
        <v>762</v>
      </c>
      <c r="AZ493" s="431" t="s">
        <v>762</v>
      </c>
      <c r="BA493" s="431" t="s">
        <v>762</v>
      </c>
      <c r="BB493" s="431" t="s">
        <v>762</v>
      </c>
      <c r="BC493" s="431" t="s">
        <v>762</v>
      </c>
      <c r="BD493" s="431" t="s">
        <v>762</v>
      </c>
      <c r="BE493" s="431" t="s">
        <v>762</v>
      </c>
      <c r="BF493" s="431">
        <v>223</v>
      </c>
      <c r="BG493" s="431" t="s">
        <v>762</v>
      </c>
      <c r="BH493" s="431" t="s">
        <v>762</v>
      </c>
      <c r="BI493" s="431" t="s">
        <v>762</v>
      </c>
      <c r="BJ493" s="431" t="s">
        <v>762</v>
      </c>
      <c r="BK493" s="431" t="s">
        <v>762</v>
      </c>
      <c r="BL493" s="431">
        <v>281</v>
      </c>
      <c r="BM493" s="431" t="s">
        <v>762</v>
      </c>
      <c r="BN493" s="431" t="s">
        <v>762</v>
      </c>
      <c r="BO493" s="431" t="s">
        <v>762</v>
      </c>
      <c r="BP493" s="431" t="s">
        <v>762</v>
      </c>
      <c r="BQ493" s="431" t="s">
        <v>762</v>
      </c>
      <c r="BR493" s="431" t="s">
        <v>762</v>
      </c>
      <c r="BS493" s="431" t="s">
        <v>762</v>
      </c>
      <c r="BT493" s="431" t="s">
        <v>762</v>
      </c>
      <c r="BU493" s="431" t="s">
        <v>762</v>
      </c>
      <c r="BV493" s="431" t="s">
        <v>762</v>
      </c>
      <c r="BW493" s="431" t="s">
        <v>762</v>
      </c>
      <c r="BX493" s="431" t="s">
        <v>762</v>
      </c>
      <c r="BY493" s="431" t="s">
        <v>762</v>
      </c>
      <c r="BZ493" s="431" t="s">
        <v>762</v>
      </c>
      <c r="CA493" s="431" t="s">
        <v>762</v>
      </c>
      <c r="CB493" s="431" t="s">
        <v>762</v>
      </c>
      <c r="CC493" s="431" t="s">
        <v>762</v>
      </c>
      <c r="CD493" s="431" t="s">
        <v>762</v>
      </c>
      <c r="CE493" s="431" t="s">
        <v>762</v>
      </c>
      <c r="CF493" s="431" t="s">
        <v>762</v>
      </c>
      <c r="CG493" s="431" t="s">
        <v>762</v>
      </c>
      <c r="CH493" s="431" t="s">
        <v>762</v>
      </c>
      <c r="CI493" s="431" t="s">
        <v>762</v>
      </c>
      <c r="CJ493" s="431" t="s">
        <v>762</v>
      </c>
      <c r="CK493" s="431" t="s">
        <v>762</v>
      </c>
      <c r="CL493" s="431" t="s">
        <v>762</v>
      </c>
    </row>
    <row r="494" spans="1:90" s="432" customFormat="1">
      <c r="A494" s="430" t="s">
        <v>546</v>
      </c>
      <c r="B494" s="430" t="s">
        <v>631</v>
      </c>
      <c r="C494" s="431" t="s">
        <v>762</v>
      </c>
      <c r="D494" s="431" t="s">
        <v>762</v>
      </c>
      <c r="E494" s="431" t="s">
        <v>762</v>
      </c>
      <c r="F494" s="431" t="s">
        <v>762</v>
      </c>
      <c r="G494" s="431" t="s">
        <v>762</v>
      </c>
      <c r="H494" s="431" t="s">
        <v>762</v>
      </c>
      <c r="I494" s="431" t="s">
        <v>762</v>
      </c>
      <c r="J494" s="431" t="s">
        <v>762</v>
      </c>
      <c r="K494" s="431" t="s">
        <v>762</v>
      </c>
      <c r="L494" s="431" t="s">
        <v>762</v>
      </c>
      <c r="M494" s="431" t="s">
        <v>762</v>
      </c>
      <c r="N494" s="431" t="s">
        <v>762</v>
      </c>
      <c r="O494" s="431" t="s">
        <v>762</v>
      </c>
      <c r="P494" s="431" t="s">
        <v>762</v>
      </c>
      <c r="Q494" s="431" t="s">
        <v>762</v>
      </c>
      <c r="R494" s="431" t="s">
        <v>762</v>
      </c>
      <c r="S494" s="431" t="s">
        <v>762</v>
      </c>
      <c r="T494" s="431" t="s">
        <v>762</v>
      </c>
      <c r="U494" s="431" t="s">
        <v>762</v>
      </c>
      <c r="V494" s="431" t="s">
        <v>762</v>
      </c>
      <c r="W494" s="431" t="s">
        <v>762</v>
      </c>
      <c r="X494" s="431" t="s">
        <v>762</v>
      </c>
      <c r="Y494" s="431" t="s">
        <v>762</v>
      </c>
      <c r="Z494" s="431" t="s">
        <v>762</v>
      </c>
      <c r="AA494" s="431" t="s">
        <v>762</v>
      </c>
      <c r="AB494" s="431" t="s">
        <v>762</v>
      </c>
      <c r="AC494" s="431" t="s">
        <v>762</v>
      </c>
      <c r="AD494" s="431" t="s">
        <v>762</v>
      </c>
      <c r="AE494" s="431" t="s">
        <v>762</v>
      </c>
      <c r="AF494" s="431" t="s">
        <v>762</v>
      </c>
      <c r="AG494" s="431" t="s">
        <v>762</v>
      </c>
      <c r="AH494" s="431" t="s">
        <v>762</v>
      </c>
      <c r="AI494" s="431" t="s">
        <v>762</v>
      </c>
      <c r="AJ494" s="431" t="s">
        <v>762</v>
      </c>
      <c r="AK494" s="431" t="s">
        <v>762</v>
      </c>
      <c r="AL494" s="431" t="s">
        <v>762</v>
      </c>
      <c r="AM494" s="431" t="s">
        <v>762</v>
      </c>
      <c r="AN494" s="431" t="s">
        <v>762</v>
      </c>
      <c r="AO494" s="431" t="s">
        <v>762</v>
      </c>
      <c r="AP494" s="431" t="s">
        <v>762</v>
      </c>
      <c r="AQ494" s="431" t="s">
        <v>762</v>
      </c>
      <c r="AR494" s="431" t="s">
        <v>762</v>
      </c>
      <c r="AS494" s="431" t="s">
        <v>762</v>
      </c>
      <c r="AT494" s="431" t="s">
        <v>762</v>
      </c>
      <c r="AU494" s="431" t="s">
        <v>762</v>
      </c>
      <c r="AV494" s="431" t="s">
        <v>762</v>
      </c>
      <c r="AW494" s="431" t="s">
        <v>762</v>
      </c>
      <c r="AX494" s="431" t="s">
        <v>762</v>
      </c>
      <c r="AY494" s="431" t="s">
        <v>762</v>
      </c>
      <c r="AZ494" s="431" t="s">
        <v>762</v>
      </c>
      <c r="BA494" s="431" t="s">
        <v>762</v>
      </c>
      <c r="BB494" s="431" t="s">
        <v>762</v>
      </c>
      <c r="BC494" s="431" t="s">
        <v>762</v>
      </c>
      <c r="BD494" s="431" t="s">
        <v>762</v>
      </c>
      <c r="BE494" s="431" t="s">
        <v>762</v>
      </c>
      <c r="BF494" s="431" t="s">
        <v>762</v>
      </c>
      <c r="BG494" s="431" t="s">
        <v>762</v>
      </c>
      <c r="BH494" s="431" t="s">
        <v>762</v>
      </c>
      <c r="BI494" s="431" t="s">
        <v>762</v>
      </c>
      <c r="BJ494" s="431" t="s">
        <v>762</v>
      </c>
      <c r="BK494" s="431" t="s">
        <v>762</v>
      </c>
      <c r="BL494" s="431" t="s">
        <v>762</v>
      </c>
      <c r="BM494" s="431" t="s">
        <v>762</v>
      </c>
      <c r="BN494" s="431" t="s">
        <v>762</v>
      </c>
      <c r="BO494" s="431" t="s">
        <v>762</v>
      </c>
      <c r="BP494" s="431" t="s">
        <v>762</v>
      </c>
      <c r="BQ494" s="431" t="s">
        <v>762</v>
      </c>
      <c r="BR494" s="431" t="s">
        <v>762</v>
      </c>
      <c r="BS494" s="431" t="s">
        <v>762</v>
      </c>
      <c r="BT494" s="431" t="s">
        <v>762</v>
      </c>
      <c r="BU494" s="431" t="s">
        <v>762</v>
      </c>
      <c r="BV494" s="431" t="s">
        <v>762</v>
      </c>
      <c r="BW494" s="431" t="s">
        <v>762</v>
      </c>
      <c r="BX494" s="431" t="s">
        <v>762</v>
      </c>
      <c r="BY494" s="431" t="s">
        <v>762</v>
      </c>
      <c r="BZ494" s="431" t="s">
        <v>762</v>
      </c>
      <c r="CA494" s="431" t="s">
        <v>762</v>
      </c>
      <c r="CB494" s="431" t="s">
        <v>762</v>
      </c>
      <c r="CC494" s="431" t="s">
        <v>762</v>
      </c>
      <c r="CD494" s="431" t="s">
        <v>762</v>
      </c>
      <c r="CE494" s="431" t="s">
        <v>762</v>
      </c>
      <c r="CF494" s="431" t="s">
        <v>762</v>
      </c>
      <c r="CG494" s="431" t="s">
        <v>762</v>
      </c>
      <c r="CH494" s="431" t="s">
        <v>762</v>
      </c>
      <c r="CI494" s="431" t="s">
        <v>762</v>
      </c>
      <c r="CJ494" s="431" t="s">
        <v>762</v>
      </c>
      <c r="CK494" s="431" t="s">
        <v>762</v>
      </c>
      <c r="CL494" s="431" t="s">
        <v>762</v>
      </c>
    </row>
    <row r="495" spans="1:90" s="432" customFormat="1">
      <c r="A495" s="430" t="s">
        <v>547</v>
      </c>
      <c r="B495" s="430" t="s">
        <v>631</v>
      </c>
      <c r="C495" s="431" t="s">
        <v>762</v>
      </c>
      <c r="D495" s="431" t="s">
        <v>762</v>
      </c>
      <c r="E495" s="431" t="s">
        <v>762</v>
      </c>
      <c r="F495" s="431" t="s">
        <v>762</v>
      </c>
      <c r="G495" s="431" t="s">
        <v>762</v>
      </c>
      <c r="H495" s="431" t="s">
        <v>762</v>
      </c>
      <c r="I495" s="431" t="s">
        <v>762</v>
      </c>
      <c r="J495" s="431" t="s">
        <v>762</v>
      </c>
      <c r="K495" s="431" t="s">
        <v>762</v>
      </c>
      <c r="L495" s="431">
        <v>38</v>
      </c>
      <c r="M495" s="431" t="s">
        <v>762</v>
      </c>
      <c r="N495" s="431" t="s">
        <v>762</v>
      </c>
      <c r="O495" s="431" t="s">
        <v>762</v>
      </c>
      <c r="P495" s="431" t="s">
        <v>762</v>
      </c>
      <c r="Q495" s="431" t="s">
        <v>762</v>
      </c>
      <c r="R495" s="431" t="s">
        <v>762</v>
      </c>
      <c r="S495" s="431" t="s">
        <v>762</v>
      </c>
      <c r="T495" s="431" t="s">
        <v>762</v>
      </c>
      <c r="U495" s="431" t="s">
        <v>762</v>
      </c>
      <c r="V495" s="431">
        <v>47</v>
      </c>
      <c r="W495" s="431">
        <v>57</v>
      </c>
      <c r="X495" s="431">
        <v>63</v>
      </c>
      <c r="Y495" s="431">
        <v>71</v>
      </c>
      <c r="Z495" s="431">
        <v>77</v>
      </c>
      <c r="AA495" s="431">
        <v>84</v>
      </c>
      <c r="AB495" s="431">
        <v>91</v>
      </c>
      <c r="AC495" s="431">
        <v>97</v>
      </c>
      <c r="AD495" s="431">
        <v>103</v>
      </c>
      <c r="AE495" s="431" t="s">
        <v>762</v>
      </c>
      <c r="AF495" s="431" t="s">
        <v>762</v>
      </c>
      <c r="AG495" s="431">
        <v>190</v>
      </c>
      <c r="AH495" s="431" t="s">
        <v>762</v>
      </c>
      <c r="AI495" s="431">
        <v>190</v>
      </c>
      <c r="AJ495" s="431" t="s">
        <v>762</v>
      </c>
      <c r="AK495" s="431" t="s">
        <v>762</v>
      </c>
      <c r="AL495" s="431">
        <v>190</v>
      </c>
      <c r="AM495" s="431" t="s">
        <v>762</v>
      </c>
      <c r="AN495" s="431" t="s">
        <v>762</v>
      </c>
      <c r="AO495" s="431" t="s">
        <v>762</v>
      </c>
      <c r="AP495" s="431">
        <v>190</v>
      </c>
      <c r="AQ495" s="431" t="s">
        <v>762</v>
      </c>
      <c r="AR495" s="431" t="s">
        <v>762</v>
      </c>
      <c r="AS495" s="431" t="s">
        <v>762</v>
      </c>
      <c r="AT495" s="431">
        <v>190</v>
      </c>
      <c r="AU495" s="431" t="s">
        <v>762</v>
      </c>
      <c r="AV495" s="431" t="s">
        <v>762</v>
      </c>
      <c r="AW495" s="431" t="s">
        <v>762</v>
      </c>
      <c r="AX495" s="431" t="s">
        <v>762</v>
      </c>
      <c r="AY495" s="431" t="s">
        <v>762</v>
      </c>
      <c r="AZ495" s="431" t="s">
        <v>762</v>
      </c>
      <c r="BA495" s="431" t="s">
        <v>762</v>
      </c>
      <c r="BB495" s="431" t="s">
        <v>762</v>
      </c>
      <c r="BC495" s="431" t="s">
        <v>762</v>
      </c>
      <c r="BD495" s="431" t="s">
        <v>762</v>
      </c>
      <c r="BE495" s="431" t="s">
        <v>762</v>
      </c>
      <c r="BF495" s="431">
        <v>316</v>
      </c>
      <c r="BG495" s="431" t="s">
        <v>762</v>
      </c>
      <c r="BH495" s="431" t="s">
        <v>762</v>
      </c>
      <c r="BI495" s="431" t="s">
        <v>762</v>
      </c>
      <c r="BJ495" s="431" t="s">
        <v>762</v>
      </c>
      <c r="BK495" s="431" t="s">
        <v>762</v>
      </c>
      <c r="BL495" s="431">
        <v>428</v>
      </c>
      <c r="BM495" s="431" t="s">
        <v>762</v>
      </c>
      <c r="BN495" s="431" t="s">
        <v>762</v>
      </c>
      <c r="BO495" s="431" t="s">
        <v>762</v>
      </c>
      <c r="BP495" s="431" t="s">
        <v>762</v>
      </c>
      <c r="BQ495" s="431" t="s">
        <v>762</v>
      </c>
      <c r="BR495" s="431" t="s">
        <v>762</v>
      </c>
      <c r="BS495" s="431" t="s">
        <v>762</v>
      </c>
      <c r="BT495" s="431" t="s">
        <v>762</v>
      </c>
      <c r="BU495" s="431" t="s">
        <v>762</v>
      </c>
      <c r="BV495" s="431" t="s">
        <v>762</v>
      </c>
      <c r="BW495" s="431" t="s">
        <v>762</v>
      </c>
      <c r="BX495" s="431" t="s">
        <v>762</v>
      </c>
      <c r="BY495" s="431" t="s">
        <v>762</v>
      </c>
      <c r="BZ495" s="431" t="s">
        <v>762</v>
      </c>
      <c r="CA495" s="431" t="s">
        <v>762</v>
      </c>
      <c r="CB495" s="431" t="s">
        <v>762</v>
      </c>
      <c r="CC495" s="431" t="s">
        <v>762</v>
      </c>
      <c r="CD495" s="431" t="s">
        <v>762</v>
      </c>
      <c r="CE495" s="431" t="s">
        <v>762</v>
      </c>
      <c r="CF495" s="431" t="s">
        <v>762</v>
      </c>
      <c r="CG495" s="431" t="s">
        <v>762</v>
      </c>
      <c r="CH495" s="431" t="s">
        <v>762</v>
      </c>
      <c r="CI495" s="431" t="s">
        <v>762</v>
      </c>
      <c r="CJ495" s="431" t="s">
        <v>762</v>
      </c>
      <c r="CK495" s="431" t="s">
        <v>762</v>
      </c>
      <c r="CL495" s="431" t="s">
        <v>762</v>
      </c>
    </row>
    <row r="496" spans="1:90" s="432" customFormat="1">
      <c r="A496" s="430" t="s">
        <v>548</v>
      </c>
      <c r="B496" s="430" t="s">
        <v>631</v>
      </c>
      <c r="C496" s="431" t="s">
        <v>762</v>
      </c>
      <c r="D496" s="431" t="s">
        <v>762</v>
      </c>
      <c r="E496" s="431" t="s">
        <v>762</v>
      </c>
      <c r="F496" s="431" t="s">
        <v>762</v>
      </c>
      <c r="G496" s="431" t="s">
        <v>762</v>
      </c>
      <c r="H496" s="431" t="s">
        <v>762</v>
      </c>
      <c r="I496" s="431" t="s">
        <v>762</v>
      </c>
      <c r="J496" s="431" t="s">
        <v>762</v>
      </c>
      <c r="K496" s="431" t="s">
        <v>762</v>
      </c>
      <c r="L496" s="431" t="s">
        <v>762</v>
      </c>
      <c r="M496" s="431" t="s">
        <v>762</v>
      </c>
      <c r="N496" s="431" t="s">
        <v>762</v>
      </c>
      <c r="O496" s="431" t="s">
        <v>762</v>
      </c>
      <c r="P496" s="431" t="s">
        <v>762</v>
      </c>
      <c r="Q496" s="431" t="s">
        <v>762</v>
      </c>
      <c r="R496" s="431" t="s">
        <v>762</v>
      </c>
      <c r="S496" s="431" t="s">
        <v>762</v>
      </c>
      <c r="T496" s="431" t="s">
        <v>762</v>
      </c>
      <c r="U496" s="431" t="s">
        <v>762</v>
      </c>
      <c r="V496" s="431" t="s">
        <v>762</v>
      </c>
      <c r="W496" s="431" t="s">
        <v>762</v>
      </c>
      <c r="X496" s="431" t="s">
        <v>762</v>
      </c>
      <c r="Y496" s="431" t="s">
        <v>762</v>
      </c>
      <c r="Z496" s="431" t="s">
        <v>762</v>
      </c>
      <c r="AA496" s="431" t="s">
        <v>762</v>
      </c>
      <c r="AB496" s="431" t="s">
        <v>762</v>
      </c>
      <c r="AC496" s="431" t="s">
        <v>762</v>
      </c>
      <c r="AD496" s="431" t="s">
        <v>762</v>
      </c>
      <c r="AE496" s="431" t="s">
        <v>762</v>
      </c>
      <c r="AF496" s="431" t="s">
        <v>762</v>
      </c>
      <c r="AG496" s="431" t="s">
        <v>762</v>
      </c>
      <c r="AH496" s="431" t="s">
        <v>762</v>
      </c>
      <c r="AI496" s="431" t="s">
        <v>762</v>
      </c>
      <c r="AJ496" s="431" t="s">
        <v>762</v>
      </c>
      <c r="AK496" s="431" t="s">
        <v>762</v>
      </c>
      <c r="AL496" s="431" t="s">
        <v>762</v>
      </c>
      <c r="AM496" s="431" t="s">
        <v>762</v>
      </c>
      <c r="AN496" s="431" t="s">
        <v>762</v>
      </c>
      <c r="AO496" s="431" t="s">
        <v>762</v>
      </c>
      <c r="AP496" s="431" t="s">
        <v>762</v>
      </c>
      <c r="AQ496" s="431" t="s">
        <v>762</v>
      </c>
      <c r="AR496" s="431" t="s">
        <v>762</v>
      </c>
      <c r="AS496" s="431" t="s">
        <v>762</v>
      </c>
      <c r="AT496" s="431" t="s">
        <v>762</v>
      </c>
      <c r="AU496" s="431" t="s">
        <v>762</v>
      </c>
      <c r="AV496" s="431" t="s">
        <v>762</v>
      </c>
      <c r="AW496" s="431" t="s">
        <v>762</v>
      </c>
      <c r="AX496" s="431" t="s">
        <v>762</v>
      </c>
      <c r="AY496" s="431" t="s">
        <v>762</v>
      </c>
      <c r="AZ496" s="431" t="s">
        <v>762</v>
      </c>
      <c r="BA496" s="431" t="s">
        <v>762</v>
      </c>
      <c r="BB496" s="431" t="s">
        <v>762</v>
      </c>
      <c r="BC496" s="431" t="s">
        <v>762</v>
      </c>
      <c r="BD496" s="431" t="s">
        <v>762</v>
      </c>
      <c r="BE496" s="431" t="s">
        <v>762</v>
      </c>
      <c r="BF496" s="431" t="s">
        <v>762</v>
      </c>
      <c r="BG496" s="431" t="s">
        <v>762</v>
      </c>
      <c r="BH496" s="431" t="s">
        <v>762</v>
      </c>
      <c r="BI496" s="431" t="s">
        <v>762</v>
      </c>
      <c r="BJ496" s="431" t="s">
        <v>762</v>
      </c>
      <c r="BK496" s="431" t="s">
        <v>762</v>
      </c>
      <c r="BL496" s="431" t="s">
        <v>762</v>
      </c>
      <c r="BM496" s="431" t="s">
        <v>762</v>
      </c>
      <c r="BN496" s="431" t="s">
        <v>762</v>
      </c>
      <c r="BO496" s="431" t="s">
        <v>762</v>
      </c>
      <c r="BP496" s="431" t="s">
        <v>762</v>
      </c>
      <c r="BQ496" s="431" t="s">
        <v>762</v>
      </c>
      <c r="BR496" s="431" t="s">
        <v>762</v>
      </c>
      <c r="BS496" s="431" t="s">
        <v>762</v>
      </c>
      <c r="BT496" s="431" t="s">
        <v>762</v>
      </c>
      <c r="BU496" s="431" t="s">
        <v>762</v>
      </c>
      <c r="BV496" s="431" t="s">
        <v>762</v>
      </c>
      <c r="BW496" s="431" t="s">
        <v>762</v>
      </c>
      <c r="BX496" s="431" t="s">
        <v>762</v>
      </c>
      <c r="BY496" s="431" t="s">
        <v>762</v>
      </c>
      <c r="BZ496" s="431" t="s">
        <v>762</v>
      </c>
      <c r="CA496" s="431" t="s">
        <v>762</v>
      </c>
      <c r="CB496" s="431" t="s">
        <v>762</v>
      </c>
      <c r="CC496" s="431" t="s">
        <v>762</v>
      </c>
      <c r="CD496" s="431" t="s">
        <v>762</v>
      </c>
      <c r="CE496" s="431" t="s">
        <v>762</v>
      </c>
      <c r="CF496" s="431" t="s">
        <v>762</v>
      </c>
      <c r="CG496" s="431" t="s">
        <v>762</v>
      </c>
      <c r="CH496" s="431" t="s">
        <v>762</v>
      </c>
      <c r="CI496" s="431" t="s">
        <v>762</v>
      </c>
      <c r="CJ496" s="431" t="s">
        <v>762</v>
      </c>
      <c r="CK496" s="431" t="s">
        <v>762</v>
      </c>
      <c r="CL496" s="431" t="s">
        <v>762</v>
      </c>
    </row>
    <row r="497" spans="1:90" s="432" customFormat="1">
      <c r="A497" s="430" t="s">
        <v>549</v>
      </c>
      <c r="B497" s="430" t="s">
        <v>631</v>
      </c>
      <c r="C497" s="431" t="s">
        <v>762</v>
      </c>
      <c r="D497" s="431" t="s">
        <v>762</v>
      </c>
      <c r="E497" s="431" t="s">
        <v>762</v>
      </c>
      <c r="F497" s="431" t="s">
        <v>762</v>
      </c>
      <c r="G497" s="431" t="s">
        <v>762</v>
      </c>
      <c r="H497" s="431" t="s">
        <v>762</v>
      </c>
      <c r="I497" s="431" t="s">
        <v>762</v>
      </c>
      <c r="J497" s="431" t="s">
        <v>762</v>
      </c>
      <c r="K497" s="431" t="s">
        <v>762</v>
      </c>
      <c r="L497" s="431">
        <v>26</v>
      </c>
      <c r="M497" s="431" t="s">
        <v>762</v>
      </c>
      <c r="N497" s="431" t="s">
        <v>762</v>
      </c>
      <c r="O497" s="431" t="s">
        <v>762</v>
      </c>
      <c r="P497" s="431" t="s">
        <v>762</v>
      </c>
      <c r="Q497" s="431" t="s">
        <v>762</v>
      </c>
      <c r="R497" s="431" t="s">
        <v>762</v>
      </c>
      <c r="S497" s="431" t="s">
        <v>762</v>
      </c>
      <c r="T497" s="431" t="s">
        <v>762</v>
      </c>
      <c r="U497" s="431" t="s">
        <v>762</v>
      </c>
      <c r="V497" s="431">
        <v>31</v>
      </c>
      <c r="W497" s="431">
        <v>39</v>
      </c>
      <c r="X497" s="431">
        <v>46</v>
      </c>
      <c r="Y497" s="431">
        <v>50</v>
      </c>
      <c r="Z497" s="431">
        <v>56</v>
      </c>
      <c r="AA497" s="431">
        <v>61</v>
      </c>
      <c r="AB497" s="431">
        <v>67</v>
      </c>
      <c r="AC497" s="431">
        <v>72</v>
      </c>
      <c r="AD497" s="431">
        <v>78</v>
      </c>
      <c r="AE497" s="431" t="s">
        <v>762</v>
      </c>
      <c r="AF497" s="431" t="s">
        <v>762</v>
      </c>
      <c r="AG497" s="431">
        <v>163</v>
      </c>
      <c r="AH497" s="431" t="s">
        <v>762</v>
      </c>
      <c r="AI497" s="431">
        <v>163</v>
      </c>
      <c r="AJ497" s="431" t="s">
        <v>762</v>
      </c>
      <c r="AK497" s="431" t="s">
        <v>762</v>
      </c>
      <c r="AL497" s="431">
        <v>163</v>
      </c>
      <c r="AM497" s="431" t="s">
        <v>762</v>
      </c>
      <c r="AN497" s="431" t="s">
        <v>762</v>
      </c>
      <c r="AO497" s="431" t="s">
        <v>762</v>
      </c>
      <c r="AP497" s="431">
        <v>163</v>
      </c>
      <c r="AQ497" s="431" t="s">
        <v>762</v>
      </c>
      <c r="AR497" s="431" t="s">
        <v>762</v>
      </c>
      <c r="AS497" s="431" t="s">
        <v>762</v>
      </c>
      <c r="AT497" s="431">
        <v>163</v>
      </c>
      <c r="AU497" s="431" t="s">
        <v>762</v>
      </c>
      <c r="AV497" s="431" t="s">
        <v>762</v>
      </c>
      <c r="AW497" s="431" t="s">
        <v>762</v>
      </c>
      <c r="AX497" s="431" t="s">
        <v>762</v>
      </c>
      <c r="AY497" s="431" t="s">
        <v>762</v>
      </c>
      <c r="AZ497" s="431" t="s">
        <v>762</v>
      </c>
      <c r="BA497" s="431" t="s">
        <v>762</v>
      </c>
      <c r="BB497" s="431" t="s">
        <v>762</v>
      </c>
      <c r="BC497" s="431" t="s">
        <v>762</v>
      </c>
      <c r="BD497" s="431" t="s">
        <v>762</v>
      </c>
      <c r="BE497" s="431" t="s">
        <v>762</v>
      </c>
      <c r="BF497" s="431">
        <v>229</v>
      </c>
      <c r="BG497" s="431" t="s">
        <v>762</v>
      </c>
      <c r="BH497" s="431" t="s">
        <v>762</v>
      </c>
      <c r="BI497" s="431" t="s">
        <v>762</v>
      </c>
      <c r="BJ497" s="431" t="s">
        <v>762</v>
      </c>
      <c r="BK497" s="431" t="s">
        <v>762</v>
      </c>
      <c r="BL497" s="431">
        <v>269</v>
      </c>
      <c r="BM497" s="431" t="s">
        <v>762</v>
      </c>
      <c r="BN497" s="431" t="s">
        <v>762</v>
      </c>
      <c r="BO497" s="431" t="s">
        <v>762</v>
      </c>
      <c r="BP497" s="431" t="s">
        <v>762</v>
      </c>
      <c r="BQ497" s="431" t="s">
        <v>762</v>
      </c>
      <c r="BR497" s="431" t="s">
        <v>762</v>
      </c>
      <c r="BS497" s="431" t="s">
        <v>762</v>
      </c>
      <c r="BT497" s="431" t="s">
        <v>762</v>
      </c>
      <c r="BU497" s="431" t="s">
        <v>762</v>
      </c>
      <c r="BV497" s="431" t="s">
        <v>762</v>
      </c>
      <c r="BW497" s="431" t="s">
        <v>762</v>
      </c>
      <c r="BX497" s="431" t="s">
        <v>762</v>
      </c>
      <c r="BY497" s="431" t="s">
        <v>762</v>
      </c>
      <c r="BZ497" s="431" t="s">
        <v>762</v>
      </c>
      <c r="CA497" s="431" t="s">
        <v>762</v>
      </c>
      <c r="CB497" s="431" t="s">
        <v>762</v>
      </c>
      <c r="CC497" s="431" t="s">
        <v>762</v>
      </c>
      <c r="CD497" s="431" t="s">
        <v>762</v>
      </c>
      <c r="CE497" s="431" t="s">
        <v>762</v>
      </c>
      <c r="CF497" s="431" t="s">
        <v>762</v>
      </c>
      <c r="CG497" s="431" t="s">
        <v>762</v>
      </c>
      <c r="CH497" s="431" t="s">
        <v>762</v>
      </c>
      <c r="CI497" s="431" t="s">
        <v>762</v>
      </c>
      <c r="CJ497" s="431" t="s">
        <v>762</v>
      </c>
      <c r="CK497" s="431" t="s">
        <v>762</v>
      </c>
      <c r="CL497" s="431" t="s">
        <v>762</v>
      </c>
    </row>
    <row r="498" spans="1:90" s="432" customFormat="1">
      <c r="A498" s="430" t="s">
        <v>550</v>
      </c>
      <c r="B498" s="430" t="s">
        <v>631</v>
      </c>
      <c r="C498" s="431" t="s">
        <v>762</v>
      </c>
      <c r="D498" s="431" t="s">
        <v>762</v>
      </c>
      <c r="E498" s="431" t="s">
        <v>762</v>
      </c>
      <c r="F498" s="431" t="s">
        <v>762</v>
      </c>
      <c r="G498" s="431" t="s">
        <v>762</v>
      </c>
      <c r="H498" s="431" t="s">
        <v>762</v>
      </c>
      <c r="I498" s="431" t="s">
        <v>762</v>
      </c>
      <c r="J498" s="431" t="s">
        <v>762</v>
      </c>
      <c r="K498" s="431" t="s">
        <v>762</v>
      </c>
      <c r="L498" s="431">
        <v>37</v>
      </c>
      <c r="M498" s="431" t="s">
        <v>762</v>
      </c>
      <c r="N498" s="431" t="s">
        <v>762</v>
      </c>
      <c r="O498" s="431" t="s">
        <v>762</v>
      </c>
      <c r="P498" s="431" t="s">
        <v>762</v>
      </c>
      <c r="Q498" s="431" t="s">
        <v>762</v>
      </c>
      <c r="R498" s="431" t="s">
        <v>762</v>
      </c>
      <c r="S498" s="431" t="s">
        <v>762</v>
      </c>
      <c r="T498" s="431" t="s">
        <v>762</v>
      </c>
      <c r="U498" s="431" t="s">
        <v>762</v>
      </c>
      <c r="V498" s="431">
        <v>45</v>
      </c>
      <c r="W498" s="431">
        <v>57</v>
      </c>
      <c r="X498" s="431">
        <v>67</v>
      </c>
      <c r="Y498" s="431">
        <v>74</v>
      </c>
      <c r="Z498" s="431">
        <v>82</v>
      </c>
      <c r="AA498" s="431">
        <v>89</v>
      </c>
      <c r="AB498" s="431">
        <v>99</v>
      </c>
      <c r="AC498" s="431">
        <v>106</v>
      </c>
      <c r="AD498" s="431">
        <v>116</v>
      </c>
      <c r="AE498" s="431" t="s">
        <v>762</v>
      </c>
      <c r="AF498" s="431" t="s">
        <v>762</v>
      </c>
      <c r="AG498" s="431" t="s">
        <v>762</v>
      </c>
      <c r="AH498" s="431" t="s">
        <v>762</v>
      </c>
      <c r="AI498" s="431" t="s">
        <v>762</v>
      </c>
      <c r="AJ498" s="431" t="s">
        <v>762</v>
      </c>
      <c r="AK498" s="431" t="s">
        <v>762</v>
      </c>
      <c r="AL498" s="431" t="s">
        <v>762</v>
      </c>
      <c r="AM498" s="431" t="s">
        <v>762</v>
      </c>
      <c r="AN498" s="431" t="s">
        <v>762</v>
      </c>
      <c r="AO498" s="431" t="s">
        <v>762</v>
      </c>
      <c r="AP498" s="431" t="s">
        <v>762</v>
      </c>
      <c r="AQ498" s="431" t="s">
        <v>762</v>
      </c>
      <c r="AR498" s="431" t="s">
        <v>762</v>
      </c>
      <c r="AS498" s="431" t="s">
        <v>762</v>
      </c>
      <c r="AT498" s="431" t="s">
        <v>762</v>
      </c>
      <c r="AU498" s="431" t="s">
        <v>762</v>
      </c>
      <c r="AV498" s="431" t="s">
        <v>762</v>
      </c>
      <c r="AW498" s="431" t="s">
        <v>762</v>
      </c>
      <c r="AX498" s="431" t="s">
        <v>762</v>
      </c>
      <c r="AY498" s="431" t="s">
        <v>762</v>
      </c>
      <c r="AZ498" s="431" t="s">
        <v>762</v>
      </c>
      <c r="BA498" s="431" t="s">
        <v>762</v>
      </c>
      <c r="BB498" s="431" t="s">
        <v>762</v>
      </c>
      <c r="BC498" s="431" t="s">
        <v>762</v>
      </c>
      <c r="BD498" s="431" t="s">
        <v>762</v>
      </c>
      <c r="BE498" s="431" t="s">
        <v>762</v>
      </c>
      <c r="BF498" s="431" t="s">
        <v>762</v>
      </c>
      <c r="BG498" s="431" t="s">
        <v>762</v>
      </c>
      <c r="BH498" s="431" t="s">
        <v>762</v>
      </c>
      <c r="BI498" s="431" t="s">
        <v>762</v>
      </c>
      <c r="BJ498" s="431" t="s">
        <v>762</v>
      </c>
      <c r="BK498" s="431" t="s">
        <v>762</v>
      </c>
      <c r="BL498" s="431" t="s">
        <v>762</v>
      </c>
      <c r="BM498" s="431" t="s">
        <v>762</v>
      </c>
      <c r="BN498" s="431" t="s">
        <v>762</v>
      </c>
      <c r="BO498" s="431" t="s">
        <v>762</v>
      </c>
      <c r="BP498" s="431" t="s">
        <v>762</v>
      </c>
      <c r="BQ498" s="431" t="s">
        <v>762</v>
      </c>
      <c r="BR498" s="431" t="s">
        <v>762</v>
      </c>
      <c r="BS498" s="431" t="s">
        <v>762</v>
      </c>
      <c r="BT498" s="431" t="s">
        <v>762</v>
      </c>
      <c r="BU498" s="431" t="s">
        <v>762</v>
      </c>
      <c r="BV498" s="431" t="s">
        <v>762</v>
      </c>
      <c r="BW498" s="431" t="s">
        <v>762</v>
      </c>
      <c r="BX498" s="431" t="s">
        <v>762</v>
      </c>
      <c r="BY498" s="431" t="s">
        <v>762</v>
      </c>
      <c r="BZ498" s="431" t="s">
        <v>762</v>
      </c>
      <c r="CA498" s="431" t="s">
        <v>762</v>
      </c>
      <c r="CB498" s="431" t="s">
        <v>762</v>
      </c>
      <c r="CC498" s="431" t="s">
        <v>762</v>
      </c>
      <c r="CD498" s="431" t="s">
        <v>762</v>
      </c>
      <c r="CE498" s="431" t="s">
        <v>762</v>
      </c>
      <c r="CF498" s="431" t="s">
        <v>762</v>
      </c>
      <c r="CG498" s="431" t="s">
        <v>762</v>
      </c>
      <c r="CH498" s="431" t="s">
        <v>762</v>
      </c>
      <c r="CI498" s="431" t="s">
        <v>762</v>
      </c>
      <c r="CJ498" s="431" t="s">
        <v>762</v>
      </c>
      <c r="CK498" s="431" t="s">
        <v>762</v>
      </c>
      <c r="CL498" s="431" t="s">
        <v>762</v>
      </c>
    </row>
    <row r="499" spans="1:90" s="432" customFormat="1">
      <c r="A499" s="430" t="s">
        <v>551</v>
      </c>
      <c r="B499" s="430" t="s">
        <v>631</v>
      </c>
      <c r="C499" s="431" t="s">
        <v>762</v>
      </c>
      <c r="D499" s="431" t="s">
        <v>762</v>
      </c>
      <c r="E499" s="431" t="s">
        <v>762</v>
      </c>
      <c r="F499" s="431" t="s">
        <v>762</v>
      </c>
      <c r="G499" s="431" t="s">
        <v>762</v>
      </c>
      <c r="H499" s="431" t="s">
        <v>762</v>
      </c>
      <c r="I499" s="431" t="s">
        <v>762</v>
      </c>
      <c r="J499" s="431" t="s">
        <v>762</v>
      </c>
      <c r="K499" s="431" t="s">
        <v>762</v>
      </c>
      <c r="L499" s="431">
        <v>35</v>
      </c>
      <c r="M499" s="431" t="s">
        <v>762</v>
      </c>
      <c r="N499" s="431" t="s">
        <v>762</v>
      </c>
      <c r="O499" s="431" t="s">
        <v>762</v>
      </c>
      <c r="P499" s="431" t="s">
        <v>762</v>
      </c>
      <c r="Q499" s="431" t="s">
        <v>762</v>
      </c>
      <c r="R499" s="431" t="s">
        <v>762</v>
      </c>
      <c r="S499" s="431" t="s">
        <v>762</v>
      </c>
      <c r="T499" s="431" t="s">
        <v>762</v>
      </c>
      <c r="U499" s="431" t="s">
        <v>762</v>
      </c>
      <c r="V499" s="431">
        <v>41</v>
      </c>
      <c r="W499" s="431">
        <v>48</v>
      </c>
      <c r="X499" s="431">
        <v>54</v>
      </c>
      <c r="Y499" s="431">
        <v>64</v>
      </c>
      <c r="Z499" s="431">
        <v>70</v>
      </c>
      <c r="AA499" s="431">
        <v>79</v>
      </c>
      <c r="AB499" s="431">
        <v>85</v>
      </c>
      <c r="AC499" s="431">
        <v>94</v>
      </c>
      <c r="AD499" s="431">
        <v>100</v>
      </c>
      <c r="AE499" s="431" t="s">
        <v>762</v>
      </c>
      <c r="AF499" s="431" t="s">
        <v>762</v>
      </c>
      <c r="AG499" s="431">
        <v>192</v>
      </c>
      <c r="AH499" s="431" t="s">
        <v>762</v>
      </c>
      <c r="AI499" s="431">
        <v>192</v>
      </c>
      <c r="AJ499" s="431" t="s">
        <v>762</v>
      </c>
      <c r="AK499" s="431" t="s">
        <v>762</v>
      </c>
      <c r="AL499" s="431">
        <v>192</v>
      </c>
      <c r="AM499" s="431" t="s">
        <v>762</v>
      </c>
      <c r="AN499" s="431" t="s">
        <v>762</v>
      </c>
      <c r="AO499" s="431" t="s">
        <v>762</v>
      </c>
      <c r="AP499" s="431">
        <v>192</v>
      </c>
      <c r="AQ499" s="431" t="s">
        <v>762</v>
      </c>
      <c r="AR499" s="431" t="s">
        <v>762</v>
      </c>
      <c r="AS499" s="431" t="s">
        <v>762</v>
      </c>
      <c r="AT499" s="431">
        <v>192</v>
      </c>
      <c r="AU499" s="431" t="s">
        <v>762</v>
      </c>
      <c r="AV499" s="431" t="s">
        <v>762</v>
      </c>
      <c r="AW499" s="431" t="s">
        <v>762</v>
      </c>
      <c r="AX499" s="431" t="s">
        <v>762</v>
      </c>
      <c r="AY499" s="431" t="s">
        <v>762</v>
      </c>
      <c r="AZ499" s="431" t="s">
        <v>762</v>
      </c>
      <c r="BA499" s="431" t="s">
        <v>762</v>
      </c>
      <c r="BB499" s="431" t="s">
        <v>762</v>
      </c>
      <c r="BC499" s="431" t="s">
        <v>762</v>
      </c>
      <c r="BD499" s="431" t="s">
        <v>762</v>
      </c>
      <c r="BE499" s="431" t="s">
        <v>762</v>
      </c>
      <c r="BF499" s="431">
        <v>278</v>
      </c>
      <c r="BG499" s="431" t="s">
        <v>762</v>
      </c>
      <c r="BH499" s="431" t="s">
        <v>762</v>
      </c>
      <c r="BI499" s="431" t="s">
        <v>762</v>
      </c>
      <c r="BJ499" s="431" t="s">
        <v>762</v>
      </c>
      <c r="BK499" s="431" t="s">
        <v>762</v>
      </c>
      <c r="BL499" s="431">
        <v>342</v>
      </c>
      <c r="BM499" s="431" t="s">
        <v>762</v>
      </c>
      <c r="BN499" s="431" t="s">
        <v>762</v>
      </c>
      <c r="BO499" s="431" t="s">
        <v>762</v>
      </c>
      <c r="BP499" s="431" t="s">
        <v>762</v>
      </c>
      <c r="BQ499" s="431" t="s">
        <v>762</v>
      </c>
      <c r="BR499" s="431" t="s">
        <v>762</v>
      </c>
      <c r="BS499" s="431" t="s">
        <v>762</v>
      </c>
      <c r="BT499" s="431" t="s">
        <v>762</v>
      </c>
      <c r="BU499" s="431" t="s">
        <v>762</v>
      </c>
      <c r="BV499" s="431" t="s">
        <v>762</v>
      </c>
      <c r="BW499" s="431" t="s">
        <v>762</v>
      </c>
      <c r="BX499" s="431" t="s">
        <v>762</v>
      </c>
      <c r="BY499" s="431" t="s">
        <v>762</v>
      </c>
      <c r="BZ499" s="431" t="s">
        <v>762</v>
      </c>
      <c r="CA499" s="431" t="s">
        <v>762</v>
      </c>
      <c r="CB499" s="431" t="s">
        <v>762</v>
      </c>
      <c r="CC499" s="431" t="s">
        <v>762</v>
      </c>
      <c r="CD499" s="431" t="s">
        <v>762</v>
      </c>
      <c r="CE499" s="431" t="s">
        <v>762</v>
      </c>
      <c r="CF499" s="431" t="s">
        <v>762</v>
      </c>
      <c r="CG499" s="431" t="s">
        <v>762</v>
      </c>
      <c r="CH499" s="431" t="s">
        <v>762</v>
      </c>
      <c r="CI499" s="431" t="s">
        <v>762</v>
      </c>
      <c r="CJ499" s="431" t="s">
        <v>762</v>
      </c>
      <c r="CK499" s="431" t="s">
        <v>762</v>
      </c>
      <c r="CL499" s="431" t="s">
        <v>762</v>
      </c>
    </row>
    <row r="500" spans="1:90" s="432" customFormat="1">
      <c r="A500" s="430" t="s">
        <v>552</v>
      </c>
      <c r="B500" s="430" t="s">
        <v>631</v>
      </c>
      <c r="C500" s="431" t="s">
        <v>762</v>
      </c>
      <c r="D500" s="431" t="s">
        <v>762</v>
      </c>
      <c r="E500" s="431" t="s">
        <v>762</v>
      </c>
      <c r="F500" s="431" t="s">
        <v>762</v>
      </c>
      <c r="G500" s="431" t="s">
        <v>762</v>
      </c>
      <c r="H500" s="431" t="s">
        <v>762</v>
      </c>
      <c r="I500" s="431" t="s">
        <v>762</v>
      </c>
      <c r="J500" s="431" t="s">
        <v>762</v>
      </c>
      <c r="K500" s="431" t="s">
        <v>762</v>
      </c>
      <c r="L500" s="431">
        <v>26</v>
      </c>
      <c r="M500" s="431" t="s">
        <v>762</v>
      </c>
      <c r="N500" s="431" t="s">
        <v>762</v>
      </c>
      <c r="O500" s="431" t="s">
        <v>762</v>
      </c>
      <c r="P500" s="431" t="s">
        <v>762</v>
      </c>
      <c r="Q500" s="431" t="s">
        <v>762</v>
      </c>
      <c r="R500" s="431" t="s">
        <v>762</v>
      </c>
      <c r="S500" s="431" t="s">
        <v>762</v>
      </c>
      <c r="T500" s="431" t="s">
        <v>762</v>
      </c>
      <c r="U500" s="431" t="s">
        <v>762</v>
      </c>
      <c r="V500" s="431">
        <v>31</v>
      </c>
      <c r="W500" s="431">
        <v>36</v>
      </c>
      <c r="X500" s="431">
        <v>42</v>
      </c>
      <c r="Y500" s="431">
        <v>47</v>
      </c>
      <c r="Z500" s="431">
        <v>52</v>
      </c>
      <c r="AA500" s="431">
        <v>57</v>
      </c>
      <c r="AB500" s="431">
        <v>63</v>
      </c>
      <c r="AC500" s="431">
        <v>68</v>
      </c>
      <c r="AD500" s="431">
        <v>73</v>
      </c>
      <c r="AE500" s="431" t="s">
        <v>762</v>
      </c>
      <c r="AF500" s="431" t="s">
        <v>762</v>
      </c>
      <c r="AG500" s="431">
        <v>145</v>
      </c>
      <c r="AH500" s="431" t="s">
        <v>762</v>
      </c>
      <c r="AI500" s="431">
        <v>145</v>
      </c>
      <c r="AJ500" s="431" t="s">
        <v>762</v>
      </c>
      <c r="AK500" s="431" t="s">
        <v>762</v>
      </c>
      <c r="AL500" s="431">
        <v>145</v>
      </c>
      <c r="AM500" s="431" t="s">
        <v>762</v>
      </c>
      <c r="AN500" s="431" t="s">
        <v>762</v>
      </c>
      <c r="AO500" s="431" t="s">
        <v>762</v>
      </c>
      <c r="AP500" s="431">
        <v>145</v>
      </c>
      <c r="AQ500" s="431" t="s">
        <v>762</v>
      </c>
      <c r="AR500" s="431" t="s">
        <v>762</v>
      </c>
      <c r="AS500" s="431" t="s">
        <v>762</v>
      </c>
      <c r="AT500" s="431">
        <v>145</v>
      </c>
      <c r="AU500" s="431" t="s">
        <v>762</v>
      </c>
      <c r="AV500" s="431" t="s">
        <v>762</v>
      </c>
      <c r="AW500" s="431" t="s">
        <v>762</v>
      </c>
      <c r="AX500" s="431" t="s">
        <v>762</v>
      </c>
      <c r="AY500" s="431" t="s">
        <v>762</v>
      </c>
      <c r="AZ500" s="431" t="s">
        <v>762</v>
      </c>
      <c r="BA500" s="431" t="s">
        <v>762</v>
      </c>
      <c r="BB500" s="431" t="s">
        <v>762</v>
      </c>
      <c r="BC500" s="431" t="s">
        <v>762</v>
      </c>
      <c r="BD500" s="431" t="s">
        <v>762</v>
      </c>
      <c r="BE500" s="431" t="s">
        <v>762</v>
      </c>
      <c r="BF500" s="431">
        <v>207</v>
      </c>
      <c r="BG500" s="431" t="s">
        <v>762</v>
      </c>
      <c r="BH500" s="431" t="s">
        <v>762</v>
      </c>
      <c r="BI500" s="431" t="s">
        <v>762</v>
      </c>
      <c r="BJ500" s="431" t="s">
        <v>762</v>
      </c>
      <c r="BK500" s="431" t="s">
        <v>762</v>
      </c>
      <c r="BL500" s="431">
        <v>252</v>
      </c>
      <c r="BM500" s="431" t="s">
        <v>762</v>
      </c>
      <c r="BN500" s="431" t="s">
        <v>762</v>
      </c>
      <c r="BO500" s="431" t="s">
        <v>762</v>
      </c>
      <c r="BP500" s="431" t="s">
        <v>762</v>
      </c>
      <c r="BQ500" s="431" t="s">
        <v>762</v>
      </c>
      <c r="BR500" s="431" t="s">
        <v>762</v>
      </c>
      <c r="BS500" s="431" t="s">
        <v>762</v>
      </c>
      <c r="BT500" s="431" t="s">
        <v>762</v>
      </c>
      <c r="BU500" s="431" t="s">
        <v>762</v>
      </c>
      <c r="BV500" s="431" t="s">
        <v>762</v>
      </c>
      <c r="BW500" s="431" t="s">
        <v>762</v>
      </c>
      <c r="BX500" s="431" t="s">
        <v>762</v>
      </c>
      <c r="BY500" s="431" t="s">
        <v>762</v>
      </c>
      <c r="BZ500" s="431" t="s">
        <v>762</v>
      </c>
      <c r="CA500" s="431" t="s">
        <v>762</v>
      </c>
      <c r="CB500" s="431" t="s">
        <v>762</v>
      </c>
      <c r="CC500" s="431" t="s">
        <v>762</v>
      </c>
      <c r="CD500" s="431" t="s">
        <v>762</v>
      </c>
      <c r="CE500" s="431" t="s">
        <v>762</v>
      </c>
      <c r="CF500" s="431" t="s">
        <v>762</v>
      </c>
      <c r="CG500" s="431" t="s">
        <v>762</v>
      </c>
      <c r="CH500" s="431" t="s">
        <v>762</v>
      </c>
      <c r="CI500" s="431" t="s">
        <v>762</v>
      </c>
      <c r="CJ500" s="431" t="s">
        <v>762</v>
      </c>
      <c r="CK500" s="431" t="s">
        <v>762</v>
      </c>
      <c r="CL500" s="431" t="s">
        <v>762</v>
      </c>
    </row>
    <row r="501" spans="1:90" s="432" customFormat="1">
      <c r="A501" s="430" t="s">
        <v>553</v>
      </c>
      <c r="B501" s="430" t="s">
        <v>631</v>
      </c>
      <c r="C501" s="431" t="s">
        <v>762</v>
      </c>
      <c r="D501" s="431" t="s">
        <v>762</v>
      </c>
      <c r="E501" s="431" t="s">
        <v>762</v>
      </c>
      <c r="F501" s="431" t="s">
        <v>762</v>
      </c>
      <c r="G501" s="431" t="s">
        <v>762</v>
      </c>
      <c r="H501" s="431" t="s">
        <v>762</v>
      </c>
      <c r="I501" s="431" t="s">
        <v>762</v>
      </c>
      <c r="J501" s="431" t="s">
        <v>762</v>
      </c>
      <c r="K501" s="431" t="s">
        <v>762</v>
      </c>
      <c r="L501" s="431">
        <v>38</v>
      </c>
      <c r="M501" s="431" t="s">
        <v>762</v>
      </c>
      <c r="N501" s="431" t="s">
        <v>762</v>
      </c>
      <c r="O501" s="431" t="s">
        <v>762</v>
      </c>
      <c r="P501" s="431" t="s">
        <v>762</v>
      </c>
      <c r="Q501" s="431" t="s">
        <v>762</v>
      </c>
      <c r="R501" s="431" t="s">
        <v>762</v>
      </c>
      <c r="S501" s="431" t="s">
        <v>762</v>
      </c>
      <c r="T501" s="431" t="s">
        <v>762</v>
      </c>
      <c r="U501" s="431" t="s">
        <v>762</v>
      </c>
      <c r="V501" s="431">
        <v>48</v>
      </c>
      <c r="W501" s="431">
        <v>57</v>
      </c>
      <c r="X501" s="431">
        <v>64</v>
      </c>
      <c r="Y501" s="431">
        <v>72</v>
      </c>
      <c r="Z501" s="431">
        <v>79</v>
      </c>
      <c r="AA501" s="431">
        <v>86</v>
      </c>
      <c r="AB501" s="431">
        <v>93</v>
      </c>
      <c r="AC501" s="431">
        <v>99</v>
      </c>
      <c r="AD501" s="431">
        <v>106</v>
      </c>
      <c r="AE501" s="431" t="s">
        <v>762</v>
      </c>
      <c r="AF501" s="431" t="s">
        <v>762</v>
      </c>
      <c r="AG501" s="431">
        <v>209</v>
      </c>
      <c r="AH501" s="431" t="s">
        <v>762</v>
      </c>
      <c r="AI501" s="431">
        <v>209</v>
      </c>
      <c r="AJ501" s="431" t="s">
        <v>762</v>
      </c>
      <c r="AK501" s="431" t="s">
        <v>762</v>
      </c>
      <c r="AL501" s="431">
        <v>209</v>
      </c>
      <c r="AM501" s="431" t="s">
        <v>762</v>
      </c>
      <c r="AN501" s="431" t="s">
        <v>762</v>
      </c>
      <c r="AO501" s="431" t="s">
        <v>762</v>
      </c>
      <c r="AP501" s="431">
        <v>209</v>
      </c>
      <c r="AQ501" s="431" t="s">
        <v>762</v>
      </c>
      <c r="AR501" s="431" t="s">
        <v>762</v>
      </c>
      <c r="AS501" s="431" t="s">
        <v>762</v>
      </c>
      <c r="AT501" s="431">
        <v>209</v>
      </c>
      <c r="AU501" s="431" t="s">
        <v>762</v>
      </c>
      <c r="AV501" s="431" t="s">
        <v>762</v>
      </c>
      <c r="AW501" s="431" t="s">
        <v>762</v>
      </c>
      <c r="AX501" s="431" t="s">
        <v>762</v>
      </c>
      <c r="AY501" s="431" t="s">
        <v>762</v>
      </c>
      <c r="AZ501" s="431" t="s">
        <v>762</v>
      </c>
      <c r="BA501" s="431" t="s">
        <v>762</v>
      </c>
      <c r="BB501" s="431" t="s">
        <v>762</v>
      </c>
      <c r="BC501" s="431" t="s">
        <v>762</v>
      </c>
      <c r="BD501" s="431" t="s">
        <v>762</v>
      </c>
      <c r="BE501" s="431" t="s">
        <v>762</v>
      </c>
      <c r="BF501" s="431">
        <v>350</v>
      </c>
      <c r="BG501" s="431" t="s">
        <v>762</v>
      </c>
      <c r="BH501" s="431" t="s">
        <v>762</v>
      </c>
      <c r="BI501" s="431" t="s">
        <v>762</v>
      </c>
      <c r="BJ501" s="431" t="s">
        <v>762</v>
      </c>
      <c r="BK501" s="431" t="s">
        <v>762</v>
      </c>
      <c r="BL501" s="431">
        <v>499</v>
      </c>
      <c r="BM501" s="431" t="s">
        <v>762</v>
      </c>
      <c r="BN501" s="431" t="s">
        <v>762</v>
      </c>
      <c r="BO501" s="431" t="s">
        <v>762</v>
      </c>
      <c r="BP501" s="431" t="s">
        <v>762</v>
      </c>
      <c r="BQ501" s="431" t="s">
        <v>762</v>
      </c>
      <c r="BR501" s="431" t="s">
        <v>762</v>
      </c>
      <c r="BS501" s="431" t="s">
        <v>762</v>
      </c>
      <c r="BT501" s="431" t="s">
        <v>762</v>
      </c>
      <c r="BU501" s="431" t="s">
        <v>762</v>
      </c>
      <c r="BV501" s="431" t="s">
        <v>762</v>
      </c>
      <c r="BW501" s="431" t="s">
        <v>762</v>
      </c>
      <c r="BX501" s="431" t="s">
        <v>762</v>
      </c>
      <c r="BY501" s="431" t="s">
        <v>762</v>
      </c>
      <c r="BZ501" s="431" t="s">
        <v>762</v>
      </c>
      <c r="CA501" s="431" t="s">
        <v>762</v>
      </c>
      <c r="CB501" s="431" t="s">
        <v>762</v>
      </c>
      <c r="CC501" s="431" t="s">
        <v>762</v>
      </c>
      <c r="CD501" s="431" t="s">
        <v>762</v>
      </c>
      <c r="CE501" s="431" t="s">
        <v>762</v>
      </c>
      <c r="CF501" s="431" t="s">
        <v>762</v>
      </c>
      <c r="CG501" s="431" t="s">
        <v>762</v>
      </c>
      <c r="CH501" s="431" t="s">
        <v>762</v>
      </c>
      <c r="CI501" s="431" t="s">
        <v>762</v>
      </c>
      <c r="CJ501" s="431" t="s">
        <v>762</v>
      </c>
      <c r="CK501" s="431" t="s">
        <v>762</v>
      </c>
      <c r="CL501" s="431" t="s">
        <v>762</v>
      </c>
    </row>
    <row r="502" spans="1:90" s="432" customFormat="1">
      <c r="A502" s="430" t="s">
        <v>554</v>
      </c>
      <c r="B502" s="430" t="s">
        <v>631</v>
      </c>
      <c r="C502" s="431" t="s">
        <v>762</v>
      </c>
      <c r="D502" s="431" t="s">
        <v>762</v>
      </c>
      <c r="E502" s="431" t="s">
        <v>762</v>
      </c>
      <c r="F502" s="431" t="s">
        <v>762</v>
      </c>
      <c r="G502" s="431" t="s">
        <v>762</v>
      </c>
      <c r="H502" s="431" t="s">
        <v>762</v>
      </c>
      <c r="I502" s="431" t="s">
        <v>762</v>
      </c>
      <c r="J502" s="431" t="s">
        <v>762</v>
      </c>
      <c r="K502" s="431" t="s">
        <v>762</v>
      </c>
      <c r="L502" s="431">
        <v>23</v>
      </c>
      <c r="M502" s="431" t="s">
        <v>762</v>
      </c>
      <c r="N502" s="431" t="s">
        <v>762</v>
      </c>
      <c r="O502" s="431" t="s">
        <v>762</v>
      </c>
      <c r="P502" s="431" t="s">
        <v>762</v>
      </c>
      <c r="Q502" s="431" t="s">
        <v>762</v>
      </c>
      <c r="R502" s="431" t="s">
        <v>762</v>
      </c>
      <c r="S502" s="431" t="s">
        <v>762</v>
      </c>
      <c r="T502" s="431" t="s">
        <v>762</v>
      </c>
      <c r="U502" s="431" t="s">
        <v>762</v>
      </c>
      <c r="V502" s="431">
        <v>25</v>
      </c>
      <c r="W502" s="431">
        <v>30</v>
      </c>
      <c r="X502" s="431">
        <v>34</v>
      </c>
      <c r="Y502" s="431">
        <v>35</v>
      </c>
      <c r="Z502" s="431">
        <v>38</v>
      </c>
      <c r="AA502" s="431">
        <v>40</v>
      </c>
      <c r="AB502" s="431">
        <v>43</v>
      </c>
      <c r="AC502" s="431">
        <v>45</v>
      </c>
      <c r="AD502" s="431">
        <v>48</v>
      </c>
      <c r="AE502" s="431" t="s">
        <v>762</v>
      </c>
      <c r="AF502" s="431" t="s">
        <v>762</v>
      </c>
      <c r="AG502" s="431">
        <v>117</v>
      </c>
      <c r="AH502" s="431" t="s">
        <v>762</v>
      </c>
      <c r="AI502" s="431">
        <v>117</v>
      </c>
      <c r="AJ502" s="431" t="s">
        <v>762</v>
      </c>
      <c r="AK502" s="431" t="s">
        <v>762</v>
      </c>
      <c r="AL502" s="431">
        <v>117</v>
      </c>
      <c r="AM502" s="431" t="s">
        <v>762</v>
      </c>
      <c r="AN502" s="431" t="s">
        <v>762</v>
      </c>
      <c r="AO502" s="431" t="s">
        <v>762</v>
      </c>
      <c r="AP502" s="431">
        <v>117</v>
      </c>
      <c r="AQ502" s="431" t="s">
        <v>762</v>
      </c>
      <c r="AR502" s="431" t="s">
        <v>762</v>
      </c>
      <c r="AS502" s="431" t="s">
        <v>762</v>
      </c>
      <c r="AT502" s="431">
        <v>117</v>
      </c>
      <c r="AU502" s="431" t="s">
        <v>762</v>
      </c>
      <c r="AV502" s="431" t="s">
        <v>762</v>
      </c>
      <c r="AW502" s="431" t="s">
        <v>762</v>
      </c>
      <c r="AX502" s="431" t="s">
        <v>762</v>
      </c>
      <c r="AY502" s="431" t="s">
        <v>762</v>
      </c>
      <c r="AZ502" s="431" t="s">
        <v>762</v>
      </c>
      <c r="BA502" s="431" t="s">
        <v>762</v>
      </c>
      <c r="BB502" s="431" t="s">
        <v>762</v>
      </c>
      <c r="BC502" s="431" t="s">
        <v>762</v>
      </c>
      <c r="BD502" s="431" t="s">
        <v>762</v>
      </c>
      <c r="BE502" s="431" t="s">
        <v>762</v>
      </c>
      <c r="BF502" s="431">
        <v>160</v>
      </c>
      <c r="BG502" s="431" t="s">
        <v>762</v>
      </c>
      <c r="BH502" s="431" t="s">
        <v>762</v>
      </c>
      <c r="BI502" s="431" t="s">
        <v>762</v>
      </c>
      <c r="BJ502" s="431" t="s">
        <v>762</v>
      </c>
      <c r="BK502" s="431" t="s">
        <v>762</v>
      </c>
      <c r="BL502" s="431">
        <v>204</v>
      </c>
      <c r="BM502" s="431" t="s">
        <v>762</v>
      </c>
      <c r="BN502" s="431" t="s">
        <v>762</v>
      </c>
      <c r="BO502" s="431" t="s">
        <v>762</v>
      </c>
      <c r="BP502" s="431" t="s">
        <v>762</v>
      </c>
      <c r="BQ502" s="431" t="s">
        <v>762</v>
      </c>
      <c r="BR502" s="431" t="s">
        <v>762</v>
      </c>
      <c r="BS502" s="431" t="s">
        <v>762</v>
      </c>
      <c r="BT502" s="431" t="s">
        <v>762</v>
      </c>
      <c r="BU502" s="431" t="s">
        <v>762</v>
      </c>
      <c r="BV502" s="431" t="s">
        <v>762</v>
      </c>
      <c r="BW502" s="431" t="s">
        <v>762</v>
      </c>
      <c r="BX502" s="431" t="s">
        <v>762</v>
      </c>
      <c r="BY502" s="431" t="s">
        <v>762</v>
      </c>
      <c r="BZ502" s="431" t="s">
        <v>762</v>
      </c>
      <c r="CA502" s="431" t="s">
        <v>762</v>
      </c>
      <c r="CB502" s="431" t="s">
        <v>762</v>
      </c>
      <c r="CC502" s="431" t="s">
        <v>762</v>
      </c>
      <c r="CD502" s="431" t="s">
        <v>762</v>
      </c>
      <c r="CE502" s="431" t="s">
        <v>762</v>
      </c>
      <c r="CF502" s="431" t="s">
        <v>762</v>
      </c>
      <c r="CG502" s="431" t="s">
        <v>762</v>
      </c>
      <c r="CH502" s="431" t="s">
        <v>762</v>
      </c>
      <c r="CI502" s="431" t="s">
        <v>762</v>
      </c>
      <c r="CJ502" s="431" t="s">
        <v>762</v>
      </c>
      <c r="CK502" s="431" t="s">
        <v>762</v>
      </c>
      <c r="CL502" s="431" t="s">
        <v>762</v>
      </c>
    </row>
    <row r="503" spans="1:90" s="432" customFormat="1">
      <c r="A503" s="430" t="s">
        <v>555</v>
      </c>
      <c r="B503" s="430" t="s">
        <v>631</v>
      </c>
      <c r="C503" s="431" t="s">
        <v>762</v>
      </c>
      <c r="D503" s="431" t="s">
        <v>762</v>
      </c>
      <c r="E503" s="431" t="s">
        <v>762</v>
      </c>
      <c r="F503" s="431" t="s">
        <v>762</v>
      </c>
      <c r="G503" s="431" t="s">
        <v>762</v>
      </c>
      <c r="H503" s="431" t="s">
        <v>762</v>
      </c>
      <c r="I503" s="431" t="s">
        <v>762</v>
      </c>
      <c r="J503" s="431" t="s">
        <v>762</v>
      </c>
      <c r="K503" s="431" t="s">
        <v>762</v>
      </c>
      <c r="L503" s="431">
        <v>22</v>
      </c>
      <c r="M503" s="431" t="s">
        <v>762</v>
      </c>
      <c r="N503" s="431" t="s">
        <v>762</v>
      </c>
      <c r="O503" s="431" t="s">
        <v>762</v>
      </c>
      <c r="P503" s="431" t="s">
        <v>762</v>
      </c>
      <c r="Q503" s="431" t="s">
        <v>762</v>
      </c>
      <c r="R503" s="431" t="s">
        <v>762</v>
      </c>
      <c r="S503" s="431" t="s">
        <v>762</v>
      </c>
      <c r="T503" s="431" t="s">
        <v>762</v>
      </c>
      <c r="U503" s="431" t="s">
        <v>762</v>
      </c>
      <c r="V503" s="431">
        <v>28</v>
      </c>
      <c r="W503" s="431">
        <v>33</v>
      </c>
      <c r="X503" s="431">
        <v>36</v>
      </c>
      <c r="Y503" s="431">
        <v>42</v>
      </c>
      <c r="Z503" s="431">
        <v>44</v>
      </c>
      <c r="AA503" s="431">
        <v>49</v>
      </c>
      <c r="AB503" s="431">
        <v>52</v>
      </c>
      <c r="AC503" s="431">
        <v>55</v>
      </c>
      <c r="AD503" s="431">
        <v>58</v>
      </c>
      <c r="AE503" s="431" t="s">
        <v>762</v>
      </c>
      <c r="AF503" s="431" t="s">
        <v>762</v>
      </c>
      <c r="AG503" s="431">
        <v>139</v>
      </c>
      <c r="AH503" s="431" t="s">
        <v>762</v>
      </c>
      <c r="AI503" s="431">
        <v>139</v>
      </c>
      <c r="AJ503" s="431" t="s">
        <v>762</v>
      </c>
      <c r="AK503" s="431" t="s">
        <v>762</v>
      </c>
      <c r="AL503" s="431">
        <v>139</v>
      </c>
      <c r="AM503" s="431" t="s">
        <v>762</v>
      </c>
      <c r="AN503" s="431" t="s">
        <v>762</v>
      </c>
      <c r="AO503" s="431" t="s">
        <v>762</v>
      </c>
      <c r="AP503" s="431">
        <v>139</v>
      </c>
      <c r="AQ503" s="431" t="s">
        <v>762</v>
      </c>
      <c r="AR503" s="431" t="s">
        <v>762</v>
      </c>
      <c r="AS503" s="431" t="s">
        <v>762</v>
      </c>
      <c r="AT503" s="431">
        <v>139</v>
      </c>
      <c r="AU503" s="431" t="s">
        <v>762</v>
      </c>
      <c r="AV503" s="431" t="s">
        <v>762</v>
      </c>
      <c r="AW503" s="431" t="s">
        <v>762</v>
      </c>
      <c r="AX503" s="431" t="s">
        <v>762</v>
      </c>
      <c r="AY503" s="431" t="s">
        <v>762</v>
      </c>
      <c r="AZ503" s="431" t="s">
        <v>762</v>
      </c>
      <c r="BA503" s="431" t="s">
        <v>762</v>
      </c>
      <c r="BB503" s="431" t="s">
        <v>762</v>
      </c>
      <c r="BC503" s="431" t="s">
        <v>762</v>
      </c>
      <c r="BD503" s="431" t="s">
        <v>762</v>
      </c>
      <c r="BE503" s="431" t="s">
        <v>762</v>
      </c>
      <c r="BF503" s="431">
        <v>202</v>
      </c>
      <c r="BG503" s="431" t="s">
        <v>762</v>
      </c>
      <c r="BH503" s="431" t="s">
        <v>762</v>
      </c>
      <c r="BI503" s="431" t="s">
        <v>762</v>
      </c>
      <c r="BJ503" s="431" t="s">
        <v>762</v>
      </c>
      <c r="BK503" s="431" t="s">
        <v>762</v>
      </c>
      <c r="BL503" s="431">
        <v>242</v>
      </c>
      <c r="BM503" s="431" t="s">
        <v>762</v>
      </c>
      <c r="BN503" s="431" t="s">
        <v>762</v>
      </c>
      <c r="BO503" s="431" t="s">
        <v>762</v>
      </c>
      <c r="BP503" s="431" t="s">
        <v>762</v>
      </c>
      <c r="BQ503" s="431" t="s">
        <v>762</v>
      </c>
      <c r="BR503" s="431" t="s">
        <v>762</v>
      </c>
      <c r="BS503" s="431" t="s">
        <v>762</v>
      </c>
      <c r="BT503" s="431" t="s">
        <v>762</v>
      </c>
      <c r="BU503" s="431" t="s">
        <v>762</v>
      </c>
      <c r="BV503" s="431" t="s">
        <v>762</v>
      </c>
      <c r="BW503" s="431" t="s">
        <v>762</v>
      </c>
      <c r="BX503" s="431" t="s">
        <v>762</v>
      </c>
      <c r="BY503" s="431" t="s">
        <v>762</v>
      </c>
      <c r="BZ503" s="431" t="s">
        <v>762</v>
      </c>
      <c r="CA503" s="431" t="s">
        <v>762</v>
      </c>
      <c r="CB503" s="431" t="s">
        <v>762</v>
      </c>
      <c r="CC503" s="431" t="s">
        <v>762</v>
      </c>
      <c r="CD503" s="431" t="s">
        <v>762</v>
      </c>
      <c r="CE503" s="431" t="s">
        <v>762</v>
      </c>
      <c r="CF503" s="431" t="s">
        <v>762</v>
      </c>
      <c r="CG503" s="431" t="s">
        <v>762</v>
      </c>
      <c r="CH503" s="431" t="s">
        <v>762</v>
      </c>
      <c r="CI503" s="431" t="s">
        <v>762</v>
      </c>
      <c r="CJ503" s="431" t="s">
        <v>762</v>
      </c>
      <c r="CK503" s="431" t="s">
        <v>762</v>
      </c>
      <c r="CL503" s="431" t="s">
        <v>762</v>
      </c>
    </row>
    <row r="504" spans="1:90" s="432" customFormat="1">
      <c r="A504" s="430" t="s">
        <v>556</v>
      </c>
      <c r="B504" s="430" t="s">
        <v>631</v>
      </c>
      <c r="C504" s="431" t="s">
        <v>762</v>
      </c>
      <c r="D504" s="431" t="s">
        <v>762</v>
      </c>
      <c r="E504" s="431" t="s">
        <v>762</v>
      </c>
      <c r="F504" s="431" t="s">
        <v>762</v>
      </c>
      <c r="G504" s="431" t="s">
        <v>762</v>
      </c>
      <c r="H504" s="431" t="s">
        <v>762</v>
      </c>
      <c r="I504" s="431" t="s">
        <v>762</v>
      </c>
      <c r="J504" s="431" t="s">
        <v>762</v>
      </c>
      <c r="K504" s="431" t="s">
        <v>762</v>
      </c>
      <c r="L504" s="431">
        <v>26</v>
      </c>
      <c r="M504" s="431" t="s">
        <v>762</v>
      </c>
      <c r="N504" s="431" t="s">
        <v>762</v>
      </c>
      <c r="O504" s="431" t="s">
        <v>762</v>
      </c>
      <c r="P504" s="431" t="s">
        <v>762</v>
      </c>
      <c r="Q504" s="431" t="s">
        <v>762</v>
      </c>
      <c r="R504" s="431" t="s">
        <v>762</v>
      </c>
      <c r="S504" s="431" t="s">
        <v>762</v>
      </c>
      <c r="T504" s="431" t="s">
        <v>762</v>
      </c>
      <c r="U504" s="431" t="s">
        <v>762</v>
      </c>
      <c r="V504" s="431">
        <v>31</v>
      </c>
      <c r="W504" s="431">
        <v>34</v>
      </c>
      <c r="X504" s="431">
        <v>39</v>
      </c>
      <c r="Y504" s="431">
        <v>43</v>
      </c>
      <c r="Z504" s="431">
        <v>47</v>
      </c>
      <c r="AA504" s="431">
        <v>52</v>
      </c>
      <c r="AB504" s="431">
        <v>56</v>
      </c>
      <c r="AC504" s="431">
        <v>60</v>
      </c>
      <c r="AD504" s="431">
        <v>65</v>
      </c>
      <c r="AE504" s="431" t="s">
        <v>762</v>
      </c>
      <c r="AF504" s="431" t="s">
        <v>762</v>
      </c>
      <c r="AG504" s="431">
        <v>124</v>
      </c>
      <c r="AH504" s="431" t="s">
        <v>762</v>
      </c>
      <c r="AI504" s="431">
        <v>124</v>
      </c>
      <c r="AJ504" s="431" t="s">
        <v>762</v>
      </c>
      <c r="AK504" s="431" t="s">
        <v>762</v>
      </c>
      <c r="AL504" s="431">
        <v>124</v>
      </c>
      <c r="AM504" s="431" t="s">
        <v>762</v>
      </c>
      <c r="AN504" s="431" t="s">
        <v>762</v>
      </c>
      <c r="AO504" s="431" t="s">
        <v>762</v>
      </c>
      <c r="AP504" s="431">
        <v>124</v>
      </c>
      <c r="AQ504" s="431" t="s">
        <v>762</v>
      </c>
      <c r="AR504" s="431" t="s">
        <v>762</v>
      </c>
      <c r="AS504" s="431" t="s">
        <v>762</v>
      </c>
      <c r="AT504" s="431">
        <v>124</v>
      </c>
      <c r="AU504" s="431" t="s">
        <v>762</v>
      </c>
      <c r="AV504" s="431" t="s">
        <v>762</v>
      </c>
      <c r="AW504" s="431" t="s">
        <v>762</v>
      </c>
      <c r="AX504" s="431" t="s">
        <v>762</v>
      </c>
      <c r="AY504" s="431" t="s">
        <v>762</v>
      </c>
      <c r="AZ504" s="431" t="s">
        <v>762</v>
      </c>
      <c r="BA504" s="431" t="s">
        <v>762</v>
      </c>
      <c r="BB504" s="431" t="s">
        <v>762</v>
      </c>
      <c r="BC504" s="431" t="s">
        <v>762</v>
      </c>
      <c r="BD504" s="431" t="s">
        <v>762</v>
      </c>
      <c r="BE504" s="431" t="s">
        <v>762</v>
      </c>
      <c r="BF504" s="431">
        <v>186</v>
      </c>
      <c r="BG504" s="431" t="s">
        <v>762</v>
      </c>
      <c r="BH504" s="431" t="s">
        <v>762</v>
      </c>
      <c r="BI504" s="431" t="s">
        <v>762</v>
      </c>
      <c r="BJ504" s="431" t="s">
        <v>762</v>
      </c>
      <c r="BK504" s="431" t="s">
        <v>762</v>
      </c>
      <c r="BL504" s="431">
        <v>226</v>
      </c>
      <c r="BM504" s="431" t="s">
        <v>762</v>
      </c>
      <c r="BN504" s="431" t="s">
        <v>762</v>
      </c>
      <c r="BO504" s="431" t="s">
        <v>762</v>
      </c>
      <c r="BP504" s="431" t="s">
        <v>762</v>
      </c>
      <c r="BQ504" s="431" t="s">
        <v>762</v>
      </c>
      <c r="BR504" s="431" t="s">
        <v>762</v>
      </c>
      <c r="BS504" s="431" t="s">
        <v>762</v>
      </c>
      <c r="BT504" s="431" t="s">
        <v>762</v>
      </c>
      <c r="BU504" s="431" t="s">
        <v>762</v>
      </c>
      <c r="BV504" s="431" t="s">
        <v>762</v>
      </c>
      <c r="BW504" s="431" t="s">
        <v>762</v>
      </c>
      <c r="BX504" s="431" t="s">
        <v>762</v>
      </c>
      <c r="BY504" s="431" t="s">
        <v>762</v>
      </c>
      <c r="BZ504" s="431" t="s">
        <v>762</v>
      </c>
      <c r="CA504" s="431" t="s">
        <v>762</v>
      </c>
      <c r="CB504" s="431" t="s">
        <v>762</v>
      </c>
      <c r="CC504" s="431" t="s">
        <v>762</v>
      </c>
      <c r="CD504" s="431" t="s">
        <v>762</v>
      </c>
      <c r="CE504" s="431" t="s">
        <v>762</v>
      </c>
      <c r="CF504" s="431" t="s">
        <v>762</v>
      </c>
      <c r="CG504" s="431" t="s">
        <v>762</v>
      </c>
      <c r="CH504" s="431" t="s">
        <v>762</v>
      </c>
      <c r="CI504" s="431" t="s">
        <v>762</v>
      </c>
      <c r="CJ504" s="431" t="s">
        <v>762</v>
      </c>
      <c r="CK504" s="431" t="s">
        <v>762</v>
      </c>
      <c r="CL504" s="431" t="s">
        <v>762</v>
      </c>
    </row>
    <row r="505" spans="1:90" s="432" customFormat="1">
      <c r="A505" s="430" t="s">
        <v>557</v>
      </c>
      <c r="B505" s="430" t="s">
        <v>631</v>
      </c>
      <c r="C505" s="431" t="s">
        <v>762</v>
      </c>
      <c r="D505" s="431" t="s">
        <v>762</v>
      </c>
      <c r="E505" s="431" t="s">
        <v>762</v>
      </c>
      <c r="F505" s="431" t="s">
        <v>762</v>
      </c>
      <c r="G505" s="431" t="s">
        <v>762</v>
      </c>
      <c r="H505" s="431" t="s">
        <v>762</v>
      </c>
      <c r="I505" s="431" t="s">
        <v>762</v>
      </c>
      <c r="J505" s="431" t="s">
        <v>762</v>
      </c>
      <c r="K505" s="431" t="s">
        <v>762</v>
      </c>
      <c r="L505" s="431">
        <v>27</v>
      </c>
      <c r="M505" s="431" t="s">
        <v>762</v>
      </c>
      <c r="N505" s="431" t="s">
        <v>762</v>
      </c>
      <c r="O505" s="431" t="s">
        <v>762</v>
      </c>
      <c r="P505" s="431" t="s">
        <v>762</v>
      </c>
      <c r="Q505" s="431" t="s">
        <v>762</v>
      </c>
      <c r="R505" s="431" t="s">
        <v>762</v>
      </c>
      <c r="S505" s="431" t="s">
        <v>762</v>
      </c>
      <c r="T505" s="431" t="s">
        <v>762</v>
      </c>
      <c r="U505" s="431" t="s">
        <v>762</v>
      </c>
      <c r="V505" s="431">
        <v>34</v>
      </c>
      <c r="W505" s="431">
        <v>41</v>
      </c>
      <c r="X505" s="431">
        <v>48</v>
      </c>
      <c r="Y505" s="431">
        <v>55</v>
      </c>
      <c r="Z505" s="431">
        <v>62</v>
      </c>
      <c r="AA505" s="431">
        <v>69</v>
      </c>
      <c r="AB505" s="431">
        <v>76</v>
      </c>
      <c r="AC505" s="431">
        <v>82</v>
      </c>
      <c r="AD505" s="431">
        <v>89</v>
      </c>
      <c r="AE505" s="431" t="s">
        <v>762</v>
      </c>
      <c r="AF505" s="431" t="s">
        <v>762</v>
      </c>
      <c r="AG505" s="431">
        <v>187</v>
      </c>
      <c r="AH505" s="431" t="s">
        <v>762</v>
      </c>
      <c r="AI505" s="431">
        <v>187</v>
      </c>
      <c r="AJ505" s="431" t="s">
        <v>762</v>
      </c>
      <c r="AK505" s="431" t="s">
        <v>762</v>
      </c>
      <c r="AL505" s="431">
        <v>187</v>
      </c>
      <c r="AM505" s="431" t="s">
        <v>762</v>
      </c>
      <c r="AN505" s="431" t="s">
        <v>762</v>
      </c>
      <c r="AO505" s="431" t="s">
        <v>762</v>
      </c>
      <c r="AP505" s="431">
        <v>187</v>
      </c>
      <c r="AQ505" s="431" t="s">
        <v>762</v>
      </c>
      <c r="AR505" s="431" t="s">
        <v>762</v>
      </c>
      <c r="AS505" s="431" t="s">
        <v>762</v>
      </c>
      <c r="AT505" s="431">
        <v>187</v>
      </c>
      <c r="AU505" s="431" t="s">
        <v>762</v>
      </c>
      <c r="AV505" s="431" t="s">
        <v>762</v>
      </c>
      <c r="AW505" s="431" t="s">
        <v>762</v>
      </c>
      <c r="AX505" s="431" t="s">
        <v>762</v>
      </c>
      <c r="AY505" s="431" t="s">
        <v>762</v>
      </c>
      <c r="AZ505" s="431" t="s">
        <v>762</v>
      </c>
      <c r="BA505" s="431" t="s">
        <v>762</v>
      </c>
      <c r="BB505" s="431" t="s">
        <v>762</v>
      </c>
      <c r="BC505" s="431" t="s">
        <v>762</v>
      </c>
      <c r="BD505" s="431" t="s">
        <v>762</v>
      </c>
      <c r="BE505" s="431" t="s">
        <v>762</v>
      </c>
      <c r="BF505" s="431">
        <v>308</v>
      </c>
      <c r="BG505" s="431" t="s">
        <v>762</v>
      </c>
      <c r="BH505" s="431" t="s">
        <v>762</v>
      </c>
      <c r="BI505" s="431" t="s">
        <v>762</v>
      </c>
      <c r="BJ505" s="431" t="s">
        <v>762</v>
      </c>
      <c r="BK505" s="431" t="s">
        <v>762</v>
      </c>
      <c r="BL505" s="431">
        <v>427</v>
      </c>
      <c r="BM505" s="431" t="s">
        <v>762</v>
      </c>
      <c r="BN505" s="431" t="s">
        <v>762</v>
      </c>
      <c r="BO505" s="431" t="s">
        <v>762</v>
      </c>
      <c r="BP505" s="431" t="s">
        <v>762</v>
      </c>
      <c r="BQ505" s="431" t="s">
        <v>762</v>
      </c>
      <c r="BR505" s="431" t="s">
        <v>762</v>
      </c>
      <c r="BS505" s="431" t="s">
        <v>762</v>
      </c>
      <c r="BT505" s="431" t="s">
        <v>762</v>
      </c>
      <c r="BU505" s="431" t="s">
        <v>762</v>
      </c>
      <c r="BV505" s="431" t="s">
        <v>762</v>
      </c>
      <c r="BW505" s="431" t="s">
        <v>762</v>
      </c>
      <c r="BX505" s="431" t="s">
        <v>762</v>
      </c>
      <c r="BY505" s="431" t="s">
        <v>762</v>
      </c>
      <c r="BZ505" s="431" t="s">
        <v>762</v>
      </c>
      <c r="CA505" s="431" t="s">
        <v>762</v>
      </c>
      <c r="CB505" s="431" t="s">
        <v>762</v>
      </c>
      <c r="CC505" s="431" t="s">
        <v>762</v>
      </c>
      <c r="CD505" s="431" t="s">
        <v>762</v>
      </c>
      <c r="CE505" s="431" t="s">
        <v>762</v>
      </c>
      <c r="CF505" s="431" t="s">
        <v>762</v>
      </c>
      <c r="CG505" s="431" t="s">
        <v>762</v>
      </c>
      <c r="CH505" s="431" t="s">
        <v>762</v>
      </c>
      <c r="CI505" s="431" t="s">
        <v>762</v>
      </c>
      <c r="CJ505" s="431" t="s">
        <v>762</v>
      </c>
      <c r="CK505" s="431" t="s">
        <v>762</v>
      </c>
      <c r="CL505" s="431" t="s">
        <v>762</v>
      </c>
    </row>
    <row r="506" spans="1:90" s="432" customFormat="1">
      <c r="A506" s="430" t="s">
        <v>558</v>
      </c>
      <c r="B506" s="430" t="s">
        <v>631</v>
      </c>
      <c r="C506" s="431" t="s">
        <v>762</v>
      </c>
      <c r="D506" s="431" t="s">
        <v>762</v>
      </c>
      <c r="E506" s="431" t="s">
        <v>762</v>
      </c>
      <c r="F506" s="431" t="s">
        <v>762</v>
      </c>
      <c r="G506" s="431" t="s">
        <v>762</v>
      </c>
      <c r="H506" s="431" t="s">
        <v>762</v>
      </c>
      <c r="I506" s="431" t="s">
        <v>762</v>
      </c>
      <c r="J506" s="431" t="s">
        <v>762</v>
      </c>
      <c r="K506" s="431" t="s">
        <v>762</v>
      </c>
      <c r="L506" s="431">
        <v>39</v>
      </c>
      <c r="M506" s="431" t="s">
        <v>762</v>
      </c>
      <c r="N506" s="431" t="s">
        <v>762</v>
      </c>
      <c r="O506" s="431" t="s">
        <v>762</v>
      </c>
      <c r="P506" s="431" t="s">
        <v>762</v>
      </c>
      <c r="Q506" s="431" t="s">
        <v>762</v>
      </c>
      <c r="R506" s="431" t="s">
        <v>762</v>
      </c>
      <c r="S506" s="431" t="s">
        <v>762</v>
      </c>
      <c r="T506" s="431" t="s">
        <v>762</v>
      </c>
      <c r="U506" s="431" t="s">
        <v>762</v>
      </c>
      <c r="V506" s="431">
        <v>49</v>
      </c>
      <c r="W506" s="431">
        <v>60</v>
      </c>
      <c r="X506" s="431">
        <v>70</v>
      </c>
      <c r="Y506" s="431">
        <v>80</v>
      </c>
      <c r="Z506" s="431">
        <v>91</v>
      </c>
      <c r="AA506" s="431">
        <v>101</v>
      </c>
      <c r="AB506" s="431">
        <v>111</v>
      </c>
      <c r="AC506" s="431">
        <v>122</v>
      </c>
      <c r="AD506" s="431">
        <v>132</v>
      </c>
      <c r="AE506" s="431" t="s">
        <v>762</v>
      </c>
      <c r="AF506" s="431" t="s">
        <v>762</v>
      </c>
      <c r="AG506" s="431" t="s">
        <v>762</v>
      </c>
      <c r="AH506" s="431" t="s">
        <v>762</v>
      </c>
      <c r="AI506" s="431" t="s">
        <v>762</v>
      </c>
      <c r="AJ506" s="431" t="s">
        <v>762</v>
      </c>
      <c r="AK506" s="431" t="s">
        <v>762</v>
      </c>
      <c r="AL506" s="431" t="s">
        <v>762</v>
      </c>
      <c r="AM506" s="431" t="s">
        <v>762</v>
      </c>
      <c r="AN506" s="431" t="s">
        <v>762</v>
      </c>
      <c r="AO506" s="431" t="s">
        <v>762</v>
      </c>
      <c r="AP506" s="431" t="s">
        <v>762</v>
      </c>
      <c r="AQ506" s="431" t="s">
        <v>762</v>
      </c>
      <c r="AR506" s="431" t="s">
        <v>762</v>
      </c>
      <c r="AS506" s="431" t="s">
        <v>762</v>
      </c>
      <c r="AT506" s="431" t="s">
        <v>762</v>
      </c>
      <c r="AU506" s="431" t="s">
        <v>762</v>
      </c>
      <c r="AV506" s="431" t="s">
        <v>762</v>
      </c>
      <c r="AW506" s="431" t="s">
        <v>762</v>
      </c>
      <c r="AX506" s="431" t="s">
        <v>762</v>
      </c>
      <c r="AY506" s="431" t="s">
        <v>762</v>
      </c>
      <c r="AZ506" s="431" t="s">
        <v>762</v>
      </c>
      <c r="BA506" s="431" t="s">
        <v>762</v>
      </c>
      <c r="BB506" s="431" t="s">
        <v>762</v>
      </c>
      <c r="BC506" s="431" t="s">
        <v>762</v>
      </c>
      <c r="BD506" s="431" t="s">
        <v>762</v>
      </c>
      <c r="BE506" s="431" t="s">
        <v>762</v>
      </c>
      <c r="BF506" s="431" t="s">
        <v>762</v>
      </c>
      <c r="BG506" s="431" t="s">
        <v>762</v>
      </c>
      <c r="BH506" s="431" t="s">
        <v>762</v>
      </c>
      <c r="BI506" s="431" t="s">
        <v>762</v>
      </c>
      <c r="BJ506" s="431" t="s">
        <v>762</v>
      </c>
      <c r="BK506" s="431" t="s">
        <v>762</v>
      </c>
      <c r="BL506" s="431" t="s">
        <v>762</v>
      </c>
      <c r="BM506" s="431" t="s">
        <v>762</v>
      </c>
      <c r="BN506" s="431" t="s">
        <v>762</v>
      </c>
      <c r="BO506" s="431" t="s">
        <v>762</v>
      </c>
      <c r="BP506" s="431" t="s">
        <v>762</v>
      </c>
      <c r="BQ506" s="431" t="s">
        <v>762</v>
      </c>
      <c r="BR506" s="431" t="s">
        <v>762</v>
      </c>
      <c r="BS506" s="431" t="s">
        <v>762</v>
      </c>
      <c r="BT506" s="431" t="s">
        <v>762</v>
      </c>
      <c r="BU506" s="431" t="s">
        <v>762</v>
      </c>
      <c r="BV506" s="431" t="s">
        <v>762</v>
      </c>
      <c r="BW506" s="431" t="s">
        <v>762</v>
      </c>
      <c r="BX506" s="431" t="s">
        <v>762</v>
      </c>
      <c r="BY506" s="431" t="s">
        <v>762</v>
      </c>
      <c r="BZ506" s="431" t="s">
        <v>762</v>
      </c>
      <c r="CA506" s="431" t="s">
        <v>762</v>
      </c>
      <c r="CB506" s="431" t="s">
        <v>762</v>
      </c>
      <c r="CC506" s="431" t="s">
        <v>762</v>
      </c>
      <c r="CD506" s="431" t="s">
        <v>762</v>
      </c>
      <c r="CE506" s="431" t="s">
        <v>762</v>
      </c>
      <c r="CF506" s="431" t="s">
        <v>762</v>
      </c>
      <c r="CG506" s="431" t="s">
        <v>762</v>
      </c>
      <c r="CH506" s="431" t="s">
        <v>762</v>
      </c>
      <c r="CI506" s="431" t="s">
        <v>762</v>
      </c>
      <c r="CJ506" s="431" t="s">
        <v>762</v>
      </c>
      <c r="CK506" s="431" t="s">
        <v>762</v>
      </c>
      <c r="CL506" s="431" t="s">
        <v>762</v>
      </c>
    </row>
    <row r="507" spans="1:90" s="432" customFormat="1">
      <c r="A507" s="430" t="s">
        <v>559</v>
      </c>
      <c r="B507" s="430" t="s">
        <v>631</v>
      </c>
      <c r="C507" s="431" t="s">
        <v>762</v>
      </c>
      <c r="D507" s="431" t="s">
        <v>762</v>
      </c>
      <c r="E507" s="431" t="s">
        <v>762</v>
      </c>
      <c r="F507" s="431" t="s">
        <v>762</v>
      </c>
      <c r="G507" s="431" t="s">
        <v>762</v>
      </c>
      <c r="H507" s="431" t="s">
        <v>762</v>
      </c>
      <c r="I507" s="431" t="s">
        <v>762</v>
      </c>
      <c r="J507" s="431" t="s">
        <v>762</v>
      </c>
      <c r="K507" s="431" t="s">
        <v>762</v>
      </c>
      <c r="L507" s="431">
        <v>27</v>
      </c>
      <c r="M507" s="431" t="s">
        <v>762</v>
      </c>
      <c r="N507" s="431" t="s">
        <v>762</v>
      </c>
      <c r="O507" s="431" t="s">
        <v>762</v>
      </c>
      <c r="P507" s="431" t="s">
        <v>762</v>
      </c>
      <c r="Q507" s="431" t="s">
        <v>762</v>
      </c>
      <c r="R507" s="431" t="s">
        <v>762</v>
      </c>
      <c r="S507" s="431" t="s">
        <v>762</v>
      </c>
      <c r="T507" s="431" t="s">
        <v>762</v>
      </c>
      <c r="U507" s="431" t="s">
        <v>762</v>
      </c>
      <c r="V507" s="431">
        <v>34</v>
      </c>
      <c r="W507" s="431">
        <v>41</v>
      </c>
      <c r="X507" s="431">
        <v>48</v>
      </c>
      <c r="Y507" s="431">
        <v>55</v>
      </c>
      <c r="Z507" s="431">
        <v>62</v>
      </c>
      <c r="AA507" s="431">
        <v>69</v>
      </c>
      <c r="AB507" s="431">
        <v>76</v>
      </c>
      <c r="AC507" s="431">
        <v>83</v>
      </c>
      <c r="AD507" s="431">
        <v>90</v>
      </c>
      <c r="AE507" s="431" t="s">
        <v>762</v>
      </c>
      <c r="AF507" s="431" t="s">
        <v>762</v>
      </c>
      <c r="AG507" s="431">
        <v>164</v>
      </c>
      <c r="AH507" s="431" t="s">
        <v>762</v>
      </c>
      <c r="AI507" s="431">
        <v>164</v>
      </c>
      <c r="AJ507" s="431" t="s">
        <v>762</v>
      </c>
      <c r="AK507" s="431" t="s">
        <v>762</v>
      </c>
      <c r="AL507" s="431">
        <v>164</v>
      </c>
      <c r="AM507" s="431" t="s">
        <v>762</v>
      </c>
      <c r="AN507" s="431" t="s">
        <v>762</v>
      </c>
      <c r="AO507" s="431" t="s">
        <v>762</v>
      </c>
      <c r="AP507" s="431">
        <v>164</v>
      </c>
      <c r="AQ507" s="431" t="s">
        <v>762</v>
      </c>
      <c r="AR507" s="431" t="s">
        <v>762</v>
      </c>
      <c r="AS507" s="431" t="s">
        <v>762</v>
      </c>
      <c r="AT507" s="431">
        <v>164</v>
      </c>
      <c r="AU507" s="431" t="s">
        <v>762</v>
      </c>
      <c r="AV507" s="431" t="s">
        <v>762</v>
      </c>
      <c r="AW507" s="431" t="s">
        <v>762</v>
      </c>
      <c r="AX507" s="431" t="s">
        <v>762</v>
      </c>
      <c r="AY507" s="431" t="s">
        <v>762</v>
      </c>
      <c r="AZ507" s="431" t="s">
        <v>762</v>
      </c>
      <c r="BA507" s="431" t="s">
        <v>762</v>
      </c>
      <c r="BB507" s="431" t="s">
        <v>762</v>
      </c>
      <c r="BC507" s="431" t="s">
        <v>762</v>
      </c>
      <c r="BD507" s="431" t="s">
        <v>762</v>
      </c>
      <c r="BE507" s="431" t="s">
        <v>762</v>
      </c>
      <c r="BF507" s="431">
        <v>266</v>
      </c>
      <c r="BG507" s="431" t="s">
        <v>762</v>
      </c>
      <c r="BH507" s="431" t="s">
        <v>762</v>
      </c>
      <c r="BI507" s="431" t="s">
        <v>762</v>
      </c>
      <c r="BJ507" s="431" t="s">
        <v>762</v>
      </c>
      <c r="BK507" s="431" t="s">
        <v>762</v>
      </c>
      <c r="BL507" s="431">
        <v>353</v>
      </c>
      <c r="BM507" s="431" t="s">
        <v>762</v>
      </c>
      <c r="BN507" s="431" t="s">
        <v>762</v>
      </c>
      <c r="BO507" s="431" t="s">
        <v>762</v>
      </c>
      <c r="BP507" s="431" t="s">
        <v>762</v>
      </c>
      <c r="BQ507" s="431" t="s">
        <v>762</v>
      </c>
      <c r="BR507" s="431" t="s">
        <v>762</v>
      </c>
      <c r="BS507" s="431" t="s">
        <v>762</v>
      </c>
      <c r="BT507" s="431" t="s">
        <v>762</v>
      </c>
      <c r="BU507" s="431" t="s">
        <v>762</v>
      </c>
      <c r="BV507" s="431" t="s">
        <v>762</v>
      </c>
      <c r="BW507" s="431" t="s">
        <v>762</v>
      </c>
      <c r="BX507" s="431" t="s">
        <v>762</v>
      </c>
      <c r="BY507" s="431" t="s">
        <v>762</v>
      </c>
      <c r="BZ507" s="431" t="s">
        <v>762</v>
      </c>
      <c r="CA507" s="431" t="s">
        <v>762</v>
      </c>
      <c r="CB507" s="431" t="s">
        <v>762</v>
      </c>
      <c r="CC507" s="431" t="s">
        <v>762</v>
      </c>
      <c r="CD507" s="431" t="s">
        <v>762</v>
      </c>
      <c r="CE507" s="431" t="s">
        <v>762</v>
      </c>
      <c r="CF507" s="431" t="s">
        <v>762</v>
      </c>
      <c r="CG507" s="431" t="s">
        <v>762</v>
      </c>
      <c r="CH507" s="431" t="s">
        <v>762</v>
      </c>
      <c r="CI507" s="431" t="s">
        <v>762</v>
      </c>
      <c r="CJ507" s="431" t="s">
        <v>762</v>
      </c>
      <c r="CK507" s="431" t="s">
        <v>762</v>
      </c>
      <c r="CL507" s="431" t="s">
        <v>762</v>
      </c>
    </row>
    <row r="508" spans="1:90" s="432" customFormat="1">
      <c r="A508" s="430" t="s">
        <v>560</v>
      </c>
      <c r="B508" s="430" t="s">
        <v>631</v>
      </c>
      <c r="C508" s="431" t="s">
        <v>762</v>
      </c>
      <c r="D508" s="431" t="s">
        <v>762</v>
      </c>
      <c r="E508" s="431" t="s">
        <v>762</v>
      </c>
      <c r="F508" s="431" t="s">
        <v>762</v>
      </c>
      <c r="G508" s="431" t="s">
        <v>762</v>
      </c>
      <c r="H508" s="431" t="s">
        <v>762</v>
      </c>
      <c r="I508" s="431" t="s">
        <v>762</v>
      </c>
      <c r="J508" s="431" t="s">
        <v>762</v>
      </c>
      <c r="K508" s="431" t="s">
        <v>762</v>
      </c>
      <c r="L508" s="431">
        <v>24</v>
      </c>
      <c r="M508" s="431" t="s">
        <v>762</v>
      </c>
      <c r="N508" s="431" t="s">
        <v>762</v>
      </c>
      <c r="O508" s="431" t="s">
        <v>762</v>
      </c>
      <c r="P508" s="431" t="s">
        <v>762</v>
      </c>
      <c r="Q508" s="431" t="s">
        <v>762</v>
      </c>
      <c r="R508" s="431" t="s">
        <v>762</v>
      </c>
      <c r="S508" s="431" t="s">
        <v>762</v>
      </c>
      <c r="T508" s="431" t="s">
        <v>762</v>
      </c>
      <c r="U508" s="431" t="s">
        <v>762</v>
      </c>
      <c r="V508" s="431">
        <v>31</v>
      </c>
      <c r="W508" s="431">
        <v>38</v>
      </c>
      <c r="X508" s="431">
        <v>43</v>
      </c>
      <c r="Y508" s="431">
        <v>50</v>
      </c>
      <c r="Z508" s="431">
        <v>54</v>
      </c>
      <c r="AA508" s="431">
        <v>61</v>
      </c>
      <c r="AB508" s="431">
        <v>65</v>
      </c>
      <c r="AC508" s="431">
        <v>70</v>
      </c>
      <c r="AD508" s="431">
        <v>75</v>
      </c>
      <c r="AE508" s="431" t="s">
        <v>762</v>
      </c>
      <c r="AF508" s="431" t="s">
        <v>762</v>
      </c>
      <c r="AG508" s="431">
        <v>167</v>
      </c>
      <c r="AH508" s="431" t="s">
        <v>762</v>
      </c>
      <c r="AI508" s="431">
        <v>167</v>
      </c>
      <c r="AJ508" s="431" t="s">
        <v>762</v>
      </c>
      <c r="AK508" s="431" t="s">
        <v>762</v>
      </c>
      <c r="AL508" s="431">
        <v>167</v>
      </c>
      <c r="AM508" s="431" t="s">
        <v>762</v>
      </c>
      <c r="AN508" s="431" t="s">
        <v>762</v>
      </c>
      <c r="AO508" s="431" t="s">
        <v>762</v>
      </c>
      <c r="AP508" s="431">
        <v>167</v>
      </c>
      <c r="AQ508" s="431" t="s">
        <v>762</v>
      </c>
      <c r="AR508" s="431" t="s">
        <v>762</v>
      </c>
      <c r="AS508" s="431" t="s">
        <v>762</v>
      </c>
      <c r="AT508" s="431">
        <v>167</v>
      </c>
      <c r="AU508" s="431" t="s">
        <v>762</v>
      </c>
      <c r="AV508" s="431" t="s">
        <v>762</v>
      </c>
      <c r="AW508" s="431" t="s">
        <v>762</v>
      </c>
      <c r="AX508" s="431" t="s">
        <v>762</v>
      </c>
      <c r="AY508" s="431" t="s">
        <v>762</v>
      </c>
      <c r="AZ508" s="431" t="s">
        <v>762</v>
      </c>
      <c r="BA508" s="431" t="s">
        <v>762</v>
      </c>
      <c r="BB508" s="431" t="s">
        <v>762</v>
      </c>
      <c r="BC508" s="431" t="s">
        <v>762</v>
      </c>
      <c r="BD508" s="431" t="s">
        <v>762</v>
      </c>
      <c r="BE508" s="431" t="s">
        <v>762</v>
      </c>
      <c r="BF508" s="431">
        <v>227</v>
      </c>
      <c r="BG508" s="431" t="s">
        <v>762</v>
      </c>
      <c r="BH508" s="431" t="s">
        <v>762</v>
      </c>
      <c r="BI508" s="431" t="s">
        <v>762</v>
      </c>
      <c r="BJ508" s="431" t="s">
        <v>762</v>
      </c>
      <c r="BK508" s="431" t="s">
        <v>762</v>
      </c>
      <c r="BL508" s="431">
        <v>273</v>
      </c>
      <c r="BM508" s="431" t="s">
        <v>762</v>
      </c>
      <c r="BN508" s="431" t="s">
        <v>762</v>
      </c>
      <c r="BO508" s="431" t="s">
        <v>762</v>
      </c>
      <c r="BP508" s="431" t="s">
        <v>762</v>
      </c>
      <c r="BQ508" s="431" t="s">
        <v>762</v>
      </c>
      <c r="BR508" s="431" t="s">
        <v>762</v>
      </c>
      <c r="BS508" s="431" t="s">
        <v>762</v>
      </c>
      <c r="BT508" s="431" t="s">
        <v>762</v>
      </c>
      <c r="BU508" s="431" t="s">
        <v>762</v>
      </c>
      <c r="BV508" s="431" t="s">
        <v>762</v>
      </c>
      <c r="BW508" s="431" t="s">
        <v>762</v>
      </c>
      <c r="BX508" s="431" t="s">
        <v>762</v>
      </c>
      <c r="BY508" s="431" t="s">
        <v>762</v>
      </c>
      <c r="BZ508" s="431" t="s">
        <v>762</v>
      </c>
      <c r="CA508" s="431" t="s">
        <v>762</v>
      </c>
      <c r="CB508" s="431" t="s">
        <v>762</v>
      </c>
      <c r="CC508" s="431" t="s">
        <v>762</v>
      </c>
      <c r="CD508" s="431" t="s">
        <v>762</v>
      </c>
      <c r="CE508" s="431" t="s">
        <v>762</v>
      </c>
      <c r="CF508" s="431" t="s">
        <v>762</v>
      </c>
      <c r="CG508" s="431" t="s">
        <v>762</v>
      </c>
      <c r="CH508" s="431" t="s">
        <v>762</v>
      </c>
      <c r="CI508" s="431" t="s">
        <v>762</v>
      </c>
      <c r="CJ508" s="431" t="s">
        <v>762</v>
      </c>
      <c r="CK508" s="431" t="s">
        <v>762</v>
      </c>
      <c r="CL508" s="431" t="s">
        <v>762</v>
      </c>
    </row>
    <row r="509" spans="1:90" s="432" customFormat="1">
      <c r="A509" s="430" t="s">
        <v>561</v>
      </c>
      <c r="B509" s="430" t="s">
        <v>631</v>
      </c>
      <c r="C509" s="431" t="s">
        <v>762</v>
      </c>
      <c r="D509" s="431" t="s">
        <v>762</v>
      </c>
      <c r="E509" s="431" t="s">
        <v>762</v>
      </c>
      <c r="F509" s="431" t="s">
        <v>762</v>
      </c>
      <c r="G509" s="431" t="s">
        <v>762</v>
      </c>
      <c r="H509" s="431" t="s">
        <v>762</v>
      </c>
      <c r="I509" s="431" t="s">
        <v>762</v>
      </c>
      <c r="J509" s="431" t="s">
        <v>762</v>
      </c>
      <c r="K509" s="431" t="s">
        <v>762</v>
      </c>
      <c r="L509" s="431">
        <v>22</v>
      </c>
      <c r="M509" s="431" t="s">
        <v>762</v>
      </c>
      <c r="N509" s="431" t="s">
        <v>762</v>
      </c>
      <c r="O509" s="431" t="s">
        <v>762</v>
      </c>
      <c r="P509" s="431" t="s">
        <v>762</v>
      </c>
      <c r="Q509" s="431" t="s">
        <v>762</v>
      </c>
      <c r="R509" s="431" t="s">
        <v>762</v>
      </c>
      <c r="S509" s="431" t="s">
        <v>762</v>
      </c>
      <c r="T509" s="431" t="s">
        <v>762</v>
      </c>
      <c r="U509" s="431" t="s">
        <v>762</v>
      </c>
      <c r="V509" s="431">
        <v>28</v>
      </c>
      <c r="W509" s="431">
        <v>33</v>
      </c>
      <c r="X509" s="431">
        <v>36</v>
      </c>
      <c r="Y509" s="431">
        <v>41</v>
      </c>
      <c r="Z509" s="431">
        <v>44</v>
      </c>
      <c r="AA509" s="431">
        <v>49</v>
      </c>
      <c r="AB509" s="431">
        <v>52</v>
      </c>
      <c r="AC509" s="431">
        <v>55</v>
      </c>
      <c r="AD509" s="431">
        <v>58</v>
      </c>
      <c r="AE509" s="431" t="s">
        <v>762</v>
      </c>
      <c r="AF509" s="431" t="s">
        <v>762</v>
      </c>
      <c r="AG509" s="431">
        <v>137</v>
      </c>
      <c r="AH509" s="431" t="s">
        <v>762</v>
      </c>
      <c r="AI509" s="431">
        <v>137</v>
      </c>
      <c r="AJ509" s="431" t="s">
        <v>762</v>
      </c>
      <c r="AK509" s="431" t="s">
        <v>762</v>
      </c>
      <c r="AL509" s="431">
        <v>137</v>
      </c>
      <c r="AM509" s="431" t="s">
        <v>762</v>
      </c>
      <c r="AN509" s="431" t="s">
        <v>762</v>
      </c>
      <c r="AO509" s="431" t="s">
        <v>762</v>
      </c>
      <c r="AP509" s="431">
        <v>137</v>
      </c>
      <c r="AQ509" s="431" t="s">
        <v>762</v>
      </c>
      <c r="AR509" s="431" t="s">
        <v>762</v>
      </c>
      <c r="AS509" s="431" t="s">
        <v>762</v>
      </c>
      <c r="AT509" s="431">
        <v>137</v>
      </c>
      <c r="AU509" s="431" t="s">
        <v>762</v>
      </c>
      <c r="AV509" s="431" t="s">
        <v>762</v>
      </c>
      <c r="AW509" s="431" t="s">
        <v>762</v>
      </c>
      <c r="AX509" s="431" t="s">
        <v>762</v>
      </c>
      <c r="AY509" s="431" t="s">
        <v>762</v>
      </c>
      <c r="AZ509" s="431" t="s">
        <v>762</v>
      </c>
      <c r="BA509" s="431" t="s">
        <v>762</v>
      </c>
      <c r="BB509" s="431" t="s">
        <v>762</v>
      </c>
      <c r="BC509" s="431" t="s">
        <v>762</v>
      </c>
      <c r="BD509" s="431" t="s">
        <v>762</v>
      </c>
      <c r="BE509" s="431" t="s">
        <v>762</v>
      </c>
      <c r="BF509" s="431">
        <v>200</v>
      </c>
      <c r="BG509" s="431" t="s">
        <v>762</v>
      </c>
      <c r="BH509" s="431" t="s">
        <v>762</v>
      </c>
      <c r="BI509" s="431" t="s">
        <v>762</v>
      </c>
      <c r="BJ509" s="431" t="s">
        <v>762</v>
      </c>
      <c r="BK509" s="431" t="s">
        <v>762</v>
      </c>
      <c r="BL509" s="431">
        <v>240</v>
      </c>
      <c r="BM509" s="431" t="s">
        <v>762</v>
      </c>
      <c r="BN509" s="431" t="s">
        <v>762</v>
      </c>
      <c r="BO509" s="431" t="s">
        <v>762</v>
      </c>
      <c r="BP509" s="431" t="s">
        <v>762</v>
      </c>
      <c r="BQ509" s="431" t="s">
        <v>762</v>
      </c>
      <c r="BR509" s="431" t="s">
        <v>762</v>
      </c>
      <c r="BS509" s="431" t="s">
        <v>762</v>
      </c>
      <c r="BT509" s="431" t="s">
        <v>762</v>
      </c>
      <c r="BU509" s="431" t="s">
        <v>762</v>
      </c>
      <c r="BV509" s="431" t="s">
        <v>762</v>
      </c>
      <c r="BW509" s="431" t="s">
        <v>762</v>
      </c>
      <c r="BX509" s="431" t="s">
        <v>762</v>
      </c>
      <c r="BY509" s="431" t="s">
        <v>762</v>
      </c>
      <c r="BZ509" s="431" t="s">
        <v>762</v>
      </c>
      <c r="CA509" s="431" t="s">
        <v>762</v>
      </c>
      <c r="CB509" s="431" t="s">
        <v>762</v>
      </c>
      <c r="CC509" s="431" t="s">
        <v>762</v>
      </c>
      <c r="CD509" s="431" t="s">
        <v>762</v>
      </c>
      <c r="CE509" s="431" t="s">
        <v>762</v>
      </c>
      <c r="CF509" s="431" t="s">
        <v>762</v>
      </c>
      <c r="CG509" s="431" t="s">
        <v>762</v>
      </c>
      <c r="CH509" s="431" t="s">
        <v>762</v>
      </c>
      <c r="CI509" s="431" t="s">
        <v>762</v>
      </c>
      <c r="CJ509" s="431" t="s">
        <v>762</v>
      </c>
      <c r="CK509" s="431" t="s">
        <v>762</v>
      </c>
      <c r="CL509" s="431" t="s">
        <v>762</v>
      </c>
    </row>
    <row r="510" spans="1:90" s="432" customFormat="1">
      <c r="A510" s="430" t="s">
        <v>562</v>
      </c>
      <c r="B510" s="430" t="s">
        <v>631</v>
      </c>
      <c r="C510" s="431" t="s">
        <v>762</v>
      </c>
      <c r="D510" s="431" t="s">
        <v>762</v>
      </c>
      <c r="E510" s="431" t="s">
        <v>762</v>
      </c>
      <c r="F510" s="431" t="s">
        <v>762</v>
      </c>
      <c r="G510" s="431" t="s">
        <v>762</v>
      </c>
      <c r="H510" s="431" t="s">
        <v>762</v>
      </c>
      <c r="I510" s="431" t="s">
        <v>762</v>
      </c>
      <c r="J510" s="431" t="s">
        <v>762</v>
      </c>
      <c r="K510" s="431" t="s">
        <v>762</v>
      </c>
      <c r="L510" s="431">
        <v>27</v>
      </c>
      <c r="M510" s="431" t="s">
        <v>762</v>
      </c>
      <c r="N510" s="431" t="s">
        <v>762</v>
      </c>
      <c r="O510" s="431" t="s">
        <v>762</v>
      </c>
      <c r="P510" s="431" t="s">
        <v>762</v>
      </c>
      <c r="Q510" s="431" t="s">
        <v>762</v>
      </c>
      <c r="R510" s="431" t="s">
        <v>762</v>
      </c>
      <c r="S510" s="431" t="s">
        <v>762</v>
      </c>
      <c r="T510" s="431" t="s">
        <v>762</v>
      </c>
      <c r="U510" s="431" t="s">
        <v>762</v>
      </c>
      <c r="V510" s="431">
        <v>33</v>
      </c>
      <c r="W510" s="431">
        <v>42</v>
      </c>
      <c r="X510" s="431">
        <v>50</v>
      </c>
      <c r="Y510" s="431">
        <v>55</v>
      </c>
      <c r="Z510" s="431">
        <v>62</v>
      </c>
      <c r="AA510" s="431">
        <v>67</v>
      </c>
      <c r="AB510" s="431">
        <v>75</v>
      </c>
      <c r="AC510" s="431">
        <v>80</v>
      </c>
      <c r="AD510" s="431">
        <v>88</v>
      </c>
      <c r="AE510" s="431" t="s">
        <v>762</v>
      </c>
      <c r="AF510" s="431" t="s">
        <v>762</v>
      </c>
      <c r="AG510" s="431">
        <v>173</v>
      </c>
      <c r="AH510" s="431" t="s">
        <v>762</v>
      </c>
      <c r="AI510" s="431">
        <v>173</v>
      </c>
      <c r="AJ510" s="431" t="s">
        <v>762</v>
      </c>
      <c r="AK510" s="431" t="s">
        <v>762</v>
      </c>
      <c r="AL510" s="431">
        <v>173</v>
      </c>
      <c r="AM510" s="431" t="s">
        <v>762</v>
      </c>
      <c r="AN510" s="431" t="s">
        <v>762</v>
      </c>
      <c r="AO510" s="431" t="s">
        <v>762</v>
      </c>
      <c r="AP510" s="431">
        <v>173</v>
      </c>
      <c r="AQ510" s="431" t="s">
        <v>762</v>
      </c>
      <c r="AR510" s="431" t="s">
        <v>762</v>
      </c>
      <c r="AS510" s="431" t="s">
        <v>762</v>
      </c>
      <c r="AT510" s="431">
        <v>173</v>
      </c>
      <c r="AU510" s="431" t="s">
        <v>762</v>
      </c>
      <c r="AV510" s="431" t="s">
        <v>762</v>
      </c>
      <c r="AW510" s="431" t="s">
        <v>762</v>
      </c>
      <c r="AX510" s="431" t="s">
        <v>762</v>
      </c>
      <c r="AY510" s="431" t="s">
        <v>762</v>
      </c>
      <c r="AZ510" s="431" t="s">
        <v>762</v>
      </c>
      <c r="BA510" s="431" t="s">
        <v>762</v>
      </c>
      <c r="BB510" s="431" t="s">
        <v>762</v>
      </c>
      <c r="BC510" s="431" t="s">
        <v>762</v>
      </c>
      <c r="BD510" s="431" t="s">
        <v>762</v>
      </c>
      <c r="BE510" s="431" t="s">
        <v>762</v>
      </c>
      <c r="BF510" s="431">
        <v>283</v>
      </c>
      <c r="BG510" s="431" t="s">
        <v>762</v>
      </c>
      <c r="BH510" s="431" t="s">
        <v>762</v>
      </c>
      <c r="BI510" s="431" t="s">
        <v>762</v>
      </c>
      <c r="BJ510" s="431" t="s">
        <v>762</v>
      </c>
      <c r="BK510" s="431" t="s">
        <v>762</v>
      </c>
      <c r="BL510" s="431">
        <v>378</v>
      </c>
      <c r="BM510" s="431" t="s">
        <v>762</v>
      </c>
      <c r="BN510" s="431" t="s">
        <v>762</v>
      </c>
      <c r="BO510" s="431" t="s">
        <v>762</v>
      </c>
      <c r="BP510" s="431" t="s">
        <v>762</v>
      </c>
      <c r="BQ510" s="431" t="s">
        <v>762</v>
      </c>
      <c r="BR510" s="431" t="s">
        <v>762</v>
      </c>
      <c r="BS510" s="431" t="s">
        <v>762</v>
      </c>
      <c r="BT510" s="431" t="s">
        <v>762</v>
      </c>
      <c r="BU510" s="431" t="s">
        <v>762</v>
      </c>
      <c r="BV510" s="431" t="s">
        <v>762</v>
      </c>
      <c r="BW510" s="431" t="s">
        <v>762</v>
      </c>
      <c r="BX510" s="431" t="s">
        <v>762</v>
      </c>
      <c r="BY510" s="431" t="s">
        <v>762</v>
      </c>
      <c r="BZ510" s="431" t="s">
        <v>762</v>
      </c>
      <c r="CA510" s="431" t="s">
        <v>762</v>
      </c>
      <c r="CB510" s="431" t="s">
        <v>762</v>
      </c>
      <c r="CC510" s="431" t="s">
        <v>762</v>
      </c>
      <c r="CD510" s="431" t="s">
        <v>762</v>
      </c>
      <c r="CE510" s="431" t="s">
        <v>762</v>
      </c>
      <c r="CF510" s="431" t="s">
        <v>762</v>
      </c>
      <c r="CG510" s="431" t="s">
        <v>762</v>
      </c>
      <c r="CH510" s="431" t="s">
        <v>762</v>
      </c>
      <c r="CI510" s="431" t="s">
        <v>762</v>
      </c>
      <c r="CJ510" s="431" t="s">
        <v>762</v>
      </c>
      <c r="CK510" s="431" t="s">
        <v>762</v>
      </c>
      <c r="CL510" s="431" t="s">
        <v>762</v>
      </c>
    </row>
    <row r="511" spans="1:90" s="432" customFormat="1">
      <c r="A511" s="430" t="s">
        <v>563</v>
      </c>
      <c r="B511" s="430" t="s">
        <v>631</v>
      </c>
      <c r="C511" s="431" t="s">
        <v>762</v>
      </c>
      <c r="D511" s="431" t="s">
        <v>762</v>
      </c>
      <c r="E511" s="431" t="s">
        <v>762</v>
      </c>
      <c r="F511" s="431" t="s">
        <v>762</v>
      </c>
      <c r="G511" s="431" t="s">
        <v>762</v>
      </c>
      <c r="H511" s="431" t="s">
        <v>762</v>
      </c>
      <c r="I511" s="431" t="s">
        <v>762</v>
      </c>
      <c r="J511" s="431" t="s">
        <v>762</v>
      </c>
      <c r="K511" s="431" t="s">
        <v>762</v>
      </c>
      <c r="L511" s="431">
        <v>27</v>
      </c>
      <c r="M511" s="431" t="s">
        <v>762</v>
      </c>
      <c r="N511" s="431" t="s">
        <v>762</v>
      </c>
      <c r="O511" s="431" t="s">
        <v>762</v>
      </c>
      <c r="P511" s="431" t="s">
        <v>762</v>
      </c>
      <c r="Q511" s="431" t="s">
        <v>762</v>
      </c>
      <c r="R511" s="431" t="s">
        <v>762</v>
      </c>
      <c r="S511" s="431" t="s">
        <v>762</v>
      </c>
      <c r="T511" s="431" t="s">
        <v>762</v>
      </c>
      <c r="U511" s="431" t="s">
        <v>762</v>
      </c>
      <c r="V511" s="431">
        <v>34</v>
      </c>
      <c r="W511" s="431">
        <v>41</v>
      </c>
      <c r="X511" s="431">
        <v>49</v>
      </c>
      <c r="Y511" s="431">
        <v>55</v>
      </c>
      <c r="Z511" s="431">
        <v>62</v>
      </c>
      <c r="AA511" s="431">
        <v>70</v>
      </c>
      <c r="AB511" s="431">
        <v>76</v>
      </c>
      <c r="AC511" s="431">
        <v>83</v>
      </c>
      <c r="AD511" s="431">
        <v>91</v>
      </c>
      <c r="AE511" s="431" t="s">
        <v>762</v>
      </c>
      <c r="AF511" s="431" t="s">
        <v>762</v>
      </c>
      <c r="AG511" s="431">
        <v>172</v>
      </c>
      <c r="AH511" s="431" t="s">
        <v>762</v>
      </c>
      <c r="AI511" s="431">
        <v>172</v>
      </c>
      <c r="AJ511" s="431" t="s">
        <v>762</v>
      </c>
      <c r="AK511" s="431" t="s">
        <v>762</v>
      </c>
      <c r="AL511" s="431">
        <v>172</v>
      </c>
      <c r="AM511" s="431" t="s">
        <v>762</v>
      </c>
      <c r="AN511" s="431" t="s">
        <v>762</v>
      </c>
      <c r="AO511" s="431" t="s">
        <v>762</v>
      </c>
      <c r="AP511" s="431">
        <v>172</v>
      </c>
      <c r="AQ511" s="431" t="s">
        <v>762</v>
      </c>
      <c r="AR511" s="431" t="s">
        <v>762</v>
      </c>
      <c r="AS511" s="431" t="s">
        <v>762</v>
      </c>
      <c r="AT511" s="431">
        <v>172</v>
      </c>
      <c r="AU511" s="431" t="s">
        <v>762</v>
      </c>
      <c r="AV511" s="431" t="s">
        <v>762</v>
      </c>
      <c r="AW511" s="431" t="s">
        <v>762</v>
      </c>
      <c r="AX511" s="431" t="s">
        <v>762</v>
      </c>
      <c r="AY511" s="431" t="s">
        <v>762</v>
      </c>
      <c r="AZ511" s="431" t="s">
        <v>762</v>
      </c>
      <c r="BA511" s="431" t="s">
        <v>762</v>
      </c>
      <c r="BB511" s="431" t="s">
        <v>762</v>
      </c>
      <c r="BC511" s="431" t="s">
        <v>762</v>
      </c>
      <c r="BD511" s="431" t="s">
        <v>762</v>
      </c>
      <c r="BE511" s="431" t="s">
        <v>762</v>
      </c>
      <c r="BF511" s="431">
        <v>281</v>
      </c>
      <c r="BG511" s="431" t="s">
        <v>762</v>
      </c>
      <c r="BH511" s="431" t="s">
        <v>762</v>
      </c>
      <c r="BI511" s="431" t="s">
        <v>762</v>
      </c>
      <c r="BJ511" s="431" t="s">
        <v>762</v>
      </c>
      <c r="BK511" s="431" t="s">
        <v>762</v>
      </c>
      <c r="BL511" s="431">
        <v>376</v>
      </c>
      <c r="BM511" s="431" t="s">
        <v>762</v>
      </c>
      <c r="BN511" s="431" t="s">
        <v>762</v>
      </c>
      <c r="BO511" s="431" t="s">
        <v>762</v>
      </c>
      <c r="BP511" s="431" t="s">
        <v>762</v>
      </c>
      <c r="BQ511" s="431" t="s">
        <v>762</v>
      </c>
      <c r="BR511" s="431" t="s">
        <v>762</v>
      </c>
      <c r="BS511" s="431" t="s">
        <v>762</v>
      </c>
      <c r="BT511" s="431" t="s">
        <v>762</v>
      </c>
      <c r="BU511" s="431" t="s">
        <v>762</v>
      </c>
      <c r="BV511" s="431" t="s">
        <v>762</v>
      </c>
      <c r="BW511" s="431" t="s">
        <v>762</v>
      </c>
      <c r="BX511" s="431" t="s">
        <v>762</v>
      </c>
      <c r="BY511" s="431" t="s">
        <v>762</v>
      </c>
      <c r="BZ511" s="431" t="s">
        <v>762</v>
      </c>
      <c r="CA511" s="431" t="s">
        <v>762</v>
      </c>
      <c r="CB511" s="431" t="s">
        <v>762</v>
      </c>
      <c r="CC511" s="431" t="s">
        <v>762</v>
      </c>
      <c r="CD511" s="431" t="s">
        <v>762</v>
      </c>
      <c r="CE511" s="431" t="s">
        <v>762</v>
      </c>
      <c r="CF511" s="431" t="s">
        <v>762</v>
      </c>
      <c r="CG511" s="431" t="s">
        <v>762</v>
      </c>
      <c r="CH511" s="431" t="s">
        <v>762</v>
      </c>
      <c r="CI511" s="431" t="s">
        <v>762</v>
      </c>
      <c r="CJ511" s="431" t="s">
        <v>762</v>
      </c>
      <c r="CK511" s="431" t="s">
        <v>762</v>
      </c>
      <c r="CL511" s="431" t="s">
        <v>762</v>
      </c>
    </row>
    <row r="512" spans="1:90" s="432" customFormat="1">
      <c r="A512" s="430" t="s">
        <v>564</v>
      </c>
      <c r="B512" s="430" t="s">
        <v>631</v>
      </c>
      <c r="C512" s="431" t="s">
        <v>762</v>
      </c>
      <c r="D512" s="431" t="s">
        <v>762</v>
      </c>
      <c r="E512" s="431" t="s">
        <v>762</v>
      </c>
      <c r="F512" s="431" t="s">
        <v>762</v>
      </c>
      <c r="G512" s="431" t="s">
        <v>762</v>
      </c>
      <c r="H512" s="431" t="s">
        <v>762</v>
      </c>
      <c r="I512" s="431" t="s">
        <v>762</v>
      </c>
      <c r="J512" s="431" t="s">
        <v>762</v>
      </c>
      <c r="K512" s="431" t="s">
        <v>762</v>
      </c>
      <c r="L512" s="431">
        <v>24</v>
      </c>
      <c r="M512" s="431" t="s">
        <v>762</v>
      </c>
      <c r="N512" s="431" t="s">
        <v>762</v>
      </c>
      <c r="O512" s="431" t="s">
        <v>762</v>
      </c>
      <c r="P512" s="431" t="s">
        <v>762</v>
      </c>
      <c r="Q512" s="431" t="s">
        <v>762</v>
      </c>
      <c r="R512" s="431" t="s">
        <v>762</v>
      </c>
      <c r="S512" s="431" t="s">
        <v>762</v>
      </c>
      <c r="T512" s="431" t="s">
        <v>762</v>
      </c>
      <c r="U512" s="431" t="s">
        <v>762</v>
      </c>
      <c r="V512" s="431">
        <v>27</v>
      </c>
      <c r="W512" s="431">
        <v>33</v>
      </c>
      <c r="X512" s="431">
        <v>38</v>
      </c>
      <c r="Y512" s="431">
        <v>40</v>
      </c>
      <c r="Z512" s="431">
        <v>44</v>
      </c>
      <c r="AA512" s="431">
        <v>47</v>
      </c>
      <c r="AB512" s="431">
        <v>51</v>
      </c>
      <c r="AC512" s="431">
        <v>54</v>
      </c>
      <c r="AD512" s="431">
        <v>59</v>
      </c>
      <c r="AE512" s="431" t="s">
        <v>762</v>
      </c>
      <c r="AF512" s="431" t="s">
        <v>762</v>
      </c>
      <c r="AG512" s="431">
        <v>140</v>
      </c>
      <c r="AH512" s="431" t="s">
        <v>762</v>
      </c>
      <c r="AI512" s="431">
        <v>140</v>
      </c>
      <c r="AJ512" s="431" t="s">
        <v>762</v>
      </c>
      <c r="AK512" s="431" t="s">
        <v>762</v>
      </c>
      <c r="AL512" s="431">
        <v>140</v>
      </c>
      <c r="AM512" s="431" t="s">
        <v>762</v>
      </c>
      <c r="AN512" s="431" t="s">
        <v>762</v>
      </c>
      <c r="AO512" s="431" t="s">
        <v>762</v>
      </c>
      <c r="AP512" s="431">
        <v>140</v>
      </c>
      <c r="AQ512" s="431" t="s">
        <v>762</v>
      </c>
      <c r="AR512" s="431" t="s">
        <v>762</v>
      </c>
      <c r="AS512" s="431" t="s">
        <v>762</v>
      </c>
      <c r="AT512" s="431">
        <v>140</v>
      </c>
      <c r="AU512" s="431" t="s">
        <v>762</v>
      </c>
      <c r="AV512" s="431" t="s">
        <v>762</v>
      </c>
      <c r="AW512" s="431" t="s">
        <v>762</v>
      </c>
      <c r="AX512" s="431" t="s">
        <v>762</v>
      </c>
      <c r="AY512" s="431" t="s">
        <v>762</v>
      </c>
      <c r="AZ512" s="431" t="s">
        <v>762</v>
      </c>
      <c r="BA512" s="431" t="s">
        <v>762</v>
      </c>
      <c r="BB512" s="431" t="s">
        <v>762</v>
      </c>
      <c r="BC512" s="431" t="s">
        <v>762</v>
      </c>
      <c r="BD512" s="431" t="s">
        <v>762</v>
      </c>
      <c r="BE512" s="431" t="s">
        <v>762</v>
      </c>
      <c r="BF512" s="431">
        <v>214</v>
      </c>
      <c r="BG512" s="431" t="s">
        <v>762</v>
      </c>
      <c r="BH512" s="431" t="s">
        <v>762</v>
      </c>
      <c r="BI512" s="431" t="s">
        <v>762</v>
      </c>
      <c r="BJ512" s="431" t="s">
        <v>762</v>
      </c>
      <c r="BK512" s="431" t="s">
        <v>762</v>
      </c>
      <c r="BL512" s="431">
        <v>262</v>
      </c>
      <c r="BM512" s="431" t="s">
        <v>762</v>
      </c>
      <c r="BN512" s="431" t="s">
        <v>762</v>
      </c>
      <c r="BO512" s="431" t="s">
        <v>762</v>
      </c>
      <c r="BP512" s="431" t="s">
        <v>762</v>
      </c>
      <c r="BQ512" s="431" t="s">
        <v>762</v>
      </c>
      <c r="BR512" s="431" t="s">
        <v>762</v>
      </c>
      <c r="BS512" s="431" t="s">
        <v>762</v>
      </c>
      <c r="BT512" s="431" t="s">
        <v>762</v>
      </c>
      <c r="BU512" s="431" t="s">
        <v>762</v>
      </c>
      <c r="BV512" s="431" t="s">
        <v>762</v>
      </c>
      <c r="BW512" s="431" t="s">
        <v>762</v>
      </c>
      <c r="BX512" s="431" t="s">
        <v>762</v>
      </c>
      <c r="BY512" s="431" t="s">
        <v>762</v>
      </c>
      <c r="BZ512" s="431" t="s">
        <v>762</v>
      </c>
      <c r="CA512" s="431" t="s">
        <v>762</v>
      </c>
      <c r="CB512" s="431" t="s">
        <v>762</v>
      </c>
      <c r="CC512" s="431" t="s">
        <v>762</v>
      </c>
      <c r="CD512" s="431" t="s">
        <v>762</v>
      </c>
      <c r="CE512" s="431" t="s">
        <v>762</v>
      </c>
      <c r="CF512" s="431" t="s">
        <v>762</v>
      </c>
      <c r="CG512" s="431" t="s">
        <v>762</v>
      </c>
      <c r="CH512" s="431" t="s">
        <v>762</v>
      </c>
      <c r="CI512" s="431" t="s">
        <v>762</v>
      </c>
      <c r="CJ512" s="431" t="s">
        <v>762</v>
      </c>
      <c r="CK512" s="431" t="s">
        <v>762</v>
      </c>
      <c r="CL512" s="431" t="s">
        <v>762</v>
      </c>
    </row>
    <row r="513" spans="1:90" s="432" customFormat="1">
      <c r="A513" s="430" t="s">
        <v>565</v>
      </c>
      <c r="B513" s="430" t="s">
        <v>631</v>
      </c>
      <c r="C513" s="431" t="s">
        <v>762</v>
      </c>
      <c r="D513" s="431" t="s">
        <v>762</v>
      </c>
      <c r="E513" s="431" t="s">
        <v>762</v>
      </c>
      <c r="F513" s="431" t="s">
        <v>762</v>
      </c>
      <c r="G513" s="431" t="s">
        <v>762</v>
      </c>
      <c r="H513" s="431" t="s">
        <v>762</v>
      </c>
      <c r="I513" s="431" t="s">
        <v>762</v>
      </c>
      <c r="J513" s="431" t="s">
        <v>762</v>
      </c>
      <c r="K513" s="431" t="s">
        <v>762</v>
      </c>
      <c r="L513" s="431">
        <v>34</v>
      </c>
      <c r="M513" s="431" t="s">
        <v>762</v>
      </c>
      <c r="N513" s="431" t="s">
        <v>762</v>
      </c>
      <c r="O513" s="431" t="s">
        <v>762</v>
      </c>
      <c r="P513" s="431" t="s">
        <v>762</v>
      </c>
      <c r="Q513" s="431" t="s">
        <v>762</v>
      </c>
      <c r="R513" s="431" t="s">
        <v>762</v>
      </c>
      <c r="S513" s="431" t="s">
        <v>762</v>
      </c>
      <c r="T513" s="431" t="s">
        <v>762</v>
      </c>
      <c r="U513" s="431" t="s">
        <v>762</v>
      </c>
      <c r="V513" s="431">
        <v>37</v>
      </c>
      <c r="W513" s="431">
        <v>40</v>
      </c>
      <c r="X513" s="431">
        <v>43</v>
      </c>
      <c r="Y513" s="431">
        <v>47</v>
      </c>
      <c r="Z513" s="431">
        <v>50</v>
      </c>
      <c r="AA513" s="431">
        <v>54</v>
      </c>
      <c r="AB513" s="431">
        <v>59</v>
      </c>
      <c r="AC513" s="431">
        <v>62</v>
      </c>
      <c r="AD513" s="431">
        <v>68</v>
      </c>
      <c r="AE513" s="431" t="s">
        <v>762</v>
      </c>
      <c r="AF513" s="431" t="s">
        <v>762</v>
      </c>
      <c r="AG513" s="431">
        <v>141</v>
      </c>
      <c r="AH513" s="431" t="s">
        <v>762</v>
      </c>
      <c r="AI513" s="431">
        <v>141</v>
      </c>
      <c r="AJ513" s="431" t="s">
        <v>762</v>
      </c>
      <c r="AK513" s="431" t="s">
        <v>762</v>
      </c>
      <c r="AL513" s="431">
        <v>141</v>
      </c>
      <c r="AM513" s="431" t="s">
        <v>762</v>
      </c>
      <c r="AN513" s="431" t="s">
        <v>762</v>
      </c>
      <c r="AO513" s="431" t="s">
        <v>762</v>
      </c>
      <c r="AP513" s="431">
        <v>141</v>
      </c>
      <c r="AQ513" s="431" t="s">
        <v>762</v>
      </c>
      <c r="AR513" s="431" t="s">
        <v>762</v>
      </c>
      <c r="AS513" s="431" t="s">
        <v>762</v>
      </c>
      <c r="AT513" s="431">
        <v>141</v>
      </c>
      <c r="AU513" s="431" t="s">
        <v>762</v>
      </c>
      <c r="AV513" s="431" t="s">
        <v>762</v>
      </c>
      <c r="AW513" s="431" t="s">
        <v>762</v>
      </c>
      <c r="AX513" s="431" t="s">
        <v>762</v>
      </c>
      <c r="AY513" s="431" t="s">
        <v>762</v>
      </c>
      <c r="AZ513" s="431" t="s">
        <v>762</v>
      </c>
      <c r="BA513" s="431" t="s">
        <v>762</v>
      </c>
      <c r="BB513" s="431" t="s">
        <v>762</v>
      </c>
      <c r="BC513" s="431" t="s">
        <v>762</v>
      </c>
      <c r="BD513" s="431" t="s">
        <v>762</v>
      </c>
      <c r="BE513" s="431" t="s">
        <v>762</v>
      </c>
      <c r="BF513" s="431">
        <v>217</v>
      </c>
      <c r="BG513" s="431" t="s">
        <v>762</v>
      </c>
      <c r="BH513" s="431" t="s">
        <v>762</v>
      </c>
      <c r="BI513" s="431" t="s">
        <v>762</v>
      </c>
      <c r="BJ513" s="431" t="s">
        <v>762</v>
      </c>
      <c r="BK513" s="431" t="s">
        <v>762</v>
      </c>
      <c r="BL513" s="431">
        <v>258</v>
      </c>
      <c r="BM513" s="431" t="s">
        <v>762</v>
      </c>
      <c r="BN513" s="431" t="s">
        <v>762</v>
      </c>
      <c r="BO513" s="431" t="s">
        <v>762</v>
      </c>
      <c r="BP513" s="431" t="s">
        <v>762</v>
      </c>
      <c r="BQ513" s="431" t="s">
        <v>762</v>
      </c>
      <c r="BR513" s="431" t="s">
        <v>762</v>
      </c>
      <c r="BS513" s="431" t="s">
        <v>762</v>
      </c>
      <c r="BT513" s="431" t="s">
        <v>762</v>
      </c>
      <c r="BU513" s="431" t="s">
        <v>762</v>
      </c>
      <c r="BV513" s="431" t="s">
        <v>762</v>
      </c>
      <c r="BW513" s="431" t="s">
        <v>762</v>
      </c>
      <c r="BX513" s="431" t="s">
        <v>762</v>
      </c>
      <c r="BY513" s="431" t="s">
        <v>762</v>
      </c>
      <c r="BZ513" s="431" t="s">
        <v>762</v>
      </c>
      <c r="CA513" s="431" t="s">
        <v>762</v>
      </c>
      <c r="CB513" s="431" t="s">
        <v>762</v>
      </c>
      <c r="CC513" s="431" t="s">
        <v>762</v>
      </c>
      <c r="CD513" s="431" t="s">
        <v>762</v>
      </c>
      <c r="CE513" s="431" t="s">
        <v>762</v>
      </c>
      <c r="CF513" s="431" t="s">
        <v>762</v>
      </c>
      <c r="CG513" s="431" t="s">
        <v>762</v>
      </c>
      <c r="CH513" s="431" t="s">
        <v>762</v>
      </c>
      <c r="CI513" s="431" t="s">
        <v>762</v>
      </c>
      <c r="CJ513" s="431" t="s">
        <v>762</v>
      </c>
      <c r="CK513" s="431" t="s">
        <v>762</v>
      </c>
      <c r="CL513" s="431" t="s">
        <v>762</v>
      </c>
    </row>
    <row r="514" spans="1:90" s="432" customFormat="1">
      <c r="A514" s="430" t="s">
        <v>566</v>
      </c>
      <c r="B514" s="430" t="s">
        <v>631</v>
      </c>
      <c r="C514" s="431" t="s">
        <v>762</v>
      </c>
      <c r="D514" s="431" t="s">
        <v>762</v>
      </c>
      <c r="E514" s="431" t="s">
        <v>762</v>
      </c>
      <c r="F514" s="431" t="s">
        <v>762</v>
      </c>
      <c r="G514" s="431" t="s">
        <v>762</v>
      </c>
      <c r="H514" s="431" t="s">
        <v>762</v>
      </c>
      <c r="I514" s="431" t="s">
        <v>762</v>
      </c>
      <c r="J514" s="431" t="s">
        <v>762</v>
      </c>
      <c r="K514" s="431" t="s">
        <v>762</v>
      </c>
      <c r="L514" s="431">
        <v>29</v>
      </c>
      <c r="M514" s="431" t="s">
        <v>762</v>
      </c>
      <c r="N514" s="431" t="s">
        <v>762</v>
      </c>
      <c r="O514" s="431" t="s">
        <v>762</v>
      </c>
      <c r="P514" s="431" t="s">
        <v>762</v>
      </c>
      <c r="Q514" s="431" t="s">
        <v>762</v>
      </c>
      <c r="R514" s="431" t="s">
        <v>762</v>
      </c>
      <c r="S514" s="431" t="s">
        <v>762</v>
      </c>
      <c r="T514" s="431" t="s">
        <v>762</v>
      </c>
      <c r="U514" s="431" t="s">
        <v>762</v>
      </c>
      <c r="V514" s="431">
        <v>35</v>
      </c>
      <c r="W514" s="431">
        <v>40</v>
      </c>
      <c r="X514" s="431">
        <v>47</v>
      </c>
      <c r="Y514" s="431">
        <v>55</v>
      </c>
      <c r="Z514" s="431">
        <v>60</v>
      </c>
      <c r="AA514" s="431">
        <v>68</v>
      </c>
      <c r="AB514" s="431">
        <v>74</v>
      </c>
      <c r="AC514" s="431">
        <v>81</v>
      </c>
      <c r="AD514" s="431">
        <v>87</v>
      </c>
      <c r="AE514" s="431" t="s">
        <v>762</v>
      </c>
      <c r="AF514" s="431" t="s">
        <v>762</v>
      </c>
      <c r="AG514" s="431">
        <v>197</v>
      </c>
      <c r="AH514" s="431" t="s">
        <v>762</v>
      </c>
      <c r="AI514" s="431">
        <v>197</v>
      </c>
      <c r="AJ514" s="431" t="s">
        <v>762</v>
      </c>
      <c r="AK514" s="431" t="s">
        <v>762</v>
      </c>
      <c r="AL514" s="431">
        <v>197</v>
      </c>
      <c r="AM514" s="431" t="s">
        <v>762</v>
      </c>
      <c r="AN514" s="431" t="s">
        <v>762</v>
      </c>
      <c r="AO514" s="431" t="s">
        <v>762</v>
      </c>
      <c r="AP514" s="431">
        <v>197</v>
      </c>
      <c r="AQ514" s="431" t="s">
        <v>762</v>
      </c>
      <c r="AR514" s="431" t="s">
        <v>762</v>
      </c>
      <c r="AS514" s="431" t="s">
        <v>762</v>
      </c>
      <c r="AT514" s="431">
        <v>197</v>
      </c>
      <c r="AU514" s="431" t="s">
        <v>762</v>
      </c>
      <c r="AV514" s="431" t="s">
        <v>762</v>
      </c>
      <c r="AW514" s="431" t="s">
        <v>762</v>
      </c>
      <c r="AX514" s="431" t="s">
        <v>762</v>
      </c>
      <c r="AY514" s="431" t="s">
        <v>762</v>
      </c>
      <c r="AZ514" s="431" t="s">
        <v>762</v>
      </c>
      <c r="BA514" s="431" t="s">
        <v>762</v>
      </c>
      <c r="BB514" s="431" t="s">
        <v>762</v>
      </c>
      <c r="BC514" s="431" t="s">
        <v>762</v>
      </c>
      <c r="BD514" s="431" t="s">
        <v>762</v>
      </c>
      <c r="BE514" s="431" t="s">
        <v>762</v>
      </c>
      <c r="BF514" s="431">
        <v>285</v>
      </c>
      <c r="BG514" s="431" t="s">
        <v>762</v>
      </c>
      <c r="BH514" s="431" t="s">
        <v>762</v>
      </c>
      <c r="BI514" s="431" t="s">
        <v>762</v>
      </c>
      <c r="BJ514" s="431" t="s">
        <v>762</v>
      </c>
      <c r="BK514" s="431" t="s">
        <v>762</v>
      </c>
      <c r="BL514" s="431">
        <v>360</v>
      </c>
      <c r="BM514" s="431" t="s">
        <v>762</v>
      </c>
      <c r="BN514" s="431" t="s">
        <v>762</v>
      </c>
      <c r="BO514" s="431" t="s">
        <v>762</v>
      </c>
      <c r="BP514" s="431" t="s">
        <v>762</v>
      </c>
      <c r="BQ514" s="431" t="s">
        <v>762</v>
      </c>
      <c r="BR514" s="431" t="s">
        <v>762</v>
      </c>
      <c r="BS514" s="431" t="s">
        <v>762</v>
      </c>
      <c r="BT514" s="431" t="s">
        <v>762</v>
      </c>
      <c r="BU514" s="431" t="s">
        <v>762</v>
      </c>
      <c r="BV514" s="431" t="s">
        <v>762</v>
      </c>
      <c r="BW514" s="431" t="s">
        <v>762</v>
      </c>
      <c r="BX514" s="431" t="s">
        <v>762</v>
      </c>
      <c r="BY514" s="431" t="s">
        <v>762</v>
      </c>
      <c r="BZ514" s="431" t="s">
        <v>762</v>
      </c>
      <c r="CA514" s="431" t="s">
        <v>762</v>
      </c>
      <c r="CB514" s="431" t="s">
        <v>762</v>
      </c>
      <c r="CC514" s="431" t="s">
        <v>762</v>
      </c>
      <c r="CD514" s="431" t="s">
        <v>762</v>
      </c>
      <c r="CE514" s="431" t="s">
        <v>762</v>
      </c>
      <c r="CF514" s="431" t="s">
        <v>762</v>
      </c>
      <c r="CG514" s="431" t="s">
        <v>762</v>
      </c>
      <c r="CH514" s="431" t="s">
        <v>762</v>
      </c>
      <c r="CI514" s="431" t="s">
        <v>762</v>
      </c>
      <c r="CJ514" s="431" t="s">
        <v>762</v>
      </c>
      <c r="CK514" s="431" t="s">
        <v>762</v>
      </c>
      <c r="CL514" s="431" t="s">
        <v>762</v>
      </c>
    </row>
    <row r="515" spans="1:90" s="432" customFormat="1">
      <c r="A515" s="430" t="s">
        <v>567</v>
      </c>
      <c r="B515" s="430" t="s">
        <v>631</v>
      </c>
      <c r="C515" s="431" t="s">
        <v>762</v>
      </c>
      <c r="D515" s="431" t="s">
        <v>762</v>
      </c>
      <c r="E515" s="431" t="s">
        <v>762</v>
      </c>
      <c r="F515" s="431" t="s">
        <v>762</v>
      </c>
      <c r="G515" s="431" t="s">
        <v>762</v>
      </c>
      <c r="H515" s="431" t="s">
        <v>762</v>
      </c>
      <c r="I515" s="431" t="s">
        <v>762</v>
      </c>
      <c r="J515" s="431" t="s">
        <v>762</v>
      </c>
      <c r="K515" s="431" t="s">
        <v>762</v>
      </c>
      <c r="L515" s="431">
        <v>30</v>
      </c>
      <c r="M515" s="431" t="s">
        <v>762</v>
      </c>
      <c r="N515" s="431" t="s">
        <v>762</v>
      </c>
      <c r="O515" s="431" t="s">
        <v>762</v>
      </c>
      <c r="P515" s="431" t="s">
        <v>762</v>
      </c>
      <c r="Q515" s="431" t="s">
        <v>762</v>
      </c>
      <c r="R515" s="431" t="s">
        <v>762</v>
      </c>
      <c r="S515" s="431" t="s">
        <v>762</v>
      </c>
      <c r="T515" s="431" t="s">
        <v>762</v>
      </c>
      <c r="U515" s="431" t="s">
        <v>762</v>
      </c>
      <c r="V515" s="431">
        <v>36</v>
      </c>
      <c r="W515" s="431">
        <v>42</v>
      </c>
      <c r="X515" s="431">
        <v>48</v>
      </c>
      <c r="Y515" s="431">
        <v>57</v>
      </c>
      <c r="Z515" s="431">
        <v>63</v>
      </c>
      <c r="AA515" s="431">
        <v>71</v>
      </c>
      <c r="AB515" s="431">
        <v>77</v>
      </c>
      <c r="AC515" s="431">
        <v>85</v>
      </c>
      <c r="AD515" s="431">
        <v>91</v>
      </c>
      <c r="AE515" s="431" t="s">
        <v>762</v>
      </c>
      <c r="AF515" s="431" t="s">
        <v>762</v>
      </c>
      <c r="AG515" s="431">
        <v>165</v>
      </c>
      <c r="AH515" s="431" t="s">
        <v>762</v>
      </c>
      <c r="AI515" s="431">
        <v>165</v>
      </c>
      <c r="AJ515" s="431" t="s">
        <v>762</v>
      </c>
      <c r="AK515" s="431" t="s">
        <v>762</v>
      </c>
      <c r="AL515" s="431">
        <v>165</v>
      </c>
      <c r="AM515" s="431" t="s">
        <v>762</v>
      </c>
      <c r="AN515" s="431" t="s">
        <v>762</v>
      </c>
      <c r="AO515" s="431" t="s">
        <v>762</v>
      </c>
      <c r="AP515" s="431">
        <v>165</v>
      </c>
      <c r="AQ515" s="431" t="s">
        <v>762</v>
      </c>
      <c r="AR515" s="431" t="s">
        <v>762</v>
      </c>
      <c r="AS515" s="431" t="s">
        <v>762</v>
      </c>
      <c r="AT515" s="431">
        <v>165</v>
      </c>
      <c r="AU515" s="431" t="s">
        <v>762</v>
      </c>
      <c r="AV515" s="431" t="s">
        <v>762</v>
      </c>
      <c r="AW515" s="431" t="s">
        <v>762</v>
      </c>
      <c r="AX515" s="431" t="s">
        <v>762</v>
      </c>
      <c r="AY515" s="431" t="s">
        <v>762</v>
      </c>
      <c r="AZ515" s="431" t="s">
        <v>762</v>
      </c>
      <c r="BA515" s="431" t="s">
        <v>762</v>
      </c>
      <c r="BB515" s="431" t="s">
        <v>762</v>
      </c>
      <c r="BC515" s="431" t="s">
        <v>762</v>
      </c>
      <c r="BD515" s="431" t="s">
        <v>762</v>
      </c>
      <c r="BE515" s="431" t="s">
        <v>762</v>
      </c>
      <c r="BF515" s="431">
        <v>267</v>
      </c>
      <c r="BG515" s="431" t="s">
        <v>762</v>
      </c>
      <c r="BH515" s="431" t="s">
        <v>762</v>
      </c>
      <c r="BI515" s="431" t="s">
        <v>762</v>
      </c>
      <c r="BJ515" s="431" t="s">
        <v>762</v>
      </c>
      <c r="BK515" s="431" t="s">
        <v>762</v>
      </c>
      <c r="BL515" s="431">
        <v>322</v>
      </c>
      <c r="BM515" s="431" t="s">
        <v>762</v>
      </c>
      <c r="BN515" s="431" t="s">
        <v>762</v>
      </c>
      <c r="BO515" s="431" t="s">
        <v>762</v>
      </c>
      <c r="BP515" s="431" t="s">
        <v>762</v>
      </c>
      <c r="BQ515" s="431" t="s">
        <v>762</v>
      </c>
      <c r="BR515" s="431" t="s">
        <v>762</v>
      </c>
      <c r="BS515" s="431" t="s">
        <v>762</v>
      </c>
      <c r="BT515" s="431" t="s">
        <v>762</v>
      </c>
      <c r="BU515" s="431" t="s">
        <v>762</v>
      </c>
      <c r="BV515" s="431" t="s">
        <v>762</v>
      </c>
      <c r="BW515" s="431" t="s">
        <v>762</v>
      </c>
      <c r="BX515" s="431" t="s">
        <v>762</v>
      </c>
      <c r="BY515" s="431" t="s">
        <v>762</v>
      </c>
      <c r="BZ515" s="431" t="s">
        <v>762</v>
      </c>
      <c r="CA515" s="431" t="s">
        <v>762</v>
      </c>
      <c r="CB515" s="431" t="s">
        <v>762</v>
      </c>
      <c r="CC515" s="431" t="s">
        <v>762</v>
      </c>
      <c r="CD515" s="431" t="s">
        <v>762</v>
      </c>
      <c r="CE515" s="431" t="s">
        <v>762</v>
      </c>
      <c r="CF515" s="431" t="s">
        <v>762</v>
      </c>
      <c r="CG515" s="431" t="s">
        <v>762</v>
      </c>
      <c r="CH515" s="431" t="s">
        <v>762</v>
      </c>
      <c r="CI515" s="431" t="s">
        <v>762</v>
      </c>
      <c r="CJ515" s="431" t="s">
        <v>762</v>
      </c>
      <c r="CK515" s="431" t="s">
        <v>762</v>
      </c>
      <c r="CL515" s="431" t="s">
        <v>762</v>
      </c>
    </row>
    <row r="516" spans="1:90" s="432" customFormat="1">
      <c r="A516" s="430" t="s">
        <v>568</v>
      </c>
      <c r="B516" s="430" t="s">
        <v>631</v>
      </c>
      <c r="C516" s="431" t="s">
        <v>762</v>
      </c>
      <c r="D516" s="431" t="s">
        <v>762</v>
      </c>
      <c r="E516" s="431" t="s">
        <v>762</v>
      </c>
      <c r="F516" s="431" t="s">
        <v>762</v>
      </c>
      <c r="G516" s="431" t="s">
        <v>762</v>
      </c>
      <c r="H516" s="431" t="s">
        <v>762</v>
      </c>
      <c r="I516" s="431" t="s">
        <v>762</v>
      </c>
      <c r="J516" s="431" t="s">
        <v>762</v>
      </c>
      <c r="K516" s="431" t="s">
        <v>762</v>
      </c>
      <c r="L516" s="431">
        <v>37</v>
      </c>
      <c r="M516" s="431" t="s">
        <v>762</v>
      </c>
      <c r="N516" s="431" t="s">
        <v>762</v>
      </c>
      <c r="O516" s="431" t="s">
        <v>762</v>
      </c>
      <c r="P516" s="431" t="s">
        <v>762</v>
      </c>
      <c r="Q516" s="431" t="s">
        <v>762</v>
      </c>
      <c r="R516" s="431" t="s">
        <v>762</v>
      </c>
      <c r="S516" s="431" t="s">
        <v>762</v>
      </c>
      <c r="T516" s="431" t="s">
        <v>762</v>
      </c>
      <c r="U516" s="431" t="s">
        <v>762</v>
      </c>
      <c r="V516" s="431">
        <v>43</v>
      </c>
      <c r="W516" s="431">
        <v>49</v>
      </c>
      <c r="X516" s="431">
        <v>55</v>
      </c>
      <c r="Y516" s="431">
        <v>68</v>
      </c>
      <c r="Z516" s="431">
        <v>74</v>
      </c>
      <c r="AA516" s="431">
        <v>83</v>
      </c>
      <c r="AB516" s="431">
        <v>89</v>
      </c>
      <c r="AC516" s="431">
        <v>105</v>
      </c>
      <c r="AD516" s="431">
        <v>111</v>
      </c>
      <c r="AE516" s="431" t="s">
        <v>762</v>
      </c>
      <c r="AF516" s="431" t="s">
        <v>762</v>
      </c>
      <c r="AG516" s="431">
        <v>200</v>
      </c>
      <c r="AH516" s="431" t="s">
        <v>762</v>
      </c>
      <c r="AI516" s="431">
        <v>200</v>
      </c>
      <c r="AJ516" s="431" t="s">
        <v>762</v>
      </c>
      <c r="AK516" s="431" t="s">
        <v>762</v>
      </c>
      <c r="AL516" s="431">
        <v>200</v>
      </c>
      <c r="AM516" s="431" t="s">
        <v>762</v>
      </c>
      <c r="AN516" s="431" t="s">
        <v>762</v>
      </c>
      <c r="AO516" s="431" t="s">
        <v>762</v>
      </c>
      <c r="AP516" s="431">
        <v>200</v>
      </c>
      <c r="AQ516" s="431" t="s">
        <v>762</v>
      </c>
      <c r="AR516" s="431" t="s">
        <v>762</v>
      </c>
      <c r="AS516" s="431" t="s">
        <v>762</v>
      </c>
      <c r="AT516" s="431">
        <v>200</v>
      </c>
      <c r="AU516" s="431" t="s">
        <v>762</v>
      </c>
      <c r="AV516" s="431" t="s">
        <v>762</v>
      </c>
      <c r="AW516" s="431" t="s">
        <v>762</v>
      </c>
      <c r="AX516" s="431" t="s">
        <v>762</v>
      </c>
      <c r="AY516" s="431" t="s">
        <v>762</v>
      </c>
      <c r="AZ516" s="431" t="s">
        <v>762</v>
      </c>
      <c r="BA516" s="431" t="s">
        <v>762</v>
      </c>
      <c r="BB516" s="431" t="s">
        <v>762</v>
      </c>
      <c r="BC516" s="431" t="s">
        <v>762</v>
      </c>
      <c r="BD516" s="431" t="s">
        <v>762</v>
      </c>
      <c r="BE516" s="431" t="s">
        <v>762</v>
      </c>
      <c r="BF516" s="431">
        <v>285</v>
      </c>
      <c r="BG516" s="431" t="s">
        <v>762</v>
      </c>
      <c r="BH516" s="431" t="s">
        <v>762</v>
      </c>
      <c r="BI516" s="431" t="s">
        <v>762</v>
      </c>
      <c r="BJ516" s="431" t="s">
        <v>762</v>
      </c>
      <c r="BK516" s="431" t="s">
        <v>762</v>
      </c>
      <c r="BL516" s="431">
        <v>360</v>
      </c>
      <c r="BM516" s="431" t="s">
        <v>762</v>
      </c>
      <c r="BN516" s="431" t="s">
        <v>762</v>
      </c>
      <c r="BO516" s="431" t="s">
        <v>762</v>
      </c>
      <c r="BP516" s="431" t="s">
        <v>762</v>
      </c>
      <c r="BQ516" s="431" t="s">
        <v>762</v>
      </c>
      <c r="BR516" s="431" t="s">
        <v>762</v>
      </c>
      <c r="BS516" s="431" t="s">
        <v>762</v>
      </c>
      <c r="BT516" s="431" t="s">
        <v>762</v>
      </c>
      <c r="BU516" s="431" t="s">
        <v>762</v>
      </c>
      <c r="BV516" s="431" t="s">
        <v>762</v>
      </c>
      <c r="BW516" s="431" t="s">
        <v>762</v>
      </c>
      <c r="BX516" s="431" t="s">
        <v>762</v>
      </c>
      <c r="BY516" s="431" t="s">
        <v>762</v>
      </c>
      <c r="BZ516" s="431" t="s">
        <v>762</v>
      </c>
      <c r="CA516" s="431" t="s">
        <v>762</v>
      </c>
      <c r="CB516" s="431" t="s">
        <v>762</v>
      </c>
      <c r="CC516" s="431" t="s">
        <v>762</v>
      </c>
      <c r="CD516" s="431" t="s">
        <v>762</v>
      </c>
      <c r="CE516" s="431" t="s">
        <v>762</v>
      </c>
      <c r="CF516" s="431" t="s">
        <v>762</v>
      </c>
      <c r="CG516" s="431" t="s">
        <v>762</v>
      </c>
      <c r="CH516" s="431" t="s">
        <v>762</v>
      </c>
      <c r="CI516" s="431" t="s">
        <v>762</v>
      </c>
      <c r="CJ516" s="431" t="s">
        <v>762</v>
      </c>
      <c r="CK516" s="431" t="s">
        <v>762</v>
      </c>
      <c r="CL516" s="431" t="s">
        <v>762</v>
      </c>
    </row>
    <row r="517" spans="1:90" s="432" customFormat="1">
      <c r="A517" s="430" t="s">
        <v>569</v>
      </c>
      <c r="B517" s="430" t="s">
        <v>631</v>
      </c>
      <c r="C517" s="431" t="s">
        <v>762</v>
      </c>
      <c r="D517" s="431" t="s">
        <v>762</v>
      </c>
      <c r="E517" s="431" t="s">
        <v>762</v>
      </c>
      <c r="F517" s="431" t="s">
        <v>762</v>
      </c>
      <c r="G517" s="431" t="s">
        <v>762</v>
      </c>
      <c r="H517" s="431" t="s">
        <v>762</v>
      </c>
      <c r="I517" s="431" t="s">
        <v>762</v>
      </c>
      <c r="J517" s="431" t="s">
        <v>762</v>
      </c>
      <c r="K517" s="431" t="s">
        <v>762</v>
      </c>
      <c r="L517" s="431">
        <v>22</v>
      </c>
      <c r="M517" s="431" t="s">
        <v>762</v>
      </c>
      <c r="N517" s="431" t="s">
        <v>762</v>
      </c>
      <c r="O517" s="431" t="s">
        <v>762</v>
      </c>
      <c r="P517" s="431" t="s">
        <v>762</v>
      </c>
      <c r="Q517" s="431" t="s">
        <v>762</v>
      </c>
      <c r="R517" s="431" t="s">
        <v>762</v>
      </c>
      <c r="S517" s="431" t="s">
        <v>762</v>
      </c>
      <c r="T517" s="431" t="s">
        <v>762</v>
      </c>
      <c r="U517" s="431" t="s">
        <v>762</v>
      </c>
      <c r="V517" s="431">
        <v>28</v>
      </c>
      <c r="W517" s="431">
        <v>34</v>
      </c>
      <c r="X517" s="431">
        <v>37</v>
      </c>
      <c r="Y517" s="431">
        <v>42</v>
      </c>
      <c r="Z517" s="431">
        <v>45</v>
      </c>
      <c r="AA517" s="431">
        <v>50</v>
      </c>
      <c r="AB517" s="431">
        <v>53</v>
      </c>
      <c r="AC517" s="431">
        <v>56</v>
      </c>
      <c r="AD517" s="431">
        <v>59</v>
      </c>
      <c r="AE517" s="431" t="s">
        <v>762</v>
      </c>
      <c r="AF517" s="431" t="s">
        <v>762</v>
      </c>
      <c r="AG517" s="431">
        <v>141</v>
      </c>
      <c r="AH517" s="431" t="s">
        <v>762</v>
      </c>
      <c r="AI517" s="431">
        <v>141</v>
      </c>
      <c r="AJ517" s="431" t="s">
        <v>762</v>
      </c>
      <c r="AK517" s="431" t="s">
        <v>762</v>
      </c>
      <c r="AL517" s="431">
        <v>141</v>
      </c>
      <c r="AM517" s="431" t="s">
        <v>762</v>
      </c>
      <c r="AN517" s="431" t="s">
        <v>762</v>
      </c>
      <c r="AO517" s="431" t="s">
        <v>762</v>
      </c>
      <c r="AP517" s="431">
        <v>141</v>
      </c>
      <c r="AQ517" s="431" t="s">
        <v>762</v>
      </c>
      <c r="AR517" s="431" t="s">
        <v>762</v>
      </c>
      <c r="AS517" s="431" t="s">
        <v>762</v>
      </c>
      <c r="AT517" s="431">
        <v>141</v>
      </c>
      <c r="AU517" s="431" t="s">
        <v>762</v>
      </c>
      <c r="AV517" s="431" t="s">
        <v>762</v>
      </c>
      <c r="AW517" s="431" t="s">
        <v>762</v>
      </c>
      <c r="AX517" s="431" t="s">
        <v>762</v>
      </c>
      <c r="AY517" s="431" t="s">
        <v>762</v>
      </c>
      <c r="AZ517" s="431" t="s">
        <v>762</v>
      </c>
      <c r="BA517" s="431" t="s">
        <v>762</v>
      </c>
      <c r="BB517" s="431" t="s">
        <v>762</v>
      </c>
      <c r="BC517" s="431" t="s">
        <v>762</v>
      </c>
      <c r="BD517" s="431" t="s">
        <v>762</v>
      </c>
      <c r="BE517" s="431" t="s">
        <v>762</v>
      </c>
      <c r="BF517" s="431">
        <v>220</v>
      </c>
      <c r="BG517" s="431" t="s">
        <v>762</v>
      </c>
      <c r="BH517" s="431" t="s">
        <v>762</v>
      </c>
      <c r="BI517" s="431" t="s">
        <v>762</v>
      </c>
      <c r="BJ517" s="431" t="s">
        <v>762</v>
      </c>
      <c r="BK517" s="431" t="s">
        <v>762</v>
      </c>
      <c r="BL517" s="431">
        <v>262</v>
      </c>
      <c r="BM517" s="431" t="s">
        <v>762</v>
      </c>
      <c r="BN517" s="431" t="s">
        <v>762</v>
      </c>
      <c r="BO517" s="431" t="s">
        <v>762</v>
      </c>
      <c r="BP517" s="431" t="s">
        <v>762</v>
      </c>
      <c r="BQ517" s="431" t="s">
        <v>762</v>
      </c>
      <c r="BR517" s="431" t="s">
        <v>762</v>
      </c>
      <c r="BS517" s="431" t="s">
        <v>762</v>
      </c>
      <c r="BT517" s="431" t="s">
        <v>762</v>
      </c>
      <c r="BU517" s="431" t="s">
        <v>762</v>
      </c>
      <c r="BV517" s="431" t="s">
        <v>762</v>
      </c>
      <c r="BW517" s="431" t="s">
        <v>762</v>
      </c>
      <c r="BX517" s="431" t="s">
        <v>762</v>
      </c>
      <c r="BY517" s="431" t="s">
        <v>762</v>
      </c>
      <c r="BZ517" s="431" t="s">
        <v>762</v>
      </c>
      <c r="CA517" s="431" t="s">
        <v>762</v>
      </c>
      <c r="CB517" s="431" t="s">
        <v>762</v>
      </c>
      <c r="CC517" s="431" t="s">
        <v>762</v>
      </c>
      <c r="CD517" s="431" t="s">
        <v>762</v>
      </c>
      <c r="CE517" s="431" t="s">
        <v>762</v>
      </c>
      <c r="CF517" s="431" t="s">
        <v>762</v>
      </c>
      <c r="CG517" s="431" t="s">
        <v>762</v>
      </c>
      <c r="CH517" s="431" t="s">
        <v>762</v>
      </c>
      <c r="CI517" s="431" t="s">
        <v>762</v>
      </c>
      <c r="CJ517" s="431" t="s">
        <v>762</v>
      </c>
      <c r="CK517" s="431" t="s">
        <v>762</v>
      </c>
      <c r="CL517" s="431" t="s">
        <v>762</v>
      </c>
    </row>
    <row r="518" spans="1:90" s="432" customFormat="1">
      <c r="A518" s="430" t="s">
        <v>570</v>
      </c>
      <c r="B518" s="430" t="s">
        <v>631</v>
      </c>
      <c r="C518" s="431" t="s">
        <v>762</v>
      </c>
      <c r="D518" s="431" t="s">
        <v>762</v>
      </c>
      <c r="E518" s="431" t="s">
        <v>762</v>
      </c>
      <c r="F518" s="431" t="s">
        <v>762</v>
      </c>
      <c r="G518" s="431" t="s">
        <v>762</v>
      </c>
      <c r="H518" s="431" t="s">
        <v>762</v>
      </c>
      <c r="I518" s="431" t="s">
        <v>762</v>
      </c>
      <c r="J518" s="431" t="s">
        <v>762</v>
      </c>
      <c r="K518" s="431" t="s">
        <v>762</v>
      </c>
      <c r="L518" s="431">
        <v>21</v>
      </c>
      <c r="M518" s="431" t="s">
        <v>762</v>
      </c>
      <c r="N518" s="431" t="s">
        <v>762</v>
      </c>
      <c r="O518" s="431" t="s">
        <v>762</v>
      </c>
      <c r="P518" s="431" t="s">
        <v>762</v>
      </c>
      <c r="Q518" s="431" t="s">
        <v>762</v>
      </c>
      <c r="R518" s="431" t="s">
        <v>762</v>
      </c>
      <c r="S518" s="431" t="s">
        <v>762</v>
      </c>
      <c r="T518" s="431" t="s">
        <v>762</v>
      </c>
      <c r="U518" s="431" t="s">
        <v>762</v>
      </c>
      <c r="V518" s="431">
        <v>22</v>
      </c>
      <c r="W518" s="431">
        <v>25</v>
      </c>
      <c r="X518" s="431">
        <v>28</v>
      </c>
      <c r="Y518" s="431">
        <v>28</v>
      </c>
      <c r="Z518" s="431">
        <v>29</v>
      </c>
      <c r="AA518" s="431">
        <v>29</v>
      </c>
      <c r="AB518" s="431">
        <v>31</v>
      </c>
      <c r="AC518" s="431">
        <v>31</v>
      </c>
      <c r="AD518" s="431">
        <v>33</v>
      </c>
      <c r="AE518" s="431" t="s">
        <v>762</v>
      </c>
      <c r="AF518" s="431" t="s">
        <v>762</v>
      </c>
      <c r="AG518" s="431">
        <v>97</v>
      </c>
      <c r="AH518" s="431" t="s">
        <v>762</v>
      </c>
      <c r="AI518" s="431">
        <v>97</v>
      </c>
      <c r="AJ518" s="431" t="s">
        <v>762</v>
      </c>
      <c r="AK518" s="431" t="s">
        <v>762</v>
      </c>
      <c r="AL518" s="431">
        <v>97</v>
      </c>
      <c r="AM518" s="431" t="s">
        <v>762</v>
      </c>
      <c r="AN518" s="431" t="s">
        <v>762</v>
      </c>
      <c r="AO518" s="431" t="s">
        <v>762</v>
      </c>
      <c r="AP518" s="431">
        <v>97</v>
      </c>
      <c r="AQ518" s="431" t="s">
        <v>762</v>
      </c>
      <c r="AR518" s="431" t="s">
        <v>762</v>
      </c>
      <c r="AS518" s="431" t="s">
        <v>762</v>
      </c>
      <c r="AT518" s="431">
        <v>97</v>
      </c>
      <c r="AU518" s="431" t="s">
        <v>762</v>
      </c>
      <c r="AV518" s="431" t="s">
        <v>762</v>
      </c>
      <c r="AW518" s="431" t="s">
        <v>762</v>
      </c>
      <c r="AX518" s="431" t="s">
        <v>762</v>
      </c>
      <c r="AY518" s="431" t="s">
        <v>762</v>
      </c>
      <c r="AZ518" s="431" t="s">
        <v>762</v>
      </c>
      <c r="BA518" s="431" t="s">
        <v>762</v>
      </c>
      <c r="BB518" s="431" t="s">
        <v>762</v>
      </c>
      <c r="BC518" s="431" t="s">
        <v>762</v>
      </c>
      <c r="BD518" s="431" t="s">
        <v>762</v>
      </c>
      <c r="BE518" s="431" t="s">
        <v>762</v>
      </c>
      <c r="BF518" s="431">
        <v>129</v>
      </c>
      <c r="BG518" s="431" t="s">
        <v>762</v>
      </c>
      <c r="BH518" s="431" t="s">
        <v>762</v>
      </c>
      <c r="BI518" s="431" t="s">
        <v>762</v>
      </c>
      <c r="BJ518" s="431" t="s">
        <v>762</v>
      </c>
      <c r="BK518" s="431" t="s">
        <v>762</v>
      </c>
      <c r="BL518" s="431">
        <v>167</v>
      </c>
      <c r="BM518" s="431" t="s">
        <v>762</v>
      </c>
      <c r="BN518" s="431" t="s">
        <v>762</v>
      </c>
      <c r="BO518" s="431" t="s">
        <v>762</v>
      </c>
      <c r="BP518" s="431" t="s">
        <v>762</v>
      </c>
      <c r="BQ518" s="431" t="s">
        <v>762</v>
      </c>
      <c r="BR518" s="431" t="s">
        <v>762</v>
      </c>
      <c r="BS518" s="431" t="s">
        <v>762</v>
      </c>
      <c r="BT518" s="431" t="s">
        <v>762</v>
      </c>
      <c r="BU518" s="431" t="s">
        <v>762</v>
      </c>
      <c r="BV518" s="431" t="s">
        <v>762</v>
      </c>
      <c r="BW518" s="431" t="s">
        <v>762</v>
      </c>
      <c r="BX518" s="431" t="s">
        <v>762</v>
      </c>
      <c r="BY518" s="431" t="s">
        <v>762</v>
      </c>
      <c r="BZ518" s="431" t="s">
        <v>762</v>
      </c>
      <c r="CA518" s="431" t="s">
        <v>762</v>
      </c>
      <c r="CB518" s="431" t="s">
        <v>762</v>
      </c>
      <c r="CC518" s="431" t="s">
        <v>762</v>
      </c>
      <c r="CD518" s="431" t="s">
        <v>762</v>
      </c>
      <c r="CE518" s="431" t="s">
        <v>762</v>
      </c>
      <c r="CF518" s="431" t="s">
        <v>762</v>
      </c>
      <c r="CG518" s="431" t="s">
        <v>762</v>
      </c>
      <c r="CH518" s="431" t="s">
        <v>762</v>
      </c>
      <c r="CI518" s="431" t="s">
        <v>762</v>
      </c>
      <c r="CJ518" s="431" t="s">
        <v>762</v>
      </c>
      <c r="CK518" s="431" t="s">
        <v>762</v>
      </c>
      <c r="CL518" s="431" t="s">
        <v>762</v>
      </c>
    </row>
    <row r="519" spans="1:90" s="432" customFormat="1">
      <c r="A519" s="430" t="s">
        <v>571</v>
      </c>
      <c r="B519" s="430" t="s">
        <v>631</v>
      </c>
      <c r="C519" s="431" t="s">
        <v>762</v>
      </c>
      <c r="D519" s="431" t="s">
        <v>762</v>
      </c>
      <c r="E519" s="431" t="s">
        <v>762</v>
      </c>
      <c r="F519" s="431" t="s">
        <v>762</v>
      </c>
      <c r="G519" s="431" t="s">
        <v>762</v>
      </c>
      <c r="H519" s="431" t="s">
        <v>762</v>
      </c>
      <c r="I519" s="431" t="s">
        <v>762</v>
      </c>
      <c r="J519" s="431" t="s">
        <v>762</v>
      </c>
      <c r="K519" s="431" t="s">
        <v>762</v>
      </c>
      <c r="L519" s="431">
        <v>34</v>
      </c>
      <c r="M519" s="431" t="s">
        <v>762</v>
      </c>
      <c r="N519" s="431" t="s">
        <v>762</v>
      </c>
      <c r="O519" s="431" t="s">
        <v>762</v>
      </c>
      <c r="P519" s="431" t="s">
        <v>762</v>
      </c>
      <c r="Q519" s="431" t="s">
        <v>762</v>
      </c>
      <c r="R519" s="431" t="s">
        <v>762</v>
      </c>
      <c r="S519" s="431" t="s">
        <v>762</v>
      </c>
      <c r="T519" s="431" t="s">
        <v>762</v>
      </c>
      <c r="U519" s="431" t="s">
        <v>762</v>
      </c>
      <c r="V519" s="431">
        <v>37</v>
      </c>
      <c r="W519" s="431">
        <v>40</v>
      </c>
      <c r="X519" s="431">
        <v>44</v>
      </c>
      <c r="Y519" s="431">
        <v>48</v>
      </c>
      <c r="Z519" s="431">
        <v>51</v>
      </c>
      <c r="AA519" s="431">
        <v>55</v>
      </c>
      <c r="AB519" s="431">
        <v>60</v>
      </c>
      <c r="AC519" s="431">
        <v>64</v>
      </c>
      <c r="AD519" s="431">
        <v>70</v>
      </c>
      <c r="AE519" s="431" t="s">
        <v>762</v>
      </c>
      <c r="AF519" s="431" t="s">
        <v>762</v>
      </c>
      <c r="AG519" s="431">
        <v>144</v>
      </c>
      <c r="AH519" s="431" t="s">
        <v>762</v>
      </c>
      <c r="AI519" s="431">
        <v>144</v>
      </c>
      <c r="AJ519" s="431" t="s">
        <v>762</v>
      </c>
      <c r="AK519" s="431" t="s">
        <v>762</v>
      </c>
      <c r="AL519" s="431">
        <v>144</v>
      </c>
      <c r="AM519" s="431" t="s">
        <v>762</v>
      </c>
      <c r="AN519" s="431" t="s">
        <v>762</v>
      </c>
      <c r="AO519" s="431" t="s">
        <v>762</v>
      </c>
      <c r="AP519" s="431">
        <v>144</v>
      </c>
      <c r="AQ519" s="431" t="s">
        <v>762</v>
      </c>
      <c r="AR519" s="431" t="s">
        <v>762</v>
      </c>
      <c r="AS519" s="431" t="s">
        <v>762</v>
      </c>
      <c r="AT519" s="431">
        <v>144</v>
      </c>
      <c r="AU519" s="431" t="s">
        <v>762</v>
      </c>
      <c r="AV519" s="431" t="s">
        <v>762</v>
      </c>
      <c r="AW519" s="431" t="s">
        <v>762</v>
      </c>
      <c r="AX519" s="431" t="s">
        <v>762</v>
      </c>
      <c r="AY519" s="431" t="s">
        <v>762</v>
      </c>
      <c r="AZ519" s="431" t="s">
        <v>762</v>
      </c>
      <c r="BA519" s="431" t="s">
        <v>762</v>
      </c>
      <c r="BB519" s="431" t="s">
        <v>762</v>
      </c>
      <c r="BC519" s="431" t="s">
        <v>762</v>
      </c>
      <c r="BD519" s="431" t="s">
        <v>762</v>
      </c>
      <c r="BE519" s="431" t="s">
        <v>762</v>
      </c>
      <c r="BF519" s="431">
        <v>204</v>
      </c>
      <c r="BG519" s="431" t="s">
        <v>762</v>
      </c>
      <c r="BH519" s="431" t="s">
        <v>762</v>
      </c>
      <c r="BI519" s="431" t="s">
        <v>762</v>
      </c>
      <c r="BJ519" s="431" t="s">
        <v>762</v>
      </c>
      <c r="BK519" s="431" t="s">
        <v>762</v>
      </c>
      <c r="BL519" s="431">
        <v>244</v>
      </c>
      <c r="BM519" s="431" t="s">
        <v>762</v>
      </c>
      <c r="BN519" s="431" t="s">
        <v>762</v>
      </c>
      <c r="BO519" s="431" t="s">
        <v>762</v>
      </c>
      <c r="BP519" s="431" t="s">
        <v>762</v>
      </c>
      <c r="BQ519" s="431" t="s">
        <v>762</v>
      </c>
      <c r="BR519" s="431" t="s">
        <v>762</v>
      </c>
      <c r="BS519" s="431" t="s">
        <v>762</v>
      </c>
      <c r="BT519" s="431" t="s">
        <v>762</v>
      </c>
      <c r="BU519" s="431" t="s">
        <v>762</v>
      </c>
      <c r="BV519" s="431" t="s">
        <v>762</v>
      </c>
      <c r="BW519" s="431" t="s">
        <v>762</v>
      </c>
      <c r="BX519" s="431" t="s">
        <v>762</v>
      </c>
      <c r="BY519" s="431" t="s">
        <v>762</v>
      </c>
      <c r="BZ519" s="431" t="s">
        <v>762</v>
      </c>
      <c r="CA519" s="431" t="s">
        <v>762</v>
      </c>
      <c r="CB519" s="431" t="s">
        <v>762</v>
      </c>
      <c r="CC519" s="431" t="s">
        <v>762</v>
      </c>
      <c r="CD519" s="431" t="s">
        <v>762</v>
      </c>
      <c r="CE519" s="431" t="s">
        <v>762</v>
      </c>
      <c r="CF519" s="431" t="s">
        <v>762</v>
      </c>
      <c r="CG519" s="431" t="s">
        <v>762</v>
      </c>
      <c r="CH519" s="431" t="s">
        <v>762</v>
      </c>
      <c r="CI519" s="431" t="s">
        <v>762</v>
      </c>
      <c r="CJ519" s="431" t="s">
        <v>762</v>
      </c>
      <c r="CK519" s="431" t="s">
        <v>762</v>
      </c>
      <c r="CL519" s="431" t="s">
        <v>762</v>
      </c>
    </row>
    <row r="520" spans="1:90" s="432" customFormat="1">
      <c r="A520" s="430" t="s">
        <v>572</v>
      </c>
      <c r="B520" s="430" t="s">
        <v>631</v>
      </c>
      <c r="C520" s="431" t="s">
        <v>762</v>
      </c>
      <c r="D520" s="431" t="s">
        <v>762</v>
      </c>
      <c r="E520" s="431" t="s">
        <v>762</v>
      </c>
      <c r="F520" s="431" t="s">
        <v>762</v>
      </c>
      <c r="G520" s="431" t="s">
        <v>762</v>
      </c>
      <c r="H520" s="431" t="s">
        <v>762</v>
      </c>
      <c r="I520" s="431" t="s">
        <v>762</v>
      </c>
      <c r="J520" s="431" t="s">
        <v>762</v>
      </c>
      <c r="K520" s="431" t="s">
        <v>762</v>
      </c>
      <c r="L520" s="431">
        <v>34</v>
      </c>
      <c r="M520" s="431" t="s">
        <v>762</v>
      </c>
      <c r="N520" s="431" t="s">
        <v>762</v>
      </c>
      <c r="O520" s="431" t="s">
        <v>762</v>
      </c>
      <c r="P520" s="431" t="s">
        <v>762</v>
      </c>
      <c r="Q520" s="431" t="s">
        <v>762</v>
      </c>
      <c r="R520" s="431" t="s">
        <v>762</v>
      </c>
      <c r="S520" s="431" t="s">
        <v>762</v>
      </c>
      <c r="T520" s="431" t="s">
        <v>762</v>
      </c>
      <c r="U520" s="431" t="s">
        <v>762</v>
      </c>
      <c r="V520" s="431">
        <v>38</v>
      </c>
      <c r="W520" s="431">
        <v>41</v>
      </c>
      <c r="X520" s="431">
        <v>45</v>
      </c>
      <c r="Y520" s="431">
        <v>50</v>
      </c>
      <c r="Z520" s="431">
        <v>53</v>
      </c>
      <c r="AA520" s="431">
        <v>57</v>
      </c>
      <c r="AB520" s="431">
        <v>63</v>
      </c>
      <c r="AC520" s="431">
        <v>67</v>
      </c>
      <c r="AD520" s="431">
        <v>73</v>
      </c>
      <c r="AE520" s="431" t="s">
        <v>762</v>
      </c>
      <c r="AF520" s="431" t="s">
        <v>762</v>
      </c>
      <c r="AG520" s="431">
        <v>147</v>
      </c>
      <c r="AH520" s="431" t="s">
        <v>762</v>
      </c>
      <c r="AI520" s="431">
        <v>147</v>
      </c>
      <c r="AJ520" s="431" t="s">
        <v>762</v>
      </c>
      <c r="AK520" s="431" t="s">
        <v>762</v>
      </c>
      <c r="AL520" s="431">
        <v>147</v>
      </c>
      <c r="AM520" s="431" t="s">
        <v>762</v>
      </c>
      <c r="AN520" s="431" t="s">
        <v>762</v>
      </c>
      <c r="AO520" s="431" t="s">
        <v>762</v>
      </c>
      <c r="AP520" s="431">
        <v>147</v>
      </c>
      <c r="AQ520" s="431" t="s">
        <v>762</v>
      </c>
      <c r="AR520" s="431" t="s">
        <v>762</v>
      </c>
      <c r="AS520" s="431" t="s">
        <v>762</v>
      </c>
      <c r="AT520" s="431">
        <v>147</v>
      </c>
      <c r="AU520" s="431" t="s">
        <v>762</v>
      </c>
      <c r="AV520" s="431" t="s">
        <v>762</v>
      </c>
      <c r="AW520" s="431" t="s">
        <v>762</v>
      </c>
      <c r="AX520" s="431" t="s">
        <v>762</v>
      </c>
      <c r="AY520" s="431" t="s">
        <v>762</v>
      </c>
      <c r="AZ520" s="431" t="s">
        <v>762</v>
      </c>
      <c r="BA520" s="431" t="s">
        <v>762</v>
      </c>
      <c r="BB520" s="431" t="s">
        <v>762</v>
      </c>
      <c r="BC520" s="431" t="s">
        <v>762</v>
      </c>
      <c r="BD520" s="431" t="s">
        <v>762</v>
      </c>
      <c r="BE520" s="431" t="s">
        <v>762</v>
      </c>
      <c r="BF520" s="431">
        <v>227</v>
      </c>
      <c r="BG520" s="431" t="s">
        <v>762</v>
      </c>
      <c r="BH520" s="431" t="s">
        <v>762</v>
      </c>
      <c r="BI520" s="431" t="s">
        <v>762</v>
      </c>
      <c r="BJ520" s="431" t="s">
        <v>762</v>
      </c>
      <c r="BK520" s="431" t="s">
        <v>762</v>
      </c>
      <c r="BL520" s="431">
        <v>273</v>
      </c>
      <c r="BM520" s="431" t="s">
        <v>762</v>
      </c>
      <c r="BN520" s="431" t="s">
        <v>762</v>
      </c>
      <c r="BO520" s="431" t="s">
        <v>762</v>
      </c>
      <c r="BP520" s="431" t="s">
        <v>762</v>
      </c>
      <c r="BQ520" s="431" t="s">
        <v>762</v>
      </c>
      <c r="BR520" s="431" t="s">
        <v>762</v>
      </c>
      <c r="BS520" s="431" t="s">
        <v>762</v>
      </c>
      <c r="BT520" s="431" t="s">
        <v>762</v>
      </c>
      <c r="BU520" s="431" t="s">
        <v>762</v>
      </c>
      <c r="BV520" s="431" t="s">
        <v>762</v>
      </c>
      <c r="BW520" s="431" t="s">
        <v>762</v>
      </c>
      <c r="BX520" s="431" t="s">
        <v>762</v>
      </c>
      <c r="BY520" s="431" t="s">
        <v>762</v>
      </c>
      <c r="BZ520" s="431" t="s">
        <v>762</v>
      </c>
      <c r="CA520" s="431" t="s">
        <v>762</v>
      </c>
      <c r="CB520" s="431" t="s">
        <v>762</v>
      </c>
      <c r="CC520" s="431" t="s">
        <v>762</v>
      </c>
      <c r="CD520" s="431" t="s">
        <v>762</v>
      </c>
      <c r="CE520" s="431" t="s">
        <v>762</v>
      </c>
      <c r="CF520" s="431" t="s">
        <v>762</v>
      </c>
      <c r="CG520" s="431" t="s">
        <v>762</v>
      </c>
      <c r="CH520" s="431" t="s">
        <v>762</v>
      </c>
      <c r="CI520" s="431" t="s">
        <v>762</v>
      </c>
      <c r="CJ520" s="431" t="s">
        <v>762</v>
      </c>
      <c r="CK520" s="431" t="s">
        <v>762</v>
      </c>
      <c r="CL520" s="431" t="s">
        <v>762</v>
      </c>
    </row>
    <row r="521" spans="1:90" s="432" customFormat="1">
      <c r="A521" s="430" t="s">
        <v>573</v>
      </c>
      <c r="B521" s="430" t="s">
        <v>631</v>
      </c>
      <c r="C521" s="431" t="s">
        <v>762</v>
      </c>
      <c r="D521" s="431" t="s">
        <v>762</v>
      </c>
      <c r="E521" s="431" t="s">
        <v>762</v>
      </c>
      <c r="F521" s="431" t="s">
        <v>762</v>
      </c>
      <c r="G521" s="431" t="s">
        <v>762</v>
      </c>
      <c r="H521" s="431" t="s">
        <v>762</v>
      </c>
      <c r="I521" s="431" t="s">
        <v>762</v>
      </c>
      <c r="J521" s="431" t="s">
        <v>762</v>
      </c>
      <c r="K521" s="431" t="s">
        <v>762</v>
      </c>
      <c r="L521" s="431">
        <v>24</v>
      </c>
      <c r="M521" s="431" t="s">
        <v>762</v>
      </c>
      <c r="N521" s="431" t="s">
        <v>762</v>
      </c>
      <c r="O521" s="431" t="s">
        <v>762</v>
      </c>
      <c r="P521" s="431" t="s">
        <v>762</v>
      </c>
      <c r="Q521" s="431" t="s">
        <v>762</v>
      </c>
      <c r="R521" s="431" t="s">
        <v>762</v>
      </c>
      <c r="S521" s="431" t="s">
        <v>762</v>
      </c>
      <c r="T521" s="431" t="s">
        <v>762</v>
      </c>
      <c r="U521" s="431" t="s">
        <v>762</v>
      </c>
      <c r="V521" s="431">
        <v>27</v>
      </c>
      <c r="W521" s="431">
        <v>33</v>
      </c>
      <c r="X521" s="431">
        <v>38</v>
      </c>
      <c r="Y521" s="431">
        <v>40</v>
      </c>
      <c r="Z521" s="431">
        <v>44</v>
      </c>
      <c r="AA521" s="431">
        <v>47</v>
      </c>
      <c r="AB521" s="431">
        <v>51</v>
      </c>
      <c r="AC521" s="431">
        <v>54</v>
      </c>
      <c r="AD521" s="431">
        <v>59</v>
      </c>
      <c r="AE521" s="431" t="s">
        <v>762</v>
      </c>
      <c r="AF521" s="431" t="s">
        <v>762</v>
      </c>
      <c r="AG521" s="431">
        <v>117</v>
      </c>
      <c r="AH521" s="431" t="s">
        <v>762</v>
      </c>
      <c r="AI521" s="431">
        <v>117</v>
      </c>
      <c r="AJ521" s="431" t="s">
        <v>762</v>
      </c>
      <c r="AK521" s="431" t="s">
        <v>762</v>
      </c>
      <c r="AL521" s="431">
        <v>117</v>
      </c>
      <c r="AM521" s="431" t="s">
        <v>762</v>
      </c>
      <c r="AN521" s="431" t="s">
        <v>762</v>
      </c>
      <c r="AO521" s="431" t="s">
        <v>762</v>
      </c>
      <c r="AP521" s="431">
        <v>117</v>
      </c>
      <c r="AQ521" s="431" t="s">
        <v>762</v>
      </c>
      <c r="AR521" s="431" t="s">
        <v>762</v>
      </c>
      <c r="AS521" s="431" t="s">
        <v>762</v>
      </c>
      <c r="AT521" s="431">
        <v>117</v>
      </c>
      <c r="AU521" s="431" t="s">
        <v>762</v>
      </c>
      <c r="AV521" s="431" t="s">
        <v>762</v>
      </c>
      <c r="AW521" s="431" t="s">
        <v>762</v>
      </c>
      <c r="AX521" s="431" t="s">
        <v>762</v>
      </c>
      <c r="AY521" s="431" t="s">
        <v>762</v>
      </c>
      <c r="AZ521" s="431" t="s">
        <v>762</v>
      </c>
      <c r="BA521" s="431" t="s">
        <v>762</v>
      </c>
      <c r="BB521" s="431" t="s">
        <v>762</v>
      </c>
      <c r="BC521" s="431" t="s">
        <v>762</v>
      </c>
      <c r="BD521" s="431" t="s">
        <v>762</v>
      </c>
      <c r="BE521" s="431" t="s">
        <v>762</v>
      </c>
      <c r="BF521" s="431">
        <v>160</v>
      </c>
      <c r="BG521" s="431" t="s">
        <v>762</v>
      </c>
      <c r="BH521" s="431" t="s">
        <v>762</v>
      </c>
      <c r="BI521" s="431" t="s">
        <v>762</v>
      </c>
      <c r="BJ521" s="431" t="s">
        <v>762</v>
      </c>
      <c r="BK521" s="431" t="s">
        <v>762</v>
      </c>
      <c r="BL521" s="431">
        <v>204</v>
      </c>
      <c r="BM521" s="431" t="s">
        <v>762</v>
      </c>
      <c r="BN521" s="431" t="s">
        <v>762</v>
      </c>
      <c r="BO521" s="431" t="s">
        <v>762</v>
      </c>
      <c r="BP521" s="431" t="s">
        <v>762</v>
      </c>
      <c r="BQ521" s="431" t="s">
        <v>762</v>
      </c>
      <c r="BR521" s="431" t="s">
        <v>762</v>
      </c>
      <c r="BS521" s="431" t="s">
        <v>762</v>
      </c>
      <c r="BT521" s="431" t="s">
        <v>762</v>
      </c>
      <c r="BU521" s="431" t="s">
        <v>762</v>
      </c>
      <c r="BV521" s="431" t="s">
        <v>762</v>
      </c>
      <c r="BW521" s="431" t="s">
        <v>762</v>
      </c>
      <c r="BX521" s="431" t="s">
        <v>762</v>
      </c>
      <c r="BY521" s="431" t="s">
        <v>762</v>
      </c>
      <c r="BZ521" s="431" t="s">
        <v>762</v>
      </c>
      <c r="CA521" s="431" t="s">
        <v>762</v>
      </c>
      <c r="CB521" s="431" t="s">
        <v>762</v>
      </c>
      <c r="CC521" s="431" t="s">
        <v>762</v>
      </c>
      <c r="CD521" s="431" t="s">
        <v>762</v>
      </c>
      <c r="CE521" s="431" t="s">
        <v>762</v>
      </c>
      <c r="CF521" s="431" t="s">
        <v>762</v>
      </c>
      <c r="CG521" s="431" t="s">
        <v>762</v>
      </c>
      <c r="CH521" s="431" t="s">
        <v>762</v>
      </c>
      <c r="CI521" s="431" t="s">
        <v>762</v>
      </c>
      <c r="CJ521" s="431" t="s">
        <v>762</v>
      </c>
      <c r="CK521" s="431" t="s">
        <v>762</v>
      </c>
      <c r="CL521" s="431" t="s">
        <v>762</v>
      </c>
    </row>
    <row r="522" spans="1:90" s="432" customFormat="1">
      <c r="A522" s="430" t="s">
        <v>574</v>
      </c>
      <c r="B522" s="430" t="s">
        <v>631</v>
      </c>
      <c r="C522" s="431" t="s">
        <v>762</v>
      </c>
      <c r="D522" s="431" t="s">
        <v>762</v>
      </c>
      <c r="E522" s="431" t="s">
        <v>762</v>
      </c>
      <c r="F522" s="431" t="s">
        <v>762</v>
      </c>
      <c r="G522" s="431" t="s">
        <v>762</v>
      </c>
      <c r="H522" s="431" t="s">
        <v>762</v>
      </c>
      <c r="I522" s="431" t="s">
        <v>762</v>
      </c>
      <c r="J522" s="431" t="s">
        <v>762</v>
      </c>
      <c r="K522" s="431" t="s">
        <v>762</v>
      </c>
      <c r="L522" s="431">
        <v>30</v>
      </c>
      <c r="M522" s="431" t="s">
        <v>762</v>
      </c>
      <c r="N522" s="431" t="s">
        <v>762</v>
      </c>
      <c r="O522" s="431" t="s">
        <v>762</v>
      </c>
      <c r="P522" s="431" t="s">
        <v>762</v>
      </c>
      <c r="Q522" s="431" t="s">
        <v>762</v>
      </c>
      <c r="R522" s="431" t="s">
        <v>762</v>
      </c>
      <c r="S522" s="431" t="s">
        <v>762</v>
      </c>
      <c r="T522" s="431" t="s">
        <v>762</v>
      </c>
      <c r="U522" s="431" t="s">
        <v>762</v>
      </c>
      <c r="V522" s="431">
        <v>34</v>
      </c>
      <c r="W522" s="431">
        <v>40</v>
      </c>
      <c r="X522" s="431">
        <v>45</v>
      </c>
      <c r="Y522" s="431">
        <v>50</v>
      </c>
      <c r="Z522" s="431">
        <v>57</v>
      </c>
      <c r="AA522" s="431">
        <v>63</v>
      </c>
      <c r="AB522" s="431">
        <v>71</v>
      </c>
      <c r="AC522" s="431">
        <v>75</v>
      </c>
      <c r="AD522" s="431">
        <v>79</v>
      </c>
      <c r="AE522" s="431" t="s">
        <v>762</v>
      </c>
      <c r="AF522" s="431" t="s">
        <v>762</v>
      </c>
      <c r="AG522" s="431">
        <v>160</v>
      </c>
      <c r="AH522" s="431" t="s">
        <v>762</v>
      </c>
      <c r="AI522" s="431">
        <v>160</v>
      </c>
      <c r="AJ522" s="431" t="s">
        <v>762</v>
      </c>
      <c r="AK522" s="431" t="s">
        <v>762</v>
      </c>
      <c r="AL522" s="431">
        <v>160</v>
      </c>
      <c r="AM522" s="431" t="s">
        <v>762</v>
      </c>
      <c r="AN522" s="431" t="s">
        <v>762</v>
      </c>
      <c r="AO522" s="431" t="s">
        <v>762</v>
      </c>
      <c r="AP522" s="431">
        <v>160</v>
      </c>
      <c r="AQ522" s="431" t="s">
        <v>762</v>
      </c>
      <c r="AR522" s="431" t="s">
        <v>762</v>
      </c>
      <c r="AS522" s="431" t="s">
        <v>762</v>
      </c>
      <c r="AT522" s="431">
        <v>160</v>
      </c>
      <c r="AU522" s="431" t="s">
        <v>762</v>
      </c>
      <c r="AV522" s="431" t="s">
        <v>762</v>
      </c>
      <c r="AW522" s="431" t="s">
        <v>762</v>
      </c>
      <c r="AX522" s="431" t="s">
        <v>762</v>
      </c>
      <c r="AY522" s="431" t="s">
        <v>762</v>
      </c>
      <c r="AZ522" s="431" t="s">
        <v>762</v>
      </c>
      <c r="BA522" s="431" t="s">
        <v>762</v>
      </c>
      <c r="BB522" s="431" t="s">
        <v>762</v>
      </c>
      <c r="BC522" s="431" t="s">
        <v>762</v>
      </c>
      <c r="BD522" s="431" t="s">
        <v>762</v>
      </c>
      <c r="BE522" s="431" t="s">
        <v>762</v>
      </c>
      <c r="BF522" s="431">
        <v>231</v>
      </c>
      <c r="BG522" s="431" t="s">
        <v>762</v>
      </c>
      <c r="BH522" s="431" t="s">
        <v>762</v>
      </c>
      <c r="BI522" s="431" t="s">
        <v>762</v>
      </c>
      <c r="BJ522" s="431" t="s">
        <v>762</v>
      </c>
      <c r="BK522" s="431" t="s">
        <v>762</v>
      </c>
      <c r="BL522" s="431">
        <v>273</v>
      </c>
      <c r="BM522" s="431" t="s">
        <v>762</v>
      </c>
      <c r="BN522" s="431" t="s">
        <v>762</v>
      </c>
      <c r="BO522" s="431" t="s">
        <v>762</v>
      </c>
      <c r="BP522" s="431" t="s">
        <v>762</v>
      </c>
      <c r="BQ522" s="431" t="s">
        <v>762</v>
      </c>
      <c r="BR522" s="431" t="s">
        <v>762</v>
      </c>
      <c r="BS522" s="431" t="s">
        <v>762</v>
      </c>
      <c r="BT522" s="431" t="s">
        <v>762</v>
      </c>
      <c r="BU522" s="431" t="s">
        <v>762</v>
      </c>
      <c r="BV522" s="431" t="s">
        <v>762</v>
      </c>
      <c r="BW522" s="431" t="s">
        <v>762</v>
      </c>
      <c r="BX522" s="431" t="s">
        <v>762</v>
      </c>
      <c r="BY522" s="431" t="s">
        <v>762</v>
      </c>
      <c r="BZ522" s="431" t="s">
        <v>762</v>
      </c>
      <c r="CA522" s="431" t="s">
        <v>762</v>
      </c>
      <c r="CB522" s="431" t="s">
        <v>762</v>
      </c>
      <c r="CC522" s="431" t="s">
        <v>762</v>
      </c>
      <c r="CD522" s="431" t="s">
        <v>762</v>
      </c>
      <c r="CE522" s="431" t="s">
        <v>762</v>
      </c>
      <c r="CF522" s="431" t="s">
        <v>762</v>
      </c>
      <c r="CG522" s="431" t="s">
        <v>762</v>
      </c>
      <c r="CH522" s="431" t="s">
        <v>762</v>
      </c>
      <c r="CI522" s="431" t="s">
        <v>762</v>
      </c>
      <c r="CJ522" s="431" t="s">
        <v>762</v>
      </c>
      <c r="CK522" s="431" t="s">
        <v>762</v>
      </c>
      <c r="CL522" s="431" t="s">
        <v>762</v>
      </c>
    </row>
    <row r="523" spans="1:90" s="432" customFormat="1">
      <c r="A523" s="430" t="s">
        <v>575</v>
      </c>
      <c r="B523" s="430" t="s">
        <v>631</v>
      </c>
      <c r="C523" s="431" t="s">
        <v>762</v>
      </c>
      <c r="D523" s="431" t="s">
        <v>762</v>
      </c>
      <c r="E523" s="431" t="s">
        <v>762</v>
      </c>
      <c r="F523" s="431" t="s">
        <v>762</v>
      </c>
      <c r="G523" s="431" t="s">
        <v>762</v>
      </c>
      <c r="H523" s="431" t="s">
        <v>762</v>
      </c>
      <c r="I523" s="431" t="s">
        <v>762</v>
      </c>
      <c r="J523" s="431" t="s">
        <v>762</v>
      </c>
      <c r="K523" s="431" t="s">
        <v>762</v>
      </c>
      <c r="L523" s="431">
        <v>39</v>
      </c>
      <c r="M523" s="431" t="s">
        <v>762</v>
      </c>
      <c r="N523" s="431" t="s">
        <v>762</v>
      </c>
      <c r="O523" s="431" t="s">
        <v>762</v>
      </c>
      <c r="P523" s="431" t="s">
        <v>762</v>
      </c>
      <c r="Q523" s="431" t="s">
        <v>762</v>
      </c>
      <c r="R523" s="431" t="s">
        <v>762</v>
      </c>
      <c r="S523" s="431" t="s">
        <v>762</v>
      </c>
      <c r="T523" s="431" t="s">
        <v>762</v>
      </c>
      <c r="U523" s="431" t="s">
        <v>762</v>
      </c>
      <c r="V523" s="431">
        <v>43</v>
      </c>
      <c r="W523" s="431">
        <v>47</v>
      </c>
      <c r="X523" s="431">
        <v>50</v>
      </c>
      <c r="Y523" s="431">
        <v>54</v>
      </c>
      <c r="Z523" s="431">
        <v>58</v>
      </c>
      <c r="AA523" s="431">
        <v>63</v>
      </c>
      <c r="AB523" s="431">
        <v>69</v>
      </c>
      <c r="AC523" s="431">
        <v>73</v>
      </c>
      <c r="AD523" s="431">
        <v>79</v>
      </c>
      <c r="AE523" s="431" t="s">
        <v>762</v>
      </c>
      <c r="AF523" s="431" t="s">
        <v>762</v>
      </c>
      <c r="AG523" s="431">
        <v>158</v>
      </c>
      <c r="AH523" s="431" t="s">
        <v>762</v>
      </c>
      <c r="AI523" s="431">
        <v>158</v>
      </c>
      <c r="AJ523" s="431" t="s">
        <v>762</v>
      </c>
      <c r="AK523" s="431" t="s">
        <v>762</v>
      </c>
      <c r="AL523" s="431">
        <v>158</v>
      </c>
      <c r="AM523" s="431" t="s">
        <v>762</v>
      </c>
      <c r="AN523" s="431" t="s">
        <v>762</v>
      </c>
      <c r="AO523" s="431" t="s">
        <v>762</v>
      </c>
      <c r="AP523" s="431">
        <v>158</v>
      </c>
      <c r="AQ523" s="431" t="s">
        <v>762</v>
      </c>
      <c r="AR523" s="431" t="s">
        <v>762</v>
      </c>
      <c r="AS523" s="431" t="s">
        <v>762</v>
      </c>
      <c r="AT523" s="431">
        <v>158</v>
      </c>
      <c r="AU523" s="431" t="s">
        <v>762</v>
      </c>
      <c r="AV523" s="431" t="s">
        <v>762</v>
      </c>
      <c r="AW523" s="431" t="s">
        <v>762</v>
      </c>
      <c r="AX523" s="431" t="s">
        <v>762</v>
      </c>
      <c r="AY523" s="431" t="s">
        <v>762</v>
      </c>
      <c r="AZ523" s="431" t="s">
        <v>762</v>
      </c>
      <c r="BA523" s="431" t="s">
        <v>762</v>
      </c>
      <c r="BB523" s="431" t="s">
        <v>762</v>
      </c>
      <c r="BC523" s="431" t="s">
        <v>762</v>
      </c>
      <c r="BD523" s="431" t="s">
        <v>762</v>
      </c>
      <c r="BE523" s="431" t="s">
        <v>762</v>
      </c>
      <c r="BF523" s="431">
        <v>244</v>
      </c>
      <c r="BG523" s="431" t="s">
        <v>762</v>
      </c>
      <c r="BH523" s="431" t="s">
        <v>762</v>
      </c>
      <c r="BI523" s="431" t="s">
        <v>762</v>
      </c>
      <c r="BJ523" s="431" t="s">
        <v>762</v>
      </c>
      <c r="BK523" s="431" t="s">
        <v>762</v>
      </c>
      <c r="BL523" s="431">
        <v>290</v>
      </c>
      <c r="BM523" s="431" t="s">
        <v>762</v>
      </c>
      <c r="BN523" s="431" t="s">
        <v>762</v>
      </c>
      <c r="BO523" s="431" t="s">
        <v>762</v>
      </c>
      <c r="BP523" s="431" t="s">
        <v>762</v>
      </c>
      <c r="BQ523" s="431" t="s">
        <v>762</v>
      </c>
      <c r="BR523" s="431" t="s">
        <v>762</v>
      </c>
      <c r="BS523" s="431" t="s">
        <v>762</v>
      </c>
      <c r="BT523" s="431" t="s">
        <v>762</v>
      </c>
      <c r="BU523" s="431" t="s">
        <v>762</v>
      </c>
      <c r="BV523" s="431" t="s">
        <v>762</v>
      </c>
      <c r="BW523" s="431" t="s">
        <v>762</v>
      </c>
      <c r="BX523" s="431" t="s">
        <v>762</v>
      </c>
      <c r="BY523" s="431" t="s">
        <v>762</v>
      </c>
      <c r="BZ523" s="431" t="s">
        <v>762</v>
      </c>
      <c r="CA523" s="431" t="s">
        <v>762</v>
      </c>
      <c r="CB523" s="431" t="s">
        <v>762</v>
      </c>
      <c r="CC523" s="431" t="s">
        <v>762</v>
      </c>
      <c r="CD523" s="431" t="s">
        <v>762</v>
      </c>
      <c r="CE523" s="431" t="s">
        <v>762</v>
      </c>
      <c r="CF523" s="431" t="s">
        <v>762</v>
      </c>
      <c r="CG523" s="431" t="s">
        <v>762</v>
      </c>
      <c r="CH523" s="431" t="s">
        <v>762</v>
      </c>
      <c r="CI523" s="431" t="s">
        <v>762</v>
      </c>
      <c r="CJ523" s="431" t="s">
        <v>762</v>
      </c>
      <c r="CK523" s="431" t="s">
        <v>762</v>
      </c>
      <c r="CL523" s="431" t="s">
        <v>762</v>
      </c>
    </row>
    <row r="524" spans="1:90" s="432" customFormat="1">
      <c r="A524" s="430" t="s">
        <v>576</v>
      </c>
      <c r="B524" s="430" t="s">
        <v>631</v>
      </c>
      <c r="C524" s="431" t="s">
        <v>762</v>
      </c>
      <c r="D524" s="431" t="s">
        <v>762</v>
      </c>
      <c r="E524" s="431" t="s">
        <v>762</v>
      </c>
      <c r="F524" s="431" t="s">
        <v>762</v>
      </c>
      <c r="G524" s="431" t="s">
        <v>762</v>
      </c>
      <c r="H524" s="431" t="s">
        <v>762</v>
      </c>
      <c r="I524" s="431" t="s">
        <v>762</v>
      </c>
      <c r="J524" s="431" t="s">
        <v>762</v>
      </c>
      <c r="K524" s="431" t="s">
        <v>762</v>
      </c>
      <c r="L524" s="431">
        <v>24</v>
      </c>
      <c r="M524" s="431" t="s">
        <v>762</v>
      </c>
      <c r="N524" s="431" t="s">
        <v>762</v>
      </c>
      <c r="O524" s="431" t="s">
        <v>762</v>
      </c>
      <c r="P524" s="431" t="s">
        <v>762</v>
      </c>
      <c r="Q524" s="431" t="s">
        <v>762</v>
      </c>
      <c r="R524" s="431" t="s">
        <v>762</v>
      </c>
      <c r="S524" s="431" t="s">
        <v>762</v>
      </c>
      <c r="T524" s="431" t="s">
        <v>762</v>
      </c>
      <c r="U524" s="431" t="s">
        <v>762</v>
      </c>
      <c r="V524" s="431">
        <v>27</v>
      </c>
      <c r="W524" s="431">
        <v>33</v>
      </c>
      <c r="X524" s="431">
        <v>38</v>
      </c>
      <c r="Y524" s="431">
        <v>40</v>
      </c>
      <c r="Z524" s="431">
        <v>44</v>
      </c>
      <c r="AA524" s="431">
        <v>47</v>
      </c>
      <c r="AB524" s="431">
        <v>52</v>
      </c>
      <c r="AC524" s="431">
        <v>54</v>
      </c>
      <c r="AD524" s="431">
        <v>59</v>
      </c>
      <c r="AE524" s="431" t="s">
        <v>762</v>
      </c>
      <c r="AF524" s="431" t="s">
        <v>762</v>
      </c>
      <c r="AG524" s="431">
        <v>138</v>
      </c>
      <c r="AH524" s="431" t="s">
        <v>762</v>
      </c>
      <c r="AI524" s="431">
        <v>138</v>
      </c>
      <c r="AJ524" s="431" t="s">
        <v>762</v>
      </c>
      <c r="AK524" s="431" t="s">
        <v>762</v>
      </c>
      <c r="AL524" s="431">
        <v>138</v>
      </c>
      <c r="AM524" s="431" t="s">
        <v>762</v>
      </c>
      <c r="AN524" s="431" t="s">
        <v>762</v>
      </c>
      <c r="AO524" s="431" t="s">
        <v>762</v>
      </c>
      <c r="AP524" s="431">
        <v>138</v>
      </c>
      <c r="AQ524" s="431" t="s">
        <v>762</v>
      </c>
      <c r="AR524" s="431" t="s">
        <v>762</v>
      </c>
      <c r="AS524" s="431" t="s">
        <v>762</v>
      </c>
      <c r="AT524" s="431">
        <v>138</v>
      </c>
      <c r="AU524" s="431" t="s">
        <v>762</v>
      </c>
      <c r="AV524" s="431" t="s">
        <v>762</v>
      </c>
      <c r="AW524" s="431" t="s">
        <v>762</v>
      </c>
      <c r="AX524" s="431" t="s">
        <v>762</v>
      </c>
      <c r="AY524" s="431" t="s">
        <v>762</v>
      </c>
      <c r="AZ524" s="431" t="s">
        <v>762</v>
      </c>
      <c r="BA524" s="431" t="s">
        <v>762</v>
      </c>
      <c r="BB524" s="431" t="s">
        <v>762</v>
      </c>
      <c r="BC524" s="431" t="s">
        <v>762</v>
      </c>
      <c r="BD524" s="431" t="s">
        <v>762</v>
      </c>
      <c r="BE524" s="431" t="s">
        <v>762</v>
      </c>
      <c r="BF524" s="431">
        <v>220</v>
      </c>
      <c r="BG524" s="431" t="s">
        <v>762</v>
      </c>
      <c r="BH524" s="431" t="s">
        <v>762</v>
      </c>
      <c r="BI524" s="431" t="s">
        <v>762</v>
      </c>
      <c r="BJ524" s="431" t="s">
        <v>762</v>
      </c>
      <c r="BK524" s="431" t="s">
        <v>762</v>
      </c>
      <c r="BL524" s="431">
        <v>279</v>
      </c>
      <c r="BM524" s="431" t="s">
        <v>762</v>
      </c>
      <c r="BN524" s="431" t="s">
        <v>762</v>
      </c>
      <c r="BO524" s="431" t="s">
        <v>762</v>
      </c>
      <c r="BP524" s="431" t="s">
        <v>762</v>
      </c>
      <c r="BQ524" s="431" t="s">
        <v>762</v>
      </c>
      <c r="BR524" s="431" t="s">
        <v>762</v>
      </c>
      <c r="BS524" s="431" t="s">
        <v>762</v>
      </c>
      <c r="BT524" s="431" t="s">
        <v>762</v>
      </c>
      <c r="BU524" s="431" t="s">
        <v>762</v>
      </c>
      <c r="BV524" s="431" t="s">
        <v>762</v>
      </c>
      <c r="BW524" s="431" t="s">
        <v>762</v>
      </c>
      <c r="BX524" s="431" t="s">
        <v>762</v>
      </c>
      <c r="BY524" s="431" t="s">
        <v>762</v>
      </c>
      <c r="BZ524" s="431" t="s">
        <v>762</v>
      </c>
      <c r="CA524" s="431" t="s">
        <v>762</v>
      </c>
      <c r="CB524" s="431" t="s">
        <v>762</v>
      </c>
      <c r="CC524" s="431" t="s">
        <v>762</v>
      </c>
      <c r="CD524" s="431" t="s">
        <v>762</v>
      </c>
      <c r="CE524" s="431" t="s">
        <v>762</v>
      </c>
      <c r="CF524" s="431" t="s">
        <v>762</v>
      </c>
      <c r="CG524" s="431" t="s">
        <v>762</v>
      </c>
      <c r="CH524" s="431" t="s">
        <v>762</v>
      </c>
      <c r="CI524" s="431" t="s">
        <v>762</v>
      </c>
      <c r="CJ524" s="431" t="s">
        <v>762</v>
      </c>
      <c r="CK524" s="431" t="s">
        <v>762</v>
      </c>
      <c r="CL524" s="431" t="s">
        <v>762</v>
      </c>
    </row>
    <row r="525" spans="1:90" s="432" customFormat="1">
      <c r="A525" s="430" t="s">
        <v>577</v>
      </c>
      <c r="B525" s="430" t="s">
        <v>631</v>
      </c>
      <c r="C525" s="431" t="s">
        <v>762</v>
      </c>
      <c r="D525" s="431" t="s">
        <v>762</v>
      </c>
      <c r="E525" s="431" t="s">
        <v>762</v>
      </c>
      <c r="F525" s="431" t="s">
        <v>762</v>
      </c>
      <c r="G525" s="431" t="s">
        <v>762</v>
      </c>
      <c r="H525" s="431" t="s">
        <v>762</v>
      </c>
      <c r="I525" s="431" t="s">
        <v>762</v>
      </c>
      <c r="J525" s="431" t="s">
        <v>762</v>
      </c>
      <c r="K525" s="431" t="s">
        <v>762</v>
      </c>
      <c r="L525" s="431">
        <v>34</v>
      </c>
      <c r="M525" s="431" t="s">
        <v>762</v>
      </c>
      <c r="N525" s="431" t="s">
        <v>762</v>
      </c>
      <c r="O525" s="431" t="s">
        <v>762</v>
      </c>
      <c r="P525" s="431" t="s">
        <v>762</v>
      </c>
      <c r="Q525" s="431" t="s">
        <v>762</v>
      </c>
      <c r="R525" s="431" t="s">
        <v>762</v>
      </c>
      <c r="S525" s="431" t="s">
        <v>762</v>
      </c>
      <c r="T525" s="431" t="s">
        <v>762</v>
      </c>
      <c r="U525" s="431" t="s">
        <v>762</v>
      </c>
      <c r="V525" s="431">
        <v>39</v>
      </c>
      <c r="W525" s="431">
        <v>48</v>
      </c>
      <c r="X525" s="431">
        <v>55</v>
      </c>
      <c r="Y525" s="431">
        <v>59</v>
      </c>
      <c r="Z525" s="431">
        <v>65</v>
      </c>
      <c r="AA525" s="431">
        <v>69</v>
      </c>
      <c r="AB525" s="431">
        <v>76</v>
      </c>
      <c r="AC525" s="431">
        <v>79</v>
      </c>
      <c r="AD525" s="431">
        <v>87</v>
      </c>
      <c r="AE525" s="431" t="s">
        <v>762</v>
      </c>
      <c r="AF525" s="431" t="s">
        <v>762</v>
      </c>
      <c r="AG525" s="431" t="s">
        <v>762</v>
      </c>
      <c r="AH525" s="431" t="s">
        <v>762</v>
      </c>
      <c r="AI525" s="431" t="s">
        <v>762</v>
      </c>
      <c r="AJ525" s="431" t="s">
        <v>762</v>
      </c>
      <c r="AK525" s="431" t="s">
        <v>762</v>
      </c>
      <c r="AL525" s="431" t="s">
        <v>762</v>
      </c>
      <c r="AM525" s="431" t="s">
        <v>762</v>
      </c>
      <c r="AN525" s="431" t="s">
        <v>762</v>
      </c>
      <c r="AO525" s="431" t="s">
        <v>762</v>
      </c>
      <c r="AP525" s="431" t="s">
        <v>762</v>
      </c>
      <c r="AQ525" s="431" t="s">
        <v>762</v>
      </c>
      <c r="AR525" s="431" t="s">
        <v>762</v>
      </c>
      <c r="AS525" s="431" t="s">
        <v>762</v>
      </c>
      <c r="AT525" s="431" t="s">
        <v>762</v>
      </c>
      <c r="AU525" s="431" t="s">
        <v>762</v>
      </c>
      <c r="AV525" s="431" t="s">
        <v>762</v>
      </c>
      <c r="AW525" s="431" t="s">
        <v>762</v>
      </c>
      <c r="AX525" s="431" t="s">
        <v>762</v>
      </c>
      <c r="AY525" s="431" t="s">
        <v>762</v>
      </c>
      <c r="AZ525" s="431" t="s">
        <v>762</v>
      </c>
      <c r="BA525" s="431" t="s">
        <v>762</v>
      </c>
      <c r="BB525" s="431" t="s">
        <v>762</v>
      </c>
      <c r="BC525" s="431" t="s">
        <v>762</v>
      </c>
      <c r="BD525" s="431" t="s">
        <v>762</v>
      </c>
      <c r="BE525" s="431" t="s">
        <v>762</v>
      </c>
      <c r="BF525" s="431" t="s">
        <v>762</v>
      </c>
      <c r="BG525" s="431" t="s">
        <v>762</v>
      </c>
      <c r="BH525" s="431" t="s">
        <v>762</v>
      </c>
      <c r="BI525" s="431" t="s">
        <v>762</v>
      </c>
      <c r="BJ525" s="431" t="s">
        <v>762</v>
      </c>
      <c r="BK525" s="431" t="s">
        <v>762</v>
      </c>
      <c r="BL525" s="431" t="s">
        <v>762</v>
      </c>
      <c r="BM525" s="431" t="s">
        <v>762</v>
      </c>
      <c r="BN525" s="431" t="s">
        <v>762</v>
      </c>
      <c r="BO525" s="431" t="s">
        <v>762</v>
      </c>
      <c r="BP525" s="431" t="s">
        <v>762</v>
      </c>
      <c r="BQ525" s="431" t="s">
        <v>762</v>
      </c>
      <c r="BR525" s="431" t="s">
        <v>762</v>
      </c>
      <c r="BS525" s="431" t="s">
        <v>762</v>
      </c>
      <c r="BT525" s="431" t="s">
        <v>762</v>
      </c>
      <c r="BU525" s="431" t="s">
        <v>762</v>
      </c>
      <c r="BV525" s="431" t="s">
        <v>762</v>
      </c>
      <c r="BW525" s="431" t="s">
        <v>762</v>
      </c>
      <c r="BX525" s="431" t="s">
        <v>762</v>
      </c>
      <c r="BY525" s="431" t="s">
        <v>762</v>
      </c>
      <c r="BZ525" s="431" t="s">
        <v>762</v>
      </c>
      <c r="CA525" s="431" t="s">
        <v>762</v>
      </c>
      <c r="CB525" s="431" t="s">
        <v>762</v>
      </c>
      <c r="CC525" s="431" t="s">
        <v>762</v>
      </c>
      <c r="CD525" s="431" t="s">
        <v>762</v>
      </c>
      <c r="CE525" s="431" t="s">
        <v>762</v>
      </c>
      <c r="CF525" s="431" t="s">
        <v>762</v>
      </c>
      <c r="CG525" s="431" t="s">
        <v>762</v>
      </c>
      <c r="CH525" s="431" t="s">
        <v>762</v>
      </c>
      <c r="CI525" s="431" t="s">
        <v>762</v>
      </c>
      <c r="CJ525" s="431" t="s">
        <v>762</v>
      </c>
      <c r="CK525" s="431" t="s">
        <v>762</v>
      </c>
      <c r="CL525" s="431" t="s">
        <v>762</v>
      </c>
    </row>
    <row r="526" spans="1:90" s="432" customFormat="1">
      <c r="A526" s="430" t="s">
        <v>578</v>
      </c>
      <c r="B526" s="430" t="s">
        <v>631</v>
      </c>
      <c r="C526" s="431" t="s">
        <v>762</v>
      </c>
      <c r="D526" s="431" t="s">
        <v>762</v>
      </c>
      <c r="E526" s="431" t="s">
        <v>762</v>
      </c>
      <c r="F526" s="431" t="s">
        <v>762</v>
      </c>
      <c r="G526" s="431" t="s">
        <v>762</v>
      </c>
      <c r="H526" s="431" t="s">
        <v>762</v>
      </c>
      <c r="I526" s="431" t="s">
        <v>762</v>
      </c>
      <c r="J526" s="431" t="s">
        <v>762</v>
      </c>
      <c r="K526" s="431" t="s">
        <v>762</v>
      </c>
      <c r="L526" s="431">
        <v>32</v>
      </c>
      <c r="M526" s="431" t="s">
        <v>762</v>
      </c>
      <c r="N526" s="431" t="s">
        <v>762</v>
      </c>
      <c r="O526" s="431" t="s">
        <v>762</v>
      </c>
      <c r="P526" s="431" t="s">
        <v>762</v>
      </c>
      <c r="Q526" s="431" t="s">
        <v>762</v>
      </c>
      <c r="R526" s="431" t="s">
        <v>762</v>
      </c>
      <c r="S526" s="431" t="s">
        <v>762</v>
      </c>
      <c r="T526" s="431" t="s">
        <v>762</v>
      </c>
      <c r="U526" s="431" t="s">
        <v>762</v>
      </c>
      <c r="V526" s="431">
        <v>35</v>
      </c>
      <c r="W526" s="431">
        <v>40</v>
      </c>
      <c r="X526" s="431">
        <v>47</v>
      </c>
      <c r="Y526" s="431">
        <v>53</v>
      </c>
      <c r="Z526" s="431">
        <v>60</v>
      </c>
      <c r="AA526" s="431">
        <v>67</v>
      </c>
      <c r="AB526" s="431">
        <v>73</v>
      </c>
      <c r="AC526" s="431">
        <v>79</v>
      </c>
      <c r="AD526" s="431">
        <v>83</v>
      </c>
      <c r="AE526" s="431" t="s">
        <v>762</v>
      </c>
      <c r="AF526" s="431" t="s">
        <v>762</v>
      </c>
      <c r="AG526" s="431">
        <v>169</v>
      </c>
      <c r="AH526" s="431" t="s">
        <v>762</v>
      </c>
      <c r="AI526" s="431">
        <v>169</v>
      </c>
      <c r="AJ526" s="431" t="s">
        <v>762</v>
      </c>
      <c r="AK526" s="431" t="s">
        <v>762</v>
      </c>
      <c r="AL526" s="431">
        <v>169</v>
      </c>
      <c r="AM526" s="431" t="s">
        <v>762</v>
      </c>
      <c r="AN526" s="431" t="s">
        <v>762</v>
      </c>
      <c r="AO526" s="431" t="s">
        <v>762</v>
      </c>
      <c r="AP526" s="431">
        <v>169</v>
      </c>
      <c r="AQ526" s="431" t="s">
        <v>762</v>
      </c>
      <c r="AR526" s="431" t="s">
        <v>762</v>
      </c>
      <c r="AS526" s="431" t="s">
        <v>762</v>
      </c>
      <c r="AT526" s="431">
        <v>169</v>
      </c>
      <c r="AU526" s="431" t="s">
        <v>762</v>
      </c>
      <c r="AV526" s="431" t="s">
        <v>762</v>
      </c>
      <c r="AW526" s="431" t="s">
        <v>762</v>
      </c>
      <c r="AX526" s="431" t="s">
        <v>762</v>
      </c>
      <c r="AY526" s="431" t="s">
        <v>762</v>
      </c>
      <c r="AZ526" s="431" t="s">
        <v>762</v>
      </c>
      <c r="BA526" s="431" t="s">
        <v>762</v>
      </c>
      <c r="BB526" s="431" t="s">
        <v>762</v>
      </c>
      <c r="BC526" s="431" t="s">
        <v>762</v>
      </c>
      <c r="BD526" s="431" t="s">
        <v>762</v>
      </c>
      <c r="BE526" s="431" t="s">
        <v>762</v>
      </c>
      <c r="BF526" s="431">
        <v>238</v>
      </c>
      <c r="BG526" s="431" t="s">
        <v>762</v>
      </c>
      <c r="BH526" s="431" t="s">
        <v>762</v>
      </c>
      <c r="BI526" s="431" t="s">
        <v>762</v>
      </c>
      <c r="BJ526" s="431" t="s">
        <v>762</v>
      </c>
      <c r="BK526" s="431" t="s">
        <v>762</v>
      </c>
      <c r="BL526" s="431">
        <v>282</v>
      </c>
      <c r="BM526" s="431" t="s">
        <v>762</v>
      </c>
      <c r="BN526" s="431" t="s">
        <v>762</v>
      </c>
      <c r="BO526" s="431" t="s">
        <v>762</v>
      </c>
      <c r="BP526" s="431" t="s">
        <v>762</v>
      </c>
      <c r="BQ526" s="431" t="s">
        <v>762</v>
      </c>
      <c r="BR526" s="431" t="s">
        <v>762</v>
      </c>
      <c r="BS526" s="431" t="s">
        <v>762</v>
      </c>
      <c r="BT526" s="431" t="s">
        <v>762</v>
      </c>
      <c r="BU526" s="431" t="s">
        <v>762</v>
      </c>
      <c r="BV526" s="431" t="s">
        <v>762</v>
      </c>
      <c r="BW526" s="431" t="s">
        <v>762</v>
      </c>
      <c r="BX526" s="431" t="s">
        <v>762</v>
      </c>
      <c r="BY526" s="431" t="s">
        <v>762</v>
      </c>
      <c r="BZ526" s="431" t="s">
        <v>762</v>
      </c>
      <c r="CA526" s="431" t="s">
        <v>762</v>
      </c>
      <c r="CB526" s="431" t="s">
        <v>762</v>
      </c>
      <c r="CC526" s="431" t="s">
        <v>762</v>
      </c>
      <c r="CD526" s="431" t="s">
        <v>762</v>
      </c>
      <c r="CE526" s="431" t="s">
        <v>762</v>
      </c>
      <c r="CF526" s="431" t="s">
        <v>762</v>
      </c>
      <c r="CG526" s="431" t="s">
        <v>762</v>
      </c>
      <c r="CH526" s="431" t="s">
        <v>762</v>
      </c>
      <c r="CI526" s="431" t="s">
        <v>762</v>
      </c>
      <c r="CJ526" s="431" t="s">
        <v>762</v>
      </c>
      <c r="CK526" s="431" t="s">
        <v>762</v>
      </c>
      <c r="CL526" s="431" t="s">
        <v>762</v>
      </c>
    </row>
    <row r="527" spans="1:90" s="432" customFormat="1">
      <c r="A527" s="430" t="s">
        <v>579</v>
      </c>
      <c r="B527" s="430" t="s">
        <v>631</v>
      </c>
      <c r="C527" s="431" t="s">
        <v>762</v>
      </c>
      <c r="D527" s="431" t="s">
        <v>762</v>
      </c>
      <c r="E527" s="431" t="s">
        <v>762</v>
      </c>
      <c r="F527" s="431" t="s">
        <v>762</v>
      </c>
      <c r="G527" s="431" t="s">
        <v>762</v>
      </c>
      <c r="H527" s="431" t="s">
        <v>762</v>
      </c>
      <c r="I527" s="431" t="s">
        <v>762</v>
      </c>
      <c r="J527" s="431" t="s">
        <v>762</v>
      </c>
      <c r="K527" s="431" t="s">
        <v>762</v>
      </c>
      <c r="L527" s="431">
        <v>22</v>
      </c>
      <c r="M527" s="431" t="s">
        <v>762</v>
      </c>
      <c r="N527" s="431" t="s">
        <v>762</v>
      </c>
      <c r="O527" s="431" t="s">
        <v>762</v>
      </c>
      <c r="P527" s="431" t="s">
        <v>762</v>
      </c>
      <c r="Q527" s="431" t="s">
        <v>762</v>
      </c>
      <c r="R527" s="431" t="s">
        <v>762</v>
      </c>
      <c r="S527" s="431" t="s">
        <v>762</v>
      </c>
      <c r="T527" s="431" t="s">
        <v>762</v>
      </c>
      <c r="U527" s="431" t="s">
        <v>762</v>
      </c>
      <c r="V527" s="431">
        <v>28</v>
      </c>
      <c r="W527" s="431">
        <v>34</v>
      </c>
      <c r="X527" s="431">
        <v>37</v>
      </c>
      <c r="Y527" s="431">
        <v>43</v>
      </c>
      <c r="Z527" s="431">
        <v>46</v>
      </c>
      <c r="AA527" s="431">
        <v>51</v>
      </c>
      <c r="AB527" s="431">
        <v>54</v>
      </c>
      <c r="AC527" s="431">
        <v>58</v>
      </c>
      <c r="AD527" s="431">
        <v>61</v>
      </c>
      <c r="AE527" s="431" t="s">
        <v>762</v>
      </c>
      <c r="AF527" s="431" t="s">
        <v>762</v>
      </c>
      <c r="AG527" s="431">
        <v>146</v>
      </c>
      <c r="AH527" s="431" t="s">
        <v>762</v>
      </c>
      <c r="AI527" s="431">
        <v>146</v>
      </c>
      <c r="AJ527" s="431" t="s">
        <v>762</v>
      </c>
      <c r="AK527" s="431" t="s">
        <v>762</v>
      </c>
      <c r="AL527" s="431">
        <v>146</v>
      </c>
      <c r="AM527" s="431" t="s">
        <v>762</v>
      </c>
      <c r="AN527" s="431" t="s">
        <v>762</v>
      </c>
      <c r="AO527" s="431" t="s">
        <v>762</v>
      </c>
      <c r="AP527" s="431">
        <v>146</v>
      </c>
      <c r="AQ527" s="431" t="s">
        <v>762</v>
      </c>
      <c r="AR527" s="431" t="s">
        <v>762</v>
      </c>
      <c r="AS527" s="431" t="s">
        <v>762</v>
      </c>
      <c r="AT527" s="431">
        <v>146</v>
      </c>
      <c r="AU527" s="431" t="s">
        <v>762</v>
      </c>
      <c r="AV527" s="431" t="s">
        <v>762</v>
      </c>
      <c r="AW527" s="431" t="s">
        <v>762</v>
      </c>
      <c r="AX527" s="431" t="s">
        <v>762</v>
      </c>
      <c r="AY527" s="431" t="s">
        <v>762</v>
      </c>
      <c r="AZ527" s="431" t="s">
        <v>762</v>
      </c>
      <c r="BA527" s="431" t="s">
        <v>762</v>
      </c>
      <c r="BB527" s="431" t="s">
        <v>762</v>
      </c>
      <c r="BC527" s="431" t="s">
        <v>762</v>
      </c>
      <c r="BD527" s="431" t="s">
        <v>762</v>
      </c>
      <c r="BE527" s="431" t="s">
        <v>762</v>
      </c>
      <c r="BF527" s="431">
        <v>215</v>
      </c>
      <c r="BG527" s="431" t="s">
        <v>762</v>
      </c>
      <c r="BH527" s="431" t="s">
        <v>762</v>
      </c>
      <c r="BI527" s="431" t="s">
        <v>762</v>
      </c>
      <c r="BJ527" s="431" t="s">
        <v>762</v>
      </c>
      <c r="BK527" s="431" t="s">
        <v>762</v>
      </c>
      <c r="BL527" s="431">
        <v>256</v>
      </c>
      <c r="BM527" s="431" t="s">
        <v>762</v>
      </c>
      <c r="BN527" s="431" t="s">
        <v>762</v>
      </c>
      <c r="BO527" s="431" t="s">
        <v>762</v>
      </c>
      <c r="BP527" s="431" t="s">
        <v>762</v>
      </c>
      <c r="BQ527" s="431" t="s">
        <v>762</v>
      </c>
      <c r="BR527" s="431" t="s">
        <v>762</v>
      </c>
      <c r="BS527" s="431" t="s">
        <v>762</v>
      </c>
      <c r="BT527" s="431" t="s">
        <v>762</v>
      </c>
      <c r="BU527" s="431" t="s">
        <v>762</v>
      </c>
      <c r="BV527" s="431" t="s">
        <v>762</v>
      </c>
      <c r="BW527" s="431" t="s">
        <v>762</v>
      </c>
      <c r="BX527" s="431" t="s">
        <v>762</v>
      </c>
      <c r="BY527" s="431" t="s">
        <v>762</v>
      </c>
      <c r="BZ527" s="431" t="s">
        <v>762</v>
      </c>
      <c r="CA527" s="431" t="s">
        <v>762</v>
      </c>
      <c r="CB527" s="431" t="s">
        <v>762</v>
      </c>
      <c r="CC527" s="431" t="s">
        <v>762</v>
      </c>
      <c r="CD527" s="431" t="s">
        <v>762</v>
      </c>
      <c r="CE527" s="431" t="s">
        <v>762</v>
      </c>
      <c r="CF527" s="431" t="s">
        <v>762</v>
      </c>
      <c r="CG527" s="431" t="s">
        <v>762</v>
      </c>
      <c r="CH527" s="431" t="s">
        <v>762</v>
      </c>
      <c r="CI527" s="431" t="s">
        <v>762</v>
      </c>
      <c r="CJ527" s="431" t="s">
        <v>762</v>
      </c>
      <c r="CK527" s="431" t="s">
        <v>762</v>
      </c>
      <c r="CL527" s="431" t="s">
        <v>762</v>
      </c>
    </row>
    <row r="528" spans="1:90" s="432" customFormat="1">
      <c r="A528" s="430" t="s">
        <v>580</v>
      </c>
      <c r="B528" s="430" t="s">
        <v>631</v>
      </c>
      <c r="C528" s="431" t="s">
        <v>762</v>
      </c>
      <c r="D528" s="431" t="s">
        <v>762</v>
      </c>
      <c r="E528" s="431" t="s">
        <v>762</v>
      </c>
      <c r="F528" s="431" t="s">
        <v>762</v>
      </c>
      <c r="G528" s="431" t="s">
        <v>762</v>
      </c>
      <c r="H528" s="431" t="s">
        <v>762</v>
      </c>
      <c r="I528" s="431" t="s">
        <v>762</v>
      </c>
      <c r="J528" s="431" t="s">
        <v>762</v>
      </c>
      <c r="K528" s="431" t="s">
        <v>762</v>
      </c>
      <c r="L528" s="431">
        <v>21</v>
      </c>
      <c r="M528" s="431" t="s">
        <v>762</v>
      </c>
      <c r="N528" s="431" t="s">
        <v>762</v>
      </c>
      <c r="O528" s="431" t="s">
        <v>762</v>
      </c>
      <c r="P528" s="431" t="s">
        <v>762</v>
      </c>
      <c r="Q528" s="431" t="s">
        <v>762</v>
      </c>
      <c r="R528" s="431" t="s">
        <v>762</v>
      </c>
      <c r="S528" s="431" t="s">
        <v>762</v>
      </c>
      <c r="T528" s="431" t="s">
        <v>762</v>
      </c>
      <c r="U528" s="431" t="s">
        <v>762</v>
      </c>
      <c r="V528" s="431">
        <v>25</v>
      </c>
      <c r="W528" s="431">
        <v>29</v>
      </c>
      <c r="X528" s="431">
        <v>30</v>
      </c>
      <c r="Y528" s="431">
        <v>34</v>
      </c>
      <c r="Z528" s="431">
        <v>35</v>
      </c>
      <c r="AA528" s="431">
        <v>39</v>
      </c>
      <c r="AB528" s="431">
        <v>40</v>
      </c>
      <c r="AC528" s="431">
        <v>42</v>
      </c>
      <c r="AD528" s="431">
        <v>43</v>
      </c>
      <c r="AE528" s="431" t="s">
        <v>762</v>
      </c>
      <c r="AF528" s="431" t="s">
        <v>762</v>
      </c>
      <c r="AG528" s="431">
        <v>113</v>
      </c>
      <c r="AH528" s="431" t="s">
        <v>762</v>
      </c>
      <c r="AI528" s="431">
        <v>113</v>
      </c>
      <c r="AJ528" s="431" t="s">
        <v>762</v>
      </c>
      <c r="AK528" s="431" t="s">
        <v>762</v>
      </c>
      <c r="AL528" s="431">
        <v>113</v>
      </c>
      <c r="AM528" s="431" t="s">
        <v>762</v>
      </c>
      <c r="AN528" s="431" t="s">
        <v>762</v>
      </c>
      <c r="AO528" s="431" t="s">
        <v>762</v>
      </c>
      <c r="AP528" s="431">
        <v>113</v>
      </c>
      <c r="AQ528" s="431" t="s">
        <v>762</v>
      </c>
      <c r="AR528" s="431" t="s">
        <v>762</v>
      </c>
      <c r="AS528" s="431" t="s">
        <v>762</v>
      </c>
      <c r="AT528" s="431">
        <v>113</v>
      </c>
      <c r="AU528" s="431" t="s">
        <v>762</v>
      </c>
      <c r="AV528" s="431" t="s">
        <v>762</v>
      </c>
      <c r="AW528" s="431" t="s">
        <v>762</v>
      </c>
      <c r="AX528" s="431" t="s">
        <v>762</v>
      </c>
      <c r="AY528" s="431" t="s">
        <v>762</v>
      </c>
      <c r="AZ528" s="431" t="s">
        <v>762</v>
      </c>
      <c r="BA528" s="431" t="s">
        <v>762</v>
      </c>
      <c r="BB528" s="431" t="s">
        <v>762</v>
      </c>
      <c r="BC528" s="431" t="s">
        <v>762</v>
      </c>
      <c r="BD528" s="431" t="s">
        <v>762</v>
      </c>
      <c r="BE528" s="431" t="s">
        <v>762</v>
      </c>
      <c r="BF528" s="431">
        <v>164</v>
      </c>
      <c r="BG528" s="431" t="s">
        <v>762</v>
      </c>
      <c r="BH528" s="431" t="s">
        <v>762</v>
      </c>
      <c r="BI528" s="431" t="s">
        <v>762</v>
      </c>
      <c r="BJ528" s="431" t="s">
        <v>762</v>
      </c>
      <c r="BK528" s="431" t="s">
        <v>762</v>
      </c>
      <c r="BL528" s="431">
        <v>219</v>
      </c>
      <c r="BM528" s="431" t="s">
        <v>762</v>
      </c>
      <c r="BN528" s="431" t="s">
        <v>762</v>
      </c>
      <c r="BO528" s="431" t="s">
        <v>762</v>
      </c>
      <c r="BP528" s="431" t="s">
        <v>762</v>
      </c>
      <c r="BQ528" s="431" t="s">
        <v>762</v>
      </c>
      <c r="BR528" s="431" t="s">
        <v>762</v>
      </c>
      <c r="BS528" s="431" t="s">
        <v>762</v>
      </c>
      <c r="BT528" s="431" t="s">
        <v>762</v>
      </c>
      <c r="BU528" s="431" t="s">
        <v>762</v>
      </c>
      <c r="BV528" s="431" t="s">
        <v>762</v>
      </c>
      <c r="BW528" s="431" t="s">
        <v>762</v>
      </c>
      <c r="BX528" s="431" t="s">
        <v>762</v>
      </c>
      <c r="BY528" s="431" t="s">
        <v>762</v>
      </c>
      <c r="BZ528" s="431" t="s">
        <v>762</v>
      </c>
      <c r="CA528" s="431" t="s">
        <v>762</v>
      </c>
      <c r="CB528" s="431" t="s">
        <v>762</v>
      </c>
      <c r="CC528" s="431" t="s">
        <v>762</v>
      </c>
      <c r="CD528" s="431" t="s">
        <v>762</v>
      </c>
      <c r="CE528" s="431" t="s">
        <v>762</v>
      </c>
      <c r="CF528" s="431" t="s">
        <v>762</v>
      </c>
      <c r="CG528" s="431" t="s">
        <v>762</v>
      </c>
      <c r="CH528" s="431" t="s">
        <v>762</v>
      </c>
      <c r="CI528" s="431" t="s">
        <v>762</v>
      </c>
      <c r="CJ528" s="431" t="s">
        <v>762</v>
      </c>
      <c r="CK528" s="431" t="s">
        <v>762</v>
      </c>
      <c r="CL528" s="431" t="s">
        <v>762</v>
      </c>
    </row>
    <row r="529" spans="1:90" s="432" customFormat="1">
      <c r="A529" s="430" t="s">
        <v>581</v>
      </c>
      <c r="B529" s="430" t="s">
        <v>631</v>
      </c>
      <c r="C529" s="431" t="s">
        <v>762</v>
      </c>
      <c r="D529" s="431" t="s">
        <v>762</v>
      </c>
      <c r="E529" s="431" t="s">
        <v>762</v>
      </c>
      <c r="F529" s="431" t="s">
        <v>762</v>
      </c>
      <c r="G529" s="431" t="s">
        <v>762</v>
      </c>
      <c r="H529" s="431" t="s">
        <v>762</v>
      </c>
      <c r="I529" s="431" t="s">
        <v>762</v>
      </c>
      <c r="J529" s="431" t="s">
        <v>762</v>
      </c>
      <c r="K529" s="431" t="s">
        <v>762</v>
      </c>
      <c r="L529" s="431">
        <v>34</v>
      </c>
      <c r="M529" s="431" t="s">
        <v>762</v>
      </c>
      <c r="N529" s="431" t="s">
        <v>762</v>
      </c>
      <c r="O529" s="431" t="s">
        <v>762</v>
      </c>
      <c r="P529" s="431" t="s">
        <v>762</v>
      </c>
      <c r="Q529" s="431" t="s">
        <v>762</v>
      </c>
      <c r="R529" s="431" t="s">
        <v>762</v>
      </c>
      <c r="S529" s="431" t="s">
        <v>762</v>
      </c>
      <c r="T529" s="431" t="s">
        <v>762</v>
      </c>
      <c r="U529" s="431" t="s">
        <v>762</v>
      </c>
      <c r="V529" s="431">
        <v>37</v>
      </c>
      <c r="W529" s="431">
        <v>40</v>
      </c>
      <c r="X529" s="431">
        <v>43</v>
      </c>
      <c r="Y529" s="431">
        <v>47</v>
      </c>
      <c r="Z529" s="431">
        <v>50</v>
      </c>
      <c r="AA529" s="431">
        <v>53</v>
      </c>
      <c r="AB529" s="431">
        <v>59</v>
      </c>
      <c r="AC529" s="431">
        <v>62</v>
      </c>
      <c r="AD529" s="431">
        <v>67</v>
      </c>
      <c r="AE529" s="431" t="s">
        <v>762</v>
      </c>
      <c r="AF529" s="431" t="s">
        <v>762</v>
      </c>
      <c r="AG529" s="431">
        <v>138</v>
      </c>
      <c r="AH529" s="431" t="s">
        <v>762</v>
      </c>
      <c r="AI529" s="431">
        <v>138</v>
      </c>
      <c r="AJ529" s="431" t="s">
        <v>762</v>
      </c>
      <c r="AK529" s="431" t="s">
        <v>762</v>
      </c>
      <c r="AL529" s="431">
        <v>138</v>
      </c>
      <c r="AM529" s="431" t="s">
        <v>762</v>
      </c>
      <c r="AN529" s="431" t="s">
        <v>762</v>
      </c>
      <c r="AO529" s="431" t="s">
        <v>762</v>
      </c>
      <c r="AP529" s="431">
        <v>138</v>
      </c>
      <c r="AQ529" s="431" t="s">
        <v>762</v>
      </c>
      <c r="AR529" s="431" t="s">
        <v>762</v>
      </c>
      <c r="AS529" s="431" t="s">
        <v>762</v>
      </c>
      <c r="AT529" s="431">
        <v>138</v>
      </c>
      <c r="AU529" s="431" t="s">
        <v>762</v>
      </c>
      <c r="AV529" s="431" t="s">
        <v>762</v>
      </c>
      <c r="AW529" s="431" t="s">
        <v>762</v>
      </c>
      <c r="AX529" s="431" t="s">
        <v>762</v>
      </c>
      <c r="AY529" s="431" t="s">
        <v>762</v>
      </c>
      <c r="AZ529" s="431" t="s">
        <v>762</v>
      </c>
      <c r="BA529" s="431" t="s">
        <v>762</v>
      </c>
      <c r="BB529" s="431" t="s">
        <v>762</v>
      </c>
      <c r="BC529" s="431" t="s">
        <v>762</v>
      </c>
      <c r="BD529" s="431" t="s">
        <v>762</v>
      </c>
      <c r="BE529" s="431" t="s">
        <v>762</v>
      </c>
      <c r="BF529" s="431">
        <v>213</v>
      </c>
      <c r="BG529" s="431" t="s">
        <v>762</v>
      </c>
      <c r="BH529" s="431" t="s">
        <v>762</v>
      </c>
      <c r="BI529" s="431" t="s">
        <v>762</v>
      </c>
      <c r="BJ529" s="431" t="s">
        <v>762</v>
      </c>
      <c r="BK529" s="431" t="s">
        <v>762</v>
      </c>
      <c r="BL529" s="431">
        <v>257</v>
      </c>
      <c r="BM529" s="431" t="s">
        <v>762</v>
      </c>
      <c r="BN529" s="431" t="s">
        <v>762</v>
      </c>
      <c r="BO529" s="431" t="s">
        <v>762</v>
      </c>
      <c r="BP529" s="431" t="s">
        <v>762</v>
      </c>
      <c r="BQ529" s="431" t="s">
        <v>762</v>
      </c>
      <c r="BR529" s="431" t="s">
        <v>762</v>
      </c>
      <c r="BS529" s="431" t="s">
        <v>762</v>
      </c>
      <c r="BT529" s="431" t="s">
        <v>762</v>
      </c>
      <c r="BU529" s="431" t="s">
        <v>762</v>
      </c>
      <c r="BV529" s="431" t="s">
        <v>762</v>
      </c>
      <c r="BW529" s="431" t="s">
        <v>762</v>
      </c>
      <c r="BX529" s="431" t="s">
        <v>762</v>
      </c>
      <c r="BY529" s="431" t="s">
        <v>762</v>
      </c>
      <c r="BZ529" s="431" t="s">
        <v>762</v>
      </c>
      <c r="CA529" s="431" t="s">
        <v>762</v>
      </c>
      <c r="CB529" s="431" t="s">
        <v>762</v>
      </c>
      <c r="CC529" s="431" t="s">
        <v>762</v>
      </c>
      <c r="CD529" s="431" t="s">
        <v>762</v>
      </c>
      <c r="CE529" s="431" t="s">
        <v>762</v>
      </c>
      <c r="CF529" s="431" t="s">
        <v>762</v>
      </c>
      <c r="CG529" s="431" t="s">
        <v>762</v>
      </c>
      <c r="CH529" s="431" t="s">
        <v>762</v>
      </c>
      <c r="CI529" s="431" t="s">
        <v>762</v>
      </c>
      <c r="CJ529" s="431" t="s">
        <v>762</v>
      </c>
      <c r="CK529" s="431" t="s">
        <v>762</v>
      </c>
      <c r="CL529" s="431" t="s">
        <v>762</v>
      </c>
    </row>
    <row r="530" spans="1:90" s="432" customFormat="1">
      <c r="A530" s="430" t="s">
        <v>582</v>
      </c>
      <c r="B530" s="430" t="s">
        <v>631</v>
      </c>
      <c r="C530" s="431" t="s">
        <v>762</v>
      </c>
      <c r="D530" s="431" t="s">
        <v>762</v>
      </c>
      <c r="E530" s="431" t="s">
        <v>762</v>
      </c>
      <c r="F530" s="431" t="s">
        <v>762</v>
      </c>
      <c r="G530" s="431" t="s">
        <v>762</v>
      </c>
      <c r="H530" s="431" t="s">
        <v>762</v>
      </c>
      <c r="I530" s="431" t="s">
        <v>762</v>
      </c>
      <c r="J530" s="431" t="s">
        <v>762</v>
      </c>
      <c r="K530" s="431" t="s">
        <v>762</v>
      </c>
      <c r="L530" s="431">
        <v>22</v>
      </c>
      <c r="M530" s="431" t="s">
        <v>762</v>
      </c>
      <c r="N530" s="431" t="s">
        <v>762</v>
      </c>
      <c r="O530" s="431" t="s">
        <v>762</v>
      </c>
      <c r="P530" s="431" t="s">
        <v>762</v>
      </c>
      <c r="Q530" s="431" t="s">
        <v>762</v>
      </c>
      <c r="R530" s="431" t="s">
        <v>762</v>
      </c>
      <c r="S530" s="431" t="s">
        <v>762</v>
      </c>
      <c r="T530" s="431" t="s">
        <v>762</v>
      </c>
      <c r="U530" s="431" t="s">
        <v>762</v>
      </c>
      <c r="V530" s="431">
        <v>28</v>
      </c>
      <c r="W530" s="431">
        <v>34</v>
      </c>
      <c r="X530" s="431">
        <v>37</v>
      </c>
      <c r="Y530" s="431">
        <v>43</v>
      </c>
      <c r="Z530" s="431">
        <v>46</v>
      </c>
      <c r="AA530" s="431">
        <v>51</v>
      </c>
      <c r="AB530" s="431">
        <v>54</v>
      </c>
      <c r="AC530" s="431">
        <v>58</v>
      </c>
      <c r="AD530" s="431">
        <v>61</v>
      </c>
      <c r="AE530" s="431" t="s">
        <v>762</v>
      </c>
      <c r="AF530" s="431" t="s">
        <v>762</v>
      </c>
      <c r="AG530" s="431">
        <v>136</v>
      </c>
      <c r="AH530" s="431" t="s">
        <v>762</v>
      </c>
      <c r="AI530" s="431">
        <v>136</v>
      </c>
      <c r="AJ530" s="431" t="s">
        <v>762</v>
      </c>
      <c r="AK530" s="431" t="s">
        <v>762</v>
      </c>
      <c r="AL530" s="431">
        <v>136</v>
      </c>
      <c r="AM530" s="431" t="s">
        <v>762</v>
      </c>
      <c r="AN530" s="431" t="s">
        <v>762</v>
      </c>
      <c r="AO530" s="431" t="s">
        <v>762</v>
      </c>
      <c r="AP530" s="431">
        <v>136</v>
      </c>
      <c r="AQ530" s="431" t="s">
        <v>762</v>
      </c>
      <c r="AR530" s="431" t="s">
        <v>762</v>
      </c>
      <c r="AS530" s="431" t="s">
        <v>762</v>
      </c>
      <c r="AT530" s="431">
        <v>136</v>
      </c>
      <c r="AU530" s="431" t="s">
        <v>762</v>
      </c>
      <c r="AV530" s="431" t="s">
        <v>762</v>
      </c>
      <c r="AW530" s="431" t="s">
        <v>762</v>
      </c>
      <c r="AX530" s="431" t="s">
        <v>762</v>
      </c>
      <c r="AY530" s="431" t="s">
        <v>762</v>
      </c>
      <c r="AZ530" s="431" t="s">
        <v>762</v>
      </c>
      <c r="BA530" s="431" t="s">
        <v>762</v>
      </c>
      <c r="BB530" s="431" t="s">
        <v>762</v>
      </c>
      <c r="BC530" s="431" t="s">
        <v>762</v>
      </c>
      <c r="BD530" s="431" t="s">
        <v>762</v>
      </c>
      <c r="BE530" s="431" t="s">
        <v>762</v>
      </c>
      <c r="BF530" s="431">
        <v>196</v>
      </c>
      <c r="BG530" s="431" t="s">
        <v>762</v>
      </c>
      <c r="BH530" s="431" t="s">
        <v>762</v>
      </c>
      <c r="BI530" s="431" t="s">
        <v>762</v>
      </c>
      <c r="BJ530" s="431" t="s">
        <v>762</v>
      </c>
      <c r="BK530" s="431" t="s">
        <v>762</v>
      </c>
      <c r="BL530" s="431">
        <v>241</v>
      </c>
      <c r="BM530" s="431" t="s">
        <v>762</v>
      </c>
      <c r="BN530" s="431" t="s">
        <v>762</v>
      </c>
      <c r="BO530" s="431" t="s">
        <v>762</v>
      </c>
      <c r="BP530" s="431" t="s">
        <v>762</v>
      </c>
      <c r="BQ530" s="431" t="s">
        <v>762</v>
      </c>
      <c r="BR530" s="431" t="s">
        <v>762</v>
      </c>
      <c r="BS530" s="431" t="s">
        <v>762</v>
      </c>
      <c r="BT530" s="431" t="s">
        <v>762</v>
      </c>
      <c r="BU530" s="431" t="s">
        <v>762</v>
      </c>
      <c r="BV530" s="431" t="s">
        <v>762</v>
      </c>
      <c r="BW530" s="431" t="s">
        <v>762</v>
      </c>
      <c r="BX530" s="431" t="s">
        <v>762</v>
      </c>
      <c r="BY530" s="431" t="s">
        <v>762</v>
      </c>
      <c r="BZ530" s="431" t="s">
        <v>762</v>
      </c>
      <c r="CA530" s="431" t="s">
        <v>762</v>
      </c>
      <c r="CB530" s="431" t="s">
        <v>762</v>
      </c>
      <c r="CC530" s="431" t="s">
        <v>762</v>
      </c>
      <c r="CD530" s="431" t="s">
        <v>762</v>
      </c>
      <c r="CE530" s="431" t="s">
        <v>762</v>
      </c>
      <c r="CF530" s="431" t="s">
        <v>762</v>
      </c>
      <c r="CG530" s="431" t="s">
        <v>762</v>
      </c>
      <c r="CH530" s="431" t="s">
        <v>762</v>
      </c>
      <c r="CI530" s="431" t="s">
        <v>762</v>
      </c>
      <c r="CJ530" s="431" t="s">
        <v>762</v>
      </c>
      <c r="CK530" s="431" t="s">
        <v>762</v>
      </c>
      <c r="CL530" s="431" t="s">
        <v>762</v>
      </c>
    </row>
    <row r="531" spans="1:90" s="432" customFormat="1">
      <c r="A531" s="430" t="s">
        <v>583</v>
      </c>
      <c r="B531" s="430" t="s">
        <v>631</v>
      </c>
      <c r="C531" s="431" t="s">
        <v>762</v>
      </c>
      <c r="D531" s="431" t="s">
        <v>762</v>
      </c>
      <c r="E531" s="431" t="s">
        <v>762</v>
      </c>
      <c r="F531" s="431" t="s">
        <v>762</v>
      </c>
      <c r="G531" s="431" t="s">
        <v>762</v>
      </c>
      <c r="H531" s="431" t="s">
        <v>762</v>
      </c>
      <c r="I531" s="431" t="s">
        <v>762</v>
      </c>
      <c r="J531" s="431" t="s">
        <v>762</v>
      </c>
      <c r="K531" s="431" t="s">
        <v>762</v>
      </c>
      <c r="L531" s="431">
        <v>21</v>
      </c>
      <c r="M531" s="431" t="s">
        <v>762</v>
      </c>
      <c r="N531" s="431" t="s">
        <v>762</v>
      </c>
      <c r="O531" s="431" t="s">
        <v>762</v>
      </c>
      <c r="P531" s="431" t="s">
        <v>762</v>
      </c>
      <c r="Q531" s="431" t="s">
        <v>762</v>
      </c>
      <c r="R531" s="431" t="s">
        <v>762</v>
      </c>
      <c r="S531" s="431" t="s">
        <v>762</v>
      </c>
      <c r="T531" s="431" t="s">
        <v>762</v>
      </c>
      <c r="U531" s="431" t="s">
        <v>762</v>
      </c>
      <c r="V531" s="431">
        <v>25</v>
      </c>
      <c r="W531" s="431">
        <v>29</v>
      </c>
      <c r="X531" s="431">
        <v>30</v>
      </c>
      <c r="Y531" s="431">
        <v>34</v>
      </c>
      <c r="Z531" s="431">
        <v>35</v>
      </c>
      <c r="AA531" s="431">
        <v>39</v>
      </c>
      <c r="AB531" s="431">
        <v>40</v>
      </c>
      <c r="AC531" s="431">
        <v>42</v>
      </c>
      <c r="AD531" s="431">
        <v>43</v>
      </c>
      <c r="AE531" s="431" t="s">
        <v>762</v>
      </c>
      <c r="AF531" s="431" t="s">
        <v>762</v>
      </c>
      <c r="AG531" s="431">
        <v>113</v>
      </c>
      <c r="AH531" s="431" t="s">
        <v>762</v>
      </c>
      <c r="AI531" s="431">
        <v>113</v>
      </c>
      <c r="AJ531" s="431" t="s">
        <v>762</v>
      </c>
      <c r="AK531" s="431" t="s">
        <v>762</v>
      </c>
      <c r="AL531" s="431">
        <v>113</v>
      </c>
      <c r="AM531" s="431" t="s">
        <v>762</v>
      </c>
      <c r="AN531" s="431" t="s">
        <v>762</v>
      </c>
      <c r="AO531" s="431" t="s">
        <v>762</v>
      </c>
      <c r="AP531" s="431">
        <v>113</v>
      </c>
      <c r="AQ531" s="431" t="s">
        <v>762</v>
      </c>
      <c r="AR531" s="431" t="s">
        <v>762</v>
      </c>
      <c r="AS531" s="431" t="s">
        <v>762</v>
      </c>
      <c r="AT531" s="431">
        <v>113</v>
      </c>
      <c r="AU531" s="431" t="s">
        <v>762</v>
      </c>
      <c r="AV531" s="431" t="s">
        <v>762</v>
      </c>
      <c r="AW531" s="431" t="s">
        <v>762</v>
      </c>
      <c r="AX531" s="431" t="s">
        <v>762</v>
      </c>
      <c r="AY531" s="431" t="s">
        <v>762</v>
      </c>
      <c r="AZ531" s="431" t="s">
        <v>762</v>
      </c>
      <c r="BA531" s="431" t="s">
        <v>762</v>
      </c>
      <c r="BB531" s="431" t="s">
        <v>762</v>
      </c>
      <c r="BC531" s="431" t="s">
        <v>762</v>
      </c>
      <c r="BD531" s="431" t="s">
        <v>762</v>
      </c>
      <c r="BE531" s="431" t="s">
        <v>762</v>
      </c>
      <c r="BF531" s="431">
        <v>164</v>
      </c>
      <c r="BG531" s="431" t="s">
        <v>762</v>
      </c>
      <c r="BH531" s="431" t="s">
        <v>762</v>
      </c>
      <c r="BI531" s="431" t="s">
        <v>762</v>
      </c>
      <c r="BJ531" s="431" t="s">
        <v>762</v>
      </c>
      <c r="BK531" s="431" t="s">
        <v>762</v>
      </c>
      <c r="BL531" s="431">
        <v>219</v>
      </c>
      <c r="BM531" s="431" t="s">
        <v>762</v>
      </c>
      <c r="BN531" s="431" t="s">
        <v>762</v>
      </c>
      <c r="BO531" s="431" t="s">
        <v>762</v>
      </c>
      <c r="BP531" s="431" t="s">
        <v>762</v>
      </c>
      <c r="BQ531" s="431" t="s">
        <v>762</v>
      </c>
      <c r="BR531" s="431" t="s">
        <v>762</v>
      </c>
      <c r="BS531" s="431" t="s">
        <v>762</v>
      </c>
      <c r="BT531" s="431" t="s">
        <v>762</v>
      </c>
      <c r="BU531" s="431" t="s">
        <v>762</v>
      </c>
      <c r="BV531" s="431" t="s">
        <v>762</v>
      </c>
      <c r="BW531" s="431" t="s">
        <v>762</v>
      </c>
      <c r="BX531" s="431" t="s">
        <v>762</v>
      </c>
      <c r="BY531" s="431" t="s">
        <v>762</v>
      </c>
      <c r="BZ531" s="431" t="s">
        <v>762</v>
      </c>
      <c r="CA531" s="431" t="s">
        <v>762</v>
      </c>
      <c r="CB531" s="431" t="s">
        <v>762</v>
      </c>
      <c r="CC531" s="431" t="s">
        <v>762</v>
      </c>
      <c r="CD531" s="431" t="s">
        <v>762</v>
      </c>
      <c r="CE531" s="431" t="s">
        <v>762</v>
      </c>
      <c r="CF531" s="431" t="s">
        <v>762</v>
      </c>
      <c r="CG531" s="431" t="s">
        <v>762</v>
      </c>
      <c r="CH531" s="431" t="s">
        <v>762</v>
      </c>
      <c r="CI531" s="431" t="s">
        <v>762</v>
      </c>
      <c r="CJ531" s="431" t="s">
        <v>762</v>
      </c>
      <c r="CK531" s="431" t="s">
        <v>762</v>
      </c>
      <c r="CL531" s="431" t="s">
        <v>762</v>
      </c>
    </row>
    <row r="532" spans="1:90" s="432" customFormat="1">
      <c r="A532" s="430" t="s">
        <v>584</v>
      </c>
      <c r="B532" s="430" t="s">
        <v>631</v>
      </c>
      <c r="C532" s="431" t="s">
        <v>762</v>
      </c>
      <c r="D532" s="431" t="s">
        <v>762</v>
      </c>
      <c r="E532" s="431" t="s">
        <v>762</v>
      </c>
      <c r="F532" s="431" t="s">
        <v>762</v>
      </c>
      <c r="G532" s="431" t="s">
        <v>762</v>
      </c>
      <c r="H532" s="431" t="s">
        <v>762</v>
      </c>
      <c r="I532" s="431" t="s">
        <v>762</v>
      </c>
      <c r="J532" s="431" t="s">
        <v>762</v>
      </c>
      <c r="K532" s="431" t="s">
        <v>762</v>
      </c>
      <c r="L532" s="431">
        <v>25</v>
      </c>
      <c r="M532" s="431" t="s">
        <v>762</v>
      </c>
      <c r="N532" s="431" t="s">
        <v>762</v>
      </c>
      <c r="O532" s="431" t="s">
        <v>762</v>
      </c>
      <c r="P532" s="431" t="s">
        <v>762</v>
      </c>
      <c r="Q532" s="431" t="s">
        <v>762</v>
      </c>
      <c r="R532" s="431" t="s">
        <v>762</v>
      </c>
      <c r="S532" s="431" t="s">
        <v>762</v>
      </c>
      <c r="T532" s="431" t="s">
        <v>762</v>
      </c>
      <c r="U532" s="431" t="s">
        <v>762</v>
      </c>
      <c r="V532" s="431">
        <v>30</v>
      </c>
      <c r="W532" s="431">
        <v>37</v>
      </c>
      <c r="X532" s="431">
        <v>43</v>
      </c>
      <c r="Y532" s="431">
        <v>47</v>
      </c>
      <c r="Z532" s="431">
        <v>52</v>
      </c>
      <c r="AA532" s="431">
        <v>56</v>
      </c>
      <c r="AB532" s="431">
        <v>62</v>
      </c>
      <c r="AC532" s="431">
        <v>66</v>
      </c>
      <c r="AD532" s="431">
        <v>72</v>
      </c>
      <c r="AE532" s="431" t="s">
        <v>762</v>
      </c>
      <c r="AF532" s="431" t="s">
        <v>762</v>
      </c>
      <c r="AG532" s="431">
        <v>150</v>
      </c>
      <c r="AH532" s="431" t="s">
        <v>762</v>
      </c>
      <c r="AI532" s="431">
        <v>150</v>
      </c>
      <c r="AJ532" s="431" t="s">
        <v>762</v>
      </c>
      <c r="AK532" s="431" t="s">
        <v>762</v>
      </c>
      <c r="AL532" s="431">
        <v>150</v>
      </c>
      <c r="AM532" s="431" t="s">
        <v>762</v>
      </c>
      <c r="AN532" s="431" t="s">
        <v>762</v>
      </c>
      <c r="AO532" s="431" t="s">
        <v>762</v>
      </c>
      <c r="AP532" s="431">
        <v>150</v>
      </c>
      <c r="AQ532" s="431" t="s">
        <v>762</v>
      </c>
      <c r="AR532" s="431" t="s">
        <v>762</v>
      </c>
      <c r="AS532" s="431" t="s">
        <v>762</v>
      </c>
      <c r="AT532" s="431">
        <v>150</v>
      </c>
      <c r="AU532" s="431" t="s">
        <v>762</v>
      </c>
      <c r="AV532" s="431" t="s">
        <v>762</v>
      </c>
      <c r="AW532" s="431" t="s">
        <v>762</v>
      </c>
      <c r="AX532" s="431" t="s">
        <v>762</v>
      </c>
      <c r="AY532" s="431" t="s">
        <v>762</v>
      </c>
      <c r="AZ532" s="431" t="s">
        <v>762</v>
      </c>
      <c r="BA532" s="431" t="s">
        <v>762</v>
      </c>
      <c r="BB532" s="431" t="s">
        <v>762</v>
      </c>
      <c r="BC532" s="431" t="s">
        <v>762</v>
      </c>
      <c r="BD532" s="431" t="s">
        <v>762</v>
      </c>
      <c r="BE532" s="431" t="s">
        <v>762</v>
      </c>
      <c r="BF532" s="431">
        <v>237</v>
      </c>
      <c r="BG532" s="431" t="s">
        <v>762</v>
      </c>
      <c r="BH532" s="431" t="s">
        <v>762</v>
      </c>
      <c r="BI532" s="431" t="s">
        <v>762</v>
      </c>
      <c r="BJ532" s="431" t="s">
        <v>762</v>
      </c>
      <c r="BK532" s="431" t="s">
        <v>762</v>
      </c>
      <c r="BL532" s="431">
        <v>310</v>
      </c>
      <c r="BM532" s="431" t="s">
        <v>762</v>
      </c>
      <c r="BN532" s="431" t="s">
        <v>762</v>
      </c>
      <c r="BO532" s="431" t="s">
        <v>762</v>
      </c>
      <c r="BP532" s="431" t="s">
        <v>762</v>
      </c>
      <c r="BQ532" s="431" t="s">
        <v>762</v>
      </c>
      <c r="BR532" s="431" t="s">
        <v>762</v>
      </c>
      <c r="BS532" s="431" t="s">
        <v>762</v>
      </c>
      <c r="BT532" s="431" t="s">
        <v>762</v>
      </c>
      <c r="BU532" s="431" t="s">
        <v>762</v>
      </c>
      <c r="BV532" s="431" t="s">
        <v>762</v>
      </c>
      <c r="BW532" s="431" t="s">
        <v>762</v>
      </c>
      <c r="BX532" s="431" t="s">
        <v>762</v>
      </c>
      <c r="BY532" s="431" t="s">
        <v>762</v>
      </c>
      <c r="BZ532" s="431" t="s">
        <v>762</v>
      </c>
      <c r="CA532" s="431" t="s">
        <v>762</v>
      </c>
      <c r="CB532" s="431" t="s">
        <v>762</v>
      </c>
      <c r="CC532" s="431" t="s">
        <v>762</v>
      </c>
      <c r="CD532" s="431" t="s">
        <v>762</v>
      </c>
      <c r="CE532" s="431" t="s">
        <v>762</v>
      </c>
      <c r="CF532" s="431" t="s">
        <v>762</v>
      </c>
      <c r="CG532" s="431" t="s">
        <v>762</v>
      </c>
      <c r="CH532" s="431" t="s">
        <v>762</v>
      </c>
      <c r="CI532" s="431" t="s">
        <v>762</v>
      </c>
      <c r="CJ532" s="431" t="s">
        <v>762</v>
      </c>
      <c r="CK532" s="431" t="s">
        <v>762</v>
      </c>
      <c r="CL532" s="431" t="s">
        <v>762</v>
      </c>
    </row>
    <row r="533" spans="1:90" s="432" customFormat="1">
      <c r="A533" s="430" t="s">
        <v>585</v>
      </c>
      <c r="B533" s="430" t="s">
        <v>631</v>
      </c>
      <c r="C533" s="431" t="s">
        <v>762</v>
      </c>
      <c r="D533" s="431" t="s">
        <v>762</v>
      </c>
      <c r="E533" s="431" t="s">
        <v>762</v>
      </c>
      <c r="F533" s="431" t="s">
        <v>762</v>
      </c>
      <c r="G533" s="431" t="s">
        <v>762</v>
      </c>
      <c r="H533" s="431" t="s">
        <v>762</v>
      </c>
      <c r="I533" s="431" t="s">
        <v>762</v>
      </c>
      <c r="J533" s="431" t="s">
        <v>762</v>
      </c>
      <c r="K533" s="431" t="s">
        <v>762</v>
      </c>
      <c r="L533" s="431">
        <v>33</v>
      </c>
      <c r="M533" s="431" t="s">
        <v>762</v>
      </c>
      <c r="N533" s="431" t="s">
        <v>762</v>
      </c>
      <c r="O533" s="431" t="s">
        <v>762</v>
      </c>
      <c r="P533" s="431" t="s">
        <v>762</v>
      </c>
      <c r="Q533" s="431" t="s">
        <v>762</v>
      </c>
      <c r="R533" s="431" t="s">
        <v>762</v>
      </c>
      <c r="S533" s="431" t="s">
        <v>762</v>
      </c>
      <c r="T533" s="431" t="s">
        <v>762</v>
      </c>
      <c r="U533" s="431" t="s">
        <v>762</v>
      </c>
      <c r="V533" s="431">
        <v>40</v>
      </c>
      <c r="W533" s="431">
        <v>46</v>
      </c>
      <c r="X533" s="431">
        <v>48</v>
      </c>
      <c r="Y533" s="431">
        <v>63</v>
      </c>
      <c r="Z533" s="431">
        <v>65</v>
      </c>
      <c r="AA533" s="431">
        <v>77</v>
      </c>
      <c r="AB533" s="431">
        <v>79</v>
      </c>
      <c r="AC533" s="431">
        <v>93</v>
      </c>
      <c r="AD533" s="431">
        <v>95</v>
      </c>
      <c r="AE533" s="431" t="s">
        <v>762</v>
      </c>
      <c r="AF533" s="431" t="s">
        <v>762</v>
      </c>
      <c r="AG533" s="431">
        <v>163</v>
      </c>
      <c r="AH533" s="431" t="s">
        <v>762</v>
      </c>
      <c r="AI533" s="431">
        <v>163</v>
      </c>
      <c r="AJ533" s="431" t="s">
        <v>762</v>
      </c>
      <c r="AK533" s="431" t="s">
        <v>762</v>
      </c>
      <c r="AL533" s="431">
        <v>163</v>
      </c>
      <c r="AM533" s="431" t="s">
        <v>762</v>
      </c>
      <c r="AN533" s="431" t="s">
        <v>762</v>
      </c>
      <c r="AO533" s="431" t="s">
        <v>762</v>
      </c>
      <c r="AP533" s="431">
        <v>163</v>
      </c>
      <c r="AQ533" s="431" t="s">
        <v>762</v>
      </c>
      <c r="AR533" s="431" t="s">
        <v>762</v>
      </c>
      <c r="AS533" s="431" t="s">
        <v>762</v>
      </c>
      <c r="AT533" s="431">
        <v>163</v>
      </c>
      <c r="AU533" s="431" t="s">
        <v>762</v>
      </c>
      <c r="AV533" s="431" t="s">
        <v>762</v>
      </c>
      <c r="AW533" s="431" t="s">
        <v>762</v>
      </c>
      <c r="AX533" s="431" t="s">
        <v>762</v>
      </c>
      <c r="AY533" s="431" t="s">
        <v>762</v>
      </c>
      <c r="AZ533" s="431" t="s">
        <v>762</v>
      </c>
      <c r="BA533" s="431" t="s">
        <v>762</v>
      </c>
      <c r="BB533" s="431" t="s">
        <v>762</v>
      </c>
      <c r="BC533" s="431" t="s">
        <v>762</v>
      </c>
      <c r="BD533" s="431" t="s">
        <v>762</v>
      </c>
      <c r="BE533" s="431" t="s">
        <v>762</v>
      </c>
      <c r="BF533" s="431">
        <v>263</v>
      </c>
      <c r="BG533" s="431" t="s">
        <v>762</v>
      </c>
      <c r="BH533" s="431" t="s">
        <v>762</v>
      </c>
      <c r="BI533" s="431" t="s">
        <v>762</v>
      </c>
      <c r="BJ533" s="431" t="s">
        <v>762</v>
      </c>
      <c r="BK533" s="431" t="s">
        <v>762</v>
      </c>
      <c r="BL533" s="431">
        <v>348</v>
      </c>
      <c r="BM533" s="431" t="s">
        <v>762</v>
      </c>
      <c r="BN533" s="431" t="s">
        <v>762</v>
      </c>
      <c r="BO533" s="431" t="s">
        <v>762</v>
      </c>
      <c r="BP533" s="431" t="s">
        <v>762</v>
      </c>
      <c r="BQ533" s="431" t="s">
        <v>762</v>
      </c>
      <c r="BR533" s="431" t="s">
        <v>762</v>
      </c>
      <c r="BS533" s="431" t="s">
        <v>762</v>
      </c>
      <c r="BT533" s="431" t="s">
        <v>762</v>
      </c>
      <c r="BU533" s="431" t="s">
        <v>762</v>
      </c>
      <c r="BV533" s="431" t="s">
        <v>762</v>
      </c>
      <c r="BW533" s="431" t="s">
        <v>762</v>
      </c>
      <c r="BX533" s="431" t="s">
        <v>762</v>
      </c>
      <c r="BY533" s="431" t="s">
        <v>762</v>
      </c>
      <c r="BZ533" s="431" t="s">
        <v>762</v>
      </c>
      <c r="CA533" s="431" t="s">
        <v>762</v>
      </c>
      <c r="CB533" s="431" t="s">
        <v>762</v>
      </c>
      <c r="CC533" s="431" t="s">
        <v>762</v>
      </c>
      <c r="CD533" s="431" t="s">
        <v>762</v>
      </c>
      <c r="CE533" s="431" t="s">
        <v>762</v>
      </c>
      <c r="CF533" s="431" t="s">
        <v>762</v>
      </c>
      <c r="CG533" s="431" t="s">
        <v>762</v>
      </c>
      <c r="CH533" s="431" t="s">
        <v>762</v>
      </c>
      <c r="CI533" s="431" t="s">
        <v>762</v>
      </c>
      <c r="CJ533" s="431" t="s">
        <v>762</v>
      </c>
      <c r="CK533" s="431" t="s">
        <v>762</v>
      </c>
      <c r="CL533" s="431" t="s">
        <v>762</v>
      </c>
    </row>
    <row r="534" spans="1:90" s="432" customFormat="1">
      <c r="A534" s="430" t="s">
        <v>586</v>
      </c>
      <c r="B534" s="430" t="s">
        <v>631</v>
      </c>
      <c r="C534" s="431" t="s">
        <v>762</v>
      </c>
      <c r="D534" s="431" t="s">
        <v>762</v>
      </c>
      <c r="E534" s="431" t="s">
        <v>762</v>
      </c>
      <c r="F534" s="431" t="s">
        <v>762</v>
      </c>
      <c r="G534" s="431" t="s">
        <v>762</v>
      </c>
      <c r="H534" s="431" t="s">
        <v>762</v>
      </c>
      <c r="I534" s="431" t="s">
        <v>762</v>
      </c>
      <c r="J534" s="431" t="s">
        <v>762</v>
      </c>
      <c r="K534" s="431" t="s">
        <v>762</v>
      </c>
      <c r="L534" s="431">
        <v>48</v>
      </c>
      <c r="M534" s="431" t="s">
        <v>762</v>
      </c>
      <c r="N534" s="431" t="s">
        <v>762</v>
      </c>
      <c r="O534" s="431" t="s">
        <v>762</v>
      </c>
      <c r="P534" s="431" t="s">
        <v>762</v>
      </c>
      <c r="Q534" s="431" t="s">
        <v>762</v>
      </c>
      <c r="R534" s="431" t="s">
        <v>762</v>
      </c>
      <c r="S534" s="431" t="s">
        <v>762</v>
      </c>
      <c r="T534" s="431" t="s">
        <v>762</v>
      </c>
      <c r="U534" s="431" t="s">
        <v>762</v>
      </c>
      <c r="V534" s="431">
        <v>58</v>
      </c>
      <c r="W534" s="431">
        <v>67</v>
      </c>
      <c r="X534" s="431">
        <v>70</v>
      </c>
      <c r="Y534" s="431">
        <v>93</v>
      </c>
      <c r="Z534" s="431">
        <v>96</v>
      </c>
      <c r="AA534" s="431">
        <v>115</v>
      </c>
      <c r="AB534" s="431">
        <v>117</v>
      </c>
      <c r="AC534" s="431">
        <v>139</v>
      </c>
      <c r="AD534" s="431">
        <v>141</v>
      </c>
      <c r="AE534" s="431" t="s">
        <v>762</v>
      </c>
      <c r="AF534" s="431" t="s">
        <v>762</v>
      </c>
      <c r="AG534" s="431" t="s">
        <v>762</v>
      </c>
      <c r="AH534" s="431" t="s">
        <v>762</v>
      </c>
      <c r="AI534" s="431" t="s">
        <v>762</v>
      </c>
      <c r="AJ534" s="431" t="s">
        <v>762</v>
      </c>
      <c r="AK534" s="431" t="s">
        <v>762</v>
      </c>
      <c r="AL534" s="431" t="s">
        <v>762</v>
      </c>
      <c r="AM534" s="431" t="s">
        <v>762</v>
      </c>
      <c r="AN534" s="431" t="s">
        <v>762</v>
      </c>
      <c r="AO534" s="431" t="s">
        <v>762</v>
      </c>
      <c r="AP534" s="431" t="s">
        <v>762</v>
      </c>
      <c r="AQ534" s="431" t="s">
        <v>762</v>
      </c>
      <c r="AR534" s="431" t="s">
        <v>762</v>
      </c>
      <c r="AS534" s="431" t="s">
        <v>762</v>
      </c>
      <c r="AT534" s="431" t="s">
        <v>762</v>
      </c>
      <c r="AU534" s="431" t="s">
        <v>762</v>
      </c>
      <c r="AV534" s="431" t="s">
        <v>762</v>
      </c>
      <c r="AW534" s="431" t="s">
        <v>762</v>
      </c>
      <c r="AX534" s="431" t="s">
        <v>762</v>
      </c>
      <c r="AY534" s="431" t="s">
        <v>762</v>
      </c>
      <c r="AZ534" s="431" t="s">
        <v>762</v>
      </c>
      <c r="BA534" s="431" t="s">
        <v>762</v>
      </c>
      <c r="BB534" s="431" t="s">
        <v>762</v>
      </c>
      <c r="BC534" s="431" t="s">
        <v>762</v>
      </c>
      <c r="BD534" s="431" t="s">
        <v>762</v>
      </c>
      <c r="BE534" s="431" t="s">
        <v>762</v>
      </c>
      <c r="BF534" s="431" t="s">
        <v>762</v>
      </c>
      <c r="BG534" s="431" t="s">
        <v>762</v>
      </c>
      <c r="BH534" s="431" t="s">
        <v>762</v>
      </c>
      <c r="BI534" s="431" t="s">
        <v>762</v>
      </c>
      <c r="BJ534" s="431" t="s">
        <v>762</v>
      </c>
      <c r="BK534" s="431" t="s">
        <v>762</v>
      </c>
      <c r="BL534" s="431" t="s">
        <v>762</v>
      </c>
      <c r="BM534" s="431" t="s">
        <v>762</v>
      </c>
      <c r="BN534" s="431" t="s">
        <v>762</v>
      </c>
      <c r="BO534" s="431" t="s">
        <v>762</v>
      </c>
      <c r="BP534" s="431" t="s">
        <v>762</v>
      </c>
      <c r="BQ534" s="431" t="s">
        <v>762</v>
      </c>
      <c r="BR534" s="431" t="s">
        <v>762</v>
      </c>
      <c r="BS534" s="431" t="s">
        <v>762</v>
      </c>
      <c r="BT534" s="431" t="s">
        <v>762</v>
      </c>
      <c r="BU534" s="431" t="s">
        <v>762</v>
      </c>
      <c r="BV534" s="431" t="s">
        <v>762</v>
      </c>
      <c r="BW534" s="431" t="s">
        <v>762</v>
      </c>
      <c r="BX534" s="431" t="s">
        <v>762</v>
      </c>
      <c r="BY534" s="431" t="s">
        <v>762</v>
      </c>
      <c r="BZ534" s="431" t="s">
        <v>762</v>
      </c>
      <c r="CA534" s="431" t="s">
        <v>762</v>
      </c>
      <c r="CB534" s="431" t="s">
        <v>762</v>
      </c>
      <c r="CC534" s="431" t="s">
        <v>762</v>
      </c>
      <c r="CD534" s="431" t="s">
        <v>762</v>
      </c>
      <c r="CE534" s="431" t="s">
        <v>762</v>
      </c>
      <c r="CF534" s="431" t="s">
        <v>762</v>
      </c>
      <c r="CG534" s="431" t="s">
        <v>762</v>
      </c>
      <c r="CH534" s="431" t="s">
        <v>762</v>
      </c>
      <c r="CI534" s="431" t="s">
        <v>762</v>
      </c>
      <c r="CJ534" s="431" t="s">
        <v>762</v>
      </c>
      <c r="CK534" s="431" t="s">
        <v>762</v>
      </c>
      <c r="CL534" s="431" t="s">
        <v>762</v>
      </c>
    </row>
    <row r="535" spans="1:90" s="432" customFormat="1">
      <c r="A535" s="430" t="s">
        <v>587</v>
      </c>
      <c r="B535" s="430" t="s">
        <v>631</v>
      </c>
      <c r="C535" s="431" t="s">
        <v>762</v>
      </c>
      <c r="D535" s="431" t="s">
        <v>762</v>
      </c>
      <c r="E535" s="431" t="s">
        <v>762</v>
      </c>
      <c r="F535" s="431" t="s">
        <v>762</v>
      </c>
      <c r="G535" s="431" t="s">
        <v>762</v>
      </c>
      <c r="H535" s="431" t="s">
        <v>762</v>
      </c>
      <c r="I535" s="431" t="s">
        <v>762</v>
      </c>
      <c r="J535" s="431" t="s">
        <v>762</v>
      </c>
      <c r="K535" s="431" t="s">
        <v>762</v>
      </c>
      <c r="L535" s="431">
        <v>31</v>
      </c>
      <c r="M535" s="431" t="s">
        <v>762</v>
      </c>
      <c r="N535" s="431" t="s">
        <v>762</v>
      </c>
      <c r="O535" s="431" t="s">
        <v>762</v>
      </c>
      <c r="P535" s="431" t="s">
        <v>762</v>
      </c>
      <c r="Q535" s="431" t="s">
        <v>762</v>
      </c>
      <c r="R535" s="431" t="s">
        <v>762</v>
      </c>
      <c r="S535" s="431" t="s">
        <v>762</v>
      </c>
      <c r="T535" s="431" t="s">
        <v>762</v>
      </c>
      <c r="U535" s="431" t="s">
        <v>762</v>
      </c>
      <c r="V535" s="431">
        <v>38</v>
      </c>
      <c r="W535" s="431">
        <v>45</v>
      </c>
      <c r="X535" s="431">
        <v>53</v>
      </c>
      <c r="Y535" s="431">
        <v>63</v>
      </c>
      <c r="Z535" s="431">
        <v>70</v>
      </c>
      <c r="AA535" s="431">
        <v>80</v>
      </c>
      <c r="AB535" s="431">
        <v>87</v>
      </c>
      <c r="AC535" s="431">
        <v>96</v>
      </c>
      <c r="AD535" s="431">
        <v>103</v>
      </c>
      <c r="AE535" s="431" t="s">
        <v>762</v>
      </c>
      <c r="AF535" s="431" t="s">
        <v>762</v>
      </c>
      <c r="AG535" s="431">
        <v>197</v>
      </c>
      <c r="AH535" s="431" t="s">
        <v>762</v>
      </c>
      <c r="AI535" s="431">
        <v>197</v>
      </c>
      <c r="AJ535" s="431" t="s">
        <v>762</v>
      </c>
      <c r="AK535" s="431" t="s">
        <v>762</v>
      </c>
      <c r="AL535" s="431">
        <v>197</v>
      </c>
      <c r="AM535" s="431" t="s">
        <v>762</v>
      </c>
      <c r="AN535" s="431" t="s">
        <v>762</v>
      </c>
      <c r="AO535" s="431" t="s">
        <v>762</v>
      </c>
      <c r="AP535" s="431">
        <v>197</v>
      </c>
      <c r="AQ535" s="431" t="s">
        <v>762</v>
      </c>
      <c r="AR535" s="431" t="s">
        <v>762</v>
      </c>
      <c r="AS535" s="431" t="s">
        <v>762</v>
      </c>
      <c r="AT535" s="431">
        <v>197</v>
      </c>
      <c r="AU535" s="431" t="s">
        <v>762</v>
      </c>
      <c r="AV535" s="431" t="s">
        <v>762</v>
      </c>
      <c r="AW535" s="431" t="s">
        <v>762</v>
      </c>
      <c r="AX535" s="431" t="s">
        <v>762</v>
      </c>
      <c r="AY535" s="431" t="s">
        <v>762</v>
      </c>
      <c r="AZ535" s="431" t="s">
        <v>762</v>
      </c>
      <c r="BA535" s="431" t="s">
        <v>762</v>
      </c>
      <c r="BB535" s="431" t="s">
        <v>762</v>
      </c>
      <c r="BC535" s="431" t="s">
        <v>762</v>
      </c>
      <c r="BD535" s="431" t="s">
        <v>762</v>
      </c>
      <c r="BE535" s="431" t="s">
        <v>762</v>
      </c>
      <c r="BF535" s="431">
        <v>282</v>
      </c>
      <c r="BG535" s="431" t="s">
        <v>762</v>
      </c>
      <c r="BH535" s="431" t="s">
        <v>762</v>
      </c>
      <c r="BI535" s="431" t="s">
        <v>762</v>
      </c>
      <c r="BJ535" s="431" t="s">
        <v>762</v>
      </c>
      <c r="BK535" s="431" t="s">
        <v>762</v>
      </c>
      <c r="BL535" s="431">
        <v>353</v>
      </c>
      <c r="BM535" s="431" t="s">
        <v>762</v>
      </c>
      <c r="BN535" s="431" t="s">
        <v>762</v>
      </c>
      <c r="BO535" s="431" t="s">
        <v>762</v>
      </c>
      <c r="BP535" s="431" t="s">
        <v>762</v>
      </c>
      <c r="BQ535" s="431" t="s">
        <v>762</v>
      </c>
      <c r="BR535" s="431" t="s">
        <v>762</v>
      </c>
      <c r="BS535" s="431" t="s">
        <v>762</v>
      </c>
      <c r="BT535" s="431" t="s">
        <v>762</v>
      </c>
      <c r="BU535" s="431" t="s">
        <v>762</v>
      </c>
      <c r="BV535" s="431" t="s">
        <v>762</v>
      </c>
      <c r="BW535" s="431" t="s">
        <v>762</v>
      </c>
      <c r="BX535" s="431" t="s">
        <v>762</v>
      </c>
      <c r="BY535" s="431" t="s">
        <v>762</v>
      </c>
      <c r="BZ535" s="431" t="s">
        <v>762</v>
      </c>
      <c r="CA535" s="431" t="s">
        <v>762</v>
      </c>
      <c r="CB535" s="431" t="s">
        <v>762</v>
      </c>
      <c r="CC535" s="431" t="s">
        <v>762</v>
      </c>
      <c r="CD535" s="431" t="s">
        <v>762</v>
      </c>
      <c r="CE535" s="431" t="s">
        <v>762</v>
      </c>
      <c r="CF535" s="431" t="s">
        <v>762</v>
      </c>
      <c r="CG535" s="431" t="s">
        <v>762</v>
      </c>
      <c r="CH535" s="431" t="s">
        <v>762</v>
      </c>
      <c r="CI535" s="431" t="s">
        <v>762</v>
      </c>
      <c r="CJ535" s="431" t="s">
        <v>762</v>
      </c>
      <c r="CK535" s="431" t="s">
        <v>762</v>
      </c>
      <c r="CL535" s="431" t="s">
        <v>762</v>
      </c>
    </row>
    <row r="536" spans="1:90" s="432" customFormat="1">
      <c r="A536" s="430" t="s">
        <v>588</v>
      </c>
      <c r="B536" s="430" t="s">
        <v>631</v>
      </c>
      <c r="C536" s="431" t="s">
        <v>762</v>
      </c>
      <c r="D536" s="431" t="s">
        <v>762</v>
      </c>
      <c r="E536" s="431" t="s">
        <v>762</v>
      </c>
      <c r="F536" s="431" t="s">
        <v>762</v>
      </c>
      <c r="G536" s="431" t="s">
        <v>762</v>
      </c>
      <c r="H536" s="431" t="s">
        <v>762</v>
      </c>
      <c r="I536" s="431" t="s">
        <v>762</v>
      </c>
      <c r="J536" s="431" t="s">
        <v>762</v>
      </c>
      <c r="K536" s="431" t="s">
        <v>762</v>
      </c>
      <c r="L536" s="431">
        <v>45</v>
      </c>
      <c r="M536" s="431" t="s">
        <v>762</v>
      </c>
      <c r="N536" s="431" t="s">
        <v>762</v>
      </c>
      <c r="O536" s="431" t="s">
        <v>762</v>
      </c>
      <c r="P536" s="431" t="s">
        <v>762</v>
      </c>
      <c r="Q536" s="431" t="s">
        <v>762</v>
      </c>
      <c r="R536" s="431" t="s">
        <v>762</v>
      </c>
      <c r="S536" s="431" t="s">
        <v>762</v>
      </c>
      <c r="T536" s="431" t="s">
        <v>762</v>
      </c>
      <c r="U536" s="431" t="s">
        <v>762</v>
      </c>
      <c r="V536" s="431">
        <v>56</v>
      </c>
      <c r="W536" s="431">
        <v>66</v>
      </c>
      <c r="X536" s="431">
        <v>78</v>
      </c>
      <c r="Y536" s="431">
        <v>93</v>
      </c>
      <c r="Z536" s="431">
        <v>104</v>
      </c>
      <c r="AA536" s="431">
        <v>118</v>
      </c>
      <c r="AB536" s="431">
        <v>129</v>
      </c>
      <c r="AC536" s="431">
        <v>142</v>
      </c>
      <c r="AD536" s="431">
        <v>153</v>
      </c>
      <c r="AE536" s="431" t="s">
        <v>762</v>
      </c>
      <c r="AF536" s="431" t="s">
        <v>762</v>
      </c>
      <c r="AG536" s="431" t="s">
        <v>762</v>
      </c>
      <c r="AH536" s="431" t="s">
        <v>762</v>
      </c>
      <c r="AI536" s="431" t="s">
        <v>762</v>
      </c>
      <c r="AJ536" s="431" t="s">
        <v>762</v>
      </c>
      <c r="AK536" s="431" t="s">
        <v>762</v>
      </c>
      <c r="AL536" s="431" t="s">
        <v>762</v>
      </c>
      <c r="AM536" s="431" t="s">
        <v>762</v>
      </c>
      <c r="AN536" s="431" t="s">
        <v>762</v>
      </c>
      <c r="AO536" s="431" t="s">
        <v>762</v>
      </c>
      <c r="AP536" s="431" t="s">
        <v>762</v>
      </c>
      <c r="AQ536" s="431" t="s">
        <v>762</v>
      </c>
      <c r="AR536" s="431" t="s">
        <v>762</v>
      </c>
      <c r="AS536" s="431" t="s">
        <v>762</v>
      </c>
      <c r="AT536" s="431" t="s">
        <v>762</v>
      </c>
      <c r="AU536" s="431" t="s">
        <v>762</v>
      </c>
      <c r="AV536" s="431" t="s">
        <v>762</v>
      </c>
      <c r="AW536" s="431" t="s">
        <v>762</v>
      </c>
      <c r="AX536" s="431" t="s">
        <v>762</v>
      </c>
      <c r="AY536" s="431" t="s">
        <v>762</v>
      </c>
      <c r="AZ536" s="431" t="s">
        <v>762</v>
      </c>
      <c r="BA536" s="431" t="s">
        <v>762</v>
      </c>
      <c r="BB536" s="431" t="s">
        <v>762</v>
      </c>
      <c r="BC536" s="431" t="s">
        <v>762</v>
      </c>
      <c r="BD536" s="431" t="s">
        <v>762</v>
      </c>
      <c r="BE536" s="431" t="s">
        <v>762</v>
      </c>
      <c r="BF536" s="431" t="s">
        <v>762</v>
      </c>
      <c r="BG536" s="431" t="s">
        <v>762</v>
      </c>
      <c r="BH536" s="431" t="s">
        <v>762</v>
      </c>
      <c r="BI536" s="431" t="s">
        <v>762</v>
      </c>
      <c r="BJ536" s="431" t="s">
        <v>762</v>
      </c>
      <c r="BK536" s="431" t="s">
        <v>762</v>
      </c>
      <c r="BL536" s="431" t="s">
        <v>762</v>
      </c>
      <c r="BM536" s="431" t="s">
        <v>762</v>
      </c>
      <c r="BN536" s="431" t="s">
        <v>762</v>
      </c>
      <c r="BO536" s="431" t="s">
        <v>762</v>
      </c>
      <c r="BP536" s="431" t="s">
        <v>762</v>
      </c>
      <c r="BQ536" s="431" t="s">
        <v>762</v>
      </c>
      <c r="BR536" s="431" t="s">
        <v>762</v>
      </c>
      <c r="BS536" s="431" t="s">
        <v>762</v>
      </c>
      <c r="BT536" s="431" t="s">
        <v>762</v>
      </c>
      <c r="BU536" s="431" t="s">
        <v>762</v>
      </c>
      <c r="BV536" s="431" t="s">
        <v>762</v>
      </c>
      <c r="BW536" s="431" t="s">
        <v>762</v>
      </c>
      <c r="BX536" s="431" t="s">
        <v>762</v>
      </c>
      <c r="BY536" s="431" t="s">
        <v>762</v>
      </c>
      <c r="BZ536" s="431" t="s">
        <v>762</v>
      </c>
      <c r="CA536" s="431" t="s">
        <v>762</v>
      </c>
      <c r="CB536" s="431" t="s">
        <v>762</v>
      </c>
      <c r="CC536" s="431" t="s">
        <v>762</v>
      </c>
      <c r="CD536" s="431" t="s">
        <v>762</v>
      </c>
      <c r="CE536" s="431" t="s">
        <v>762</v>
      </c>
      <c r="CF536" s="431" t="s">
        <v>762</v>
      </c>
      <c r="CG536" s="431" t="s">
        <v>762</v>
      </c>
      <c r="CH536" s="431" t="s">
        <v>762</v>
      </c>
      <c r="CI536" s="431" t="s">
        <v>762</v>
      </c>
      <c r="CJ536" s="431" t="s">
        <v>762</v>
      </c>
      <c r="CK536" s="431" t="s">
        <v>762</v>
      </c>
      <c r="CL536" s="431" t="s">
        <v>762</v>
      </c>
    </row>
    <row r="537" spans="1:90" s="432" customFormat="1">
      <c r="A537" s="430" t="s">
        <v>589</v>
      </c>
      <c r="B537" s="430" t="s">
        <v>631</v>
      </c>
      <c r="C537" s="431" t="s">
        <v>762</v>
      </c>
      <c r="D537" s="431" t="s">
        <v>762</v>
      </c>
      <c r="E537" s="431" t="s">
        <v>762</v>
      </c>
      <c r="F537" s="431" t="s">
        <v>762</v>
      </c>
      <c r="G537" s="431" t="s">
        <v>762</v>
      </c>
      <c r="H537" s="431" t="s">
        <v>762</v>
      </c>
      <c r="I537" s="431" t="s">
        <v>762</v>
      </c>
      <c r="J537" s="431" t="s">
        <v>762</v>
      </c>
      <c r="K537" s="431" t="s">
        <v>762</v>
      </c>
      <c r="L537" s="431">
        <v>30</v>
      </c>
      <c r="M537" s="431" t="s">
        <v>762</v>
      </c>
      <c r="N537" s="431" t="s">
        <v>762</v>
      </c>
      <c r="O537" s="431" t="s">
        <v>762</v>
      </c>
      <c r="P537" s="431" t="s">
        <v>762</v>
      </c>
      <c r="Q537" s="431" t="s">
        <v>762</v>
      </c>
      <c r="R537" s="431" t="s">
        <v>762</v>
      </c>
      <c r="S537" s="431" t="s">
        <v>762</v>
      </c>
      <c r="T537" s="431" t="s">
        <v>762</v>
      </c>
      <c r="U537" s="431" t="s">
        <v>762</v>
      </c>
      <c r="V537" s="431">
        <v>37</v>
      </c>
      <c r="W537" s="431">
        <v>44</v>
      </c>
      <c r="X537" s="431">
        <v>51</v>
      </c>
      <c r="Y537" s="431">
        <v>61</v>
      </c>
      <c r="Z537" s="431">
        <v>68</v>
      </c>
      <c r="AA537" s="431">
        <v>77</v>
      </c>
      <c r="AB537" s="431">
        <v>83</v>
      </c>
      <c r="AC537" s="431">
        <v>92</v>
      </c>
      <c r="AD537" s="431">
        <v>99</v>
      </c>
      <c r="AE537" s="431" t="s">
        <v>762</v>
      </c>
      <c r="AF537" s="431" t="s">
        <v>762</v>
      </c>
      <c r="AG537" s="431">
        <v>201</v>
      </c>
      <c r="AH537" s="431" t="s">
        <v>762</v>
      </c>
      <c r="AI537" s="431">
        <v>201</v>
      </c>
      <c r="AJ537" s="431" t="s">
        <v>762</v>
      </c>
      <c r="AK537" s="431" t="s">
        <v>762</v>
      </c>
      <c r="AL537" s="431">
        <v>201</v>
      </c>
      <c r="AM537" s="431" t="s">
        <v>762</v>
      </c>
      <c r="AN537" s="431" t="s">
        <v>762</v>
      </c>
      <c r="AO537" s="431" t="s">
        <v>762</v>
      </c>
      <c r="AP537" s="431">
        <v>201</v>
      </c>
      <c r="AQ537" s="431" t="s">
        <v>762</v>
      </c>
      <c r="AR537" s="431" t="s">
        <v>762</v>
      </c>
      <c r="AS537" s="431" t="s">
        <v>762</v>
      </c>
      <c r="AT537" s="431">
        <v>201</v>
      </c>
      <c r="AU537" s="431" t="s">
        <v>762</v>
      </c>
      <c r="AV537" s="431" t="s">
        <v>762</v>
      </c>
      <c r="AW537" s="431" t="s">
        <v>762</v>
      </c>
      <c r="AX537" s="431" t="s">
        <v>762</v>
      </c>
      <c r="AY537" s="431" t="s">
        <v>762</v>
      </c>
      <c r="AZ537" s="431" t="s">
        <v>762</v>
      </c>
      <c r="BA537" s="431" t="s">
        <v>762</v>
      </c>
      <c r="BB537" s="431" t="s">
        <v>762</v>
      </c>
      <c r="BC537" s="431" t="s">
        <v>762</v>
      </c>
      <c r="BD537" s="431" t="s">
        <v>762</v>
      </c>
      <c r="BE537" s="431" t="s">
        <v>762</v>
      </c>
      <c r="BF537" s="431">
        <v>282</v>
      </c>
      <c r="BG537" s="431" t="s">
        <v>762</v>
      </c>
      <c r="BH537" s="431" t="s">
        <v>762</v>
      </c>
      <c r="BI537" s="431" t="s">
        <v>762</v>
      </c>
      <c r="BJ537" s="431" t="s">
        <v>762</v>
      </c>
      <c r="BK537" s="431" t="s">
        <v>762</v>
      </c>
      <c r="BL537" s="431">
        <v>353</v>
      </c>
      <c r="BM537" s="431" t="s">
        <v>762</v>
      </c>
      <c r="BN537" s="431" t="s">
        <v>762</v>
      </c>
      <c r="BO537" s="431" t="s">
        <v>762</v>
      </c>
      <c r="BP537" s="431" t="s">
        <v>762</v>
      </c>
      <c r="BQ537" s="431" t="s">
        <v>762</v>
      </c>
      <c r="BR537" s="431" t="s">
        <v>762</v>
      </c>
      <c r="BS537" s="431" t="s">
        <v>762</v>
      </c>
      <c r="BT537" s="431" t="s">
        <v>762</v>
      </c>
      <c r="BU537" s="431" t="s">
        <v>762</v>
      </c>
      <c r="BV537" s="431" t="s">
        <v>762</v>
      </c>
      <c r="BW537" s="431" t="s">
        <v>762</v>
      </c>
      <c r="BX537" s="431" t="s">
        <v>762</v>
      </c>
      <c r="BY537" s="431" t="s">
        <v>762</v>
      </c>
      <c r="BZ537" s="431" t="s">
        <v>762</v>
      </c>
      <c r="CA537" s="431" t="s">
        <v>762</v>
      </c>
      <c r="CB537" s="431" t="s">
        <v>762</v>
      </c>
      <c r="CC537" s="431" t="s">
        <v>762</v>
      </c>
      <c r="CD537" s="431" t="s">
        <v>762</v>
      </c>
      <c r="CE537" s="431" t="s">
        <v>762</v>
      </c>
      <c r="CF537" s="431" t="s">
        <v>762</v>
      </c>
      <c r="CG537" s="431" t="s">
        <v>762</v>
      </c>
      <c r="CH537" s="431" t="s">
        <v>762</v>
      </c>
      <c r="CI537" s="431" t="s">
        <v>762</v>
      </c>
      <c r="CJ537" s="431" t="s">
        <v>762</v>
      </c>
      <c r="CK537" s="431" t="s">
        <v>762</v>
      </c>
      <c r="CL537" s="431" t="s">
        <v>762</v>
      </c>
    </row>
    <row r="538" spans="1:90" s="432" customFormat="1">
      <c r="A538" s="430" t="s">
        <v>590</v>
      </c>
      <c r="B538" s="430" t="s">
        <v>631</v>
      </c>
      <c r="C538" s="431" t="s">
        <v>762</v>
      </c>
      <c r="D538" s="431" t="s">
        <v>762</v>
      </c>
      <c r="E538" s="431" t="s">
        <v>762</v>
      </c>
      <c r="F538" s="431" t="s">
        <v>762</v>
      </c>
      <c r="G538" s="431" t="s">
        <v>762</v>
      </c>
      <c r="H538" s="431" t="s">
        <v>762</v>
      </c>
      <c r="I538" s="431" t="s">
        <v>762</v>
      </c>
      <c r="J538" s="431" t="s">
        <v>762</v>
      </c>
      <c r="K538" s="431" t="s">
        <v>762</v>
      </c>
      <c r="L538" s="431">
        <v>44</v>
      </c>
      <c r="M538" s="431" t="s">
        <v>762</v>
      </c>
      <c r="N538" s="431" t="s">
        <v>762</v>
      </c>
      <c r="O538" s="431" t="s">
        <v>762</v>
      </c>
      <c r="P538" s="431" t="s">
        <v>762</v>
      </c>
      <c r="Q538" s="431" t="s">
        <v>762</v>
      </c>
      <c r="R538" s="431" t="s">
        <v>762</v>
      </c>
      <c r="S538" s="431" t="s">
        <v>762</v>
      </c>
      <c r="T538" s="431" t="s">
        <v>762</v>
      </c>
      <c r="U538" s="431" t="s">
        <v>762</v>
      </c>
      <c r="V538" s="431">
        <v>54</v>
      </c>
      <c r="W538" s="431">
        <v>64</v>
      </c>
      <c r="X538" s="431">
        <v>75</v>
      </c>
      <c r="Y538" s="431">
        <v>89</v>
      </c>
      <c r="Z538" s="431">
        <v>100</v>
      </c>
      <c r="AA538" s="431">
        <v>113</v>
      </c>
      <c r="AB538" s="431">
        <v>124</v>
      </c>
      <c r="AC538" s="431">
        <v>136</v>
      </c>
      <c r="AD538" s="431">
        <v>147</v>
      </c>
      <c r="AE538" s="431" t="s">
        <v>762</v>
      </c>
      <c r="AF538" s="431" t="s">
        <v>762</v>
      </c>
      <c r="AG538" s="431" t="s">
        <v>762</v>
      </c>
      <c r="AH538" s="431" t="s">
        <v>762</v>
      </c>
      <c r="AI538" s="431" t="s">
        <v>762</v>
      </c>
      <c r="AJ538" s="431" t="s">
        <v>762</v>
      </c>
      <c r="AK538" s="431" t="s">
        <v>762</v>
      </c>
      <c r="AL538" s="431" t="s">
        <v>762</v>
      </c>
      <c r="AM538" s="431" t="s">
        <v>762</v>
      </c>
      <c r="AN538" s="431" t="s">
        <v>762</v>
      </c>
      <c r="AO538" s="431" t="s">
        <v>762</v>
      </c>
      <c r="AP538" s="431" t="s">
        <v>762</v>
      </c>
      <c r="AQ538" s="431" t="s">
        <v>762</v>
      </c>
      <c r="AR538" s="431" t="s">
        <v>762</v>
      </c>
      <c r="AS538" s="431" t="s">
        <v>762</v>
      </c>
      <c r="AT538" s="431" t="s">
        <v>762</v>
      </c>
      <c r="AU538" s="431" t="s">
        <v>762</v>
      </c>
      <c r="AV538" s="431" t="s">
        <v>762</v>
      </c>
      <c r="AW538" s="431" t="s">
        <v>762</v>
      </c>
      <c r="AX538" s="431" t="s">
        <v>762</v>
      </c>
      <c r="AY538" s="431" t="s">
        <v>762</v>
      </c>
      <c r="AZ538" s="431" t="s">
        <v>762</v>
      </c>
      <c r="BA538" s="431" t="s">
        <v>762</v>
      </c>
      <c r="BB538" s="431" t="s">
        <v>762</v>
      </c>
      <c r="BC538" s="431" t="s">
        <v>762</v>
      </c>
      <c r="BD538" s="431" t="s">
        <v>762</v>
      </c>
      <c r="BE538" s="431" t="s">
        <v>762</v>
      </c>
      <c r="BF538" s="431" t="s">
        <v>762</v>
      </c>
      <c r="BG538" s="431" t="s">
        <v>762</v>
      </c>
      <c r="BH538" s="431" t="s">
        <v>762</v>
      </c>
      <c r="BI538" s="431" t="s">
        <v>762</v>
      </c>
      <c r="BJ538" s="431" t="s">
        <v>762</v>
      </c>
      <c r="BK538" s="431" t="s">
        <v>762</v>
      </c>
      <c r="BL538" s="431" t="s">
        <v>762</v>
      </c>
      <c r="BM538" s="431" t="s">
        <v>762</v>
      </c>
      <c r="BN538" s="431" t="s">
        <v>762</v>
      </c>
      <c r="BO538" s="431" t="s">
        <v>762</v>
      </c>
      <c r="BP538" s="431" t="s">
        <v>762</v>
      </c>
      <c r="BQ538" s="431" t="s">
        <v>762</v>
      </c>
      <c r="BR538" s="431" t="s">
        <v>762</v>
      </c>
      <c r="BS538" s="431" t="s">
        <v>762</v>
      </c>
      <c r="BT538" s="431" t="s">
        <v>762</v>
      </c>
      <c r="BU538" s="431" t="s">
        <v>762</v>
      </c>
      <c r="BV538" s="431" t="s">
        <v>762</v>
      </c>
      <c r="BW538" s="431" t="s">
        <v>762</v>
      </c>
      <c r="BX538" s="431" t="s">
        <v>762</v>
      </c>
      <c r="BY538" s="431" t="s">
        <v>762</v>
      </c>
      <c r="BZ538" s="431" t="s">
        <v>762</v>
      </c>
      <c r="CA538" s="431" t="s">
        <v>762</v>
      </c>
      <c r="CB538" s="431" t="s">
        <v>762</v>
      </c>
      <c r="CC538" s="431" t="s">
        <v>762</v>
      </c>
      <c r="CD538" s="431" t="s">
        <v>762</v>
      </c>
      <c r="CE538" s="431" t="s">
        <v>762</v>
      </c>
      <c r="CF538" s="431" t="s">
        <v>762</v>
      </c>
      <c r="CG538" s="431" t="s">
        <v>762</v>
      </c>
      <c r="CH538" s="431" t="s">
        <v>762</v>
      </c>
      <c r="CI538" s="431" t="s">
        <v>762</v>
      </c>
      <c r="CJ538" s="431" t="s">
        <v>762</v>
      </c>
      <c r="CK538" s="431" t="s">
        <v>762</v>
      </c>
      <c r="CL538" s="431" t="s">
        <v>762</v>
      </c>
    </row>
    <row r="539" spans="1:90" s="432" customFormat="1">
      <c r="A539" s="430" t="s">
        <v>591</v>
      </c>
      <c r="B539" s="430" t="s">
        <v>631</v>
      </c>
      <c r="C539" s="431" t="s">
        <v>762</v>
      </c>
      <c r="D539" s="431" t="s">
        <v>762</v>
      </c>
      <c r="E539" s="431" t="s">
        <v>762</v>
      </c>
      <c r="F539" s="431" t="s">
        <v>762</v>
      </c>
      <c r="G539" s="431" t="s">
        <v>762</v>
      </c>
      <c r="H539" s="431" t="s">
        <v>762</v>
      </c>
      <c r="I539" s="431" t="s">
        <v>762</v>
      </c>
      <c r="J539" s="431" t="s">
        <v>762</v>
      </c>
      <c r="K539" s="431" t="s">
        <v>762</v>
      </c>
      <c r="L539" s="431">
        <v>35</v>
      </c>
      <c r="M539" s="431" t="s">
        <v>762</v>
      </c>
      <c r="N539" s="431" t="s">
        <v>762</v>
      </c>
      <c r="O539" s="431" t="s">
        <v>762</v>
      </c>
      <c r="P539" s="431" t="s">
        <v>762</v>
      </c>
      <c r="Q539" s="431" t="s">
        <v>762</v>
      </c>
      <c r="R539" s="431" t="s">
        <v>762</v>
      </c>
      <c r="S539" s="431" t="s">
        <v>762</v>
      </c>
      <c r="T539" s="431" t="s">
        <v>762</v>
      </c>
      <c r="U539" s="431" t="s">
        <v>762</v>
      </c>
      <c r="V539" s="431">
        <v>40</v>
      </c>
      <c r="W539" s="431">
        <v>47</v>
      </c>
      <c r="X539" s="431">
        <v>53</v>
      </c>
      <c r="Y539" s="431">
        <v>59</v>
      </c>
      <c r="Z539" s="431">
        <v>67</v>
      </c>
      <c r="AA539" s="431">
        <v>75</v>
      </c>
      <c r="AB539" s="431">
        <v>83</v>
      </c>
      <c r="AC539" s="431">
        <v>88</v>
      </c>
      <c r="AD539" s="431">
        <v>95</v>
      </c>
      <c r="AE539" s="431" t="s">
        <v>762</v>
      </c>
      <c r="AF539" s="431" t="s">
        <v>762</v>
      </c>
      <c r="AG539" s="431">
        <v>166</v>
      </c>
      <c r="AH539" s="431" t="s">
        <v>762</v>
      </c>
      <c r="AI539" s="431">
        <v>166</v>
      </c>
      <c r="AJ539" s="431" t="s">
        <v>762</v>
      </c>
      <c r="AK539" s="431" t="s">
        <v>762</v>
      </c>
      <c r="AL539" s="431">
        <v>166</v>
      </c>
      <c r="AM539" s="431" t="s">
        <v>762</v>
      </c>
      <c r="AN539" s="431" t="s">
        <v>762</v>
      </c>
      <c r="AO539" s="431" t="s">
        <v>762</v>
      </c>
      <c r="AP539" s="431">
        <v>166</v>
      </c>
      <c r="AQ539" s="431" t="s">
        <v>762</v>
      </c>
      <c r="AR539" s="431" t="s">
        <v>762</v>
      </c>
      <c r="AS539" s="431" t="s">
        <v>762</v>
      </c>
      <c r="AT539" s="431">
        <v>166</v>
      </c>
      <c r="AU539" s="431" t="s">
        <v>762</v>
      </c>
      <c r="AV539" s="431" t="s">
        <v>762</v>
      </c>
      <c r="AW539" s="431" t="s">
        <v>762</v>
      </c>
      <c r="AX539" s="431" t="s">
        <v>762</v>
      </c>
      <c r="AY539" s="431" t="s">
        <v>762</v>
      </c>
      <c r="AZ539" s="431" t="s">
        <v>762</v>
      </c>
      <c r="BA539" s="431" t="s">
        <v>762</v>
      </c>
      <c r="BB539" s="431" t="s">
        <v>762</v>
      </c>
      <c r="BC539" s="431" t="s">
        <v>762</v>
      </c>
      <c r="BD539" s="431" t="s">
        <v>762</v>
      </c>
      <c r="BE539" s="431" t="s">
        <v>762</v>
      </c>
      <c r="BF539" s="431">
        <v>223</v>
      </c>
      <c r="BG539" s="431" t="s">
        <v>762</v>
      </c>
      <c r="BH539" s="431" t="s">
        <v>762</v>
      </c>
      <c r="BI539" s="431" t="s">
        <v>762</v>
      </c>
      <c r="BJ539" s="431" t="s">
        <v>762</v>
      </c>
      <c r="BK539" s="431" t="s">
        <v>762</v>
      </c>
      <c r="BL539" s="431">
        <v>261</v>
      </c>
      <c r="BM539" s="431" t="s">
        <v>762</v>
      </c>
      <c r="BN539" s="431" t="s">
        <v>762</v>
      </c>
      <c r="BO539" s="431" t="s">
        <v>762</v>
      </c>
      <c r="BP539" s="431" t="s">
        <v>762</v>
      </c>
      <c r="BQ539" s="431" t="s">
        <v>762</v>
      </c>
      <c r="BR539" s="431" t="s">
        <v>762</v>
      </c>
      <c r="BS539" s="431" t="s">
        <v>762</v>
      </c>
      <c r="BT539" s="431" t="s">
        <v>762</v>
      </c>
      <c r="BU539" s="431" t="s">
        <v>762</v>
      </c>
      <c r="BV539" s="431" t="s">
        <v>762</v>
      </c>
      <c r="BW539" s="431" t="s">
        <v>762</v>
      </c>
      <c r="BX539" s="431" t="s">
        <v>762</v>
      </c>
      <c r="BY539" s="431" t="s">
        <v>762</v>
      </c>
      <c r="BZ539" s="431" t="s">
        <v>762</v>
      </c>
      <c r="CA539" s="431" t="s">
        <v>762</v>
      </c>
      <c r="CB539" s="431" t="s">
        <v>762</v>
      </c>
      <c r="CC539" s="431" t="s">
        <v>762</v>
      </c>
      <c r="CD539" s="431" t="s">
        <v>762</v>
      </c>
      <c r="CE539" s="431" t="s">
        <v>762</v>
      </c>
      <c r="CF539" s="431" t="s">
        <v>762</v>
      </c>
      <c r="CG539" s="431" t="s">
        <v>762</v>
      </c>
      <c r="CH539" s="431" t="s">
        <v>762</v>
      </c>
      <c r="CI539" s="431" t="s">
        <v>762</v>
      </c>
      <c r="CJ539" s="431" t="s">
        <v>762</v>
      </c>
      <c r="CK539" s="431" t="s">
        <v>762</v>
      </c>
      <c r="CL539" s="431" t="s">
        <v>762</v>
      </c>
    </row>
    <row r="540" spans="1:90" s="432" customFormat="1">
      <c r="A540" s="430" t="s">
        <v>592</v>
      </c>
      <c r="B540" s="430" t="s">
        <v>631</v>
      </c>
      <c r="C540" s="431" t="s">
        <v>762</v>
      </c>
      <c r="D540" s="431" t="s">
        <v>762</v>
      </c>
      <c r="E540" s="431" t="s">
        <v>762</v>
      </c>
      <c r="F540" s="431" t="s">
        <v>762</v>
      </c>
      <c r="G540" s="431" t="s">
        <v>762</v>
      </c>
      <c r="H540" s="431" t="s">
        <v>762</v>
      </c>
      <c r="I540" s="431" t="s">
        <v>762</v>
      </c>
      <c r="J540" s="431" t="s">
        <v>762</v>
      </c>
      <c r="K540" s="431" t="s">
        <v>762</v>
      </c>
      <c r="L540" s="431">
        <v>30</v>
      </c>
      <c r="M540" s="431" t="s">
        <v>762</v>
      </c>
      <c r="N540" s="431" t="s">
        <v>762</v>
      </c>
      <c r="O540" s="431" t="s">
        <v>762</v>
      </c>
      <c r="P540" s="431" t="s">
        <v>762</v>
      </c>
      <c r="Q540" s="431" t="s">
        <v>762</v>
      </c>
      <c r="R540" s="431" t="s">
        <v>762</v>
      </c>
      <c r="S540" s="431" t="s">
        <v>762</v>
      </c>
      <c r="T540" s="431" t="s">
        <v>762</v>
      </c>
      <c r="U540" s="431" t="s">
        <v>762</v>
      </c>
      <c r="V540" s="431">
        <v>36</v>
      </c>
      <c r="W540" s="431">
        <v>43</v>
      </c>
      <c r="X540" s="431">
        <v>50</v>
      </c>
      <c r="Y540" s="431">
        <v>54</v>
      </c>
      <c r="Z540" s="431">
        <v>60</v>
      </c>
      <c r="AA540" s="431">
        <v>64</v>
      </c>
      <c r="AB540" s="431">
        <v>71</v>
      </c>
      <c r="AC540" s="431">
        <v>75</v>
      </c>
      <c r="AD540" s="431">
        <v>82</v>
      </c>
      <c r="AE540" s="431" t="s">
        <v>762</v>
      </c>
      <c r="AF540" s="431" t="s">
        <v>762</v>
      </c>
      <c r="AG540" s="431">
        <v>161</v>
      </c>
      <c r="AH540" s="431" t="s">
        <v>762</v>
      </c>
      <c r="AI540" s="431">
        <v>161</v>
      </c>
      <c r="AJ540" s="431" t="s">
        <v>762</v>
      </c>
      <c r="AK540" s="431" t="s">
        <v>762</v>
      </c>
      <c r="AL540" s="431">
        <v>161</v>
      </c>
      <c r="AM540" s="431" t="s">
        <v>762</v>
      </c>
      <c r="AN540" s="431" t="s">
        <v>762</v>
      </c>
      <c r="AO540" s="431" t="s">
        <v>762</v>
      </c>
      <c r="AP540" s="431">
        <v>161</v>
      </c>
      <c r="AQ540" s="431" t="s">
        <v>762</v>
      </c>
      <c r="AR540" s="431" t="s">
        <v>762</v>
      </c>
      <c r="AS540" s="431" t="s">
        <v>762</v>
      </c>
      <c r="AT540" s="431">
        <v>161</v>
      </c>
      <c r="AU540" s="431" t="s">
        <v>762</v>
      </c>
      <c r="AV540" s="431" t="s">
        <v>762</v>
      </c>
      <c r="AW540" s="431" t="s">
        <v>762</v>
      </c>
      <c r="AX540" s="431" t="s">
        <v>762</v>
      </c>
      <c r="AY540" s="431" t="s">
        <v>762</v>
      </c>
      <c r="AZ540" s="431" t="s">
        <v>762</v>
      </c>
      <c r="BA540" s="431" t="s">
        <v>762</v>
      </c>
      <c r="BB540" s="431" t="s">
        <v>762</v>
      </c>
      <c r="BC540" s="431" t="s">
        <v>762</v>
      </c>
      <c r="BD540" s="431" t="s">
        <v>762</v>
      </c>
      <c r="BE540" s="431" t="s">
        <v>762</v>
      </c>
      <c r="BF540" s="431">
        <v>268</v>
      </c>
      <c r="BG540" s="431" t="s">
        <v>762</v>
      </c>
      <c r="BH540" s="431" t="s">
        <v>762</v>
      </c>
      <c r="BI540" s="431" t="s">
        <v>762</v>
      </c>
      <c r="BJ540" s="431" t="s">
        <v>762</v>
      </c>
      <c r="BK540" s="431" t="s">
        <v>762</v>
      </c>
      <c r="BL540" s="431">
        <v>335</v>
      </c>
      <c r="BM540" s="431" t="s">
        <v>762</v>
      </c>
      <c r="BN540" s="431" t="s">
        <v>762</v>
      </c>
      <c r="BO540" s="431" t="s">
        <v>762</v>
      </c>
      <c r="BP540" s="431" t="s">
        <v>762</v>
      </c>
      <c r="BQ540" s="431" t="s">
        <v>762</v>
      </c>
      <c r="BR540" s="431" t="s">
        <v>762</v>
      </c>
      <c r="BS540" s="431" t="s">
        <v>762</v>
      </c>
      <c r="BT540" s="431" t="s">
        <v>762</v>
      </c>
      <c r="BU540" s="431" t="s">
        <v>762</v>
      </c>
      <c r="BV540" s="431" t="s">
        <v>762</v>
      </c>
      <c r="BW540" s="431" t="s">
        <v>762</v>
      </c>
      <c r="BX540" s="431" t="s">
        <v>762</v>
      </c>
      <c r="BY540" s="431" t="s">
        <v>762</v>
      </c>
      <c r="BZ540" s="431" t="s">
        <v>762</v>
      </c>
      <c r="CA540" s="431" t="s">
        <v>762</v>
      </c>
      <c r="CB540" s="431" t="s">
        <v>762</v>
      </c>
      <c r="CC540" s="431" t="s">
        <v>762</v>
      </c>
      <c r="CD540" s="431" t="s">
        <v>762</v>
      </c>
      <c r="CE540" s="431" t="s">
        <v>762</v>
      </c>
      <c r="CF540" s="431" t="s">
        <v>762</v>
      </c>
      <c r="CG540" s="431" t="s">
        <v>762</v>
      </c>
      <c r="CH540" s="431" t="s">
        <v>762</v>
      </c>
      <c r="CI540" s="431" t="s">
        <v>762</v>
      </c>
      <c r="CJ540" s="431" t="s">
        <v>762</v>
      </c>
      <c r="CK540" s="431" t="s">
        <v>762</v>
      </c>
      <c r="CL540" s="431" t="s">
        <v>762</v>
      </c>
    </row>
    <row r="541" spans="1:90" s="432" customFormat="1">
      <c r="A541" s="430" t="s">
        <v>593</v>
      </c>
      <c r="B541" s="430" t="s">
        <v>631</v>
      </c>
      <c r="C541" s="431" t="s">
        <v>762</v>
      </c>
      <c r="D541" s="431" t="s">
        <v>762</v>
      </c>
      <c r="E541" s="431" t="s">
        <v>762</v>
      </c>
      <c r="F541" s="431" t="s">
        <v>762</v>
      </c>
      <c r="G541" s="431" t="s">
        <v>762</v>
      </c>
      <c r="H541" s="431" t="s">
        <v>762</v>
      </c>
      <c r="I541" s="431" t="s">
        <v>762</v>
      </c>
      <c r="J541" s="431" t="s">
        <v>762</v>
      </c>
      <c r="K541" s="431" t="s">
        <v>762</v>
      </c>
      <c r="L541" s="431">
        <v>30</v>
      </c>
      <c r="M541" s="431" t="s">
        <v>762</v>
      </c>
      <c r="N541" s="431" t="s">
        <v>762</v>
      </c>
      <c r="O541" s="431" t="s">
        <v>762</v>
      </c>
      <c r="P541" s="431" t="s">
        <v>762</v>
      </c>
      <c r="Q541" s="431" t="s">
        <v>762</v>
      </c>
      <c r="R541" s="431" t="s">
        <v>762</v>
      </c>
      <c r="S541" s="431" t="s">
        <v>762</v>
      </c>
      <c r="T541" s="431" t="s">
        <v>762</v>
      </c>
      <c r="U541" s="431" t="s">
        <v>762</v>
      </c>
      <c r="V541" s="431">
        <v>34</v>
      </c>
      <c r="W541" s="431">
        <v>38</v>
      </c>
      <c r="X541" s="431">
        <v>43</v>
      </c>
      <c r="Y541" s="431">
        <v>49</v>
      </c>
      <c r="Z541" s="431">
        <v>54</v>
      </c>
      <c r="AA541" s="431">
        <v>61</v>
      </c>
      <c r="AB541" s="431">
        <v>67</v>
      </c>
      <c r="AC541" s="431">
        <v>72</v>
      </c>
      <c r="AD541" s="431">
        <v>77</v>
      </c>
      <c r="AE541" s="431" t="s">
        <v>762</v>
      </c>
      <c r="AF541" s="431" t="s">
        <v>762</v>
      </c>
      <c r="AG541" s="431">
        <v>159</v>
      </c>
      <c r="AH541" s="431" t="s">
        <v>762</v>
      </c>
      <c r="AI541" s="431">
        <v>159</v>
      </c>
      <c r="AJ541" s="431" t="s">
        <v>762</v>
      </c>
      <c r="AK541" s="431" t="s">
        <v>762</v>
      </c>
      <c r="AL541" s="431">
        <v>159</v>
      </c>
      <c r="AM541" s="431" t="s">
        <v>762</v>
      </c>
      <c r="AN541" s="431" t="s">
        <v>762</v>
      </c>
      <c r="AO541" s="431" t="s">
        <v>762</v>
      </c>
      <c r="AP541" s="431">
        <v>159</v>
      </c>
      <c r="AQ541" s="431" t="s">
        <v>762</v>
      </c>
      <c r="AR541" s="431" t="s">
        <v>762</v>
      </c>
      <c r="AS541" s="431" t="s">
        <v>762</v>
      </c>
      <c r="AT541" s="431">
        <v>159</v>
      </c>
      <c r="AU541" s="431" t="s">
        <v>762</v>
      </c>
      <c r="AV541" s="431" t="s">
        <v>762</v>
      </c>
      <c r="AW541" s="431" t="s">
        <v>762</v>
      </c>
      <c r="AX541" s="431" t="s">
        <v>762</v>
      </c>
      <c r="AY541" s="431" t="s">
        <v>762</v>
      </c>
      <c r="AZ541" s="431" t="s">
        <v>762</v>
      </c>
      <c r="BA541" s="431" t="s">
        <v>762</v>
      </c>
      <c r="BB541" s="431" t="s">
        <v>762</v>
      </c>
      <c r="BC541" s="431" t="s">
        <v>762</v>
      </c>
      <c r="BD541" s="431" t="s">
        <v>762</v>
      </c>
      <c r="BE541" s="431" t="s">
        <v>762</v>
      </c>
      <c r="BF541" s="431">
        <v>256</v>
      </c>
      <c r="BG541" s="431" t="s">
        <v>762</v>
      </c>
      <c r="BH541" s="431" t="s">
        <v>762</v>
      </c>
      <c r="BI541" s="431" t="s">
        <v>762</v>
      </c>
      <c r="BJ541" s="431" t="s">
        <v>762</v>
      </c>
      <c r="BK541" s="431" t="s">
        <v>762</v>
      </c>
      <c r="BL541" s="431">
        <v>337</v>
      </c>
      <c r="BM541" s="431" t="s">
        <v>762</v>
      </c>
      <c r="BN541" s="431" t="s">
        <v>762</v>
      </c>
      <c r="BO541" s="431" t="s">
        <v>762</v>
      </c>
      <c r="BP541" s="431" t="s">
        <v>762</v>
      </c>
      <c r="BQ541" s="431" t="s">
        <v>762</v>
      </c>
      <c r="BR541" s="431" t="s">
        <v>762</v>
      </c>
      <c r="BS541" s="431" t="s">
        <v>762</v>
      </c>
      <c r="BT541" s="431" t="s">
        <v>762</v>
      </c>
      <c r="BU541" s="431" t="s">
        <v>762</v>
      </c>
      <c r="BV541" s="431" t="s">
        <v>762</v>
      </c>
      <c r="BW541" s="431" t="s">
        <v>762</v>
      </c>
      <c r="BX541" s="431" t="s">
        <v>762</v>
      </c>
      <c r="BY541" s="431" t="s">
        <v>762</v>
      </c>
      <c r="BZ541" s="431" t="s">
        <v>762</v>
      </c>
      <c r="CA541" s="431" t="s">
        <v>762</v>
      </c>
      <c r="CB541" s="431" t="s">
        <v>762</v>
      </c>
      <c r="CC541" s="431" t="s">
        <v>762</v>
      </c>
      <c r="CD541" s="431" t="s">
        <v>762</v>
      </c>
      <c r="CE541" s="431" t="s">
        <v>762</v>
      </c>
      <c r="CF541" s="431" t="s">
        <v>762</v>
      </c>
      <c r="CG541" s="431" t="s">
        <v>762</v>
      </c>
      <c r="CH541" s="431" t="s">
        <v>762</v>
      </c>
      <c r="CI541" s="431" t="s">
        <v>762</v>
      </c>
      <c r="CJ541" s="431" t="s">
        <v>762</v>
      </c>
      <c r="CK541" s="431" t="s">
        <v>762</v>
      </c>
      <c r="CL541" s="431" t="s">
        <v>762</v>
      </c>
    </row>
    <row r="542" spans="1:90" s="432" customFormat="1">
      <c r="A542" s="430" t="s">
        <v>594</v>
      </c>
      <c r="B542" s="430" t="s">
        <v>631</v>
      </c>
      <c r="C542" s="431" t="s">
        <v>762</v>
      </c>
      <c r="D542" s="431" t="s">
        <v>762</v>
      </c>
      <c r="E542" s="431" t="s">
        <v>762</v>
      </c>
      <c r="F542" s="431" t="s">
        <v>762</v>
      </c>
      <c r="G542" s="431" t="s">
        <v>762</v>
      </c>
      <c r="H542" s="431" t="s">
        <v>762</v>
      </c>
      <c r="I542" s="431" t="s">
        <v>762</v>
      </c>
      <c r="J542" s="431" t="s">
        <v>762</v>
      </c>
      <c r="K542" s="431" t="s">
        <v>762</v>
      </c>
      <c r="L542" s="431">
        <v>39</v>
      </c>
      <c r="M542" s="431" t="s">
        <v>762</v>
      </c>
      <c r="N542" s="431" t="s">
        <v>762</v>
      </c>
      <c r="O542" s="431" t="s">
        <v>762</v>
      </c>
      <c r="P542" s="431" t="s">
        <v>762</v>
      </c>
      <c r="Q542" s="431" t="s">
        <v>762</v>
      </c>
      <c r="R542" s="431" t="s">
        <v>762</v>
      </c>
      <c r="S542" s="431" t="s">
        <v>762</v>
      </c>
      <c r="T542" s="431" t="s">
        <v>762</v>
      </c>
      <c r="U542" s="431" t="s">
        <v>762</v>
      </c>
      <c r="V542" s="431">
        <v>44</v>
      </c>
      <c r="W542" s="431">
        <v>54</v>
      </c>
      <c r="X542" s="431">
        <v>60</v>
      </c>
      <c r="Y542" s="431">
        <v>65</v>
      </c>
      <c r="Z542" s="431">
        <v>73</v>
      </c>
      <c r="AA542" s="431">
        <v>78</v>
      </c>
      <c r="AB542" s="431">
        <v>88</v>
      </c>
      <c r="AC542" s="431">
        <v>93</v>
      </c>
      <c r="AD542" s="431">
        <v>97</v>
      </c>
      <c r="AE542" s="431" t="s">
        <v>762</v>
      </c>
      <c r="AF542" s="431" t="s">
        <v>762</v>
      </c>
      <c r="AG542" s="431">
        <v>169</v>
      </c>
      <c r="AH542" s="431" t="s">
        <v>762</v>
      </c>
      <c r="AI542" s="431">
        <v>169</v>
      </c>
      <c r="AJ542" s="431" t="s">
        <v>762</v>
      </c>
      <c r="AK542" s="431" t="s">
        <v>762</v>
      </c>
      <c r="AL542" s="431">
        <v>169</v>
      </c>
      <c r="AM542" s="431" t="s">
        <v>762</v>
      </c>
      <c r="AN542" s="431" t="s">
        <v>762</v>
      </c>
      <c r="AO542" s="431" t="s">
        <v>762</v>
      </c>
      <c r="AP542" s="431">
        <v>169</v>
      </c>
      <c r="AQ542" s="431" t="s">
        <v>762</v>
      </c>
      <c r="AR542" s="431" t="s">
        <v>762</v>
      </c>
      <c r="AS542" s="431" t="s">
        <v>762</v>
      </c>
      <c r="AT542" s="431">
        <v>169</v>
      </c>
      <c r="AU542" s="431" t="s">
        <v>762</v>
      </c>
      <c r="AV542" s="431" t="s">
        <v>762</v>
      </c>
      <c r="AW542" s="431" t="s">
        <v>762</v>
      </c>
      <c r="AX542" s="431" t="s">
        <v>762</v>
      </c>
      <c r="AY542" s="431" t="s">
        <v>762</v>
      </c>
      <c r="AZ542" s="431" t="s">
        <v>762</v>
      </c>
      <c r="BA542" s="431" t="s">
        <v>762</v>
      </c>
      <c r="BB542" s="431" t="s">
        <v>762</v>
      </c>
      <c r="BC542" s="431" t="s">
        <v>762</v>
      </c>
      <c r="BD542" s="431" t="s">
        <v>762</v>
      </c>
      <c r="BE542" s="431" t="s">
        <v>762</v>
      </c>
      <c r="BF542" s="431">
        <v>242</v>
      </c>
      <c r="BG542" s="431" t="s">
        <v>762</v>
      </c>
      <c r="BH542" s="431" t="s">
        <v>762</v>
      </c>
      <c r="BI542" s="431" t="s">
        <v>762</v>
      </c>
      <c r="BJ542" s="431" t="s">
        <v>762</v>
      </c>
      <c r="BK542" s="431" t="s">
        <v>762</v>
      </c>
      <c r="BL542" s="431">
        <v>296</v>
      </c>
      <c r="BM542" s="431" t="s">
        <v>762</v>
      </c>
      <c r="BN542" s="431" t="s">
        <v>762</v>
      </c>
      <c r="BO542" s="431" t="s">
        <v>762</v>
      </c>
      <c r="BP542" s="431" t="s">
        <v>762</v>
      </c>
      <c r="BQ542" s="431" t="s">
        <v>762</v>
      </c>
      <c r="BR542" s="431" t="s">
        <v>762</v>
      </c>
      <c r="BS542" s="431" t="s">
        <v>762</v>
      </c>
      <c r="BT542" s="431" t="s">
        <v>762</v>
      </c>
      <c r="BU542" s="431" t="s">
        <v>762</v>
      </c>
      <c r="BV542" s="431" t="s">
        <v>762</v>
      </c>
      <c r="BW542" s="431" t="s">
        <v>762</v>
      </c>
      <c r="BX542" s="431" t="s">
        <v>762</v>
      </c>
      <c r="BY542" s="431" t="s">
        <v>762</v>
      </c>
      <c r="BZ542" s="431" t="s">
        <v>762</v>
      </c>
      <c r="CA542" s="431" t="s">
        <v>762</v>
      </c>
      <c r="CB542" s="431" t="s">
        <v>762</v>
      </c>
      <c r="CC542" s="431" t="s">
        <v>762</v>
      </c>
      <c r="CD542" s="431" t="s">
        <v>762</v>
      </c>
      <c r="CE542" s="431" t="s">
        <v>762</v>
      </c>
      <c r="CF542" s="431" t="s">
        <v>762</v>
      </c>
      <c r="CG542" s="431" t="s">
        <v>762</v>
      </c>
      <c r="CH542" s="431" t="s">
        <v>762</v>
      </c>
      <c r="CI542" s="431" t="s">
        <v>762</v>
      </c>
      <c r="CJ542" s="431" t="s">
        <v>762</v>
      </c>
      <c r="CK542" s="431" t="s">
        <v>762</v>
      </c>
      <c r="CL542" s="431" t="s">
        <v>762</v>
      </c>
    </row>
    <row r="543" spans="1:90" s="432" customFormat="1">
      <c r="A543" s="430" t="s">
        <v>595</v>
      </c>
      <c r="B543" s="430" t="s">
        <v>631</v>
      </c>
      <c r="C543" s="431" t="s">
        <v>762</v>
      </c>
      <c r="D543" s="431" t="s">
        <v>762</v>
      </c>
      <c r="E543" s="431" t="s">
        <v>762</v>
      </c>
      <c r="F543" s="431" t="s">
        <v>762</v>
      </c>
      <c r="G543" s="431" t="s">
        <v>762</v>
      </c>
      <c r="H543" s="431" t="s">
        <v>762</v>
      </c>
      <c r="I543" s="431" t="s">
        <v>762</v>
      </c>
      <c r="J543" s="431" t="s">
        <v>762</v>
      </c>
      <c r="K543" s="431" t="s">
        <v>762</v>
      </c>
      <c r="L543" s="431">
        <v>39</v>
      </c>
      <c r="M543" s="431" t="s">
        <v>762</v>
      </c>
      <c r="N543" s="431" t="s">
        <v>762</v>
      </c>
      <c r="O543" s="431" t="s">
        <v>762</v>
      </c>
      <c r="P543" s="431" t="s">
        <v>762</v>
      </c>
      <c r="Q543" s="431" t="s">
        <v>762</v>
      </c>
      <c r="R543" s="431" t="s">
        <v>762</v>
      </c>
      <c r="S543" s="431" t="s">
        <v>762</v>
      </c>
      <c r="T543" s="431" t="s">
        <v>762</v>
      </c>
      <c r="U543" s="431" t="s">
        <v>762</v>
      </c>
      <c r="V543" s="431">
        <v>44</v>
      </c>
      <c r="W543" s="431">
        <v>54</v>
      </c>
      <c r="X543" s="431">
        <v>60</v>
      </c>
      <c r="Y543" s="431">
        <v>65</v>
      </c>
      <c r="Z543" s="431">
        <v>73</v>
      </c>
      <c r="AA543" s="431">
        <v>78</v>
      </c>
      <c r="AB543" s="431">
        <v>88</v>
      </c>
      <c r="AC543" s="431">
        <v>93</v>
      </c>
      <c r="AD543" s="431">
        <v>97</v>
      </c>
      <c r="AE543" s="431" t="s">
        <v>762</v>
      </c>
      <c r="AF543" s="431" t="s">
        <v>762</v>
      </c>
      <c r="AG543" s="431">
        <v>168</v>
      </c>
      <c r="AH543" s="431" t="s">
        <v>762</v>
      </c>
      <c r="AI543" s="431">
        <v>168</v>
      </c>
      <c r="AJ543" s="431" t="s">
        <v>762</v>
      </c>
      <c r="AK543" s="431" t="s">
        <v>762</v>
      </c>
      <c r="AL543" s="431">
        <v>168</v>
      </c>
      <c r="AM543" s="431" t="s">
        <v>762</v>
      </c>
      <c r="AN543" s="431" t="s">
        <v>762</v>
      </c>
      <c r="AO543" s="431" t="s">
        <v>762</v>
      </c>
      <c r="AP543" s="431">
        <v>168</v>
      </c>
      <c r="AQ543" s="431" t="s">
        <v>762</v>
      </c>
      <c r="AR543" s="431" t="s">
        <v>762</v>
      </c>
      <c r="AS543" s="431" t="s">
        <v>762</v>
      </c>
      <c r="AT543" s="431">
        <v>168</v>
      </c>
      <c r="AU543" s="431" t="s">
        <v>762</v>
      </c>
      <c r="AV543" s="431" t="s">
        <v>762</v>
      </c>
      <c r="AW543" s="431" t="s">
        <v>762</v>
      </c>
      <c r="AX543" s="431" t="s">
        <v>762</v>
      </c>
      <c r="AY543" s="431" t="s">
        <v>762</v>
      </c>
      <c r="AZ543" s="431" t="s">
        <v>762</v>
      </c>
      <c r="BA543" s="431" t="s">
        <v>762</v>
      </c>
      <c r="BB543" s="431" t="s">
        <v>762</v>
      </c>
      <c r="BC543" s="431" t="s">
        <v>762</v>
      </c>
      <c r="BD543" s="431" t="s">
        <v>762</v>
      </c>
      <c r="BE543" s="431" t="s">
        <v>762</v>
      </c>
      <c r="BF543" s="431">
        <v>244</v>
      </c>
      <c r="BG543" s="431" t="s">
        <v>762</v>
      </c>
      <c r="BH543" s="431" t="s">
        <v>762</v>
      </c>
      <c r="BI543" s="431" t="s">
        <v>762</v>
      </c>
      <c r="BJ543" s="431" t="s">
        <v>762</v>
      </c>
      <c r="BK543" s="431" t="s">
        <v>762</v>
      </c>
      <c r="BL543" s="431">
        <v>300</v>
      </c>
      <c r="BM543" s="431" t="s">
        <v>762</v>
      </c>
      <c r="BN543" s="431" t="s">
        <v>762</v>
      </c>
      <c r="BO543" s="431" t="s">
        <v>762</v>
      </c>
      <c r="BP543" s="431" t="s">
        <v>762</v>
      </c>
      <c r="BQ543" s="431" t="s">
        <v>762</v>
      </c>
      <c r="BR543" s="431" t="s">
        <v>762</v>
      </c>
      <c r="BS543" s="431" t="s">
        <v>762</v>
      </c>
      <c r="BT543" s="431" t="s">
        <v>762</v>
      </c>
      <c r="BU543" s="431" t="s">
        <v>762</v>
      </c>
      <c r="BV543" s="431" t="s">
        <v>762</v>
      </c>
      <c r="BW543" s="431" t="s">
        <v>762</v>
      </c>
      <c r="BX543" s="431" t="s">
        <v>762</v>
      </c>
      <c r="BY543" s="431" t="s">
        <v>762</v>
      </c>
      <c r="BZ543" s="431" t="s">
        <v>762</v>
      </c>
      <c r="CA543" s="431" t="s">
        <v>762</v>
      </c>
      <c r="CB543" s="431" t="s">
        <v>762</v>
      </c>
      <c r="CC543" s="431" t="s">
        <v>762</v>
      </c>
      <c r="CD543" s="431" t="s">
        <v>762</v>
      </c>
      <c r="CE543" s="431" t="s">
        <v>762</v>
      </c>
      <c r="CF543" s="431" t="s">
        <v>762</v>
      </c>
      <c r="CG543" s="431" t="s">
        <v>762</v>
      </c>
      <c r="CH543" s="431" t="s">
        <v>762</v>
      </c>
      <c r="CI543" s="431" t="s">
        <v>762</v>
      </c>
      <c r="CJ543" s="431" t="s">
        <v>762</v>
      </c>
      <c r="CK543" s="431" t="s">
        <v>762</v>
      </c>
      <c r="CL543" s="431" t="s">
        <v>762</v>
      </c>
    </row>
    <row r="544" spans="1:90" s="432" customFormat="1">
      <c r="A544" s="430" t="s">
        <v>596</v>
      </c>
      <c r="B544" s="430" t="s">
        <v>631</v>
      </c>
      <c r="C544" s="431" t="s">
        <v>762</v>
      </c>
      <c r="D544" s="431" t="s">
        <v>762</v>
      </c>
      <c r="E544" s="431" t="s">
        <v>762</v>
      </c>
      <c r="F544" s="431" t="s">
        <v>762</v>
      </c>
      <c r="G544" s="431" t="s">
        <v>762</v>
      </c>
      <c r="H544" s="431" t="s">
        <v>762</v>
      </c>
      <c r="I544" s="431" t="s">
        <v>762</v>
      </c>
      <c r="J544" s="431" t="s">
        <v>762</v>
      </c>
      <c r="K544" s="431" t="s">
        <v>762</v>
      </c>
      <c r="L544" s="431">
        <v>27</v>
      </c>
      <c r="M544" s="431" t="s">
        <v>762</v>
      </c>
      <c r="N544" s="431" t="s">
        <v>762</v>
      </c>
      <c r="O544" s="431" t="s">
        <v>762</v>
      </c>
      <c r="P544" s="431" t="s">
        <v>762</v>
      </c>
      <c r="Q544" s="431" t="s">
        <v>762</v>
      </c>
      <c r="R544" s="431" t="s">
        <v>762</v>
      </c>
      <c r="S544" s="431" t="s">
        <v>762</v>
      </c>
      <c r="T544" s="431" t="s">
        <v>762</v>
      </c>
      <c r="U544" s="431" t="s">
        <v>762</v>
      </c>
      <c r="V544" s="431">
        <v>32</v>
      </c>
      <c r="W544" s="431">
        <v>36</v>
      </c>
      <c r="X544" s="431">
        <v>41</v>
      </c>
      <c r="Y544" s="431">
        <v>45</v>
      </c>
      <c r="Z544" s="431">
        <v>50</v>
      </c>
      <c r="AA544" s="431">
        <v>55</v>
      </c>
      <c r="AB544" s="431">
        <v>60</v>
      </c>
      <c r="AC544" s="431">
        <v>65</v>
      </c>
      <c r="AD544" s="431">
        <v>70</v>
      </c>
      <c r="AE544" s="431" t="s">
        <v>762</v>
      </c>
      <c r="AF544" s="431" t="s">
        <v>762</v>
      </c>
      <c r="AG544" s="431">
        <v>138</v>
      </c>
      <c r="AH544" s="431" t="s">
        <v>762</v>
      </c>
      <c r="AI544" s="431">
        <v>138</v>
      </c>
      <c r="AJ544" s="431" t="s">
        <v>762</v>
      </c>
      <c r="AK544" s="431" t="s">
        <v>762</v>
      </c>
      <c r="AL544" s="431">
        <v>138</v>
      </c>
      <c r="AM544" s="431" t="s">
        <v>762</v>
      </c>
      <c r="AN544" s="431" t="s">
        <v>762</v>
      </c>
      <c r="AO544" s="431" t="s">
        <v>762</v>
      </c>
      <c r="AP544" s="431">
        <v>138</v>
      </c>
      <c r="AQ544" s="431" t="s">
        <v>762</v>
      </c>
      <c r="AR544" s="431" t="s">
        <v>762</v>
      </c>
      <c r="AS544" s="431" t="s">
        <v>762</v>
      </c>
      <c r="AT544" s="431">
        <v>138</v>
      </c>
      <c r="AU544" s="431" t="s">
        <v>762</v>
      </c>
      <c r="AV544" s="431" t="s">
        <v>762</v>
      </c>
      <c r="AW544" s="431" t="s">
        <v>762</v>
      </c>
      <c r="AX544" s="431" t="s">
        <v>762</v>
      </c>
      <c r="AY544" s="431" t="s">
        <v>762</v>
      </c>
      <c r="AZ544" s="431" t="s">
        <v>762</v>
      </c>
      <c r="BA544" s="431" t="s">
        <v>762</v>
      </c>
      <c r="BB544" s="431" t="s">
        <v>762</v>
      </c>
      <c r="BC544" s="431" t="s">
        <v>762</v>
      </c>
      <c r="BD544" s="431" t="s">
        <v>762</v>
      </c>
      <c r="BE544" s="431" t="s">
        <v>762</v>
      </c>
      <c r="BF544" s="431">
        <v>209</v>
      </c>
      <c r="BG544" s="431" t="s">
        <v>762</v>
      </c>
      <c r="BH544" s="431" t="s">
        <v>762</v>
      </c>
      <c r="BI544" s="431" t="s">
        <v>762</v>
      </c>
      <c r="BJ544" s="431" t="s">
        <v>762</v>
      </c>
      <c r="BK544" s="431" t="s">
        <v>762</v>
      </c>
      <c r="BL544" s="431">
        <v>251</v>
      </c>
      <c r="BM544" s="431" t="s">
        <v>762</v>
      </c>
      <c r="BN544" s="431" t="s">
        <v>762</v>
      </c>
      <c r="BO544" s="431" t="s">
        <v>762</v>
      </c>
      <c r="BP544" s="431" t="s">
        <v>762</v>
      </c>
      <c r="BQ544" s="431" t="s">
        <v>762</v>
      </c>
      <c r="BR544" s="431" t="s">
        <v>762</v>
      </c>
      <c r="BS544" s="431" t="s">
        <v>762</v>
      </c>
      <c r="BT544" s="431" t="s">
        <v>762</v>
      </c>
      <c r="BU544" s="431" t="s">
        <v>762</v>
      </c>
      <c r="BV544" s="431" t="s">
        <v>762</v>
      </c>
      <c r="BW544" s="431" t="s">
        <v>762</v>
      </c>
      <c r="BX544" s="431" t="s">
        <v>762</v>
      </c>
      <c r="BY544" s="431" t="s">
        <v>762</v>
      </c>
      <c r="BZ544" s="431" t="s">
        <v>762</v>
      </c>
      <c r="CA544" s="431" t="s">
        <v>762</v>
      </c>
      <c r="CB544" s="431" t="s">
        <v>762</v>
      </c>
      <c r="CC544" s="431" t="s">
        <v>762</v>
      </c>
      <c r="CD544" s="431" t="s">
        <v>762</v>
      </c>
      <c r="CE544" s="431" t="s">
        <v>762</v>
      </c>
      <c r="CF544" s="431" t="s">
        <v>762</v>
      </c>
      <c r="CG544" s="431" t="s">
        <v>762</v>
      </c>
      <c r="CH544" s="431" t="s">
        <v>762</v>
      </c>
      <c r="CI544" s="431" t="s">
        <v>762</v>
      </c>
      <c r="CJ544" s="431" t="s">
        <v>762</v>
      </c>
      <c r="CK544" s="431" t="s">
        <v>762</v>
      </c>
      <c r="CL544" s="431" t="s">
        <v>762</v>
      </c>
    </row>
    <row r="545" spans="1:90" s="432" customFormat="1">
      <c r="A545" s="430" t="s">
        <v>597</v>
      </c>
      <c r="B545" s="430" t="s">
        <v>631</v>
      </c>
      <c r="C545" s="431" t="s">
        <v>762</v>
      </c>
      <c r="D545" s="431" t="s">
        <v>762</v>
      </c>
      <c r="E545" s="431" t="s">
        <v>762</v>
      </c>
      <c r="F545" s="431" t="s">
        <v>762</v>
      </c>
      <c r="G545" s="431" t="s">
        <v>762</v>
      </c>
      <c r="H545" s="431" t="s">
        <v>762</v>
      </c>
      <c r="I545" s="431" t="s">
        <v>762</v>
      </c>
      <c r="J545" s="431" t="s">
        <v>762</v>
      </c>
      <c r="K545" s="431" t="s">
        <v>762</v>
      </c>
      <c r="L545" s="431">
        <v>27</v>
      </c>
      <c r="M545" s="431" t="s">
        <v>762</v>
      </c>
      <c r="N545" s="431" t="s">
        <v>762</v>
      </c>
      <c r="O545" s="431" t="s">
        <v>762</v>
      </c>
      <c r="P545" s="431" t="s">
        <v>762</v>
      </c>
      <c r="Q545" s="431" t="s">
        <v>762</v>
      </c>
      <c r="R545" s="431" t="s">
        <v>762</v>
      </c>
      <c r="S545" s="431" t="s">
        <v>762</v>
      </c>
      <c r="T545" s="431" t="s">
        <v>762</v>
      </c>
      <c r="U545" s="431" t="s">
        <v>762</v>
      </c>
      <c r="V545" s="431">
        <v>33</v>
      </c>
      <c r="W545" s="431">
        <v>42</v>
      </c>
      <c r="X545" s="431">
        <v>50</v>
      </c>
      <c r="Y545" s="431">
        <v>55</v>
      </c>
      <c r="Z545" s="431">
        <v>62</v>
      </c>
      <c r="AA545" s="431">
        <v>67</v>
      </c>
      <c r="AB545" s="431">
        <v>75</v>
      </c>
      <c r="AC545" s="431">
        <v>80</v>
      </c>
      <c r="AD545" s="431">
        <v>88</v>
      </c>
      <c r="AE545" s="431" t="s">
        <v>762</v>
      </c>
      <c r="AF545" s="431" t="s">
        <v>762</v>
      </c>
      <c r="AG545" s="431">
        <v>177</v>
      </c>
      <c r="AH545" s="431" t="s">
        <v>762</v>
      </c>
      <c r="AI545" s="431">
        <v>177</v>
      </c>
      <c r="AJ545" s="431" t="s">
        <v>762</v>
      </c>
      <c r="AK545" s="431" t="s">
        <v>762</v>
      </c>
      <c r="AL545" s="431">
        <v>177</v>
      </c>
      <c r="AM545" s="431" t="s">
        <v>762</v>
      </c>
      <c r="AN545" s="431" t="s">
        <v>762</v>
      </c>
      <c r="AO545" s="431" t="s">
        <v>762</v>
      </c>
      <c r="AP545" s="431">
        <v>177</v>
      </c>
      <c r="AQ545" s="431" t="s">
        <v>762</v>
      </c>
      <c r="AR545" s="431" t="s">
        <v>762</v>
      </c>
      <c r="AS545" s="431" t="s">
        <v>762</v>
      </c>
      <c r="AT545" s="431">
        <v>177</v>
      </c>
      <c r="AU545" s="431" t="s">
        <v>762</v>
      </c>
      <c r="AV545" s="431" t="s">
        <v>762</v>
      </c>
      <c r="AW545" s="431" t="s">
        <v>762</v>
      </c>
      <c r="AX545" s="431" t="s">
        <v>762</v>
      </c>
      <c r="AY545" s="431" t="s">
        <v>762</v>
      </c>
      <c r="AZ545" s="431" t="s">
        <v>762</v>
      </c>
      <c r="BA545" s="431" t="s">
        <v>762</v>
      </c>
      <c r="BB545" s="431" t="s">
        <v>762</v>
      </c>
      <c r="BC545" s="431" t="s">
        <v>762</v>
      </c>
      <c r="BD545" s="431" t="s">
        <v>762</v>
      </c>
      <c r="BE545" s="431" t="s">
        <v>762</v>
      </c>
      <c r="BF545" s="431">
        <v>292</v>
      </c>
      <c r="BG545" s="431" t="s">
        <v>762</v>
      </c>
      <c r="BH545" s="431" t="s">
        <v>762</v>
      </c>
      <c r="BI545" s="431" t="s">
        <v>762</v>
      </c>
      <c r="BJ545" s="431" t="s">
        <v>762</v>
      </c>
      <c r="BK545" s="431" t="s">
        <v>762</v>
      </c>
      <c r="BL545" s="431">
        <v>391</v>
      </c>
      <c r="BM545" s="431" t="s">
        <v>762</v>
      </c>
      <c r="BN545" s="431" t="s">
        <v>762</v>
      </c>
      <c r="BO545" s="431" t="s">
        <v>762</v>
      </c>
      <c r="BP545" s="431" t="s">
        <v>762</v>
      </c>
      <c r="BQ545" s="431" t="s">
        <v>762</v>
      </c>
      <c r="BR545" s="431" t="s">
        <v>762</v>
      </c>
      <c r="BS545" s="431" t="s">
        <v>762</v>
      </c>
      <c r="BT545" s="431" t="s">
        <v>762</v>
      </c>
      <c r="BU545" s="431" t="s">
        <v>762</v>
      </c>
      <c r="BV545" s="431" t="s">
        <v>762</v>
      </c>
      <c r="BW545" s="431" t="s">
        <v>762</v>
      </c>
      <c r="BX545" s="431" t="s">
        <v>762</v>
      </c>
      <c r="BY545" s="431" t="s">
        <v>762</v>
      </c>
      <c r="BZ545" s="431" t="s">
        <v>762</v>
      </c>
      <c r="CA545" s="431" t="s">
        <v>762</v>
      </c>
      <c r="CB545" s="431" t="s">
        <v>762</v>
      </c>
      <c r="CC545" s="431" t="s">
        <v>762</v>
      </c>
      <c r="CD545" s="431" t="s">
        <v>762</v>
      </c>
      <c r="CE545" s="431" t="s">
        <v>762</v>
      </c>
      <c r="CF545" s="431" t="s">
        <v>762</v>
      </c>
      <c r="CG545" s="431" t="s">
        <v>762</v>
      </c>
      <c r="CH545" s="431" t="s">
        <v>762</v>
      </c>
      <c r="CI545" s="431" t="s">
        <v>762</v>
      </c>
      <c r="CJ545" s="431" t="s">
        <v>762</v>
      </c>
      <c r="CK545" s="431" t="s">
        <v>762</v>
      </c>
      <c r="CL545" s="431" t="s">
        <v>762</v>
      </c>
    </row>
    <row r="546" spans="1:90" s="432" customFormat="1">
      <c r="A546" s="430" t="s">
        <v>598</v>
      </c>
      <c r="B546" s="430" t="s">
        <v>631</v>
      </c>
      <c r="C546" s="431" t="s">
        <v>762</v>
      </c>
      <c r="D546" s="431" t="s">
        <v>762</v>
      </c>
      <c r="E546" s="431" t="s">
        <v>762</v>
      </c>
      <c r="F546" s="431" t="s">
        <v>762</v>
      </c>
      <c r="G546" s="431" t="s">
        <v>762</v>
      </c>
      <c r="H546" s="431" t="s">
        <v>762</v>
      </c>
      <c r="I546" s="431" t="s">
        <v>762</v>
      </c>
      <c r="J546" s="431" t="s">
        <v>762</v>
      </c>
      <c r="K546" s="431" t="s">
        <v>762</v>
      </c>
      <c r="L546" s="431">
        <v>38</v>
      </c>
      <c r="M546" s="431" t="s">
        <v>762</v>
      </c>
      <c r="N546" s="431" t="s">
        <v>762</v>
      </c>
      <c r="O546" s="431" t="s">
        <v>762</v>
      </c>
      <c r="P546" s="431" t="s">
        <v>762</v>
      </c>
      <c r="Q546" s="431" t="s">
        <v>762</v>
      </c>
      <c r="R546" s="431" t="s">
        <v>762</v>
      </c>
      <c r="S546" s="431" t="s">
        <v>762</v>
      </c>
      <c r="T546" s="431" t="s">
        <v>762</v>
      </c>
      <c r="U546" s="431" t="s">
        <v>762</v>
      </c>
      <c r="V546" s="431">
        <v>48</v>
      </c>
      <c r="W546" s="431">
        <v>61</v>
      </c>
      <c r="X546" s="431">
        <v>73</v>
      </c>
      <c r="Y546" s="431">
        <v>81</v>
      </c>
      <c r="Z546" s="431">
        <v>91</v>
      </c>
      <c r="AA546" s="431">
        <v>99</v>
      </c>
      <c r="AB546" s="431">
        <v>111</v>
      </c>
      <c r="AC546" s="431">
        <v>119</v>
      </c>
      <c r="AD546" s="431">
        <v>130</v>
      </c>
      <c r="AE546" s="431" t="s">
        <v>762</v>
      </c>
      <c r="AF546" s="431" t="s">
        <v>762</v>
      </c>
      <c r="AG546" s="431" t="s">
        <v>762</v>
      </c>
      <c r="AH546" s="431" t="s">
        <v>762</v>
      </c>
      <c r="AI546" s="431" t="s">
        <v>762</v>
      </c>
      <c r="AJ546" s="431" t="s">
        <v>762</v>
      </c>
      <c r="AK546" s="431" t="s">
        <v>762</v>
      </c>
      <c r="AL546" s="431" t="s">
        <v>762</v>
      </c>
      <c r="AM546" s="431" t="s">
        <v>762</v>
      </c>
      <c r="AN546" s="431" t="s">
        <v>762</v>
      </c>
      <c r="AO546" s="431" t="s">
        <v>762</v>
      </c>
      <c r="AP546" s="431" t="s">
        <v>762</v>
      </c>
      <c r="AQ546" s="431" t="s">
        <v>762</v>
      </c>
      <c r="AR546" s="431" t="s">
        <v>762</v>
      </c>
      <c r="AS546" s="431" t="s">
        <v>762</v>
      </c>
      <c r="AT546" s="431" t="s">
        <v>762</v>
      </c>
      <c r="AU546" s="431" t="s">
        <v>762</v>
      </c>
      <c r="AV546" s="431" t="s">
        <v>762</v>
      </c>
      <c r="AW546" s="431" t="s">
        <v>762</v>
      </c>
      <c r="AX546" s="431" t="s">
        <v>762</v>
      </c>
      <c r="AY546" s="431" t="s">
        <v>762</v>
      </c>
      <c r="AZ546" s="431" t="s">
        <v>762</v>
      </c>
      <c r="BA546" s="431" t="s">
        <v>762</v>
      </c>
      <c r="BB546" s="431" t="s">
        <v>762</v>
      </c>
      <c r="BC546" s="431" t="s">
        <v>762</v>
      </c>
      <c r="BD546" s="431" t="s">
        <v>762</v>
      </c>
      <c r="BE546" s="431" t="s">
        <v>762</v>
      </c>
      <c r="BF546" s="431" t="s">
        <v>762</v>
      </c>
      <c r="BG546" s="431" t="s">
        <v>762</v>
      </c>
      <c r="BH546" s="431" t="s">
        <v>762</v>
      </c>
      <c r="BI546" s="431" t="s">
        <v>762</v>
      </c>
      <c r="BJ546" s="431" t="s">
        <v>762</v>
      </c>
      <c r="BK546" s="431" t="s">
        <v>762</v>
      </c>
      <c r="BL546" s="431" t="s">
        <v>762</v>
      </c>
      <c r="BM546" s="431" t="s">
        <v>762</v>
      </c>
      <c r="BN546" s="431" t="s">
        <v>762</v>
      </c>
      <c r="BO546" s="431" t="s">
        <v>762</v>
      </c>
      <c r="BP546" s="431" t="s">
        <v>762</v>
      </c>
      <c r="BQ546" s="431" t="s">
        <v>762</v>
      </c>
      <c r="BR546" s="431" t="s">
        <v>762</v>
      </c>
      <c r="BS546" s="431" t="s">
        <v>762</v>
      </c>
      <c r="BT546" s="431" t="s">
        <v>762</v>
      </c>
      <c r="BU546" s="431" t="s">
        <v>762</v>
      </c>
      <c r="BV546" s="431" t="s">
        <v>762</v>
      </c>
      <c r="BW546" s="431" t="s">
        <v>762</v>
      </c>
      <c r="BX546" s="431" t="s">
        <v>762</v>
      </c>
      <c r="BY546" s="431" t="s">
        <v>762</v>
      </c>
      <c r="BZ546" s="431" t="s">
        <v>762</v>
      </c>
      <c r="CA546" s="431" t="s">
        <v>762</v>
      </c>
      <c r="CB546" s="431" t="s">
        <v>762</v>
      </c>
      <c r="CC546" s="431" t="s">
        <v>762</v>
      </c>
      <c r="CD546" s="431" t="s">
        <v>762</v>
      </c>
      <c r="CE546" s="431" t="s">
        <v>762</v>
      </c>
      <c r="CF546" s="431" t="s">
        <v>762</v>
      </c>
      <c r="CG546" s="431" t="s">
        <v>762</v>
      </c>
      <c r="CH546" s="431" t="s">
        <v>762</v>
      </c>
      <c r="CI546" s="431" t="s">
        <v>762</v>
      </c>
      <c r="CJ546" s="431" t="s">
        <v>762</v>
      </c>
      <c r="CK546" s="431" t="s">
        <v>762</v>
      </c>
      <c r="CL546" s="431" t="s">
        <v>762</v>
      </c>
    </row>
    <row r="547" spans="1:90" s="432" customFormat="1">
      <c r="A547" s="430" t="s">
        <v>599</v>
      </c>
      <c r="B547" s="430" t="s">
        <v>631</v>
      </c>
      <c r="C547" s="431" t="s">
        <v>762</v>
      </c>
      <c r="D547" s="431" t="s">
        <v>762</v>
      </c>
      <c r="E547" s="431" t="s">
        <v>762</v>
      </c>
      <c r="F547" s="431" t="s">
        <v>762</v>
      </c>
      <c r="G547" s="431" t="s">
        <v>762</v>
      </c>
      <c r="H547" s="431" t="s">
        <v>762</v>
      </c>
      <c r="I547" s="431" t="s">
        <v>762</v>
      </c>
      <c r="J547" s="431" t="s">
        <v>762</v>
      </c>
      <c r="K547" s="431" t="s">
        <v>762</v>
      </c>
      <c r="L547" s="431">
        <v>27</v>
      </c>
      <c r="M547" s="431" t="s">
        <v>762</v>
      </c>
      <c r="N547" s="431" t="s">
        <v>762</v>
      </c>
      <c r="O547" s="431" t="s">
        <v>762</v>
      </c>
      <c r="P547" s="431" t="s">
        <v>762</v>
      </c>
      <c r="Q547" s="431" t="s">
        <v>762</v>
      </c>
      <c r="R547" s="431" t="s">
        <v>762</v>
      </c>
      <c r="S547" s="431" t="s">
        <v>762</v>
      </c>
      <c r="T547" s="431" t="s">
        <v>762</v>
      </c>
      <c r="U547" s="431" t="s">
        <v>762</v>
      </c>
      <c r="V547" s="431">
        <v>34</v>
      </c>
      <c r="W547" s="431">
        <v>41</v>
      </c>
      <c r="X547" s="431">
        <v>49</v>
      </c>
      <c r="Y547" s="431">
        <v>55</v>
      </c>
      <c r="Z547" s="431">
        <v>63</v>
      </c>
      <c r="AA547" s="431">
        <v>70</v>
      </c>
      <c r="AB547" s="431">
        <v>77</v>
      </c>
      <c r="AC547" s="431">
        <v>84</v>
      </c>
      <c r="AD547" s="431">
        <v>91</v>
      </c>
      <c r="AE547" s="431" t="s">
        <v>762</v>
      </c>
      <c r="AF547" s="431" t="s">
        <v>762</v>
      </c>
      <c r="AG547" s="431">
        <v>172</v>
      </c>
      <c r="AH547" s="431" t="s">
        <v>762</v>
      </c>
      <c r="AI547" s="431">
        <v>172</v>
      </c>
      <c r="AJ547" s="431" t="s">
        <v>762</v>
      </c>
      <c r="AK547" s="431" t="s">
        <v>762</v>
      </c>
      <c r="AL547" s="431">
        <v>172</v>
      </c>
      <c r="AM547" s="431" t="s">
        <v>762</v>
      </c>
      <c r="AN547" s="431" t="s">
        <v>762</v>
      </c>
      <c r="AO547" s="431" t="s">
        <v>762</v>
      </c>
      <c r="AP547" s="431">
        <v>172</v>
      </c>
      <c r="AQ547" s="431" t="s">
        <v>762</v>
      </c>
      <c r="AR547" s="431" t="s">
        <v>762</v>
      </c>
      <c r="AS547" s="431" t="s">
        <v>762</v>
      </c>
      <c r="AT547" s="431">
        <v>172</v>
      </c>
      <c r="AU547" s="431" t="s">
        <v>762</v>
      </c>
      <c r="AV547" s="431" t="s">
        <v>762</v>
      </c>
      <c r="AW547" s="431" t="s">
        <v>762</v>
      </c>
      <c r="AX547" s="431" t="s">
        <v>762</v>
      </c>
      <c r="AY547" s="431" t="s">
        <v>762</v>
      </c>
      <c r="AZ547" s="431" t="s">
        <v>762</v>
      </c>
      <c r="BA547" s="431" t="s">
        <v>762</v>
      </c>
      <c r="BB547" s="431" t="s">
        <v>762</v>
      </c>
      <c r="BC547" s="431" t="s">
        <v>762</v>
      </c>
      <c r="BD547" s="431" t="s">
        <v>762</v>
      </c>
      <c r="BE547" s="431" t="s">
        <v>762</v>
      </c>
      <c r="BF547" s="431">
        <v>281</v>
      </c>
      <c r="BG547" s="431" t="s">
        <v>762</v>
      </c>
      <c r="BH547" s="431" t="s">
        <v>762</v>
      </c>
      <c r="BI547" s="431" t="s">
        <v>762</v>
      </c>
      <c r="BJ547" s="431" t="s">
        <v>762</v>
      </c>
      <c r="BK547" s="431" t="s">
        <v>762</v>
      </c>
      <c r="BL547" s="431">
        <v>376</v>
      </c>
      <c r="BM547" s="431" t="s">
        <v>762</v>
      </c>
      <c r="BN547" s="431" t="s">
        <v>762</v>
      </c>
      <c r="BO547" s="431" t="s">
        <v>762</v>
      </c>
      <c r="BP547" s="431" t="s">
        <v>762</v>
      </c>
      <c r="BQ547" s="431" t="s">
        <v>762</v>
      </c>
      <c r="BR547" s="431" t="s">
        <v>762</v>
      </c>
      <c r="BS547" s="431" t="s">
        <v>762</v>
      </c>
      <c r="BT547" s="431" t="s">
        <v>762</v>
      </c>
      <c r="BU547" s="431" t="s">
        <v>762</v>
      </c>
      <c r="BV547" s="431" t="s">
        <v>762</v>
      </c>
      <c r="BW547" s="431" t="s">
        <v>762</v>
      </c>
      <c r="BX547" s="431" t="s">
        <v>762</v>
      </c>
      <c r="BY547" s="431" t="s">
        <v>762</v>
      </c>
      <c r="BZ547" s="431" t="s">
        <v>762</v>
      </c>
      <c r="CA547" s="431" t="s">
        <v>762</v>
      </c>
      <c r="CB547" s="431" t="s">
        <v>762</v>
      </c>
      <c r="CC547" s="431" t="s">
        <v>762</v>
      </c>
      <c r="CD547" s="431" t="s">
        <v>762</v>
      </c>
      <c r="CE547" s="431" t="s">
        <v>762</v>
      </c>
      <c r="CF547" s="431" t="s">
        <v>762</v>
      </c>
      <c r="CG547" s="431" t="s">
        <v>762</v>
      </c>
      <c r="CH547" s="431" t="s">
        <v>762</v>
      </c>
      <c r="CI547" s="431" t="s">
        <v>762</v>
      </c>
      <c r="CJ547" s="431" t="s">
        <v>762</v>
      </c>
      <c r="CK547" s="431" t="s">
        <v>762</v>
      </c>
      <c r="CL547" s="431" t="s">
        <v>762</v>
      </c>
    </row>
    <row r="548" spans="1:90" s="432" customFormat="1">
      <c r="A548" s="430" t="s">
        <v>600</v>
      </c>
      <c r="B548" s="430" t="s">
        <v>631</v>
      </c>
      <c r="C548" s="431" t="s">
        <v>762</v>
      </c>
      <c r="D548" s="431" t="s">
        <v>762</v>
      </c>
      <c r="E548" s="431" t="s">
        <v>762</v>
      </c>
      <c r="F548" s="431" t="s">
        <v>762</v>
      </c>
      <c r="G548" s="431" t="s">
        <v>762</v>
      </c>
      <c r="H548" s="431" t="s">
        <v>762</v>
      </c>
      <c r="I548" s="431" t="s">
        <v>762</v>
      </c>
      <c r="J548" s="431" t="s">
        <v>762</v>
      </c>
      <c r="K548" s="431" t="s">
        <v>762</v>
      </c>
      <c r="L548" s="431">
        <v>39</v>
      </c>
      <c r="M548" s="431" t="s">
        <v>762</v>
      </c>
      <c r="N548" s="431" t="s">
        <v>762</v>
      </c>
      <c r="O548" s="431" t="s">
        <v>762</v>
      </c>
      <c r="P548" s="431" t="s">
        <v>762</v>
      </c>
      <c r="Q548" s="431" t="s">
        <v>762</v>
      </c>
      <c r="R548" s="431" t="s">
        <v>762</v>
      </c>
      <c r="S548" s="431" t="s">
        <v>762</v>
      </c>
      <c r="T548" s="431" t="s">
        <v>762</v>
      </c>
      <c r="U548" s="431" t="s">
        <v>762</v>
      </c>
      <c r="V548" s="431">
        <v>50</v>
      </c>
      <c r="W548" s="431">
        <v>61</v>
      </c>
      <c r="X548" s="431">
        <v>71</v>
      </c>
      <c r="Y548" s="431">
        <v>81</v>
      </c>
      <c r="Z548" s="431">
        <v>92</v>
      </c>
      <c r="AA548" s="431">
        <v>103</v>
      </c>
      <c r="AB548" s="431">
        <v>114</v>
      </c>
      <c r="AC548" s="431">
        <v>124</v>
      </c>
      <c r="AD548" s="431">
        <v>135</v>
      </c>
      <c r="AE548" s="431" t="s">
        <v>762</v>
      </c>
      <c r="AF548" s="431" t="s">
        <v>762</v>
      </c>
      <c r="AG548" s="431" t="s">
        <v>762</v>
      </c>
      <c r="AH548" s="431" t="s">
        <v>762</v>
      </c>
      <c r="AI548" s="431" t="s">
        <v>762</v>
      </c>
      <c r="AJ548" s="431" t="s">
        <v>762</v>
      </c>
      <c r="AK548" s="431" t="s">
        <v>762</v>
      </c>
      <c r="AL548" s="431" t="s">
        <v>762</v>
      </c>
      <c r="AM548" s="431" t="s">
        <v>762</v>
      </c>
      <c r="AN548" s="431" t="s">
        <v>762</v>
      </c>
      <c r="AO548" s="431" t="s">
        <v>762</v>
      </c>
      <c r="AP548" s="431" t="s">
        <v>762</v>
      </c>
      <c r="AQ548" s="431" t="s">
        <v>762</v>
      </c>
      <c r="AR548" s="431" t="s">
        <v>762</v>
      </c>
      <c r="AS548" s="431" t="s">
        <v>762</v>
      </c>
      <c r="AT548" s="431" t="s">
        <v>762</v>
      </c>
      <c r="AU548" s="431" t="s">
        <v>762</v>
      </c>
      <c r="AV548" s="431" t="s">
        <v>762</v>
      </c>
      <c r="AW548" s="431" t="s">
        <v>762</v>
      </c>
      <c r="AX548" s="431" t="s">
        <v>762</v>
      </c>
      <c r="AY548" s="431" t="s">
        <v>762</v>
      </c>
      <c r="AZ548" s="431" t="s">
        <v>762</v>
      </c>
      <c r="BA548" s="431" t="s">
        <v>762</v>
      </c>
      <c r="BB548" s="431" t="s">
        <v>762</v>
      </c>
      <c r="BC548" s="431" t="s">
        <v>762</v>
      </c>
      <c r="BD548" s="431" t="s">
        <v>762</v>
      </c>
      <c r="BE548" s="431" t="s">
        <v>762</v>
      </c>
      <c r="BF548" s="431" t="s">
        <v>762</v>
      </c>
      <c r="BG548" s="431" t="s">
        <v>762</v>
      </c>
      <c r="BH548" s="431" t="s">
        <v>762</v>
      </c>
      <c r="BI548" s="431" t="s">
        <v>762</v>
      </c>
      <c r="BJ548" s="431" t="s">
        <v>762</v>
      </c>
      <c r="BK548" s="431" t="s">
        <v>762</v>
      </c>
      <c r="BL548" s="431" t="s">
        <v>762</v>
      </c>
      <c r="BM548" s="431" t="s">
        <v>762</v>
      </c>
      <c r="BN548" s="431" t="s">
        <v>762</v>
      </c>
      <c r="BO548" s="431" t="s">
        <v>762</v>
      </c>
      <c r="BP548" s="431" t="s">
        <v>762</v>
      </c>
      <c r="BQ548" s="431" t="s">
        <v>762</v>
      </c>
      <c r="BR548" s="431" t="s">
        <v>762</v>
      </c>
      <c r="BS548" s="431" t="s">
        <v>762</v>
      </c>
      <c r="BT548" s="431" t="s">
        <v>762</v>
      </c>
      <c r="BU548" s="431" t="s">
        <v>762</v>
      </c>
      <c r="BV548" s="431" t="s">
        <v>762</v>
      </c>
      <c r="BW548" s="431" t="s">
        <v>762</v>
      </c>
      <c r="BX548" s="431" t="s">
        <v>762</v>
      </c>
      <c r="BY548" s="431" t="s">
        <v>762</v>
      </c>
      <c r="BZ548" s="431" t="s">
        <v>762</v>
      </c>
      <c r="CA548" s="431" t="s">
        <v>762</v>
      </c>
      <c r="CB548" s="431" t="s">
        <v>762</v>
      </c>
      <c r="CC548" s="431" t="s">
        <v>762</v>
      </c>
      <c r="CD548" s="431" t="s">
        <v>762</v>
      </c>
      <c r="CE548" s="431" t="s">
        <v>762</v>
      </c>
      <c r="CF548" s="431" t="s">
        <v>762</v>
      </c>
      <c r="CG548" s="431" t="s">
        <v>762</v>
      </c>
      <c r="CH548" s="431" t="s">
        <v>762</v>
      </c>
      <c r="CI548" s="431" t="s">
        <v>762</v>
      </c>
      <c r="CJ548" s="431" t="s">
        <v>762</v>
      </c>
      <c r="CK548" s="431" t="s">
        <v>762</v>
      </c>
      <c r="CL548" s="431" t="s">
        <v>762</v>
      </c>
    </row>
    <row r="549" spans="1:90" s="432" customFormat="1">
      <c r="A549" s="430" t="s">
        <v>601</v>
      </c>
      <c r="B549" s="430" t="s">
        <v>631</v>
      </c>
      <c r="C549" s="431" t="s">
        <v>762</v>
      </c>
      <c r="D549" s="431" t="s">
        <v>762</v>
      </c>
      <c r="E549" s="431" t="s">
        <v>762</v>
      </c>
      <c r="F549" s="431" t="s">
        <v>762</v>
      </c>
      <c r="G549" s="431" t="s">
        <v>762</v>
      </c>
      <c r="H549" s="431" t="s">
        <v>762</v>
      </c>
      <c r="I549" s="431" t="s">
        <v>762</v>
      </c>
      <c r="J549" s="431" t="s">
        <v>762</v>
      </c>
      <c r="K549" s="431" t="s">
        <v>762</v>
      </c>
      <c r="L549" s="431">
        <v>59</v>
      </c>
      <c r="M549" s="431" t="s">
        <v>762</v>
      </c>
      <c r="N549" s="431" t="s">
        <v>762</v>
      </c>
      <c r="O549" s="431" t="s">
        <v>762</v>
      </c>
      <c r="P549" s="431" t="s">
        <v>762</v>
      </c>
      <c r="Q549" s="431" t="s">
        <v>762</v>
      </c>
      <c r="R549" s="431" t="s">
        <v>762</v>
      </c>
      <c r="S549" s="431" t="s">
        <v>762</v>
      </c>
      <c r="T549" s="431" t="s">
        <v>762</v>
      </c>
      <c r="U549" s="431" t="s">
        <v>762</v>
      </c>
      <c r="V549" s="431">
        <v>61</v>
      </c>
      <c r="W549" s="431">
        <v>63</v>
      </c>
      <c r="X549" s="431">
        <v>65</v>
      </c>
      <c r="Y549" s="431">
        <v>68</v>
      </c>
      <c r="Z549" s="431">
        <v>70</v>
      </c>
      <c r="AA549" s="431">
        <v>73</v>
      </c>
      <c r="AB549" s="431">
        <v>79</v>
      </c>
      <c r="AC549" s="431">
        <v>81</v>
      </c>
      <c r="AD549" s="431">
        <v>87</v>
      </c>
      <c r="AE549" s="431" t="s">
        <v>762</v>
      </c>
      <c r="AF549" s="431" t="s">
        <v>762</v>
      </c>
      <c r="AG549" s="431">
        <v>143</v>
      </c>
      <c r="AH549" s="431" t="s">
        <v>762</v>
      </c>
      <c r="AI549" s="431">
        <v>143</v>
      </c>
      <c r="AJ549" s="431" t="s">
        <v>762</v>
      </c>
      <c r="AK549" s="431" t="s">
        <v>762</v>
      </c>
      <c r="AL549" s="431">
        <v>143</v>
      </c>
      <c r="AM549" s="431" t="s">
        <v>762</v>
      </c>
      <c r="AN549" s="431" t="s">
        <v>762</v>
      </c>
      <c r="AO549" s="431" t="s">
        <v>762</v>
      </c>
      <c r="AP549" s="431">
        <v>143</v>
      </c>
      <c r="AQ549" s="431" t="s">
        <v>762</v>
      </c>
      <c r="AR549" s="431" t="s">
        <v>762</v>
      </c>
      <c r="AS549" s="431" t="s">
        <v>762</v>
      </c>
      <c r="AT549" s="431">
        <v>143</v>
      </c>
      <c r="AU549" s="431" t="s">
        <v>762</v>
      </c>
      <c r="AV549" s="431" t="s">
        <v>762</v>
      </c>
      <c r="AW549" s="431" t="s">
        <v>762</v>
      </c>
      <c r="AX549" s="431" t="s">
        <v>762</v>
      </c>
      <c r="AY549" s="431" t="s">
        <v>762</v>
      </c>
      <c r="AZ549" s="431" t="s">
        <v>762</v>
      </c>
      <c r="BA549" s="431" t="s">
        <v>762</v>
      </c>
      <c r="BB549" s="431" t="s">
        <v>762</v>
      </c>
      <c r="BC549" s="431" t="s">
        <v>762</v>
      </c>
      <c r="BD549" s="431" t="s">
        <v>762</v>
      </c>
      <c r="BE549" s="431" t="s">
        <v>762</v>
      </c>
      <c r="BF549" s="431">
        <v>221</v>
      </c>
      <c r="BG549" s="431" t="s">
        <v>762</v>
      </c>
      <c r="BH549" s="431" t="s">
        <v>762</v>
      </c>
      <c r="BI549" s="431" t="s">
        <v>762</v>
      </c>
      <c r="BJ549" s="431" t="s">
        <v>762</v>
      </c>
      <c r="BK549" s="431" t="s">
        <v>762</v>
      </c>
      <c r="BL549" s="431">
        <v>280</v>
      </c>
      <c r="BM549" s="431" t="s">
        <v>762</v>
      </c>
      <c r="BN549" s="431" t="s">
        <v>762</v>
      </c>
      <c r="BO549" s="431" t="s">
        <v>762</v>
      </c>
      <c r="BP549" s="431" t="s">
        <v>762</v>
      </c>
      <c r="BQ549" s="431" t="s">
        <v>762</v>
      </c>
      <c r="BR549" s="431">
        <v>268</v>
      </c>
      <c r="BS549" s="431" t="s">
        <v>762</v>
      </c>
      <c r="BT549" s="431" t="s">
        <v>762</v>
      </c>
      <c r="BU549" s="431" t="s">
        <v>762</v>
      </c>
      <c r="BV549" s="431" t="s">
        <v>762</v>
      </c>
      <c r="BW549" s="431" t="s">
        <v>762</v>
      </c>
      <c r="BX549" s="431" t="s">
        <v>762</v>
      </c>
      <c r="BY549" s="431" t="s">
        <v>762</v>
      </c>
      <c r="BZ549" s="431" t="s">
        <v>762</v>
      </c>
      <c r="CA549" s="431" t="s">
        <v>762</v>
      </c>
      <c r="CB549" s="431" t="s">
        <v>762</v>
      </c>
      <c r="CC549" s="431" t="s">
        <v>762</v>
      </c>
      <c r="CD549" s="431" t="s">
        <v>762</v>
      </c>
      <c r="CE549" s="431" t="s">
        <v>762</v>
      </c>
      <c r="CF549" s="431" t="s">
        <v>762</v>
      </c>
      <c r="CG549" s="431" t="s">
        <v>762</v>
      </c>
      <c r="CH549" s="431" t="s">
        <v>762</v>
      </c>
      <c r="CI549" s="431" t="s">
        <v>762</v>
      </c>
      <c r="CJ549" s="431" t="s">
        <v>762</v>
      </c>
      <c r="CK549" s="431" t="s">
        <v>762</v>
      </c>
      <c r="CL549" s="431" t="s">
        <v>762</v>
      </c>
    </row>
    <row r="550" spans="1:90" s="432" customFormat="1">
      <c r="A550" s="430" t="s">
        <v>602</v>
      </c>
      <c r="B550" s="430" t="s">
        <v>631</v>
      </c>
      <c r="C550" s="431" t="s">
        <v>762</v>
      </c>
      <c r="D550" s="431" t="s">
        <v>762</v>
      </c>
      <c r="E550" s="431" t="s">
        <v>762</v>
      </c>
      <c r="F550" s="431" t="s">
        <v>762</v>
      </c>
      <c r="G550" s="431" t="s">
        <v>762</v>
      </c>
      <c r="H550" s="431" t="s">
        <v>762</v>
      </c>
      <c r="I550" s="431" t="s">
        <v>762</v>
      </c>
      <c r="J550" s="431" t="s">
        <v>762</v>
      </c>
      <c r="K550" s="431" t="s">
        <v>762</v>
      </c>
      <c r="L550" s="431">
        <v>21</v>
      </c>
      <c r="M550" s="431" t="s">
        <v>762</v>
      </c>
      <c r="N550" s="431" t="s">
        <v>762</v>
      </c>
      <c r="O550" s="431" t="s">
        <v>762</v>
      </c>
      <c r="P550" s="431" t="s">
        <v>762</v>
      </c>
      <c r="Q550" s="431" t="s">
        <v>762</v>
      </c>
      <c r="R550" s="431" t="s">
        <v>762</v>
      </c>
      <c r="S550" s="431" t="s">
        <v>762</v>
      </c>
      <c r="T550" s="431" t="s">
        <v>762</v>
      </c>
      <c r="U550" s="431" t="s">
        <v>762</v>
      </c>
      <c r="V550" s="431">
        <v>25</v>
      </c>
      <c r="W550" s="431">
        <v>29</v>
      </c>
      <c r="X550" s="431">
        <v>30</v>
      </c>
      <c r="Y550" s="431">
        <v>34</v>
      </c>
      <c r="Z550" s="431">
        <v>35</v>
      </c>
      <c r="AA550" s="431">
        <v>39</v>
      </c>
      <c r="AB550" s="431">
        <v>40</v>
      </c>
      <c r="AC550" s="431">
        <v>42</v>
      </c>
      <c r="AD550" s="431">
        <v>43</v>
      </c>
      <c r="AE550" s="431" t="s">
        <v>762</v>
      </c>
      <c r="AF550" s="431" t="s">
        <v>762</v>
      </c>
      <c r="AG550" s="431">
        <v>116</v>
      </c>
      <c r="AH550" s="431" t="s">
        <v>762</v>
      </c>
      <c r="AI550" s="431">
        <v>116</v>
      </c>
      <c r="AJ550" s="431" t="s">
        <v>762</v>
      </c>
      <c r="AK550" s="431" t="s">
        <v>762</v>
      </c>
      <c r="AL550" s="431">
        <v>116</v>
      </c>
      <c r="AM550" s="431" t="s">
        <v>762</v>
      </c>
      <c r="AN550" s="431" t="s">
        <v>762</v>
      </c>
      <c r="AO550" s="431" t="s">
        <v>762</v>
      </c>
      <c r="AP550" s="431">
        <v>116</v>
      </c>
      <c r="AQ550" s="431" t="s">
        <v>762</v>
      </c>
      <c r="AR550" s="431" t="s">
        <v>762</v>
      </c>
      <c r="AS550" s="431" t="s">
        <v>762</v>
      </c>
      <c r="AT550" s="431">
        <v>116</v>
      </c>
      <c r="AU550" s="431" t="s">
        <v>762</v>
      </c>
      <c r="AV550" s="431" t="s">
        <v>762</v>
      </c>
      <c r="AW550" s="431" t="s">
        <v>762</v>
      </c>
      <c r="AX550" s="431" t="s">
        <v>762</v>
      </c>
      <c r="AY550" s="431" t="s">
        <v>762</v>
      </c>
      <c r="AZ550" s="431" t="s">
        <v>762</v>
      </c>
      <c r="BA550" s="431" t="s">
        <v>762</v>
      </c>
      <c r="BB550" s="431" t="s">
        <v>762</v>
      </c>
      <c r="BC550" s="431" t="s">
        <v>762</v>
      </c>
      <c r="BD550" s="431" t="s">
        <v>762</v>
      </c>
      <c r="BE550" s="431" t="s">
        <v>762</v>
      </c>
      <c r="BF550" s="431">
        <v>180</v>
      </c>
      <c r="BG550" s="431" t="s">
        <v>762</v>
      </c>
      <c r="BH550" s="431" t="s">
        <v>762</v>
      </c>
      <c r="BI550" s="431" t="s">
        <v>762</v>
      </c>
      <c r="BJ550" s="431" t="s">
        <v>762</v>
      </c>
      <c r="BK550" s="431" t="s">
        <v>762</v>
      </c>
      <c r="BL550" s="431">
        <v>227</v>
      </c>
      <c r="BM550" s="431" t="s">
        <v>762</v>
      </c>
      <c r="BN550" s="431" t="s">
        <v>762</v>
      </c>
      <c r="BO550" s="431" t="s">
        <v>762</v>
      </c>
      <c r="BP550" s="431" t="s">
        <v>762</v>
      </c>
      <c r="BQ550" s="431" t="s">
        <v>762</v>
      </c>
      <c r="BR550" s="431" t="s">
        <v>762</v>
      </c>
      <c r="BS550" s="431" t="s">
        <v>762</v>
      </c>
      <c r="BT550" s="431" t="s">
        <v>762</v>
      </c>
      <c r="BU550" s="431" t="s">
        <v>762</v>
      </c>
      <c r="BV550" s="431" t="s">
        <v>762</v>
      </c>
      <c r="BW550" s="431" t="s">
        <v>762</v>
      </c>
      <c r="BX550" s="431" t="s">
        <v>762</v>
      </c>
      <c r="BY550" s="431" t="s">
        <v>762</v>
      </c>
      <c r="BZ550" s="431" t="s">
        <v>762</v>
      </c>
      <c r="CA550" s="431" t="s">
        <v>762</v>
      </c>
      <c r="CB550" s="431" t="s">
        <v>762</v>
      </c>
      <c r="CC550" s="431" t="s">
        <v>762</v>
      </c>
      <c r="CD550" s="431" t="s">
        <v>762</v>
      </c>
      <c r="CE550" s="431" t="s">
        <v>762</v>
      </c>
      <c r="CF550" s="431" t="s">
        <v>762</v>
      </c>
      <c r="CG550" s="431" t="s">
        <v>762</v>
      </c>
      <c r="CH550" s="431" t="s">
        <v>762</v>
      </c>
      <c r="CI550" s="431" t="s">
        <v>762</v>
      </c>
      <c r="CJ550" s="431" t="s">
        <v>762</v>
      </c>
      <c r="CK550" s="431" t="s">
        <v>762</v>
      </c>
      <c r="CL550" s="431" t="s">
        <v>762</v>
      </c>
    </row>
    <row r="551" spans="1:90" s="432" customFormat="1">
      <c r="A551" s="430" t="s">
        <v>603</v>
      </c>
      <c r="B551" s="430" t="s">
        <v>631</v>
      </c>
      <c r="C551" s="431" t="s">
        <v>762</v>
      </c>
      <c r="D551" s="431" t="s">
        <v>762</v>
      </c>
      <c r="E551" s="431" t="s">
        <v>762</v>
      </c>
      <c r="F551" s="431" t="s">
        <v>762</v>
      </c>
      <c r="G551" s="431" t="s">
        <v>762</v>
      </c>
      <c r="H551" s="431" t="s">
        <v>762</v>
      </c>
      <c r="I551" s="431" t="s">
        <v>762</v>
      </c>
      <c r="J551" s="431" t="s">
        <v>762</v>
      </c>
      <c r="K551" s="431" t="s">
        <v>762</v>
      </c>
      <c r="L551" s="431">
        <v>32</v>
      </c>
      <c r="M551" s="431" t="s">
        <v>762</v>
      </c>
      <c r="N551" s="431" t="s">
        <v>762</v>
      </c>
      <c r="O551" s="431" t="s">
        <v>762</v>
      </c>
      <c r="P551" s="431" t="s">
        <v>762</v>
      </c>
      <c r="Q551" s="431" t="s">
        <v>762</v>
      </c>
      <c r="R551" s="431" t="s">
        <v>762</v>
      </c>
      <c r="S551" s="431" t="s">
        <v>762</v>
      </c>
      <c r="T551" s="431" t="s">
        <v>762</v>
      </c>
      <c r="U551" s="431" t="s">
        <v>762</v>
      </c>
      <c r="V551" s="431">
        <v>36</v>
      </c>
      <c r="W551" s="431">
        <v>41</v>
      </c>
      <c r="X551" s="431">
        <v>45</v>
      </c>
      <c r="Y551" s="431">
        <v>50</v>
      </c>
      <c r="Z551" s="431">
        <v>55</v>
      </c>
      <c r="AA551" s="431">
        <v>60</v>
      </c>
      <c r="AB551" s="431">
        <v>65</v>
      </c>
      <c r="AC551" s="431">
        <v>70</v>
      </c>
      <c r="AD551" s="431">
        <v>75</v>
      </c>
      <c r="AE551" s="431" t="s">
        <v>762</v>
      </c>
      <c r="AF551" s="431" t="s">
        <v>762</v>
      </c>
      <c r="AG551" s="431">
        <v>143</v>
      </c>
      <c r="AH551" s="431" t="s">
        <v>762</v>
      </c>
      <c r="AI551" s="431">
        <v>143</v>
      </c>
      <c r="AJ551" s="431" t="s">
        <v>762</v>
      </c>
      <c r="AK551" s="431" t="s">
        <v>762</v>
      </c>
      <c r="AL551" s="431">
        <v>143</v>
      </c>
      <c r="AM551" s="431" t="s">
        <v>762</v>
      </c>
      <c r="AN551" s="431" t="s">
        <v>762</v>
      </c>
      <c r="AO551" s="431" t="s">
        <v>762</v>
      </c>
      <c r="AP551" s="431">
        <v>143</v>
      </c>
      <c r="AQ551" s="431" t="s">
        <v>762</v>
      </c>
      <c r="AR551" s="431" t="s">
        <v>762</v>
      </c>
      <c r="AS551" s="431" t="s">
        <v>762</v>
      </c>
      <c r="AT551" s="431">
        <v>143</v>
      </c>
      <c r="AU551" s="431" t="s">
        <v>762</v>
      </c>
      <c r="AV551" s="431" t="s">
        <v>762</v>
      </c>
      <c r="AW551" s="431" t="s">
        <v>762</v>
      </c>
      <c r="AX551" s="431" t="s">
        <v>762</v>
      </c>
      <c r="AY551" s="431" t="s">
        <v>762</v>
      </c>
      <c r="AZ551" s="431" t="s">
        <v>762</v>
      </c>
      <c r="BA551" s="431" t="s">
        <v>762</v>
      </c>
      <c r="BB551" s="431" t="s">
        <v>762</v>
      </c>
      <c r="BC551" s="431" t="s">
        <v>762</v>
      </c>
      <c r="BD551" s="431" t="s">
        <v>762</v>
      </c>
      <c r="BE551" s="431" t="s">
        <v>762</v>
      </c>
      <c r="BF551" s="431">
        <v>221</v>
      </c>
      <c r="BG551" s="431" t="s">
        <v>762</v>
      </c>
      <c r="BH551" s="431" t="s">
        <v>762</v>
      </c>
      <c r="BI551" s="431" t="s">
        <v>762</v>
      </c>
      <c r="BJ551" s="431" t="s">
        <v>762</v>
      </c>
      <c r="BK551" s="431" t="s">
        <v>762</v>
      </c>
      <c r="BL551" s="431">
        <v>280</v>
      </c>
      <c r="BM551" s="431" t="s">
        <v>762</v>
      </c>
      <c r="BN551" s="431" t="s">
        <v>762</v>
      </c>
      <c r="BO551" s="431" t="s">
        <v>762</v>
      </c>
      <c r="BP551" s="431" t="s">
        <v>762</v>
      </c>
      <c r="BQ551" s="431" t="s">
        <v>762</v>
      </c>
      <c r="BR551" s="431" t="s">
        <v>762</v>
      </c>
      <c r="BS551" s="431" t="s">
        <v>762</v>
      </c>
      <c r="BT551" s="431" t="s">
        <v>762</v>
      </c>
      <c r="BU551" s="431" t="s">
        <v>762</v>
      </c>
      <c r="BV551" s="431" t="s">
        <v>762</v>
      </c>
      <c r="BW551" s="431" t="s">
        <v>762</v>
      </c>
      <c r="BX551" s="431" t="s">
        <v>762</v>
      </c>
      <c r="BY551" s="431" t="s">
        <v>762</v>
      </c>
      <c r="BZ551" s="431" t="s">
        <v>762</v>
      </c>
      <c r="CA551" s="431" t="s">
        <v>762</v>
      </c>
      <c r="CB551" s="431" t="s">
        <v>762</v>
      </c>
      <c r="CC551" s="431" t="s">
        <v>762</v>
      </c>
      <c r="CD551" s="431" t="s">
        <v>762</v>
      </c>
      <c r="CE551" s="431" t="s">
        <v>762</v>
      </c>
      <c r="CF551" s="431" t="s">
        <v>762</v>
      </c>
      <c r="CG551" s="431" t="s">
        <v>762</v>
      </c>
      <c r="CH551" s="431" t="s">
        <v>762</v>
      </c>
      <c r="CI551" s="431" t="s">
        <v>762</v>
      </c>
      <c r="CJ551" s="431" t="s">
        <v>762</v>
      </c>
      <c r="CK551" s="431" t="s">
        <v>762</v>
      </c>
      <c r="CL551" s="431" t="s">
        <v>762</v>
      </c>
    </row>
    <row r="552" spans="1:90" s="432" customFormat="1">
      <c r="A552" s="430" t="s">
        <v>604</v>
      </c>
      <c r="B552" s="430" t="s">
        <v>631</v>
      </c>
      <c r="C552" s="431" t="s">
        <v>762</v>
      </c>
      <c r="D552" s="431" t="s">
        <v>762</v>
      </c>
      <c r="E552" s="431" t="s">
        <v>762</v>
      </c>
      <c r="F552" s="431" t="s">
        <v>762</v>
      </c>
      <c r="G552" s="431" t="s">
        <v>762</v>
      </c>
      <c r="H552" s="431" t="s">
        <v>762</v>
      </c>
      <c r="I552" s="431" t="s">
        <v>762</v>
      </c>
      <c r="J552" s="431" t="s">
        <v>762</v>
      </c>
      <c r="K552" s="431" t="s">
        <v>762</v>
      </c>
      <c r="L552" s="431">
        <v>45</v>
      </c>
      <c r="M552" s="431" t="s">
        <v>762</v>
      </c>
      <c r="N552" s="431" t="s">
        <v>762</v>
      </c>
      <c r="O552" s="431" t="s">
        <v>762</v>
      </c>
      <c r="P552" s="431" t="s">
        <v>762</v>
      </c>
      <c r="Q552" s="431" t="s">
        <v>762</v>
      </c>
      <c r="R552" s="431" t="s">
        <v>762</v>
      </c>
      <c r="S552" s="431" t="s">
        <v>762</v>
      </c>
      <c r="T552" s="431" t="s">
        <v>762</v>
      </c>
      <c r="U552" s="431" t="s">
        <v>762</v>
      </c>
      <c r="V552" s="431">
        <v>47</v>
      </c>
      <c r="W552" s="431">
        <v>49</v>
      </c>
      <c r="X552" s="431">
        <v>51</v>
      </c>
      <c r="Y552" s="431">
        <v>54</v>
      </c>
      <c r="Z552" s="431">
        <v>56</v>
      </c>
      <c r="AA552" s="431">
        <v>59</v>
      </c>
      <c r="AB552" s="431">
        <v>65</v>
      </c>
      <c r="AC552" s="431">
        <v>67</v>
      </c>
      <c r="AD552" s="431">
        <v>73</v>
      </c>
      <c r="AE552" s="431" t="s">
        <v>762</v>
      </c>
      <c r="AF552" s="431" t="s">
        <v>762</v>
      </c>
      <c r="AG552" s="431">
        <v>141</v>
      </c>
      <c r="AH552" s="431" t="s">
        <v>762</v>
      </c>
      <c r="AI552" s="431">
        <v>141</v>
      </c>
      <c r="AJ552" s="431" t="s">
        <v>762</v>
      </c>
      <c r="AK552" s="431" t="s">
        <v>762</v>
      </c>
      <c r="AL552" s="431">
        <v>141</v>
      </c>
      <c r="AM552" s="431" t="s">
        <v>762</v>
      </c>
      <c r="AN552" s="431" t="s">
        <v>762</v>
      </c>
      <c r="AO552" s="431" t="s">
        <v>762</v>
      </c>
      <c r="AP552" s="431">
        <v>141</v>
      </c>
      <c r="AQ552" s="431" t="s">
        <v>762</v>
      </c>
      <c r="AR552" s="431" t="s">
        <v>762</v>
      </c>
      <c r="AS552" s="431" t="s">
        <v>762</v>
      </c>
      <c r="AT552" s="431">
        <v>141</v>
      </c>
      <c r="AU552" s="431" t="s">
        <v>762</v>
      </c>
      <c r="AV552" s="431" t="s">
        <v>762</v>
      </c>
      <c r="AW552" s="431" t="s">
        <v>762</v>
      </c>
      <c r="AX552" s="431" t="s">
        <v>762</v>
      </c>
      <c r="AY552" s="431" t="s">
        <v>762</v>
      </c>
      <c r="AZ552" s="431" t="s">
        <v>762</v>
      </c>
      <c r="BA552" s="431" t="s">
        <v>762</v>
      </c>
      <c r="BB552" s="431" t="s">
        <v>762</v>
      </c>
      <c r="BC552" s="431" t="s">
        <v>762</v>
      </c>
      <c r="BD552" s="431" t="s">
        <v>762</v>
      </c>
      <c r="BE552" s="431" t="s">
        <v>762</v>
      </c>
      <c r="BF552" s="431">
        <v>216</v>
      </c>
      <c r="BG552" s="431" t="s">
        <v>762</v>
      </c>
      <c r="BH552" s="431" t="s">
        <v>762</v>
      </c>
      <c r="BI552" s="431" t="s">
        <v>762</v>
      </c>
      <c r="BJ552" s="431" t="s">
        <v>762</v>
      </c>
      <c r="BK552" s="431" t="s">
        <v>762</v>
      </c>
      <c r="BL552" s="431">
        <v>257</v>
      </c>
      <c r="BM552" s="431" t="s">
        <v>762</v>
      </c>
      <c r="BN552" s="431" t="s">
        <v>762</v>
      </c>
      <c r="BO552" s="431" t="s">
        <v>762</v>
      </c>
      <c r="BP552" s="431" t="s">
        <v>762</v>
      </c>
      <c r="BQ552" s="431" t="s">
        <v>762</v>
      </c>
      <c r="BR552" s="431" t="s">
        <v>762</v>
      </c>
      <c r="BS552" s="431" t="s">
        <v>762</v>
      </c>
      <c r="BT552" s="431" t="s">
        <v>762</v>
      </c>
      <c r="BU552" s="431" t="s">
        <v>762</v>
      </c>
      <c r="BV552" s="431" t="s">
        <v>762</v>
      </c>
      <c r="BW552" s="431" t="s">
        <v>762</v>
      </c>
      <c r="BX552" s="431" t="s">
        <v>762</v>
      </c>
      <c r="BY552" s="431" t="s">
        <v>762</v>
      </c>
      <c r="BZ552" s="431" t="s">
        <v>762</v>
      </c>
      <c r="CA552" s="431" t="s">
        <v>762</v>
      </c>
      <c r="CB552" s="431" t="s">
        <v>762</v>
      </c>
      <c r="CC552" s="431" t="s">
        <v>762</v>
      </c>
      <c r="CD552" s="431" t="s">
        <v>762</v>
      </c>
      <c r="CE552" s="431" t="s">
        <v>762</v>
      </c>
      <c r="CF552" s="431" t="s">
        <v>762</v>
      </c>
      <c r="CG552" s="431" t="s">
        <v>762</v>
      </c>
      <c r="CH552" s="431" t="s">
        <v>762</v>
      </c>
      <c r="CI552" s="431" t="s">
        <v>762</v>
      </c>
      <c r="CJ552" s="431" t="s">
        <v>762</v>
      </c>
      <c r="CK552" s="431" t="s">
        <v>762</v>
      </c>
      <c r="CL552" s="431" t="s">
        <v>762</v>
      </c>
    </row>
    <row r="553" spans="1:90" s="432" customFormat="1">
      <c r="A553" s="430" t="s">
        <v>605</v>
      </c>
      <c r="B553" s="430" t="s">
        <v>631</v>
      </c>
      <c r="C553" s="431" t="s">
        <v>762</v>
      </c>
      <c r="D553" s="431" t="s">
        <v>762</v>
      </c>
      <c r="E553" s="431" t="s">
        <v>762</v>
      </c>
      <c r="F553" s="431" t="s">
        <v>762</v>
      </c>
      <c r="G553" s="431" t="s">
        <v>762</v>
      </c>
      <c r="H553" s="431" t="s">
        <v>762</v>
      </c>
      <c r="I553" s="431" t="s">
        <v>762</v>
      </c>
      <c r="J553" s="431" t="s">
        <v>762</v>
      </c>
      <c r="K553" s="431" t="s">
        <v>762</v>
      </c>
      <c r="L553" s="431">
        <v>28</v>
      </c>
      <c r="M553" s="431" t="s">
        <v>762</v>
      </c>
      <c r="N553" s="431" t="s">
        <v>762</v>
      </c>
      <c r="O553" s="431" t="s">
        <v>762</v>
      </c>
      <c r="P553" s="431" t="s">
        <v>762</v>
      </c>
      <c r="Q553" s="431" t="s">
        <v>762</v>
      </c>
      <c r="R553" s="431" t="s">
        <v>762</v>
      </c>
      <c r="S553" s="431" t="s">
        <v>762</v>
      </c>
      <c r="T553" s="431" t="s">
        <v>762</v>
      </c>
      <c r="U553" s="431" t="s">
        <v>762</v>
      </c>
      <c r="V553" s="431">
        <v>33</v>
      </c>
      <c r="W553" s="431">
        <v>41</v>
      </c>
      <c r="X553" s="431">
        <v>47</v>
      </c>
      <c r="Y553" s="431">
        <v>50</v>
      </c>
      <c r="Z553" s="431">
        <v>59</v>
      </c>
      <c r="AA553" s="431">
        <v>62</v>
      </c>
      <c r="AB553" s="431">
        <v>70</v>
      </c>
      <c r="AC553" s="431">
        <v>73</v>
      </c>
      <c r="AD553" s="431">
        <v>82</v>
      </c>
      <c r="AE553" s="431" t="s">
        <v>762</v>
      </c>
      <c r="AF553" s="431" t="s">
        <v>762</v>
      </c>
      <c r="AG553" s="431">
        <v>158</v>
      </c>
      <c r="AH553" s="431" t="s">
        <v>762</v>
      </c>
      <c r="AI553" s="431">
        <v>158</v>
      </c>
      <c r="AJ553" s="431" t="s">
        <v>762</v>
      </c>
      <c r="AK553" s="431" t="s">
        <v>762</v>
      </c>
      <c r="AL553" s="431">
        <v>158</v>
      </c>
      <c r="AM553" s="431" t="s">
        <v>762</v>
      </c>
      <c r="AN553" s="431" t="s">
        <v>762</v>
      </c>
      <c r="AO553" s="431" t="s">
        <v>762</v>
      </c>
      <c r="AP553" s="431">
        <v>158</v>
      </c>
      <c r="AQ553" s="431" t="s">
        <v>762</v>
      </c>
      <c r="AR553" s="431" t="s">
        <v>762</v>
      </c>
      <c r="AS553" s="431" t="s">
        <v>762</v>
      </c>
      <c r="AT553" s="431">
        <v>158</v>
      </c>
      <c r="AU553" s="431" t="s">
        <v>762</v>
      </c>
      <c r="AV553" s="431" t="s">
        <v>762</v>
      </c>
      <c r="AW553" s="431" t="s">
        <v>762</v>
      </c>
      <c r="AX553" s="431" t="s">
        <v>762</v>
      </c>
      <c r="AY553" s="431" t="s">
        <v>762</v>
      </c>
      <c r="AZ553" s="431" t="s">
        <v>762</v>
      </c>
      <c r="BA553" s="431" t="s">
        <v>762</v>
      </c>
      <c r="BB553" s="431" t="s">
        <v>762</v>
      </c>
      <c r="BC553" s="431" t="s">
        <v>762</v>
      </c>
      <c r="BD553" s="431" t="s">
        <v>762</v>
      </c>
      <c r="BE553" s="431" t="s">
        <v>762</v>
      </c>
      <c r="BF553" s="431">
        <v>224</v>
      </c>
      <c r="BG553" s="431" t="s">
        <v>762</v>
      </c>
      <c r="BH553" s="431" t="s">
        <v>762</v>
      </c>
      <c r="BI553" s="431" t="s">
        <v>762</v>
      </c>
      <c r="BJ553" s="431" t="s">
        <v>762</v>
      </c>
      <c r="BK553" s="431" t="s">
        <v>762</v>
      </c>
      <c r="BL553" s="431">
        <v>263</v>
      </c>
      <c r="BM553" s="431" t="s">
        <v>762</v>
      </c>
      <c r="BN553" s="431" t="s">
        <v>762</v>
      </c>
      <c r="BO553" s="431" t="s">
        <v>762</v>
      </c>
      <c r="BP553" s="431" t="s">
        <v>762</v>
      </c>
      <c r="BQ553" s="431" t="s">
        <v>762</v>
      </c>
      <c r="BR553" s="431" t="s">
        <v>762</v>
      </c>
      <c r="BS553" s="431" t="s">
        <v>762</v>
      </c>
      <c r="BT553" s="431" t="s">
        <v>762</v>
      </c>
      <c r="BU553" s="431" t="s">
        <v>762</v>
      </c>
      <c r="BV553" s="431" t="s">
        <v>762</v>
      </c>
      <c r="BW553" s="431" t="s">
        <v>762</v>
      </c>
      <c r="BX553" s="431" t="s">
        <v>762</v>
      </c>
      <c r="BY553" s="431" t="s">
        <v>762</v>
      </c>
      <c r="BZ553" s="431" t="s">
        <v>762</v>
      </c>
      <c r="CA553" s="431" t="s">
        <v>762</v>
      </c>
      <c r="CB553" s="431" t="s">
        <v>762</v>
      </c>
      <c r="CC553" s="431" t="s">
        <v>762</v>
      </c>
      <c r="CD553" s="431" t="s">
        <v>762</v>
      </c>
      <c r="CE553" s="431" t="s">
        <v>762</v>
      </c>
      <c r="CF553" s="431" t="s">
        <v>762</v>
      </c>
      <c r="CG553" s="431" t="s">
        <v>762</v>
      </c>
      <c r="CH553" s="431" t="s">
        <v>762</v>
      </c>
      <c r="CI553" s="431" t="s">
        <v>762</v>
      </c>
      <c r="CJ553" s="431" t="s">
        <v>762</v>
      </c>
      <c r="CK553" s="431" t="s">
        <v>762</v>
      </c>
      <c r="CL553" s="431" t="s">
        <v>762</v>
      </c>
    </row>
    <row r="554" spans="1:90" s="432" customFormat="1">
      <c r="A554" s="430" t="s">
        <v>606</v>
      </c>
      <c r="B554" s="430" t="s">
        <v>631</v>
      </c>
      <c r="C554" s="431" t="s">
        <v>762</v>
      </c>
      <c r="D554" s="431" t="s">
        <v>762</v>
      </c>
      <c r="E554" s="431" t="s">
        <v>762</v>
      </c>
      <c r="F554" s="431" t="s">
        <v>762</v>
      </c>
      <c r="G554" s="431" t="s">
        <v>762</v>
      </c>
      <c r="H554" s="431" t="s">
        <v>762</v>
      </c>
      <c r="I554" s="431" t="s">
        <v>762</v>
      </c>
      <c r="J554" s="431" t="s">
        <v>762</v>
      </c>
      <c r="K554" s="431" t="s">
        <v>762</v>
      </c>
      <c r="L554" s="431">
        <v>20</v>
      </c>
      <c r="M554" s="431" t="s">
        <v>762</v>
      </c>
      <c r="N554" s="431" t="s">
        <v>762</v>
      </c>
      <c r="O554" s="431" t="s">
        <v>762</v>
      </c>
      <c r="P554" s="431" t="s">
        <v>762</v>
      </c>
      <c r="Q554" s="431" t="s">
        <v>762</v>
      </c>
      <c r="R554" s="431" t="s">
        <v>762</v>
      </c>
      <c r="S554" s="431" t="s">
        <v>762</v>
      </c>
      <c r="T554" s="431" t="s">
        <v>762</v>
      </c>
      <c r="U554" s="431" t="s">
        <v>762</v>
      </c>
      <c r="V554" s="431">
        <v>24</v>
      </c>
      <c r="W554" s="431">
        <v>28</v>
      </c>
      <c r="X554" s="431">
        <v>29</v>
      </c>
      <c r="Y554" s="431">
        <v>32</v>
      </c>
      <c r="Z554" s="431">
        <v>34</v>
      </c>
      <c r="AA554" s="431">
        <v>37</v>
      </c>
      <c r="AB554" s="431">
        <v>38</v>
      </c>
      <c r="AC554" s="431">
        <v>39</v>
      </c>
      <c r="AD554" s="431">
        <v>40</v>
      </c>
      <c r="AE554" s="431" t="s">
        <v>762</v>
      </c>
      <c r="AF554" s="431" t="s">
        <v>762</v>
      </c>
      <c r="AG554" s="431">
        <v>117</v>
      </c>
      <c r="AH554" s="431" t="s">
        <v>762</v>
      </c>
      <c r="AI554" s="431">
        <v>117</v>
      </c>
      <c r="AJ554" s="431" t="s">
        <v>762</v>
      </c>
      <c r="AK554" s="431" t="s">
        <v>762</v>
      </c>
      <c r="AL554" s="431">
        <v>117</v>
      </c>
      <c r="AM554" s="431" t="s">
        <v>762</v>
      </c>
      <c r="AN554" s="431" t="s">
        <v>762</v>
      </c>
      <c r="AO554" s="431" t="s">
        <v>762</v>
      </c>
      <c r="AP554" s="431">
        <v>117</v>
      </c>
      <c r="AQ554" s="431" t="s">
        <v>762</v>
      </c>
      <c r="AR554" s="431" t="s">
        <v>762</v>
      </c>
      <c r="AS554" s="431" t="s">
        <v>762</v>
      </c>
      <c r="AT554" s="431">
        <v>117</v>
      </c>
      <c r="AU554" s="431" t="s">
        <v>762</v>
      </c>
      <c r="AV554" s="431" t="s">
        <v>762</v>
      </c>
      <c r="AW554" s="431" t="s">
        <v>762</v>
      </c>
      <c r="AX554" s="431" t="s">
        <v>762</v>
      </c>
      <c r="AY554" s="431" t="s">
        <v>762</v>
      </c>
      <c r="AZ554" s="431" t="s">
        <v>762</v>
      </c>
      <c r="BA554" s="431" t="s">
        <v>762</v>
      </c>
      <c r="BB554" s="431" t="s">
        <v>762</v>
      </c>
      <c r="BC554" s="431" t="s">
        <v>762</v>
      </c>
      <c r="BD554" s="431" t="s">
        <v>762</v>
      </c>
      <c r="BE554" s="431" t="s">
        <v>762</v>
      </c>
      <c r="BF554" s="431">
        <v>161</v>
      </c>
      <c r="BG554" s="431" t="s">
        <v>762</v>
      </c>
      <c r="BH554" s="431" t="s">
        <v>762</v>
      </c>
      <c r="BI554" s="431" t="s">
        <v>762</v>
      </c>
      <c r="BJ554" s="431" t="s">
        <v>762</v>
      </c>
      <c r="BK554" s="431" t="s">
        <v>762</v>
      </c>
      <c r="BL554" s="431">
        <v>216</v>
      </c>
      <c r="BM554" s="431" t="s">
        <v>762</v>
      </c>
      <c r="BN554" s="431" t="s">
        <v>762</v>
      </c>
      <c r="BO554" s="431" t="s">
        <v>762</v>
      </c>
      <c r="BP554" s="431" t="s">
        <v>762</v>
      </c>
      <c r="BQ554" s="431" t="s">
        <v>762</v>
      </c>
      <c r="BR554" s="431" t="s">
        <v>762</v>
      </c>
      <c r="BS554" s="431" t="s">
        <v>762</v>
      </c>
      <c r="BT554" s="431" t="s">
        <v>762</v>
      </c>
      <c r="BU554" s="431" t="s">
        <v>762</v>
      </c>
      <c r="BV554" s="431" t="s">
        <v>762</v>
      </c>
      <c r="BW554" s="431" t="s">
        <v>762</v>
      </c>
      <c r="BX554" s="431" t="s">
        <v>762</v>
      </c>
      <c r="BY554" s="431" t="s">
        <v>762</v>
      </c>
      <c r="BZ554" s="431" t="s">
        <v>762</v>
      </c>
      <c r="CA554" s="431" t="s">
        <v>762</v>
      </c>
      <c r="CB554" s="431" t="s">
        <v>762</v>
      </c>
      <c r="CC554" s="431" t="s">
        <v>762</v>
      </c>
      <c r="CD554" s="431" t="s">
        <v>762</v>
      </c>
      <c r="CE554" s="431" t="s">
        <v>762</v>
      </c>
      <c r="CF554" s="431" t="s">
        <v>762</v>
      </c>
      <c r="CG554" s="431" t="s">
        <v>762</v>
      </c>
      <c r="CH554" s="431" t="s">
        <v>762</v>
      </c>
      <c r="CI554" s="431" t="s">
        <v>762</v>
      </c>
      <c r="CJ554" s="431" t="s">
        <v>762</v>
      </c>
      <c r="CK554" s="431" t="s">
        <v>762</v>
      </c>
      <c r="CL554" s="431" t="s">
        <v>762</v>
      </c>
    </row>
    <row r="555" spans="1:90" s="432" customFormat="1">
      <c r="A555" s="430" t="s">
        <v>607</v>
      </c>
      <c r="B555" s="430" t="s">
        <v>631</v>
      </c>
      <c r="C555" s="431" t="s">
        <v>762</v>
      </c>
      <c r="D555" s="431" t="s">
        <v>762</v>
      </c>
      <c r="E555" s="431" t="s">
        <v>762</v>
      </c>
      <c r="F555" s="431" t="s">
        <v>762</v>
      </c>
      <c r="G555" s="431" t="s">
        <v>762</v>
      </c>
      <c r="H555" s="431" t="s">
        <v>762</v>
      </c>
      <c r="I555" s="431" t="s">
        <v>762</v>
      </c>
      <c r="J555" s="431" t="s">
        <v>762</v>
      </c>
      <c r="K555" s="431" t="s">
        <v>762</v>
      </c>
      <c r="L555" s="431">
        <v>30</v>
      </c>
      <c r="M555" s="431" t="s">
        <v>762</v>
      </c>
      <c r="N555" s="431" t="s">
        <v>762</v>
      </c>
      <c r="O555" s="431" t="s">
        <v>762</v>
      </c>
      <c r="P555" s="431" t="s">
        <v>762</v>
      </c>
      <c r="Q555" s="431" t="s">
        <v>762</v>
      </c>
      <c r="R555" s="431" t="s">
        <v>762</v>
      </c>
      <c r="S555" s="431" t="s">
        <v>762</v>
      </c>
      <c r="T555" s="431" t="s">
        <v>762</v>
      </c>
      <c r="U555" s="431" t="s">
        <v>762</v>
      </c>
      <c r="V555" s="431">
        <v>36</v>
      </c>
      <c r="W555" s="431">
        <v>42</v>
      </c>
      <c r="X555" s="431">
        <v>49</v>
      </c>
      <c r="Y555" s="431">
        <v>58</v>
      </c>
      <c r="Z555" s="431">
        <v>64</v>
      </c>
      <c r="AA555" s="431">
        <v>73</v>
      </c>
      <c r="AB555" s="431">
        <v>79</v>
      </c>
      <c r="AC555" s="431">
        <v>87</v>
      </c>
      <c r="AD555" s="431">
        <v>93</v>
      </c>
      <c r="AE555" s="431" t="s">
        <v>762</v>
      </c>
      <c r="AF555" s="431" t="s">
        <v>762</v>
      </c>
      <c r="AG555" s="431">
        <v>189</v>
      </c>
      <c r="AH555" s="431" t="s">
        <v>762</v>
      </c>
      <c r="AI555" s="431">
        <v>189</v>
      </c>
      <c r="AJ555" s="431" t="s">
        <v>762</v>
      </c>
      <c r="AK555" s="431" t="s">
        <v>762</v>
      </c>
      <c r="AL555" s="431">
        <v>189</v>
      </c>
      <c r="AM555" s="431" t="s">
        <v>762</v>
      </c>
      <c r="AN555" s="431" t="s">
        <v>762</v>
      </c>
      <c r="AO555" s="431" t="s">
        <v>762</v>
      </c>
      <c r="AP555" s="431">
        <v>189</v>
      </c>
      <c r="AQ555" s="431" t="s">
        <v>762</v>
      </c>
      <c r="AR555" s="431" t="s">
        <v>762</v>
      </c>
      <c r="AS555" s="431" t="s">
        <v>762</v>
      </c>
      <c r="AT555" s="431">
        <v>189</v>
      </c>
      <c r="AU555" s="431" t="s">
        <v>762</v>
      </c>
      <c r="AV555" s="431" t="s">
        <v>762</v>
      </c>
      <c r="AW555" s="431" t="s">
        <v>762</v>
      </c>
      <c r="AX555" s="431" t="s">
        <v>762</v>
      </c>
      <c r="AY555" s="431" t="s">
        <v>762</v>
      </c>
      <c r="AZ555" s="431" t="s">
        <v>762</v>
      </c>
      <c r="BA555" s="431" t="s">
        <v>762</v>
      </c>
      <c r="BB555" s="431" t="s">
        <v>762</v>
      </c>
      <c r="BC555" s="431" t="s">
        <v>762</v>
      </c>
      <c r="BD555" s="431" t="s">
        <v>762</v>
      </c>
      <c r="BE555" s="431" t="s">
        <v>762</v>
      </c>
      <c r="BF555" s="431">
        <v>266</v>
      </c>
      <c r="BG555" s="431" t="s">
        <v>762</v>
      </c>
      <c r="BH555" s="431" t="s">
        <v>762</v>
      </c>
      <c r="BI555" s="431" t="s">
        <v>762</v>
      </c>
      <c r="BJ555" s="431" t="s">
        <v>762</v>
      </c>
      <c r="BK555" s="431" t="s">
        <v>762</v>
      </c>
      <c r="BL555" s="431">
        <v>332</v>
      </c>
      <c r="BM555" s="431" t="s">
        <v>762</v>
      </c>
      <c r="BN555" s="431" t="s">
        <v>762</v>
      </c>
      <c r="BO555" s="431" t="s">
        <v>762</v>
      </c>
      <c r="BP555" s="431" t="s">
        <v>762</v>
      </c>
      <c r="BQ555" s="431" t="s">
        <v>762</v>
      </c>
      <c r="BR555" s="431" t="s">
        <v>762</v>
      </c>
      <c r="BS555" s="431" t="s">
        <v>762</v>
      </c>
      <c r="BT555" s="431" t="s">
        <v>762</v>
      </c>
      <c r="BU555" s="431" t="s">
        <v>762</v>
      </c>
      <c r="BV555" s="431" t="s">
        <v>762</v>
      </c>
      <c r="BW555" s="431" t="s">
        <v>762</v>
      </c>
      <c r="BX555" s="431" t="s">
        <v>762</v>
      </c>
      <c r="BY555" s="431" t="s">
        <v>762</v>
      </c>
      <c r="BZ555" s="431" t="s">
        <v>762</v>
      </c>
      <c r="CA555" s="431" t="s">
        <v>762</v>
      </c>
      <c r="CB555" s="431" t="s">
        <v>762</v>
      </c>
      <c r="CC555" s="431" t="s">
        <v>762</v>
      </c>
      <c r="CD555" s="431" t="s">
        <v>762</v>
      </c>
      <c r="CE555" s="431" t="s">
        <v>762</v>
      </c>
      <c r="CF555" s="431" t="s">
        <v>762</v>
      </c>
      <c r="CG555" s="431" t="s">
        <v>762</v>
      </c>
      <c r="CH555" s="431" t="s">
        <v>762</v>
      </c>
      <c r="CI555" s="431" t="s">
        <v>762</v>
      </c>
      <c r="CJ555" s="431" t="s">
        <v>762</v>
      </c>
      <c r="CK555" s="431" t="s">
        <v>762</v>
      </c>
      <c r="CL555" s="431" t="s">
        <v>762</v>
      </c>
    </row>
    <row r="556" spans="1:90" s="432" customFormat="1">
      <c r="A556" s="430" t="s">
        <v>608</v>
      </c>
      <c r="B556" s="430" t="s">
        <v>631</v>
      </c>
      <c r="C556" s="431" t="s">
        <v>762</v>
      </c>
      <c r="D556" s="431" t="s">
        <v>762</v>
      </c>
      <c r="E556" s="431" t="s">
        <v>762</v>
      </c>
      <c r="F556" s="431" t="s">
        <v>762</v>
      </c>
      <c r="G556" s="431" t="s">
        <v>762</v>
      </c>
      <c r="H556" s="431" t="s">
        <v>762</v>
      </c>
      <c r="I556" s="431" t="s">
        <v>762</v>
      </c>
      <c r="J556" s="431" t="s">
        <v>762</v>
      </c>
      <c r="K556" s="431" t="s">
        <v>762</v>
      </c>
      <c r="L556" s="431">
        <v>30</v>
      </c>
      <c r="M556" s="431" t="s">
        <v>762</v>
      </c>
      <c r="N556" s="431" t="s">
        <v>762</v>
      </c>
      <c r="O556" s="431" t="s">
        <v>762</v>
      </c>
      <c r="P556" s="431" t="s">
        <v>762</v>
      </c>
      <c r="Q556" s="431" t="s">
        <v>762</v>
      </c>
      <c r="R556" s="431" t="s">
        <v>762</v>
      </c>
      <c r="S556" s="431" t="s">
        <v>762</v>
      </c>
      <c r="T556" s="431" t="s">
        <v>762</v>
      </c>
      <c r="U556" s="431" t="s">
        <v>762</v>
      </c>
      <c r="V556" s="431">
        <v>36</v>
      </c>
      <c r="W556" s="431">
        <v>42</v>
      </c>
      <c r="X556" s="431">
        <v>48</v>
      </c>
      <c r="Y556" s="431">
        <v>57</v>
      </c>
      <c r="Z556" s="431">
        <v>63</v>
      </c>
      <c r="AA556" s="431">
        <v>71</v>
      </c>
      <c r="AB556" s="431">
        <v>77</v>
      </c>
      <c r="AC556" s="431">
        <v>85</v>
      </c>
      <c r="AD556" s="431">
        <v>91</v>
      </c>
      <c r="AE556" s="431" t="s">
        <v>762</v>
      </c>
      <c r="AF556" s="431" t="s">
        <v>762</v>
      </c>
      <c r="AG556" s="431">
        <v>189</v>
      </c>
      <c r="AH556" s="431" t="s">
        <v>762</v>
      </c>
      <c r="AI556" s="431">
        <v>189</v>
      </c>
      <c r="AJ556" s="431" t="s">
        <v>762</v>
      </c>
      <c r="AK556" s="431" t="s">
        <v>762</v>
      </c>
      <c r="AL556" s="431">
        <v>189</v>
      </c>
      <c r="AM556" s="431" t="s">
        <v>762</v>
      </c>
      <c r="AN556" s="431" t="s">
        <v>762</v>
      </c>
      <c r="AO556" s="431" t="s">
        <v>762</v>
      </c>
      <c r="AP556" s="431">
        <v>189</v>
      </c>
      <c r="AQ556" s="431" t="s">
        <v>762</v>
      </c>
      <c r="AR556" s="431" t="s">
        <v>762</v>
      </c>
      <c r="AS556" s="431" t="s">
        <v>762</v>
      </c>
      <c r="AT556" s="431">
        <v>189</v>
      </c>
      <c r="AU556" s="431" t="s">
        <v>762</v>
      </c>
      <c r="AV556" s="431" t="s">
        <v>762</v>
      </c>
      <c r="AW556" s="431" t="s">
        <v>762</v>
      </c>
      <c r="AX556" s="431" t="s">
        <v>762</v>
      </c>
      <c r="AY556" s="431" t="s">
        <v>762</v>
      </c>
      <c r="AZ556" s="431" t="s">
        <v>762</v>
      </c>
      <c r="BA556" s="431" t="s">
        <v>762</v>
      </c>
      <c r="BB556" s="431" t="s">
        <v>762</v>
      </c>
      <c r="BC556" s="431" t="s">
        <v>762</v>
      </c>
      <c r="BD556" s="431" t="s">
        <v>762</v>
      </c>
      <c r="BE556" s="431" t="s">
        <v>762</v>
      </c>
      <c r="BF556" s="431">
        <v>266</v>
      </c>
      <c r="BG556" s="431" t="s">
        <v>762</v>
      </c>
      <c r="BH556" s="431" t="s">
        <v>762</v>
      </c>
      <c r="BI556" s="431" t="s">
        <v>762</v>
      </c>
      <c r="BJ556" s="431" t="s">
        <v>762</v>
      </c>
      <c r="BK556" s="431" t="s">
        <v>762</v>
      </c>
      <c r="BL556" s="431">
        <v>332</v>
      </c>
      <c r="BM556" s="431" t="s">
        <v>762</v>
      </c>
      <c r="BN556" s="431" t="s">
        <v>762</v>
      </c>
      <c r="BO556" s="431" t="s">
        <v>762</v>
      </c>
      <c r="BP556" s="431" t="s">
        <v>762</v>
      </c>
      <c r="BQ556" s="431" t="s">
        <v>762</v>
      </c>
      <c r="BR556" s="431" t="s">
        <v>762</v>
      </c>
      <c r="BS556" s="431" t="s">
        <v>762</v>
      </c>
      <c r="BT556" s="431" t="s">
        <v>762</v>
      </c>
      <c r="BU556" s="431" t="s">
        <v>762</v>
      </c>
      <c r="BV556" s="431" t="s">
        <v>762</v>
      </c>
      <c r="BW556" s="431" t="s">
        <v>762</v>
      </c>
      <c r="BX556" s="431" t="s">
        <v>762</v>
      </c>
      <c r="BY556" s="431" t="s">
        <v>762</v>
      </c>
      <c r="BZ556" s="431" t="s">
        <v>762</v>
      </c>
      <c r="CA556" s="431" t="s">
        <v>762</v>
      </c>
      <c r="CB556" s="431" t="s">
        <v>762</v>
      </c>
      <c r="CC556" s="431" t="s">
        <v>762</v>
      </c>
      <c r="CD556" s="431" t="s">
        <v>762</v>
      </c>
      <c r="CE556" s="431" t="s">
        <v>762</v>
      </c>
      <c r="CF556" s="431" t="s">
        <v>762</v>
      </c>
      <c r="CG556" s="431" t="s">
        <v>762</v>
      </c>
      <c r="CH556" s="431" t="s">
        <v>762</v>
      </c>
      <c r="CI556" s="431" t="s">
        <v>762</v>
      </c>
      <c r="CJ556" s="431" t="s">
        <v>762</v>
      </c>
      <c r="CK556" s="431" t="s">
        <v>762</v>
      </c>
      <c r="CL556" s="431" t="s">
        <v>762</v>
      </c>
    </row>
    <row r="557" spans="1:90" s="432" customFormat="1">
      <c r="A557" s="430" t="s">
        <v>609</v>
      </c>
      <c r="B557" s="430" t="s">
        <v>631</v>
      </c>
      <c r="C557" s="431" t="s">
        <v>762</v>
      </c>
      <c r="D557" s="431" t="s">
        <v>762</v>
      </c>
      <c r="E557" s="431" t="s">
        <v>762</v>
      </c>
      <c r="F557" s="431" t="s">
        <v>762</v>
      </c>
      <c r="G557" s="431" t="s">
        <v>762</v>
      </c>
      <c r="H557" s="431" t="s">
        <v>762</v>
      </c>
      <c r="I557" s="431" t="s">
        <v>762</v>
      </c>
      <c r="J557" s="431" t="s">
        <v>762</v>
      </c>
      <c r="K557" s="431" t="s">
        <v>762</v>
      </c>
      <c r="L557" s="431">
        <v>49</v>
      </c>
      <c r="M557" s="431" t="s">
        <v>762</v>
      </c>
      <c r="N557" s="431" t="s">
        <v>762</v>
      </c>
      <c r="O557" s="431" t="s">
        <v>762</v>
      </c>
      <c r="P557" s="431" t="s">
        <v>762</v>
      </c>
      <c r="Q557" s="431" t="s">
        <v>762</v>
      </c>
      <c r="R557" s="431" t="s">
        <v>762</v>
      </c>
      <c r="S557" s="431" t="s">
        <v>762</v>
      </c>
      <c r="T557" s="431" t="s">
        <v>762</v>
      </c>
      <c r="U557" s="431" t="s">
        <v>762</v>
      </c>
      <c r="V557" s="431">
        <v>61</v>
      </c>
      <c r="W557" s="431">
        <v>73</v>
      </c>
      <c r="X557" s="431">
        <v>80</v>
      </c>
      <c r="Y557" s="431">
        <v>88</v>
      </c>
      <c r="Z557" s="431">
        <v>95</v>
      </c>
      <c r="AA557" s="431">
        <v>103</v>
      </c>
      <c r="AB557" s="431">
        <v>111</v>
      </c>
      <c r="AC557" s="431">
        <v>116</v>
      </c>
      <c r="AD557" s="431">
        <v>121</v>
      </c>
      <c r="AE557" s="431" t="s">
        <v>762</v>
      </c>
      <c r="AF557" s="431" t="s">
        <v>762</v>
      </c>
      <c r="AG557" s="431">
        <v>196</v>
      </c>
      <c r="AH557" s="431" t="s">
        <v>762</v>
      </c>
      <c r="AI557" s="431">
        <v>196</v>
      </c>
      <c r="AJ557" s="431" t="s">
        <v>762</v>
      </c>
      <c r="AK557" s="431" t="s">
        <v>762</v>
      </c>
      <c r="AL557" s="431">
        <v>196</v>
      </c>
      <c r="AM557" s="431" t="s">
        <v>762</v>
      </c>
      <c r="AN557" s="431" t="s">
        <v>762</v>
      </c>
      <c r="AO557" s="431" t="s">
        <v>762</v>
      </c>
      <c r="AP557" s="431">
        <v>196</v>
      </c>
      <c r="AQ557" s="431" t="s">
        <v>762</v>
      </c>
      <c r="AR557" s="431" t="s">
        <v>762</v>
      </c>
      <c r="AS557" s="431" t="s">
        <v>762</v>
      </c>
      <c r="AT557" s="431">
        <v>196</v>
      </c>
      <c r="AU557" s="431" t="s">
        <v>762</v>
      </c>
      <c r="AV557" s="431" t="s">
        <v>762</v>
      </c>
      <c r="AW557" s="431" t="s">
        <v>762</v>
      </c>
      <c r="AX557" s="431" t="s">
        <v>762</v>
      </c>
      <c r="AY557" s="431" t="s">
        <v>762</v>
      </c>
      <c r="AZ557" s="431" t="s">
        <v>762</v>
      </c>
      <c r="BA557" s="431" t="s">
        <v>762</v>
      </c>
      <c r="BB557" s="431" t="s">
        <v>762</v>
      </c>
      <c r="BC557" s="431" t="s">
        <v>762</v>
      </c>
      <c r="BD557" s="431" t="s">
        <v>762</v>
      </c>
      <c r="BE557" s="431" t="s">
        <v>762</v>
      </c>
      <c r="BF557" s="431">
        <v>329</v>
      </c>
      <c r="BG557" s="431" t="s">
        <v>762</v>
      </c>
      <c r="BH557" s="431" t="s">
        <v>762</v>
      </c>
      <c r="BI557" s="431" t="s">
        <v>762</v>
      </c>
      <c r="BJ557" s="431" t="s">
        <v>762</v>
      </c>
      <c r="BK557" s="431" t="s">
        <v>762</v>
      </c>
      <c r="BL557" s="431">
        <v>447</v>
      </c>
      <c r="BM557" s="431" t="s">
        <v>762</v>
      </c>
      <c r="BN557" s="431" t="s">
        <v>762</v>
      </c>
      <c r="BO557" s="431" t="s">
        <v>762</v>
      </c>
      <c r="BP557" s="431" t="s">
        <v>762</v>
      </c>
      <c r="BQ557" s="431" t="s">
        <v>762</v>
      </c>
      <c r="BR557" s="431" t="s">
        <v>762</v>
      </c>
      <c r="BS557" s="431" t="s">
        <v>762</v>
      </c>
      <c r="BT557" s="431" t="s">
        <v>762</v>
      </c>
      <c r="BU557" s="431" t="s">
        <v>762</v>
      </c>
      <c r="BV557" s="431" t="s">
        <v>762</v>
      </c>
      <c r="BW557" s="431" t="s">
        <v>762</v>
      </c>
      <c r="BX557" s="431" t="s">
        <v>762</v>
      </c>
      <c r="BY557" s="431" t="s">
        <v>762</v>
      </c>
      <c r="BZ557" s="431" t="s">
        <v>762</v>
      </c>
      <c r="CA557" s="431" t="s">
        <v>762</v>
      </c>
      <c r="CB557" s="431" t="s">
        <v>762</v>
      </c>
      <c r="CC557" s="431" t="s">
        <v>762</v>
      </c>
      <c r="CD557" s="431" t="s">
        <v>762</v>
      </c>
      <c r="CE557" s="431" t="s">
        <v>762</v>
      </c>
      <c r="CF557" s="431" t="s">
        <v>762</v>
      </c>
      <c r="CG557" s="431" t="s">
        <v>762</v>
      </c>
      <c r="CH557" s="431" t="s">
        <v>762</v>
      </c>
      <c r="CI557" s="431" t="s">
        <v>762</v>
      </c>
      <c r="CJ557" s="431" t="s">
        <v>762</v>
      </c>
      <c r="CK557" s="431" t="s">
        <v>762</v>
      </c>
      <c r="CL557" s="431" t="s">
        <v>762</v>
      </c>
    </row>
    <row r="558" spans="1:90" s="432" customFormat="1">
      <c r="A558" s="430" t="s">
        <v>610</v>
      </c>
      <c r="B558" s="430" t="s">
        <v>631</v>
      </c>
      <c r="C558" s="431" t="s">
        <v>762</v>
      </c>
      <c r="D558" s="431" t="s">
        <v>762</v>
      </c>
      <c r="E558" s="431" t="s">
        <v>762</v>
      </c>
      <c r="F558" s="431" t="s">
        <v>762</v>
      </c>
      <c r="G558" s="431" t="s">
        <v>762</v>
      </c>
      <c r="H558" s="431" t="s">
        <v>762</v>
      </c>
      <c r="I558" s="431" t="s">
        <v>762</v>
      </c>
      <c r="J558" s="431" t="s">
        <v>762</v>
      </c>
      <c r="K558" s="431" t="s">
        <v>762</v>
      </c>
      <c r="L558" s="431" t="s">
        <v>762</v>
      </c>
      <c r="M558" s="431" t="s">
        <v>762</v>
      </c>
      <c r="N558" s="431" t="s">
        <v>762</v>
      </c>
      <c r="O558" s="431" t="s">
        <v>762</v>
      </c>
      <c r="P558" s="431" t="s">
        <v>762</v>
      </c>
      <c r="Q558" s="431" t="s">
        <v>762</v>
      </c>
      <c r="R558" s="431" t="s">
        <v>762</v>
      </c>
      <c r="S558" s="431" t="s">
        <v>762</v>
      </c>
      <c r="T558" s="431" t="s">
        <v>762</v>
      </c>
      <c r="U558" s="431" t="s">
        <v>762</v>
      </c>
      <c r="V558" s="431" t="s">
        <v>762</v>
      </c>
      <c r="W558" s="431" t="s">
        <v>762</v>
      </c>
      <c r="X558" s="431" t="s">
        <v>762</v>
      </c>
      <c r="Y558" s="431" t="s">
        <v>762</v>
      </c>
      <c r="Z558" s="431" t="s">
        <v>762</v>
      </c>
      <c r="AA558" s="431" t="s">
        <v>762</v>
      </c>
      <c r="AB558" s="431" t="s">
        <v>762</v>
      </c>
      <c r="AC558" s="431" t="s">
        <v>762</v>
      </c>
      <c r="AD558" s="431" t="s">
        <v>762</v>
      </c>
      <c r="AE558" s="431" t="s">
        <v>762</v>
      </c>
      <c r="AF558" s="431" t="s">
        <v>762</v>
      </c>
      <c r="AG558" s="431" t="s">
        <v>762</v>
      </c>
      <c r="AH558" s="431" t="s">
        <v>762</v>
      </c>
      <c r="AI558" s="431" t="s">
        <v>762</v>
      </c>
      <c r="AJ558" s="431" t="s">
        <v>762</v>
      </c>
      <c r="AK558" s="431" t="s">
        <v>762</v>
      </c>
      <c r="AL558" s="431" t="s">
        <v>762</v>
      </c>
      <c r="AM558" s="431" t="s">
        <v>762</v>
      </c>
      <c r="AN558" s="431" t="s">
        <v>762</v>
      </c>
      <c r="AO558" s="431" t="s">
        <v>762</v>
      </c>
      <c r="AP558" s="431" t="s">
        <v>762</v>
      </c>
      <c r="AQ558" s="431" t="s">
        <v>762</v>
      </c>
      <c r="AR558" s="431" t="s">
        <v>762</v>
      </c>
      <c r="AS558" s="431" t="s">
        <v>762</v>
      </c>
      <c r="AT558" s="431" t="s">
        <v>762</v>
      </c>
      <c r="AU558" s="431" t="s">
        <v>762</v>
      </c>
      <c r="AV558" s="431" t="s">
        <v>762</v>
      </c>
      <c r="AW558" s="431" t="s">
        <v>762</v>
      </c>
      <c r="AX558" s="431" t="s">
        <v>762</v>
      </c>
      <c r="AY558" s="431" t="s">
        <v>762</v>
      </c>
      <c r="AZ558" s="431" t="s">
        <v>762</v>
      </c>
      <c r="BA558" s="431" t="s">
        <v>762</v>
      </c>
      <c r="BB558" s="431" t="s">
        <v>762</v>
      </c>
      <c r="BC558" s="431" t="s">
        <v>762</v>
      </c>
      <c r="BD558" s="431" t="s">
        <v>762</v>
      </c>
      <c r="BE558" s="431" t="s">
        <v>762</v>
      </c>
      <c r="BF558" s="431" t="s">
        <v>762</v>
      </c>
      <c r="BG558" s="431" t="s">
        <v>762</v>
      </c>
      <c r="BH558" s="431" t="s">
        <v>762</v>
      </c>
      <c r="BI558" s="431" t="s">
        <v>762</v>
      </c>
      <c r="BJ558" s="431" t="s">
        <v>762</v>
      </c>
      <c r="BK558" s="431" t="s">
        <v>762</v>
      </c>
      <c r="BL558" s="431" t="s">
        <v>762</v>
      </c>
      <c r="BM558" s="431" t="s">
        <v>762</v>
      </c>
      <c r="BN558" s="431" t="s">
        <v>762</v>
      </c>
      <c r="BO558" s="431" t="s">
        <v>762</v>
      </c>
      <c r="BP558" s="431" t="s">
        <v>762</v>
      </c>
      <c r="BQ558" s="431" t="s">
        <v>762</v>
      </c>
      <c r="BR558" s="431" t="s">
        <v>762</v>
      </c>
      <c r="BS558" s="431" t="s">
        <v>762</v>
      </c>
      <c r="BT558" s="431" t="s">
        <v>762</v>
      </c>
      <c r="BU558" s="431" t="s">
        <v>762</v>
      </c>
      <c r="BV558" s="431" t="s">
        <v>762</v>
      </c>
      <c r="BW558" s="431" t="s">
        <v>762</v>
      </c>
      <c r="BX558" s="431" t="s">
        <v>762</v>
      </c>
      <c r="BY558" s="431" t="s">
        <v>762</v>
      </c>
      <c r="BZ558" s="431" t="s">
        <v>762</v>
      </c>
      <c r="CA558" s="431" t="s">
        <v>762</v>
      </c>
      <c r="CB558" s="431" t="s">
        <v>762</v>
      </c>
      <c r="CC558" s="431" t="s">
        <v>762</v>
      </c>
      <c r="CD558" s="431" t="s">
        <v>762</v>
      </c>
      <c r="CE558" s="431" t="s">
        <v>762</v>
      </c>
      <c r="CF558" s="431" t="s">
        <v>762</v>
      </c>
      <c r="CG558" s="431" t="s">
        <v>762</v>
      </c>
      <c r="CH558" s="431" t="s">
        <v>762</v>
      </c>
      <c r="CI558" s="431" t="s">
        <v>762</v>
      </c>
      <c r="CJ558" s="431" t="s">
        <v>762</v>
      </c>
      <c r="CK558" s="431" t="s">
        <v>762</v>
      </c>
      <c r="CL558" s="431" t="s">
        <v>762</v>
      </c>
    </row>
    <row r="559" spans="1:90" s="432" customFormat="1">
      <c r="A559" s="430" t="s">
        <v>611</v>
      </c>
      <c r="B559" s="430" t="s">
        <v>631</v>
      </c>
      <c r="C559" s="431" t="s">
        <v>762</v>
      </c>
      <c r="D559" s="431" t="s">
        <v>762</v>
      </c>
      <c r="E559" s="431" t="s">
        <v>762</v>
      </c>
      <c r="F559" s="431" t="s">
        <v>762</v>
      </c>
      <c r="G559" s="431" t="s">
        <v>762</v>
      </c>
      <c r="H559" s="431" t="s">
        <v>762</v>
      </c>
      <c r="I559" s="431" t="s">
        <v>762</v>
      </c>
      <c r="J559" s="431" t="s">
        <v>762</v>
      </c>
      <c r="K559" s="431" t="s">
        <v>762</v>
      </c>
      <c r="L559" s="431">
        <v>31</v>
      </c>
      <c r="M559" s="431" t="s">
        <v>762</v>
      </c>
      <c r="N559" s="431" t="s">
        <v>762</v>
      </c>
      <c r="O559" s="431" t="s">
        <v>762</v>
      </c>
      <c r="P559" s="431" t="s">
        <v>762</v>
      </c>
      <c r="Q559" s="431" t="s">
        <v>762</v>
      </c>
      <c r="R559" s="431" t="s">
        <v>762</v>
      </c>
      <c r="S559" s="431" t="s">
        <v>762</v>
      </c>
      <c r="T559" s="431" t="s">
        <v>762</v>
      </c>
      <c r="U559" s="431" t="s">
        <v>762</v>
      </c>
      <c r="V559" s="431">
        <v>39</v>
      </c>
      <c r="W559" s="431">
        <v>47</v>
      </c>
      <c r="X559" s="431">
        <v>53</v>
      </c>
      <c r="Y559" s="431">
        <v>58</v>
      </c>
      <c r="Z559" s="431">
        <v>64</v>
      </c>
      <c r="AA559" s="431">
        <v>69</v>
      </c>
      <c r="AB559" s="431">
        <v>75</v>
      </c>
      <c r="AC559" s="431">
        <v>80</v>
      </c>
      <c r="AD559" s="431">
        <v>85</v>
      </c>
      <c r="AE559" s="431" t="s">
        <v>762</v>
      </c>
      <c r="AF559" s="431" t="s">
        <v>762</v>
      </c>
      <c r="AG559" s="431">
        <v>183</v>
      </c>
      <c r="AH559" s="431" t="s">
        <v>762</v>
      </c>
      <c r="AI559" s="431">
        <v>183</v>
      </c>
      <c r="AJ559" s="431" t="s">
        <v>762</v>
      </c>
      <c r="AK559" s="431" t="s">
        <v>762</v>
      </c>
      <c r="AL559" s="431">
        <v>183</v>
      </c>
      <c r="AM559" s="431" t="s">
        <v>762</v>
      </c>
      <c r="AN559" s="431" t="s">
        <v>762</v>
      </c>
      <c r="AO559" s="431" t="s">
        <v>762</v>
      </c>
      <c r="AP559" s="431">
        <v>183</v>
      </c>
      <c r="AQ559" s="431" t="s">
        <v>762</v>
      </c>
      <c r="AR559" s="431" t="s">
        <v>762</v>
      </c>
      <c r="AS559" s="431" t="s">
        <v>762</v>
      </c>
      <c r="AT559" s="431">
        <v>183</v>
      </c>
      <c r="AU559" s="431" t="s">
        <v>762</v>
      </c>
      <c r="AV559" s="431" t="s">
        <v>762</v>
      </c>
      <c r="AW559" s="431" t="s">
        <v>762</v>
      </c>
      <c r="AX559" s="431" t="s">
        <v>762</v>
      </c>
      <c r="AY559" s="431" t="s">
        <v>762</v>
      </c>
      <c r="AZ559" s="431" t="s">
        <v>762</v>
      </c>
      <c r="BA559" s="431" t="s">
        <v>762</v>
      </c>
      <c r="BB559" s="431" t="s">
        <v>762</v>
      </c>
      <c r="BC559" s="431" t="s">
        <v>762</v>
      </c>
      <c r="BD559" s="431" t="s">
        <v>762</v>
      </c>
      <c r="BE559" s="431" t="s">
        <v>762</v>
      </c>
      <c r="BF559" s="431">
        <v>303</v>
      </c>
      <c r="BG559" s="431" t="s">
        <v>762</v>
      </c>
      <c r="BH559" s="431" t="s">
        <v>762</v>
      </c>
      <c r="BI559" s="431" t="s">
        <v>762</v>
      </c>
      <c r="BJ559" s="431" t="s">
        <v>762</v>
      </c>
      <c r="BK559" s="431" t="s">
        <v>762</v>
      </c>
      <c r="BL559" s="431">
        <v>409</v>
      </c>
      <c r="BM559" s="431" t="s">
        <v>762</v>
      </c>
      <c r="BN559" s="431" t="s">
        <v>762</v>
      </c>
      <c r="BO559" s="431" t="s">
        <v>762</v>
      </c>
      <c r="BP559" s="431" t="s">
        <v>762</v>
      </c>
      <c r="BQ559" s="431" t="s">
        <v>762</v>
      </c>
      <c r="BR559" s="431" t="s">
        <v>762</v>
      </c>
      <c r="BS559" s="431" t="s">
        <v>762</v>
      </c>
      <c r="BT559" s="431" t="s">
        <v>762</v>
      </c>
      <c r="BU559" s="431" t="s">
        <v>762</v>
      </c>
      <c r="BV559" s="431" t="s">
        <v>762</v>
      </c>
      <c r="BW559" s="431" t="s">
        <v>762</v>
      </c>
      <c r="BX559" s="431" t="s">
        <v>762</v>
      </c>
      <c r="BY559" s="431" t="s">
        <v>762</v>
      </c>
      <c r="BZ559" s="431" t="s">
        <v>762</v>
      </c>
      <c r="CA559" s="431" t="s">
        <v>762</v>
      </c>
      <c r="CB559" s="431" t="s">
        <v>762</v>
      </c>
      <c r="CC559" s="431" t="s">
        <v>762</v>
      </c>
      <c r="CD559" s="431" t="s">
        <v>762</v>
      </c>
      <c r="CE559" s="431" t="s">
        <v>762</v>
      </c>
      <c r="CF559" s="431" t="s">
        <v>762</v>
      </c>
      <c r="CG559" s="431" t="s">
        <v>762</v>
      </c>
      <c r="CH559" s="431" t="s">
        <v>762</v>
      </c>
      <c r="CI559" s="431" t="s">
        <v>762</v>
      </c>
      <c r="CJ559" s="431" t="s">
        <v>762</v>
      </c>
      <c r="CK559" s="431" t="s">
        <v>762</v>
      </c>
      <c r="CL559" s="431" t="s">
        <v>762</v>
      </c>
    </row>
    <row r="560" spans="1:90" s="432" customFormat="1">
      <c r="A560" s="430" t="s">
        <v>612</v>
      </c>
      <c r="B560" s="430" t="s">
        <v>631</v>
      </c>
      <c r="C560" s="431" t="s">
        <v>762</v>
      </c>
      <c r="D560" s="431" t="s">
        <v>762</v>
      </c>
      <c r="E560" s="431" t="s">
        <v>762</v>
      </c>
      <c r="F560" s="431" t="s">
        <v>762</v>
      </c>
      <c r="G560" s="431" t="s">
        <v>762</v>
      </c>
      <c r="H560" s="431" t="s">
        <v>762</v>
      </c>
      <c r="I560" s="431" t="s">
        <v>762</v>
      </c>
      <c r="J560" s="431" t="s">
        <v>762</v>
      </c>
      <c r="K560" s="431" t="s">
        <v>762</v>
      </c>
      <c r="L560" s="431">
        <v>24</v>
      </c>
      <c r="M560" s="431" t="s">
        <v>762</v>
      </c>
      <c r="N560" s="431" t="s">
        <v>762</v>
      </c>
      <c r="O560" s="431" t="s">
        <v>762</v>
      </c>
      <c r="P560" s="431" t="s">
        <v>762</v>
      </c>
      <c r="Q560" s="431" t="s">
        <v>762</v>
      </c>
      <c r="R560" s="431" t="s">
        <v>762</v>
      </c>
      <c r="S560" s="431" t="s">
        <v>762</v>
      </c>
      <c r="T560" s="431" t="s">
        <v>762</v>
      </c>
      <c r="U560" s="431" t="s">
        <v>762</v>
      </c>
      <c r="V560" s="431">
        <v>28</v>
      </c>
      <c r="W560" s="431">
        <v>34</v>
      </c>
      <c r="X560" s="431">
        <v>39</v>
      </c>
      <c r="Y560" s="431">
        <v>42</v>
      </c>
      <c r="Z560" s="431">
        <v>46</v>
      </c>
      <c r="AA560" s="431">
        <v>49</v>
      </c>
      <c r="AB560" s="431">
        <v>54</v>
      </c>
      <c r="AC560" s="431">
        <v>56</v>
      </c>
      <c r="AD560" s="431">
        <v>62</v>
      </c>
      <c r="AE560" s="431" t="s">
        <v>762</v>
      </c>
      <c r="AF560" s="431" t="s">
        <v>762</v>
      </c>
      <c r="AG560" s="431">
        <v>138</v>
      </c>
      <c r="AH560" s="431" t="s">
        <v>762</v>
      </c>
      <c r="AI560" s="431">
        <v>138</v>
      </c>
      <c r="AJ560" s="431" t="s">
        <v>762</v>
      </c>
      <c r="AK560" s="431" t="s">
        <v>762</v>
      </c>
      <c r="AL560" s="431">
        <v>138</v>
      </c>
      <c r="AM560" s="431" t="s">
        <v>762</v>
      </c>
      <c r="AN560" s="431" t="s">
        <v>762</v>
      </c>
      <c r="AO560" s="431" t="s">
        <v>762</v>
      </c>
      <c r="AP560" s="431">
        <v>138</v>
      </c>
      <c r="AQ560" s="431" t="s">
        <v>762</v>
      </c>
      <c r="AR560" s="431" t="s">
        <v>762</v>
      </c>
      <c r="AS560" s="431" t="s">
        <v>762</v>
      </c>
      <c r="AT560" s="431">
        <v>138</v>
      </c>
      <c r="AU560" s="431" t="s">
        <v>762</v>
      </c>
      <c r="AV560" s="431" t="s">
        <v>762</v>
      </c>
      <c r="AW560" s="431" t="s">
        <v>762</v>
      </c>
      <c r="AX560" s="431" t="s">
        <v>762</v>
      </c>
      <c r="AY560" s="431" t="s">
        <v>762</v>
      </c>
      <c r="AZ560" s="431" t="s">
        <v>762</v>
      </c>
      <c r="BA560" s="431" t="s">
        <v>762</v>
      </c>
      <c r="BB560" s="431" t="s">
        <v>762</v>
      </c>
      <c r="BC560" s="431" t="s">
        <v>762</v>
      </c>
      <c r="BD560" s="431" t="s">
        <v>762</v>
      </c>
      <c r="BE560" s="431" t="s">
        <v>762</v>
      </c>
      <c r="BF560" s="431">
        <v>215</v>
      </c>
      <c r="BG560" s="431" t="s">
        <v>762</v>
      </c>
      <c r="BH560" s="431" t="s">
        <v>762</v>
      </c>
      <c r="BI560" s="431" t="s">
        <v>762</v>
      </c>
      <c r="BJ560" s="431" t="s">
        <v>762</v>
      </c>
      <c r="BK560" s="431" t="s">
        <v>762</v>
      </c>
      <c r="BL560" s="431">
        <v>272</v>
      </c>
      <c r="BM560" s="431" t="s">
        <v>762</v>
      </c>
      <c r="BN560" s="431" t="s">
        <v>762</v>
      </c>
      <c r="BO560" s="431" t="s">
        <v>762</v>
      </c>
      <c r="BP560" s="431" t="s">
        <v>762</v>
      </c>
      <c r="BQ560" s="431" t="s">
        <v>762</v>
      </c>
      <c r="BR560" s="431" t="s">
        <v>762</v>
      </c>
      <c r="BS560" s="431" t="s">
        <v>762</v>
      </c>
      <c r="BT560" s="431" t="s">
        <v>762</v>
      </c>
      <c r="BU560" s="431" t="s">
        <v>762</v>
      </c>
      <c r="BV560" s="431" t="s">
        <v>762</v>
      </c>
      <c r="BW560" s="431" t="s">
        <v>762</v>
      </c>
      <c r="BX560" s="431" t="s">
        <v>762</v>
      </c>
      <c r="BY560" s="431" t="s">
        <v>762</v>
      </c>
      <c r="BZ560" s="431" t="s">
        <v>762</v>
      </c>
      <c r="CA560" s="431" t="s">
        <v>762</v>
      </c>
      <c r="CB560" s="431" t="s">
        <v>762</v>
      </c>
      <c r="CC560" s="431" t="s">
        <v>762</v>
      </c>
      <c r="CD560" s="431" t="s">
        <v>762</v>
      </c>
      <c r="CE560" s="431" t="s">
        <v>762</v>
      </c>
      <c r="CF560" s="431" t="s">
        <v>762</v>
      </c>
      <c r="CG560" s="431" t="s">
        <v>762</v>
      </c>
      <c r="CH560" s="431" t="s">
        <v>762</v>
      </c>
      <c r="CI560" s="431" t="s">
        <v>762</v>
      </c>
      <c r="CJ560" s="431" t="s">
        <v>762</v>
      </c>
      <c r="CK560" s="431" t="s">
        <v>762</v>
      </c>
      <c r="CL560" s="431" t="s">
        <v>762</v>
      </c>
    </row>
    <row r="561" spans="1:90" s="432" customFormat="1">
      <c r="A561" s="430" t="s">
        <v>613</v>
      </c>
      <c r="B561" s="430" t="s">
        <v>631</v>
      </c>
      <c r="C561" s="431" t="s">
        <v>762</v>
      </c>
      <c r="D561" s="431" t="s">
        <v>762</v>
      </c>
      <c r="E561" s="431" t="s">
        <v>762</v>
      </c>
      <c r="F561" s="431" t="s">
        <v>762</v>
      </c>
      <c r="G561" s="431" t="s">
        <v>762</v>
      </c>
      <c r="H561" s="431" t="s">
        <v>762</v>
      </c>
      <c r="I561" s="431" t="s">
        <v>762</v>
      </c>
      <c r="J561" s="431" t="s">
        <v>762</v>
      </c>
      <c r="K561" s="431" t="s">
        <v>762</v>
      </c>
      <c r="L561" s="431">
        <v>34</v>
      </c>
      <c r="M561" s="431" t="s">
        <v>762</v>
      </c>
      <c r="N561" s="431" t="s">
        <v>762</v>
      </c>
      <c r="O561" s="431" t="s">
        <v>762</v>
      </c>
      <c r="P561" s="431" t="s">
        <v>762</v>
      </c>
      <c r="Q561" s="431" t="s">
        <v>762</v>
      </c>
      <c r="R561" s="431" t="s">
        <v>762</v>
      </c>
      <c r="S561" s="431" t="s">
        <v>762</v>
      </c>
      <c r="T561" s="431" t="s">
        <v>762</v>
      </c>
      <c r="U561" s="431" t="s">
        <v>762</v>
      </c>
      <c r="V561" s="431">
        <v>40</v>
      </c>
      <c r="W561" s="431">
        <v>49</v>
      </c>
      <c r="X561" s="431">
        <v>57</v>
      </c>
      <c r="Y561" s="431">
        <v>61</v>
      </c>
      <c r="Z561" s="431">
        <v>67</v>
      </c>
      <c r="AA561" s="431">
        <v>71</v>
      </c>
      <c r="AB561" s="431">
        <v>79</v>
      </c>
      <c r="AC561" s="431">
        <v>83</v>
      </c>
      <c r="AD561" s="431">
        <v>91</v>
      </c>
      <c r="AE561" s="431" t="s">
        <v>762</v>
      </c>
      <c r="AF561" s="431" t="s">
        <v>762</v>
      </c>
      <c r="AG561" s="431" t="s">
        <v>762</v>
      </c>
      <c r="AH561" s="431" t="s">
        <v>762</v>
      </c>
      <c r="AI561" s="431" t="s">
        <v>762</v>
      </c>
      <c r="AJ561" s="431" t="s">
        <v>762</v>
      </c>
      <c r="AK561" s="431" t="s">
        <v>762</v>
      </c>
      <c r="AL561" s="431" t="s">
        <v>762</v>
      </c>
      <c r="AM561" s="431" t="s">
        <v>762</v>
      </c>
      <c r="AN561" s="431" t="s">
        <v>762</v>
      </c>
      <c r="AO561" s="431" t="s">
        <v>762</v>
      </c>
      <c r="AP561" s="431" t="s">
        <v>762</v>
      </c>
      <c r="AQ561" s="431" t="s">
        <v>762</v>
      </c>
      <c r="AR561" s="431" t="s">
        <v>762</v>
      </c>
      <c r="AS561" s="431" t="s">
        <v>762</v>
      </c>
      <c r="AT561" s="431" t="s">
        <v>762</v>
      </c>
      <c r="AU561" s="431" t="s">
        <v>762</v>
      </c>
      <c r="AV561" s="431" t="s">
        <v>762</v>
      </c>
      <c r="AW561" s="431" t="s">
        <v>762</v>
      </c>
      <c r="AX561" s="431" t="s">
        <v>762</v>
      </c>
      <c r="AY561" s="431" t="s">
        <v>762</v>
      </c>
      <c r="AZ561" s="431" t="s">
        <v>762</v>
      </c>
      <c r="BA561" s="431" t="s">
        <v>762</v>
      </c>
      <c r="BB561" s="431" t="s">
        <v>762</v>
      </c>
      <c r="BC561" s="431" t="s">
        <v>762</v>
      </c>
      <c r="BD561" s="431" t="s">
        <v>762</v>
      </c>
      <c r="BE561" s="431" t="s">
        <v>762</v>
      </c>
      <c r="BF561" s="431" t="s">
        <v>762</v>
      </c>
      <c r="BG561" s="431" t="s">
        <v>762</v>
      </c>
      <c r="BH561" s="431" t="s">
        <v>762</v>
      </c>
      <c r="BI561" s="431" t="s">
        <v>762</v>
      </c>
      <c r="BJ561" s="431" t="s">
        <v>762</v>
      </c>
      <c r="BK561" s="431" t="s">
        <v>762</v>
      </c>
      <c r="BL561" s="431" t="s">
        <v>762</v>
      </c>
      <c r="BM561" s="431" t="s">
        <v>762</v>
      </c>
      <c r="BN561" s="431" t="s">
        <v>762</v>
      </c>
      <c r="BO561" s="431" t="s">
        <v>762</v>
      </c>
      <c r="BP561" s="431" t="s">
        <v>762</v>
      </c>
      <c r="BQ561" s="431" t="s">
        <v>762</v>
      </c>
      <c r="BR561" s="431" t="s">
        <v>762</v>
      </c>
      <c r="BS561" s="431" t="s">
        <v>762</v>
      </c>
      <c r="BT561" s="431" t="s">
        <v>762</v>
      </c>
      <c r="BU561" s="431" t="s">
        <v>762</v>
      </c>
      <c r="BV561" s="431" t="s">
        <v>762</v>
      </c>
      <c r="BW561" s="431" t="s">
        <v>762</v>
      </c>
      <c r="BX561" s="431" t="s">
        <v>762</v>
      </c>
      <c r="BY561" s="431" t="s">
        <v>762</v>
      </c>
      <c r="BZ561" s="431" t="s">
        <v>762</v>
      </c>
      <c r="CA561" s="431" t="s">
        <v>762</v>
      </c>
      <c r="CB561" s="431" t="s">
        <v>762</v>
      </c>
      <c r="CC561" s="431" t="s">
        <v>762</v>
      </c>
      <c r="CD561" s="431" t="s">
        <v>762</v>
      </c>
      <c r="CE561" s="431" t="s">
        <v>762</v>
      </c>
      <c r="CF561" s="431" t="s">
        <v>762</v>
      </c>
      <c r="CG561" s="431" t="s">
        <v>762</v>
      </c>
      <c r="CH561" s="431" t="s">
        <v>762</v>
      </c>
      <c r="CI561" s="431" t="s">
        <v>762</v>
      </c>
      <c r="CJ561" s="431" t="s">
        <v>762</v>
      </c>
      <c r="CK561" s="431" t="s">
        <v>762</v>
      </c>
      <c r="CL561" s="431" t="s">
        <v>762</v>
      </c>
    </row>
    <row r="562" spans="1:90" s="432" customFormat="1">
      <c r="A562" s="430" t="s">
        <v>614</v>
      </c>
      <c r="B562" s="430" t="s">
        <v>631</v>
      </c>
      <c r="C562" s="431" t="s">
        <v>762</v>
      </c>
      <c r="D562" s="431" t="s">
        <v>762</v>
      </c>
      <c r="E562" s="431" t="s">
        <v>762</v>
      </c>
      <c r="F562" s="431" t="s">
        <v>762</v>
      </c>
      <c r="G562" s="431" t="s">
        <v>762</v>
      </c>
      <c r="H562" s="431" t="s">
        <v>762</v>
      </c>
      <c r="I562" s="431" t="s">
        <v>762</v>
      </c>
      <c r="J562" s="431" t="s">
        <v>762</v>
      </c>
      <c r="K562" s="431" t="s">
        <v>762</v>
      </c>
      <c r="L562" s="431">
        <v>27</v>
      </c>
      <c r="M562" s="431" t="s">
        <v>762</v>
      </c>
      <c r="N562" s="431" t="s">
        <v>762</v>
      </c>
      <c r="O562" s="431" t="s">
        <v>762</v>
      </c>
      <c r="P562" s="431" t="s">
        <v>762</v>
      </c>
      <c r="Q562" s="431" t="s">
        <v>762</v>
      </c>
      <c r="R562" s="431" t="s">
        <v>762</v>
      </c>
      <c r="S562" s="431" t="s">
        <v>762</v>
      </c>
      <c r="T562" s="431" t="s">
        <v>762</v>
      </c>
      <c r="U562" s="431" t="s">
        <v>762</v>
      </c>
      <c r="V562" s="431">
        <v>32</v>
      </c>
      <c r="W562" s="431">
        <v>36</v>
      </c>
      <c r="X562" s="431">
        <v>41</v>
      </c>
      <c r="Y562" s="431">
        <v>46</v>
      </c>
      <c r="Z562" s="431">
        <v>51</v>
      </c>
      <c r="AA562" s="431">
        <v>56</v>
      </c>
      <c r="AB562" s="431">
        <v>61</v>
      </c>
      <c r="AC562" s="431">
        <v>67</v>
      </c>
      <c r="AD562" s="431">
        <v>72</v>
      </c>
      <c r="AE562" s="431" t="s">
        <v>762</v>
      </c>
      <c r="AF562" s="431" t="s">
        <v>762</v>
      </c>
      <c r="AG562" s="431">
        <v>138</v>
      </c>
      <c r="AH562" s="431" t="s">
        <v>762</v>
      </c>
      <c r="AI562" s="431">
        <v>138</v>
      </c>
      <c r="AJ562" s="431" t="s">
        <v>762</v>
      </c>
      <c r="AK562" s="431" t="s">
        <v>762</v>
      </c>
      <c r="AL562" s="431">
        <v>138</v>
      </c>
      <c r="AM562" s="431" t="s">
        <v>762</v>
      </c>
      <c r="AN562" s="431" t="s">
        <v>762</v>
      </c>
      <c r="AO562" s="431" t="s">
        <v>762</v>
      </c>
      <c r="AP562" s="431">
        <v>138</v>
      </c>
      <c r="AQ562" s="431" t="s">
        <v>762</v>
      </c>
      <c r="AR562" s="431" t="s">
        <v>762</v>
      </c>
      <c r="AS562" s="431" t="s">
        <v>762</v>
      </c>
      <c r="AT562" s="431">
        <v>138</v>
      </c>
      <c r="AU562" s="431" t="s">
        <v>762</v>
      </c>
      <c r="AV562" s="431" t="s">
        <v>762</v>
      </c>
      <c r="AW562" s="431" t="s">
        <v>762</v>
      </c>
      <c r="AX562" s="431" t="s">
        <v>762</v>
      </c>
      <c r="AY562" s="431" t="s">
        <v>762</v>
      </c>
      <c r="AZ562" s="431" t="s">
        <v>762</v>
      </c>
      <c r="BA562" s="431" t="s">
        <v>762</v>
      </c>
      <c r="BB562" s="431" t="s">
        <v>762</v>
      </c>
      <c r="BC562" s="431" t="s">
        <v>762</v>
      </c>
      <c r="BD562" s="431" t="s">
        <v>762</v>
      </c>
      <c r="BE562" s="431" t="s">
        <v>762</v>
      </c>
      <c r="BF562" s="431">
        <v>202</v>
      </c>
      <c r="BG562" s="431" t="s">
        <v>762</v>
      </c>
      <c r="BH562" s="431" t="s">
        <v>762</v>
      </c>
      <c r="BI562" s="431" t="s">
        <v>762</v>
      </c>
      <c r="BJ562" s="431" t="s">
        <v>762</v>
      </c>
      <c r="BK562" s="431" t="s">
        <v>762</v>
      </c>
      <c r="BL562" s="431">
        <v>244</v>
      </c>
      <c r="BM562" s="431" t="s">
        <v>762</v>
      </c>
      <c r="BN562" s="431" t="s">
        <v>762</v>
      </c>
      <c r="BO562" s="431" t="s">
        <v>762</v>
      </c>
      <c r="BP562" s="431" t="s">
        <v>762</v>
      </c>
      <c r="BQ562" s="431" t="s">
        <v>762</v>
      </c>
      <c r="BR562" s="431" t="s">
        <v>762</v>
      </c>
      <c r="BS562" s="431" t="s">
        <v>762</v>
      </c>
      <c r="BT562" s="431" t="s">
        <v>762</v>
      </c>
      <c r="BU562" s="431" t="s">
        <v>762</v>
      </c>
      <c r="BV562" s="431" t="s">
        <v>762</v>
      </c>
      <c r="BW562" s="431" t="s">
        <v>762</v>
      </c>
      <c r="BX562" s="431" t="s">
        <v>762</v>
      </c>
      <c r="BY562" s="431" t="s">
        <v>762</v>
      </c>
      <c r="BZ562" s="431" t="s">
        <v>762</v>
      </c>
      <c r="CA562" s="431" t="s">
        <v>762</v>
      </c>
      <c r="CB562" s="431" t="s">
        <v>762</v>
      </c>
      <c r="CC562" s="431" t="s">
        <v>762</v>
      </c>
      <c r="CD562" s="431" t="s">
        <v>762</v>
      </c>
      <c r="CE562" s="431" t="s">
        <v>762</v>
      </c>
      <c r="CF562" s="431" t="s">
        <v>762</v>
      </c>
      <c r="CG562" s="431" t="s">
        <v>762</v>
      </c>
      <c r="CH562" s="431" t="s">
        <v>762</v>
      </c>
      <c r="CI562" s="431" t="s">
        <v>762</v>
      </c>
      <c r="CJ562" s="431" t="s">
        <v>762</v>
      </c>
      <c r="CK562" s="431" t="s">
        <v>762</v>
      </c>
      <c r="CL562" s="431" t="s">
        <v>762</v>
      </c>
    </row>
    <row r="563" spans="1:90" s="432" customFormat="1">
      <c r="A563" s="430" t="s">
        <v>615</v>
      </c>
      <c r="B563" s="430" t="s">
        <v>631</v>
      </c>
      <c r="C563" s="431" t="s">
        <v>762</v>
      </c>
      <c r="D563" s="431" t="s">
        <v>762</v>
      </c>
      <c r="E563" s="431" t="s">
        <v>762</v>
      </c>
      <c r="F563" s="431" t="s">
        <v>762</v>
      </c>
      <c r="G563" s="431" t="s">
        <v>762</v>
      </c>
      <c r="H563" s="431" t="s">
        <v>762</v>
      </c>
      <c r="I563" s="431" t="s">
        <v>762</v>
      </c>
      <c r="J563" s="431" t="s">
        <v>762</v>
      </c>
      <c r="K563" s="431" t="s">
        <v>762</v>
      </c>
      <c r="L563" s="431">
        <v>23</v>
      </c>
      <c r="M563" s="431" t="s">
        <v>762</v>
      </c>
      <c r="N563" s="431" t="s">
        <v>762</v>
      </c>
      <c r="O563" s="431" t="s">
        <v>762</v>
      </c>
      <c r="P563" s="431" t="s">
        <v>762</v>
      </c>
      <c r="Q563" s="431" t="s">
        <v>762</v>
      </c>
      <c r="R563" s="431" t="s">
        <v>762</v>
      </c>
      <c r="S563" s="431" t="s">
        <v>762</v>
      </c>
      <c r="T563" s="431" t="s">
        <v>762</v>
      </c>
      <c r="U563" s="431" t="s">
        <v>762</v>
      </c>
      <c r="V563" s="431">
        <v>29</v>
      </c>
      <c r="W563" s="431">
        <v>34</v>
      </c>
      <c r="X563" s="431">
        <v>38</v>
      </c>
      <c r="Y563" s="431">
        <v>44</v>
      </c>
      <c r="Z563" s="431">
        <v>47</v>
      </c>
      <c r="AA563" s="431">
        <v>52</v>
      </c>
      <c r="AB563" s="431">
        <v>55</v>
      </c>
      <c r="AC563" s="431">
        <v>59</v>
      </c>
      <c r="AD563" s="431">
        <v>62</v>
      </c>
      <c r="AE563" s="431" t="s">
        <v>762</v>
      </c>
      <c r="AF563" s="431" t="s">
        <v>762</v>
      </c>
      <c r="AG563" s="431">
        <v>144</v>
      </c>
      <c r="AH563" s="431" t="s">
        <v>762</v>
      </c>
      <c r="AI563" s="431">
        <v>144</v>
      </c>
      <c r="AJ563" s="431" t="s">
        <v>762</v>
      </c>
      <c r="AK563" s="431" t="s">
        <v>762</v>
      </c>
      <c r="AL563" s="431">
        <v>144</v>
      </c>
      <c r="AM563" s="431" t="s">
        <v>762</v>
      </c>
      <c r="AN563" s="431" t="s">
        <v>762</v>
      </c>
      <c r="AO563" s="431" t="s">
        <v>762</v>
      </c>
      <c r="AP563" s="431">
        <v>144</v>
      </c>
      <c r="AQ563" s="431" t="s">
        <v>762</v>
      </c>
      <c r="AR563" s="431" t="s">
        <v>762</v>
      </c>
      <c r="AS563" s="431" t="s">
        <v>762</v>
      </c>
      <c r="AT563" s="431">
        <v>144</v>
      </c>
      <c r="AU563" s="431" t="s">
        <v>762</v>
      </c>
      <c r="AV563" s="431" t="s">
        <v>762</v>
      </c>
      <c r="AW563" s="431" t="s">
        <v>762</v>
      </c>
      <c r="AX563" s="431" t="s">
        <v>762</v>
      </c>
      <c r="AY563" s="431" t="s">
        <v>762</v>
      </c>
      <c r="AZ563" s="431" t="s">
        <v>762</v>
      </c>
      <c r="BA563" s="431" t="s">
        <v>762</v>
      </c>
      <c r="BB563" s="431" t="s">
        <v>762</v>
      </c>
      <c r="BC563" s="431" t="s">
        <v>762</v>
      </c>
      <c r="BD563" s="431" t="s">
        <v>762</v>
      </c>
      <c r="BE563" s="431" t="s">
        <v>762</v>
      </c>
      <c r="BF563" s="431">
        <v>207</v>
      </c>
      <c r="BG563" s="431" t="s">
        <v>762</v>
      </c>
      <c r="BH563" s="431" t="s">
        <v>762</v>
      </c>
      <c r="BI563" s="431" t="s">
        <v>762</v>
      </c>
      <c r="BJ563" s="431" t="s">
        <v>762</v>
      </c>
      <c r="BK563" s="431" t="s">
        <v>762</v>
      </c>
      <c r="BL563" s="431">
        <v>247</v>
      </c>
      <c r="BM563" s="431" t="s">
        <v>762</v>
      </c>
      <c r="BN563" s="431" t="s">
        <v>762</v>
      </c>
      <c r="BO563" s="431" t="s">
        <v>762</v>
      </c>
      <c r="BP563" s="431" t="s">
        <v>762</v>
      </c>
      <c r="BQ563" s="431" t="s">
        <v>762</v>
      </c>
      <c r="BR563" s="431" t="s">
        <v>762</v>
      </c>
      <c r="BS563" s="431" t="s">
        <v>762</v>
      </c>
      <c r="BT563" s="431" t="s">
        <v>762</v>
      </c>
      <c r="BU563" s="431" t="s">
        <v>762</v>
      </c>
      <c r="BV563" s="431" t="s">
        <v>762</v>
      </c>
      <c r="BW563" s="431" t="s">
        <v>762</v>
      </c>
      <c r="BX563" s="431" t="s">
        <v>762</v>
      </c>
      <c r="BY563" s="431" t="s">
        <v>762</v>
      </c>
      <c r="BZ563" s="431" t="s">
        <v>762</v>
      </c>
      <c r="CA563" s="431" t="s">
        <v>762</v>
      </c>
      <c r="CB563" s="431" t="s">
        <v>762</v>
      </c>
      <c r="CC563" s="431" t="s">
        <v>762</v>
      </c>
      <c r="CD563" s="431" t="s">
        <v>762</v>
      </c>
      <c r="CE563" s="431" t="s">
        <v>762</v>
      </c>
      <c r="CF563" s="431" t="s">
        <v>762</v>
      </c>
      <c r="CG563" s="431" t="s">
        <v>762</v>
      </c>
      <c r="CH563" s="431" t="s">
        <v>762</v>
      </c>
      <c r="CI563" s="431" t="s">
        <v>762</v>
      </c>
      <c r="CJ563" s="431" t="s">
        <v>762</v>
      </c>
      <c r="CK563" s="431" t="s">
        <v>762</v>
      </c>
      <c r="CL563" s="431" t="s">
        <v>762</v>
      </c>
    </row>
    <row r="564" spans="1:90" s="432" customFormat="1">
      <c r="A564" s="430" t="s">
        <v>616</v>
      </c>
      <c r="B564" s="430" t="s">
        <v>631</v>
      </c>
      <c r="C564" s="431" t="s">
        <v>762</v>
      </c>
      <c r="D564" s="431" t="s">
        <v>762</v>
      </c>
      <c r="E564" s="431" t="s">
        <v>762</v>
      </c>
      <c r="F564" s="431" t="s">
        <v>762</v>
      </c>
      <c r="G564" s="431" t="s">
        <v>762</v>
      </c>
      <c r="H564" s="431" t="s">
        <v>762</v>
      </c>
      <c r="I564" s="431" t="s">
        <v>762</v>
      </c>
      <c r="J564" s="431" t="s">
        <v>762</v>
      </c>
      <c r="K564" s="431" t="s">
        <v>762</v>
      </c>
      <c r="L564" s="431">
        <v>38</v>
      </c>
      <c r="M564" s="431" t="s">
        <v>762</v>
      </c>
      <c r="N564" s="431" t="s">
        <v>762</v>
      </c>
      <c r="O564" s="431" t="s">
        <v>762</v>
      </c>
      <c r="P564" s="431" t="s">
        <v>762</v>
      </c>
      <c r="Q564" s="431" t="s">
        <v>762</v>
      </c>
      <c r="R564" s="431" t="s">
        <v>762</v>
      </c>
      <c r="S564" s="431" t="s">
        <v>762</v>
      </c>
      <c r="T564" s="431" t="s">
        <v>762</v>
      </c>
      <c r="U564" s="431" t="s">
        <v>762</v>
      </c>
      <c r="V564" s="431">
        <v>45</v>
      </c>
      <c r="W564" s="431">
        <v>54</v>
      </c>
      <c r="X564" s="431">
        <v>60</v>
      </c>
      <c r="Y564" s="431">
        <v>65</v>
      </c>
      <c r="Z564" s="431">
        <v>70</v>
      </c>
      <c r="AA564" s="431">
        <v>77</v>
      </c>
      <c r="AB564" s="431">
        <v>83</v>
      </c>
      <c r="AC564" s="431">
        <v>90</v>
      </c>
      <c r="AD564" s="431">
        <v>95</v>
      </c>
      <c r="AE564" s="431" t="s">
        <v>762</v>
      </c>
      <c r="AF564" s="431" t="s">
        <v>762</v>
      </c>
      <c r="AG564" s="431">
        <v>169</v>
      </c>
      <c r="AH564" s="431" t="s">
        <v>762</v>
      </c>
      <c r="AI564" s="431">
        <v>169</v>
      </c>
      <c r="AJ564" s="431" t="s">
        <v>762</v>
      </c>
      <c r="AK564" s="431" t="s">
        <v>762</v>
      </c>
      <c r="AL564" s="431">
        <v>169</v>
      </c>
      <c r="AM564" s="431" t="s">
        <v>762</v>
      </c>
      <c r="AN564" s="431" t="s">
        <v>762</v>
      </c>
      <c r="AO564" s="431" t="s">
        <v>762</v>
      </c>
      <c r="AP564" s="431">
        <v>169</v>
      </c>
      <c r="AQ564" s="431" t="s">
        <v>762</v>
      </c>
      <c r="AR564" s="431" t="s">
        <v>762</v>
      </c>
      <c r="AS564" s="431" t="s">
        <v>762</v>
      </c>
      <c r="AT564" s="431">
        <v>169</v>
      </c>
      <c r="AU564" s="431" t="s">
        <v>762</v>
      </c>
      <c r="AV564" s="431" t="s">
        <v>762</v>
      </c>
      <c r="AW564" s="431" t="s">
        <v>762</v>
      </c>
      <c r="AX564" s="431" t="s">
        <v>762</v>
      </c>
      <c r="AY564" s="431" t="s">
        <v>762</v>
      </c>
      <c r="AZ564" s="431" t="s">
        <v>762</v>
      </c>
      <c r="BA564" s="431" t="s">
        <v>762</v>
      </c>
      <c r="BB564" s="431" t="s">
        <v>762</v>
      </c>
      <c r="BC564" s="431" t="s">
        <v>762</v>
      </c>
      <c r="BD564" s="431" t="s">
        <v>762</v>
      </c>
      <c r="BE564" s="431" t="s">
        <v>762</v>
      </c>
      <c r="BF564" s="431">
        <v>262</v>
      </c>
      <c r="BG564" s="431" t="s">
        <v>762</v>
      </c>
      <c r="BH564" s="431" t="s">
        <v>762</v>
      </c>
      <c r="BI564" s="431" t="s">
        <v>762</v>
      </c>
      <c r="BJ564" s="431" t="s">
        <v>762</v>
      </c>
      <c r="BK564" s="431" t="s">
        <v>762</v>
      </c>
      <c r="BL564" s="431">
        <v>315</v>
      </c>
      <c r="BM564" s="431" t="s">
        <v>762</v>
      </c>
      <c r="BN564" s="431" t="s">
        <v>762</v>
      </c>
      <c r="BO564" s="431" t="s">
        <v>762</v>
      </c>
      <c r="BP564" s="431" t="s">
        <v>762</v>
      </c>
      <c r="BQ564" s="431" t="s">
        <v>762</v>
      </c>
      <c r="BR564" s="431" t="s">
        <v>762</v>
      </c>
      <c r="BS564" s="431" t="s">
        <v>762</v>
      </c>
      <c r="BT564" s="431" t="s">
        <v>762</v>
      </c>
      <c r="BU564" s="431" t="s">
        <v>762</v>
      </c>
      <c r="BV564" s="431" t="s">
        <v>762</v>
      </c>
      <c r="BW564" s="431" t="s">
        <v>762</v>
      </c>
      <c r="BX564" s="431" t="s">
        <v>762</v>
      </c>
      <c r="BY564" s="431" t="s">
        <v>762</v>
      </c>
      <c r="BZ564" s="431" t="s">
        <v>762</v>
      </c>
      <c r="CA564" s="431" t="s">
        <v>762</v>
      </c>
      <c r="CB564" s="431" t="s">
        <v>762</v>
      </c>
      <c r="CC564" s="431" t="s">
        <v>762</v>
      </c>
      <c r="CD564" s="431" t="s">
        <v>762</v>
      </c>
      <c r="CE564" s="431" t="s">
        <v>762</v>
      </c>
      <c r="CF564" s="431" t="s">
        <v>762</v>
      </c>
      <c r="CG564" s="431" t="s">
        <v>762</v>
      </c>
      <c r="CH564" s="431" t="s">
        <v>762</v>
      </c>
      <c r="CI564" s="431" t="s">
        <v>762</v>
      </c>
      <c r="CJ564" s="431" t="s">
        <v>762</v>
      </c>
      <c r="CK564" s="431" t="s">
        <v>762</v>
      </c>
      <c r="CL564" s="431" t="s">
        <v>762</v>
      </c>
    </row>
    <row r="565" spans="1:90" s="432" customFormat="1">
      <c r="A565" s="430" t="s">
        <v>617</v>
      </c>
      <c r="B565" s="430" t="s">
        <v>631</v>
      </c>
      <c r="C565" s="431" t="s">
        <v>762</v>
      </c>
      <c r="D565" s="431" t="s">
        <v>762</v>
      </c>
      <c r="E565" s="431" t="s">
        <v>762</v>
      </c>
      <c r="F565" s="431" t="s">
        <v>762</v>
      </c>
      <c r="G565" s="431" t="s">
        <v>762</v>
      </c>
      <c r="H565" s="431" t="s">
        <v>762</v>
      </c>
      <c r="I565" s="431" t="s">
        <v>762</v>
      </c>
      <c r="J565" s="431" t="s">
        <v>762</v>
      </c>
      <c r="K565" s="431" t="s">
        <v>762</v>
      </c>
      <c r="L565" s="431">
        <v>23</v>
      </c>
      <c r="M565" s="431" t="s">
        <v>762</v>
      </c>
      <c r="N565" s="431" t="s">
        <v>762</v>
      </c>
      <c r="O565" s="431" t="s">
        <v>762</v>
      </c>
      <c r="P565" s="431" t="s">
        <v>762</v>
      </c>
      <c r="Q565" s="431" t="s">
        <v>762</v>
      </c>
      <c r="R565" s="431" t="s">
        <v>762</v>
      </c>
      <c r="S565" s="431" t="s">
        <v>762</v>
      </c>
      <c r="T565" s="431" t="s">
        <v>762</v>
      </c>
      <c r="U565" s="431" t="s">
        <v>762</v>
      </c>
      <c r="V565" s="431">
        <v>29</v>
      </c>
      <c r="W565" s="431">
        <v>35</v>
      </c>
      <c r="X565" s="431">
        <v>39</v>
      </c>
      <c r="Y565" s="431">
        <v>45</v>
      </c>
      <c r="Z565" s="431">
        <v>49</v>
      </c>
      <c r="AA565" s="431">
        <v>54</v>
      </c>
      <c r="AB565" s="431">
        <v>58</v>
      </c>
      <c r="AC565" s="431">
        <v>62</v>
      </c>
      <c r="AD565" s="431">
        <v>65</v>
      </c>
      <c r="AE565" s="431" t="s">
        <v>762</v>
      </c>
      <c r="AF565" s="431" t="s">
        <v>762</v>
      </c>
      <c r="AG565" s="431">
        <v>149</v>
      </c>
      <c r="AH565" s="431" t="s">
        <v>762</v>
      </c>
      <c r="AI565" s="431">
        <v>149</v>
      </c>
      <c r="AJ565" s="431" t="s">
        <v>762</v>
      </c>
      <c r="AK565" s="431" t="s">
        <v>762</v>
      </c>
      <c r="AL565" s="431">
        <v>149</v>
      </c>
      <c r="AM565" s="431" t="s">
        <v>762</v>
      </c>
      <c r="AN565" s="431" t="s">
        <v>762</v>
      </c>
      <c r="AO565" s="431" t="s">
        <v>762</v>
      </c>
      <c r="AP565" s="431">
        <v>149</v>
      </c>
      <c r="AQ565" s="431" t="s">
        <v>762</v>
      </c>
      <c r="AR565" s="431" t="s">
        <v>762</v>
      </c>
      <c r="AS565" s="431" t="s">
        <v>762</v>
      </c>
      <c r="AT565" s="431">
        <v>149</v>
      </c>
      <c r="AU565" s="431" t="s">
        <v>762</v>
      </c>
      <c r="AV565" s="431" t="s">
        <v>762</v>
      </c>
      <c r="AW565" s="431" t="s">
        <v>762</v>
      </c>
      <c r="AX565" s="431" t="s">
        <v>762</v>
      </c>
      <c r="AY565" s="431" t="s">
        <v>762</v>
      </c>
      <c r="AZ565" s="431" t="s">
        <v>762</v>
      </c>
      <c r="BA565" s="431" t="s">
        <v>762</v>
      </c>
      <c r="BB565" s="431" t="s">
        <v>762</v>
      </c>
      <c r="BC565" s="431" t="s">
        <v>762</v>
      </c>
      <c r="BD565" s="431" t="s">
        <v>762</v>
      </c>
      <c r="BE565" s="431" t="s">
        <v>762</v>
      </c>
      <c r="BF565" s="431">
        <v>229</v>
      </c>
      <c r="BG565" s="431" t="s">
        <v>762</v>
      </c>
      <c r="BH565" s="431" t="s">
        <v>762</v>
      </c>
      <c r="BI565" s="431" t="s">
        <v>762</v>
      </c>
      <c r="BJ565" s="431" t="s">
        <v>762</v>
      </c>
      <c r="BK565" s="431" t="s">
        <v>762</v>
      </c>
      <c r="BL565" s="431">
        <v>274</v>
      </c>
      <c r="BM565" s="431" t="s">
        <v>762</v>
      </c>
      <c r="BN565" s="431" t="s">
        <v>762</v>
      </c>
      <c r="BO565" s="431" t="s">
        <v>762</v>
      </c>
      <c r="BP565" s="431" t="s">
        <v>762</v>
      </c>
      <c r="BQ565" s="431" t="s">
        <v>762</v>
      </c>
      <c r="BR565" s="431" t="s">
        <v>762</v>
      </c>
      <c r="BS565" s="431" t="s">
        <v>762</v>
      </c>
      <c r="BT565" s="431" t="s">
        <v>762</v>
      </c>
      <c r="BU565" s="431" t="s">
        <v>762</v>
      </c>
      <c r="BV565" s="431" t="s">
        <v>762</v>
      </c>
      <c r="BW565" s="431" t="s">
        <v>762</v>
      </c>
      <c r="BX565" s="431" t="s">
        <v>762</v>
      </c>
      <c r="BY565" s="431" t="s">
        <v>762</v>
      </c>
      <c r="BZ565" s="431" t="s">
        <v>762</v>
      </c>
      <c r="CA565" s="431" t="s">
        <v>762</v>
      </c>
      <c r="CB565" s="431" t="s">
        <v>762</v>
      </c>
      <c r="CC565" s="431" t="s">
        <v>762</v>
      </c>
      <c r="CD565" s="431" t="s">
        <v>762</v>
      </c>
      <c r="CE565" s="431" t="s">
        <v>762</v>
      </c>
      <c r="CF565" s="431" t="s">
        <v>762</v>
      </c>
      <c r="CG565" s="431" t="s">
        <v>762</v>
      </c>
      <c r="CH565" s="431" t="s">
        <v>762</v>
      </c>
      <c r="CI565" s="431" t="s">
        <v>762</v>
      </c>
      <c r="CJ565" s="431" t="s">
        <v>762</v>
      </c>
      <c r="CK565" s="431" t="s">
        <v>762</v>
      </c>
      <c r="CL565" s="431" t="s">
        <v>762</v>
      </c>
    </row>
    <row r="566" spans="1:90" s="432" customFormat="1">
      <c r="A566" s="430" t="s">
        <v>618</v>
      </c>
      <c r="B566" s="430" t="s">
        <v>631</v>
      </c>
      <c r="C566" s="431" t="s">
        <v>762</v>
      </c>
      <c r="D566" s="431" t="s">
        <v>762</v>
      </c>
      <c r="E566" s="431" t="s">
        <v>762</v>
      </c>
      <c r="F566" s="431" t="s">
        <v>762</v>
      </c>
      <c r="G566" s="431" t="s">
        <v>762</v>
      </c>
      <c r="H566" s="431" t="s">
        <v>762</v>
      </c>
      <c r="I566" s="431" t="s">
        <v>762</v>
      </c>
      <c r="J566" s="431" t="s">
        <v>762</v>
      </c>
      <c r="K566" s="431" t="s">
        <v>762</v>
      </c>
      <c r="L566" s="431">
        <v>37</v>
      </c>
      <c r="M566" s="431" t="s">
        <v>762</v>
      </c>
      <c r="N566" s="431" t="s">
        <v>762</v>
      </c>
      <c r="O566" s="431" t="s">
        <v>762</v>
      </c>
      <c r="P566" s="431" t="s">
        <v>762</v>
      </c>
      <c r="Q566" s="431" t="s">
        <v>762</v>
      </c>
      <c r="R566" s="431" t="s">
        <v>762</v>
      </c>
      <c r="S566" s="431" t="s">
        <v>762</v>
      </c>
      <c r="T566" s="431" t="s">
        <v>762</v>
      </c>
      <c r="U566" s="431" t="s">
        <v>762</v>
      </c>
      <c r="V566" s="431">
        <v>45</v>
      </c>
      <c r="W566" s="431">
        <v>54</v>
      </c>
      <c r="X566" s="431">
        <v>62</v>
      </c>
      <c r="Y566" s="431">
        <v>68</v>
      </c>
      <c r="Z566" s="431">
        <v>76</v>
      </c>
      <c r="AA566" s="431">
        <v>80</v>
      </c>
      <c r="AB566" s="431">
        <v>90</v>
      </c>
      <c r="AC566" s="431">
        <v>91</v>
      </c>
      <c r="AD566" s="431">
        <v>104</v>
      </c>
      <c r="AE566" s="431" t="s">
        <v>762</v>
      </c>
      <c r="AF566" s="431" t="s">
        <v>762</v>
      </c>
      <c r="AG566" s="431">
        <v>169</v>
      </c>
      <c r="AH566" s="431" t="s">
        <v>762</v>
      </c>
      <c r="AI566" s="431">
        <v>169</v>
      </c>
      <c r="AJ566" s="431" t="s">
        <v>762</v>
      </c>
      <c r="AK566" s="431" t="s">
        <v>762</v>
      </c>
      <c r="AL566" s="431">
        <v>169</v>
      </c>
      <c r="AM566" s="431" t="s">
        <v>762</v>
      </c>
      <c r="AN566" s="431" t="s">
        <v>762</v>
      </c>
      <c r="AO566" s="431" t="s">
        <v>762</v>
      </c>
      <c r="AP566" s="431">
        <v>169</v>
      </c>
      <c r="AQ566" s="431" t="s">
        <v>762</v>
      </c>
      <c r="AR566" s="431" t="s">
        <v>762</v>
      </c>
      <c r="AS566" s="431" t="s">
        <v>762</v>
      </c>
      <c r="AT566" s="431">
        <v>169</v>
      </c>
      <c r="AU566" s="431" t="s">
        <v>762</v>
      </c>
      <c r="AV566" s="431" t="s">
        <v>762</v>
      </c>
      <c r="AW566" s="431" t="s">
        <v>762</v>
      </c>
      <c r="AX566" s="431" t="s">
        <v>762</v>
      </c>
      <c r="AY566" s="431" t="s">
        <v>762</v>
      </c>
      <c r="AZ566" s="431" t="s">
        <v>762</v>
      </c>
      <c r="BA566" s="431" t="s">
        <v>762</v>
      </c>
      <c r="BB566" s="431" t="s">
        <v>762</v>
      </c>
      <c r="BC566" s="431" t="s">
        <v>762</v>
      </c>
      <c r="BD566" s="431" t="s">
        <v>762</v>
      </c>
      <c r="BE566" s="431" t="s">
        <v>762</v>
      </c>
      <c r="BF566" s="431">
        <v>259</v>
      </c>
      <c r="BG566" s="431" t="s">
        <v>762</v>
      </c>
      <c r="BH566" s="431" t="s">
        <v>762</v>
      </c>
      <c r="BI566" s="431" t="s">
        <v>762</v>
      </c>
      <c r="BJ566" s="431" t="s">
        <v>762</v>
      </c>
      <c r="BK566" s="431" t="s">
        <v>762</v>
      </c>
      <c r="BL566" s="431">
        <v>315</v>
      </c>
      <c r="BM566" s="431" t="s">
        <v>762</v>
      </c>
      <c r="BN566" s="431" t="s">
        <v>762</v>
      </c>
      <c r="BO566" s="431" t="s">
        <v>762</v>
      </c>
      <c r="BP566" s="431" t="s">
        <v>762</v>
      </c>
      <c r="BQ566" s="431" t="s">
        <v>762</v>
      </c>
      <c r="BR566" s="431" t="s">
        <v>762</v>
      </c>
      <c r="BS566" s="431" t="s">
        <v>762</v>
      </c>
      <c r="BT566" s="431" t="s">
        <v>762</v>
      </c>
      <c r="BU566" s="431" t="s">
        <v>762</v>
      </c>
      <c r="BV566" s="431" t="s">
        <v>762</v>
      </c>
      <c r="BW566" s="431" t="s">
        <v>762</v>
      </c>
      <c r="BX566" s="431" t="s">
        <v>762</v>
      </c>
      <c r="BY566" s="431" t="s">
        <v>762</v>
      </c>
      <c r="BZ566" s="431" t="s">
        <v>762</v>
      </c>
      <c r="CA566" s="431" t="s">
        <v>762</v>
      </c>
      <c r="CB566" s="431" t="s">
        <v>762</v>
      </c>
      <c r="CC566" s="431" t="s">
        <v>762</v>
      </c>
      <c r="CD566" s="431" t="s">
        <v>762</v>
      </c>
      <c r="CE566" s="431" t="s">
        <v>762</v>
      </c>
      <c r="CF566" s="431" t="s">
        <v>762</v>
      </c>
      <c r="CG566" s="431" t="s">
        <v>762</v>
      </c>
      <c r="CH566" s="431" t="s">
        <v>762</v>
      </c>
      <c r="CI566" s="431" t="s">
        <v>762</v>
      </c>
      <c r="CJ566" s="431" t="s">
        <v>762</v>
      </c>
      <c r="CK566" s="431" t="s">
        <v>762</v>
      </c>
      <c r="CL566" s="431" t="s">
        <v>762</v>
      </c>
    </row>
    <row r="567" spans="1:90" s="432" customFormat="1">
      <c r="A567" s="430" t="s">
        <v>619</v>
      </c>
      <c r="B567" s="430" t="s">
        <v>631</v>
      </c>
      <c r="C567" s="431" t="s">
        <v>762</v>
      </c>
      <c r="D567" s="431" t="s">
        <v>762</v>
      </c>
      <c r="E567" s="431" t="s">
        <v>762</v>
      </c>
      <c r="F567" s="431" t="s">
        <v>762</v>
      </c>
      <c r="G567" s="431" t="s">
        <v>762</v>
      </c>
      <c r="H567" s="431" t="s">
        <v>762</v>
      </c>
      <c r="I567" s="431" t="s">
        <v>762</v>
      </c>
      <c r="J567" s="431" t="s">
        <v>762</v>
      </c>
      <c r="K567" s="431" t="s">
        <v>762</v>
      </c>
      <c r="L567" s="431">
        <v>45</v>
      </c>
      <c r="M567" s="431" t="s">
        <v>762</v>
      </c>
      <c r="N567" s="431" t="s">
        <v>762</v>
      </c>
      <c r="O567" s="431" t="s">
        <v>762</v>
      </c>
      <c r="P567" s="431" t="s">
        <v>762</v>
      </c>
      <c r="Q567" s="431" t="s">
        <v>762</v>
      </c>
      <c r="R567" s="431" t="s">
        <v>762</v>
      </c>
      <c r="S567" s="431" t="s">
        <v>762</v>
      </c>
      <c r="T567" s="431" t="s">
        <v>762</v>
      </c>
      <c r="U567" s="431" t="s">
        <v>762</v>
      </c>
      <c r="V567" s="431">
        <v>47</v>
      </c>
      <c r="W567" s="431">
        <v>49</v>
      </c>
      <c r="X567" s="431">
        <v>51</v>
      </c>
      <c r="Y567" s="431">
        <v>54</v>
      </c>
      <c r="Z567" s="431">
        <v>56</v>
      </c>
      <c r="AA567" s="431">
        <v>59</v>
      </c>
      <c r="AB567" s="431">
        <v>65</v>
      </c>
      <c r="AC567" s="431">
        <v>67</v>
      </c>
      <c r="AD567" s="431">
        <v>73</v>
      </c>
      <c r="AE567" s="431" t="s">
        <v>762</v>
      </c>
      <c r="AF567" s="431" t="s">
        <v>762</v>
      </c>
      <c r="AG567" s="431">
        <v>141</v>
      </c>
      <c r="AH567" s="431" t="s">
        <v>762</v>
      </c>
      <c r="AI567" s="431">
        <v>141</v>
      </c>
      <c r="AJ567" s="431" t="s">
        <v>762</v>
      </c>
      <c r="AK567" s="431" t="s">
        <v>762</v>
      </c>
      <c r="AL567" s="431">
        <v>141</v>
      </c>
      <c r="AM567" s="431" t="s">
        <v>762</v>
      </c>
      <c r="AN567" s="431" t="s">
        <v>762</v>
      </c>
      <c r="AO567" s="431" t="s">
        <v>762</v>
      </c>
      <c r="AP567" s="431">
        <v>141</v>
      </c>
      <c r="AQ567" s="431" t="s">
        <v>762</v>
      </c>
      <c r="AR567" s="431" t="s">
        <v>762</v>
      </c>
      <c r="AS567" s="431" t="s">
        <v>762</v>
      </c>
      <c r="AT567" s="431">
        <v>141</v>
      </c>
      <c r="AU567" s="431" t="s">
        <v>762</v>
      </c>
      <c r="AV567" s="431" t="s">
        <v>762</v>
      </c>
      <c r="AW567" s="431" t="s">
        <v>762</v>
      </c>
      <c r="AX567" s="431" t="s">
        <v>762</v>
      </c>
      <c r="AY567" s="431" t="s">
        <v>762</v>
      </c>
      <c r="AZ567" s="431" t="s">
        <v>762</v>
      </c>
      <c r="BA567" s="431" t="s">
        <v>762</v>
      </c>
      <c r="BB567" s="431" t="s">
        <v>762</v>
      </c>
      <c r="BC567" s="431" t="s">
        <v>762</v>
      </c>
      <c r="BD567" s="431" t="s">
        <v>762</v>
      </c>
      <c r="BE567" s="431" t="s">
        <v>762</v>
      </c>
      <c r="BF567" s="431">
        <v>216</v>
      </c>
      <c r="BG567" s="431" t="s">
        <v>762</v>
      </c>
      <c r="BH567" s="431" t="s">
        <v>762</v>
      </c>
      <c r="BI567" s="431" t="s">
        <v>762</v>
      </c>
      <c r="BJ567" s="431" t="s">
        <v>762</v>
      </c>
      <c r="BK567" s="431" t="s">
        <v>762</v>
      </c>
      <c r="BL567" s="431">
        <v>257</v>
      </c>
      <c r="BM567" s="431" t="s">
        <v>762</v>
      </c>
      <c r="BN567" s="431" t="s">
        <v>762</v>
      </c>
      <c r="BO567" s="431" t="s">
        <v>762</v>
      </c>
      <c r="BP567" s="431" t="s">
        <v>762</v>
      </c>
      <c r="BQ567" s="431" t="s">
        <v>762</v>
      </c>
      <c r="BR567" s="431" t="s">
        <v>762</v>
      </c>
      <c r="BS567" s="431" t="s">
        <v>762</v>
      </c>
      <c r="BT567" s="431" t="s">
        <v>762</v>
      </c>
      <c r="BU567" s="431" t="s">
        <v>762</v>
      </c>
      <c r="BV567" s="431" t="s">
        <v>762</v>
      </c>
      <c r="BW567" s="431" t="s">
        <v>762</v>
      </c>
      <c r="BX567" s="431" t="s">
        <v>762</v>
      </c>
      <c r="BY567" s="431" t="s">
        <v>762</v>
      </c>
      <c r="BZ567" s="431" t="s">
        <v>762</v>
      </c>
      <c r="CA567" s="431" t="s">
        <v>762</v>
      </c>
      <c r="CB567" s="431" t="s">
        <v>762</v>
      </c>
      <c r="CC567" s="431" t="s">
        <v>762</v>
      </c>
      <c r="CD567" s="431" t="s">
        <v>762</v>
      </c>
      <c r="CE567" s="431" t="s">
        <v>762</v>
      </c>
      <c r="CF567" s="431" t="s">
        <v>762</v>
      </c>
      <c r="CG567" s="431" t="s">
        <v>762</v>
      </c>
      <c r="CH567" s="431" t="s">
        <v>762</v>
      </c>
      <c r="CI567" s="431" t="s">
        <v>762</v>
      </c>
      <c r="CJ567" s="431" t="s">
        <v>762</v>
      </c>
      <c r="CK567" s="431" t="s">
        <v>762</v>
      </c>
      <c r="CL567" s="431" t="s">
        <v>762</v>
      </c>
    </row>
    <row r="568" spans="1:90" s="432" customFormat="1">
      <c r="A568" s="430" t="s">
        <v>620</v>
      </c>
      <c r="B568" s="430" t="s">
        <v>631</v>
      </c>
      <c r="C568" s="431" t="s">
        <v>762</v>
      </c>
      <c r="D568" s="431" t="s">
        <v>762</v>
      </c>
      <c r="E568" s="431" t="s">
        <v>762</v>
      </c>
      <c r="F568" s="431" t="s">
        <v>762</v>
      </c>
      <c r="G568" s="431" t="s">
        <v>762</v>
      </c>
      <c r="H568" s="431" t="s">
        <v>762</v>
      </c>
      <c r="I568" s="431" t="s">
        <v>762</v>
      </c>
      <c r="J568" s="431" t="s">
        <v>762</v>
      </c>
      <c r="K568" s="431" t="s">
        <v>762</v>
      </c>
      <c r="L568" s="431">
        <v>45</v>
      </c>
      <c r="M568" s="431" t="s">
        <v>762</v>
      </c>
      <c r="N568" s="431" t="s">
        <v>762</v>
      </c>
      <c r="O568" s="431" t="s">
        <v>762</v>
      </c>
      <c r="P568" s="431" t="s">
        <v>762</v>
      </c>
      <c r="Q568" s="431" t="s">
        <v>762</v>
      </c>
      <c r="R568" s="431" t="s">
        <v>762</v>
      </c>
      <c r="S568" s="431" t="s">
        <v>762</v>
      </c>
      <c r="T568" s="431" t="s">
        <v>762</v>
      </c>
      <c r="U568" s="431" t="s">
        <v>762</v>
      </c>
      <c r="V568" s="431">
        <v>47</v>
      </c>
      <c r="W568" s="431">
        <v>49</v>
      </c>
      <c r="X568" s="431">
        <v>51</v>
      </c>
      <c r="Y568" s="431">
        <v>54</v>
      </c>
      <c r="Z568" s="431">
        <v>56</v>
      </c>
      <c r="AA568" s="431">
        <v>59</v>
      </c>
      <c r="AB568" s="431">
        <v>65</v>
      </c>
      <c r="AC568" s="431">
        <v>67</v>
      </c>
      <c r="AD568" s="431">
        <v>73</v>
      </c>
      <c r="AE568" s="431" t="s">
        <v>762</v>
      </c>
      <c r="AF568" s="431" t="s">
        <v>762</v>
      </c>
      <c r="AG568" s="431">
        <v>141</v>
      </c>
      <c r="AH568" s="431" t="s">
        <v>762</v>
      </c>
      <c r="AI568" s="431">
        <v>141</v>
      </c>
      <c r="AJ568" s="431" t="s">
        <v>762</v>
      </c>
      <c r="AK568" s="431" t="s">
        <v>762</v>
      </c>
      <c r="AL568" s="431">
        <v>141</v>
      </c>
      <c r="AM568" s="431" t="s">
        <v>762</v>
      </c>
      <c r="AN568" s="431" t="s">
        <v>762</v>
      </c>
      <c r="AO568" s="431" t="s">
        <v>762</v>
      </c>
      <c r="AP568" s="431">
        <v>141</v>
      </c>
      <c r="AQ568" s="431" t="s">
        <v>762</v>
      </c>
      <c r="AR568" s="431" t="s">
        <v>762</v>
      </c>
      <c r="AS568" s="431" t="s">
        <v>762</v>
      </c>
      <c r="AT568" s="431">
        <v>141</v>
      </c>
      <c r="AU568" s="431" t="s">
        <v>762</v>
      </c>
      <c r="AV568" s="431" t="s">
        <v>762</v>
      </c>
      <c r="AW568" s="431" t="s">
        <v>762</v>
      </c>
      <c r="AX568" s="431" t="s">
        <v>762</v>
      </c>
      <c r="AY568" s="431" t="s">
        <v>762</v>
      </c>
      <c r="AZ568" s="431" t="s">
        <v>762</v>
      </c>
      <c r="BA568" s="431" t="s">
        <v>762</v>
      </c>
      <c r="BB568" s="431" t="s">
        <v>762</v>
      </c>
      <c r="BC568" s="431" t="s">
        <v>762</v>
      </c>
      <c r="BD568" s="431" t="s">
        <v>762</v>
      </c>
      <c r="BE568" s="431" t="s">
        <v>762</v>
      </c>
      <c r="BF568" s="431">
        <v>216</v>
      </c>
      <c r="BG568" s="431" t="s">
        <v>762</v>
      </c>
      <c r="BH568" s="431" t="s">
        <v>762</v>
      </c>
      <c r="BI568" s="431" t="s">
        <v>762</v>
      </c>
      <c r="BJ568" s="431" t="s">
        <v>762</v>
      </c>
      <c r="BK568" s="431" t="s">
        <v>762</v>
      </c>
      <c r="BL568" s="431">
        <v>257</v>
      </c>
      <c r="BM568" s="431" t="s">
        <v>762</v>
      </c>
      <c r="BN568" s="431" t="s">
        <v>762</v>
      </c>
      <c r="BO568" s="431" t="s">
        <v>762</v>
      </c>
      <c r="BP568" s="431" t="s">
        <v>762</v>
      </c>
      <c r="BQ568" s="431" t="s">
        <v>762</v>
      </c>
      <c r="BR568" s="431" t="s">
        <v>762</v>
      </c>
      <c r="BS568" s="431" t="s">
        <v>762</v>
      </c>
      <c r="BT568" s="431" t="s">
        <v>762</v>
      </c>
      <c r="BU568" s="431" t="s">
        <v>762</v>
      </c>
      <c r="BV568" s="431" t="s">
        <v>762</v>
      </c>
      <c r="BW568" s="431" t="s">
        <v>762</v>
      </c>
      <c r="BX568" s="431" t="s">
        <v>762</v>
      </c>
      <c r="BY568" s="431" t="s">
        <v>762</v>
      </c>
      <c r="BZ568" s="431" t="s">
        <v>762</v>
      </c>
      <c r="CA568" s="431" t="s">
        <v>762</v>
      </c>
      <c r="CB568" s="431" t="s">
        <v>762</v>
      </c>
      <c r="CC568" s="431" t="s">
        <v>762</v>
      </c>
      <c r="CD568" s="431" t="s">
        <v>762</v>
      </c>
      <c r="CE568" s="431" t="s">
        <v>762</v>
      </c>
      <c r="CF568" s="431" t="s">
        <v>762</v>
      </c>
      <c r="CG568" s="431" t="s">
        <v>762</v>
      </c>
      <c r="CH568" s="431" t="s">
        <v>762</v>
      </c>
      <c r="CI568" s="431" t="s">
        <v>762</v>
      </c>
      <c r="CJ568" s="431" t="s">
        <v>762</v>
      </c>
      <c r="CK568" s="431" t="s">
        <v>762</v>
      </c>
      <c r="CL568" s="431" t="s">
        <v>762</v>
      </c>
    </row>
    <row r="569" spans="1:90" s="432" customFormat="1">
      <c r="A569" s="430" t="s">
        <v>621</v>
      </c>
      <c r="B569" s="430" t="s">
        <v>631</v>
      </c>
      <c r="C569" s="431" t="s">
        <v>762</v>
      </c>
      <c r="D569" s="431" t="s">
        <v>762</v>
      </c>
      <c r="E569" s="431" t="s">
        <v>762</v>
      </c>
      <c r="F569" s="431" t="s">
        <v>762</v>
      </c>
      <c r="G569" s="431" t="s">
        <v>762</v>
      </c>
      <c r="H569" s="431" t="s">
        <v>762</v>
      </c>
      <c r="I569" s="431" t="s">
        <v>762</v>
      </c>
      <c r="J569" s="431" t="s">
        <v>762</v>
      </c>
      <c r="K569" s="431" t="s">
        <v>762</v>
      </c>
      <c r="L569" s="431">
        <v>45</v>
      </c>
      <c r="M569" s="431" t="s">
        <v>762</v>
      </c>
      <c r="N569" s="431" t="s">
        <v>762</v>
      </c>
      <c r="O569" s="431" t="s">
        <v>762</v>
      </c>
      <c r="P569" s="431" t="s">
        <v>762</v>
      </c>
      <c r="Q569" s="431" t="s">
        <v>762</v>
      </c>
      <c r="R569" s="431" t="s">
        <v>762</v>
      </c>
      <c r="S569" s="431" t="s">
        <v>762</v>
      </c>
      <c r="T569" s="431" t="s">
        <v>762</v>
      </c>
      <c r="U569" s="431" t="s">
        <v>762</v>
      </c>
      <c r="V569" s="431">
        <v>47</v>
      </c>
      <c r="W569" s="431">
        <v>49</v>
      </c>
      <c r="X569" s="431">
        <v>51</v>
      </c>
      <c r="Y569" s="431">
        <v>54</v>
      </c>
      <c r="Z569" s="431">
        <v>56</v>
      </c>
      <c r="AA569" s="431">
        <v>59</v>
      </c>
      <c r="AB569" s="431">
        <v>65</v>
      </c>
      <c r="AC569" s="431">
        <v>67</v>
      </c>
      <c r="AD569" s="431">
        <v>73</v>
      </c>
      <c r="AE569" s="431" t="s">
        <v>762</v>
      </c>
      <c r="AF569" s="431" t="s">
        <v>762</v>
      </c>
      <c r="AG569" s="431">
        <v>141</v>
      </c>
      <c r="AH569" s="431" t="s">
        <v>762</v>
      </c>
      <c r="AI569" s="431">
        <v>141</v>
      </c>
      <c r="AJ569" s="431" t="s">
        <v>762</v>
      </c>
      <c r="AK569" s="431" t="s">
        <v>762</v>
      </c>
      <c r="AL569" s="431">
        <v>141</v>
      </c>
      <c r="AM569" s="431" t="s">
        <v>762</v>
      </c>
      <c r="AN569" s="431" t="s">
        <v>762</v>
      </c>
      <c r="AO569" s="431" t="s">
        <v>762</v>
      </c>
      <c r="AP569" s="431">
        <v>141</v>
      </c>
      <c r="AQ569" s="431" t="s">
        <v>762</v>
      </c>
      <c r="AR569" s="431" t="s">
        <v>762</v>
      </c>
      <c r="AS569" s="431" t="s">
        <v>762</v>
      </c>
      <c r="AT569" s="431">
        <v>141</v>
      </c>
      <c r="AU569" s="431" t="s">
        <v>762</v>
      </c>
      <c r="AV569" s="431" t="s">
        <v>762</v>
      </c>
      <c r="AW569" s="431" t="s">
        <v>762</v>
      </c>
      <c r="AX569" s="431" t="s">
        <v>762</v>
      </c>
      <c r="AY569" s="431" t="s">
        <v>762</v>
      </c>
      <c r="AZ569" s="431" t="s">
        <v>762</v>
      </c>
      <c r="BA569" s="431" t="s">
        <v>762</v>
      </c>
      <c r="BB569" s="431" t="s">
        <v>762</v>
      </c>
      <c r="BC569" s="431" t="s">
        <v>762</v>
      </c>
      <c r="BD569" s="431" t="s">
        <v>762</v>
      </c>
      <c r="BE569" s="431" t="s">
        <v>762</v>
      </c>
      <c r="BF569" s="431">
        <v>216</v>
      </c>
      <c r="BG569" s="431" t="s">
        <v>762</v>
      </c>
      <c r="BH569" s="431" t="s">
        <v>762</v>
      </c>
      <c r="BI569" s="431" t="s">
        <v>762</v>
      </c>
      <c r="BJ569" s="431" t="s">
        <v>762</v>
      </c>
      <c r="BK569" s="431" t="s">
        <v>762</v>
      </c>
      <c r="BL569" s="431">
        <v>257</v>
      </c>
      <c r="BM569" s="431" t="s">
        <v>762</v>
      </c>
      <c r="BN569" s="431" t="s">
        <v>762</v>
      </c>
      <c r="BO569" s="431" t="s">
        <v>762</v>
      </c>
      <c r="BP569" s="431" t="s">
        <v>762</v>
      </c>
      <c r="BQ569" s="431" t="s">
        <v>762</v>
      </c>
      <c r="BR569" s="431" t="s">
        <v>762</v>
      </c>
      <c r="BS569" s="431" t="s">
        <v>762</v>
      </c>
      <c r="BT569" s="431" t="s">
        <v>762</v>
      </c>
      <c r="BU569" s="431" t="s">
        <v>762</v>
      </c>
      <c r="BV569" s="431" t="s">
        <v>762</v>
      </c>
      <c r="BW569" s="431" t="s">
        <v>762</v>
      </c>
      <c r="BX569" s="431" t="s">
        <v>762</v>
      </c>
      <c r="BY569" s="431" t="s">
        <v>762</v>
      </c>
      <c r="BZ569" s="431" t="s">
        <v>762</v>
      </c>
      <c r="CA569" s="431" t="s">
        <v>762</v>
      </c>
      <c r="CB569" s="431" t="s">
        <v>762</v>
      </c>
      <c r="CC569" s="431" t="s">
        <v>762</v>
      </c>
      <c r="CD569" s="431" t="s">
        <v>762</v>
      </c>
      <c r="CE569" s="431" t="s">
        <v>762</v>
      </c>
      <c r="CF569" s="431" t="s">
        <v>762</v>
      </c>
      <c r="CG569" s="431" t="s">
        <v>762</v>
      </c>
      <c r="CH569" s="431" t="s">
        <v>762</v>
      </c>
      <c r="CI569" s="431" t="s">
        <v>762</v>
      </c>
      <c r="CJ569" s="431" t="s">
        <v>762</v>
      </c>
      <c r="CK569" s="431" t="s">
        <v>762</v>
      </c>
      <c r="CL569" s="431" t="s">
        <v>762</v>
      </c>
    </row>
    <row r="570" spans="1:90" s="432" customFormat="1">
      <c r="A570" s="430" t="s">
        <v>622</v>
      </c>
      <c r="B570" s="430" t="s">
        <v>631</v>
      </c>
      <c r="C570" s="431" t="s">
        <v>762</v>
      </c>
      <c r="D570" s="431" t="s">
        <v>762</v>
      </c>
      <c r="E570" s="431" t="s">
        <v>762</v>
      </c>
      <c r="F570" s="431" t="s">
        <v>762</v>
      </c>
      <c r="G570" s="431" t="s">
        <v>762</v>
      </c>
      <c r="H570" s="431" t="s">
        <v>762</v>
      </c>
      <c r="I570" s="431" t="s">
        <v>762</v>
      </c>
      <c r="J570" s="431" t="s">
        <v>762</v>
      </c>
      <c r="K570" s="431" t="s">
        <v>762</v>
      </c>
      <c r="L570" s="431">
        <v>45</v>
      </c>
      <c r="M570" s="431" t="s">
        <v>762</v>
      </c>
      <c r="N570" s="431" t="s">
        <v>762</v>
      </c>
      <c r="O570" s="431" t="s">
        <v>762</v>
      </c>
      <c r="P570" s="431" t="s">
        <v>762</v>
      </c>
      <c r="Q570" s="431" t="s">
        <v>762</v>
      </c>
      <c r="R570" s="431" t="s">
        <v>762</v>
      </c>
      <c r="S570" s="431" t="s">
        <v>762</v>
      </c>
      <c r="T570" s="431" t="s">
        <v>762</v>
      </c>
      <c r="U570" s="431" t="s">
        <v>762</v>
      </c>
      <c r="V570" s="431">
        <v>47</v>
      </c>
      <c r="W570" s="431">
        <v>49</v>
      </c>
      <c r="X570" s="431">
        <v>51</v>
      </c>
      <c r="Y570" s="431">
        <v>54</v>
      </c>
      <c r="Z570" s="431">
        <v>56</v>
      </c>
      <c r="AA570" s="431">
        <v>59</v>
      </c>
      <c r="AB570" s="431">
        <v>65</v>
      </c>
      <c r="AC570" s="431">
        <v>67</v>
      </c>
      <c r="AD570" s="431">
        <v>73</v>
      </c>
      <c r="AE570" s="431" t="s">
        <v>762</v>
      </c>
      <c r="AF570" s="431" t="s">
        <v>762</v>
      </c>
      <c r="AG570" s="431">
        <v>137</v>
      </c>
      <c r="AH570" s="431" t="s">
        <v>762</v>
      </c>
      <c r="AI570" s="431">
        <v>137</v>
      </c>
      <c r="AJ570" s="431" t="s">
        <v>762</v>
      </c>
      <c r="AK570" s="431" t="s">
        <v>762</v>
      </c>
      <c r="AL570" s="431">
        <v>137</v>
      </c>
      <c r="AM570" s="431" t="s">
        <v>762</v>
      </c>
      <c r="AN570" s="431" t="s">
        <v>762</v>
      </c>
      <c r="AO570" s="431" t="s">
        <v>762</v>
      </c>
      <c r="AP570" s="431">
        <v>137</v>
      </c>
      <c r="AQ570" s="431" t="s">
        <v>762</v>
      </c>
      <c r="AR570" s="431" t="s">
        <v>762</v>
      </c>
      <c r="AS570" s="431" t="s">
        <v>762</v>
      </c>
      <c r="AT570" s="431">
        <v>137</v>
      </c>
      <c r="AU570" s="431" t="s">
        <v>762</v>
      </c>
      <c r="AV570" s="431" t="s">
        <v>762</v>
      </c>
      <c r="AW570" s="431" t="s">
        <v>762</v>
      </c>
      <c r="AX570" s="431" t="s">
        <v>762</v>
      </c>
      <c r="AY570" s="431" t="s">
        <v>762</v>
      </c>
      <c r="AZ570" s="431" t="s">
        <v>762</v>
      </c>
      <c r="BA570" s="431" t="s">
        <v>762</v>
      </c>
      <c r="BB570" s="431" t="s">
        <v>762</v>
      </c>
      <c r="BC570" s="431" t="s">
        <v>762</v>
      </c>
      <c r="BD570" s="431" t="s">
        <v>762</v>
      </c>
      <c r="BE570" s="431" t="s">
        <v>762</v>
      </c>
      <c r="BF570" s="431">
        <v>209</v>
      </c>
      <c r="BG570" s="431" t="s">
        <v>762</v>
      </c>
      <c r="BH570" s="431" t="s">
        <v>762</v>
      </c>
      <c r="BI570" s="431" t="s">
        <v>762</v>
      </c>
      <c r="BJ570" s="431" t="s">
        <v>762</v>
      </c>
      <c r="BK570" s="431" t="s">
        <v>762</v>
      </c>
      <c r="BL570" s="431">
        <v>257</v>
      </c>
      <c r="BM570" s="431" t="s">
        <v>762</v>
      </c>
      <c r="BN570" s="431" t="s">
        <v>762</v>
      </c>
      <c r="BO570" s="431" t="s">
        <v>762</v>
      </c>
      <c r="BP570" s="431" t="s">
        <v>762</v>
      </c>
      <c r="BQ570" s="431" t="s">
        <v>762</v>
      </c>
      <c r="BR570" s="431" t="s">
        <v>762</v>
      </c>
      <c r="BS570" s="431" t="s">
        <v>762</v>
      </c>
      <c r="BT570" s="431" t="s">
        <v>762</v>
      </c>
      <c r="BU570" s="431" t="s">
        <v>762</v>
      </c>
      <c r="BV570" s="431" t="s">
        <v>762</v>
      </c>
      <c r="BW570" s="431" t="s">
        <v>762</v>
      </c>
      <c r="BX570" s="431" t="s">
        <v>762</v>
      </c>
      <c r="BY570" s="431" t="s">
        <v>762</v>
      </c>
      <c r="BZ570" s="431" t="s">
        <v>762</v>
      </c>
      <c r="CA570" s="431" t="s">
        <v>762</v>
      </c>
      <c r="CB570" s="431" t="s">
        <v>762</v>
      </c>
      <c r="CC570" s="431" t="s">
        <v>762</v>
      </c>
      <c r="CD570" s="431" t="s">
        <v>762</v>
      </c>
      <c r="CE570" s="431" t="s">
        <v>762</v>
      </c>
      <c r="CF570" s="431" t="s">
        <v>762</v>
      </c>
      <c r="CG570" s="431" t="s">
        <v>762</v>
      </c>
      <c r="CH570" s="431" t="s">
        <v>762</v>
      </c>
      <c r="CI570" s="431" t="s">
        <v>762</v>
      </c>
      <c r="CJ570" s="431" t="s">
        <v>762</v>
      </c>
      <c r="CK570" s="431" t="s">
        <v>762</v>
      </c>
      <c r="CL570" s="431" t="s">
        <v>762</v>
      </c>
    </row>
    <row r="571" spans="1:90" s="432" customFormat="1">
      <c r="A571" s="430" t="s">
        <v>623</v>
      </c>
      <c r="B571" s="430" t="s">
        <v>631</v>
      </c>
      <c r="C571" s="431" t="s">
        <v>762</v>
      </c>
      <c r="D571" s="431" t="s">
        <v>762</v>
      </c>
      <c r="E571" s="431" t="s">
        <v>762</v>
      </c>
      <c r="F571" s="431" t="s">
        <v>762</v>
      </c>
      <c r="G571" s="431" t="s">
        <v>762</v>
      </c>
      <c r="H571" s="431" t="s">
        <v>762</v>
      </c>
      <c r="I571" s="431" t="s">
        <v>762</v>
      </c>
      <c r="J571" s="431" t="s">
        <v>762</v>
      </c>
      <c r="K571" s="431" t="s">
        <v>762</v>
      </c>
      <c r="L571" s="431">
        <v>37</v>
      </c>
      <c r="M571" s="431" t="s">
        <v>762</v>
      </c>
      <c r="N571" s="431" t="s">
        <v>762</v>
      </c>
      <c r="O571" s="431" t="s">
        <v>762</v>
      </c>
      <c r="P571" s="431" t="s">
        <v>762</v>
      </c>
      <c r="Q571" s="431" t="s">
        <v>762</v>
      </c>
      <c r="R571" s="431" t="s">
        <v>762</v>
      </c>
      <c r="S571" s="431" t="s">
        <v>762</v>
      </c>
      <c r="T571" s="431" t="s">
        <v>762</v>
      </c>
      <c r="U571" s="431" t="s">
        <v>762</v>
      </c>
      <c r="V571" s="431">
        <v>40</v>
      </c>
      <c r="W571" s="431">
        <v>44</v>
      </c>
      <c r="X571" s="431">
        <v>47</v>
      </c>
      <c r="Y571" s="431">
        <v>50</v>
      </c>
      <c r="Z571" s="431">
        <v>53</v>
      </c>
      <c r="AA571" s="431">
        <v>57</v>
      </c>
      <c r="AB571" s="431">
        <v>63</v>
      </c>
      <c r="AC571" s="431">
        <v>66</v>
      </c>
      <c r="AD571" s="431">
        <v>72</v>
      </c>
      <c r="AE571" s="431" t="s">
        <v>762</v>
      </c>
      <c r="AF571" s="431" t="s">
        <v>762</v>
      </c>
      <c r="AG571" s="431">
        <v>141</v>
      </c>
      <c r="AH571" s="431" t="s">
        <v>762</v>
      </c>
      <c r="AI571" s="431">
        <v>141</v>
      </c>
      <c r="AJ571" s="431" t="s">
        <v>762</v>
      </c>
      <c r="AK571" s="431" t="s">
        <v>762</v>
      </c>
      <c r="AL571" s="431">
        <v>141</v>
      </c>
      <c r="AM571" s="431" t="s">
        <v>762</v>
      </c>
      <c r="AN571" s="431" t="s">
        <v>762</v>
      </c>
      <c r="AO571" s="431" t="s">
        <v>762</v>
      </c>
      <c r="AP571" s="431">
        <v>141</v>
      </c>
      <c r="AQ571" s="431" t="s">
        <v>762</v>
      </c>
      <c r="AR571" s="431" t="s">
        <v>762</v>
      </c>
      <c r="AS571" s="431" t="s">
        <v>762</v>
      </c>
      <c r="AT571" s="431">
        <v>141</v>
      </c>
      <c r="AU571" s="431" t="s">
        <v>762</v>
      </c>
      <c r="AV571" s="431" t="s">
        <v>762</v>
      </c>
      <c r="AW571" s="431" t="s">
        <v>762</v>
      </c>
      <c r="AX571" s="431" t="s">
        <v>762</v>
      </c>
      <c r="AY571" s="431" t="s">
        <v>762</v>
      </c>
      <c r="AZ571" s="431" t="s">
        <v>762</v>
      </c>
      <c r="BA571" s="431" t="s">
        <v>762</v>
      </c>
      <c r="BB571" s="431" t="s">
        <v>762</v>
      </c>
      <c r="BC571" s="431" t="s">
        <v>762</v>
      </c>
      <c r="BD571" s="431" t="s">
        <v>762</v>
      </c>
      <c r="BE571" s="431" t="s">
        <v>762</v>
      </c>
      <c r="BF571" s="431">
        <v>216</v>
      </c>
      <c r="BG571" s="431" t="s">
        <v>762</v>
      </c>
      <c r="BH571" s="431" t="s">
        <v>762</v>
      </c>
      <c r="BI571" s="431" t="s">
        <v>762</v>
      </c>
      <c r="BJ571" s="431" t="s">
        <v>762</v>
      </c>
      <c r="BK571" s="431" t="s">
        <v>762</v>
      </c>
      <c r="BL571" s="431">
        <v>257</v>
      </c>
      <c r="BM571" s="431" t="s">
        <v>762</v>
      </c>
      <c r="BN571" s="431" t="s">
        <v>762</v>
      </c>
      <c r="BO571" s="431" t="s">
        <v>762</v>
      </c>
      <c r="BP571" s="431" t="s">
        <v>762</v>
      </c>
      <c r="BQ571" s="431" t="s">
        <v>762</v>
      </c>
      <c r="BR571" s="431" t="s">
        <v>762</v>
      </c>
      <c r="BS571" s="431" t="s">
        <v>762</v>
      </c>
      <c r="BT571" s="431" t="s">
        <v>762</v>
      </c>
      <c r="BU571" s="431" t="s">
        <v>762</v>
      </c>
      <c r="BV571" s="431" t="s">
        <v>762</v>
      </c>
      <c r="BW571" s="431" t="s">
        <v>762</v>
      </c>
      <c r="BX571" s="431" t="s">
        <v>762</v>
      </c>
      <c r="BY571" s="431" t="s">
        <v>762</v>
      </c>
      <c r="BZ571" s="431" t="s">
        <v>762</v>
      </c>
      <c r="CA571" s="431" t="s">
        <v>762</v>
      </c>
      <c r="CB571" s="431" t="s">
        <v>762</v>
      </c>
      <c r="CC571" s="431" t="s">
        <v>762</v>
      </c>
      <c r="CD571" s="431" t="s">
        <v>762</v>
      </c>
      <c r="CE571" s="431" t="s">
        <v>762</v>
      </c>
      <c r="CF571" s="431" t="s">
        <v>762</v>
      </c>
      <c r="CG571" s="431" t="s">
        <v>762</v>
      </c>
      <c r="CH571" s="431" t="s">
        <v>762</v>
      </c>
      <c r="CI571" s="431" t="s">
        <v>762</v>
      </c>
      <c r="CJ571" s="431" t="s">
        <v>762</v>
      </c>
      <c r="CK571" s="431" t="s">
        <v>762</v>
      </c>
      <c r="CL571" s="431" t="s">
        <v>762</v>
      </c>
    </row>
    <row r="572" spans="1:90">
      <c r="AD572" s="259"/>
      <c r="AE572" s="259"/>
      <c r="AF572" s="259"/>
      <c r="AG572" s="259"/>
      <c r="AH572" s="259"/>
      <c r="AI572" s="259"/>
      <c r="AJ572" s="259"/>
      <c r="AK572" s="259"/>
      <c r="AU572" s="5"/>
      <c r="AV572" s="5"/>
      <c r="AW572" s="5"/>
      <c r="AX572" s="5"/>
      <c r="AY572" s="358"/>
    </row>
    <row r="573" spans="1:90">
      <c r="AU573" s="5"/>
      <c r="AV573" s="5"/>
      <c r="AW573" s="5"/>
      <c r="AX573" s="5"/>
      <c r="AY573" s="358"/>
    </row>
    <row r="574" spans="1:90" ht="15" customHeight="1" thickBot="1">
      <c r="A574" s="263"/>
      <c r="B574" s="263"/>
      <c r="AD574" s="263"/>
      <c r="AE574" s="263"/>
      <c r="AF574" s="263"/>
      <c r="AG574" s="263"/>
      <c r="AH574" s="263"/>
      <c r="AI574" s="263"/>
      <c r="AJ574" s="263"/>
      <c r="AK574" s="263"/>
      <c r="AU574" s="5"/>
      <c r="AV574" s="5"/>
      <c r="AW574" s="5"/>
      <c r="AX574" s="5"/>
      <c r="AY574" s="358"/>
    </row>
    <row r="575" spans="1:90">
      <c r="A575" s="264"/>
      <c r="B575" s="265"/>
      <c r="C575" s="257">
        <v>1</v>
      </c>
      <c r="D575" s="256">
        <v>2</v>
      </c>
      <c r="E575" s="256">
        <v>3</v>
      </c>
      <c r="F575" s="256">
        <v>4</v>
      </c>
      <c r="G575" s="256">
        <v>5</v>
      </c>
      <c r="H575" s="256">
        <v>6</v>
      </c>
      <c r="I575" s="256">
        <v>7</v>
      </c>
      <c r="J575" s="256">
        <v>8</v>
      </c>
      <c r="K575" s="256">
        <v>9</v>
      </c>
      <c r="L575" s="256">
        <v>10</v>
      </c>
      <c r="M575" s="256">
        <v>11</v>
      </c>
      <c r="N575" s="256">
        <v>12</v>
      </c>
      <c r="O575" s="256">
        <v>13</v>
      </c>
      <c r="P575" s="256">
        <v>14</v>
      </c>
      <c r="Q575" s="256">
        <v>15</v>
      </c>
      <c r="R575" s="256">
        <v>16</v>
      </c>
      <c r="S575" s="256">
        <v>17</v>
      </c>
      <c r="T575" s="256">
        <v>18</v>
      </c>
      <c r="U575" s="256">
        <v>19</v>
      </c>
      <c r="V575" s="256">
        <v>20</v>
      </c>
      <c r="W575" s="256">
        <v>30</v>
      </c>
      <c r="X575" s="256">
        <v>40</v>
      </c>
      <c r="Y575" s="256">
        <v>50</v>
      </c>
      <c r="Z575" s="256">
        <v>60</v>
      </c>
      <c r="AA575" s="256">
        <v>70</v>
      </c>
      <c r="AB575" s="256">
        <v>80</v>
      </c>
      <c r="AC575" s="256">
        <v>90</v>
      </c>
      <c r="AD575" s="256">
        <v>100</v>
      </c>
      <c r="AE575" s="256">
        <v>125</v>
      </c>
      <c r="AF575" s="256">
        <v>150</v>
      </c>
      <c r="AG575" s="256">
        <v>175</v>
      </c>
      <c r="AH575" s="256">
        <v>201</v>
      </c>
      <c r="AI575" s="256">
        <v>225</v>
      </c>
      <c r="AJ575" s="256">
        <v>250</v>
      </c>
      <c r="AK575" s="256">
        <v>301</v>
      </c>
      <c r="AL575" s="256">
        <v>325</v>
      </c>
      <c r="AM575" s="256">
        <v>350</v>
      </c>
      <c r="AN575" s="256">
        <v>375</v>
      </c>
      <c r="AO575" s="256">
        <v>401</v>
      </c>
      <c r="AP575" s="256">
        <v>425</v>
      </c>
      <c r="AQ575" s="256">
        <v>450</v>
      </c>
      <c r="AR575" s="256">
        <v>475</v>
      </c>
      <c r="AS575" s="256">
        <v>500</v>
      </c>
      <c r="AT575" s="256">
        <v>525</v>
      </c>
      <c r="AU575" s="256">
        <v>550</v>
      </c>
      <c r="AV575" s="256">
        <v>575</v>
      </c>
      <c r="AW575" s="256">
        <v>600</v>
      </c>
      <c r="AX575" s="256">
        <v>650</v>
      </c>
      <c r="AY575" s="256">
        <v>700</v>
      </c>
      <c r="AZ575" s="256">
        <v>750</v>
      </c>
      <c r="BA575" s="256">
        <v>800</v>
      </c>
      <c r="BB575" s="256">
        <v>850</v>
      </c>
      <c r="BC575" s="256">
        <v>900</v>
      </c>
      <c r="BD575" s="256">
        <v>950</v>
      </c>
      <c r="BE575" s="256">
        <v>1000</v>
      </c>
      <c r="BF575" s="258">
        <v>1100</v>
      </c>
      <c r="BG575" s="258">
        <v>1200</v>
      </c>
      <c r="BH575" s="258">
        <v>1250</v>
      </c>
      <c r="BI575" s="258">
        <v>1300</v>
      </c>
      <c r="BJ575" s="258">
        <v>1400</v>
      </c>
      <c r="BK575" s="256">
        <v>1500</v>
      </c>
      <c r="BL575" s="256">
        <v>1600</v>
      </c>
      <c r="BM575" s="256">
        <v>1700</v>
      </c>
      <c r="BN575" s="256">
        <v>1750</v>
      </c>
      <c r="BO575" s="256">
        <v>1800</v>
      </c>
      <c r="BP575" s="256">
        <v>1900</v>
      </c>
      <c r="BQ575" s="256">
        <v>2000</v>
      </c>
      <c r="BR575" s="256">
        <v>2250</v>
      </c>
      <c r="BS575" s="256">
        <v>2500</v>
      </c>
      <c r="BT575" s="256">
        <f>5.5*500</f>
        <v>2750</v>
      </c>
      <c r="BU575" s="256">
        <f>6*500</f>
        <v>3000</v>
      </c>
      <c r="BV575" s="256">
        <v>3500</v>
      </c>
      <c r="BW575" s="256">
        <v>4000</v>
      </c>
      <c r="BX575" s="256">
        <v>4500</v>
      </c>
      <c r="BY575" s="256">
        <v>5000</v>
      </c>
      <c r="BZ575" s="256">
        <v>5500</v>
      </c>
      <c r="CA575" s="256">
        <v>6000</v>
      </c>
      <c r="CB575" s="256">
        <v>7000</v>
      </c>
      <c r="CC575" s="256">
        <v>8000</v>
      </c>
      <c r="CD575" s="256">
        <v>9000</v>
      </c>
      <c r="CE575" s="256">
        <v>10000</v>
      </c>
    </row>
    <row r="576" spans="1:90" ht="15.6" customHeight="1">
      <c r="A576" s="266" t="s">
        <v>633</v>
      </c>
      <c r="B576" s="1" t="s">
        <v>626</v>
      </c>
      <c r="C576" s="187">
        <f>$B$587</f>
        <v>58.589999999999996</v>
      </c>
      <c r="D576" s="187">
        <f t="shared" ref="D576:AD583" si="437">$B$587</f>
        <v>58.589999999999996</v>
      </c>
      <c r="E576" s="187">
        <f t="shared" si="437"/>
        <v>58.589999999999996</v>
      </c>
      <c r="F576" s="187">
        <f t="shared" si="437"/>
        <v>58.589999999999996</v>
      </c>
      <c r="G576" s="187">
        <f t="shared" si="437"/>
        <v>58.589999999999996</v>
      </c>
      <c r="H576" s="187">
        <f t="shared" si="437"/>
        <v>58.589999999999996</v>
      </c>
      <c r="I576" s="187">
        <f t="shared" si="437"/>
        <v>58.589999999999996</v>
      </c>
      <c r="J576" s="187">
        <f t="shared" si="437"/>
        <v>58.589999999999996</v>
      </c>
      <c r="K576" s="187">
        <f t="shared" si="437"/>
        <v>58.589999999999996</v>
      </c>
      <c r="L576" s="187">
        <f t="shared" si="437"/>
        <v>58.589999999999996</v>
      </c>
      <c r="M576" s="187">
        <f t="shared" si="437"/>
        <v>58.589999999999996</v>
      </c>
      <c r="N576" s="187">
        <f t="shared" si="437"/>
        <v>58.589999999999996</v>
      </c>
      <c r="O576" s="187">
        <f t="shared" si="437"/>
        <v>58.589999999999996</v>
      </c>
      <c r="P576" s="187">
        <f t="shared" si="437"/>
        <v>58.589999999999996</v>
      </c>
      <c r="Q576" s="187">
        <f t="shared" si="437"/>
        <v>58.589999999999996</v>
      </c>
      <c r="R576" s="187">
        <f t="shared" si="437"/>
        <v>58.589999999999996</v>
      </c>
      <c r="S576" s="187">
        <f t="shared" si="437"/>
        <v>58.589999999999996</v>
      </c>
      <c r="T576" s="187">
        <f t="shared" si="437"/>
        <v>58.589999999999996</v>
      </c>
      <c r="U576" s="187">
        <f t="shared" si="437"/>
        <v>58.589999999999996</v>
      </c>
      <c r="V576" s="187">
        <f t="shared" si="437"/>
        <v>58.589999999999996</v>
      </c>
      <c r="W576" s="187">
        <f t="shared" si="437"/>
        <v>58.589999999999996</v>
      </c>
      <c r="X576" s="187">
        <f t="shared" si="437"/>
        <v>58.589999999999996</v>
      </c>
      <c r="Y576" s="187">
        <f t="shared" si="437"/>
        <v>58.589999999999996</v>
      </c>
      <c r="Z576" s="187">
        <f t="shared" si="437"/>
        <v>58.589999999999996</v>
      </c>
      <c r="AA576" s="187">
        <f t="shared" si="437"/>
        <v>58.589999999999996</v>
      </c>
      <c r="AB576" s="187">
        <f t="shared" si="437"/>
        <v>58.589999999999996</v>
      </c>
      <c r="AC576" s="187">
        <f t="shared" si="437"/>
        <v>58.589999999999996</v>
      </c>
      <c r="AD576" s="187">
        <f>$B$587</f>
        <v>58.589999999999996</v>
      </c>
      <c r="AE576" s="260">
        <f>$B$588</f>
        <v>83.100000000000009</v>
      </c>
      <c r="AF576" s="260">
        <f t="shared" ref="AF576:AG583" si="438">$B$588</f>
        <v>83.100000000000009</v>
      </c>
      <c r="AG576" s="260">
        <f t="shared" si="438"/>
        <v>83.100000000000009</v>
      </c>
      <c r="AH576" s="260">
        <f>$B$589</f>
        <v>135.99</v>
      </c>
      <c r="AI576" s="260">
        <f t="shared" ref="AI576:AJ583" si="439">$B$589</f>
        <v>135.99</v>
      </c>
      <c r="AJ576" s="260">
        <f>$B$589</f>
        <v>135.99</v>
      </c>
      <c r="AK576" s="260">
        <f>$B$590</f>
        <v>173.4</v>
      </c>
      <c r="AL576" s="260">
        <f t="shared" ref="AL576:AN583" si="440">$B$590</f>
        <v>173.4</v>
      </c>
      <c r="AM576" s="260">
        <f t="shared" si="440"/>
        <v>173.4</v>
      </c>
      <c r="AN576" s="260">
        <f t="shared" si="440"/>
        <v>173.4</v>
      </c>
      <c r="AO576" s="260">
        <f>$B$591</f>
        <v>195.33</v>
      </c>
      <c r="AP576" s="260">
        <f t="shared" ref="AP576:AR583" si="441">$B$591</f>
        <v>195.33</v>
      </c>
      <c r="AQ576" s="260">
        <f t="shared" si="441"/>
        <v>195.33</v>
      </c>
      <c r="AR576" s="260">
        <f t="shared" si="441"/>
        <v>195.33</v>
      </c>
      <c r="AS576" s="260">
        <f>$B$592</f>
        <v>218.55</v>
      </c>
      <c r="AT576" s="260">
        <f t="shared" ref="AT576:AV583" si="442">$B$592</f>
        <v>218.55</v>
      </c>
      <c r="AU576" s="260">
        <f t="shared" si="442"/>
        <v>218.55</v>
      </c>
      <c r="AV576" s="260">
        <f>$B$592</f>
        <v>218.55</v>
      </c>
      <c r="AW576" s="48">
        <f>$B$593</f>
        <v>232.74</v>
      </c>
      <c r="AX576" s="48">
        <f t="shared" ref="AX576:BE583" si="443">$B$593</f>
        <v>232.74</v>
      </c>
      <c r="AY576" s="48">
        <f t="shared" si="443"/>
        <v>232.74</v>
      </c>
      <c r="AZ576" s="48">
        <f t="shared" si="443"/>
        <v>232.74</v>
      </c>
      <c r="BA576" s="48">
        <f t="shared" si="443"/>
        <v>232.74</v>
      </c>
      <c r="BB576" s="48">
        <f t="shared" si="443"/>
        <v>232.74</v>
      </c>
      <c r="BC576" s="48">
        <f t="shared" si="443"/>
        <v>232.74</v>
      </c>
      <c r="BD576" s="48">
        <f t="shared" si="443"/>
        <v>232.74</v>
      </c>
      <c r="BE576" s="48">
        <f t="shared" si="443"/>
        <v>232.74</v>
      </c>
      <c r="BF576" s="260">
        <f>($B$594*BF$575)/1000</f>
        <v>258.85200000000003</v>
      </c>
      <c r="BG576" s="260">
        <f t="shared" ref="BG576:BO576" si="444">($B$594*BG$575)/1000</f>
        <v>282.38400000000001</v>
      </c>
      <c r="BH576" s="260">
        <f t="shared" si="444"/>
        <v>294.14999999999998</v>
      </c>
      <c r="BI576" s="260">
        <f t="shared" si="444"/>
        <v>305.916</v>
      </c>
      <c r="BJ576" s="260">
        <f t="shared" si="444"/>
        <v>329.44800000000004</v>
      </c>
      <c r="BK576" s="260">
        <f t="shared" si="444"/>
        <v>352.98000000000008</v>
      </c>
      <c r="BL576" s="260">
        <f t="shared" si="444"/>
        <v>376.51200000000006</v>
      </c>
      <c r="BM576" s="260">
        <f t="shared" si="444"/>
        <v>400.04400000000004</v>
      </c>
      <c r="BN576" s="260">
        <f t="shared" si="444"/>
        <v>411.81000000000006</v>
      </c>
      <c r="BO576" s="260">
        <f t="shared" si="444"/>
        <v>423.57600000000008</v>
      </c>
      <c r="BP576" s="260">
        <f>($B$594*BP$575)/1000</f>
        <v>447.10800000000006</v>
      </c>
      <c r="BQ576" s="260">
        <f>($B$595*BQ$575)/1000</f>
        <v>367.44</v>
      </c>
      <c r="BR576" s="260">
        <f>($B$595*BR$575)/1000</f>
        <v>413.37</v>
      </c>
      <c r="BS576" s="260">
        <f>($B$595*BS$575)/1000</f>
        <v>459.3</v>
      </c>
      <c r="BT576" s="260">
        <f>($B$595*BT$575)/1000</f>
        <v>505.23</v>
      </c>
      <c r="BU576" s="1">
        <f>($B$596*BU$575)/1000</f>
        <v>435.06000000000006</v>
      </c>
      <c r="BV576" s="1">
        <f t="shared" ref="BV576:BW576" si="445">($B$596*BV$575)/1000</f>
        <v>507.57000000000005</v>
      </c>
      <c r="BW576" s="1">
        <f t="shared" si="445"/>
        <v>580.08000000000004</v>
      </c>
      <c r="BX576" s="1">
        <f>($B$596*BX$575)/1000</f>
        <v>652.59</v>
      </c>
      <c r="BY576" s="1">
        <f>($B$597*BY$575)/1000</f>
        <v>467.1</v>
      </c>
      <c r="BZ576" s="1">
        <f t="shared" ref="BZ576:CA576" si="446">($B$597*BZ$575)/1000</f>
        <v>513.80999999999995</v>
      </c>
      <c r="CA576" s="1">
        <f t="shared" si="446"/>
        <v>560.52</v>
      </c>
      <c r="CB576" s="1">
        <f>($B$598*CB$575)/1000</f>
        <v>563.6400000000001</v>
      </c>
      <c r="CC576" s="1">
        <f t="shared" ref="CC576:CD577" si="447">($B$598*CC$575)/1000</f>
        <v>644.16000000000008</v>
      </c>
      <c r="CD576" s="1">
        <f t="shared" si="447"/>
        <v>724.68000000000006</v>
      </c>
      <c r="CE576" s="1">
        <f>($B$599*CE$575)/1000</f>
        <v>676.45800000000008</v>
      </c>
    </row>
    <row r="577" spans="1:83" ht="15.6" customHeight="1">
      <c r="A577" s="266" t="s">
        <v>634</v>
      </c>
      <c r="B577" s="1" t="s">
        <v>626</v>
      </c>
      <c r="C577" s="187">
        <f t="shared" ref="C577:C583" si="448">$B$587</f>
        <v>58.589999999999996</v>
      </c>
      <c r="D577" s="187">
        <f t="shared" si="437"/>
        <v>58.589999999999996</v>
      </c>
      <c r="E577" s="187">
        <f t="shared" si="437"/>
        <v>58.589999999999996</v>
      </c>
      <c r="F577" s="187">
        <f t="shared" si="437"/>
        <v>58.589999999999996</v>
      </c>
      <c r="G577" s="187">
        <f t="shared" si="437"/>
        <v>58.589999999999996</v>
      </c>
      <c r="H577" s="187">
        <f t="shared" si="437"/>
        <v>58.589999999999996</v>
      </c>
      <c r="I577" s="187">
        <f t="shared" si="437"/>
        <v>58.589999999999996</v>
      </c>
      <c r="J577" s="187">
        <f t="shared" si="437"/>
        <v>58.589999999999996</v>
      </c>
      <c r="K577" s="187">
        <f t="shared" si="437"/>
        <v>58.589999999999996</v>
      </c>
      <c r="L577" s="187">
        <f t="shared" si="437"/>
        <v>58.589999999999996</v>
      </c>
      <c r="M577" s="187">
        <f t="shared" si="437"/>
        <v>58.589999999999996</v>
      </c>
      <c r="N577" s="187">
        <f t="shared" si="437"/>
        <v>58.589999999999996</v>
      </c>
      <c r="O577" s="187">
        <f t="shared" si="437"/>
        <v>58.589999999999996</v>
      </c>
      <c r="P577" s="187">
        <f t="shared" si="437"/>
        <v>58.589999999999996</v>
      </c>
      <c r="Q577" s="187">
        <f t="shared" si="437"/>
        <v>58.589999999999996</v>
      </c>
      <c r="R577" s="187">
        <f t="shared" si="437"/>
        <v>58.589999999999996</v>
      </c>
      <c r="S577" s="187">
        <f t="shared" si="437"/>
        <v>58.589999999999996</v>
      </c>
      <c r="T577" s="187">
        <f t="shared" si="437"/>
        <v>58.589999999999996</v>
      </c>
      <c r="U577" s="187">
        <f t="shared" si="437"/>
        <v>58.589999999999996</v>
      </c>
      <c r="V577" s="187">
        <f t="shared" si="437"/>
        <v>58.589999999999996</v>
      </c>
      <c r="W577" s="187">
        <f t="shared" si="437"/>
        <v>58.589999999999996</v>
      </c>
      <c r="X577" s="187">
        <f t="shared" si="437"/>
        <v>58.589999999999996</v>
      </c>
      <c r="Y577" s="187">
        <f t="shared" si="437"/>
        <v>58.589999999999996</v>
      </c>
      <c r="Z577" s="187">
        <f t="shared" si="437"/>
        <v>58.589999999999996</v>
      </c>
      <c r="AA577" s="187">
        <f t="shared" si="437"/>
        <v>58.589999999999996</v>
      </c>
      <c r="AB577" s="187">
        <f t="shared" si="437"/>
        <v>58.589999999999996</v>
      </c>
      <c r="AC577" s="187">
        <f t="shared" si="437"/>
        <v>58.589999999999996</v>
      </c>
      <c r="AD577" s="187">
        <f t="shared" si="437"/>
        <v>58.589999999999996</v>
      </c>
      <c r="AE577" s="260">
        <f t="shared" ref="AE577:AE583" si="449">$B$588</f>
        <v>83.100000000000009</v>
      </c>
      <c r="AF577" s="260">
        <f t="shared" si="438"/>
        <v>83.100000000000009</v>
      </c>
      <c r="AG577" s="260">
        <f t="shared" si="438"/>
        <v>83.100000000000009</v>
      </c>
      <c r="AH577" s="260">
        <f t="shared" ref="AH577:AH583" si="450">$B$589</f>
        <v>135.99</v>
      </c>
      <c r="AI577" s="260">
        <f t="shared" si="439"/>
        <v>135.99</v>
      </c>
      <c r="AJ577" s="260">
        <f t="shared" si="439"/>
        <v>135.99</v>
      </c>
      <c r="AK577" s="260">
        <f t="shared" ref="AK577:AK583" si="451">$B$590</f>
        <v>173.4</v>
      </c>
      <c r="AL577" s="260">
        <f t="shared" si="440"/>
        <v>173.4</v>
      </c>
      <c r="AM577" s="260">
        <f t="shared" si="440"/>
        <v>173.4</v>
      </c>
      <c r="AN577" s="260">
        <f t="shared" si="440"/>
        <v>173.4</v>
      </c>
      <c r="AO577" s="260">
        <f t="shared" ref="AO577:AO583" si="452">$B$591</f>
        <v>195.33</v>
      </c>
      <c r="AP577" s="260">
        <f t="shared" si="441"/>
        <v>195.33</v>
      </c>
      <c r="AQ577" s="260">
        <f t="shared" si="441"/>
        <v>195.33</v>
      </c>
      <c r="AR577" s="260">
        <f t="shared" si="441"/>
        <v>195.33</v>
      </c>
      <c r="AS577" s="260">
        <f t="shared" ref="AS577:AS583" si="453">$B$592</f>
        <v>218.55</v>
      </c>
      <c r="AT577" s="260">
        <f t="shared" si="442"/>
        <v>218.55</v>
      </c>
      <c r="AU577" s="260">
        <f t="shared" si="442"/>
        <v>218.55</v>
      </c>
      <c r="AV577" s="260">
        <f t="shared" si="442"/>
        <v>218.55</v>
      </c>
      <c r="AW577" s="48">
        <f t="shared" ref="AW577:AW583" si="454">$B$593</f>
        <v>232.74</v>
      </c>
      <c r="AX577" s="48">
        <f t="shared" si="443"/>
        <v>232.74</v>
      </c>
      <c r="AY577" s="48">
        <f t="shared" si="443"/>
        <v>232.74</v>
      </c>
      <c r="AZ577" s="48">
        <f t="shared" si="443"/>
        <v>232.74</v>
      </c>
      <c r="BA577" s="48">
        <f t="shared" si="443"/>
        <v>232.74</v>
      </c>
      <c r="BB577" s="48">
        <f t="shared" si="443"/>
        <v>232.74</v>
      </c>
      <c r="BC577" s="48">
        <f t="shared" si="443"/>
        <v>232.74</v>
      </c>
      <c r="BD577" s="48">
        <f t="shared" si="443"/>
        <v>232.74</v>
      </c>
      <c r="BE577" s="48">
        <f t="shared" si="443"/>
        <v>232.74</v>
      </c>
      <c r="BF577" s="260">
        <f t="shared" ref="BF577:BP583" si="455">($B$594*BF$575)/1000</f>
        <v>258.85200000000003</v>
      </c>
      <c r="BG577" s="260">
        <f t="shared" si="455"/>
        <v>282.38400000000001</v>
      </c>
      <c r="BH577" s="260">
        <f t="shared" si="455"/>
        <v>294.14999999999998</v>
      </c>
      <c r="BI577" s="260">
        <f t="shared" si="455"/>
        <v>305.916</v>
      </c>
      <c r="BJ577" s="260">
        <f t="shared" si="455"/>
        <v>329.44800000000004</v>
      </c>
      <c r="BK577" s="260">
        <f t="shared" si="455"/>
        <v>352.98000000000008</v>
      </c>
      <c r="BL577" s="260">
        <f t="shared" si="455"/>
        <v>376.51200000000006</v>
      </c>
      <c r="BM577" s="260">
        <f t="shared" si="455"/>
        <v>400.04400000000004</v>
      </c>
      <c r="BN577" s="260">
        <f t="shared" si="455"/>
        <v>411.81000000000006</v>
      </c>
      <c r="BO577" s="260">
        <f t="shared" si="455"/>
        <v>423.57600000000008</v>
      </c>
      <c r="BP577" s="260">
        <f t="shared" si="455"/>
        <v>447.10800000000006</v>
      </c>
      <c r="BQ577" s="260">
        <f t="shared" ref="BQ577:BT583" si="456">($B$595*BQ$575)/1000</f>
        <v>367.44</v>
      </c>
      <c r="BR577" s="260">
        <f t="shared" si="456"/>
        <v>413.37</v>
      </c>
      <c r="BS577" s="260">
        <f t="shared" si="456"/>
        <v>459.3</v>
      </c>
      <c r="BT577" s="260">
        <f t="shared" si="456"/>
        <v>505.23</v>
      </c>
      <c r="BU577" s="1">
        <f t="shared" ref="BU577:BX583" si="457">($B$596*BU$575)/1000</f>
        <v>435.06000000000006</v>
      </c>
      <c r="BV577" s="1">
        <f>($B$596*BV$575)/1000</f>
        <v>507.57000000000005</v>
      </c>
      <c r="BW577" s="1">
        <f t="shared" si="457"/>
        <v>580.08000000000004</v>
      </c>
      <c r="BX577" s="1">
        <f>($B$596*BX$575)/1000</f>
        <v>652.59</v>
      </c>
      <c r="BY577" s="1">
        <f t="shared" ref="BY577:CA583" si="458">($B$597*BY$575)/1000</f>
        <v>467.1</v>
      </c>
      <c r="BZ577" s="1">
        <f t="shared" si="458"/>
        <v>513.80999999999995</v>
      </c>
      <c r="CA577" s="1">
        <f t="shared" si="458"/>
        <v>560.52</v>
      </c>
      <c r="CB577" s="1">
        <f>($B$598*CB$575)/1000</f>
        <v>563.6400000000001</v>
      </c>
      <c r="CC577" s="1">
        <f t="shared" si="447"/>
        <v>644.16000000000008</v>
      </c>
      <c r="CD577" s="1">
        <f t="shared" si="447"/>
        <v>724.68000000000006</v>
      </c>
      <c r="CE577" s="1">
        <f t="shared" ref="CE577:CE583" si="459">($B$599*CE$575)/1000</f>
        <v>676.45800000000008</v>
      </c>
    </row>
    <row r="578" spans="1:83" ht="15.6" customHeight="1">
      <c r="A578" s="266" t="s">
        <v>635</v>
      </c>
      <c r="B578" s="1" t="s">
        <v>626</v>
      </c>
      <c r="C578" s="187">
        <f t="shared" si="448"/>
        <v>58.589999999999996</v>
      </c>
      <c r="D578" s="187">
        <f t="shared" si="437"/>
        <v>58.589999999999996</v>
      </c>
      <c r="E578" s="187">
        <f t="shared" si="437"/>
        <v>58.589999999999996</v>
      </c>
      <c r="F578" s="187">
        <f t="shared" si="437"/>
        <v>58.589999999999996</v>
      </c>
      <c r="G578" s="187">
        <f t="shared" si="437"/>
        <v>58.589999999999996</v>
      </c>
      <c r="H578" s="187">
        <f t="shared" si="437"/>
        <v>58.589999999999996</v>
      </c>
      <c r="I578" s="187">
        <f t="shared" si="437"/>
        <v>58.589999999999996</v>
      </c>
      <c r="J578" s="187">
        <f t="shared" si="437"/>
        <v>58.589999999999996</v>
      </c>
      <c r="K578" s="187">
        <f t="shared" si="437"/>
        <v>58.589999999999996</v>
      </c>
      <c r="L578" s="187">
        <f t="shared" si="437"/>
        <v>58.589999999999996</v>
      </c>
      <c r="M578" s="187">
        <f t="shared" si="437"/>
        <v>58.589999999999996</v>
      </c>
      <c r="N578" s="187">
        <f t="shared" si="437"/>
        <v>58.589999999999996</v>
      </c>
      <c r="O578" s="187">
        <f t="shared" si="437"/>
        <v>58.589999999999996</v>
      </c>
      <c r="P578" s="187">
        <f t="shared" si="437"/>
        <v>58.589999999999996</v>
      </c>
      <c r="Q578" s="187">
        <f t="shared" si="437"/>
        <v>58.589999999999996</v>
      </c>
      <c r="R578" s="187">
        <f t="shared" si="437"/>
        <v>58.589999999999996</v>
      </c>
      <c r="S578" s="187">
        <f t="shared" si="437"/>
        <v>58.589999999999996</v>
      </c>
      <c r="T578" s="187">
        <f t="shared" si="437"/>
        <v>58.589999999999996</v>
      </c>
      <c r="U578" s="187">
        <f t="shared" si="437"/>
        <v>58.589999999999996</v>
      </c>
      <c r="V578" s="187">
        <f t="shared" si="437"/>
        <v>58.589999999999996</v>
      </c>
      <c r="W578" s="187">
        <f t="shared" si="437"/>
        <v>58.589999999999996</v>
      </c>
      <c r="X578" s="187">
        <f t="shared" si="437"/>
        <v>58.589999999999996</v>
      </c>
      <c r="Y578" s="187">
        <f t="shared" si="437"/>
        <v>58.589999999999996</v>
      </c>
      <c r="Z578" s="187">
        <f t="shared" si="437"/>
        <v>58.589999999999996</v>
      </c>
      <c r="AA578" s="187">
        <f t="shared" si="437"/>
        <v>58.589999999999996</v>
      </c>
      <c r="AB578" s="187">
        <f t="shared" si="437"/>
        <v>58.589999999999996</v>
      </c>
      <c r="AC578" s="187">
        <f t="shared" si="437"/>
        <v>58.589999999999996</v>
      </c>
      <c r="AD578" s="187">
        <f t="shared" si="437"/>
        <v>58.589999999999996</v>
      </c>
      <c r="AE578" s="260">
        <f t="shared" si="449"/>
        <v>83.100000000000009</v>
      </c>
      <c r="AF578" s="260">
        <f t="shared" si="438"/>
        <v>83.100000000000009</v>
      </c>
      <c r="AG578" s="260">
        <f t="shared" si="438"/>
        <v>83.100000000000009</v>
      </c>
      <c r="AH578" s="260">
        <f t="shared" si="450"/>
        <v>135.99</v>
      </c>
      <c r="AI578" s="260">
        <f t="shared" si="439"/>
        <v>135.99</v>
      </c>
      <c r="AJ578" s="260">
        <f t="shared" si="439"/>
        <v>135.99</v>
      </c>
      <c r="AK578" s="260">
        <f t="shared" si="451"/>
        <v>173.4</v>
      </c>
      <c r="AL578" s="260">
        <f t="shared" si="440"/>
        <v>173.4</v>
      </c>
      <c r="AM578" s="260">
        <f t="shared" si="440"/>
        <v>173.4</v>
      </c>
      <c r="AN578" s="260">
        <f t="shared" si="440"/>
        <v>173.4</v>
      </c>
      <c r="AO578" s="260">
        <f t="shared" si="452"/>
        <v>195.33</v>
      </c>
      <c r="AP578" s="260">
        <f t="shared" si="441"/>
        <v>195.33</v>
      </c>
      <c r="AQ578" s="260">
        <f t="shared" si="441"/>
        <v>195.33</v>
      </c>
      <c r="AR578" s="260">
        <f t="shared" si="441"/>
        <v>195.33</v>
      </c>
      <c r="AS578" s="260">
        <f t="shared" si="453"/>
        <v>218.55</v>
      </c>
      <c r="AT578" s="260">
        <f t="shared" si="442"/>
        <v>218.55</v>
      </c>
      <c r="AU578" s="260">
        <f t="shared" si="442"/>
        <v>218.55</v>
      </c>
      <c r="AV578" s="260">
        <f t="shared" si="442"/>
        <v>218.55</v>
      </c>
      <c r="AW578" s="48">
        <f t="shared" si="454"/>
        <v>232.74</v>
      </c>
      <c r="AX578" s="48">
        <f t="shared" si="443"/>
        <v>232.74</v>
      </c>
      <c r="AY578" s="48">
        <f t="shared" si="443"/>
        <v>232.74</v>
      </c>
      <c r="AZ578" s="48">
        <f t="shared" si="443"/>
        <v>232.74</v>
      </c>
      <c r="BA578" s="48">
        <f t="shared" si="443"/>
        <v>232.74</v>
      </c>
      <c r="BB578" s="48">
        <f t="shared" si="443"/>
        <v>232.74</v>
      </c>
      <c r="BC578" s="48">
        <f t="shared" si="443"/>
        <v>232.74</v>
      </c>
      <c r="BD578" s="48">
        <f t="shared" si="443"/>
        <v>232.74</v>
      </c>
      <c r="BE578" s="48">
        <f t="shared" si="443"/>
        <v>232.74</v>
      </c>
      <c r="BF578" s="260">
        <f t="shared" si="455"/>
        <v>258.85200000000003</v>
      </c>
      <c r="BG578" s="260">
        <f t="shared" si="455"/>
        <v>282.38400000000001</v>
      </c>
      <c r="BH578" s="260">
        <f t="shared" si="455"/>
        <v>294.14999999999998</v>
      </c>
      <c r="BI578" s="260">
        <f t="shared" si="455"/>
        <v>305.916</v>
      </c>
      <c r="BJ578" s="260">
        <f t="shared" si="455"/>
        <v>329.44800000000004</v>
      </c>
      <c r="BK578" s="260">
        <f t="shared" si="455"/>
        <v>352.98000000000008</v>
      </c>
      <c r="BL578" s="260">
        <f t="shared" si="455"/>
        <v>376.51200000000006</v>
      </c>
      <c r="BM578" s="260">
        <f t="shared" si="455"/>
        <v>400.04400000000004</v>
      </c>
      <c r="BN578" s="260">
        <f t="shared" si="455"/>
        <v>411.81000000000006</v>
      </c>
      <c r="BO578" s="260">
        <f t="shared" si="455"/>
        <v>423.57600000000008</v>
      </c>
      <c r="BP578" s="260">
        <f t="shared" si="455"/>
        <v>447.10800000000006</v>
      </c>
      <c r="BQ578" s="260">
        <f t="shared" si="456"/>
        <v>367.44</v>
      </c>
      <c r="BR578" s="260">
        <f t="shared" si="456"/>
        <v>413.37</v>
      </c>
      <c r="BS578" s="260">
        <f t="shared" si="456"/>
        <v>459.3</v>
      </c>
      <c r="BT578" s="260">
        <f t="shared" si="456"/>
        <v>505.23</v>
      </c>
      <c r="BU578" s="1">
        <f t="shared" si="457"/>
        <v>435.06000000000006</v>
      </c>
      <c r="BV578" s="1">
        <f t="shared" si="457"/>
        <v>507.57000000000005</v>
      </c>
      <c r="BW578" s="1">
        <f t="shared" si="457"/>
        <v>580.08000000000004</v>
      </c>
      <c r="BX578" s="1">
        <f t="shared" si="457"/>
        <v>652.59</v>
      </c>
      <c r="BY578" s="1">
        <f t="shared" si="458"/>
        <v>467.1</v>
      </c>
      <c r="BZ578" s="1">
        <f t="shared" si="458"/>
        <v>513.80999999999995</v>
      </c>
      <c r="CA578" s="1">
        <f t="shared" si="458"/>
        <v>560.52</v>
      </c>
      <c r="CB578" s="1">
        <f t="shared" ref="CB578:CD583" si="460">($B$598*CB$575)/1000</f>
        <v>563.6400000000001</v>
      </c>
      <c r="CC578" s="1">
        <f t="shared" si="460"/>
        <v>644.16000000000008</v>
      </c>
      <c r="CD578" s="1">
        <f t="shared" si="460"/>
        <v>724.68000000000006</v>
      </c>
      <c r="CE578" s="1">
        <f t="shared" si="459"/>
        <v>676.45800000000008</v>
      </c>
    </row>
    <row r="579" spans="1:83" ht="15.6" customHeight="1">
      <c r="A579" s="266" t="s">
        <v>636</v>
      </c>
      <c r="B579" s="1" t="s">
        <v>626</v>
      </c>
      <c r="C579" s="187">
        <f t="shared" si="448"/>
        <v>58.589999999999996</v>
      </c>
      <c r="D579" s="187">
        <f t="shared" si="437"/>
        <v>58.589999999999996</v>
      </c>
      <c r="E579" s="187">
        <f t="shared" si="437"/>
        <v>58.589999999999996</v>
      </c>
      <c r="F579" s="187">
        <f t="shared" si="437"/>
        <v>58.589999999999996</v>
      </c>
      <c r="G579" s="187">
        <f t="shared" si="437"/>
        <v>58.589999999999996</v>
      </c>
      <c r="H579" s="187">
        <f t="shared" si="437"/>
        <v>58.589999999999996</v>
      </c>
      <c r="I579" s="187">
        <f t="shared" si="437"/>
        <v>58.589999999999996</v>
      </c>
      <c r="J579" s="187">
        <f t="shared" si="437"/>
        <v>58.589999999999996</v>
      </c>
      <c r="K579" s="187">
        <f t="shared" si="437"/>
        <v>58.589999999999996</v>
      </c>
      <c r="L579" s="187">
        <f t="shared" si="437"/>
        <v>58.589999999999996</v>
      </c>
      <c r="M579" s="187">
        <f t="shared" si="437"/>
        <v>58.589999999999996</v>
      </c>
      <c r="N579" s="187">
        <f t="shared" si="437"/>
        <v>58.589999999999996</v>
      </c>
      <c r="O579" s="187">
        <f t="shared" si="437"/>
        <v>58.589999999999996</v>
      </c>
      <c r="P579" s="187">
        <f t="shared" si="437"/>
        <v>58.589999999999996</v>
      </c>
      <c r="Q579" s="187">
        <f t="shared" si="437"/>
        <v>58.589999999999996</v>
      </c>
      <c r="R579" s="187">
        <f t="shared" si="437"/>
        <v>58.589999999999996</v>
      </c>
      <c r="S579" s="187">
        <f t="shared" si="437"/>
        <v>58.589999999999996</v>
      </c>
      <c r="T579" s="187">
        <f t="shared" si="437"/>
        <v>58.589999999999996</v>
      </c>
      <c r="U579" s="187">
        <f t="shared" si="437"/>
        <v>58.589999999999996</v>
      </c>
      <c r="V579" s="187">
        <f t="shared" si="437"/>
        <v>58.589999999999996</v>
      </c>
      <c r="W579" s="187">
        <f t="shared" si="437"/>
        <v>58.589999999999996</v>
      </c>
      <c r="X579" s="187">
        <f t="shared" si="437"/>
        <v>58.589999999999996</v>
      </c>
      <c r="Y579" s="187">
        <f t="shared" si="437"/>
        <v>58.589999999999996</v>
      </c>
      <c r="Z579" s="187">
        <f t="shared" si="437"/>
        <v>58.589999999999996</v>
      </c>
      <c r="AA579" s="187">
        <f t="shared" si="437"/>
        <v>58.589999999999996</v>
      </c>
      <c r="AB579" s="187">
        <f t="shared" si="437"/>
        <v>58.589999999999996</v>
      </c>
      <c r="AC579" s="187">
        <f t="shared" si="437"/>
        <v>58.589999999999996</v>
      </c>
      <c r="AD579" s="187">
        <f t="shared" si="437"/>
        <v>58.589999999999996</v>
      </c>
      <c r="AE579" s="260">
        <f t="shared" si="449"/>
        <v>83.100000000000009</v>
      </c>
      <c r="AF579" s="260">
        <f t="shared" si="438"/>
        <v>83.100000000000009</v>
      </c>
      <c r="AG579" s="260">
        <f t="shared" si="438"/>
        <v>83.100000000000009</v>
      </c>
      <c r="AH579" s="260">
        <f t="shared" si="450"/>
        <v>135.99</v>
      </c>
      <c r="AI579" s="260">
        <f t="shared" si="439"/>
        <v>135.99</v>
      </c>
      <c r="AJ579" s="260">
        <f t="shared" si="439"/>
        <v>135.99</v>
      </c>
      <c r="AK579" s="260">
        <f t="shared" si="451"/>
        <v>173.4</v>
      </c>
      <c r="AL579" s="260">
        <f t="shared" si="440"/>
        <v>173.4</v>
      </c>
      <c r="AM579" s="260">
        <f t="shared" si="440"/>
        <v>173.4</v>
      </c>
      <c r="AN579" s="260">
        <f t="shared" si="440"/>
        <v>173.4</v>
      </c>
      <c r="AO579" s="260">
        <f t="shared" si="452"/>
        <v>195.33</v>
      </c>
      <c r="AP579" s="260">
        <f t="shared" si="441"/>
        <v>195.33</v>
      </c>
      <c r="AQ579" s="260">
        <f t="shared" si="441"/>
        <v>195.33</v>
      </c>
      <c r="AR579" s="260">
        <f t="shared" si="441"/>
        <v>195.33</v>
      </c>
      <c r="AS579" s="260">
        <f t="shared" si="453"/>
        <v>218.55</v>
      </c>
      <c r="AT579" s="260">
        <f t="shared" si="442"/>
        <v>218.55</v>
      </c>
      <c r="AU579" s="260">
        <f t="shared" si="442"/>
        <v>218.55</v>
      </c>
      <c r="AV579" s="260">
        <f t="shared" si="442"/>
        <v>218.55</v>
      </c>
      <c r="AW579" s="48">
        <f t="shared" si="454"/>
        <v>232.74</v>
      </c>
      <c r="AX579" s="48">
        <f t="shared" si="443"/>
        <v>232.74</v>
      </c>
      <c r="AY579" s="48">
        <f t="shared" si="443"/>
        <v>232.74</v>
      </c>
      <c r="AZ579" s="48">
        <f t="shared" si="443"/>
        <v>232.74</v>
      </c>
      <c r="BA579" s="48">
        <f t="shared" si="443"/>
        <v>232.74</v>
      </c>
      <c r="BB579" s="48">
        <f t="shared" si="443"/>
        <v>232.74</v>
      </c>
      <c r="BC579" s="48">
        <f t="shared" si="443"/>
        <v>232.74</v>
      </c>
      <c r="BD579" s="48">
        <f t="shared" si="443"/>
        <v>232.74</v>
      </c>
      <c r="BE579" s="48">
        <f t="shared" si="443"/>
        <v>232.74</v>
      </c>
      <c r="BF579" s="260">
        <f t="shared" si="455"/>
        <v>258.85200000000003</v>
      </c>
      <c r="BG579" s="260">
        <f t="shared" si="455"/>
        <v>282.38400000000001</v>
      </c>
      <c r="BH579" s="260">
        <f t="shared" si="455"/>
        <v>294.14999999999998</v>
      </c>
      <c r="BI579" s="260">
        <f t="shared" si="455"/>
        <v>305.916</v>
      </c>
      <c r="BJ579" s="260">
        <f t="shared" si="455"/>
        <v>329.44800000000004</v>
      </c>
      <c r="BK579" s="260">
        <f t="shared" si="455"/>
        <v>352.98000000000008</v>
      </c>
      <c r="BL579" s="260">
        <f t="shared" si="455"/>
        <v>376.51200000000006</v>
      </c>
      <c r="BM579" s="260">
        <f t="shared" si="455"/>
        <v>400.04400000000004</v>
      </c>
      <c r="BN579" s="260">
        <f t="shared" si="455"/>
        <v>411.81000000000006</v>
      </c>
      <c r="BO579" s="260">
        <f t="shared" si="455"/>
        <v>423.57600000000008</v>
      </c>
      <c r="BP579" s="260">
        <f t="shared" si="455"/>
        <v>447.10800000000006</v>
      </c>
      <c r="BQ579" s="260">
        <f t="shared" si="456"/>
        <v>367.44</v>
      </c>
      <c r="BR579" s="260">
        <f t="shared" si="456"/>
        <v>413.37</v>
      </c>
      <c r="BS579" s="260">
        <f t="shared" si="456"/>
        <v>459.3</v>
      </c>
      <c r="BT579" s="260">
        <f t="shared" si="456"/>
        <v>505.23</v>
      </c>
      <c r="BU579" s="1">
        <f t="shared" si="457"/>
        <v>435.06000000000006</v>
      </c>
      <c r="BV579" s="1">
        <f t="shared" si="457"/>
        <v>507.57000000000005</v>
      </c>
      <c r="BW579" s="1">
        <f t="shared" si="457"/>
        <v>580.08000000000004</v>
      </c>
      <c r="BX579" s="1">
        <f t="shared" si="457"/>
        <v>652.59</v>
      </c>
      <c r="BY579" s="1">
        <f t="shared" si="458"/>
        <v>467.1</v>
      </c>
      <c r="BZ579" s="1">
        <f t="shared" si="458"/>
        <v>513.80999999999995</v>
      </c>
      <c r="CA579" s="1">
        <f t="shared" si="458"/>
        <v>560.52</v>
      </c>
      <c r="CB579" s="1">
        <f t="shared" si="460"/>
        <v>563.6400000000001</v>
      </c>
      <c r="CC579" s="1">
        <f t="shared" si="460"/>
        <v>644.16000000000008</v>
      </c>
      <c r="CD579" s="1">
        <f t="shared" si="460"/>
        <v>724.68000000000006</v>
      </c>
      <c r="CE579" s="1">
        <f t="shared" si="459"/>
        <v>676.45800000000008</v>
      </c>
    </row>
    <row r="580" spans="1:83" ht="15.6" customHeight="1">
      <c r="A580" s="266" t="s">
        <v>637</v>
      </c>
      <c r="B580" s="1" t="s">
        <v>626</v>
      </c>
      <c r="C580" s="187">
        <f t="shared" si="448"/>
        <v>58.589999999999996</v>
      </c>
      <c r="D580" s="187">
        <f t="shared" si="437"/>
        <v>58.589999999999996</v>
      </c>
      <c r="E580" s="187">
        <f t="shared" si="437"/>
        <v>58.589999999999996</v>
      </c>
      <c r="F580" s="187">
        <f t="shared" si="437"/>
        <v>58.589999999999996</v>
      </c>
      <c r="G580" s="187">
        <f t="shared" si="437"/>
        <v>58.589999999999996</v>
      </c>
      <c r="H580" s="187">
        <f t="shared" si="437"/>
        <v>58.589999999999996</v>
      </c>
      <c r="I580" s="187">
        <f t="shared" si="437"/>
        <v>58.589999999999996</v>
      </c>
      <c r="J580" s="187">
        <f t="shared" si="437"/>
        <v>58.589999999999996</v>
      </c>
      <c r="K580" s="187">
        <f t="shared" si="437"/>
        <v>58.589999999999996</v>
      </c>
      <c r="L580" s="187">
        <f t="shared" si="437"/>
        <v>58.589999999999996</v>
      </c>
      <c r="M580" s="187">
        <f t="shared" si="437"/>
        <v>58.589999999999996</v>
      </c>
      <c r="N580" s="187">
        <f t="shared" si="437"/>
        <v>58.589999999999996</v>
      </c>
      <c r="O580" s="187">
        <f t="shared" si="437"/>
        <v>58.589999999999996</v>
      </c>
      <c r="P580" s="187">
        <f t="shared" si="437"/>
        <v>58.589999999999996</v>
      </c>
      <c r="Q580" s="187">
        <f t="shared" si="437"/>
        <v>58.589999999999996</v>
      </c>
      <c r="R580" s="187">
        <f t="shared" si="437"/>
        <v>58.589999999999996</v>
      </c>
      <c r="S580" s="187">
        <f t="shared" si="437"/>
        <v>58.589999999999996</v>
      </c>
      <c r="T580" s="187">
        <f t="shared" si="437"/>
        <v>58.589999999999996</v>
      </c>
      <c r="U580" s="187">
        <f t="shared" si="437"/>
        <v>58.589999999999996</v>
      </c>
      <c r="V580" s="187">
        <f t="shared" si="437"/>
        <v>58.589999999999996</v>
      </c>
      <c r="W580" s="187">
        <f t="shared" si="437"/>
        <v>58.589999999999996</v>
      </c>
      <c r="X580" s="187">
        <f t="shared" si="437"/>
        <v>58.589999999999996</v>
      </c>
      <c r="Y580" s="187">
        <f t="shared" si="437"/>
        <v>58.589999999999996</v>
      </c>
      <c r="Z580" s="187">
        <f t="shared" si="437"/>
        <v>58.589999999999996</v>
      </c>
      <c r="AA580" s="187">
        <f t="shared" si="437"/>
        <v>58.589999999999996</v>
      </c>
      <c r="AB580" s="187">
        <f t="shared" si="437"/>
        <v>58.589999999999996</v>
      </c>
      <c r="AC580" s="187">
        <f t="shared" si="437"/>
        <v>58.589999999999996</v>
      </c>
      <c r="AD580" s="187">
        <f t="shared" si="437"/>
        <v>58.589999999999996</v>
      </c>
      <c r="AE580" s="260">
        <f t="shared" si="449"/>
        <v>83.100000000000009</v>
      </c>
      <c r="AF580" s="260">
        <f t="shared" si="438"/>
        <v>83.100000000000009</v>
      </c>
      <c r="AG580" s="260">
        <f t="shared" si="438"/>
        <v>83.100000000000009</v>
      </c>
      <c r="AH580" s="260">
        <f t="shared" si="450"/>
        <v>135.99</v>
      </c>
      <c r="AI580" s="260">
        <f t="shared" si="439"/>
        <v>135.99</v>
      </c>
      <c r="AJ580" s="260">
        <f t="shared" si="439"/>
        <v>135.99</v>
      </c>
      <c r="AK580" s="260">
        <f t="shared" si="451"/>
        <v>173.4</v>
      </c>
      <c r="AL580" s="260">
        <f t="shared" si="440"/>
        <v>173.4</v>
      </c>
      <c r="AM580" s="260">
        <f t="shared" si="440"/>
        <v>173.4</v>
      </c>
      <c r="AN580" s="260">
        <f t="shared" si="440"/>
        <v>173.4</v>
      </c>
      <c r="AO580" s="260">
        <f t="shared" si="452"/>
        <v>195.33</v>
      </c>
      <c r="AP580" s="260">
        <f t="shared" si="441"/>
        <v>195.33</v>
      </c>
      <c r="AQ580" s="260">
        <f t="shared" si="441"/>
        <v>195.33</v>
      </c>
      <c r="AR580" s="260">
        <f t="shared" si="441"/>
        <v>195.33</v>
      </c>
      <c r="AS580" s="260">
        <f t="shared" si="453"/>
        <v>218.55</v>
      </c>
      <c r="AT580" s="260">
        <f t="shared" si="442"/>
        <v>218.55</v>
      </c>
      <c r="AU580" s="260">
        <f t="shared" si="442"/>
        <v>218.55</v>
      </c>
      <c r="AV580" s="260">
        <f t="shared" si="442"/>
        <v>218.55</v>
      </c>
      <c r="AW580" s="48">
        <f t="shared" si="454"/>
        <v>232.74</v>
      </c>
      <c r="AX580" s="48">
        <f t="shared" si="443"/>
        <v>232.74</v>
      </c>
      <c r="AY580" s="48">
        <f t="shared" si="443"/>
        <v>232.74</v>
      </c>
      <c r="AZ580" s="48">
        <f t="shared" si="443"/>
        <v>232.74</v>
      </c>
      <c r="BA580" s="48">
        <f t="shared" si="443"/>
        <v>232.74</v>
      </c>
      <c r="BB580" s="48">
        <f t="shared" si="443"/>
        <v>232.74</v>
      </c>
      <c r="BC580" s="48">
        <f t="shared" si="443"/>
        <v>232.74</v>
      </c>
      <c r="BD580" s="48">
        <f t="shared" si="443"/>
        <v>232.74</v>
      </c>
      <c r="BE580" s="48">
        <f t="shared" si="443"/>
        <v>232.74</v>
      </c>
      <c r="BF580" s="260">
        <f t="shared" si="455"/>
        <v>258.85200000000003</v>
      </c>
      <c r="BG580" s="260">
        <f t="shared" si="455"/>
        <v>282.38400000000001</v>
      </c>
      <c r="BH580" s="260">
        <f t="shared" si="455"/>
        <v>294.14999999999998</v>
      </c>
      <c r="BI580" s="260">
        <f t="shared" si="455"/>
        <v>305.916</v>
      </c>
      <c r="BJ580" s="260">
        <f t="shared" si="455"/>
        <v>329.44800000000004</v>
      </c>
      <c r="BK580" s="260">
        <f t="shared" si="455"/>
        <v>352.98000000000008</v>
      </c>
      <c r="BL580" s="260">
        <f t="shared" si="455"/>
        <v>376.51200000000006</v>
      </c>
      <c r="BM580" s="260">
        <f t="shared" si="455"/>
        <v>400.04400000000004</v>
      </c>
      <c r="BN580" s="260">
        <f t="shared" si="455"/>
        <v>411.81000000000006</v>
      </c>
      <c r="BO580" s="260">
        <f t="shared" si="455"/>
        <v>423.57600000000008</v>
      </c>
      <c r="BP580" s="260">
        <f t="shared" si="455"/>
        <v>447.10800000000006</v>
      </c>
      <c r="BQ580" s="260">
        <f t="shared" si="456"/>
        <v>367.44</v>
      </c>
      <c r="BR580" s="260">
        <f t="shared" si="456"/>
        <v>413.37</v>
      </c>
      <c r="BS580" s="260">
        <f t="shared" si="456"/>
        <v>459.3</v>
      </c>
      <c r="BT580" s="260">
        <f t="shared" si="456"/>
        <v>505.23</v>
      </c>
      <c r="BU580" s="1">
        <f t="shared" si="457"/>
        <v>435.06000000000006</v>
      </c>
      <c r="BV580" s="1">
        <f t="shared" si="457"/>
        <v>507.57000000000005</v>
      </c>
      <c r="BW580" s="1">
        <f t="shared" si="457"/>
        <v>580.08000000000004</v>
      </c>
      <c r="BX580" s="1">
        <f t="shared" si="457"/>
        <v>652.59</v>
      </c>
      <c r="BY580" s="1">
        <f t="shared" si="458"/>
        <v>467.1</v>
      </c>
      <c r="BZ580" s="1">
        <f t="shared" si="458"/>
        <v>513.80999999999995</v>
      </c>
      <c r="CA580" s="1">
        <f t="shared" si="458"/>
        <v>560.52</v>
      </c>
      <c r="CB580" s="1">
        <f t="shared" si="460"/>
        <v>563.6400000000001</v>
      </c>
      <c r="CC580" s="1">
        <f t="shared" si="460"/>
        <v>644.16000000000008</v>
      </c>
      <c r="CD580" s="1">
        <f t="shared" si="460"/>
        <v>724.68000000000006</v>
      </c>
      <c r="CE580" s="1">
        <f t="shared" si="459"/>
        <v>676.45800000000008</v>
      </c>
    </row>
    <row r="581" spans="1:83" ht="15.6" customHeight="1">
      <c r="A581" s="266" t="s">
        <v>638</v>
      </c>
      <c r="B581" s="1" t="s">
        <v>626</v>
      </c>
      <c r="C581" s="187">
        <f t="shared" si="448"/>
        <v>58.589999999999996</v>
      </c>
      <c r="D581" s="187">
        <f t="shared" si="437"/>
        <v>58.589999999999996</v>
      </c>
      <c r="E581" s="187">
        <f t="shared" si="437"/>
        <v>58.589999999999996</v>
      </c>
      <c r="F581" s="187">
        <f t="shared" si="437"/>
        <v>58.589999999999996</v>
      </c>
      <c r="G581" s="187">
        <f t="shared" si="437"/>
        <v>58.589999999999996</v>
      </c>
      <c r="H581" s="187">
        <f t="shared" si="437"/>
        <v>58.589999999999996</v>
      </c>
      <c r="I581" s="187">
        <f t="shared" si="437"/>
        <v>58.589999999999996</v>
      </c>
      <c r="J581" s="187">
        <f t="shared" si="437"/>
        <v>58.589999999999996</v>
      </c>
      <c r="K581" s="187">
        <f t="shared" si="437"/>
        <v>58.589999999999996</v>
      </c>
      <c r="L581" s="187">
        <f t="shared" si="437"/>
        <v>58.589999999999996</v>
      </c>
      <c r="M581" s="187">
        <f t="shared" si="437"/>
        <v>58.589999999999996</v>
      </c>
      <c r="N581" s="187">
        <f t="shared" si="437"/>
        <v>58.589999999999996</v>
      </c>
      <c r="O581" s="187">
        <f t="shared" si="437"/>
        <v>58.589999999999996</v>
      </c>
      <c r="P581" s="187">
        <f t="shared" si="437"/>
        <v>58.589999999999996</v>
      </c>
      <c r="Q581" s="187">
        <f t="shared" si="437"/>
        <v>58.589999999999996</v>
      </c>
      <c r="R581" s="187">
        <f t="shared" si="437"/>
        <v>58.589999999999996</v>
      </c>
      <c r="S581" s="187">
        <f t="shared" si="437"/>
        <v>58.589999999999996</v>
      </c>
      <c r="T581" s="187">
        <f t="shared" si="437"/>
        <v>58.589999999999996</v>
      </c>
      <c r="U581" s="187">
        <f t="shared" si="437"/>
        <v>58.589999999999996</v>
      </c>
      <c r="V581" s="187">
        <f t="shared" si="437"/>
        <v>58.589999999999996</v>
      </c>
      <c r="W581" s="187">
        <f t="shared" si="437"/>
        <v>58.589999999999996</v>
      </c>
      <c r="X581" s="187">
        <f t="shared" si="437"/>
        <v>58.589999999999996</v>
      </c>
      <c r="Y581" s="187">
        <f t="shared" si="437"/>
        <v>58.589999999999996</v>
      </c>
      <c r="Z581" s="187">
        <f t="shared" si="437"/>
        <v>58.589999999999996</v>
      </c>
      <c r="AA581" s="187">
        <f t="shared" si="437"/>
        <v>58.589999999999996</v>
      </c>
      <c r="AB581" s="187">
        <f t="shared" si="437"/>
        <v>58.589999999999996</v>
      </c>
      <c r="AC581" s="187">
        <f t="shared" si="437"/>
        <v>58.589999999999996</v>
      </c>
      <c r="AD581" s="187">
        <f t="shared" si="437"/>
        <v>58.589999999999996</v>
      </c>
      <c r="AE581" s="260">
        <f t="shared" si="449"/>
        <v>83.100000000000009</v>
      </c>
      <c r="AF581" s="260">
        <f t="shared" si="438"/>
        <v>83.100000000000009</v>
      </c>
      <c r="AG581" s="260">
        <f t="shared" si="438"/>
        <v>83.100000000000009</v>
      </c>
      <c r="AH581" s="260">
        <f t="shared" si="450"/>
        <v>135.99</v>
      </c>
      <c r="AI581" s="260">
        <f t="shared" si="439"/>
        <v>135.99</v>
      </c>
      <c r="AJ581" s="260">
        <f t="shared" si="439"/>
        <v>135.99</v>
      </c>
      <c r="AK581" s="260">
        <f t="shared" si="451"/>
        <v>173.4</v>
      </c>
      <c r="AL581" s="260">
        <f t="shared" si="440"/>
        <v>173.4</v>
      </c>
      <c r="AM581" s="260">
        <f t="shared" si="440"/>
        <v>173.4</v>
      </c>
      <c r="AN581" s="260">
        <f t="shared" si="440"/>
        <v>173.4</v>
      </c>
      <c r="AO581" s="260">
        <f t="shared" si="452"/>
        <v>195.33</v>
      </c>
      <c r="AP581" s="260">
        <f t="shared" si="441"/>
        <v>195.33</v>
      </c>
      <c r="AQ581" s="260">
        <f t="shared" si="441"/>
        <v>195.33</v>
      </c>
      <c r="AR581" s="260">
        <f t="shared" si="441"/>
        <v>195.33</v>
      </c>
      <c r="AS581" s="260">
        <f t="shared" si="453"/>
        <v>218.55</v>
      </c>
      <c r="AT581" s="260">
        <f t="shared" si="442"/>
        <v>218.55</v>
      </c>
      <c r="AU581" s="260">
        <f t="shared" si="442"/>
        <v>218.55</v>
      </c>
      <c r="AV581" s="260">
        <f t="shared" si="442"/>
        <v>218.55</v>
      </c>
      <c r="AW581" s="48">
        <f t="shared" si="454"/>
        <v>232.74</v>
      </c>
      <c r="AX581" s="48">
        <f t="shared" si="443"/>
        <v>232.74</v>
      </c>
      <c r="AY581" s="48">
        <f t="shared" si="443"/>
        <v>232.74</v>
      </c>
      <c r="AZ581" s="48">
        <f t="shared" si="443"/>
        <v>232.74</v>
      </c>
      <c r="BA581" s="48">
        <f t="shared" si="443"/>
        <v>232.74</v>
      </c>
      <c r="BB581" s="48">
        <f t="shared" si="443"/>
        <v>232.74</v>
      </c>
      <c r="BC581" s="48">
        <f t="shared" si="443"/>
        <v>232.74</v>
      </c>
      <c r="BD581" s="48">
        <f t="shared" si="443"/>
        <v>232.74</v>
      </c>
      <c r="BE581" s="48">
        <f t="shared" si="443"/>
        <v>232.74</v>
      </c>
      <c r="BF581" s="260">
        <f t="shared" si="455"/>
        <v>258.85200000000003</v>
      </c>
      <c r="BG581" s="260">
        <f t="shared" si="455"/>
        <v>282.38400000000001</v>
      </c>
      <c r="BH581" s="260">
        <f t="shared" si="455"/>
        <v>294.14999999999998</v>
      </c>
      <c r="BI581" s="260">
        <f t="shared" si="455"/>
        <v>305.916</v>
      </c>
      <c r="BJ581" s="260">
        <f t="shared" si="455"/>
        <v>329.44800000000004</v>
      </c>
      <c r="BK581" s="260">
        <f t="shared" si="455"/>
        <v>352.98000000000008</v>
      </c>
      <c r="BL581" s="260">
        <f t="shared" si="455"/>
        <v>376.51200000000006</v>
      </c>
      <c r="BM581" s="260">
        <f t="shared" si="455"/>
        <v>400.04400000000004</v>
      </c>
      <c r="BN581" s="260">
        <f t="shared" si="455"/>
        <v>411.81000000000006</v>
      </c>
      <c r="BO581" s="260">
        <f t="shared" si="455"/>
        <v>423.57600000000008</v>
      </c>
      <c r="BP581" s="260">
        <f t="shared" si="455"/>
        <v>447.10800000000006</v>
      </c>
      <c r="BQ581" s="260">
        <f t="shared" si="456"/>
        <v>367.44</v>
      </c>
      <c r="BR581" s="260">
        <f t="shared" si="456"/>
        <v>413.37</v>
      </c>
      <c r="BS581" s="260">
        <f t="shared" si="456"/>
        <v>459.3</v>
      </c>
      <c r="BT581" s="260">
        <f t="shared" si="456"/>
        <v>505.23</v>
      </c>
      <c r="BU581" s="1">
        <f t="shared" si="457"/>
        <v>435.06000000000006</v>
      </c>
      <c r="BV581" s="1">
        <f t="shared" si="457"/>
        <v>507.57000000000005</v>
      </c>
      <c r="BW581" s="1">
        <f t="shared" si="457"/>
        <v>580.08000000000004</v>
      </c>
      <c r="BX581" s="1">
        <f t="shared" si="457"/>
        <v>652.59</v>
      </c>
      <c r="BY581" s="1">
        <f t="shared" si="458"/>
        <v>467.1</v>
      </c>
      <c r="BZ581" s="1">
        <f t="shared" si="458"/>
        <v>513.80999999999995</v>
      </c>
      <c r="CA581" s="1">
        <f t="shared" si="458"/>
        <v>560.52</v>
      </c>
      <c r="CB581" s="1">
        <f t="shared" si="460"/>
        <v>563.6400000000001</v>
      </c>
      <c r="CC581" s="1">
        <f t="shared" si="460"/>
        <v>644.16000000000008</v>
      </c>
      <c r="CD581" s="1">
        <f t="shared" si="460"/>
        <v>724.68000000000006</v>
      </c>
      <c r="CE581" s="1">
        <f t="shared" si="459"/>
        <v>676.45800000000008</v>
      </c>
    </row>
    <row r="582" spans="1:83" ht="15.6" customHeight="1">
      <c r="A582" s="266" t="s">
        <v>639</v>
      </c>
      <c r="B582" s="1" t="s">
        <v>626</v>
      </c>
      <c r="C582" s="187">
        <f t="shared" si="448"/>
        <v>58.589999999999996</v>
      </c>
      <c r="D582" s="187">
        <f t="shared" si="437"/>
        <v>58.589999999999996</v>
      </c>
      <c r="E582" s="187">
        <f t="shared" si="437"/>
        <v>58.589999999999996</v>
      </c>
      <c r="F582" s="187">
        <f t="shared" si="437"/>
        <v>58.589999999999996</v>
      </c>
      <c r="G582" s="187">
        <f t="shared" si="437"/>
        <v>58.589999999999996</v>
      </c>
      <c r="H582" s="187">
        <f t="shared" si="437"/>
        <v>58.589999999999996</v>
      </c>
      <c r="I582" s="187">
        <f t="shared" si="437"/>
        <v>58.589999999999996</v>
      </c>
      <c r="J582" s="187">
        <f t="shared" si="437"/>
        <v>58.589999999999996</v>
      </c>
      <c r="K582" s="187">
        <f t="shared" si="437"/>
        <v>58.589999999999996</v>
      </c>
      <c r="L582" s="187">
        <f t="shared" si="437"/>
        <v>58.589999999999996</v>
      </c>
      <c r="M582" s="187">
        <f t="shared" si="437"/>
        <v>58.589999999999996</v>
      </c>
      <c r="N582" s="187">
        <f t="shared" si="437"/>
        <v>58.589999999999996</v>
      </c>
      <c r="O582" s="187">
        <f t="shared" si="437"/>
        <v>58.589999999999996</v>
      </c>
      <c r="P582" s="187">
        <f t="shared" si="437"/>
        <v>58.589999999999996</v>
      </c>
      <c r="Q582" s="187">
        <f t="shared" si="437"/>
        <v>58.589999999999996</v>
      </c>
      <c r="R582" s="187">
        <f t="shared" si="437"/>
        <v>58.589999999999996</v>
      </c>
      <c r="S582" s="187">
        <f t="shared" si="437"/>
        <v>58.589999999999996</v>
      </c>
      <c r="T582" s="187">
        <f t="shared" si="437"/>
        <v>58.589999999999996</v>
      </c>
      <c r="U582" s="187">
        <f t="shared" si="437"/>
        <v>58.589999999999996</v>
      </c>
      <c r="V582" s="187">
        <f t="shared" si="437"/>
        <v>58.589999999999996</v>
      </c>
      <c r="W582" s="187">
        <f t="shared" si="437"/>
        <v>58.589999999999996</v>
      </c>
      <c r="X582" s="187">
        <f t="shared" si="437"/>
        <v>58.589999999999996</v>
      </c>
      <c r="Y582" s="187">
        <f t="shared" si="437"/>
        <v>58.589999999999996</v>
      </c>
      <c r="Z582" s="187">
        <f t="shared" si="437"/>
        <v>58.589999999999996</v>
      </c>
      <c r="AA582" s="187">
        <f t="shared" si="437"/>
        <v>58.589999999999996</v>
      </c>
      <c r="AB582" s="187">
        <f t="shared" si="437"/>
        <v>58.589999999999996</v>
      </c>
      <c r="AC582" s="187">
        <f t="shared" si="437"/>
        <v>58.589999999999996</v>
      </c>
      <c r="AD582" s="187">
        <f t="shared" si="437"/>
        <v>58.589999999999996</v>
      </c>
      <c r="AE582" s="260">
        <f t="shared" si="449"/>
        <v>83.100000000000009</v>
      </c>
      <c r="AF582" s="260">
        <f t="shared" si="438"/>
        <v>83.100000000000009</v>
      </c>
      <c r="AG582" s="260">
        <f t="shared" si="438"/>
        <v>83.100000000000009</v>
      </c>
      <c r="AH582" s="260">
        <f t="shared" si="450"/>
        <v>135.99</v>
      </c>
      <c r="AI582" s="260">
        <f t="shared" si="439"/>
        <v>135.99</v>
      </c>
      <c r="AJ582" s="260">
        <f t="shared" si="439"/>
        <v>135.99</v>
      </c>
      <c r="AK582" s="260">
        <f t="shared" si="451"/>
        <v>173.4</v>
      </c>
      <c r="AL582" s="260">
        <f t="shared" si="440"/>
        <v>173.4</v>
      </c>
      <c r="AM582" s="260">
        <f t="shared" si="440"/>
        <v>173.4</v>
      </c>
      <c r="AN582" s="260">
        <f t="shared" si="440"/>
        <v>173.4</v>
      </c>
      <c r="AO582" s="260">
        <f t="shared" si="452"/>
        <v>195.33</v>
      </c>
      <c r="AP582" s="260">
        <f t="shared" si="441"/>
        <v>195.33</v>
      </c>
      <c r="AQ582" s="260">
        <f t="shared" si="441"/>
        <v>195.33</v>
      </c>
      <c r="AR582" s="260">
        <f t="shared" si="441"/>
        <v>195.33</v>
      </c>
      <c r="AS582" s="260">
        <f t="shared" si="453"/>
        <v>218.55</v>
      </c>
      <c r="AT582" s="260">
        <f t="shared" si="442"/>
        <v>218.55</v>
      </c>
      <c r="AU582" s="260">
        <f t="shared" si="442"/>
        <v>218.55</v>
      </c>
      <c r="AV582" s="260">
        <f t="shared" si="442"/>
        <v>218.55</v>
      </c>
      <c r="AW582" s="48">
        <f t="shared" si="454"/>
        <v>232.74</v>
      </c>
      <c r="AX582" s="48">
        <f t="shared" si="443"/>
        <v>232.74</v>
      </c>
      <c r="AY582" s="48">
        <f t="shared" si="443"/>
        <v>232.74</v>
      </c>
      <c r="AZ582" s="48">
        <f t="shared" si="443"/>
        <v>232.74</v>
      </c>
      <c r="BA582" s="48">
        <f t="shared" si="443"/>
        <v>232.74</v>
      </c>
      <c r="BB582" s="48">
        <f t="shared" si="443"/>
        <v>232.74</v>
      </c>
      <c r="BC582" s="48">
        <f t="shared" si="443"/>
        <v>232.74</v>
      </c>
      <c r="BD582" s="48">
        <f t="shared" si="443"/>
        <v>232.74</v>
      </c>
      <c r="BE582" s="48">
        <f t="shared" si="443"/>
        <v>232.74</v>
      </c>
      <c r="BF582" s="260">
        <f t="shared" si="455"/>
        <v>258.85200000000003</v>
      </c>
      <c r="BG582" s="260">
        <f t="shared" si="455"/>
        <v>282.38400000000001</v>
      </c>
      <c r="BH582" s="260">
        <f t="shared" si="455"/>
        <v>294.14999999999998</v>
      </c>
      <c r="BI582" s="260">
        <f t="shared" si="455"/>
        <v>305.916</v>
      </c>
      <c r="BJ582" s="260">
        <f t="shared" si="455"/>
        <v>329.44800000000004</v>
      </c>
      <c r="BK582" s="260">
        <f t="shared" si="455"/>
        <v>352.98000000000008</v>
      </c>
      <c r="BL582" s="260">
        <f t="shared" si="455"/>
        <v>376.51200000000006</v>
      </c>
      <c r="BM582" s="260">
        <f t="shared" si="455"/>
        <v>400.04400000000004</v>
      </c>
      <c r="BN582" s="260">
        <f t="shared" si="455"/>
        <v>411.81000000000006</v>
      </c>
      <c r="BO582" s="260">
        <f t="shared" si="455"/>
        <v>423.57600000000008</v>
      </c>
      <c r="BP582" s="260">
        <f t="shared" si="455"/>
        <v>447.10800000000006</v>
      </c>
      <c r="BQ582" s="260">
        <f t="shared" si="456"/>
        <v>367.44</v>
      </c>
      <c r="BR582" s="260">
        <f t="shared" si="456"/>
        <v>413.37</v>
      </c>
      <c r="BS582" s="260">
        <f t="shared" si="456"/>
        <v>459.3</v>
      </c>
      <c r="BT582" s="260">
        <f t="shared" si="456"/>
        <v>505.23</v>
      </c>
      <c r="BU582" s="1">
        <f t="shared" si="457"/>
        <v>435.06000000000006</v>
      </c>
      <c r="BV582" s="1">
        <f t="shared" si="457"/>
        <v>507.57000000000005</v>
      </c>
      <c r="BW582" s="1">
        <f t="shared" si="457"/>
        <v>580.08000000000004</v>
      </c>
      <c r="BX582" s="1">
        <f t="shared" si="457"/>
        <v>652.59</v>
      </c>
      <c r="BY582" s="1">
        <f t="shared" si="458"/>
        <v>467.1</v>
      </c>
      <c r="BZ582" s="1">
        <f t="shared" si="458"/>
        <v>513.80999999999995</v>
      </c>
      <c r="CA582" s="1">
        <f t="shared" si="458"/>
        <v>560.52</v>
      </c>
      <c r="CB582" s="1">
        <f t="shared" si="460"/>
        <v>563.6400000000001</v>
      </c>
      <c r="CC582" s="1">
        <f t="shared" si="460"/>
        <v>644.16000000000008</v>
      </c>
      <c r="CD582" s="1">
        <f t="shared" si="460"/>
        <v>724.68000000000006</v>
      </c>
      <c r="CE582" s="1">
        <f t="shared" si="459"/>
        <v>676.45800000000008</v>
      </c>
    </row>
    <row r="583" spans="1:83" ht="15.6" customHeight="1">
      <c r="A583" s="266" t="s">
        <v>623</v>
      </c>
      <c r="B583" s="1" t="s">
        <v>626</v>
      </c>
      <c r="C583" s="187">
        <f t="shared" si="448"/>
        <v>58.589999999999996</v>
      </c>
      <c r="D583" s="187">
        <f t="shared" si="437"/>
        <v>58.589999999999996</v>
      </c>
      <c r="E583" s="187">
        <f t="shared" si="437"/>
        <v>58.589999999999996</v>
      </c>
      <c r="F583" s="187">
        <f t="shared" si="437"/>
        <v>58.589999999999996</v>
      </c>
      <c r="G583" s="187">
        <f t="shared" si="437"/>
        <v>58.589999999999996</v>
      </c>
      <c r="H583" s="187">
        <f t="shared" si="437"/>
        <v>58.589999999999996</v>
      </c>
      <c r="I583" s="187">
        <f t="shared" si="437"/>
        <v>58.589999999999996</v>
      </c>
      <c r="J583" s="187">
        <f t="shared" si="437"/>
        <v>58.589999999999996</v>
      </c>
      <c r="K583" s="187">
        <f t="shared" si="437"/>
        <v>58.589999999999996</v>
      </c>
      <c r="L583" s="187">
        <f t="shared" si="437"/>
        <v>58.589999999999996</v>
      </c>
      <c r="M583" s="187">
        <f t="shared" si="437"/>
        <v>58.589999999999996</v>
      </c>
      <c r="N583" s="187">
        <f t="shared" si="437"/>
        <v>58.589999999999996</v>
      </c>
      <c r="O583" s="187">
        <f t="shared" si="437"/>
        <v>58.589999999999996</v>
      </c>
      <c r="P583" s="187">
        <f t="shared" si="437"/>
        <v>58.589999999999996</v>
      </c>
      <c r="Q583" s="187">
        <f t="shared" si="437"/>
        <v>58.589999999999996</v>
      </c>
      <c r="R583" s="187">
        <f t="shared" si="437"/>
        <v>58.589999999999996</v>
      </c>
      <c r="S583" s="187">
        <f t="shared" si="437"/>
        <v>58.589999999999996</v>
      </c>
      <c r="T583" s="187">
        <f t="shared" si="437"/>
        <v>58.589999999999996</v>
      </c>
      <c r="U583" s="187">
        <f t="shared" si="437"/>
        <v>58.589999999999996</v>
      </c>
      <c r="V583" s="187">
        <f t="shared" si="437"/>
        <v>58.589999999999996</v>
      </c>
      <c r="W583" s="187">
        <f t="shared" si="437"/>
        <v>58.589999999999996</v>
      </c>
      <c r="X583" s="187">
        <f t="shared" si="437"/>
        <v>58.589999999999996</v>
      </c>
      <c r="Y583" s="187">
        <f t="shared" si="437"/>
        <v>58.589999999999996</v>
      </c>
      <c r="Z583" s="187">
        <f t="shared" si="437"/>
        <v>58.589999999999996</v>
      </c>
      <c r="AA583" s="187">
        <f t="shared" si="437"/>
        <v>58.589999999999996</v>
      </c>
      <c r="AB583" s="187">
        <f t="shared" si="437"/>
        <v>58.589999999999996</v>
      </c>
      <c r="AC583" s="187">
        <f t="shared" si="437"/>
        <v>58.589999999999996</v>
      </c>
      <c r="AD583" s="187">
        <f t="shared" si="437"/>
        <v>58.589999999999996</v>
      </c>
      <c r="AE583" s="260">
        <f t="shared" si="449"/>
        <v>83.100000000000009</v>
      </c>
      <c r="AF583" s="260">
        <f t="shared" si="438"/>
        <v>83.100000000000009</v>
      </c>
      <c r="AG583" s="260">
        <f t="shared" si="438"/>
        <v>83.100000000000009</v>
      </c>
      <c r="AH583" s="260">
        <f t="shared" si="450"/>
        <v>135.99</v>
      </c>
      <c r="AI583" s="260">
        <f t="shared" si="439"/>
        <v>135.99</v>
      </c>
      <c r="AJ583" s="260">
        <f t="shared" si="439"/>
        <v>135.99</v>
      </c>
      <c r="AK583" s="260">
        <f t="shared" si="451"/>
        <v>173.4</v>
      </c>
      <c r="AL583" s="260">
        <f t="shared" si="440"/>
        <v>173.4</v>
      </c>
      <c r="AM583" s="260">
        <f t="shared" si="440"/>
        <v>173.4</v>
      </c>
      <c r="AN583" s="260">
        <f t="shared" si="440"/>
        <v>173.4</v>
      </c>
      <c r="AO583" s="260">
        <f t="shared" si="452"/>
        <v>195.33</v>
      </c>
      <c r="AP583" s="260">
        <f t="shared" si="441"/>
        <v>195.33</v>
      </c>
      <c r="AQ583" s="260">
        <f t="shared" si="441"/>
        <v>195.33</v>
      </c>
      <c r="AR583" s="260">
        <f t="shared" si="441"/>
        <v>195.33</v>
      </c>
      <c r="AS583" s="260">
        <f t="shared" si="453"/>
        <v>218.55</v>
      </c>
      <c r="AT583" s="260">
        <f t="shared" si="442"/>
        <v>218.55</v>
      </c>
      <c r="AU583" s="260">
        <f t="shared" si="442"/>
        <v>218.55</v>
      </c>
      <c r="AV583" s="260">
        <f t="shared" si="442"/>
        <v>218.55</v>
      </c>
      <c r="AW583" s="48">
        <f t="shared" si="454"/>
        <v>232.74</v>
      </c>
      <c r="AX583" s="48">
        <f t="shared" si="443"/>
        <v>232.74</v>
      </c>
      <c r="AY583" s="48">
        <f t="shared" si="443"/>
        <v>232.74</v>
      </c>
      <c r="AZ583" s="48">
        <f t="shared" si="443"/>
        <v>232.74</v>
      </c>
      <c r="BA583" s="48">
        <f t="shared" si="443"/>
        <v>232.74</v>
      </c>
      <c r="BB583" s="48">
        <f t="shared" si="443"/>
        <v>232.74</v>
      </c>
      <c r="BC583" s="48">
        <f t="shared" si="443"/>
        <v>232.74</v>
      </c>
      <c r="BD583" s="48">
        <f t="shared" si="443"/>
        <v>232.74</v>
      </c>
      <c r="BE583" s="48">
        <f t="shared" si="443"/>
        <v>232.74</v>
      </c>
      <c r="BF583" s="260">
        <f t="shared" si="455"/>
        <v>258.85200000000003</v>
      </c>
      <c r="BG583" s="260">
        <f t="shared" si="455"/>
        <v>282.38400000000001</v>
      </c>
      <c r="BH583" s="260">
        <f t="shared" si="455"/>
        <v>294.14999999999998</v>
      </c>
      <c r="BI583" s="260">
        <f t="shared" si="455"/>
        <v>305.916</v>
      </c>
      <c r="BJ583" s="260">
        <f t="shared" si="455"/>
        <v>329.44800000000004</v>
      </c>
      <c r="BK583" s="260">
        <f t="shared" si="455"/>
        <v>352.98000000000008</v>
      </c>
      <c r="BL583" s="260">
        <f t="shared" si="455"/>
        <v>376.51200000000006</v>
      </c>
      <c r="BM583" s="260">
        <f t="shared" si="455"/>
        <v>400.04400000000004</v>
      </c>
      <c r="BN583" s="260">
        <f t="shared" si="455"/>
        <v>411.81000000000006</v>
      </c>
      <c r="BO583" s="260">
        <f t="shared" si="455"/>
        <v>423.57600000000008</v>
      </c>
      <c r="BP583" s="260">
        <f t="shared" si="455"/>
        <v>447.10800000000006</v>
      </c>
      <c r="BQ583" s="260">
        <f t="shared" si="456"/>
        <v>367.44</v>
      </c>
      <c r="BR583" s="260">
        <f t="shared" si="456"/>
        <v>413.37</v>
      </c>
      <c r="BS583" s="260">
        <f t="shared" si="456"/>
        <v>459.3</v>
      </c>
      <c r="BT583" s="260">
        <f t="shared" si="456"/>
        <v>505.23</v>
      </c>
      <c r="BU583" s="1">
        <f t="shared" si="457"/>
        <v>435.06000000000006</v>
      </c>
      <c r="BV583" s="1">
        <f t="shared" si="457"/>
        <v>507.57000000000005</v>
      </c>
      <c r="BW583" s="1">
        <f t="shared" si="457"/>
        <v>580.08000000000004</v>
      </c>
      <c r="BX583" s="1">
        <f t="shared" si="457"/>
        <v>652.59</v>
      </c>
      <c r="BY583" s="1">
        <f t="shared" si="458"/>
        <v>467.1</v>
      </c>
      <c r="BZ583" s="1">
        <f t="shared" si="458"/>
        <v>513.80999999999995</v>
      </c>
      <c r="CA583" s="1">
        <f t="shared" si="458"/>
        <v>560.52</v>
      </c>
      <c r="CB583" s="1">
        <f t="shared" si="460"/>
        <v>563.6400000000001</v>
      </c>
      <c r="CC583" s="1">
        <f t="shared" si="460"/>
        <v>644.16000000000008</v>
      </c>
      <c r="CD583" s="1">
        <f t="shared" si="460"/>
        <v>724.68000000000006</v>
      </c>
      <c r="CE583" s="1">
        <f t="shared" si="459"/>
        <v>676.45800000000008</v>
      </c>
    </row>
    <row r="584" spans="1:83" ht="15" customHeight="1" thickBot="1">
      <c r="A584" s="267"/>
      <c r="B584" s="268"/>
      <c r="C584" s="1"/>
      <c r="D584" s="1"/>
      <c r="E584" s="1"/>
      <c r="F584" s="1"/>
      <c r="G584" s="1"/>
      <c r="H584" s="260"/>
      <c r="I584" s="1"/>
      <c r="J584" s="1"/>
      <c r="K584" s="1"/>
      <c r="L584" s="1"/>
      <c r="M584" s="1"/>
      <c r="N584" s="1"/>
      <c r="O584" s="1"/>
      <c r="P584" s="1"/>
      <c r="Q584" s="1"/>
      <c r="R584" s="1"/>
      <c r="S584" s="1"/>
      <c r="T584" s="1"/>
      <c r="U584" s="1"/>
      <c r="V584" s="1"/>
      <c r="W584" s="1"/>
      <c r="X584" s="1"/>
      <c r="Y584" s="1"/>
      <c r="Z584" s="1"/>
      <c r="AA584" s="1"/>
      <c r="AB584" s="1"/>
      <c r="AC584" s="1"/>
      <c r="AL584" s="1"/>
      <c r="AM584" s="1"/>
      <c r="AN584" s="1"/>
      <c r="AO584" s="1"/>
      <c r="AP584" s="1"/>
      <c r="AQ584" s="1"/>
      <c r="AR584" s="1"/>
      <c r="AS584" s="1"/>
      <c r="AT584" s="1"/>
      <c r="AU584" s="48"/>
      <c r="AV584" s="48"/>
      <c r="AW584" s="48"/>
      <c r="AX584" s="48"/>
      <c r="AY584" s="48"/>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row>
    <row r="585" spans="1:83" ht="15" customHeight="1" thickBot="1">
      <c r="A585" s="269"/>
      <c r="B585" s="269"/>
      <c r="AD585" s="259"/>
      <c r="AE585" s="259"/>
      <c r="AF585" s="259"/>
      <c r="AG585" s="259"/>
      <c r="AH585" s="259"/>
      <c r="AI585" s="259"/>
      <c r="AJ585" s="259"/>
      <c r="AK585" s="259"/>
      <c r="AU585" s="5"/>
      <c r="AV585" s="5"/>
      <c r="AW585" s="5"/>
      <c r="AX585" s="5"/>
      <c r="AY585" s="455"/>
      <c r="AZ585" s="259"/>
      <c r="BA585" s="259"/>
      <c r="BB585" s="259"/>
      <c r="BC585" s="259"/>
      <c r="BD585" s="259"/>
      <c r="BE585" s="259"/>
    </row>
    <row r="586" spans="1:83" ht="15.6" customHeight="1">
      <c r="A586" s="270" t="s">
        <v>12</v>
      </c>
      <c r="B586" s="271" t="s">
        <v>200</v>
      </c>
      <c r="C586" s="272"/>
    </row>
    <row r="587" spans="1:83" ht="15.6" customHeight="1">
      <c r="A587" s="273" t="s">
        <v>201</v>
      </c>
      <c r="B587" s="187">
        <v>58.589999999999996</v>
      </c>
      <c r="C587" s="274"/>
    </row>
    <row r="588" spans="1:83" ht="15.6" customHeight="1">
      <c r="A588" s="273" t="s">
        <v>202</v>
      </c>
      <c r="B588" s="187">
        <v>83.100000000000009</v>
      </c>
      <c r="C588" s="275"/>
    </row>
    <row r="589" spans="1:83" ht="16.5" customHeight="1">
      <c r="A589" s="273" t="s">
        <v>203</v>
      </c>
      <c r="B589" s="187">
        <v>135.99</v>
      </c>
      <c r="C589" s="276" t="s">
        <v>204</v>
      </c>
    </row>
    <row r="590" spans="1:83" ht="16.5" customHeight="1">
      <c r="A590" s="273" t="s">
        <v>205</v>
      </c>
      <c r="B590" s="187">
        <v>173.4</v>
      </c>
      <c r="C590" s="276"/>
    </row>
    <row r="591" spans="1:83" ht="16.5" customHeight="1">
      <c r="A591" s="273" t="s">
        <v>206</v>
      </c>
      <c r="B591" s="187">
        <v>195.33</v>
      </c>
      <c r="C591" s="276"/>
    </row>
    <row r="592" spans="1:83" ht="16.5" customHeight="1">
      <c r="A592" s="273" t="s">
        <v>207</v>
      </c>
      <c r="B592" s="187">
        <v>218.55</v>
      </c>
      <c r="C592" s="276"/>
    </row>
    <row r="593" spans="1:45" ht="16.5" customHeight="1">
      <c r="A593" s="273" t="s">
        <v>208</v>
      </c>
      <c r="B593" s="187">
        <v>232.74</v>
      </c>
      <c r="C593" s="277"/>
    </row>
    <row r="594" spans="1:45" ht="16.5" customHeight="1">
      <c r="A594" s="273" t="s">
        <v>209</v>
      </c>
      <c r="B594" s="187">
        <v>235.32000000000002</v>
      </c>
      <c r="C594" s="278"/>
    </row>
    <row r="595" spans="1:45" ht="16.5" customHeight="1">
      <c r="A595" s="273" t="s">
        <v>210</v>
      </c>
      <c r="B595" s="187">
        <v>183.72</v>
      </c>
      <c r="C595" s="276"/>
    </row>
    <row r="596" spans="1:45" ht="16.5" customHeight="1">
      <c r="A596" s="273" t="s">
        <v>211</v>
      </c>
      <c r="B596" s="187">
        <v>145.02000000000001</v>
      </c>
      <c r="C596" s="276" t="s">
        <v>212</v>
      </c>
    </row>
    <row r="597" spans="1:45" ht="16.5" customHeight="1">
      <c r="A597" s="273" t="s">
        <v>213</v>
      </c>
      <c r="B597" s="187">
        <v>93.42</v>
      </c>
      <c r="C597" s="276" t="s">
        <v>214</v>
      </c>
    </row>
    <row r="598" spans="1:45" ht="15.6" customHeight="1">
      <c r="A598" s="273" t="s">
        <v>215</v>
      </c>
      <c r="B598" s="187">
        <v>80.52000000000001</v>
      </c>
      <c r="C598" s="275"/>
    </row>
    <row r="599" spans="1:45" ht="15.6" customHeight="1">
      <c r="A599" s="273" t="s">
        <v>216</v>
      </c>
      <c r="B599" s="187">
        <v>67.645800000000008</v>
      </c>
      <c r="C599" s="279"/>
    </row>
    <row r="600" spans="1:45" ht="17.100000000000001" customHeight="1" thickBot="1">
      <c r="A600" s="280" t="s">
        <v>217</v>
      </c>
      <c r="B600" s="281">
        <v>819.69</v>
      </c>
      <c r="C600" s="282" t="s">
        <v>218</v>
      </c>
    </row>
    <row r="601" spans="1:45">
      <c r="B601" s="257"/>
      <c r="C601" s="256"/>
      <c r="D601" s="256"/>
      <c r="E601" s="256"/>
      <c r="F601" s="256"/>
      <c r="G601" s="261"/>
      <c r="H601" s="256"/>
      <c r="I601" s="256"/>
      <c r="J601" s="256"/>
      <c r="K601" s="256"/>
      <c r="L601" s="256"/>
      <c r="M601" s="256"/>
      <c r="N601" s="256"/>
      <c r="O601" s="256"/>
      <c r="P601" s="256"/>
      <c r="Q601" s="256"/>
      <c r="R601" s="256"/>
      <c r="S601" s="256"/>
      <c r="T601" s="256"/>
      <c r="U601" s="256"/>
      <c r="V601" s="256"/>
      <c r="W601" s="256"/>
      <c r="X601" s="256"/>
      <c r="Y601" s="256"/>
      <c r="Z601" s="256"/>
      <c r="AA601" s="256"/>
      <c r="AB601" s="258"/>
      <c r="AC601" s="256"/>
      <c r="AD601" s="256"/>
      <c r="AE601" s="256"/>
      <c r="AF601" s="256"/>
      <c r="AG601" s="256"/>
      <c r="AH601" s="256"/>
      <c r="AI601" s="256"/>
      <c r="AJ601" s="256"/>
      <c r="AK601" s="256"/>
      <c r="AL601" s="256"/>
      <c r="AM601" s="256"/>
      <c r="AN601" s="256"/>
      <c r="AO601" s="256"/>
      <c r="AP601" s="256"/>
      <c r="AQ601" s="256"/>
      <c r="AR601" s="256"/>
      <c r="AS601" s="256"/>
    </row>
    <row r="602" spans="1:45" ht="16.5">
      <c r="A602" s="259" t="s">
        <v>748</v>
      </c>
      <c r="B602" s="340" t="s">
        <v>710</v>
      </c>
      <c r="C602" s="340" t="s">
        <v>711</v>
      </c>
      <c r="D602" s="340" t="s">
        <v>712</v>
      </c>
      <c r="E602" s="340" t="s">
        <v>713</v>
      </c>
      <c r="F602" s="340" t="s">
        <v>714</v>
      </c>
      <c r="G602" s="340" t="s">
        <v>715</v>
      </c>
      <c r="H602" s="340" t="s">
        <v>716</v>
      </c>
      <c r="I602" s="340" t="s">
        <v>717</v>
      </c>
      <c r="J602" s="340" t="s">
        <v>718</v>
      </c>
      <c r="K602" s="340" t="s">
        <v>719</v>
      </c>
      <c r="L602" s="340" t="s">
        <v>720</v>
      </c>
      <c r="M602" s="341" t="s">
        <v>721</v>
      </c>
      <c r="N602" s="356"/>
      <c r="O602" s="102" t="s">
        <v>103</v>
      </c>
      <c r="P602" s="5"/>
      <c r="Q602" s="5"/>
      <c r="AB602" s="1"/>
      <c r="AC602" s="1"/>
      <c r="AJ602"/>
      <c r="AK602"/>
    </row>
    <row r="603" spans="1:45" ht="18">
      <c r="A603" t="s">
        <v>510</v>
      </c>
      <c r="B603" s="342">
        <v>40.203999999999986</v>
      </c>
      <c r="C603" s="342">
        <v>47.477749999999993</v>
      </c>
      <c r="D603" s="342">
        <v>63.215499999999984</v>
      </c>
      <c r="E603" s="342">
        <v>75.871824999999987</v>
      </c>
      <c r="F603" s="342">
        <v>91.71537499999998</v>
      </c>
      <c r="G603" s="342">
        <v>107.50602499999999</v>
      </c>
      <c r="H603" s="342">
        <v>123.56117499999999</v>
      </c>
      <c r="I603" s="342">
        <v>140.2379</v>
      </c>
      <c r="J603" s="342">
        <v>157.16589999999999</v>
      </c>
      <c r="K603" s="343">
        <v>174.12034999999997</v>
      </c>
      <c r="L603" s="344">
        <v>196.81444999999997</v>
      </c>
      <c r="M603" s="345">
        <v>196.81444999999997</v>
      </c>
      <c r="O603" s="102" t="s">
        <v>104</v>
      </c>
      <c r="P603" s="103" t="s">
        <v>105</v>
      </c>
      <c r="Q603" s="146" t="s">
        <v>138</v>
      </c>
      <c r="R603" s="357"/>
      <c r="S603" s="357"/>
      <c r="T603" s="357"/>
      <c r="U603" s="357"/>
      <c r="V603" s="357"/>
      <c r="W603" s="357"/>
      <c r="X603" s="357"/>
      <c r="Y603" s="357"/>
      <c r="Z603" s="357"/>
      <c r="AB603" s="1"/>
      <c r="AC603" s="1"/>
      <c r="AJ603"/>
      <c r="AK603"/>
    </row>
    <row r="604" spans="1:45" ht="18">
      <c r="A604" t="s">
        <v>511</v>
      </c>
      <c r="B604" s="346">
        <v>34.239524999999993</v>
      </c>
      <c r="C604" s="346">
        <v>36.500999999999998</v>
      </c>
      <c r="D604" s="346">
        <v>40.534624999999991</v>
      </c>
      <c r="E604" s="346">
        <v>44.303749999999994</v>
      </c>
      <c r="F604" s="346">
        <v>48.601874999999993</v>
      </c>
      <c r="G604" s="346">
        <v>52.860324999999996</v>
      </c>
      <c r="H604" s="346">
        <v>57.211349999999989</v>
      </c>
      <c r="I604" s="346">
        <v>61.535924999999992</v>
      </c>
      <c r="J604" s="346">
        <v>68.426149999999993</v>
      </c>
      <c r="K604" s="347">
        <v>75.012199999999993</v>
      </c>
      <c r="L604" s="348">
        <v>79.349999999999994</v>
      </c>
      <c r="M604" s="349">
        <v>79.349999999999994</v>
      </c>
      <c r="O604" s="105">
        <v>1</v>
      </c>
      <c r="P604" s="48">
        <v>14</v>
      </c>
      <c r="Q604" s="5"/>
      <c r="R604" s="357"/>
      <c r="S604" s="357"/>
      <c r="T604" s="357"/>
      <c r="U604" s="357"/>
      <c r="V604" s="357"/>
      <c r="W604" s="357"/>
      <c r="X604" s="357"/>
      <c r="Y604" s="357"/>
      <c r="Z604" s="357"/>
      <c r="AB604" s="1"/>
      <c r="AC604" s="1"/>
      <c r="AJ604"/>
      <c r="AK604"/>
    </row>
    <row r="605" spans="1:45" ht="18">
      <c r="A605" t="s">
        <v>512</v>
      </c>
      <c r="B605" s="342">
        <v>40.203999999999986</v>
      </c>
      <c r="C605" s="342">
        <v>47.477749999999993</v>
      </c>
      <c r="D605" s="342">
        <v>63.215499999999984</v>
      </c>
      <c r="E605" s="342">
        <v>75.871824999999987</v>
      </c>
      <c r="F605" s="342">
        <v>91.71537499999998</v>
      </c>
      <c r="G605" s="342">
        <v>107.50602499999999</v>
      </c>
      <c r="H605" s="342">
        <v>123.56117499999999</v>
      </c>
      <c r="I605" s="342">
        <v>140.2379</v>
      </c>
      <c r="J605" s="342">
        <v>157.16589999999999</v>
      </c>
      <c r="K605" s="343">
        <v>174.12034999999997</v>
      </c>
      <c r="L605" s="344">
        <v>196.81444999999997</v>
      </c>
      <c r="M605" s="345">
        <v>196.81444999999997</v>
      </c>
      <c r="O605" s="105">
        <v>2</v>
      </c>
      <c r="P605" s="48">
        <v>14</v>
      </c>
      <c r="Q605" s="5"/>
      <c r="R605" s="357"/>
      <c r="S605" s="357"/>
      <c r="T605" s="357"/>
      <c r="U605" s="357"/>
      <c r="V605" s="357"/>
      <c r="W605" s="357"/>
      <c r="X605" s="357"/>
      <c r="Y605" s="357"/>
      <c r="Z605" s="357"/>
      <c r="AB605" s="1"/>
      <c r="AC605" s="1"/>
      <c r="AJ605"/>
      <c r="AK605"/>
    </row>
    <row r="606" spans="1:45" ht="18">
      <c r="A606" t="s">
        <v>513</v>
      </c>
      <c r="B606" s="346">
        <v>41.433924999999995</v>
      </c>
      <c r="C606" s="346">
        <v>48.879599999999996</v>
      </c>
      <c r="D606" s="346">
        <v>65.146349999999984</v>
      </c>
      <c r="E606" s="346">
        <v>78.159750000000003</v>
      </c>
      <c r="F606" s="346">
        <v>94.439724999999967</v>
      </c>
      <c r="G606" s="346">
        <v>110.75937499999998</v>
      </c>
      <c r="H606" s="346">
        <v>127.31707499999997</v>
      </c>
      <c r="I606" s="346">
        <v>144.43022499999998</v>
      </c>
      <c r="J606" s="346">
        <v>161.86077499999996</v>
      </c>
      <c r="K606" s="347">
        <v>179.29132499999997</v>
      </c>
      <c r="L606" s="348">
        <v>202.72602499999996</v>
      </c>
      <c r="M606" s="349">
        <v>202.72602499999996</v>
      </c>
      <c r="O606" s="105">
        <v>3</v>
      </c>
      <c r="P606" s="48">
        <v>14</v>
      </c>
      <c r="Q606" s="5"/>
      <c r="Z606" s="357"/>
      <c r="AB606" s="1"/>
      <c r="AC606" s="1"/>
      <c r="AJ606"/>
      <c r="AK606"/>
    </row>
    <row r="607" spans="1:45" ht="18">
      <c r="A607" t="s">
        <v>514</v>
      </c>
      <c r="B607" s="346">
        <v>41.433924999999995</v>
      </c>
      <c r="C607" s="346">
        <v>48.879599999999996</v>
      </c>
      <c r="D607" s="346">
        <v>65.146349999999984</v>
      </c>
      <c r="E607" s="346">
        <v>78.159750000000003</v>
      </c>
      <c r="F607" s="346">
        <v>94.439724999999967</v>
      </c>
      <c r="G607" s="346">
        <v>110.75937499999998</v>
      </c>
      <c r="H607" s="346">
        <v>127.31707499999997</v>
      </c>
      <c r="I607" s="346">
        <v>144.43022499999998</v>
      </c>
      <c r="J607" s="346">
        <v>161.86077499999996</v>
      </c>
      <c r="K607" s="347">
        <v>179.29132499999997</v>
      </c>
      <c r="L607" s="348">
        <v>202.72602499999996</v>
      </c>
      <c r="M607" s="349">
        <v>202.72602499999996</v>
      </c>
      <c r="O607" s="105">
        <v>4</v>
      </c>
      <c r="P607" s="48">
        <v>14</v>
      </c>
      <c r="R607" s="357"/>
      <c r="S607" s="357"/>
      <c r="T607" s="357"/>
      <c r="U607" s="357"/>
      <c r="V607" s="357"/>
      <c r="W607" s="357"/>
      <c r="X607" s="357"/>
      <c r="Y607" s="357"/>
      <c r="Z607" s="357"/>
      <c r="AB607" s="1"/>
      <c r="AC607" s="1"/>
      <c r="AJ607"/>
      <c r="AK607"/>
    </row>
    <row r="608" spans="1:45" ht="18">
      <c r="A608" t="s">
        <v>515</v>
      </c>
      <c r="B608" s="342">
        <v>41.433924999999995</v>
      </c>
      <c r="C608" s="342">
        <v>48.879599999999996</v>
      </c>
      <c r="D608" s="342">
        <v>65.146349999999984</v>
      </c>
      <c r="E608" s="342">
        <v>78.159750000000003</v>
      </c>
      <c r="F608" s="342">
        <v>94.439724999999967</v>
      </c>
      <c r="G608" s="342">
        <v>110.75937499999998</v>
      </c>
      <c r="H608" s="342">
        <v>127.31707499999997</v>
      </c>
      <c r="I608" s="342">
        <v>144.43022499999998</v>
      </c>
      <c r="J608" s="342">
        <v>161.86077499999996</v>
      </c>
      <c r="K608" s="343">
        <v>179.29132499999997</v>
      </c>
      <c r="L608" s="344">
        <v>202.72602499999996</v>
      </c>
      <c r="M608" s="345">
        <v>202.72602499999996</v>
      </c>
      <c r="O608" s="105">
        <v>5</v>
      </c>
      <c r="P608" s="48">
        <v>15</v>
      </c>
      <c r="R608" s="357"/>
      <c r="S608" s="357"/>
      <c r="T608" s="357"/>
      <c r="U608" s="357"/>
      <c r="V608" s="357"/>
      <c r="W608" s="357"/>
      <c r="X608" s="357"/>
      <c r="Y608" s="357"/>
      <c r="Z608" s="357"/>
      <c r="AB608" s="1"/>
      <c r="AC608" s="1"/>
      <c r="AJ608"/>
      <c r="AK608"/>
    </row>
    <row r="609" spans="1:37" ht="18">
      <c r="A609" t="s">
        <v>516</v>
      </c>
      <c r="B609" s="352" t="s">
        <v>723</v>
      </c>
      <c r="C609" s="352" t="s">
        <v>723</v>
      </c>
      <c r="D609" s="352" t="s">
        <v>723</v>
      </c>
      <c r="E609" s="352" t="s">
        <v>723</v>
      </c>
      <c r="F609" s="352" t="s">
        <v>723</v>
      </c>
      <c r="G609" s="352" t="s">
        <v>723</v>
      </c>
      <c r="H609" s="352" t="s">
        <v>723</v>
      </c>
      <c r="I609" s="352" t="s">
        <v>723</v>
      </c>
      <c r="J609" s="352" t="s">
        <v>723</v>
      </c>
      <c r="K609" s="353" t="s">
        <v>723</v>
      </c>
      <c r="L609" s="354" t="s">
        <v>723</v>
      </c>
      <c r="M609" s="355" t="s">
        <v>723</v>
      </c>
      <c r="O609" s="105">
        <v>6</v>
      </c>
      <c r="P609" s="48">
        <v>15</v>
      </c>
      <c r="R609" s="357"/>
      <c r="S609" s="357"/>
      <c r="T609" s="357"/>
      <c r="U609" s="357"/>
      <c r="V609" s="357"/>
      <c r="W609" s="357"/>
      <c r="X609" s="357"/>
      <c r="Y609" s="357"/>
      <c r="Z609" s="357"/>
      <c r="AB609" s="1"/>
      <c r="AC609" s="1"/>
      <c r="AJ609"/>
      <c r="AK609"/>
    </row>
    <row r="610" spans="1:37" ht="18">
      <c r="A610" t="s">
        <v>517</v>
      </c>
      <c r="B610" s="346">
        <v>41.433924999999995</v>
      </c>
      <c r="C610" s="346">
        <v>48.879599999999996</v>
      </c>
      <c r="D610" s="346">
        <v>65.146349999999984</v>
      </c>
      <c r="E610" s="346">
        <v>78.159750000000003</v>
      </c>
      <c r="F610" s="346">
        <v>94.439724999999967</v>
      </c>
      <c r="G610" s="346">
        <v>110.75937499999998</v>
      </c>
      <c r="H610" s="346">
        <v>127.31707499999997</v>
      </c>
      <c r="I610" s="346">
        <v>144.43022499999998</v>
      </c>
      <c r="J610" s="346">
        <v>161.86077499999996</v>
      </c>
      <c r="K610" s="347">
        <v>179.29132499999997</v>
      </c>
      <c r="L610" s="348">
        <v>202.72602499999996</v>
      </c>
      <c r="M610" s="349">
        <v>202.72602499999996</v>
      </c>
      <c r="O610" s="105">
        <v>7</v>
      </c>
      <c r="P610" s="48">
        <v>15</v>
      </c>
      <c r="R610" s="357"/>
      <c r="S610" s="357"/>
      <c r="T610" s="357"/>
      <c r="U610" s="357"/>
      <c r="V610" s="357"/>
      <c r="W610" s="357"/>
      <c r="X610" s="357"/>
      <c r="Y610" s="357"/>
      <c r="Z610" s="357"/>
      <c r="AB610" s="1"/>
      <c r="AC610" s="1"/>
      <c r="AJ610"/>
      <c r="AK610"/>
    </row>
    <row r="611" spans="1:37" ht="18">
      <c r="A611" t="s">
        <v>518</v>
      </c>
      <c r="B611" s="346" t="s">
        <v>723</v>
      </c>
      <c r="C611" s="346" t="s">
        <v>723</v>
      </c>
      <c r="D611" s="346" t="s">
        <v>723</v>
      </c>
      <c r="E611" s="346" t="s">
        <v>723</v>
      </c>
      <c r="F611" s="346" t="s">
        <v>723</v>
      </c>
      <c r="G611" s="346" t="s">
        <v>723</v>
      </c>
      <c r="H611" s="346" t="s">
        <v>723</v>
      </c>
      <c r="I611" s="346" t="s">
        <v>723</v>
      </c>
      <c r="J611" s="346" t="s">
        <v>723</v>
      </c>
      <c r="K611" s="347" t="s">
        <v>723</v>
      </c>
      <c r="L611" s="348" t="s">
        <v>723</v>
      </c>
      <c r="M611" s="349" t="s">
        <v>723</v>
      </c>
      <c r="O611" s="105">
        <v>8</v>
      </c>
      <c r="P611" s="48">
        <v>15</v>
      </c>
      <c r="R611" s="357"/>
      <c r="S611" s="357"/>
      <c r="T611" s="357"/>
      <c r="U611" s="357"/>
      <c r="V611" s="357"/>
      <c r="W611" s="357"/>
      <c r="X611" s="357"/>
      <c r="Y611" s="357"/>
      <c r="Z611" s="357"/>
      <c r="AB611" s="1"/>
      <c r="AC611" s="1"/>
      <c r="AJ611"/>
      <c r="AK611"/>
    </row>
    <row r="612" spans="1:37" ht="18">
      <c r="A612" t="s">
        <v>519</v>
      </c>
      <c r="B612" s="342">
        <v>41.433924999999995</v>
      </c>
      <c r="C612" s="342">
        <v>48.879599999999996</v>
      </c>
      <c r="D612" s="342">
        <v>65.146349999999984</v>
      </c>
      <c r="E612" s="342">
        <v>78.159750000000003</v>
      </c>
      <c r="F612" s="342">
        <v>94.439724999999967</v>
      </c>
      <c r="G612" s="342">
        <v>110.75937499999998</v>
      </c>
      <c r="H612" s="342">
        <v>127.31707499999997</v>
      </c>
      <c r="I612" s="342">
        <v>144.43022499999998</v>
      </c>
      <c r="J612" s="342">
        <v>161.86077499999996</v>
      </c>
      <c r="K612" s="343">
        <v>179.29132499999997</v>
      </c>
      <c r="L612" s="344">
        <v>202.72602499999996</v>
      </c>
      <c r="M612" s="345">
        <v>202.72602499999996</v>
      </c>
      <c r="O612" s="105">
        <v>9</v>
      </c>
      <c r="P612" s="48">
        <v>15</v>
      </c>
      <c r="R612" s="357"/>
      <c r="S612" s="357"/>
      <c r="T612" s="357"/>
      <c r="U612" s="357"/>
      <c r="V612" s="357"/>
      <c r="W612" s="357"/>
      <c r="X612" s="357"/>
      <c r="Y612" s="357"/>
      <c r="Z612" s="357"/>
      <c r="AB612" s="1"/>
      <c r="AC612" s="1"/>
      <c r="AJ612"/>
      <c r="AK612"/>
    </row>
    <row r="613" spans="1:37" ht="18">
      <c r="A613" t="s">
        <v>520</v>
      </c>
      <c r="B613" s="346">
        <v>40.203999999999986</v>
      </c>
      <c r="C613" s="346">
        <v>47.477749999999993</v>
      </c>
      <c r="D613" s="346">
        <v>63.215499999999984</v>
      </c>
      <c r="E613" s="346">
        <v>75.871824999999987</v>
      </c>
      <c r="F613" s="346">
        <v>91.71537499999998</v>
      </c>
      <c r="G613" s="346">
        <v>107.50602499999999</v>
      </c>
      <c r="H613" s="346">
        <v>123.56117499999999</v>
      </c>
      <c r="I613" s="346">
        <v>140.2379</v>
      </c>
      <c r="J613" s="346">
        <v>157.16589999999999</v>
      </c>
      <c r="K613" s="347">
        <v>174.12034999999997</v>
      </c>
      <c r="L613" s="348">
        <v>196.81444999999997</v>
      </c>
      <c r="M613" s="349">
        <v>196.81444999999997</v>
      </c>
      <c r="O613" s="105">
        <v>10</v>
      </c>
      <c r="P613" s="48">
        <v>16</v>
      </c>
      <c r="R613" s="357"/>
      <c r="S613" s="357"/>
      <c r="T613" s="357"/>
      <c r="U613" s="357"/>
      <c r="V613" s="357"/>
      <c r="W613" s="357"/>
      <c r="X613" s="357"/>
      <c r="Y613" s="357"/>
      <c r="Z613" s="357"/>
      <c r="AB613" s="1"/>
      <c r="AC613" s="1"/>
      <c r="AJ613"/>
      <c r="AK613"/>
    </row>
    <row r="614" spans="1:37" ht="18">
      <c r="A614" t="s">
        <v>521</v>
      </c>
      <c r="B614" s="342">
        <v>41.433924999999995</v>
      </c>
      <c r="C614" s="342">
        <v>48.879599999999996</v>
      </c>
      <c r="D614" s="342">
        <v>65.146349999999984</v>
      </c>
      <c r="E614" s="342">
        <v>78.159750000000003</v>
      </c>
      <c r="F614" s="342">
        <v>94.439724999999967</v>
      </c>
      <c r="G614" s="342">
        <v>110.75937499999998</v>
      </c>
      <c r="H614" s="342">
        <v>127.31707499999997</v>
      </c>
      <c r="I614" s="342">
        <v>144.43022499999998</v>
      </c>
      <c r="J614" s="342">
        <v>161.86077499999996</v>
      </c>
      <c r="K614" s="343">
        <v>179.29132499999997</v>
      </c>
      <c r="L614" s="344">
        <v>202.72602499999996</v>
      </c>
      <c r="M614" s="345">
        <v>202.72602499999996</v>
      </c>
      <c r="O614" s="105">
        <v>11</v>
      </c>
      <c r="P614" s="104">
        <v>16</v>
      </c>
      <c r="R614" s="357"/>
      <c r="S614" s="357"/>
      <c r="T614" s="357"/>
      <c r="U614" s="357"/>
      <c r="V614" s="357"/>
      <c r="W614" s="357"/>
      <c r="X614" s="357"/>
      <c r="Y614" s="357"/>
      <c r="Z614" s="357"/>
      <c r="AB614" s="1"/>
      <c r="AC614" s="1"/>
      <c r="AJ614"/>
      <c r="AK614"/>
    </row>
    <row r="615" spans="1:37" ht="18">
      <c r="A615" t="s">
        <v>522</v>
      </c>
      <c r="B615" s="352" t="s">
        <v>723</v>
      </c>
      <c r="C615" s="352" t="s">
        <v>723</v>
      </c>
      <c r="D615" s="352" t="s">
        <v>723</v>
      </c>
      <c r="E615" s="352" t="s">
        <v>723</v>
      </c>
      <c r="F615" s="352" t="s">
        <v>723</v>
      </c>
      <c r="G615" s="352" t="s">
        <v>723</v>
      </c>
      <c r="H615" s="352" t="s">
        <v>723</v>
      </c>
      <c r="I615" s="352" t="s">
        <v>723</v>
      </c>
      <c r="J615" s="352" t="s">
        <v>723</v>
      </c>
      <c r="K615" s="353" t="s">
        <v>723</v>
      </c>
      <c r="L615" s="354" t="s">
        <v>723</v>
      </c>
      <c r="M615" s="355" t="s">
        <v>723</v>
      </c>
      <c r="O615" s="105">
        <v>12</v>
      </c>
      <c r="P615" s="104">
        <v>17</v>
      </c>
      <c r="R615" s="357"/>
      <c r="S615" s="357"/>
      <c r="T615" s="357"/>
      <c r="U615" s="357"/>
      <c r="V615" s="357"/>
      <c r="W615" s="357"/>
      <c r="X615" s="357"/>
      <c r="Y615" s="357"/>
      <c r="Z615" s="357"/>
      <c r="AB615" s="1"/>
      <c r="AC615" s="1"/>
      <c r="AJ615"/>
      <c r="AK615"/>
    </row>
    <row r="616" spans="1:37" ht="18">
      <c r="A616" t="s">
        <v>523</v>
      </c>
      <c r="B616" s="346">
        <v>40.203999999999986</v>
      </c>
      <c r="C616" s="346">
        <v>47.477749999999993</v>
      </c>
      <c r="D616" s="346">
        <v>63.215499999999984</v>
      </c>
      <c r="E616" s="346">
        <v>75.871824999999987</v>
      </c>
      <c r="F616" s="346">
        <v>91.71537499999998</v>
      </c>
      <c r="G616" s="346">
        <v>107.50602499999999</v>
      </c>
      <c r="H616" s="346">
        <v>123.56117499999999</v>
      </c>
      <c r="I616" s="346">
        <v>140.2379</v>
      </c>
      <c r="J616" s="346">
        <v>157.16589999999999</v>
      </c>
      <c r="K616" s="347">
        <v>174.12034999999997</v>
      </c>
      <c r="L616" s="348">
        <v>196.81444999999997</v>
      </c>
      <c r="M616" s="349">
        <v>196.81444999999997</v>
      </c>
      <c r="O616" s="105">
        <v>13</v>
      </c>
      <c r="P616" s="104">
        <v>17</v>
      </c>
      <c r="R616" s="357"/>
      <c r="S616" s="357"/>
      <c r="T616" s="357"/>
      <c r="U616" s="357"/>
      <c r="V616" s="357"/>
      <c r="W616" s="357"/>
      <c r="X616" s="357"/>
      <c r="Y616" s="357"/>
      <c r="Z616" s="357"/>
      <c r="AB616" s="1"/>
      <c r="AC616" s="1"/>
      <c r="AJ616"/>
      <c r="AK616"/>
    </row>
    <row r="617" spans="1:37" ht="18">
      <c r="A617" t="s">
        <v>524</v>
      </c>
      <c r="B617" s="342">
        <v>41.433924999999995</v>
      </c>
      <c r="C617" s="342">
        <v>48.879599999999996</v>
      </c>
      <c r="D617" s="342">
        <v>65.146349999999984</v>
      </c>
      <c r="E617" s="342">
        <v>78.159750000000003</v>
      </c>
      <c r="F617" s="342">
        <v>94.439724999999967</v>
      </c>
      <c r="G617" s="342">
        <v>110.75937499999998</v>
      </c>
      <c r="H617" s="342">
        <v>127.31707499999997</v>
      </c>
      <c r="I617" s="342">
        <v>144.43022499999998</v>
      </c>
      <c r="J617" s="342">
        <v>161.86077499999996</v>
      </c>
      <c r="K617" s="343">
        <v>179.29132499999997</v>
      </c>
      <c r="L617" s="344">
        <v>202.72602499999996</v>
      </c>
      <c r="M617" s="345">
        <v>202.72602499999996</v>
      </c>
      <c r="O617" s="105">
        <v>14</v>
      </c>
      <c r="P617" s="104">
        <v>18</v>
      </c>
      <c r="R617" s="357"/>
      <c r="S617" s="357"/>
      <c r="T617" s="357"/>
      <c r="U617" s="357"/>
      <c r="V617" s="357"/>
      <c r="W617" s="357"/>
      <c r="X617" s="357"/>
      <c r="Y617" s="357"/>
      <c r="Z617" s="357"/>
      <c r="AB617" s="1"/>
      <c r="AC617" s="1"/>
      <c r="AJ617"/>
      <c r="AK617"/>
    </row>
    <row r="618" spans="1:37" ht="18">
      <c r="A618" t="s">
        <v>525</v>
      </c>
      <c r="B618" s="352" t="s">
        <v>723</v>
      </c>
      <c r="C618" s="352" t="s">
        <v>723</v>
      </c>
      <c r="D618" s="352" t="s">
        <v>723</v>
      </c>
      <c r="E618" s="352" t="s">
        <v>723</v>
      </c>
      <c r="F618" s="352" t="s">
        <v>723</v>
      </c>
      <c r="G618" s="352" t="s">
        <v>723</v>
      </c>
      <c r="H618" s="352" t="s">
        <v>723</v>
      </c>
      <c r="I618" s="352" t="s">
        <v>723</v>
      </c>
      <c r="J618" s="352" t="s">
        <v>723</v>
      </c>
      <c r="K618" s="353" t="s">
        <v>723</v>
      </c>
      <c r="L618" s="354" t="s">
        <v>723</v>
      </c>
      <c r="M618" s="355" t="s">
        <v>723</v>
      </c>
      <c r="O618" s="105">
        <v>15</v>
      </c>
      <c r="P618" s="104">
        <v>18</v>
      </c>
      <c r="R618" s="357"/>
      <c r="S618" s="357"/>
      <c r="T618" s="357"/>
      <c r="U618" s="357"/>
      <c r="V618" s="357"/>
      <c r="W618" s="357"/>
      <c r="X618" s="357"/>
      <c r="Y618" s="357"/>
      <c r="Z618" s="357"/>
      <c r="AB618" s="1"/>
      <c r="AC618" s="1"/>
      <c r="AJ618"/>
      <c r="AK618"/>
    </row>
    <row r="619" spans="1:37" ht="18">
      <c r="A619" t="s">
        <v>526</v>
      </c>
      <c r="B619" s="346">
        <v>41.433924999999995</v>
      </c>
      <c r="C619" s="346">
        <v>48.879599999999996</v>
      </c>
      <c r="D619" s="346">
        <v>65.146349999999984</v>
      </c>
      <c r="E619" s="346">
        <v>78.159750000000003</v>
      </c>
      <c r="F619" s="346">
        <v>94.439724999999967</v>
      </c>
      <c r="G619" s="346">
        <v>110.75937499999998</v>
      </c>
      <c r="H619" s="346">
        <v>127.31707499999997</v>
      </c>
      <c r="I619" s="346">
        <v>144.43022499999998</v>
      </c>
      <c r="J619" s="346">
        <v>161.86077499999996</v>
      </c>
      <c r="K619" s="347">
        <v>179.29132499999997</v>
      </c>
      <c r="L619" s="348">
        <v>202.72602499999996</v>
      </c>
      <c r="M619" s="349">
        <v>202.72602499999996</v>
      </c>
      <c r="O619" s="105">
        <v>16</v>
      </c>
      <c r="P619" s="104">
        <v>18</v>
      </c>
      <c r="R619" s="357"/>
      <c r="S619" s="357"/>
      <c r="T619" s="357"/>
      <c r="U619" s="357"/>
      <c r="V619" s="357"/>
      <c r="W619" s="357"/>
      <c r="X619" s="357"/>
      <c r="Y619" s="357"/>
      <c r="Z619" s="357"/>
      <c r="AB619" s="1"/>
      <c r="AC619" s="1"/>
      <c r="AJ619"/>
      <c r="AK619"/>
    </row>
    <row r="620" spans="1:37" ht="18">
      <c r="A620" t="s">
        <v>527</v>
      </c>
      <c r="B620" s="342">
        <v>41.433924999999995</v>
      </c>
      <c r="C620" s="342">
        <v>48.879599999999996</v>
      </c>
      <c r="D620" s="342">
        <v>65.146349999999984</v>
      </c>
      <c r="E620" s="342">
        <v>78.159750000000003</v>
      </c>
      <c r="F620" s="342">
        <v>94.439724999999967</v>
      </c>
      <c r="G620" s="342">
        <v>110.75937499999998</v>
      </c>
      <c r="H620" s="342">
        <v>127.31707499999997</v>
      </c>
      <c r="I620" s="342">
        <v>144.43022499999998</v>
      </c>
      <c r="J620" s="342">
        <v>161.86077499999996</v>
      </c>
      <c r="K620" s="343">
        <v>179.29132499999997</v>
      </c>
      <c r="L620" s="344">
        <v>202.72602499999996</v>
      </c>
      <c r="M620" s="345">
        <v>202.72602499999996</v>
      </c>
      <c r="O620" s="105">
        <v>17</v>
      </c>
      <c r="P620" s="104">
        <v>18</v>
      </c>
      <c r="R620" s="357"/>
      <c r="S620" s="357"/>
      <c r="T620" s="357"/>
      <c r="U620" s="357"/>
      <c r="V620" s="357"/>
      <c r="W620" s="357"/>
      <c r="X620" s="357"/>
      <c r="Y620" s="357"/>
      <c r="Z620" s="357"/>
      <c r="AB620" s="1"/>
      <c r="AC620" s="1"/>
      <c r="AJ620"/>
      <c r="AK620"/>
    </row>
    <row r="621" spans="1:37" ht="18">
      <c r="A621" t="s">
        <v>528</v>
      </c>
      <c r="B621" s="346">
        <v>16.544474999999995</v>
      </c>
      <c r="C621" s="346">
        <v>25.987124999999995</v>
      </c>
      <c r="D621" s="346">
        <v>25.987124999999995</v>
      </c>
      <c r="E621" s="346">
        <v>25.987124999999995</v>
      </c>
      <c r="F621" s="346">
        <v>25.987124999999995</v>
      </c>
      <c r="G621" s="346">
        <v>25.987124999999995</v>
      </c>
      <c r="H621" s="346">
        <v>25.987124999999995</v>
      </c>
      <c r="I621" s="346">
        <v>25.987124999999995</v>
      </c>
      <c r="J621" s="346">
        <v>25.987124999999995</v>
      </c>
      <c r="K621" s="347">
        <v>25.987124999999995</v>
      </c>
      <c r="L621" s="348">
        <v>25.987124999999995</v>
      </c>
      <c r="M621" s="349">
        <v>35.429774999999992</v>
      </c>
      <c r="O621" s="105">
        <v>18</v>
      </c>
      <c r="P621" s="104">
        <v>18</v>
      </c>
      <c r="R621" s="357"/>
      <c r="S621" s="357"/>
      <c r="T621" s="357"/>
      <c r="U621" s="357"/>
      <c r="V621" s="357"/>
      <c r="W621" s="357"/>
      <c r="X621" s="357"/>
      <c r="Y621" s="357"/>
      <c r="Z621" s="357"/>
      <c r="AB621" s="1"/>
      <c r="AC621" s="1"/>
      <c r="AJ621"/>
      <c r="AK621"/>
    </row>
    <row r="622" spans="1:37" ht="18">
      <c r="A622" t="s">
        <v>529</v>
      </c>
      <c r="B622" s="342">
        <v>40.203999999999986</v>
      </c>
      <c r="C622" s="342">
        <v>47.477749999999993</v>
      </c>
      <c r="D622" s="342">
        <v>63.215499999999984</v>
      </c>
      <c r="E622" s="342">
        <v>75.871824999999987</v>
      </c>
      <c r="F622" s="342">
        <v>91.71537499999998</v>
      </c>
      <c r="G622" s="342">
        <v>107.50602499999999</v>
      </c>
      <c r="H622" s="342">
        <v>123.56117499999999</v>
      </c>
      <c r="I622" s="342">
        <v>140.2379</v>
      </c>
      <c r="J622" s="342">
        <v>157.16589999999999</v>
      </c>
      <c r="K622" s="343">
        <v>174.12034999999997</v>
      </c>
      <c r="L622" s="344">
        <v>196.81444999999997</v>
      </c>
      <c r="M622" s="345">
        <v>196.81444999999997</v>
      </c>
      <c r="O622" s="105">
        <v>19</v>
      </c>
      <c r="P622" s="104">
        <v>22</v>
      </c>
      <c r="R622" s="357"/>
      <c r="S622" s="357"/>
      <c r="T622" s="357"/>
      <c r="U622" s="357"/>
      <c r="V622" s="357"/>
      <c r="W622" s="357"/>
      <c r="X622" s="357"/>
      <c r="Y622" s="357"/>
      <c r="Z622" s="357"/>
      <c r="AB622" s="1"/>
      <c r="AC622" s="1"/>
      <c r="AJ622"/>
      <c r="AK622"/>
    </row>
    <row r="623" spans="1:37" ht="18">
      <c r="A623" t="s">
        <v>530</v>
      </c>
      <c r="B623" s="346">
        <v>40.203999999999986</v>
      </c>
      <c r="C623" s="346">
        <v>47.477749999999993</v>
      </c>
      <c r="D623" s="346">
        <v>63.215499999999984</v>
      </c>
      <c r="E623" s="346">
        <v>75.871824999999987</v>
      </c>
      <c r="F623" s="346">
        <v>91.71537499999998</v>
      </c>
      <c r="G623" s="346">
        <v>107.50602499999999</v>
      </c>
      <c r="H623" s="346">
        <v>123.56117499999999</v>
      </c>
      <c r="I623" s="346">
        <v>140.2379</v>
      </c>
      <c r="J623" s="346">
        <v>157.16589999999999</v>
      </c>
      <c r="K623" s="347">
        <v>174.12034999999997</v>
      </c>
      <c r="L623" s="348">
        <v>196.81444999999997</v>
      </c>
      <c r="M623" s="349">
        <v>196.81444999999997</v>
      </c>
      <c r="O623" s="105">
        <v>20</v>
      </c>
      <c r="P623" s="104">
        <v>22</v>
      </c>
      <c r="R623" s="357"/>
      <c r="S623" s="357"/>
      <c r="T623" s="357"/>
      <c r="U623" s="357"/>
      <c r="V623" s="357"/>
      <c r="W623" s="357"/>
      <c r="X623" s="357"/>
      <c r="Y623" s="357"/>
      <c r="Z623" s="357"/>
      <c r="AB623" s="1"/>
      <c r="AC623" s="1"/>
      <c r="AJ623"/>
      <c r="AK623"/>
    </row>
    <row r="624" spans="1:37" ht="18">
      <c r="A624" t="s">
        <v>531</v>
      </c>
      <c r="B624" s="342">
        <v>40.203999999999986</v>
      </c>
      <c r="C624" s="342">
        <v>47.477749999999993</v>
      </c>
      <c r="D624" s="342">
        <v>63.215499999999984</v>
      </c>
      <c r="E624" s="342">
        <v>75.871824999999987</v>
      </c>
      <c r="F624" s="342">
        <v>91.71537499999998</v>
      </c>
      <c r="G624" s="342">
        <v>107.50602499999999</v>
      </c>
      <c r="H624" s="342">
        <v>123.56117499999999</v>
      </c>
      <c r="I624" s="342">
        <v>140.2379</v>
      </c>
      <c r="J624" s="342">
        <v>157.16589999999999</v>
      </c>
      <c r="K624" s="343">
        <v>174.12034999999997</v>
      </c>
      <c r="L624" s="344">
        <v>196.81444999999997</v>
      </c>
      <c r="M624" s="345">
        <v>196.81444999999997</v>
      </c>
      <c r="O624" s="105">
        <v>21</v>
      </c>
      <c r="P624" s="104">
        <v>22</v>
      </c>
      <c r="R624" s="357"/>
      <c r="S624" s="357"/>
      <c r="T624" s="357"/>
      <c r="U624" s="357"/>
      <c r="V624" s="357"/>
      <c r="W624" s="357"/>
      <c r="X624" s="357"/>
      <c r="Y624" s="357"/>
      <c r="Z624" s="357"/>
      <c r="AB624" s="1"/>
      <c r="AC624" s="1"/>
      <c r="AJ624"/>
      <c r="AK624"/>
    </row>
    <row r="625" spans="1:37" ht="18">
      <c r="A625" t="s">
        <v>532</v>
      </c>
      <c r="B625" s="352" t="s">
        <v>723</v>
      </c>
      <c r="C625" s="352" t="s">
        <v>723</v>
      </c>
      <c r="D625" s="352" t="s">
        <v>723</v>
      </c>
      <c r="E625" s="352" t="s">
        <v>723</v>
      </c>
      <c r="F625" s="352" t="s">
        <v>723</v>
      </c>
      <c r="G625" s="352" t="s">
        <v>723</v>
      </c>
      <c r="H625" s="352" t="s">
        <v>723</v>
      </c>
      <c r="I625" s="352" t="s">
        <v>723</v>
      </c>
      <c r="J625" s="352" t="s">
        <v>723</v>
      </c>
      <c r="K625" s="353" t="s">
        <v>723</v>
      </c>
      <c r="L625" s="354" t="s">
        <v>723</v>
      </c>
      <c r="M625" s="355" t="s">
        <v>723</v>
      </c>
      <c r="O625" s="105">
        <v>22</v>
      </c>
      <c r="P625" s="104">
        <v>22</v>
      </c>
      <c r="R625" s="357"/>
      <c r="S625" s="357"/>
      <c r="T625" s="357"/>
      <c r="U625" s="357"/>
      <c r="V625" s="357"/>
      <c r="W625" s="357"/>
      <c r="X625" s="357"/>
      <c r="Y625" s="357"/>
      <c r="Z625" s="357"/>
      <c r="AB625" s="1"/>
      <c r="AC625" s="1"/>
      <c r="AJ625"/>
      <c r="AK625"/>
    </row>
    <row r="626" spans="1:37" ht="18">
      <c r="A626" t="s">
        <v>533</v>
      </c>
      <c r="B626" s="346">
        <v>40.203999999999986</v>
      </c>
      <c r="C626" s="346">
        <v>47.477749999999993</v>
      </c>
      <c r="D626" s="346">
        <v>63.215499999999984</v>
      </c>
      <c r="E626" s="346">
        <v>75.871824999999987</v>
      </c>
      <c r="F626" s="346">
        <v>91.71537499999998</v>
      </c>
      <c r="G626" s="346">
        <v>107.50602499999999</v>
      </c>
      <c r="H626" s="346">
        <v>123.56117499999999</v>
      </c>
      <c r="I626" s="346">
        <v>140.2379</v>
      </c>
      <c r="J626" s="346">
        <v>157.16589999999999</v>
      </c>
      <c r="K626" s="347">
        <v>174.12034999999997</v>
      </c>
      <c r="L626" s="348">
        <v>196.81444999999997</v>
      </c>
      <c r="M626" s="349">
        <v>196.81444999999997</v>
      </c>
      <c r="O626" s="105">
        <v>23</v>
      </c>
      <c r="P626" s="104">
        <v>26</v>
      </c>
      <c r="R626" s="357"/>
      <c r="S626" s="357"/>
      <c r="T626" s="357"/>
      <c r="U626" s="357"/>
      <c r="V626" s="357"/>
      <c r="W626" s="357"/>
      <c r="X626" s="357"/>
      <c r="Y626" s="357"/>
      <c r="Z626" s="357"/>
      <c r="AB626" s="1"/>
      <c r="AC626" s="1"/>
      <c r="AJ626"/>
      <c r="AK626"/>
    </row>
    <row r="627" spans="1:37" ht="18">
      <c r="A627" t="s">
        <v>534</v>
      </c>
      <c r="B627" s="342">
        <v>40.203999999999986</v>
      </c>
      <c r="C627" s="342">
        <v>47.477749999999993</v>
      </c>
      <c r="D627" s="342">
        <v>63.215499999999984</v>
      </c>
      <c r="E627" s="342">
        <v>75.871824999999987</v>
      </c>
      <c r="F627" s="342">
        <v>91.71537499999998</v>
      </c>
      <c r="G627" s="342">
        <v>107.50602499999999</v>
      </c>
      <c r="H627" s="342">
        <v>123.56117499999999</v>
      </c>
      <c r="I627" s="342">
        <v>140.2379</v>
      </c>
      <c r="J627" s="342">
        <v>157.16589999999999</v>
      </c>
      <c r="K627" s="343">
        <v>174.12034999999997</v>
      </c>
      <c r="L627" s="344">
        <v>196.81444999999997</v>
      </c>
      <c r="M627" s="345">
        <v>196.81444999999997</v>
      </c>
      <c r="O627" s="105">
        <v>24</v>
      </c>
      <c r="P627" s="104">
        <v>26</v>
      </c>
      <c r="R627" s="357"/>
      <c r="S627" s="357"/>
      <c r="T627" s="357"/>
      <c r="U627" s="357"/>
      <c r="V627" s="357"/>
      <c r="W627" s="357"/>
      <c r="X627" s="357"/>
      <c r="Y627" s="357"/>
      <c r="Z627" s="357"/>
      <c r="AB627" s="1"/>
      <c r="AC627" s="1"/>
      <c r="AJ627"/>
      <c r="AK627"/>
    </row>
    <row r="628" spans="1:37" ht="18">
      <c r="A628" t="s">
        <v>535</v>
      </c>
      <c r="B628" s="352" t="s">
        <v>723</v>
      </c>
      <c r="C628" s="352" t="s">
        <v>723</v>
      </c>
      <c r="D628" s="352" t="s">
        <v>723</v>
      </c>
      <c r="E628" s="352" t="s">
        <v>723</v>
      </c>
      <c r="F628" s="352" t="s">
        <v>723</v>
      </c>
      <c r="G628" s="352" t="s">
        <v>723</v>
      </c>
      <c r="H628" s="352" t="s">
        <v>723</v>
      </c>
      <c r="I628" s="352" t="s">
        <v>723</v>
      </c>
      <c r="J628" s="352" t="s">
        <v>723</v>
      </c>
      <c r="K628" s="353" t="s">
        <v>723</v>
      </c>
      <c r="L628" s="354" t="s">
        <v>723</v>
      </c>
      <c r="M628" s="355" t="s">
        <v>723</v>
      </c>
      <c r="O628" s="105">
        <v>25</v>
      </c>
      <c r="P628" s="104">
        <v>26</v>
      </c>
      <c r="R628" s="357"/>
      <c r="S628" s="357"/>
      <c r="T628" s="357"/>
      <c r="U628" s="357"/>
      <c r="V628" s="357"/>
      <c r="W628" s="357"/>
      <c r="X628" s="357"/>
      <c r="Y628" s="357"/>
      <c r="Z628" s="357"/>
      <c r="AB628" s="1"/>
      <c r="AC628" s="1"/>
      <c r="AJ628"/>
      <c r="AK628"/>
    </row>
    <row r="629" spans="1:37" ht="18">
      <c r="A629" t="s">
        <v>536</v>
      </c>
      <c r="B629" s="346">
        <v>40.203999999999986</v>
      </c>
      <c r="C629" s="346">
        <v>47.477749999999993</v>
      </c>
      <c r="D629" s="346">
        <v>63.215499999999984</v>
      </c>
      <c r="E629" s="346">
        <v>75.871824999999987</v>
      </c>
      <c r="F629" s="346">
        <v>91.71537499999998</v>
      </c>
      <c r="G629" s="346">
        <v>107.50602499999999</v>
      </c>
      <c r="H629" s="346">
        <v>123.56117499999999</v>
      </c>
      <c r="I629" s="346">
        <v>140.2379</v>
      </c>
      <c r="J629" s="346">
        <v>157.16589999999999</v>
      </c>
      <c r="K629" s="347">
        <v>174.12034999999997</v>
      </c>
      <c r="L629" s="348">
        <v>196.81444999999997</v>
      </c>
      <c r="M629" s="349">
        <v>196.81444999999997</v>
      </c>
      <c r="O629" s="105">
        <v>26</v>
      </c>
      <c r="P629" s="104">
        <v>26</v>
      </c>
      <c r="R629" s="357"/>
      <c r="S629" s="357"/>
      <c r="T629" s="357"/>
      <c r="U629" s="357"/>
      <c r="V629" s="357"/>
      <c r="W629" s="357"/>
      <c r="X629" s="357"/>
      <c r="Y629" s="357"/>
      <c r="Z629" s="357"/>
      <c r="AB629" s="1"/>
      <c r="AC629" s="1"/>
      <c r="AJ629"/>
      <c r="AK629"/>
    </row>
    <row r="630" spans="1:37" ht="18">
      <c r="A630" t="s">
        <v>537</v>
      </c>
      <c r="B630" s="342">
        <v>34.239524999999993</v>
      </c>
      <c r="C630" s="342">
        <v>36.500999999999998</v>
      </c>
      <c r="D630" s="342">
        <v>40.534624999999991</v>
      </c>
      <c r="E630" s="342">
        <v>44.303749999999994</v>
      </c>
      <c r="F630" s="342">
        <v>48.601874999999993</v>
      </c>
      <c r="G630" s="342">
        <v>52.860324999999996</v>
      </c>
      <c r="H630" s="342">
        <v>57.211349999999989</v>
      </c>
      <c r="I630" s="342">
        <v>61.535924999999992</v>
      </c>
      <c r="J630" s="342">
        <v>68.426149999999993</v>
      </c>
      <c r="K630" s="343">
        <v>75.012199999999993</v>
      </c>
      <c r="L630" s="344">
        <v>79.349999999999994</v>
      </c>
      <c r="M630" s="345">
        <v>79.349999999999994</v>
      </c>
      <c r="O630" s="105">
        <v>27</v>
      </c>
      <c r="P630" s="104">
        <v>26</v>
      </c>
      <c r="R630" s="357"/>
      <c r="S630" s="357"/>
      <c r="T630" s="357"/>
      <c r="U630" s="357"/>
      <c r="V630" s="357"/>
      <c r="W630" s="357"/>
      <c r="X630" s="357"/>
      <c r="Y630" s="357"/>
      <c r="Z630" s="357"/>
      <c r="AB630" s="1"/>
      <c r="AC630" s="1"/>
      <c r="AJ630"/>
      <c r="AK630"/>
    </row>
    <row r="631" spans="1:37" ht="18">
      <c r="A631" t="s">
        <v>538</v>
      </c>
      <c r="B631" s="352" t="s">
        <v>723</v>
      </c>
      <c r="C631" s="352" t="s">
        <v>723</v>
      </c>
      <c r="D631" s="352" t="s">
        <v>723</v>
      </c>
      <c r="E631" s="352" t="s">
        <v>723</v>
      </c>
      <c r="F631" s="352" t="s">
        <v>723</v>
      </c>
      <c r="G631" s="352" t="s">
        <v>723</v>
      </c>
      <c r="H631" s="352" t="s">
        <v>723</v>
      </c>
      <c r="I631" s="352" t="s">
        <v>723</v>
      </c>
      <c r="J631" s="352" t="s">
        <v>723</v>
      </c>
      <c r="K631" s="353" t="s">
        <v>723</v>
      </c>
      <c r="L631" s="354" t="s">
        <v>723</v>
      </c>
      <c r="M631" s="355" t="s">
        <v>723</v>
      </c>
      <c r="O631" s="105">
        <v>28</v>
      </c>
      <c r="P631" s="104">
        <v>26</v>
      </c>
      <c r="R631" s="357"/>
      <c r="S631" s="357"/>
      <c r="T631" s="357"/>
      <c r="U631" s="357"/>
      <c r="V631" s="357"/>
      <c r="W631" s="357"/>
      <c r="X631" s="357"/>
      <c r="Y631" s="357"/>
      <c r="Z631" s="357"/>
      <c r="AB631" s="1"/>
      <c r="AC631" s="1"/>
      <c r="AJ631"/>
      <c r="AK631"/>
    </row>
    <row r="632" spans="1:37" ht="18">
      <c r="A632" t="s">
        <v>539</v>
      </c>
      <c r="B632" s="346">
        <v>40.203999999999986</v>
      </c>
      <c r="C632" s="346">
        <v>47.477749999999993</v>
      </c>
      <c r="D632" s="346">
        <v>63.215499999999984</v>
      </c>
      <c r="E632" s="346">
        <v>75.871824999999987</v>
      </c>
      <c r="F632" s="346">
        <v>91.71537499999998</v>
      </c>
      <c r="G632" s="346">
        <v>107.50602499999999</v>
      </c>
      <c r="H632" s="346">
        <v>123.56117499999999</v>
      </c>
      <c r="I632" s="346">
        <v>140.2379</v>
      </c>
      <c r="J632" s="346">
        <v>157.16589999999999</v>
      </c>
      <c r="K632" s="347">
        <v>174.12034999999997</v>
      </c>
      <c r="L632" s="348">
        <v>196.81444999999997</v>
      </c>
      <c r="M632" s="349">
        <v>196.81444999999997</v>
      </c>
      <c r="O632" s="105">
        <v>29</v>
      </c>
      <c r="P632" s="104">
        <v>26</v>
      </c>
      <c r="R632" s="357"/>
      <c r="S632" s="357"/>
      <c r="T632" s="357"/>
      <c r="U632" s="357"/>
      <c r="V632" s="357"/>
      <c r="W632" s="357"/>
      <c r="X632" s="357"/>
      <c r="Y632" s="357"/>
      <c r="Z632" s="357"/>
      <c r="AB632" s="1"/>
      <c r="AC632" s="1"/>
      <c r="AJ632"/>
      <c r="AK632"/>
    </row>
    <row r="633" spans="1:37" ht="18">
      <c r="A633" t="s">
        <v>540</v>
      </c>
      <c r="B633" s="342">
        <v>40.203999999999986</v>
      </c>
      <c r="C633" s="342">
        <v>47.477749999999993</v>
      </c>
      <c r="D633" s="342">
        <v>63.215499999999984</v>
      </c>
      <c r="E633" s="342">
        <v>75.871824999999987</v>
      </c>
      <c r="F633" s="342">
        <v>91.71537499999998</v>
      </c>
      <c r="G633" s="342">
        <v>107.50602499999999</v>
      </c>
      <c r="H633" s="342">
        <v>123.56117499999999</v>
      </c>
      <c r="I633" s="342">
        <v>140.2379</v>
      </c>
      <c r="J633" s="342">
        <v>157.16589999999999</v>
      </c>
      <c r="K633" s="343">
        <v>174.12034999999997</v>
      </c>
      <c r="L633" s="344">
        <v>196.81444999999997</v>
      </c>
      <c r="M633" s="345">
        <v>196.81444999999997</v>
      </c>
      <c r="O633" s="105">
        <v>30</v>
      </c>
      <c r="P633" s="104">
        <v>26</v>
      </c>
      <c r="R633" s="357"/>
      <c r="S633" s="357"/>
      <c r="T633" s="357"/>
      <c r="U633" s="357"/>
      <c r="V633" s="357"/>
      <c r="W633" s="357"/>
      <c r="X633" s="357"/>
      <c r="Y633" s="357"/>
      <c r="Z633" s="357"/>
      <c r="AB633" s="1"/>
      <c r="AC633" s="1"/>
      <c r="AJ633"/>
      <c r="AK633"/>
    </row>
    <row r="634" spans="1:37" ht="18">
      <c r="A634" t="s">
        <v>541</v>
      </c>
      <c r="B634" s="346">
        <v>40.203999999999986</v>
      </c>
      <c r="C634" s="346">
        <v>47.477749999999993</v>
      </c>
      <c r="D634" s="346">
        <v>63.215499999999984</v>
      </c>
      <c r="E634" s="346">
        <v>75.871824999999987</v>
      </c>
      <c r="F634" s="346">
        <v>91.71537499999998</v>
      </c>
      <c r="G634" s="346">
        <v>107.50602499999999</v>
      </c>
      <c r="H634" s="346">
        <v>123.56117499999999</v>
      </c>
      <c r="I634" s="346">
        <v>140.2379</v>
      </c>
      <c r="J634" s="346">
        <v>157.16589999999999</v>
      </c>
      <c r="K634" s="347">
        <v>174.12034999999997</v>
      </c>
      <c r="L634" s="348">
        <v>196.81444999999997</v>
      </c>
      <c r="M634" s="349">
        <v>196.81444999999997</v>
      </c>
      <c r="O634" s="1" t="s">
        <v>137</v>
      </c>
      <c r="P634" s="104">
        <v>0.8</v>
      </c>
      <c r="R634" s="357"/>
      <c r="S634" s="357"/>
      <c r="T634" s="357"/>
      <c r="U634" s="357"/>
      <c r="V634" s="357"/>
      <c r="W634" s="357"/>
      <c r="X634" s="357"/>
      <c r="Y634" s="357"/>
      <c r="Z634" s="357"/>
      <c r="AB634" s="1"/>
      <c r="AC634" s="1"/>
      <c r="AJ634"/>
      <c r="AK634"/>
    </row>
    <row r="635" spans="1:37" ht="18">
      <c r="A635" t="s">
        <v>542</v>
      </c>
      <c r="B635" s="342">
        <v>41.433924999999995</v>
      </c>
      <c r="C635" s="342">
        <v>48.879599999999996</v>
      </c>
      <c r="D635" s="342">
        <v>65.146349999999984</v>
      </c>
      <c r="E635" s="342">
        <v>78.159750000000003</v>
      </c>
      <c r="F635" s="342">
        <v>94.439724999999967</v>
      </c>
      <c r="G635" s="342">
        <v>110.75937499999998</v>
      </c>
      <c r="H635" s="342">
        <v>127.31707499999997</v>
      </c>
      <c r="I635" s="342">
        <v>144.43022499999998</v>
      </c>
      <c r="J635" s="342">
        <v>161.86077499999996</v>
      </c>
      <c r="K635" s="343">
        <v>179.29132499999997</v>
      </c>
      <c r="L635" s="344">
        <v>202.72602499999996</v>
      </c>
      <c r="M635" s="345">
        <v>202.72602499999996</v>
      </c>
      <c r="O635" s="357"/>
      <c r="P635" s="357"/>
      <c r="Q635" s="357"/>
      <c r="R635" s="357"/>
      <c r="S635" s="357"/>
      <c r="T635" s="357"/>
      <c r="U635" s="357"/>
      <c r="V635" s="357"/>
      <c r="W635" s="357"/>
      <c r="X635" s="357"/>
      <c r="Y635" s="357"/>
      <c r="Z635" s="357"/>
      <c r="AB635" s="1"/>
      <c r="AC635" s="1"/>
      <c r="AJ635"/>
      <c r="AK635"/>
    </row>
    <row r="636" spans="1:37" ht="18">
      <c r="A636" t="s">
        <v>543</v>
      </c>
      <c r="B636" s="346">
        <v>27.388974999999995</v>
      </c>
      <c r="C636" s="346">
        <v>28.989199999999997</v>
      </c>
      <c r="D636" s="346">
        <v>28.989199999999997</v>
      </c>
      <c r="E636" s="346">
        <v>28.989199999999997</v>
      </c>
      <c r="F636" s="346">
        <v>28.989199999999997</v>
      </c>
      <c r="G636" s="346">
        <v>28.989199999999997</v>
      </c>
      <c r="H636" s="346">
        <v>51.947799999999994</v>
      </c>
      <c r="I636" s="346">
        <v>51.947799999999994</v>
      </c>
      <c r="J636" s="346">
        <v>51.947799999999994</v>
      </c>
      <c r="K636" s="347">
        <v>51.947799999999994</v>
      </c>
      <c r="L636" s="348">
        <v>51.947799999999994</v>
      </c>
      <c r="M636" s="349">
        <v>68.280674999999988</v>
      </c>
      <c r="O636" s="357"/>
      <c r="P636" s="357"/>
      <c r="Q636" s="357"/>
      <c r="R636" s="357"/>
      <c r="S636" s="357"/>
      <c r="T636" s="357"/>
      <c r="U636" s="357"/>
      <c r="V636" s="357"/>
      <c r="W636" s="357"/>
      <c r="X636" s="357"/>
      <c r="Y636" s="357"/>
      <c r="Z636" s="357"/>
      <c r="AB636" s="1"/>
      <c r="AC636" s="1"/>
      <c r="AJ636"/>
      <c r="AK636"/>
    </row>
    <row r="637" spans="1:37" ht="18">
      <c r="A637" t="s">
        <v>544</v>
      </c>
      <c r="B637" s="342">
        <v>34.239524999999993</v>
      </c>
      <c r="C637" s="342">
        <v>36.500999999999998</v>
      </c>
      <c r="D637" s="342">
        <v>40.534624999999991</v>
      </c>
      <c r="E637" s="342">
        <v>44.303749999999994</v>
      </c>
      <c r="F637" s="342">
        <v>48.601874999999993</v>
      </c>
      <c r="G637" s="342">
        <v>52.860324999999996</v>
      </c>
      <c r="H637" s="342">
        <v>57.211349999999989</v>
      </c>
      <c r="I637" s="342">
        <v>61.535924999999992</v>
      </c>
      <c r="J637" s="342">
        <v>68.426149999999993</v>
      </c>
      <c r="K637" s="343">
        <v>75.012199999999993</v>
      </c>
      <c r="L637" s="344">
        <v>79.349999999999994</v>
      </c>
      <c r="M637" s="345">
        <v>79.349999999999994</v>
      </c>
      <c r="O637" s="357"/>
      <c r="P637" s="357"/>
      <c r="Q637" s="357"/>
      <c r="R637" s="357"/>
      <c r="S637" s="357"/>
      <c r="T637" s="357"/>
      <c r="U637" s="357"/>
      <c r="V637" s="357"/>
      <c r="W637" s="357"/>
      <c r="X637" s="357"/>
      <c r="Y637" s="357"/>
      <c r="Z637" s="357"/>
      <c r="AB637" s="1"/>
      <c r="AC637" s="1"/>
      <c r="AJ637"/>
      <c r="AK637"/>
    </row>
    <row r="638" spans="1:37" ht="18">
      <c r="A638" t="s">
        <v>545</v>
      </c>
      <c r="B638" s="346">
        <v>34.239524999999993</v>
      </c>
      <c r="C638" s="346">
        <v>36.500999999999998</v>
      </c>
      <c r="D638" s="346">
        <v>40.534624999999991</v>
      </c>
      <c r="E638" s="346">
        <v>44.303749999999994</v>
      </c>
      <c r="F638" s="346">
        <v>48.601874999999993</v>
      </c>
      <c r="G638" s="346">
        <v>52.860324999999996</v>
      </c>
      <c r="H638" s="346">
        <v>57.211349999999989</v>
      </c>
      <c r="I638" s="346">
        <v>61.535924999999992</v>
      </c>
      <c r="J638" s="346">
        <v>68.426149999999993</v>
      </c>
      <c r="K638" s="347">
        <v>75.012199999999993</v>
      </c>
      <c r="L638" s="348">
        <v>79.349999999999994</v>
      </c>
      <c r="M638" s="349">
        <v>79.349999999999994</v>
      </c>
      <c r="O638" s="357"/>
      <c r="P638" s="357"/>
      <c r="Q638" s="357"/>
      <c r="R638" s="357"/>
      <c r="S638" s="357"/>
      <c r="T638" s="357"/>
      <c r="U638" s="357"/>
      <c r="V638" s="357"/>
      <c r="W638" s="357"/>
      <c r="X638" s="357"/>
      <c r="Y638" s="357"/>
      <c r="Z638" s="357"/>
      <c r="AB638" s="1"/>
      <c r="AC638" s="1"/>
      <c r="AJ638"/>
      <c r="AK638"/>
    </row>
    <row r="639" spans="1:37" ht="18">
      <c r="A639" t="s">
        <v>546</v>
      </c>
      <c r="B639" s="346" t="s">
        <v>723</v>
      </c>
      <c r="C639" s="346" t="s">
        <v>723</v>
      </c>
      <c r="D639" s="346" t="s">
        <v>723</v>
      </c>
      <c r="E639" s="346" t="s">
        <v>723</v>
      </c>
      <c r="F639" s="346" t="s">
        <v>723</v>
      </c>
      <c r="G639" s="346" t="s">
        <v>723</v>
      </c>
      <c r="H639" s="346" t="s">
        <v>723</v>
      </c>
      <c r="I639" s="346" t="s">
        <v>723</v>
      </c>
      <c r="J639" s="346" t="s">
        <v>723</v>
      </c>
      <c r="K639" s="347" t="s">
        <v>723</v>
      </c>
      <c r="L639" s="348" t="s">
        <v>723</v>
      </c>
      <c r="M639" s="349" t="s">
        <v>723</v>
      </c>
      <c r="O639" s="357"/>
      <c r="P639" s="357"/>
      <c r="Q639" s="357"/>
      <c r="R639" s="357"/>
      <c r="S639" s="357"/>
      <c r="T639" s="357"/>
      <c r="U639" s="357"/>
      <c r="V639" s="357"/>
      <c r="W639" s="357"/>
      <c r="X639" s="357"/>
      <c r="Y639" s="357"/>
      <c r="Z639" s="357"/>
      <c r="AB639" s="1"/>
      <c r="AC639" s="1"/>
      <c r="AJ639"/>
      <c r="AK639"/>
    </row>
    <row r="640" spans="1:37" ht="18">
      <c r="A640" t="s">
        <v>547</v>
      </c>
      <c r="B640" s="342">
        <v>41.433924999999995</v>
      </c>
      <c r="C640" s="342">
        <v>48.879599999999996</v>
      </c>
      <c r="D640" s="342">
        <v>65.146349999999984</v>
      </c>
      <c r="E640" s="342">
        <v>78.159750000000003</v>
      </c>
      <c r="F640" s="342">
        <v>94.439724999999967</v>
      </c>
      <c r="G640" s="342">
        <v>110.75937499999998</v>
      </c>
      <c r="H640" s="342">
        <v>127.31707499999997</v>
      </c>
      <c r="I640" s="342">
        <v>144.43022499999998</v>
      </c>
      <c r="J640" s="342">
        <v>161.86077499999996</v>
      </c>
      <c r="K640" s="343">
        <v>179.29132499999997</v>
      </c>
      <c r="L640" s="344">
        <v>202.72602499999996</v>
      </c>
      <c r="M640" s="345">
        <v>202.72602499999996</v>
      </c>
      <c r="O640" s="357"/>
      <c r="P640" s="357"/>
      <c r="Q640" s="357"/>
      <c r="R640" s="357"/>
      <c r="S640" s="357"/>
      <c r="T640" s="357"/>
      <c r="U640" s="357"/>
      <c r="V640" s="357"/>
      <c r="W640" s="357"/>
      <c r="X640" s="357"/>
      <c r="Y640" s="357"/>
      <c r="Z640" s="357"/>
      <c r="AB640" s="1"/>
      <c r="AC640" s="1"/>
      <c r="AJ640"/>
      <c r="AK640"/>
    </row>
    <row r="641" spans="1:37" ht="18">
      <c r="A641" t="s">
        <v>548</v>
      </c>
      <c r="B641" s="352" t="s">
        <v>723</v>
      </c>
      <c r="C641" s="352" t="s">
        <v>723</v>
      </c>
      <c r="D641" s="352" t="s">
        <v>723</v>
      </c>
      <c r="E641" s="352" t="s">
        <v>723</v>
      </c>
      <c r="F641" s="352" t="s">
        <v>723</v>
      </c>
      <c r="G641" s="352" t="s">
        <v>723</v>
      </c>
      <c r="H641" s="352" t="s">
        <v>723</v>
      </c>
      <c r="I641" s="352" t="s">
        <v>723</v>
      </c>
      <c r="J641" s="352" t="s">
        <v>723</v>
      </c>
      <c r="K641" s="353" t="s">
        <v>723</v>
      </c>
      <c r="L641" s="354" t="s">
        <v>723</v>
      </c>
      <c r="M641" s="355" t="s">
        <v>723</v>
      </c>
      <c r="O641" s="357"/>
      <c r="P641" s="357"/>
      <c r="Q641" s="357"/>
      <c r="R641" s="357"/>
      <c r="S641" s="357"/>
      <c r="T641" s="357"/>
      <c r="U641" s="357"/>
      <c r="V641" s="357"/>
      <c r="W641" s="357"/>
      <c r="X641" s="357"/>
      <c r="Y641" s="357"/>
      <c r="Z641" s="357"/>
      <c r="AB641" s="1"/>
      <c r="AC641" s="1"/>
      <c r="AJ641"/>
      <c r="AK641"/>
    </row>
    <row r="642" spans="1:37" ht="18">
      <c r="A642" t="s">
        <v>549</v>
      </c>
      <c r="B642" s="346">
        <v>41.433924999999995</v>
      </c>
      <c r="C642" s="346">
        <v>48.879599999999996</v>
      </c>
      <c r="D642" s="346">
        <v>65.146349999999984</v>
      </c>
      <c r="E642" s="346">
        <v>78.159750000000003</v>
      </c>
      <c r="F642" s="346">
        <v>94.439724999999967</v>
      </c>
      <c r="G642" s="346">
        <v>110.75937499999998</v>
      </c>
      <c r="H642" s="346">
        <v>127.31707499999997</v>
      </c>
      <c r="I642" s="346">
        <v>144.43022499999998</v>
      </c>
      <c r="J642" s="346">
        <v>161.86077499999996</v>
      </c>
      <c r="K642" s="347">
        <v>179.29132499999997</v>
      </c>
      <c r="L642" s="348">
        <v>202.72602499999996</v>
      </c>
      <c r="M642" s="349">
        <v>202.72602499999996</v>
      </c>
      <c r="O642" s="357"/>
      <c r="P642" s="357"/>
      <c r="Q642" s="357"/>
      <c r="R642" s="357"/>
      <c r="S642" s="357"/>
      <c r="T642" s="357"/>
      <c r="U642" s="357"/>
      <c r="V642" s="357"/>
      <c r="W642" s="357"/>
      <c r="X642" s="357"/>
      <c r="Y642" s="357"/>
      <c r="Z642" s="357"/>
      <c r="AB642" s="1"/>
      <c r="AC642" s="1"/>
      <c r="AJ642"/>
      <c r="AK642"/>
    </row>
    <row r="643" spans="1:37" ht="18">
      <c r="A643" t="s">
        <v>550</v>
      </c>
      <c r="B643" s="346" t="s">
        <v>723</v>
      </c>
      <c r="C643" s="346" t="s">
        <v>723</v>
      </c>
      <c r="D643" s="346" t="s">
        <v>723</v>
      </c>
      <c r="E643" s="346" t="s">
        <v>723</v>
      </c>
      <c r="F643" s="346" t="s">
        <v>723</v>
      </c>
      <c r="G643" s="346" t="s">
        <v>723</v>
      </c>
      <c r="H643" s="346" t="s">
        <v>723</v>
      </c>
      <c r="I643" s="346" t="s">
        <v>723</v>
      </c>
      <c r="J643" s="346" t="s">
        <v>723</v>
      </c>
      <c r="K643" s="347" t="s">
        <v>723</v>
      </c>
      <c r="L643" s="348" t="s">
        <v>723</v>
      </c>
      <c r="M643" s="349" t="s">
        <v>723</v>
      </c>
      <c r="O643" s="357"/>
      <c r="P643" s="357"/>
      <c r="Q643" s="357"/>
      <c r="R643" s="357"/>
      <c r="S643" s="357"/>
      <c r="T643" s="357"/>
      <c r="U643" s="357"/>
      <c r="V643" s="357"/>
      <c r="W643" s="357"/>
      <c r="X643" s="357"/>
      <c r="Y643" s="357"/>
      <c r="Z643" s="357"/>
      <c r="AB643" s="1"/>
      <c r="AC643" s="1"/>
      <c r="AJ643"/>
      <c r="AK643"/>
    </row>
    <row r="644" spans="1:37" ht="18">
      <c r="A644" t="s">
        <v>551</v>
      </c>
      <c r="B644" s="342">
        <v>41.433924999999995</v>
      </c>
      <c r="C644" s="342">
        <v>48.879599999999996</v>
      </c>
      <c r="D644" s="342">
        <v>65.146349999999984</v>
      </c>
      <c r="E644" s="342">
        <v>78.159750000000003</v>
      </c>
      <c r="F644" s="342">
        <v>94.439724999999967</v>
      </c>
      <c r="G644" s="342">
        <v>110.75937499999998</v>
      </c>
      <c r="H644" s="342">
        <v>127.31707499999997</v>
      </c>
      <c r="I644" s="342">
        <v>144.43022499999998</v>
      </c>
      <c r="J644" s="342">
        <v>161.86077499999996</v>
      </c>
      <c r="K644" s="343">
        <v>179.29132499999997</v>
      </c>
      <c r="L644" s="344">
        <v>202.72602499999996</v>
      </c>
      <c r="M644" s="345">
        <v>202.72602499999996</v>
      </c>
      <c r="O644" s="357"/>
      <c r="P644" s="357"/>
      <c r="Q644" s="357"/>
      <c r="R644" s="357"/>
      <c r="S644" s="357"/>
      <c r="T644" s="357"/>
      <c r="U644" s="357"/>
      <c r="V644" s="357"/>
      <c r="W644" s="357"/>
      <c r="X644" s="357"/>
      <c r="Y644" s="357"/>
      <c r="Z644" s="357"/>
      <c r="AB644" s="1"/>
      <c r="AC644" s="1"/>
      <c r="AJ644"/>
      <c r="AK644"/>
    </row>
    <row r="645" spans="1:37" ht="18">
      <c r="A645" t="s">
        <v>552</v>
      </c>
      <c r="B645" s="346">
        <v>41.433924999999995</v>
      </c>
      <c r="C645" s="346">
        <v>48.879599999999996</v>
      </c>
      <c r="D645" s="346">
        <v>65.146349999999984</v>
      </c>
      <c r="E645" s="346">
        <v>78.159750000000003</v>
      </c>
      <c r="F645" s="346">
        <v>94.439724999999967</v>
      </c>
      <c r="G645" s="346">
        <v>110.75937499999998</v>
      </c>
      <c r="H645" s="346">
        <v>127.31707499999997</v>
      </c>
      <c r="I645" s="346">
        <v>144.43022499999998</v>
      </c>
      <c r="J645" s="346">
        <v>161.86077499999996</v>
      </c>
      <c r="K645" s="347">
        <v>179.29132499999997</v>
      </c>
      <c r="L645" s="348">
        <v>202.72602499999996</v>
      </c>
      <c r="M645" s="349">
        <v>202.72602499999996</v>
      </c>
      <c r="O645" s="357"/>
      <c r="P645" s="357"/>
      <c r="Q645" s="357"/>
      <c r="R645" s="357"/>
      <c r="S645" s="357"/>
      <c r="T645" s="357"/>
      <c r="U645" s="357"/>
      <c r="V645" s="357"/>
      <c r="W645" s="357"/>
      <c r="X645" s="357"/>
      <c r="Y645" s="357"/>
      <c r="Z645" s="357"/>
      <c r="AB645" s="1"/>
      <c r="AC645" s="1"/>
      <c r="AJ645"/>
      <c r="AK645"/>
    </row>
    <row r="646" spans="1:37" ht="18">
      <c r="A646" t="s">
        <v>553</v>
      </c>
      <c r="B646" s="342">
        <v>41.433924999999995</v>
      </c>
      <c r="C646" s="342">
        <v>48.879599999999996</v>
      </c>
      <c r="D646" s="342">
        <v>65.146349999999984</v>
      </c>
      <c r="E646" s="342">
        <v>78.159750000000003</v>
      </c>
      <c r="F646" s="342">
        <v>94.439724999999967</v>
      </c>
      <c r="G646" s="342">
        <v>110.75937499999998</v>
      </c>
      <c r="H646" s="342">
        <v>127.31707499999997</v>
      </c>
      <c r="I646" s="342">
        <v>144.43022499999998</v>
      </c>
      <c r="J646" s="342">
        <v>161.86077499999996</v>
      </c>
      <c r="K646" s="343">
        <v>179.29132499999997</v>
      </c>
      <c r="L646" s="344">
        <v>202.72602499999996</v>
      </c>
      <c r="M646" s="345">
        <v>202.72602499999996</v>
      </c>
      <c r="O646" s="357"/>
      <c r="P646" s="357"/>
      <c r="Q646" s="357"/>
      <c r="R646" s="357"/>
      <c r="S646" s="357"/>
      <c r="T646" s="357"/>
      <c r="U646" s="357"/>
      <c r="V646" s="357"/>
      <c r="W646" s="357"/>
      <c r="X646" s="357"/>
      <c r="Y646" s="357"/>
      <c r="Z646" s="357"/>
      <c r="AB646" s="1"/>
      <c r="AC646" s="1"/>
      <c r="AJ646"/>
      <c r="AK646"/>
    </row>
    <row r="647" spans="1:37" ht="18">
      <c r="A647" t="s">
        <v>554</v>
      </c>
      <c r="B647" s="346">
        <v>34.239524999999993</v>
      </c>
      <c r="C647" s="346">
        <v>36.500999999999998</v>
      </c>
      <c r="D647" s="346">
        <v>40.534624999999991</v>
      </c>
      <c r="E647" s="346">
        <v>44.303749999999994</v>
      </c>
      <c r="F647" s="346">
        <v>48.601874999999993</v>
      </c>
      <c r="G647" s="346">
        <v>52.860324999999996</v>
      </c>
      <c r="H647" s="346">
        <v>57.211349999999989</v>
      </c>
      <c r="I647" s="346">
        <v>61.535924999999992</v>
      </c>
      <c r="J647" s="346">
        <v>68.426149999999993</v>
      </c>
      <c r="K647" s="347">
        <v>75.012199999999993</v>
      </c>
      <c r="L647" s="348">
        <v>79.349999999999994</v>
      </c>
      <c r="M647" s="349">
        <v>79.349999999999994</v>
      </c>
      <c r="O647" s="357"/>
      <c r="P647" s="357"/>
      <c r="Q647" s="357"/>
      <c r="R647" s="357"/>
      <c r="S647" s="357"/>
      <c r="T647" s="357"/>
      <c r="U647" s="357"/>
      <c r="V647" s="357"/>
      <c r="W647" s="357"/>
      <c r="X647" s="357"/>
      <c r="Y647" s="357"/>
      <c r="Z647" s="357"/>
      <c r="AB647" s="1"/>
      <c r="AC647" s="1"/>
      <c r="AJ647"/>
      <c r="AK647"/>
    </row>
    <row r="648" spans="1:37" ht="18">
      <c r="A648" t="s">
        <v>555</v>
      </c>
      <c r="B648" s="342">
        <v>40.203999999999986</v>
      </c>
      <c r="C648" s="342">
        <v>47.477749999999993</v>
      </c>
      <c r="D648" s="342">
        <v>63.215499999999984</v>
      </c>
      <c r="E648" s="342">
        <v>75.871824999999987</v>
      </c>
      <c r="F648" s="342">
        <v>91.71537499999998</v>
      </c>
      <c r="G648" s="342">
        <v>107.50602499999999</v>
      </c>
      <c r="H648" s="342">
        <v>123.56117499999999</v>
      </c>
      <c r="I648" s="342">
        <v>140.2379</v>
      </c>
      <c r="J648" s="342">
        <v>157.16589999999999</v>
      </c>
      <c r="K648" s="343">
        <v>174.12034999999997</v>
      </c>
      <c r="L648" s="344">
        <v>196.81444999999997</v>
      </c>
      <c r="M648" s="345">
        <v>196.81444999999997</v>
      </c>
      <c r="O648" s="357"/>
      <c r="P648" s="357"/>
      <c r="Q648" s="357"/>
      <c r="R648" s="357"/>
      <c r="S648" s="357"/>
      <c r="T648" s="357"/>
      <c r="U648" s="357"/>
      <c r="V648" s="357"/>
      <c r="W648" s="357"/>
      <c r="X648" s="357"/>
      <c r="Y648" s="357"/>
      <c r="Z648" s="357"/>
      <c r="AB648" s="1"/>
      <c r="AC648" s="1"/>
      <c r="AJ648"/>
      <c r="AK648"/>
    </row>
    <row r="649" spans="1:37" ht="18">
      <c r="A649" t="s">
        <v>556</v>
      </c>
      <c r="B649" s="346">
        <v>34.239524999999993</v>
      </c>
      <c r="C649" s="346">
        <v>36.500999999999998</v>
      </c>
      <c r="D649" s="346">
        <v>40.534624999999991</v>
      </c>
      <c r="E649" s="346">
        <v>44.303749999999994</v>
      </c>
      <c r="F649" s="346">
        <v>48.601874999999993</v>
      </c>
      <c r="G649" s="346">
        <v>52.860324999999996</v>
      </c>
      <c r="H649" s="346">
        <v>57.211349999999989</v>
      </c>
      <c r="I649" s="346">
        <v>61.535924999999992</v>
      </c>
      <c r="J649" s="346">
        <v>68.426149999999993</v>
      </c>
      <c r="K649" s="347">
        <v>75.012199999999993</v>
      </c>
      <c r="L649" s="348">
        <v>79.349999999999994</v>
      </c>
      <c r="M649" s="349">
        <v>79.349999999999994</v>
      </c>
      <c r="O649" s="357"/>
      <c r="P649" s="357"/>
      <c r="Q649" s="357"/>
      <c r="R649" s="357"/>
      <c r="S649" s="357"/>
      <c r="T649" s="357"/>
      <c r="U649" s="357"/>
      <c r="V649" s="357"/>
      <c r="W649" s="357"/>
      <c r="X649" s="357"/>
      <c r="Y649" s="357"/>
      <c r="Z649" s="357"/>
      <c r="AB649" s="1"/>
      <c r="AC649" s="1"/>
      <c r="AJ649"/>
      <c r="AK649"/>
    </row>
    <row r="650" spans="1:37" ht="18">
      <c r="A650" t="s">
        <v>557</v>
      </c>
      <c r="B650" s="342">
        <v>41.433924999999995</v>
      </c>
      <c r="C650" s="342">
        <v>48.879599999999996</v>
      </c>
      <c r="D650" s="342">
        <v>65.146349999999984</v>
      </c>
      <c r="E650" s="342">
        <v>78.159750000000003</v>
      </c>
      <c r="F650" s="342">
        <v>94.439724999999967</v>
      </c>
      <c r="G650" s="342">
        <v>110.75937499999998</v>
      </c>
      <c r="H650" s="342">
        <v>127.31707499999997</v>
      </c>
      <c r="I650" s="342">
        <v>144.43022499999998</v>
      </c>
      <c r="J650" s="342">
        <v>161.86077499999996</v>
      </c>
      <c r="K650" s="343">
        <v>179.29132499999997</v>
      </c>
      <c r="L650" s="344">
        <v>202.72602499999996</v>
      </c>
      <c r="M650" s="345">
        <v>202.72602499999996</v>
      </c>
      <c r="O650" s="357"/>
      <c r="P650" s="357"/>
      <c r="Q650" s="357"/>
      <c r="R650" s="357"/>
      <c r="S650" s="357"/>
      <c r="T650" s="357"/>
      <c r="U650" s="357"/>
      <c r="V650" s="357"/>
      <c r="W650" s="357"/>
      <c r="X650" s="357"/>
      <c r="Y650" s="357"/>
      <c r="Z650" s="357"/>
      <c r="AB650" s="1"/>
      <c r="AC650" s="1"/>
      <c r="AJ650"/>
      <c r="AK650"/>
    </row>
    <row r="651" spans="1:37" ht="18">
      <c r="A651" t="s">
        <v>558</v>
      </c>
      <c r="B651" s="352" t="s">
        <v>723</v>
      </c>
      <c r="C651" s="352" t="s">
        <v>723</v>
      </c>
      <c r="D651" s="352" t="s">
        <v>723</v>
      </c>
      <c r="E651" s="352" t="s">
        <v>723</v>
      </c>
      <c r="F651" s="352" t="s">
        <v>723</v>
      </c>
      <c r="G651" s="352" t="s">
        <v>723</v>
      </c>
      <c r="H651" s="352" t="s">
        <v>723</v>
      </c>
      <c r="I651" s="352" t="s">
        <v>723</v>
      </c>
      <c r="J651" s="352" t="s">
        <v>723</v>
      </c>
      <c r="K651" s="353" t="s">
        <v>723</v>
      </c>
      <c r="L651" s="354" t="s">
        <v>723</v>
      </c>
      <c r="M651" s="355" t="s">
        <v>723</v>
      </c>
      <c r="O651" s="357"/>
      <c r="P651" s="357"/>
      <c r="Q651" s="357"/>
      <c r="R651" s="357"/>
      <c r="S651" s="357"/>
      <c r="T651" s="357"/>
      <c r="U651" s="357"/>
      <c r="V651" s="357"/>
      <c r="W651" s="357"/>
      <c r="X651" s="357"/>
      <c r="Y651" s="357"/>
      <c r="Z651" s="357"/>
      <c r="AB651" s="1"/>
      <c r="AC651" s="1"/>
      <c r="AJ651"/>
      <c r="AK651"/>
    </row>
    <row r="652" spans="1:37" ht="18">
      <c r="A652" t="s">
        <v>559</v>
      </c>
      <c r="B652" s="346">
        <v>40.203999999999986</v>
      </c>
      <c r="C652" s="346">
        <v>47.477749999999993</v>
      </c>
      <c r="D652" s="346">
        <v>63.215499999999984</v>
      </c>
      <c r="E652" s="346">
        <v>75.871824999999987</v>
      </c>
      <c r="F652" s="346">
        <v>91.71537499999998</v>
      </c>
      <c r="G652" s="346">
        <v>107.50602499999999</v>
      </c>
      <c r="H652" s="346">
        <v>123.56117499999999</v>
      </c>
      <c r="I652" s="346">
        <v>140.2379</v>
      </c>
      <c r="J652" s="346">
        <v>157.16589999999999</v>
      </c>
      <c r="K652" s="347">
        <v>174.12034999999997</v>
      </c>
      <c r="L652" s="348">
        <v>196.81444999999997</v>
      </c>
      <c r="M652" s="349">
        <v>196.81444999999997</v>
      </c>
      <c r="O652" s="357"/>
      <c r="P652" s="357"/>
      <c r="Q652" s="357"/>
      <c r="R652" s="357"/>
      <c r="S652" s="357"/>
      <c r="T652" s="357"/>
      <c r="U652" s="357"/>
      <c r="V652" s="357"/>
      <c r="W652" s="357"/>
      <c r="X652" s="357"/>
      <c r="Y652" s="357"/>
      <c r="Z652" s="357"/>
      <c r="AB652" s="1"/>
      <c r="AC652" s="1"/>
      <c r="AJ652"/>
      <c r="AK652"/>
    </row>
    <row r="653" spans="1:37" ht="18">
      <c r="A653" t="s">
        <v>560</v>
      </c>
      <c r="B653" s="342">
        <v>41.433924999999995</v>
      </c>
      <c r="C653" s="342">
        <v>48.879599999999996</v>
      </c>
      <c r="D653" s="342">
        <v>65.146349999999984</v>
      </c>
      <c r="E653" s="342">
        <v>78.159750000000003</v>
      </c>
      <c r="F653" s="342">
        <v>94.439724999999967</v>
      </c>
      <c r="G653" s="342">
        <v>110.75937499999998</v>
      </c>
      <c r="H653" s="342">
        <v>127.31707499999997</v>
      </c>
      <c r="I653" s="342">
        <v>144.43022499999998</v>
      </c>
      <c r="J653" s="342">
        <v>161.86077499999996</v>
      </c>
      <c r="K653" s="343">
        <v>179.29132499999997</v>
      </c>
      <c r="L653" s="344">
        <v>202.72602499999996</v>
      </c>
      <c r="M653" s="345">
        <v>202.72602499999996</v>
      </c>
      <c r="O653" s="357"/>
      <c r="P653" s="357"/>
      <c r="Q653" s="357"/>
      <c r="R653" s="357"/>
      <c r="S653" s="357"/>
      <c r="T653" s="357"/>
      <c r="U653" s="357"/>
      <c r="V653" s="357"/>
      <c r="W653" s="357"/>
      <c r="X653" s="357"/>
      <c r="Y653" s="357"/>
      <c r="Z653" s="357"/>
      <c r="AB653" s="1"/>
      <c r="AC653" s="1"/>
      <c r="AJ653"/>
      <c r="AK653"/>
    </row>
    <row r="654" spans="1:37" ht="18">
      <c r="A654" t="s">
        <v>561</v>
      </c>
      <c r="B654" s="346">
        <v>34.239524999999993</v>
      </c>
      <c r="C654" s="346">
        <v>36.500999999999998</v>
      </c>
      <c r="D654" s="346">
        <v>40.534624999999991</v>
      </c>
      <c r="E654" s="346">
        <v>44.303749999999994</v>
      </c>
      <c r="F654" s="346">
        <v>48.601874999999993</v>
      </c>
      <c r="G654" s="346">
        <v>52.860324999999996</v>
      </c>
      <c r="H654" s="346">
        <v>57.211349999999989</v>
      </c>
      <c r="I654" s="346">
        <v>61.535924999999992</v>
      </c>
      <c r="J654" s="346">
        <v>68.426149999999993</v>
      </c>
      <c r="K654" s="347">
        <v>75.012199999999993</v>
      </c>
      <c r="L654" s="348">
        <v>79.349999999999994</v>
      </c>
      <c r="M654" s="349">
        <v>79.349999999999994</v>
      </c>
      <c r="O654" s="357"/>
      <c r="P654" s="357"/>
      <c r="Q654" s="357"/>
      <c r="R654" s="357"/>
      <c r="S654" s="357"/>
      <c r="T654" s="357"/>
      <c r="U654" s="357"/>
      <c r="V654" s="357"/>
      <c r="W654" s="357"/>
      <c r="X654" s="357"/>
      <c r="Y654" s="357"/>
      <c r="Z654" s="357"/>
      <c r="AB654" s="1"/>
      <c r="AC654" s="1"/>
      <c r="AJ654"/>
      <c r="AK654"/>
    </row>
    <row r="655" spans="1:37" ht="18">
      <c r="A655" t="s">
        <v>562</v>
      </c>
      <c r="B655" s="342">
        <v>40.203999999999986</v>
      </c>
      <c r="C655" s="342">
        <v>47.477749999999993</v>
      </c>
      <c r="D655" s="342">
        <v>63.215499999999984</v>
      </c>
      <c r="E655" s="342">
        <v>75.871824999999987</v>
      </c>
      <c r="F655" s="342">
        <v>91.71537499999998</v>
      </c>
      <c r="G655" s="342">
        <v>107.50602499999999</v>
      </c>
      <c r="H655" s="342">
        <v>123.56117499999999</v>
      </c>
      <c r="I655" s="342">
        <v>140.2379</v>
      </c>
      <c r="J655" s="342">
        <v>157.16589999999999</v>
      </c>
      <c r="K655" s="343">
        <v>174.12034999999997</v>
      </c>
      <c r="L655" s="344">
        <v>196.81444999999997</v>
      </c>
      <c r="M655" s="345">
        <v>196.81444999999997</v>
      </c>
      <c r="O655" s="357"/>
      <c r="P655" s="357"/>
      <c r="Q655" s="357"/>
      <c r="R655" s="357"/>
      <c r="S655" s="357"/>
      <c r="T655" s="357"/>
      <c r="U655" s="357"/>
      <c r="V655" s="357"/>
      <c r="W655" s="357"/>
      <c r="X655" s="357"/>
      <c r="Y655" s="357"/>
      <c r="Z655" s="357"/>
      <c r="AB655" s="1"/>
      <c r="AC655" s="1"/>
      <c r="AJ655"/>
      <c r="AK655"/>
    </row>
    <row r="656" spans="1:37" ht="18">
      <c r="A656" t="s">
        <v>563</v>
      </c>
      <c r="B656" s="346">
        <v>40.203999999999986</v>
      </c>
      <c r="C656" s="346">
        <v>47.477749999999993</v>
      </c>
      <c r="D656" s="346">
        <v>63.215499999999984</v>
      </c>
      <c r="E656" s="346">
        <v>75.871824999999987</v>
      </c>
      <c r="F656" s="346">
        <v>91.71537499999998</v>
      </c>
      <c r="G656" s="346">
        <v>107.50602499999999</v>
      </c>
      <c r="H656" s="346">
        <v>123.56117499999999</v>
      </c>
      <c r="I656" s="346">
        <v>140.2379</v>
      </c>
      <c r="J656" s="346">
        <v>157.16589999999999</v>
      </c>
      <c r="K656" s="347">
        <v>174.12034999999997</v>
      </c>
      <c r="L656" s="348">
        <v>196.81444999999997</v>
      </c>
      <c r="M656" s="349">
        <v>196.81444999999997</v>
      </c>
      <c r="O656" s="357"/>
      <c r="P656" s="357"/>
      <c r="Q656" s="357"/>
      <c r="R656" s="357"/>
      <c r="S656" s="357"/>
      <c r="T656" s="357"/>
      <c r="U656" s="357"/>
      <c r="V656" s="357"/>
      <c r="W656" s="357"/>
      <c r="X656" s="357"/>
      <c r="Y656" s="357"/>
      <c r="Z656" s="357"/>
      <c r="AB656" s="1"/>
      <c r="AC656" s="1"/>
      <c r="AJ656"/>
      <c r="AK656"/>
    </row>
    <row r="657" spans="1:37" ht="18">
      <c r="A657" t="s">
        <v>564</v>
      </c>
      <c r="B657" s="342">
        <v>34.239524999999993</v>
      </c>
      <c r="C657" s="342">
        <v>36.500999999999998</v>
      </c>
      <c r="D657" s="342">
        <v>40.534624999999991</v>
      </c>
      <c r="E657" s="342">
        <v>44.303749999999994</v>
      </c>
      <c r="F657" s="342">
        <v>48.601874999999993</v>
      </c>
      <c r="G657" s="342">
        <v>52.860324999999996</v>
      </c>
      <c r="H657" s="342">
        <v>57.211349999999989</v>
      </c>
      <c r="I657" s="342">
        <v>61.535924999999992</v>
      </c>
      <c r="J657" s="342">
        <v>68.426149999999993</v>
      </c>
      <c r="K657" s="343">
        <v>75.012199999999993</v>
      </c>
      <c r="L657" s="344">
        <v>79.349999999999994</v>
      </c>
      <c r="M657" s="345">
        <v>79.349999999999994</v>
      </c>
      <c r="O657" s="357"/>
      <c r="P657" s="357"/>
      <c r="Q657" s="357"/>
      <c r="R657" s="357"/>
      <c r="S657" s="357"/>
      <c r="T657" s="357"/>
      <c r="U657" s="357"/>
      <c r="V657" s="357"/>
      <c r="W657" s="357"/>
      <c r="X657" s="357"/>
      <c r="Y657" s="357"/>
      <c r="Z657" s="357"/>
      <c r="AB657" s="1"/>
      <c r="AC657" s="1"/>
      <c r="AJ657"/>
      <c r="AK657"/>
    </row>
    <row r="658" spans="1:37" ht="18">
      <c r="A658" t="s">
        <v>565</v>
      </c>
      <c r="B658" s="346">
        <v>34.239524999999993</v>
      </c>
      <c r="C658" s="346">
        <v>36.500999999999998</v>
      </c>
      <c r="D658" s="346">
        <v>40.534624999999991</v>
      </c>
      <c r="E658" s="346">
        <v>44.303749999999994</v>
      </c>
      <c r="F658" s="346">
        <v>48.601874999999993</v>
      </c>
      <c r="G658" s="346">
        <v>52.860324999999996</v>
      </c>
      <c r="H658" s="346">
        <v>57.211349999999989</v>
      </c>
      <c r="I658" s="346">
        <v>61.535924999999992</v>
      </c>
      <c r="J658" s="346">
        <v>68.426149999999993</v>
      </c>
      <c r="K658" s="347">
        <v>75.012199999999993</v>
      </c>
      <c r="L658" s="348">
        <v>79.349999999999994</v>
      </c>
      <c r="M658" s="349">
        <v>79.349999999999994</v>
      </c>
      <c r="O658" s="357"/>
      <c r="P658" s="357"/>
      <c r="Q658" s="357"/>
      <c r="R658" s="357"/>
      <c r="S658" s="357"/>
      <c r="T658" s="357"/>
      <c r="U658" s="357"/>
      <c r="V658" s="357"/>
      <c r="W658" s="357"/>
      <c r="X658" s="357"/>
      <c r="Y658" s="357"/>
      <c r="Z658" s="357"/>
      <c r="AB658" s="1"/>
      <c r="AC658" s="1"/>
      <c r="AJ658"/>
      <c r="AK658"/>
    </row>
    <row r="659" spans="1:37" ht="18">
      <c r="A659" t="s">
        <v>566</v>
      </c>
      <c r="B659" s="342">
        <v>40.203999999999986</v>
      </c>
      <c r="C659" s="342">
        <v>47.477749999999993</v>
      </c>
      <c r="D659" s="342">
        <v>63.215499999999984</v>
      </c>
      <c r="E659" s="342">
        <v>75.871824999999987</v>
      </c>
      <c r="F659" s="342">
        <v>91.71537499999998</v>
      </c>
      <c r="G659" s="342">
        <v>107.50602499999999</v>
      </c>
      <c r="H659" s="342">
        <v>123.56117499999999</v>
      </c>
      <c r="I659" s="342">
        <v>140.2379</v>
      </c>
      <c r="J659" s="342">
        <v>157.16589999999999</v>
      </c>
      <c r="K659" s="343">
        <v>174.12034999999997</v>
      </c>
      <c r="L659" s="344">
        <v>196.81444999999997</v>
      </c>
      <c r="M659" s="345">
        <v>196.81444999999997</v>
      </c>
      <c r="O659" s="357"/>
      <c r="P659" s="357"/>
      <c r="Q659" s="357"/>
      <c r="R659" s="357"/>
      <c r="S659" s="357"/>
      <c r="T659" s="357"/>
      <c r="U659" s="357"/>
      <c r="V659" s="357"/>
      <c r="W659" s="357"/>
      <c r="X659" s="357"/>
      <c r="Y659" s="357"/>
      <c r="Z659" s="357"/>
      <c r="AB659" s="1"/>
      <c r="AC659" s="1"/>
      <c r="AJ659"/>
      <c r="AK659"/>
    </row>
    <row r="660" spans="1:37" ht="18">
      <c r="A660" t="s">
        <v>567</v>
      </c>
      <c r="B660" s="346">
        <v>41.433924999999995</v>
      </c>
      <c r="C660" s="346">
        <v>48.879599999999996</v>
      </c>
      <c r="D660" s="346">
        <v>65.146349999999984</v>
      </c>
      <c r="E660" s="346">
        <v>78.159750000000003</v>
      </c>
      <c r="F660" s="346">
        <v>94.439724999999967</v>
      </c>
      <c r="G660" s="346">
        <v>110.75937499999998</v>
      </c>
      <c r="H660" s="346">
        <v>127.31707499999997</v>
      </c>
      <c r="I660" s="346">
        <v>144.43022499999998</v>
      </c>
      <c r="J660" s="346">
        <v>161.86077499999996</v>
      </c>
      <c r="K660" s="347">
        <v>179.29132499999997</v>
      </c>
      <c r="L660" s="348">
        <v>202.72602499999996</v>
      </c>
      <c r="M660" s="349">
        <v>202.72602499999996</v>
      </c>
      <c r="O660" s="357"/>
      <c r="P660" s="357"/>
      <c r="Q660" s="357"/>
      <c r="R660" s="357"/>
      <c r="S660" s="357"/>
      <c r="T660" s="357"/>
      <c r="U660" s="357"/>
      <c r="V660" s="357"/>
      <c r="W660" s="357"/>
      <c r="X660" s="357"/>
      <c r="Y660" s="357"/>
      <c r="Z660" s="357"/>
      <c r="AB660" s="1"/>
      <c r="AC660" s="1"/>
      <c r="AJ660"/>
      <c r="AK660"/>
    </row>
    <row r="661" spans="1:37" ht="18">
      <c r="A661" t="s">
        <v>568</v>
      </c>
      <c r="B661" s="342">
        <v>41.433924999999995</v>
      </c>
      <c r="C661" s="342">
        <v>48.879599999999996</v>
      </c>
      <c r="D661" s="342">
        <v>65.146349999999984</v>
      </c>
      <c r="E661" s="342">
        <v>78.159750000000003</v>
      </c>
      <c r="F661" s="342">
        <v>94.439724999999967</v>
      </c>
      <c r="G661" s="342">
        <v>110.75937499999998</v>
      </c>
      <c r="H661" s="342">
        <v>127.31707499999997</v>
      </c>
      <c r="I661" s="342">
        <v>144.43022499999998</v>
      </c>
      <c r="J661" s="342">
        <v>161.86077499999996</v>
      </c>
      <c r="K661" s="343">
        <v>179.29132499999997</v>
      </c>
      <c r="L661" s="344">
        <v>202.72602499999996</v>
      </c>
      <c r="M661" s="345">
        <v>202.72602499999996</v>
      </c>
      <c r="O661" s="357"/>
      <c r="P661" s="357"/>
      <c r="Q661" s="357"/>
      <c r="R661" s="357"/>
      <c r="S661" s="357"/>
      <c r="T661" s="357"/>
      <c r="U661" s="357"/>
      <c r="V661" s="357"/>
      <c r="W661" s="357"/>
      <c r="X661" s="357"/>
      <c r="Y661" s="357"/>
      <c r="Z661" s="357"/>
      <c r="AB661" s="1"/>
      <c r="AC661" s="1"/>
      <c r="AJ661"/>
      <c r="AK661"/>
    </row>
    <row r="662" spans="1:37" ht="18">
      <c r="A662" t="s">
        <v>569</v>
      </c>
      <c r="B662" s="346">
        <v>34.239524999999993</v>
      </c>
      <c r="C662" s="346">
        <v>36.500999999999998</v>
      </c>
      <c r="D662" s="346">
        <v>40.534624999999991</v>
      </c>
      <c r="E662" s="346">
        <v>44.303749999999994</v>
      </c>
      <c r="F662" s="346">
        <v>48.601874999999993</v>
      </c>
      <c r="G662" s="346">
        <v>52.860324999999996</v>
      </c>
      <c r="H662" s="346">
        <v>57.211349999999989</v>
      </c>
      <c r="I662" s="346">
        <v>61.535924999999992</v>
      </c>
      <c r="J662" s="346">
        <v>68.426149999999993</v>
      </c>
      <c r="K662" s="347">
        <v>75.012199999999993</v>
      </c>
      <c r="L662" s="348">
        <v>79.349999999999994</v>
      </c>
      <c r="M662" s="349">
        <v>79.349999999999994</v>
      </c>
      <c r="O662" s="357"/>
      <c r="P662" s="357"/>
      <c r="Q662" s="357"/>
      <c r="R662" s="357"/>
      <c r="S662" s="357"/>
      <c r="T662" s="357"/>
      <c r="U662" s="357"/>
      <c r="V662" s="357"/>
      <c r="W662" s="357"/>
      <c r="X662" s="357"/>
      <c r="Y662" s="357"/>
      <c r="Z662" s="357"/>
      <c r="AB662" s="1"/>
      <c r="AC662" s="1"/>
      <c r="AJ662"/>
      <c r="AK662"/>
    </row>
    <row r="663" spans="1:37" ht="18">
      <c r="A663" t="s">
        <v>570</v>
      </c>
      <c r="B663" s="342">
        <v>27.388974999999995</v>
      </c>
      <c r="C663" s="342">
        <v>28.989199999999997</v>
      </c>
      <c r="D663" s="342">
        <v>28.989199999999997</v>
      </c>
      <c r="E663" s="342">
        <v>28.989199999999997</v>
      </c>
      <c r="F663" s="342">
        <v>28.989199999999997</v>
      </c>
      <c r="G663" s="342">
        <v>28.989199999999997</v>
      </c>
      <c r="H663" s="342">
        <v>51.947799999999994</v>
      </c>
      <c r="I663" s="342">
        <v>51.947799999999994</v>
      </c>
      <c r="J663" s="342">
        <v>51.947799999999994</v>
      </c>
      <c r="K663" s="343">
        <v>51.947799999999994</v>
      </c>
      <c r="L663" s="344">
        <v>51.947799999999994</v>
      </c>
      <c r="M663" s="345">
        <v>68.280674999999988</v>
      </c>
      <c r="O663" s="357"/>
      <c r="P663" s="357"/>
      <c r="Q663" s="357"/>
      <c r="R663" s="357"/>
      <c r="S663" s="357"/>
      <c r="T663" s="357"/>
      <c r="U663" s="357"/>
      <c r="V663" s="357"/>
      <c r="W663" s="357"/>
      <c r="X663" s="357"/>
      <c r="Y663" s="357"/>
      <c r="Z663" s="357"/>
      <c r="AB663" s="1"/>
      <c r="AC663" s="1"/>
      <c r="AJ663"/>
      <c r="AK663"/>
    </row>
    <row r="664" spans="1:37" ht="18">
      <c r="A664" t="s">
        <v>571</v>
      </c>
      <c r="B664" s="346">
        <v>40.203999999999986</v>
      </c>
      <c r="C664" s="346">
        <v>47.477749999999993</v>
      </c>
      <c r="D664" s="346">
        <v>63.215499999999984</v>
      </c>
      <c r="E664" s="346">
        <v>75.871824999999987</v>
      </c>
      <c r="F664" s="346">
        <v>91.71537499999998</v>
      </c>
      <c r="G664" s="346">
        <v>107.50602499999999</v>
      </c>
      <c r="H664" s="346">
        <v>123.56117499999999</v>
      </c>
      <c r="I664" s="346">
        <v>140.2379</v>
      </c>
      <c r="J664" s="346">
        <v>157.16589999999999</v>
      </c>
      <c r="K664" s="347">
        <v>174.12034999999997</v>
      </c>
      <c r="L664" s="348">
        <v>196.81444999999997</v>
      </c>
      <c r="M664" s="349">
        <v>196.81444999999997</v>
      </c>
      <c r="O664" s="357"/>
      <c r="P664" s="357"/>
      <c r="Q664" s="357"/>
      <c r="R664" s="357"/>
      <c r="S664" s="357"/>
      <c r="T664" s="357"/>
      <c r="U664" s="357"/>
      <c r="V664" s="357"/>
      <c r="W664" s="357"/>
      <c r="X664" s="357"/>
      <c r="Y664" s="357"/>
      <c r="Z664" s="357"/>
      <c r="AB664" s="1"/>
      <c r="AC664" s="1"/>
      <c r="AJ664"/>
      <c r="AK664"/>
    </row>
    <row r="665" spans="1:37" ht="18">
      <c r="A665" t="s">
        <v>572</v>
      </c>
      <c r="B665" s="342">
        <v>40.203999999999986</v>
      </c>
      <c r="C665" s="342">
        <v>47.477749999999993</v>
      </c>
      <c r="D665" s="342">
        <v>63.215499999999984</v>
      </c>
      <c r="E665" s="342">
        <v>75.871824999999987</v>
      </c>
      <c r="F665" s="342">
        <v>91.71537499999998</v>
      </c>
      <c r="G665" s="342">
        <v>107.50602499999999</v>
      </c>
      <c r="H665" s="342">
        <v>123.56117499999999</v>
      </c>
      <c r="I665" s="342">
        <v>140.2379</v>
      </c>
      <c r="J665" s="342">
        <v>157.16589999999999</v>
      </c>
      <c r="K665" s="343">
        <v>174.12034999999997</v>
      </c>
      <c r="L665" s="344">
        <v>196.81444999999997</v>
      </c>
      <c r="M665" s="345">
        <v>196.81444999999997</v>
      </c>
      <c r="O665" s="357"/>
      <c r="P665" s="357"/>
      <c r="Q665" s="357"/>
      <c r="R665" s="357"/>
      <c r="S665" s="357"/>
      <c r="T665" s="357"/>
      <c r="U665" s="357"/>
      <c r="V665" s="357"/>
      <c r="W665" s="357"/>
      <c r="X665" s="357"/>
      <c r="Y665" s="357"/>
      <c r="Z665" s="357"/>
      <c r="AB665" s="1"/>
      <c r="AC665" s="1"/>
      <c r="AJ665"/>
      <c r="AK665"/>
    </row>
    <row r="666" spans="1:37" ht="18">
      <c r="A666" t="s">
        <v>573</v>
      </c>
      <c r="B666" s="346">
        <v>34.239524999999993</v>
      </c>
      <c r="C666" s="346">
        <v>36.500999999999998</v>
      </c>
      <c r="D666" s="346">
        <v>40.534624999999991</v>
      </c>
      <c r="E666" s="346">
        <v>44.303749999999994</v>
      </c>
      <c r="F666" s="346">
        <v>48.601874999999993</v>
      </c>
      <c r="G666" s="346">
        <v>52.860324999999996</v>
      </c>
      <c r="H666" s="346">
        <v>57.211349999999989</v>
      </c>
      <c r="I666" s="346">
        <v>61.535924999999992</v>
      </c>
      <c r="J666" s="346">
        <v>68.426149999999993</v>
      </c>
      <c r="K666" s="347">
        <v>75.012199999999993</v>
      </c>
      <c r="L666" s="348">
        <v>79.349999999999994</v>
      </c>
      <c r="M666" s="349">
        <v>79.349999999999994</v>
      </c>
      <c r="O666" s="357"/>
      <c r="P666" s="357"/>
      <c r="Q666" s="357"/>
      <c r="R666" s="357"/>
      <c r="S666" s="357"/>
      <c r="T666" s="357"/>
      <c r="U666" s="357"/>
      <c r="V666" s="357"/>
      <c r="W666" s="357"/>
      <c r="X666" s="357"/>
      <c r="Y666" s="357"/>
      <c r="Z666" s="357"/>
      <c r="AB666" s="1"/>
      <c r="AC666" s="1"/>
      <c r="AJ666"/>
      <c r="AK666"/>
    </row>
    <row r="667" spans="1:37" ht="18">
      <c r="A667" t="s">
        <v>574</v>
      </c>
      <c r="B667" s="342">
        <v>40.203999999999986</v>
      </c>
      <c r="C667" s="342">
        <v>47.477749999999993</v>
      </c>
      <c r="D667" s="342">
        <v>63.215499999999984</v>
      </c>
      <c r="E667" s="342">
        <v>75.871824999999987</v>
      </c>
      <c r="F667" s="342">
        <v>91.71537499999998</v>
      </c>
      <c r="G667" s="342">
        <v>107.50602499999999</v>
      </c>
      <c r="H667" s="342">
        <v>123.56117499999999</v>
      </c>
      <c r="I667" s="342">
        <v>140.2379</v>
      </c>
      <c r="J667" s="342">
        <v>157.16589999999999</v>
      </c>
      <c r="K667" s="343">
        <v>174.12034999999997</v>
      </c>
      <c r="L667" s="344">
        <v>196.81444999999997</v>
      </c>
      <c r="M667" s="345">
        <v>196.81444999999997</v>
      </c>
      <c r="O667" s="357"/>
      <c r="P667" s="357"/>
      <c r="Q667" s="357"/>
      <c r="R667" s="357"/>
      <c r="S667" s="357"/>
      <c r="T667" s="357"/>
      <c r="U667" s="357"/>
      <c r="V667" s="357"/>
      <c r="W667" s="357"/>
      <c r="X667" s="357"/>
      <c r="Y667" s="357"/>
      <c r="Z667" s="357"/>
      <c r="AB667" s="1"/>
      <c r="AC667" s="1"/>
      <c r="AJ667"/>
      <c r="AK667"/>
    </row>
    <row r="668" spans="1:37" ht="18">
      <c r="A668" t="s">
        <v>575</v>
      </c>
      <c r="B668" s="346">
        <v>40.203999999999986</v>
      </c>
      <c r="C668" s="346">
        <v>47.477749999999993</v>
      </c>
      <c r="D668" s="346">
        <v>63.215499999999984</v>
      </c>
      <c r="E668" s="346">
        <v>75.871824999999987</v>
      </c>
      <c r="F668" s="346">
        <v>91.71537499999998</v>
      </c>
      <c r="G668" s="346">
        <v>107.50602499999999</v>
      </c>
      <c r="H668" s="346">
        <v>123.56117499999999</v>
      </c>
      <c r="I668" s="346">
        <v>140.2379</v>
      </c>
      <c r="J668" s="346">
        <v>157.16589999999999</v>
      </c>
      <c r="K668" s="347">
        <v>174.12034999999997</v>
      </c>
      <c r="L668" s="348">
        <v>196.81444999999997</v>
      </c>
      <c r="M668" s="349">
        <v>196.81444999999997</v>
      </c>
      <c r="O668" s="357"/>
      <c r="P668" s="357"/>
      <c r="Q668" s="357"/>
      <c r="R668" s="357"/>
      <c r="S668" s="357"/>
      <c r="T668" s="357"/>
      <c r="U668" s="357"/>
      <c r="V668" s="357"/>
      <c r="W668" s="357"/>
      <c r="X668" s="357"/>
      <c r="Y668" s="357"/>
      <c r="Z668" s="357"/>
      <c r="AB668" s="1"/>
      <c r="AC668" s="1"/>
      <c r="AJ668"/>
      <c r="AK668"/>
    </row>
    <row r="669" spans="1:37" ht="18">
      <c r="A669" t="s">
        <v>576</v>
      </c>
      <c r="B669" s="342">
        <v>34.239524999999993</v>
      </c>
      <c r="C669" s="342">
        <v>36.500999999999998</v>
      </c>
      <c r="D669" s="342">
        <v>40.534624999999991</v>
      </c>
      <c r="E669" s="342">
        <v>44.303749999999994</v>
      </c>
      <c r="F669" s="342">
        <v>48.601874999999993</v>
      </c>
      <c r="G669" s="342">
        <v>52.860324999999996</v>
      </c>
      <c r="H669" s="342">
        <v>57.211349999999989</v>
      </c>
      <c r="I669" s="342">
        <v>61.535924999999992</v>
      </c>
      <c r="J669" s="342">
        <v>68.426149999999993</v>
      </c>
      <c r="K669" s="343">
        <v>75.012199999999993</v>
      </c>
      <c r="L669" s="344">
        <v>79.349999999999994</v>
      </c>
      <c r="M669" s="345">
        <v>79.349999999999994</v>
      </c>
      <c r="O669" s="357"/>
      <c r="P669" s="357"/>
      <c r="Q669" s="357"/>
      <c r="R669" s="357"/>
      <c r="S669" s="357"/>
      <c r="T669" s="357"/>
      <c r="U669" s="357"/>
      <c r="V669" s="357"/>
      <c r="W669" s="357"/>
      <c r="X669" s="357"/>
      <c r="Y669" s="357"/>
      <c r="Z669" s="357"/>
      <c r="AB669" s="1"/>
      <c r="AC669" s="1"/>
      <c r="AJ669"/>
      <c r="AK669"/>
    </row>
    <row r="670" spans="1:37" ht="18">
      <c r="A670" t="s">
        <v>577</v>
      </c>
      <c r="B670" s="352" t="s">
        <v>723</v>
      </c>
      <c r="C670" s="352" t="s">
        <v>723</v>
      </c>
      <c r="D670" s="352" t="s">
        <v>723</v>
      </c>
      <c r="E670" s="352" t="s">
        <v>723</v>
      </c>
      <c r="F670" s="352" t="s">
        <v>723</v>
      </c>
      <c r="G670" s="352" t="s">
        <v>723</v>
      </c>
      <c r="H670" s="352" t="s">
        <v>723</v>
      </c>
      <c r="I670" s="352" t="s">
        <v>723</v>
      </c>
      <c r="J670" s="352" t="s">
        <v>723</v>
      </c>
      <c r="K670" s="353" t="s">
        <v>723</v>
      </c>
      <c r="L670" s="354" t="s">
        <v>723</v>
      </c>
      <c r="M670" s="355" t="s">
        <v>723</v>
      </c>
      <c r="O670" s="357"/>
      <c r="P670" s="357"/>
      <c r="Q670" s="357"/>
      <c r="R670" s="357"/>
      <c r="S670" s="357"/>
      <c r="T670" s="357"/>
      <c r="U670" s="357"/>
      <c r="V670" s="357"/>
      <c r="W670" s="357"/>
      <c r="X670" s="357"/>
      <c r="Y670" s="357"/>
      <c r="Z670" s="357"/>
      <c r="AB670" s="1"/>
      <c r="AC670" s="1"/>
      <c r="AJ670"/>
      <c r="AK670"/>
    </row>
    <row r="671" spans="1:37" ht="18">
      <c r="A671" t="s">
        <v>578</v>
      </c>
      <c r="B671" s="346">
        <v>40.203999999999986</v>
      </c>
      <c r="C671" s="346">
        <v>47.477749999999993</v>
      </c>
      <c r="D671" s="346">
        <v>63.215499999999984</v>
      </c>
      <c r="E671" s="346">
        <v>75.871824999999987</v>
      </c>
      <c r="F671" s="346">
        <v>91.71537499999998</v>
      </c>
      <c r="G671" s="346">
        <v>107.50602499999999</v>
      </c>
      <c r="H671" s="346">
        <v>123.56117499999999</v>
      </c>
      <c r="I671" s="346">
        <v>140.2379</v>
      </c>
      <c r="J671" s="346">
        <v>157.16589999999999</v>
      </c>
      <c r="K671" s="347">
        <v>174.12034999999997</v>
      </c>
      <c r="L671" s="348">
        <v>196.81444999999997</v>
      </c>
      <c r="M671" s="349">
        <v>196.81444999999997</v>
      </c>
      <c r="O671" s="357"/>
      <c r="P671" s="357"/>
      <c r="Q671" s="357"/>
      <c r="R671" s="357"/>
      <c r="S671" s="357"/>
      <c r="T671" s="357"/>
      <c r="U671" s="357"/>
      <c r="V671" s="357"/>
      <c r="W671" s="357"/>
      <c r="X671" s="357"/>
      <c r="Y671" s="357"/>
      <c r="Z671" s="357"/>
      <c r="AB671" s="1"/>
      <c r="AC671" s="1"/>
      <c r="AJ671"/>
      <c r="AK671"/>
    </row>
    <row r="672" spans="1:37" ht="18">
      <c r="A672" t="s">
        <v>579</v>
      </c>
      <c r="B672" s="342">
        <v>40.203999999999986</v>
      </c>
      <c r="C672" s="342">
        <v>47.477749999999993</v>
      </c>
      <c r="D672" s="342">
        <v>63.215499999999984</v>
      </c>
      <c r="E672" s="342">
        <v>75.871824999999987</v>
      </c>
      <c r="F672" s="342">
        <v>91.71537499999998</v>
      </c>
      <c r="G672" s="342">
        <v>107.50602499999999</v>
      </c>
      <c r="H672" s="342">
        <v>123.56117499999999</v>
      </c>
      <c r="I672" s="342">
        <v>140.2379</v>
      </c>
      <c r="J672" s="342">
        <v>157.16589999999999</v>
      </c>
      <c r="K672" s="343">
        <v>174.12034999999997</v>
      </c>
      <c r="L672" s="344">
        <v>196.81444999999997</v>
      </c>
      <c r="M672" s="345">
        <v>196.81444999999997</v>
      </c>
      <c r="O672" s="357"/>
      <c r="P672" s="357"/>
      <c r="Q672" s="357"/>
      <c r="R672" s="357"/>
      <c r="S672" s="357"/>
      <c r="T672" s="357"/>
      <c r="U672" s="357"/>
      <c r="V672" s="357"/>
      <c r="W672" s="357"/>
      <c r="X672" s="357"/>
      <c r="Y672" s="357"/>
      <c r="Z672" s="357"/>
      <c r="AB672" s="1"/>
      <c r="AC672" s="1"/>
      <c r="AJ672"/>
      <c r="AK672"/>
    </row>
    <row r="673" spans="1:37" ht="18">
      <c r="A673" t="s">
        <v>580</v>
      </c>
      <c r="B673" s="346">
        <v>34.239524999999993</v>
      </c>
      <c r="C673" s="346">
        <v>36.500999999999998</v>
      </c>
      <c r="D673" s="346">
        <v>40.534624999999991</v>
      </c>
      <c r="E673" s="346">
        <v>44.303749999999994</v>
      </c>
      <c r="F673" s="346">
        <v>48.601874999999993</v>
      </c>
      <c r="G673" s="346">
        <v>52.860324999999996</v>
      </c>
      <c r="H673" s="346">
        <v>57.211349999999989</v>
      </c>
      <c r="I673" s="346">
        <v>61.535924999999992</v>
      </c>
      <c r="J673" s="346">
        <v>68.426149999999993</v>
      </c>
      <c r="K673" s="347">
        <v>75.012199999999993</v>
      </c>
      <c r="L673" s="348">
        <v>79.349999999999994</v>
      </c>
      <c r="M673" s="349">
        <v>79.349999999999994</v>
      </c>
      <c r="O673" s="357"/>
      <c r="P673" s="357"/>
      <c r="Q673" s="357"/>
      <c r="R673" s="357"/>
      <c r="S673" s="357"/>
      <c r="T673" s="357"/>
      <c r="U673" s="357"/>
      <c r="V673" s="357"/>
      <c r="W673" s="357"/>
      <c r="X673" s="357"/>
      <c r="Y673" s="357"/>
      <c r="Z673" s="357"/>
      <c r="AB673" s="1"/>
      <c r="AC673" s="1"/>
      <c r="AJ673"/>
      <c r="AK673"/>
    </row>
    <row r="674" spans="1:37" ht="18">
      <c r="A674" t="s">
        <v>581</v>
      </c>
      <c r="B674" s="342">
        <v>34.239524999999993</v>
      </c>
      <c r="C674" s="342">
        <v>36.500999999999998</v>
      </c>
      <c r="D674" s="342">
        <v>40.534624999999991</v>
      </c>
      <c r="E674" s="342">
        <v>44.303749999999994</v>
      </c>
      <c r="F674" s="342">
        <v>48.601874999999993</v>
      </c>
      <c r="G674" s="342">
        <v>52.860324999999996</v>
      </c>
      <c r="H674" s="342">
        <v>57.211349999999989</v>
      </c>
      <c r="I674" s="342">
        <v>61.535924999999992</v>
      </c>
      <c r="J674" s="342">
        <v>68.426149999999993</v>
      </c>
      <c r="K674" s="343">
        <v>75.012199999999993</v>
      </c>
      <c r="L674" s="344">
        <v>79.349999999999994</v>
      </c>
      <c r="M674" s="345">
        <v>79.349999999999994</v>
      </c>
      <c r="O674" s="357"/>
      <c r="P674" s="357"/>
      <c r="Q674" s="357"/>
      <c r="R674" s="357"/>
      <c r="S674" s="357"/>
      <c r="T674" s="357"/>
      <c r="U674" s="357"/>
      <c r="V674" s="357"/>
      <c r="W674" s="357"/>
      <c r="X674" s="357"/>
      <c r="Y674" s="357"/>
      <c r="Z674" s="357"/>
      <c r="AB674" s="1"/>
      <c r="AC674" s="1"/>
      <c r="AJ674"/>
      <c r="AK674"/>
    </row>
    <row r="675" spans="1:37" ht="18">
      <c r="A675" t="s">
        <v>582</v>
      </c>
      <c r="B675" s="346">
        <v>27.388974999999995</v>
      </c>
      <c r="C675" s="346">
        <v>28.989199999999997</v>
      </c>
      <c r="D675" s="346">
        <v>28.989199999999997</v>
      </c>
      <c r="E675" s="346">
        <v>28.989199999999997</v>
      </c>
      <c r="F675" s="346">
        <v>28.989199999999997</v>
      </c>
      <c r="G675" s="346">
        <v>28.989199999999997</v>
      </c>
      <c r="H675" s="346">
        <v>51.947799999999994</v>
      </c>
      <c r="I675" s="346">
        <v>51.947799999999994</v>
      </c>
      <c r="J675" s="346">
        <v>51.947799999999994</v>
      </c>
      <c r="K675" s="347">
        <v>51.947799999999994</v>
      </c>
      <c r="L675" s="348">
        <v>51.947799999999994</v>
      </c>
      <c r="M675" s="349">
        <v>68.280674999999988</v>
      </c>
      <c r="O675" s="357"/>
      <c r="P675" s="357"/>
      <c r="Q675" s="357"/>
      <c r="R675" s="357"/>
      <c r="S675" s="357"/>
      <c r="T675" s="357"/>
      <c r="U675" s="357"/>
      <c r="V675" s="357"/>
      <c r="W675" s="357"/>
      <c r="X675" s="357"/>
      <c r="Y675" s="357"/>
      <c r="Z675" s="357"/>
      <c r="AB675" s="1"/>
      <c r="AC675" s="1"/>
      <c r="AJ675"/>
      <c r="AK675"/>
    </row>
    <row r="676" spans="1:37" ht="18">
      <c r="A676" t="s">
        <v>583</v>
      </c>
      <c r="B676" s="342">
        <v>34.239524999999993</v>
      </c>
      <c r="C676" s="342">
        <v>36.500999999999998</v>
      </c>
      <c r="D676" s="342">
        <v>40.534624999999991</v>
      </c>
      <c r="E676" s="342">
        <v>44.303749999999994</v>
      </c>
      <c r="F676" s="342">
        <v>48.601874999999993</v>
      </c>
      <c r="G676" s="342">
        <v>52.860324999999996</v>
      </c>
      <c r="H676" s="342">
        <v>57.211349999999989</v>
      </c>
      <c r="I676" s="342">
        <v>61.535924999999992</v>
      </c>
      <c r="J676" s="342">
        <v>68.426149999999993</v>
      </c>
      <c r="K676" s="343">
        <v>75.012199999999993</v>
      </c>
      <c r="L676" s="344">
        <v>79.349999999999994</v>
      </c>
      <c r="M676" s="345">
        <v>79.349999999999994</v>
      </c>
      <c r="O676" s="357"/>
      <c r="P676" s="357"/>
      <c r="Q676" s="357"/>
      <c r="R676" s="357"/>
      <c r="S676" s="357"/>
      <c r="T676" s="357"/>
      <c r="U676" s="357"/>
      <c r="V676" s="357"/>
      <c r="W676" s="357"/>
      <c r="X676" s="357"/>
      <c r="Y676" s="357"/>
      <c r="Z676" s="357"/>
      <c r="AB676" s="1"/>
      <c r="AC676" s="1"/>
      <c r="AJ676"/>
      <c r="AK676"/>
    </row>
    <row r="677" spans="1:37" ht="18">
      <c r="A677" t="s">
        <v>584</v>
      </c>
      <c r="B677" s="346">
        <v>40.203999999999986</v>
      </c>
      <c r="C677" s="346">
        <v>47.477749999999993</v>
      </c>
      <c r="D677" s="346">
        <v>63.215499999999984</v>
      </c>
      <c r="E677" s="346">
        <v>75.871824999999987</v>
      </c>
      <c r="F677" s="346">
        <v>91.71537499999998</v>
      </c>
      <c r="G677" s="346">
        <v>107.50602499999999</v>
      </c>
      <c r="H677" s="346">
        <v>123.56117499999999</v>
      </c>
      <c r="I677" s="346">
        <v>140.2379</v>
      </c>
      <c r="J677" s="346">
        <v>157.16589999999999</v>
      </c>
      <c r="K677" s="347">
        <v>174.12034999999997</v>
      </c>
      <c r="L677" s="348">
        <v>196.81444999999997</v>
      </c>
      <c r="M677" s="349">
        <v>196.81444999999997</v>
      </c>
      <c r="O677" s="357"/>
      <c r="P677" s="357"/>
      <c r="Q677" s="357"/>
      <c r="R677" s="357"/>
      <c r="S677" s="357"/>
      <c r="T677" s="357"/>
      <c r="U677" s="357"/>
      <c r="V677" s="357"/>
      <c r="W677" s="357"/>
      <c r="X677" s="357"/>
      <c r="Y677" s="357"/>
      <c r="Z677" s="357"/>
      <c r="AB677" s="1"/>
      <c r="AC677" s="1"/>
      <c r="AJ677"/>
      <c r="AK677"/>
    </row>
    <row r="678" spans="1:37" ht="18">
      <c r="A678" t="s">
        <v>585</v>
      </c>
      <c r="B678" s="342">
        <v>41.433924999999995</v>
      </c>
      <c r="C678" s="342">
        <v>48.879599999999996</v>
      </c>
      <c r="D678" s="342">
        <v>65.146349999999984</v>
      </c>
      <c r="E678" s="342">
        <v>78.159750000000003</v>
      </c>
      <c r="F678" s="342">
        <v>94.439724999999967</v>
      </c>
      <c r="G678" s="342">
        <v>110.75937499999998</v>
      </c>
      <c r="H678" s="342">
        <v>127.31707499999997</v>
      </c>
      <c r="I678" s="342">
        <v>144.43022499999998</v>
      </c>
      <c r="J678" s="342">
        <v>161.86077499999996</v>
      </c>
      <c r="K678" s="343">
        <v>179.29132499999997</v>
      </c>
      <c r="L678" s="344">
        <v>202.72602499999996</v>
      </c>
      <c r="M678" s="345">
        <v>202.72602499999996</v>
      </c>
      <c r="O678" s="357"/>
      <c r="P678" s="357"/>
      <c r="Q678" s="357"/>
      <c r="R678" s="357"/>
      <c r="S678" s="357"/>
      <c r="T678" s="357"/>
      <c r="U678" s="357"/>
      <c r="V678" s="357"/>
      <c r="W678" s="357"/>
      <c r="X678" s="357"/>
      <c r="Y678" s="357"/>
      <c r="Z678" s="357"/>
      <c r="AB678" s="1"/>
      <c r="AC678" s="1"/>
      <c r="AJ678"/>
      <c r="AK678"/>
    </row>
    <row r="679" spans="1:37" ht="18">
      <c r="A679" t="s">
        <v>586</v>
      </c>
      <c r="B679" s="352" t="s">
        <v>723</v>
      </c>
      <c r="C679" s="352" t="s">
        <v>723</v>
      </c>
      <c r="D679" s="352" t="s">
        <v>723</v>
      </c>
      <c r="E679" s="352" t="s">
        <v>723</v>
      </c>
      <c r="F679" s="352" t="s">
        <v>723</v>
      </c>
      <c r="G679" s="352" t="s">
        <v>723</v>
      </c>
      <c r="H679" s="352" t="s">
        <v>723</v>
      </c>
      <c r="I679" s="352" t="s">
        <v>723</v>
      </c>
      <c r="J679" s="352" t="s">
        <v>723</v>
      </c>
      <c r="K679" s="353" t="s">
        <v>723</v>
      </c>
      <c r="L679" s="354" t="s">
        <v>723</v>
      </c>
      <c r="M679" s="355" t="s">
        <v>723</v>
      </c>
      <c r="O679" s="357"/>
      <c r="P679" s="357"/>
      <c r="Q679" s="357"/>
      <c r="R679" s="357"/>
      <c r="S679" s="357"/>
      <c r="T679" s="357"/>
      <c r="U679" s="357"/>
      <c r="V679" s="357"/>
      <c r="W679" s="357"/>
      <c r="X679" s="357"/>
      <c r="Y679" s="357"/>
      <c r="Z679" s="357"/>
      <c r="AB679" s="1"/>
      <c r="AC679" s="1"/>
      <c r="AJ679"/>
      <c r="AK679"/>
    </row>
    <row r="680" spans="1:37" ht="18">
      <c r="A680" t="s">
        <v>587</v>
      </c>
      <c r="B680" s="346">
        <v>41.433924999999995</v>
      </c>
      <c r="C680" s="346">
        <v>48.879599999999996</v>
      </c>
      <c r="D680" s="346">
        <v>65.146349999999984</v>
      </c>
      <c r="E680" s="346">
        <v>78.159750000000003</v>
      </c>
      <c r="F680" s="346">
        <v>94.439724999999967</v>
      </c>
      <c r="G680" s="346">
        <v>110.75937499999998</v>
      </c>
      <c r="H680" s="346">
        <v>127.31707499999997</v>
      </c>
      <c r="I680" s="346">
        <v>144.43022499999998</v>
      </c>
      <c r="J680" s="346">
        <v>161.86077499999996</v>
      </c>
      <c r="K680" s="347">
        <v>179.29132499999997</v>
      </c>
      <c r="L680" s="348">
        <v>202.72602499999996</v>
      </c>
      <c r="M680" s="349">
        <v>202.72602499999996</v>
      </c>
      <c r="O680" s="357"/>
      <c r="P680" s="357"/>
      <c r="Q680" s="357"/>
      <c r="R680" s="357"/>
      <c r="S680" s="357"/>
      <c r="T680" s="357"/>
      <c r="U680" s="357"/>
      <c r="V680" s="357"/>
      <c r="W680" s="357"/>
      <c r="X680" s="357"/>
      <c r="Y680" s="357"/>
      <c r="Z680" s="357"/>
      <c r="AB680" s="1"/>
      <c r="AC680" s="1"/>
      <c r="AJ680"/>
      <c r="AK680"/>
    </row>
    <row r="681" spans="1:37" ht="18">
      <c r="A681" t="s">
        <v>588</v>
      </c>
      <c r="B681" s="346" t="s">
        <v>723</v>
      </c>
      <c r="C681" s="346" t="s">
        <v>723</v>
      </c>
      <c r="D681" s="346" t="s">
        <v>723</v>
      </c>
      <c r="E681" s="346" t="s">
        <v>723</v>
      </c>
      <c r="F681" s="346" t="s">
        <v>723</v>
      </c>
      <c r="G681" s="346" t="s">
        <v>723</v>
      </c>
      <c r="H681" s="346" t="s">
        <v>723</v>
      </c>
      <c r="I681" s="346" t="s">
        <v>723</v>
      </c>
      <c r="J681" s="346" t="s">
        <v>723</v>
      </c>
      <c r="K681" s="347" t="s">
        <v>723</v>
      </c>
      <c r="L681" s="348" t="s">
        <v>723</v>
      </c>
      <c r="M681" s="349" t="s">
        <v>723</v>
      </c>
      <c r="O681" s="357"/>
      <c r="P681" s="357"/>
      <c r="Q681" s="357"/>
      <c r="R681" s="357"/>
      <c r="S681" s="357"/>
      <c r="T681" s="357"/>
      <c r="U681" s="357"/>
      <c r="V681" s="357"/>
      <c r="W681" s="357"/>
      <c r="X681" s="357"/>
      <c r="Y681" s="357"/>
      <c r="Z681" s="357"/>
      <c r="AB681" s="1"/>
      <c r="AC681" s="1"/>
      <c r="AJ681"/>
      <c r="AK681"/>
    </row>
    <row r="682" spans="1:37" ht="18">
      <c r="A682" t="s">
        <v>589</v>
      </c>
      <c r="B682" s="342">
        <v>41.433924999999995</v>
      </c>
      <c r="C682" s="342">
        <v>48.879599999999996</v>
      </c>
      <c r="D682" s="342">
        <v>65.146349999999984</v>
      </c>
      <c r="E682" s="342">
        <v>78.159750000000003</v>
      </c>
      <c r="F682" s="342">
        <v>94.439724999999967</v>
      </c>
      <c r="G682" s="342">
        <v>110.75937499999998</v>
      </c>
      <c r="H682" s="342">
        <v>127.31707499999997</v>
      </c>
      <c r="I682" s="342">
        <v>144.43022499999998</v>
      </c>
      <c r="J682" s="342">
        <v>161.86077499999996</v>
      </c>
      <c r="K682" s="343">
        <v>179.29132499999997</v>
      </c>
      <c r="L682" s="344">
        <v>202.72602499999996</v>
      </c>
      <c r="M682" s="345">
        <v>202.72602499999996</v>
      </c>
      <c r="O682" s="357"/>
      <c r="P682" s="357"/>
      <c r="Q682" s="357"/>
      <c r="R682" s="357"/>
      <c r="S682" s="357"/>
      <c r="T682" s="357"/>
      <c r="U682" s="357"/>
      <c r="V682" s="357"/>
      <c r="W682" s="357"/>
      <c r="X682" s="357"/>
      <c r="Y682" s="357"/>
      <c r="Z682" s="357"/>
      <c r="AB682" s="1"/>
      <c r="AC682" s="1"/>
      <c r="AJ682"/>
      <c r="AK682"/>
    </row>
    <row r="683" spans="1:37" ht="18">
      <c r="A683" t="s">
        <v>590</v>
      </c>
      <c r="B683" s="352" t="s">
        <v>723</v>
      </c>
      <c r="C683" s="352" t="s">
        <v>723</v>
      </c>
      <c r="D683" s="352" t="s">
        <v>723</v>
      </c>
      <c r="E683" s="352" t="s">
        <v>723</v>
      </c>
      <c r="F683" s="352" t="s">
        <v>723</v>
      </c>
      <c r="G683" s="352" t="s">
        <v>723</v>
      </c>
      <c r="H683" s="352" t="s">
        <v>723</v>
      </c>
      <c r="I683" s="352" t="s">
        <v>723</v>
      </c>
      <c r="J683" s="352" t="s">
        <v>723</v>
      </c>
      <c r="K683" s="353" t="s">
        <v>723</v>
      </c>
      <c r="L683" s="354" t="s">
        <v>723</v>
      </c>
      <c r="M683" s="355" t="s">
        <v>723</v>
      </c>
      <c r="O683" s="357"/>
      <c r="P683" s="357"/>
      <c r="Q683" s="357"/>
      <c r="R683" s="357"/>
      <c r="S683" s="357"/>
      <c r="T683" s="357"/>
      <c r="U683" s="357"/>
      <c r="V683" s="357"/>
      <c r="W683" s="357"/>
      <c r="X683" s="357"/>
      <c r="Y683" s="357"/>
      <c r="Z683" s="357"/>
      <c r="AB683" s="1"/>
      <c r="AC683" s="1"/>
      <c r="AJ683"/>
      <c r="AK683"/>
    </row>
    <row r="684" spans="1:37" ht="18">
      <c r="A684" t="s">
        <v>591</v>
      </c>
      <c r="B684" s="346">
        <v>40.203999999999986</v>
      </c>
      <c r="C684" s="346">
        <v>47.477749999999993</v>
      </c>
      <c r="D684" s="346">
        <v>63.215499999999984</v>
      </c>
      <c r="E684" s="346">
        <v>75.871824999999987</v>
      </c>
      <c r="F684" s="346">
        <v>91.71537499999998</v>
      </c>
      <c r="G684" s="346">
        <v>107.50602499999999</v>
      </c>
      <c r="H684" s="346">
        <v>123.56117499999999</v>
      </c>
      <c r="I684" s="346">
        <v>140.2379</v>
      </c>
      <c r="J684" s="346">
        <v>157.16589999999999</v>
      </c>
      <c r="K684" s="347">
        <v>174.12034999999997</v>
      </c>
      <c r="L684" s="348">
        <v>196.81444999999997</v>
      </c>
      <c r="M684" s="349">
        <v>196.81444999999997</v>
      </c>
      <c r="O684" s="357"/>
      <c r="P684" s="357"/>
      <c r="Q684" s="357"/>
      <c r="R684" s="357"/>
      <c r="S684" s="357"/>
      <c r="T684" s="357"/>
      <c r="U684" s="357"/>
      <c r="V684" s="357"/>
      <c r="W684" s="357"/>
      <c r="X684" s="357"/>
      <c r="Y684" s="357"/>
      <c r="Z684" s="357"/>
      <c r="AB684" s="1"/>
      <c r="AC684" s="1"/>
      <c r="AJ684"/>
      <c r="AK684"/>
    </row>
    <row r="685" spans="1:37" ht="18">
      <c r="A685" t="s">
        <v>592</v>
      </c>
      <c r="B685" s="342">
        <v>40.203999999999986</v>
      </c>
      <c r="C685" s="342">
        <v>47.477749999999993</v>
      </c>
      <c r="D685" s="342">
        <v>63.215499999999984</v>
      </c>
      <c r="E685" s="342">
        <v>75.871824999999987</v>
      </c>
      <c r="F685" s="342">
        <v>91.71537499999998</v>
      </c>
      <c r="G685" s="342">
        <v>107.50602499999999</v>
      </c>
      <c r="H685" s="342">
        <v>123.56117499999999</v>
      </c>
      <c r="I685" s="342">
        <v>140.2379</v>
      </c>
      <c r="J685" s="342">
        <v>157.16589999999999</v>
      </c>
      <c r="K685" s="343">
        <v>174.12034999999997</v>
      </c>
      <c r="L685" s="344">
        <v>196.81444999999997</v>
      </c>
      <c r="M685" s="345">
        <v>196.81444999999997</v>
      </c>
      <c r="O685" s="357"/>
      <c r="P685" s="357"/>
      <c r="Q685" s="357"/>
      <c r="R685" s="357"/>
      <c r="S685" s="357"/>
      <c r="T685" s="357"/>
      <c r="U685" s="357"/>
      <c r="V685" s="357"/>
      <c r="W685" s="357"/>
      <c r="X685" s="357"/>
      <c r="Y685" s="357"/>
      <c r="Z685" s="357"/>
      <c r="AB685" s="1"/>
      <c r="AC685" s="1"/>
      <c r="AJ685"/>
      <c r="AK685"/>
    </row>
    <row r="686" spans="1:37" ht="18">
      <c r="A686" t="s">
        <v>593</v>
      </c>
      <c r="B686" s="346">
        <v>40.203999999999986</v>
      </c>
      <c r="C686" s="346">
        <v>47.477749999999993</v>
      </c>
      <c r="D686" s="346">
        <v>63.215499999999984</v>
      </c>
      <c r="E686" s="346">
        <v>75.871824999999987</v>
      </c>
      <c r="F686" s="346">
        <v>91.71537499999998</v>
      </c>
      <c r="G686" s="346">
        <v>107.50602499999999</v>
      </c>
      <c r="H686" s="346">
        <v>123.56117499999999</v>
      </c>
      <c r="I686" s="346">
        <v>140.2379</v>
      </c>
      <c r="J686" s="346">
        <v>157.16589999999999</v>
      </c>
      <c r="K686" s="347">
        <v>174.12034999999997</v>
      </c>
      <c r="L686" s="348">
        <v>196.81444999999997</v>
      </c>
      <c r="M686" s="349">
        <v>196.81444999999997</v>
      </c>
      <c r="O686" s="357"/>
      <c r="P686" s="357"/>
      <c r="Q686" s="357"/>
      <c r="R686" s="357"/>
      <c r="S686" s="357"/>
      <c r="T686" s="357"/>
      <c r="U686" s="357"/>
      <c r="V686" s="357"/>
      <c r="W686" s="357"/>
      <c r="X686" s="357"/>
      <c r="Y686" s="357"/>
      <c r="Z686" s="357"/>
      <c r="AB686" s="1"/>
      <c r="AC686" s="1"/>
      <c r="AJ686"/>
      <c r="AK686"/>
    </row>
    <row r="687" spans="1:37" ht="18">
      <c r="A687" t="s">
        <v>594</v>
      </c>
      <c r="B687" s="342">
        <v>40.203999999999986</v>
      </c>
      <c r="C687" s="342">
        <v>47.477749999999993</v>
      </c>
      <c r="D687" s="342">
        <v>63.215499999999984</v>
      </c>
      <c r="E687" s="342">
        <v>75.871824999999987</v>
      </c>
      <c r="F687" s="342">
        <v>91.71537499999998</v>
      </c>
      <c r="G687" s="342">
        <v>107.50602499999999</v>
      </c>
      <c r="H687" s="342">
        <v>123.56117499999999</v>
      </c>
      <c r="I687" s="342">
        <v>140.2379</v>
      </c>
      <c r="J687" s="342">
        <v>157.16589999999999</v>
      </c>
      <c r="K687" s="343">
        <v>174.12034999999997</v>
      </c>
      <c r="L687" s="344">
        <v>196.81444999999997</v>
      </c>
      <c r="M687" s="345">
        <v>196.81444999999997</v>
      </c>
      <c r="O687" s="357"/>
      <c r="P687" s="357"/>
      <c r="Q687" s="357"/>
      <c r="R687" s="357"/>
      <c r="S687" s="357"/>
      <c r="T687" s="357"/>
      <c r="U687" s="357"/>
      <c r="V687" s="357"/>
      <c r="W687" s="357"/>
      <c r="X687" s="357"/>
      <c r="Y687" s="357"/>
      <c r="Z687" s="357"/>
      <c r="AB687" s="1"/>
      <c r="AC687" s="1"/>
      <c r="AJ687"/>
      <c r="AK687"/>
    </row>
    <row r="688" spans="1:37" ht="18">
      <c r="A688" t="s">
        <v>595</v>
      </c>
      <c r="B688" s="346">
        <v>40.203999999999986</v>
      </c>
      <c r="C688" s="346">
        <v>47.477749999999993</v>
      </c>
      <c r="D688" s="346">
        <v>63.215499999999984</v>
      </c>
      <c r="E688" s="346">
        <v>75.871824999999987</v>
      </c>
      <c r="F688" s="346">
        <v>91.71537499999998</v>
      </c>
      <c r="G688" s="346">
        <v>107.50602499999999</v>
      </c>
      <c r="H688" s="346">
        <v>123.56117499999999</v>
      </c>
      <c r="I688" s="346">
        <v>140.2379</v>
      </c>
      <c r="J688" s="346">
        <v>157.16589999999999</v>
      </c>
      <c r="K688" s="347">
        <v>174.12034999999997</v>
      </c>
      <c r="L688" s="348">
        <v>196.81444999999997</v>
      </c>
      <c r="M688" s="349">
        <v>196.81444999999997</v>
      </c>
      <c r="O688" s="357"/>
      <c r="P688" s="357"/>
      <c r="Q688" s="357"/>
      <c r="R688" s="357"/>
      <c r="S688" s="357"/>
      <c r="T688" s="357"/>
      <c r="U688" s="357"/>
      <c r="V688" s="357"/>
      <c r="W688" s="357"/>
      <c r="X688" s="357"/>
      <c r="Y688" s="357"/>
      <c r="Z688" s="357"/>
      <c r="AB688" s="1"/>
      <c r="AC688" s="1"/>
      <c r="AJ688"/>
      <c r="AK688"/>
    </row>
    <row r="689" spans="1:37" ht="18">
      <c r="A689" t="s">
        <v>596</v>
      </c>
      <c r="B689" s="342">
        <v>34.239524999999993</v>
      </c>
      <c r="C689" s="342">
        <v>36.500999999999998</v>
      </c>
      <c r="D689" s="342">
        <v>40.534624999999991</v>
      </c>
      <c r="E689" s="342">
        <v>44.303749999999994</v>
      </c>
      <c r="F689" s="342">
        <v>48.601874999999993</v>
      </c>
      <c r="G689" s="342">
        <v>52.860324999999996</v>
      </c>
      <c r="H689" s="342">
        <v>57.211349999999989</v>
      </c>
      <c r="I689" s="342">
        <v>61.535924999999992</v>
      </c>
      <c r="J689" s="342">
        <v>68.426149999999993</v>
      </c>
      <c r="K689" s="343">
        <v>75.012199999999993</v>
      </c>
      <c r="L689" s="344">
        <v>79.349999999999994</v>
      </c>
      <c r="M689" s="345">
        <v>79.349999999999994</v>
      </c>
      <c r="O689" s="357"/>
      <c r="P689" s="357"/>
      <c r="Q689" s="357"/>
      <c r="R689" s="357"/>
      <c r="S689" s="357"/>
      <c r="T689" s="357"/>
      <c r="U689" s="357"/>
      <c r="V689" s="357"/>
      <c r="W689" s="357"/>
      <c r="X689" s="357"/>
      <c r="Y689" s="357"/>
      <c r="Z689" s="357"/>
      <c r="AB689" s="1"/>
      <c r="AC689" s="1"/>
      <c r="AJ689"/>
      <c r="AK689"/>
    </row>
    <row r="690" spans="1:37" ht="18">
      <c r="A690" t="s">
        <v>597</v>
      </c>
      <c r="B690" s="346">
        <v>41.433924999999995</v>
      </c>
      <c r="C690" s="346">
        <v>48.879599999999996</v>
      </c>
      <c r="D690" s="346">
        <v>65.146349999999984</v>
      </c>
      <c r="E690" s="346">
        <v>78.159750000000003</v>
      </c>
      <c r="F690" s="346">
        <v>94.439724999999967</v>
      </c>
      <c r="G690" s="346">
        <v>110.75937499999998</v>
      </c>
      <c r="H690" s="346">
        <v>127.31707499999997</v>
      </c>
      <c r="I690" s="346">
        <v>144.43022499999998</v>
      </c>
      <c r="J690" s="346">
        <v>161.86077499999996</v>
      </c>
      <c r="K690" s="347">
        <v>179.29132499999997</v>
      </c>
      <c r="L690" s="348">
        <v>202.72602499999996</v>
      </c>
      <c r="M690" s="349">
        <v>202.72602499999996</v>
      </c>
      <c r="O690" s="357"/>
      <c r="P690" s="357"/>
      <c r="Q690" s="357"/>
      <c r="R690" s="357"/>
      <c r="S690" s="357"/>
      <c r="T690" s="357"/>
      <c r="U690" s="357"/>
      <c r="V690" s="357"/>
      <c r="W690" s="357"/>
      <c r="X690" s="357"/>
      <c r="Y690" s="357"/>
      <c r="Z690" s="357"/>
      <c r="AB690" s="1"/>
      <c r="AC690" s="1"/>
      <c r="AJ690"/>
      <c r="AK690"/>
    </row>
    <row r="691" spans="1:37" ht="18">
      <c r="A691" t="s">
        <v>598</v>
      </c>
      <c r="B691" s="346" t="s">
        <v>723</v>
      </c>
      <c r="C691" s="346" t="s">
        <v>723</v>
      </c>
      <c r="D691" s="346" t="s">
        <v>723</v>
      </c>
      <c r="E691" s="346" t="s">
        <v>723</v>
      </c>
      <c r="F691" s="346" t="s">
        <v>723</v>
      </c>
      <c r="G691" s="346" t="s">
        <v>723</v>
      </c>
      <c r="H691" s="346" t="s">
        <v>723</v>
      </c>
      <c r="I691" s="346" t="s">
        <v>723</v>
      </c>
      <c r="J691" s="346" t="s">
        <v>723</v>
      </c>
      <c r="K691" s="347" t="s">
        <v>723</v>
      </c>
      <c r="L691" s="348" t="s">
        <v>723</v>
      </c>
      <c r="M691" s="349" t="s">
        <v>723</v>
      </c>
      <c r="O691" s="357"/>
      <c r="P691" s="357"/>
      <c r="Q691" s="357"/>
      <c r="R691" s="357"/>
      <c r="S691" s="357"/>
      <c r="T691" s="357"/>
      <c r="U691" s="357"/>
      <c r="V691" s="357"/>
      <c r="W691" s="357"/>
      <c r="X691" s="357"/>
      <c r="Y691" s="357"/>
      <c r="Z691" s="357"/>
      <c r="AB691" s="1"/>
      <c r="AC691" s="1"/>
      <c r="AJ691"/>
      <c r="AK691"/>
    </row>
    <row r="692" spans="1:37" ht="18">
      <c r="A692" t="s">
        <v>599</v>
      </c>
      <c r="B692" s="342">
        <v>41.433924999999995</v>
      </c>
      <c r="C692" s="342">
        <v>48.879599999999996</v>
      </c>
      <c r="D692" s="342">
        <v>65.146349999999984</v>
      </c>
      <c r="E692" s="342">
        <v>78.159750000000003</v>
      </c>
      <c r="F692" s="342">
        <v>94.439724999999967</v>
      </c>
      <c r="G692" s="342">
        <v>110.75937499999998</v>
      </c>
      <c r="H692" s="342">
        <v>127.31707499999997</v>
      </c>
      <c r="I692" s="342">
        <v>144.43022499999998</v>
      </c>
      <c r="J692" s="342">
        <v>161.86077499999996</v>
      </c>
      <c r="K692" s="343">
        <v>179.29132499999997</v>
      </c>
      <c r="L692" s="344">
        <v>202.72602499999996</v>
      </c>
      <c r="M692" s="345">
        <v>202.72602499999996</v>
      </c>
      <c r="O692" s="357"/>
      <c r="P692" s="357"/>
      <c r="Q692" s="357"/>
      <c r="R692" s="357"/>
      <c r="S692" s="357"/>
      <c r="T692" s="357"/>
      <c r="U692" s="357"/>
      <c r="V692" s="357"/>
      <c r="W692" s="357"/>
      <c r="X692" s="357"/>
      <c r="Y692" s="357"/>
      <c r="Z692" s="357"/>
      <c r="AB692" s="1"/>
      <c r="AC692" s="1"/>
      <c r="AJ692"/>
      <c r="AK692"/>
    </row>
    <row r="693" spans="1:37" ht="18">
      <c r="A693" t="s">
        <v>600</v>
      </c>
      <c r="B693" s="352" t="s">
        <v>723</v>
      </c>
      <c r="C693" s="352" t="s">
        <v>723</v>
      </c>
      <c r="D693" s="352" t="s">
        <v>723</v>
      </c>
      <c r="E693" s="352" t="s">
        <v>723</v>
      </c>
      <c r="F693" s="352" t="s">
        <v>723</v>
      </c>
      <c r="G693" s="352" t="s">
        <v>723</v>
      </c>
      <c r="H693" s="352" t="s">
        <v>723</v>
      </c>
      <c r="I693" s="352" t="s">
        <v>723</v>
      </c>
      <c r="J693" s="352" t="s">
        <v>723</v>
      </c>
      <c r="K693" s="353" t="s">
        <v>723</v>
      </c>
      <c r="L693" s="354" t="s">
        <v>723</v>
      </c>
      <c r="M693" s="355" t="s">
        <v>723</v>
      </c>
      <c r="O693" s="357"/>
      <c r="P693" s="357"/>
      <c r="Q693" s="357"/>
      <c r="R693" s="357"/>
      <c r="S693" s="357"/>
      <c r="T693" s="357"/>
      <c r="U693" s="357"/>
      <c r="V693" s="357"/>
      <c r="W693" s="357"/>
      <c r="X693" s="357"/>
      <c r="Y693" s="357"/>
      <c r="Z693" s="357"/>
      <c r="AB693" s="1"/>
      <c r="AC693" s="1"/>
      <c r="AJ693"/>
      <c r="AK693"/>
    </row>
    <row r="694" spans="1:37" ht="18">
      <c r="A694" t="s">
        <v>601</v>
      </c>
      <c r="B694" s="346">
        <v>34.239524999999993</v>
      </c>
      <c r="C694" s="346">
        <v>36.500999999999998</v>
      </c>
      <c r="D694" s="346">
        <v>40.534624999999991</v>
      </c>
      <c r="E694" s="346">
        <v>44.303749999999994</v>
      </c>
      <c r="F694" s="346">
        <v>48.601874999999993</v>
      </c>
      <c r="G694" s="346">
        <v>52.860324999999996</v>
      </c>
      <c r="H694" s="346">
        <v>57.211349999999989</v>
      </c>
      <c r="I694" s="346">
        <v>61.535924999999992</v>
      </c>
      <c r="J694" s="346">
        <v>68.426149999999993</v>
      </c>
      <c r="K694" s="347">
        <v>75.012199999999993</v>
      </c>
      <c r="L694" s="348">
        <v>79.349999999999994</v>
      </c>
      <c r="M694" s="349">
        <v>79.349999999999994</v>
      </c>
      <c r="O694" s="357"/>
      <c r="P694" s="357"/>
      <c r="Q694" s="357"/>
      <c r="R694" s="357"/>
      <c r="S694" s="357"/>
      <c r="T694" s="357"/>
      <c r="U694" s="357"/>
      <c r="V694" s="357"/>
      <c r="W694" s="357"/>
      <c r="X694" s="357"/>
      <c r="Y694" s="357"/>
      <c r="Z694" s="357"/>
      <c r="AB694" s="1"/>
      <c r="AC694" s="1"/>
      <c r="AJ694"/>
      <c r="AK694"/>
    </row>
    <row r="695" spans="1:37" ht="18">
      <c r="A695" t="s">
        <v>602</v>
      </c>
      <c r="B695" s="342">
        <v>27.388974999999995</v>
      </c>
      <c r="C695" s="342">
        <v>28.989199999999997</v>
      </c>
      <c r="D695" s="342">
        <v>28.989199999999997</v>
      </c>
      <c r="E695" s="342">
        <v>28.989199999999997</v>
      </c>
      <c r="F695" s="342">
        <v>28.989199999999997</v>
      </c>
      <c r="G695" s="342">
        <v>28.989199999999997</v>
      </c>
      <c r="H695" s="342">
        <v>51.947799999999994</v>
      </c>
      <c r="I695" s="342">
        <v>51.947799999999994</v>
      </c>
      <c r="J695" s="342">
        <v>51.947799999999994</v>
      </c>
      <c r="K695" s="343">
        <v>51.947799999999994</v>
      </c>
      <c r="L695" s="344">
        <v>51.947799999999994</v>
      </c>
      <c r="M695" s="345">
        <v>68.280674999999988</v>
      </c>
      <c r="O695" s="357"/>
      <c r="P695" s="357"/>
      <c r="Q695" s="357"/>
      <c r="R695" s="357"/>
      <c r="S695" s="357"/>
      <c r="T695" s="357"/>
      <c r="U695" s="357"/>
      <c r="V695" s="357"/>
      <c r="W695" s="357"/>
      <c r="X695" s="357"/>
      <c r="Y695" s="357"/>
      <c r="Z695" s="357"/>
      <c r="AB695" s="1"/>
      <c r="AC695" s="1"/>
      <c r="AJ695"/>
      <c r="AK695"/>
    </row>
    <row r="696" spans="1:37" ht="18">
      <c r="A696" t="s">
        <v>603</v>
      </c>
      <c r="B696" s="346">
        <v>34.239524999999993</v>
      </c>
      <c r="C696" s="346">
        <v>36.500999999999998</v>
      </c>
      <c r="D696" s="346">
        <v>40.534624999999991</v>
      </c>
      <c r="E696" s="346">
        <v>44.303749999999994</v>
      </c>
      <c r="F696" s="346">
        <v>48.601874999999993</v>
      </c>
      <c r="G696" s="346">
        <v>52.860324999999996</v>
      </c>
      <c r="H696" s="346">
        <v>57.211349999999989</v>
      </c>
      <c r="I696" s="346">
        <v>61.535924999999992</v>
      </c>
      <c r="J696" s="346">
        <v>68.426149999999993</v>
      </c>
      <c r="K696" s="347">
        <v>75.012199999999993</v>
      </c>
      <c r="L696" s="348">
        <v>79.349999999999994</v>
      </c>
      <c r="M696" s="349">
        <v>79.349999999999994</v>
      </c>
      <c r="O696" s="357"/>
      <c r="P696" s="357"/>
      <c r="Q696" s="357"/>
      <c r="R696" s="357"/>
      <c r="S696" s="357"/>
      <c r="T696" s="357"/>
      <c r="U696" s="357"/>
      <c r="V696" s="357"/>
      <c r="W696" s="357"/>
      <c r="X696" s="357"/>
      <c r="Y696" s="357"/>
      <c r="Z696" s="357"/>
      <c r="AB696" s="1"/>
      <c r="AC696" s="1"/>
      <c r="AJ696"/>
      <c r="AK696"/>
    </row>
    <row r="697" spans="1:37" ht="18">
      <c r="A697" t="s">
        <v>604</v>
      </c>
      <c r="B697" s="342">
        <v>34.239524999999993</v>
      </c>
      <c r="C697" s="342">
        <v>36.500999999999998</v>
      </c>
      <c r="D697" s="342">
        <v>40.534624999999991</v>
      </c>
      <c r="E697" s="342">
        <v>44.303749999999994</v>
      </c>
      <c r="F697" s="342">
        <v>48.601874999999993</v>
      </c>
      <c r="G697" s="342">
        <v>52.860324999999996</v>
      </c>
      <c r="H697" s="342">
        <v>57.211349999999989</v>
      </c>
      <c r="I697" s="342">
        <v>61.535924999999992</v>
      </c>
      <c r="J697" s="342">
        <v>68.426149999999993</v>
      </c>
      <c r="K697" s="343">
        <v>75.012199999999993</v>
      </c>
      <c r="L697" s="344">
        <v>79.349999999999994</v>
      </c>
      <c r="M697" s="345">
        <v>79.349999999999994</v>
      </c>
      <c r="O697" s="357"/>
      <c r="P697" s="357"/>
      <c r="Q697" s="357"/>
      <c r="R697" s="357"/>
      <c r="S697" s="357"/>
      <c r="T697" s="357"/>
      <c r="U697" s="357"/>
      <c r="V697" s="357"/>
      <c r="W697" s="357"/>
      <c r="X697" s="357"/>
      <c r="Y697" s="357"/>
      <c r="Z697" s="357"/>
      <c r="AB697" s="1"/>
      <c r="AC697" s="1"/>
      <c r="AJ697"/>
      <c r="AK697"/>
    </row>
    <row r="698" spans="1:37" ht="18">
      <c r="A698" t="s">
        <v>605</v>
      </c>
      <c r="B698" s="346">
        <v>40.203999999999986</v>
      </c>
      <c r="C698" s="346">
        <v>47.477749999999993</v>
      </c>
      <c r="D698" s="346">
        <v>63.215499999999984</v>
      </c>
      <c r="E698" s="346">
        <v>75.871824999999987</v>
      </c>
      <c r="F698" s="346">
        <v>91.71537499999998</v>
      </c>
      <c r="G698" s="346">
        <v>107.50602499999999</v>
      </c>
      <c r="H698" s="346">
        <v>123.56117499999999</v>
      </c>
      <c r="I698" s="346">
        <v>140.2379</v>
      </c>
      <c r="J698" s="346">
        <v>157.16589999999999</v>
      </c>
      <c r="K698" s="347">
        <v>174.12034999999997</v>
      </c>
      <c r="L698" s="348">
        <v>196.81444999999997</v>
      </c>
      <c r="M698" s="349">
        <v>196.81444999999997</v>
      </c>
      <c r="O698" s="357"/>
      <c r="P698" s="357"/>
      <c r="Q698" s="357"/>
      <c r="R698" s="357"/>
      <c r="S698" s="357"/>
      <c r="T698" s="357"/>
      <c r="U698" s="357"/>
      <c r="V698" s="357"/>
      <c r="W698" s="357"/>
      <c r="X698" s="357"/>
      <c r="Y698" s="357"/>
      <c r="Z698" s="357"/>
      <c r="AB698" s="1"/>
      <c r="AC698" s="1"/>
      <c r="AJ698"/>
      <c r="AK698"/>
    </row>
    <row r="699" spans="1:37" ht="18">
      <c r="A699" t="s">
        <v>606</v>
      </c>
      <c r="B699" s="342">
        <v>34.239524999999993</v>
      </c>
      <c r="C699" s="342">
        <v>36.500999999999998</v>
      </c>
      <c r="D699" s="342">
        <v>40.534624999999991</v>
      </c>
      <c r="E699" s="342">
        <v>44.303749999999994</v>
      </c>
      <c r="F699" s="342">
        <v>48.601874999999993</v>
      </c>
      <c r="G699" s="342">
        <v>52.860324999999996</v>
      </c>
      <c r="H699" s="342">
        <v>57.211349999999989</v>
      </c>
      <c r="I699" s="342">
        <v>61.535924999999992</v>
      </c>
      <c r="J699" s="342">
        <v>68.426149999999993</v>
      </c>
      <c r="K699" s="343">
        <v>75.012199999999993</v>
      </c>
      <c r="L699" s="344">
        <v>79.349999999999994</v>
      </c>
      <c r="M699" s="345">
        <v>79.349999999999994</v>
      </c>
      <c r="O699" s="357"/>
      <c r="P699" s="357"/>
      <c r="Q699" s="357"/>
      <c r="R699" s="357"/>
      <c r="S699" s="357"/>
      <c r="T699" s="357"/>
      <c r="U699" s="357"/>
      <c r="V699" s="357"/>
      <c r="W699" s="357"/>
      <c r="X699" s="357"/>
      <c r="Y699" s="357"/>
      <c r="Z699" s="357"/>
      <c r="AB699" s="1"/>
      <c r="AC699" s="1"/>
      <c r="AJ699"/>
      <c r="AK699"/>
    </row>
    <row r="700" spans="1:37" ht="18">
      <c r="A700" t="s">
        <v>607</v>
      </c>
      <c r="B700" s="346">
        <v>41.433924999999995</v>
      </c>
      <c r="C700" s="346">
        <v>48.879599999999996</v>
      </c>
      <c r="D700" s="346">
        <v>65.146349999999984</v>
      </c>
      <c r="E700" s="346">
        <v>78.159750000000003</v>
      </c>
      <c r="F700" s="346">
        <v>94.439724999999967</v>
      </c>
      <c r="G700" s="346">
        <v>110.75937499999998</v>
      </c>
      <c r="H700" s="346">
        <v>127.31707499999997</v>
      </c>
      <c r="I700" s="346">
        <v>144.43022499999998</v>
      </c>
      <c r="J700" s="346">
        <v>161.86077499999996</v>
      </c>
      <c r="K700" s="347">
        <v>179.29132499999997</v>
      </c>
      <c r="L700" s="348">
        <v>202.72602499999996</v>
      </c>
      <c r="M700" s="349">
        <v>202.72602499999996</v>
      </c>
      <c r="O700" s="357"/>
      <c r="P700" s="357"/>
      <c r="Q700" s="357"/>
      <c r="R700" s="357"/>
      <c r="S700" s="357"/>
      <c r="T700" s="357"/>
      <c r="U700" s="357"/>
      <c r="V700" s="357"/>
      <c r="W700" s="357"/>
      <c r="X700" s="357"/>
      <c r="Y700" s="357"/>
      <c r="Z700" s="357"/>
      <c r="AB700" s="1"/>
      <c r="AC700" s="1"/>
      <c r="AJ700"/>
      <c r="AK700"/>
    </row>
    <row r="701" spans="1:37" ht="18">
      <c r="A701" t="s">
        <v>608</v>
      </c>
      <c r="B701" s="342">
        <v>41.433924999999995</v>
      </c>
      <c r="C701" s="342">
        <v>48.879599999999996</v>
      </c>
      <c r="D701" s="342">
        <v>65.146349999999984</v>
      </c>
      <c r="E701" s="342">
        <v>78.159750000000003</v>
      </c>
      <c r="F701" s="342">
        <v>94.439724999999967</v>
      </c>
      <c r="G701" s="342">
        <v>110.75937499999998</v>
      </c>
      <c r="H701" s="342">
        <v>127.31707499999997</v>
      </c>
      <c r="I701" s="342">
        <v>144.43022499999998</v>
      </c>
      <c r="J701" s="342">
        <v>161.86077499999996</v>
      </c>
      <c r="K701" s="343">
        <v>179.29132499999997</v>
      </c>
      <c r="L701" s="344">
        <v>202.72602499999996</v>
      </c>
      <c r="M701" s="345">
        <v>202.72602499999996</v>
      </c>
      <c r="O701" s="357"/>
      <c r="P701" s="357"/>
      <c r="Q701" s="357"/>
      <c r="R701" s="357"/>
      <c r="S701" s="357"/>
      <c r="T701" s="357"/>
      <c r="U701" s="357"/>
      <c r="V701" s="357"/>
      <c r="W701" s="357"/>
      <c r="X701" s="357"/>
      <c r="Y701" s="357"/>
      <c r="Z701" s="357"/>
      <c r="AB701" s="1"/>
      <c r="AC701" s="1"/>
      <c r="AJ701"/>
      <c r="AK701"/>
    </row>
    <row r="702" spans="1:37" ht="18">
      <c r="A702" t="s">
        <v>609</v>
      </c>
      <c r="B702" s="346">
        <v>41.433924999999995</v>
      </c>
      <c r="C702" s="346">
        <v>48.879599999999996</v>
      </c>
      <c r="D702" s="346">
        <v>65.146349999999984</v>
      </c>
      <c r="E702" s="346">
        <v>78.159750000000003</v>
      </c>
      <c r="F702" s="346">
        <v>94.439724999999967</v>
      </c>
      <c r="G702" s="346">
        <v>110.75937499999998</v>
      </c>
      <c r="H702" s="346">
        <v>127.31707499999997</v>
      </c>
      <c r="I702" s="346">
        <v>144.43022499999998</v>
      </c>
      <c r="J702" s="346">
        <v>161.86077499999996</v>
      </c>
      <c r="K702" s="347">
        <v>179.29132499999997</v>
      </c>
      <c r="L702" s="348">
        <v>202.72602499999996</v>
      </c>
      <c r="M702" s="349">
        <v>202.72602499999996</v>
      </c>
      <c r="O702" s="357"/>
      <c r="P702" s="357"/>
      <c r="Q702" s="357"/>
      <c r="R702" s="357"/>
      <c r="S702" s="357"/>
      <c r="T702" s="357"/>
      <c r="U702" s="357"/>
      <c r="V702" s="357"/>
      <c r="W702" s="357"/>
      <c r="X702" s="357"/>
      <c r="Y702" s="357"/>
      <c r="Z702" s="357"/>
      <c r="AB702" s="1"/>
      <c r="AC702" s="1"/>
      <c r="AJ702"/>
      <c r="AK702"/>
    </row>
    <row r="703" spans="1:37" ht="18">
      <c r="A703" t="s">
        <v>610</v>
      </c>
      <c r="B703" s="346" t="s">
        <v>723</v>
      </c>
      <c r="C703" s="346" t="s">
        <v>723</v>
      </c>
      <c r="D703" s="346" t="s">
        <v>723</v>
      </c>
      <c r="E703" s="346" t="s">
        <v>723</v>
      </c>
      <c r="F703" s="346" t="s">
        <v>723</v>
      </c>
      <c r="G703" s="346" t="s">
        <v>723</v>
      </c>
      <c r="H703" s="346" t="s">
        <v>723</v>
      </c>
      <c r="I703" s="346" t="s">
        <v>723</v>
      </c>
      <c r="J703" s="346" t="s">
        <v>723</v>
      </c>
      <c r="K703" s="347" t="s">
        <v>723</v>
      </c>
      <c r="L703" s="348" t="s">
        <v>723</v>
      </c>
      <c r="M703" s="349" t="s">
        <v>723</v>
      </c>
      <c r="O703" s="357"/>
      <c r="P703" s="357"/>
      <c r="Q703" s="357"/>
      <c r="R703" s="357"/>
      <c r="S703" s="357"/>
      <c r="T703" s="357"/>
      <c r="U703" s="357"/>
      <c r="V703" s="357"/>
      <c r="W703" s="357"/>
      <c r="X703" s="357"/>
      <c r="Y703" s="357"/>
      <c r="Z703" s="357"/>
      <c r="AB703" s="1"/>
      <c r="AC703" s="1"/>
      <c r="AJ703"/>
      <c r="AK703"/>
    </row>
    <row r="704" spans="1:37" ht="18">
      <c r="A704" t="s">
        <v>611</v>
      </c>
      <c r="B704" s="342">
        <v>41.433924999999995</v>
      </c>
      <c r="C704" s="342">
        <v>48.879599999999996</v>
      </c>
      <c r="D704" s="342">
        <v>65.146349999999984</v>
      </c>
      <c r="E704" s="342">
        <v>78.159750000000003</v>
      </c>
      <c r="F704" s="342">
        <v>94.439724999999967</v>
      </c>
      <c r="G704" s="342">
        <v>110.75937499999998</v>
      </c>
      <c r="H704" s="342">
        <v>127.31707499999997</v>
      </c>
      <c r="I704" s="342">
        <v>144.43022499999998</v>
      </c>
      <c r="J704" s="342">
        <v>161.86077499999996</v>
      </c>
      <c r="K704" s="343">
        <v>179.29132499999997</v>
      </c>
      <c r="L704" s="344">
        <v>202.72602499999996</v>
      </c>
      <c r="M704" s="345">
        <v>202.72602499999996</v>
      </c>
      <c r="O704" s="357"/>
      <c r="P704" s="357"/>
      <c r="Q704" s="357"/>
      <c r="R704" s="357"/>
      <c r="S704" s="357"/>
      <c r="T704" s="357"/>
      <c r="U704" s="357"/>
      <c r="V704" s="357"/>
      <c r="W704" s="357"/>
      <c r="X704" s="357"/>
      <c r="Y704" s="357"/>
      <c r="Z704" s="357"/>
      <c r="AB704" s="1"/>
      <c r="AC704" s="1"/>
      <c r="AJ704"/>
      <c r="AK704"/>
    </row>
    <row r="705" spans="1:51" ht="18">
      <c r="A705" t="s">
        <v>612</v>
      </c>
      <c r="B705" s="346">
        <v>34.239524999999993</v>
      </c>
      <c r="C705" s="346">
        <v>36.500999999999998</v>
      </c>
      <c r="D705" s="346">
        <v>40.534624999999991</v>
      </c>
      <c r="E705" s="346">
        <v>44.303749999999994</v>
      </c>
      <c r="F705" s="346">
        <v>48.601874999999993</v>
      </c>
      <c r="G705" s="346">
        <v>52.860324999999996</v>
      </c>
      <c r="H705" s="346">
        <v>57.211349999999989</v>
      </c>
      <c r="I705" s="346">
        <v>61.535924999999992</v>
      </c>
      <c r="J705" s="346">
        <v>68.426149999999993</v>
      </c>
      <c r="K705" s="347">
        <v>75.012199999999993</v>
      </c>
      <c r="L705" s="348">
        <v>79.349999999999994</v>
      </c>
      <c r="M705" s="349">
        <v>79.349999999999994</v>
      </c>
      <c r="O705" s="357"/>
      <c r="P705" s="357"/>
      <c r="Q705" s="357"/>
      <c r="R705" s="357"/>
      <c r="S705" s="357"/>
      <c r="T705" s="357"/>
      <c r="U705" s="357"/>
      <c r="V705" s="357"/>
      <c r="W705" s="357"/>
      <c r="X705" s="357"/>
      <c r="Y705" s="357"/>
      <c r="Z705" s="357"/>
      <c r="AB705" s="1"/>
      <c r="AC705" s="1"/>
      <c r="AJ705"/>
      <c r="AK705"/>
    </row>
    <row r="706" spans="1:51" ht="18">
      <c r="A706" t="s">
        <v>613</v>
      </c>
      <c r="B706" s="346" t="s">
        <v>723</v>
      </c>
      <c r="C706" s="346" t="s">
        <v>723</v>
      </c>
      <c r="D706" s="346" t="s">
        <v>723</v>
      </c>
      <c r="E706" s="346" t="s">
        <v>723</v>
      </c>
      <c r="F706" s="346" t="s">
        <v>723</v>
      </c>
      <c r="G706" s="346" t="s">
        <v>723</v>
      </c>
      <c r="H706" s="346" t="s">
        <v>723</v>
      </c>
      <c r="I706" s="346" t="s">
        <v>723</v>
      </c>
      <c r="J706" s="346" t="s">
        <v>723</v>
      </c>
      <c r="K706" s="347" t="s">
        <v>723</v>
      </c>
      <c r="L706" s="348" t="s">
        <v>723</v>
      </c>
      <c r="M706" s="349" t="s">
        <v>723</v>
      </c>
      <c r="O706" s="357"/>
      <c r="P706" s="357"/>
      <c r="Q706" s="357"/>
      <c r="R706" s="357"/>
      <c r="S706" s="357"/>
      <c r="T706" s="357"/>
      <c r="U706" s="357"/>
      <c r="V706" s="357"/>
      <c r="W706" s="357"/>
      <c r="X706" s="357"/>
      <c r="Y706" s="357"/>
      <c r="Z706" s="357"/>
      <c r="AB706" s="1"/>
      <c r="AC706" s="1"/>
      <c r="AJ706"/>
      <c r="AK706"/>
    </row>
    <row r="707" spans="1:51" ht="18">
      <c r="A707" t="s">
        <v>614</v>
      </c>
      <c r="B707" s="342">
        <v>40.203999999999986</v>
      </c>
      <c r="C707" s="342">
        <v>47.477749999999993</v>
      </c>
      <c r="D707" s="342">
        <v>63.215499999999984</v>
      </c>
      <c r="E707" s="342">
        <v>75.871824999999987</v>
      </c>
      <c r="F707" s="342">
        <v>91.71537499999998</v>
      </c>
      <c r="G707" s="342">
        <v>107.50602499999999</v>
      </c>
      <c r="H707" s="342">
        <v>123.56117499999999</v>
      </c>
      <c r="I707" s="342">
        <v>140.2379</v>
      </c>
      <c r="J707" s="342">
        <v>157.16589999999999</v>
      </c>
      <c r="K707" s="343">
        <v>174.12034999999997</v>
      </c>
      <c r="L707" s="344">
        <v>196.81444999999997</v>
      </c>
      <c r="M707" s="345">
        <v>196.81444999999997</v>
      </c>
      <c r="O707" s="357"/>
      <c r="P707" s="357"/>
      <c r="Q707" s="357"/>
      <c r="R707" s="357"/>
      <c r="S707" s="357"/>
      <c r="T707" s="357"/>
      <c r="U707" s="357"/>
      <c r="V707" s="357"/>
      <c r="W707" s="357"/>
      <c r="X707" s="357"/>
      <c r="Y707" s="357"/>
      <c r="Z707" s="357"/>
      <c r="AB707" s="1"/>
      <c r="AC707" s="1"/>
      <c r="AJ707"/>
      <c r="AK707"/>
    </row>
    <row r="708" spans="1:51" ht="18">
      <c r="A708" t="s">
        <v>615</v>
      </c>
      <c r="B708" s="346">
        <v>40.203999999999986</v>
      </c>
      <c r="C708" s="346">
        <v>47.477749999999993</v>
      </c>
      <c r="D708" s="346">
        <v>63.215499999999984</v>
      </c>
      <c r="E708" s="346">
        <v>75.871824999999987</v>
      </c>
      <c r="F708" s="346">
        <v>91.71537499999998</v>
      </c>
      <c r="G708" s="346">
        <v>107.50602499999999</v>
      </c>
      <c r="H708" s="346">
        <v>123.56117499999999</v>
      </c>
      <c r="I708" s="346">
        <v>140.2379</v>
      </c>
      <c r="J708" s="346">
        <v>157.16589999999999</v>
      </c>
      <c r="K708" s="347">
        <v>174.12034999999997</v>
      </c>
      <c r="L708" s="348">
        <v>196.81444999999997</v>
      </c>
      <c r="M708" s="349">
        <v>196.81444999999997</v>
      </c>
      <c r="O708" s="357"/>
      <c r="P708" s="357"/>
      <c r="Q708" s="357"/>
      <c r="R708" s="357"/>
      <c r="S708" s="357"/>
      <c r="T708" s="357"/>
      <c r="U708" s="357"/>
      <c r="V708" s="357"/>
      <c r="W708" s="357"/>
      <c r="X708" s="357"/>
      <c r="Y708" s="357"/>
      <c r="Z708" s="357"/>
      <c r="AB708" s="1"/>
      <c r="AC708" s="1"/>
      <c r="AJ708"/>
      <c r="AK708"/>
    </row>
    <row r="709" spans="1:51" ht="18">
      <c r="A709" t="s">
        <v>616</v>
      </c>
      <c r="B709" s="342">
        <v>40.203999999999986</v>
      </c>
      <c r="C709" s="342">
        <v>47.477749999999993</v>
      </c>
      <c r="D709" s="342">
        <v>63.215499999999984</v>
      </c>
      <c r="E709" s="342">
        <v>75.871824999999987</v>
      </c>
      <c r="F709" s="342">
        <v>91.71537499999998</v>
      </c>
      <c r="G709" s="342">
        <v>107.50602499999999</v>
      </c>
      <c r="H709" s="342">
        <v>123.56117499999999</v>
      </c>
      <c r="I709" s="342">
        <v>140.2379</v>
      </c>
      <c r="J709" s="342">
        <v>157.16589999999999</v>
      </c>
      <c r="K709" s="343">
        <v>174.12034999999997</v>
      </c>
      <c r="L709" s="344">
        <v>196.81444999999997</v>
      </c>
      <c r="M709" s="345">
        <v>196.81444999999997</v>
      </c>
      <c r="O709" s="357"/>
      <c r="P709" s="357"/>
      <c r="Q709" s="357"/>
      <c r="R709" s="357"/>
      <c r="S709" s="357"/>
      <c r="T709" s="357"/>
      <c r="U709" s="357"/>
      <c r="V709" s="357"/>
      <c r="W709" s="357"/>
      <c r="X709" s="357"/>
      <c r="Y709" s="357"/>
      <c r="Z709" s="357"/>
      <c r="AB709" s="1"/>
      <c r="AC709" s="1"/>
      <c r="AJ709"/>
      <c r="AK709"/>
    </row>
    <row r="710" spans="1:51" ht="18">
      <c r="A710" t="s">
        <v>617</v>
      </c>
      <c r="B710" s="346">
        <v>40.203999999999986</v>
      </c>
      <c r="C710" s="346">
        <v>47.477749999999993</v>
      </c>
      <c r="D710" s="346">
        <v>63.215499999999984</v>
      </c>
      <c r="E710" s="346">
        <v>75.871824999999987</v>
      </c>
      <c r="F710" s="346">
        <v>91.71537499999998</v>
      </c>
      <c r="G710" s="346">
        <v>107.50602499999999</v>
      </c>
      <c r="H710" s="346">
        <v>123.56117499999999</v>
      </c>
      <c r="I710" s="346">
        <v>140.2379</v>
      </c>
      <c r="J710" s="346">
        <v>157.16589999999999</v>
      </c>
      <c r="K710" s="347">
        <v>174.12034999999997</v>
      </c>
      <c r="L710" s="348">
        <v>196.81444999999997</v>
      </c>
      <c r="M710" s="349">
        <v>196.81444999999997</v>
      </c>
      <c r="O710" s="357"/>
      <c r="P710" s="357"/>
      <c r="Q710" s="357"/>
      <c r="R710" s="357"/>
      <c r="S710" s="357"/>
      <c r="T710" s="357"/>
      <c r="U710" s="357"/>
      <c r="V710" s="357"/>
      <c r="W710" s="357"/>
      <c r="X710" s="357"/>
      <c r="Y710" s="357"/>
      <c r="Z710" s="357"/>
      <c r="AB710" s="1"/>
      <c r="AC710" s="1"/>
      <c r="AJ710"/>
      <c r="AK710"/>
    </row>
    <row r="711" spans="1:51" ht="18">
      <c r="A711" t="s">
        <v>618</v>
      </c>
      <c r="B711" s="342">
        <v>40.203999999999986</v>
      </c>
      <c r="C711" s="342">
        <v>47.477749999999993</v>
      </c>
      <c r="D711" s="342">
        <v>63.215499999999984</v>
      </c>
      <c r="E711" s="342">
        <v>75.871824999999987</v>
      </c>
      <c r="F711" s="342">
        <v>91.71537499999998</v>
      </c>
      <c r="G711" s="342">
        <v>107.50602499999999</v>
      </c>
      <c r="H711" s="342">
        <v>123.56117499999999</v>
      </c>
      <c r="I711" s="342">
        <v>140.2379</v>
      </c>
      <c r="J711" s="342">
        <v>157.16589999999999</v>
      </c>
      <c r="K711" s="343">
        <v>174.12034999999997</v>
      </c>
      <c r="L711" s="344">
        <v>196.81444999999997</v>
      </c>
      <c r="M711" s="345">
        <v>196.81444999999997</v>
      </c>
      <c r="O711" s="357"/>
      <c r="P711" s="357"/>
      <c r="Q711" s="357"/>
      <c r="R711" s="357"/>
      <c r="S711" s="357"/>
      <c r="T711" s="357"/>
      <c r="U711" s="357"/>
      <c r="V711" s="357"/>
      <c r="W711" s="357"/>
      <c r="X711" s="357"/>
      <c r="Y711" s="357"/>
      <c r="Z711" s="357"/>
      <c r="AB711" s="1"/>
      <c r="AC711" s="1"/>
      <c r="AJ711"/>
      <c r="AK711"/>
    </row>
    <row r="712" spans="1:51" ht="18">
      <c r="A712" t="s">
        <v>619</v>
      </c>
      <c r="B712" s="346">
        <v>34.239524999999993</v>
      </c>
      <c r="C712" s="346">
        <v>36.500999999999998</v>
      </c>
      <c r="D712" s="346">
        <v>40.534624999999991</v>
      </c>
      <c r="E712" s="346">
        <v>44.303749999999994</v>
      </c>
      <c r="F712" s="346">
        <v>48.601874999999993</v>
      </c>
      <c r="G712" s="346">
        <v>52.860324999999996</v>
      </c>
      <c r="H712" s="346">
        <v>57.211349999999989</v>
      </c>
      <c r="I712" s="346">
        <v>61.535924999999992</v>
      </c>
      <c r="J712" s="346">
        <v>68.426149999999993</v>
      </c>
      <c r="K712" s="347">
        <v>75.012199999999993</v>
      </c>
      <c r="L712" s="348">
        <v>79.349999999999994</v>
      </c>
      <c r="M712" s="349">
        <v>79.349999999999994</v>
      </c>
      <c r="O712" s="357"/>
      <c r="P712" s="357"/>
      <c r="Q712" s="357"/>
      <c r="R712" s="357"/>
      <c r="S712" s="357"/>
      <c r="T712" s="357"/>
      <c r="U712" s="357"/>
      <c r="V712" s="357"/>
      <c r="W712" s="357"/>
      <c r="X712" s="357"/>
      <c r="Y712" s="357"/>
      <c r="Z712" s="357"/>
      <c r="AB712" s="1"/>
      <c r="AC712" s="1"/>
      <c r="AJ712"/>
      <c r="AK712"/>
    </row>
    <row r="713" spans="1:51" ht="18">
      <c r="A713" t="s">
        <v>620</v>
      </c>
      <c r="B713" s="342">
        <v>34.239524999999993</v>
      </c>
      <c r="C713" s="342">
        <v>36.500999999999998</v>
      </c>
      <c r="D713" s="342">
        <v>40.534624999999991</v>
      </c>
      <c r="E713" s="342">
        <v>44.303749999999994</v>
      </c>
      <c r="F713" s="342">
        <v>48.601874999999993</v>
      </c>
      <c r="G713" s="342">
        <v>52.860324999999996</v>
      </c>
      <c r="H713" s="342">
        <v>57.211349999999989</v>
      </c>
      <c r="I713" s="342">
        <v>61.535924999999992</v>
      </c>
      <c r="J713" s="342">
        <v>68.426149999999993</v>
      </c>
      <c r="K713" s="343">
        <v>75.012199999999993</v>
      </c>
      <c r="L713" s="344">
        <v>79.349999999999994</v>
      </c>
      <c r="M713" s="345">
        <v>79.349999999999994</v>
      </c>
      <c r="O713" s="357"/>
      <c r="P713" s="357"/>
      <c r="Q713" s="357"/>
      <c r="R713" s="357"/>
      <c r="S713" s="357"/>
      <c r="T713" s="357"/>
      <c r="U713" s="357"/>
      <c r="V713" s="357"/>
      <c r="W713" s="357"/>
      <c r="X713" s="357"/>
      <c r="Y713" s="357"/>
      <c r="Z713" s="357"/>
      <c r="AB713" s="1"/>
      <c r="AC713" s="1"/>
      <c r="AJ713"/>
      <c r="AK713"/>
    </row>
    <row r="714" spans="1:51" ht="18">
      <c r="A714" t="s">
        <v>621</v>
      </c>
      <c r="B714" s="346">
        <v>34.239524999999993</v>
      </c>
      <c r="C714" s="346">
        <v>36.500999999999998</v>
      </c>
      <c r="D714" s="346">
        <v>40.534624999999991</v>
      </c>
      <c r="E714" s="346">
        <v>44.303749999999994</v>
      </c>
      <c r="F714" s="346">
        <v>48.601874999999993</v>
      </c>
      <c r="G714" s="346">
        <v>52.860324999999996</v>
      </c>
      <c r="H714" s="346">
        <v>57.211349999999989</v>
      </c>
      <c r="I714" s="346">
        <v>61.535924999999992</v>
      </c>
      <c r="J714" s="346">
        <v>68.426149999999993</v>
      </c>
      <c r="K714" s="347">
        <v>75.012199999999993</v>
      </c>
      <c r="L714" s="348">
        <v>79.349999999999994</v>
      </c>
      <c r="M714" s="349">
        <v>79.349999999999994</v>
      </c>
      <c r="O714" s="357"/>
      <c r="P714" s="357"/>
      <c r="Q714" s="357"/>
      <c r="R714" s="357"/>
      <c r="S714" s="357"/>
      <c r="T714" s="357"/>
      <c r="U714" s="357"/>
      <c r="V714" s="357"/>
      <c r="W714" s="357"/>
      <c r="X714" s="357"/>
      <c r="Y714" s="357"/>
      <c r="Z714" s="357"/>
      <c r="AB714" s="1"/>
      <c r="AC714" s="1"/>
      <c r="AJ714"/>
      <c r="AK714"/>
    </row>
    <row r="715" spans="1:51" ht="18">
      <c r="A715" t="s">
        <v>622</v>
      </c>
      <c r="B715" s="342">
        <v>34.239524999999993</v>
      </c>
      <c r="C715" s="342">
        <v>36.500999999999998</v>
      </c>
      <c r="D715" s="342">
        <v>40.534624999999991</v>
      </c>
      <c r="E715" s="342">
        <v>44.303749999999994</v>
      </c>
      <c r="F715" s="342">
        <v>48.601874999999993</v>
      </c>
      <c r="G715" s="342">
        <v>52.860324999999996</v>
      </c>
      <c r="H715" s="342">
        <v>57.211349999999989</v>
      </c>
      <c r="I715" s="342">
        <v>61.535924999999992</v>
      </c>
      <c r="J715" s="342">
        <v>68.426149999999993</v>
      </c>
      <c r="K715" s="343">
        <v>75.012199999999993</v>
      </c>
      <c r="L715" s="344">
        <v>79.349999999999994</v>
      </c>
      <c r="M715" s="345">
        <v>79.349999999999994</v>
      </c>
      <c r="O715" s="357"/>
      <c r="P715" s="357"/>
      <c r="Q715" s="357"/>
      <c r="R715" s="357"/>
      <c r="S715" s="357"/>
      <c r="T715" s="357"/>
      <c r="U715" s="357"/>
      <c r="V715" s="357"/>
      <c r="W715" s="357"/>
      <c r="X715" s="357"/>
      <c r="Y715" s="357"/>
      <c r="Z715" s="357"/>
      <c r="AB715" s="1"/>
      <c r="AC715" s="1"/>
      <c r="AJ715"/>
      <c r="AK715"/>
    </row>
    <row r="716" spans="1:51" ht="18">
      <c r="A716" t="s">
        <v>623</v>
      </c>
      <c r="B716" s="350">
        <v>34.239524999999993</v>
      </c>
      <c r="C716" s="350">
        <v>36.500999999999998</v>
      </c>
      <c r="D716" s="350">
        <v>40.534624999999991</v>
      </c>
      <c r="E716" s="350">
        <v>44.303749999999994</v>
      </c>
      <c r="F716" s="350">
        <v>48.601874999999993</v>
      </c>
      <c r="G716" s="350">
        <v>52.860324999999996</v>
      </c>
      <c r="H716" s="350">
        <v>57.211349999999989</v>
      </c>
      <c r="I716" s="350">
        <v>61.535924999999992</v>
      </c>
      <c r="J716" s="350">
        <v>68.426149999999993</v>
      </c>
      <c r="K716" s="350">
        <v>75.012199999999993</v>
      </c>
      <c r="L716" s="350">
        <v>79.349999999999994</v>
      </c>
      <c r="M716" s="351">
        <v>79.349999999999994</v>
      </c>
      <c r="O716" s="357"/>
      <c r="P716" s="357"/>
      <c r="Q716" s="357"/>
      <c r="R716" s="357"/>
      <c r="S716" s="357"/>
      <c r="T716" s="357"/>
      <c r="U716" s="357"/>
      <c r="V716" s="357"/>
      <c r="W716" s="357"/>
      <c r="X716" s="357"/>
      <c r="Y716" s="357"/>
      <c r="Z716" s="357"/>
    </row>
    <row r="717" spans="1:51">
      <c r="A717" s="263"/>
      <c r="B717" s="263"/>
    </row>
    <row r="718" spans="1:51">
      <c r="A718" s="239" t="s">
        <v>751</v>
      </c>
      <c r="B718" s="239"/>
      <c r="C718" s="239"/>
      <c r="D718" s="239"/>
      <c r="E718" s="840" t="s">
        <v>755</v>
      </c>
      <c r="F718" s="840"/>
      <c r="G718" s="840"/>
      <c r="H718" s="239"/>
      <c r="I718" s="239"/>
      <c r="J718" s="239"/>
      <c r="K718" s="239"/>
      <c r="L718" s="239"/>
      <c r="M718" s="239"/>
      <c r="N718" s="239"/>
    </row>
    <row r="719" spans="1:51">
      <c r="A719" s="239" t="s">
        <v>497</v>
      </c>
      <c r="B719" s="239">
        <v>1</v>
      </c>
      <c r="C719" s="239">
        <v>30</v>
      </c>
      <c r="D719" s="239">
        <v>40</v>
      </c>
      <c r="E719" s="239">
        <v>50</v>
      </c>
      <c r="F719" s="239">
        <v>60</v>
      </c>
      <c r="G719" s="239">
        <v>70</v>
      </c>
      <c r="H719" s="239">
        <v>80</v>
      </c>
      <c r="I719" s="239">
        <v>90</v>
      </c>
      <c r="J719" s="239"/>
      <c r="K719" s="239"/>
      <c r="L719" s="239"/>
      <c r="M719" s="239"/>
      <c r="N719" s="239"/>
      <c r="Y719" s="1"/>
      <c r="Z719" s="1"/>
      <c r="AA719" s="1"/>
      <c r="AB719" s="1"/>
      <c r="AC719" s="1"/>
      <c r="AG719"/>
      <c r="AH719"/>
      <c r="AI719"/>
      <c r="AJ719"/>
      <c r="AK719"/>
      <c r="AT719" s="1"/>
      <c r="AY719"/>
    </row>
    <row r="720" spans="1:51">
      <c r="A720" s="239"/>
      <c r="B720" s="239">
        <v>29</v>
      </c>
      <c r="C720" s="239">
        <v>39</v>
      </c>
      <c r="D720" s="239">
        <v>49</v>
      </c>
      <c r="E720" s="239">
        <v>59</v>
      </c>
      <c r="F720" s="239">
        <v>69</v>
      </c>
      <c r="G720" s="239">
        <v>79</v>
      </c>
      <c r="H720" s="239">
        <v>89</v>
      </c>
      <c r="I720" s="239">
        <v>100</v>
      </c>
      <c r="J720" s="439" t="s">
        <v>757</v>
      </c>
      <c r="K720" s="439" t="s">
        <v>758</v>
      </c>
      <c r="L720" s="439" t="s">
        <v>759</v>
      </c>
      <c r="M720" s="439" t="s">
        <v>760</v>
      </c>
      <c r="N720" s="439" t="s">
        <v>761</v>
      </c>
      <c r="Y720" s="1"/>
      <c r="Z720" s="1"/>
      <c r="AA720" s="1"/>
      <c r="AB720" s="1"/>
      <c r="AC720" s="1"/>
      <c r="AG720"/>
      <c r="AH720"/>
      <c r="AI720"/>
      <c r="AJ720"/>
      <c r="AK720"/>
      <c r="AT720" s="1"/>
      <c r="AY720"/>
    </row>
    <row r="721" spans="1:57">
      <c r="A721" s="239" t="s">
        <v>752</v>
      </c>
      <c r="B721" s="239" t="s">
        <v>753</v>
      </c>
      <c r="C721" s="239" t="s">
        <v>753</v>
      </c>
      <c r="D721" s="239" t="s">
        <v>753</v>
      </c>
      <c r="E721" s="239" t="s">
        <v>753</v>
      </c>
      <c r="F721" s="239" t="s">
        <v>753</v>
      </c>
      <c r="G721" s="239" t="s">
        <v>753</v>
      </c>
      <c r="H721" s="239" t="s">
        <v>753</v>
      </c>
      <c r="I721" s="239" t="s">
        <v>753</v>
      </c>
      <c r="J721" s="239" t="s">
        <v>754</v>
      </c>
      <c r="K721" s="239" t="s">
        <v>754</v>
      </c>
      <c r="L721" s="239" t="s">
        <v>754</v>
      </c>
      <c r="M721" s="239" t="s">
        <v>754</v>
      </c>
      <c r="N721" s="239" t="s">
        <v>754</v>
      </c>
      <c r="Y721" s="1"/>
      <c r="Z721" s="1"/>
      <c r="AA721" s="1"/>
      <c r="AB721" s="1"/>
      <c r="AC721" s="1"/>
      <c r="AG721"/>
      <c r="AH721"/>
      <c r="AI721"/>
      <c r="AJ721"/>
      <c r="AK721"/>
      <c r="AT721" s="1"/>
      <c r="AY721"/>
    </row>
    <row r="722" spans="1:57">
      <c r="A722" s="239" t="s">
        <v>510</v>
      </c>
      <c r="B722" s="239">
        <v>46.1</v>
      </c>
      <c r="C722" s="239">
        <v>51.78</v>
      </c>
      <c r="D722" s="239">
        <v>53.84</v>
      </c>
      <c r="E722" s="239">
        <v>55.92</v>
      </c>
      <c r="F722" s="239">
        <v>61.58</v>
      </c>
      <c r="G722" s="239">
        <v>63.75</v>
      </c>
      <c r="H722" s="239">
        <v>65.98</v>
      </c>
      <c r="I722" s="239">
        <v>68.16</v>
      </c>
      <c r="J722" s="239">
        <v>40.81</v>
      </c>
      <c r="K722" s="239">
        <v>28.79</v>
      </c>
      <c r="L722" s="239">
        <v>31.36</v>
      </c>
      <c r="M722" s="239">
        <v>27.49</v>
      </c>
      <c r="N722" s="239">
        <v>28.16</v>
      </c>
      <c r="S722" s="1"/>
      <c r="T722" s="1"/>
      <c r="U722" s="1"/>
      <c r="V722" s="1"/>
      <c r="W722" s="1"/>
      <c r="X722" s="1"/>
      <c r="Y722" s="1"/>
      <c r="Z722" s="1"/>
      <c r="AD722"/>
      <c r="AE722"/>
      <c r="AF722"/>
      <c r="AG722"/>
      <c r="AH722"/>
      <c r="AI722"/>
      <c r="AJ722"/>
      <c r="AK722"/>
      <c r="AN722" s="1"/>
      <c r="AT722" s="1"/>
      <c r="AU722" s="1"/>
      <c r="AV722" s="1"/>
      <c r="AW722" s="1"/>
      <c r="AX722" s="1"/>
      <c r="AY722" s="1"/>
      <c r="AZ722"/>
      <c r="BA722"/>
      <c r="BB722"/>
      <c r="BC722"/>
      <c r="BD722"/>
      <c r="BE722"/>
    </row>
    <row r="723" spans="1:57">
      <c r="A723" s="239" t="s">
        <v>511</v>
      </c>
      <c r="B723" s="239">
        <v>37.200000000000003</v>
      </c>
      <c r="C723" s="239">
        <v>41.78</v>
      </c>
      <c r="D723" s="239">
        <v>43.46</v>
      </c>
      <c r="E723" s="239">
        <v>45.14</v>
      </c>
      <c r="F723" s="239">
        <v>48.87</v>
      </c>
      <c r="G723" s="239">
        <v>50.62</v>
      </c>
      <c r="H723" s="239">
        <v>52.35</v>
      </c>
      <c r="I723" s="239">
        <v>54.1</v>
      </c>
      <c r="J723" s="239">
        <v>32.36</v>
      </c>
      <c r="K723" s="239">
        <v>22.85</v>
      </c>
      <c r="L723" s="239">
        <v>24.87</v>
      </c>
      <c r="M723" s="239">
        <v>21.81</v>
      </c>
      <c r="N723" s="239">
        <v>22.34</v>
      </c>
      <c r="S723" s="1"/>
      <c r="T723" s="1"/>
      <c r="U723" s="1"/>
      <c r="V723" s="1"/>
      <c r="W723" s="1"/>
      <c r="X723" s="1"/>
      <c r="Y723" s="1"/>
      <c r="Z723" s="1"/>
      <c r="AD723"/>
      <c r="AE723"/>
      <c r="AF723"/>
      <c r="AG723"/>
      <c r="AH723"/>
      <c r="AI723"/>
      <c r="AJ723"/>
      <c r="AK723"/>
      <c r="AN723" s="1"/>
      <c r="AT723" s="1"/>
      <c r="AU723" s="1"/>
      <c r="AV723" s="1"/>
      <c r="AW723" s="1"/>
      <c r="AX723" s="1"/>
      <c r="AY723" s="1"/>
      <c r="AZ723"/>
      <c r="BA723"/>
      <c r="BB723"/>
      <c r="BC723"/>
      <c r="BD723"/>
      <c r="BE723"/>
    </row>
    <row r="724" spans="1:57">
      <c r="A724" s="239" t="s">
        <v>512</v>
      </c>
      <c r="B724" s="239">
        <v>43.18</v>
      </c>
      <c r="C724" s="239">
        <v>48.51</v>
      </c>
      <c r="D724" s="239">
        <v>50.45</v>
      </c>
      <c r="E724" s="239">
        <v>52.4</v>
      </c>
      <c r="F724" s="239">
        <v>57.43</v>
      </c>
      <c r="G724" s="239">
        <v>59.46</v>
      </c>
      <c r="H724" s="239">
        <v>61.53</v>
      </c>
      <c r="I724" s="239">
        <v>63.58</v>
      </c>
      <c r="J724" s="239">
        <v>38.049999999999997</v>
      </c>
      <c r="K724" s="239">
        <v>26.85</v>
      </c>
      <c r="L724" s="239">
        <v>29.24</v>
      </c>
      <c r="M724" s="239">
        <v>25.63</v>
      </c>
      <c r="N724" s="239">
        <v>26.25</v>
      </c>
      <c r="S724" s="1"/>
      <c r="T724" s="1"/>
      <c r="U724" s="1"/>
      <c r="V724" s="1"/>
      <c r="W724" s="1"/>
      <c r="X724" s="1"/>
      <c r="Y724" s="1"/>
      <c r="Z724" s="1"/>
      <c r="AD724"/>
      <c r="AE724"/>
      <c r="AF724"/>
      <c r="AG724"/>
      <c r="AH724"/>
      <c r="AI724"/>
      <c r="AJ724"/>
      <c r="AK724"/>
      <c r="AN724" s="1"/>
      <c r="AT724" s="1"/>
      <c r="AU724" s="1"/>
      <c r="AV724" s="1"/>
      <c r="AW724" s="1"/>
      <c r="AX724" s="1"/>
      <c r="AY724" s="1"/>
      <c r="AZ724"/>
      <c r="BA724"/>
      <c r="BB724"/>
      <c r="BC724"/>
      <c r="BD724"/>
      <c r="BE724"/>
    </row>
    <row r="725" spans="1:57">
      <c r="A725" s="239" t="s">
        <v>513</v>
      </c>
      <c r="B725" s="239">
        <v>63.16</v>
      </c>
      <c r="C725" s="239">
        <v>70.98</v>
      </c>
      <c r="D725" s="239">
        <v>73.819999999999993</v>
      </c>
      <c r="E725" s="239">
        <v>76.64</v>
      </c>
      <c r="F725" s="239">
        <v>85.35</v>
      </c>
      <c r="G725" s="239">
        <v>88.39</v>
      </c>
      <c r="H725" s="239">
        <v>91.45</v>
      </c>
      <c r="I725" s="239">
        <v>94.49</v>
      </c>
      <c r="J725" s="239">
        <v>56.56</v>
      </c>
      <c r="K725" s="239">
        <v>39.92</v>
      </c>
      <c r="L725" s="239">
        <v>43.47</v>
      </c>
      <c r="M725" s="239">
        <v>38.11</v>
      </c>
      <c r="N725" s="239">
        <v>39.020000000000003</v>
      </c>
      <c r="S725" s="1"/>
      <c r="T725" s="1"/>
      <c r="U725" s="1"/>
      <c r="V725" s="1"/>
      <c r="W725" s="1"/>
      <c r="X725" s="1"/>
      <c r="Y725" s="1"/>
      <c r="Z725" s="1"/>
      <c r="AD725"/>
      <c r="AE725"/>
      <c r="AF725"/>
      <c r="AG725"/>
      <c r="AH725"/>
      <c r="AI725"/>
      <c r="AJ725"/>
      <c r="AK725"/>
      <c r="AN725" s="1"/>
      <c r="AT725" s="1"/>
      <c r="AU725" s="1"/>
      <c r="AV725" s="1"/>
      <c r="AW725" s="1"/>
      <c r="AX725" s="1"/>
      <c r="AY725" s="1"/>
      <c r="AZ725"/>
      <c r="BA725"/>
      <c r="BB725"/>
      <c r="BC725"/>
      <c r="BD725"/>
      <c r="BE725"/>
    </row>
    <row r="726" spans="1:57">
      <c r="A726" s="239" t="s">
        <v>514</v>
      </c>
      <c r="B726" s="239">
        <v>78.95</v>
      </c>
      <c r="C726" s="239">
        <v>88.71</v>
      </c>
      <c r="D726" s="239">
        <v>92.25</v>
      </c>
      <c r="E726" s="239">
        <v>95.82</v>
      </c>
      <c r="F726" s="239">
        <v>106.69</v>
      </c>
      <c r="G726" s="239">
        <v>110.48</v>
      </c>
      <c r="H726" s="239">
        <v>114.32</v>
      </c>
      <c r="I726" s="239">
        <v>118.12</v>
      </c>
      <c r="J726" s="239">
        <v>70.7</v>
      </c>
      <c r="K726" s="239">
        <v>49.9</v>
      </c>
      <c r="L726" s="239">
        <v>54.34</v>
      </c>
      <c r="M726" s="239">
        <v>47.62</v>
      </c>
      <c r="N726" s="239">
        <v>48.8</v>
      </c>
      <c r="S726" s="1"/>
      <c r="T726" s="1"/>
      <c r="U726" s="1"/>
      <c r="V726" s="1"/>
      <c r="W726" s="1"/>
      <c r="X726" s="1"/>
      <c r="Y726" s="1"/>
      <c r="Z726" s="1"/>
      <c r="AD726"/>
      <c r="AE726"/>
      <c r="AF726"/>
      <c r="AG726"/>
      <c r="AH726"/>
      <c r="AI726"/>
      <c r="AJ726"/>
      <c r="AK726"/>
      <c r="AN726" s="1"/>
      <c r="AT726" s="1"/>
      <c r="AU726" s="1"/>
      <c r="AV726" s="1"/>
      <c r="AW726" s="1"/>
      <c r="AX726" s="1"/>
      <c r="AY726" s="1"/>
      <c r="AZ726"/>
      <c r="BA726"/>
      <c r="BB726"/>
      <c r="BC726"/>
      <c r="BD726"/>
      <c r="BE726"/>
    </row>
    <row r="727" spans="1:57">
      <c r="A727" s="239" t="s">
        <v>515</v>
      </c>
      <c r="B727" s="239">
        <v>58.24</v>
      </c>
      <c r="C727" s="239">
        <v>65.45</v>
      </c>
      <c r="D727" s="239">
        <v>68.05</v>
      </c>
      <c r="E727" s="239">
        <v>70.67</v>
      </c>
      <c r="F727" s="239">
        <v>78.28</v>
      </c>
      <c r="G727" s="239">
        <v>81.099999999999994</v>
      </c>
      <c r="H727" s="239">
        <v>83.89</v>
      </c>
      <c r="I727" s="239">
        <v>86.68</v>
      </c>
      <c r="J727" s="239">
        <v>51.88</v>
      </c>
      <c r="K727" s="239">
        <v>36.61</v>
      </c>
      <c r="L727" s="239">
        <v>39.840000000000003</v>
      </c>
      <c r="M727" s="239">
        <v>34.950000000000003</v>
      </c>
      <c r="N727" s="239">
        <v>35.79</v>
      </c>
      <c r="S727" s="1"/>
      <c r="T727" s="1"/>
      <c r="U727" s="1"/>
      <c r="V727" s="1"/>
      <c r="W727" s="1"/>
      <c r="X727" s="1"/>
      <c r="Y727" s="1"/>
      <c r="Z727" s="1"/>
      <c r="AD727"/>
      <c r="AE727"/>
      <c r="AF727"/>
      <c r="AG727"/>
      <c r="AH727"/>
      <c r="AI727"/>
      <c r="AJ727"/>
      <c r="AK727"/>
      <c r="AN727" s="1"/>
      <c r="AT727" s="1"/>
      <c r="AU727" s="1"/>
      <c r="AV727" s="1"/>
      <c r="AW727" s="1"/>
      <c r="AX727" s="1"/>
      <c r="AY727" s="1"/>
      <c r="AZ727"/>
      <c r="BA727"/>
      <c r="BB727"/>
      <c r="BC727"/>
      <c r="BD727"/>
      <c r="BE727"/>
    </row>
    <row r="728" spans="1:57">
      <c r="A728" s="239" t="s">
        <v>516</v>
      </c>
      <c r="B728" s="239">
        <v>72.8</v>
      </c>
      <c r="C728" s="239">
        <v>81.760000000000005</v>
      </c>
      <c r="D728" s="239">
        <v>85.06</v>
      </c>
      <c r="E728" s="239">
        <v>88.32</v>
      </c>
      <c r="F728" s="239">
        <v>97.86</v>
      </c>
      <c r="G728" s="239">
        <v>101.36</v>
      </c>
      <c r="H728" s="239">
        <v>104.84</v>
      </c>
      <c r="I728" s="239">
        <v>108.35</v>
      </c>
      <c r="J728" s="239">
        <v>64.84</v>
      </c>
      <c r="K728" s="239">
        <v>45.77</v>
      </c>
      <c r="L728" s="239">
        <v>49.83</v>
      </c>
      <c r="M728" s="239">
        <v>43.68</v>
      </c>
      <c r="N728" s="239">
        <v>44.75</v>
      </c>
      <c r="S728" s="1"/>
      <c r="T728" s="1"/>
      <c r="U728" s="1"/>
      <c r="V728" s="1"/>
      <c r="W728" s="1"/>
      <c r="X728" s="1"/>
      <c r="Y728" s="1"/>
      <c r="Z728" s="1"/>
      <c r="AD728"/>
      <c r="AE728"/>
      <c r="AF728"/>
      <c r="AG728"/>
      <c r="AH728"/>
      <c r="AI728"/>
      <c r="AJ728"/>
      <c r="AK728"/>
      <c r="AN728" s="1"/>
      <c r="AT728" s="1"/>
      <c r="AU728" s="1"/>
      <c r="AV728" s="1"/>
      <c r="AW728" s="1"/>
      <c r="AX728" s="1"/>
      <c r="AY728" s="1"/>
      <c r="AZ728"/>
      <c r="BA728"/>
      <c r="BB728"/>
      <c r="BC728"/>
      <c r="BD728"/>
      <c r="BE728"/>
    </row>
    <row r="729" spans="1:57">
      <c r="A729" s="239" t="s">
        <v>517</v>
      </c>
      <c r="B729" s="239">
        <v>62.29</v>
      </c>
      <c r="C729" s="239">
        <v>70.02</v>
      </c>
      <c r="D729" s="239">
        <v>72.819999999999993</v>
      </c>
      <c r="E729" s="239">
        <v>75.61</v>
      </c>
      <c r="F729" s="239">
        <v>84.78</v>
      </c>
      <c r="G729" s="239">
        <v>87.8</v>
      </c>
      <c r="H729" s="239">
        <v>90.83</v>
      </c>
      <c r="I729" s="239">
        <v>93.86</v>
      </c>
      <c r="J729" s="239">
        <v>56.17</v>
      </c>
      <c r="K729" s="239">
        <v>39.64</v>
      </c>
      <c r="L729" s="239">
        <v>43.17</v>
      </c>
      <c r="M729" s="239">
        <v>37.86</v>
      </c>
      <c r="N729" s="239">
        <v>38.770000000000003</v>
      </c>
      <c r="S729" s="1"/>
      <c r="T729" s="1"/>
      <c r="U729" s="1"/>
      <c r="V729" s="1"/>
      <c r="W729" s="1"/>
      <c r="X729" s="1"/>
      <c r="Y729" s="1"/>
      <c r="Z729" s="1"/>
      <c r="AD729"/>
      <c r="AE729"/>
      <c r="AF729"/>
      <c r="AG729"/>
      <c r="AH729"/>
      <c r="AI729"/>
      <c r="AJ729"/>
      <c r="AK729"/>
      <c r="AN729" s="1"/>
      <c r="AT729" s="1"/>
      <c r="AU729" s="1"/>
      <c r="AV729" s="1"/>
      <c r="AW729" s="1"/>
      <c r="AX729" s="1"/>
      <c r="AY729" s="1"/>
      <c r="AZ729"/>
      <c r="BA729"/>
      <c r="BB729"/>
      <c r="BC729"/>
      <c r="BD729"/>
      <c r="BE729"/>
    </row>
    <row r="730" spans="1:57">
      <c r="A730" s="239" t="s">
        <v>518</v>
      </c>
      <c r="B730" s="239">
        <v>77.89</v>
      </c>
      <c r="C730" s="239">
        <v>87.52</v>
      </c>
      <c r="D730" s="239">
        <v>91.02</v>
      </c>
      <c r="E730" s="239">
        <v>94.5</v>
      </c>
      <c r="F730" s="239">
        <v>105.98</v>
      </c>
      <c r="G730" s="239">
        <v>109.75</v>
      </c>
      <c r="H730" s="239">
        <v>113.54</v>
      </c>
      <c r="I730" s="239">
        <v>117.31</v>
      </c>
      <c r="J730" s="239">
        <v>70.22</v>
      </c>
      <c r="K730" s="239">
        <v>49.56</v>
      </c>
      <c r="L730" s="239">
        <v>53.97</v>
      </c>
      <c r="M730" s="239">
        <v>47.32</v>
      </c>
      <c r="N730" s="239">
        <v>48.46</v>
      </c>
      <c r="S730" s="1"/>
      <c r="T730" s="1"/>
      <c r="U730" s="1"/>
      <c r="V730" s="1"/>
      <c r="W730" s="1"/>
      <c r="X730" s="1"/>
      <c r="Y730" s="1"/>
      <c r="Z730" s="1"/>
      <c r="AD730"/>
      <c r="AE730"/>
      <c r="AF730"/>
      <c r="AG730"/>
      <c r="AH730"/>
      <c r="AI730"/>
      <c r="AJ730"/>
      <c r="AK730"/>
      <c r="AN730" s="1"/>
      <c r="AT730" s="1"/>
      <c r="AU730" s="1"/>
      <c r="AV730" s="1"/>
      <c r="AW730" s="1"/>
      <c r="AX730" s="1"/>
      <c r="AY730" s="1"/>
      <c r="AZ730"/>
      <c r="BA730"/>
      <c r="BB730"/>
      <c r="BC730"/>
      <c r="BD730"/>
      <c r="BE730"/>
    </row>
    <row r="731" spans="1:57">
      <c r="A731" s="239" t="s">
        <v>519</v>
      </c>
      <c r="B731" s="239">
        <v>50.43</v>
      </c>
      <c r="C731" s="239">
        <v>56.67</v>
      </c>
      <c r="D731" s="239">
        <v>58.93</v>
      </c>
      <c r="E731" s="239">
        <v>61.21</v>
      </c>
      <c r="F731" s="239">
        <v>67.8</v>
      </c>
      <c r="G731" s="239">
        <v>70.22</v>
      </c>
      <c r="H731" s="239">
        <v>72.63</v>
      </c>
      <c r="I731" s="239">
        <v>75.069999999999993</v>
      </c>
      <c r="J731" s="239">
        <v>44.94</v>
      </c>
      <c r="K731" s="239">
        <v>31.71</v>
      </c>
      <c r="L731" s="239">
        <v>34.520000000000003</v>
      </c>
      <c r="M731" s="239">
        <v>30.27</v>
      </c>
      <c r="N731" s="239">
        <v>31</v>
      </c>
      <c r="S731" s="1"/>
      <c r="T731" s="1"/>
      <c r="U731" s="1"/>
      <c r="V731" s="1"/>
      <c r="W731" s="1"/>
      <c r="X731" s="1"/>
      <c r="Y731" s="1"/>
      <c r="Z731" s="1"/>
      <c r="AD731"/>
      <c r="AE731"/>
      <c r="AF731"/>
      <c r="AG731"/>
      <c r="AH731"/>
      <c r="AI731"/>
      <c r="AJ731"/>
      <c r="AK731"/>
      <c r="AN731" s="1"/>
      <c r="AT731" s="1"/>
      <c r="AU731" s="1"/>
      <c r="AV731" s="1"/>
      <c r="AW731" s="1"/>
      <c r="AX731" s="1"/>
      <c r="AY731" s="1"/>
      <c r="AZ731"/>
      <c r="BA731"/>
      <c r="BB731"/>
      <c r="BC731"/>
      <c r="BD731"/>
      <c r="BE731"/>
    </row>
    <row r="732" spans="1:57">
      <c r="A732" s="239" t="s">
        <v>520</v>
      </c>
      <c r="B732" s="239">
        <v>40.1</v>
      </c>
      <c r="C732" s="239">
        <v>45.04</v>
      </c>
      <c r="D732" s="239">
        <v>46.87</v>
      </c>
      <c r="E732" s="239">
        <v>48.66</v>
      </c>
      <c r="F732" s="239">
        <v>53.02</v>
      </c>
      <c r="G732" s="239">
        <v>54.92</v>
      </c>
      <c r="H732" s="239">
        <v>56.8</v>
      </c>
      <c r="I732" s="239">
        <v>58.7</v>
      </c>
      <c r="J732" s="239">
        <v>35.130000000000003</v>
      </c>
      <c r="K732" s="239">
        <v>24.79</v>
      </c>
      <c r="L732" s="239">
        <v>27</v>
      </c>
      <c r="M732" s="239">
        <v>23.66</v>
      </c>
      <c r="N732" s="239">
        <v>24.23</v>
      </c>
      <c r="S732" s="1"/>
      <c r="T732" s="1"/>
      <c r="U732" s="1"/>
      <c r="V732" s="1"/>
      <c r="W732" s="1"/>
      <c r="X732" s="1"/>
      <c r="Y732" s="1"/>
      <c r="Z732" s="1"/>
      <c r="AD732"/>
      <c r="AE732"/>
      <c r="AF732"/>
      <c r="AG732"/>
      <c r="AH732"/>
      <c r="AI732"/>
      <c r="AJ732"/>
      <c r="AK732"/>
      <c r="AN732" s="1"/>
      <c r="AT732" s="1"/>
      <c r="AU732" s="1"/>
      <c r="AV732" s="1"/>
      <c r="AW732" s="1"/>
      <c r="AX732" s="1"/>
      <c r="AY732" s="1"/>
      <c r="AZ732"/>
      <c r="BA732"/>
      <c r="BB732"/>
      <c r="BC732"/>
      <c r="BD732"/>
      <c r="BE732"/>
    </row>
    <row r="733" spans="1:57">
      <c r="A733" s="239" t="s">
        <v>521</v>
      </c>
      <c r="B733" s="239">
        <v>58.95</v>
      </c>
      <c r="C733" s="239">
        <v>66.25</v>
      </c>
      <c r="D733" s="239">
        <v>68.89</v>
      </c>
      <c r="E733" s="239">
        <v>71.540000000000006</v>
      </c>
      <c r="F733" s="239">
        <v>79.349999999999994</v>
      </c>
      <c r="G733" s="239">
        <v>82.18</v>
      </c>
      <c r="H733" s="239">
        <v>85</v>
      </c>
      <c r="I733" s="239">
        <v>87.84</v>
      </c>
      <c r="J733" s="239">
        <v>52.57</v>
      </c>
      <c r="K733" s="239">
        <v>37.1</v>
      </c>
      <c r="L733" s="239">
        <v>40.39</v>
      </c>
      <c r="M733" s="239">
        <v>35.409999999999997</v>
      </c>
      <c r="N733" s="239">
        <v>36.28</v>
      </c>
      <c r="S733" s="1"/>
      <c r="T733" s="1"/>
      <c r="U733" s="1"/>
      <c r="V733" s="1"/>
      <c r="W733" s="1"/>
      <c r="X733" s="1"/>
      <c r="Y733" s="1"/>
      <c r="Z733" s="1"/>
      <c r="AD733"/>
      <c r="AE733"/>
      <c r="AF733"/>
      <c r="AG733"/>
      <c r="AH733"/>
      <c r="AI733"/>
      <c r="AJ733"/>
      <c r="AK733"/>
      <c r="AN733" s="1"/>
      <c r="AT733" s="1"/>
      <c r="AU733" s="1"/>
      <c r="AV733" s="1"/>
      <c r="AW733" s="1"/>
      <c r="AX733" s="1"/>
      <c r="AY733" s="1"/>
      <c r="AZ733"/>
      <c r="BA733"/>
      <c r="BB733"/>
      <c r="BC733"/>
      <c r="BD733"/>
      <c r="BE733"/>
    </row>
    <row r="734" spans="1:57">
      <c r="A734" s="239" t="s">
        <v>522</v>
      </c>
      <c r="B734" s="239">
        <v>73.69</v>
      </c>
      <c r="C734" s="239">
        <v>82.8</v>
      </c>
      <c r="D734" s="239">
        <v>86.1</v>
      </c>
      <c r="E734" s="239">
        <v>89.43</v>
      </c>
      <c r="F734" s="239">
        <v>99.17</v>
      </c>
      <c r="G734" s="239">
        <v>102.71</v>
      </c>
      <c r="H734" s="239">
        <v>106.26</v>
      </c>
      <c r="I734" s="239">
        <v>109.8</v>
      </c>
      <c r="J734" s="239">
        <v>65.709999999999994</v>
      </c>
      <c r="K734" s="239">
        <v>46.38</v>
      </c>
      <c r="L734" s="239">
        <v>50.5</v>
      </c>
      <c r="M734" s="239">
        <v>44.28</v>
      </c>
      <c r="N734" s="239">
        <v>45.34</v>
      </c>
      <c r="S734" s="1"/>
      <c r="T734" s="1"/>
      <c r="U734" s="1"/>
      <c r="V734" s="1"/>
      <c r="W734" s="1"/>
      <c r="X734" s="1"/>
      <c r="Y734" s="1"/>
      <c r="Z734" s="1"/>
      <c r="AD734"/>
      <c r="AE734"/>
      <c r="AF734"/>
      <c r="AG734"/>
      <c r="AH734"/>
      <c r="AI734"/>
      <c r="AJ734"/>
      <c r="AK734"/>
      <c r="AN734" s="1"/>
      <c r="AT734" s="1"/>
      <c r="AU734" s="1"/>
      <c r="AV734" s="1"/>
      <c r="AW734" s="1"/>
      <c r="AX734" s="1"/>
      <c r="AY734" s="1"/>
      <c r="AZ734"/>
      <c r="BA734"/>
      <c r="BB734"/>
      <c r="BC734"/>
      <c r="BD734"/>
      <c r="BE734"/>
    </row>
    <row r="735" spans="1:57">
      <c r="A735" s="239" t="s">
        <v>523</v>
      </c>
      <c r="B735" s="239">
        <v>37.630000000000003</v>
      </c>
      <c r="C735" s="239">
        <v>42.27</v>
      </c>
      <c r="D735" s="239">
        <v>43.95</v>
      </c>
      <c r="E735" s="239">
        <v>45.66</v>
      </c>
      <c r="F735" s="239">
        <v>49.47</v>
      </c>
      <c r="G735" s="239">
        <v>51.24</v>
      </c>
      <c r="H735" s="239">
        <v>53.01</v>
      </c>
      <c r="I735" s="239">
        <v>54.78</v>
      </c>
      <c r="J735" s="239">
        <v>32.799999999999997</v>
      </c>
      <c r="K735" s="239">
        <v>23.13</v>
      </c>
      <c r="L735" s="239">
        <v>25.2</v>
      </c>
      <c r="M735" s="239">
        <v>22.09</v>
      </c>
      <c r="N735" s="239">
        <v>22.61</v>
      </c>
      <c r="S735" s="1"/>
      <c r="T735" s="1"/>
      <c r="U735" s="1"/>
      <c r="V735" s="1"/>
      <c r="W735" s="1"/>
      <c r="X735" s="1"/>
      <c r="Y735" s="1"/>
      <c r="Z735" s="1"/>
      <c r="AD735"/>
      <c r="AE735"/>
      <c r="AF735"/>
      <c r="AG735"/>
      <c r="AH735"/>
      <c r="AI735"/>
      <c r="AJ735"/>
      <c r="AK735"/>
      <c r="AN735" s="1"/>
      <c r="AT735" s="1"/>
      <c r="AU735" s="1"/>
      <c r="AV735" s="1"/>
      <c r="AW735" s="1"/>
      <c r="AX735" s="1"/>
      <c r="AY735" s="1"/>
      <c r="AZ735"/>
      <c r="BA735"/>
      <c r="BB735"/>
      <c r="BC735"/>
      <c r="BD735"/>
      <c r="BE735"/>
    </row>
    <row r="736" spans="1:57">
      <c r="A736" s="239" t="s">
        <v>524</v>
      </c>
      <c r="B736" s="239">
        <v>54.1</v>
      </c>
      <c r="C736" s="239">
        <v>60.79</v>
      </c>
      <c r="D736" s="239">
        <v>63.2</v>
      </c>
      <c r="E736" s="239">
        <v>65.63</v>
      </c>
      <c r="F736" s="239">
        <v>73.040000000000006</v>
      </c>
      <c r="G736" s="239">
        <v>75.64</v>
      </c>
      <c r="H736" s="239">
        <v>78.239999999999995</v>
      </c>
      <c r="I736" s="239">
        <v>80.86</v>
      </c>
      <c r="J736" s="239">
        <v>48.39</v>
      </c>
      <c r="K736" s="239">
        <v>34.159999999999997</v>
      </c>
      <c r="L736" s="239">
        <v>37.19</v>
      </c>
      <c r="M736" s="239">
        <v>32.619999999999997</v>
      </c>
      <c r="N736" s="239">
        <v>33.39</v>
      </c>
      <c r="S736" s="1"/>
      <c r="T736" s="1"/>
      <c r="U736" s="1"/>
      <c r="V736" s="1"/>
      <c r="W736" s="1"/>
      <c r="X736" s="1"/>
      <c r="Y736" s="1"/>
      <c r="Z736" s="1"/>
      <c r="AD736"/>
      <c r="AE736"/>
      <c r="AF736"/>
      <c r="AG736"/>
      <c r="AH736"/>
      <c r="AI736"/>
      <c r="AJ736"/>
      <c r="AK736"/>
      <c r="AN736" s="1"/>
      <c r="AT736" s="1"/>
      <c r="AU736" s="1"/>
      <c r="AV736" s="1"/>
      <c r="AW736" s="1"/>
      <c r="AX736" s="1"/>
      <c r="AY736" s="1"/>
      <c r="AZ736"/>
      <c r="BA736"/>
      <c r="BB736"/>
      <c r="BC736"/>
      <c r="BD736"/>
      <c r="BE736"/>
    </row>
    <row r="737" spans="1:57">
      <c r="A737" s="239" t="s">
        <v>525</v>
      </c>
      <c r="B737" s="239"/>
      <c r="C737" s="239"/>
      <c r="D737" s="239"/>
      <c r="E737" s="239"/>
      <c r="F737" s="239"/>
      <c r="G737" s="239"/>
      <c r="H737" s="239"/>
      <c r="I737" s="239"/>
      <c r="J737" s="239"/>
      <c r="K737" s="239"/>
      <c r="L737" s="239"/>
      <c r="M737" s="239"/>
      <c r="N737" s="239"/>
      <c r="S737" s="1"/>
      <c r="T737" s="1"/>
      <c r="U737" s="1"/>
      <c r="V737" s="1"/>
      <c r="W737" s="1"/>
      <c r="X737" s="1"/>
      <c r="Y737" s="1"/>
      <c r="Z737" s="1"/>
      <c r="AD737"/>
      <c r="AE737"/>
      <c r="AF737"/>
      <c r="AG737"/>
      <c r="AH737"/>
      <c r="AI737"/>
      <c r="AJ737"/>
      <c r="AK737"/>
      <c r="AN737" s="1"/>
      <c r="AT737" s="1"/>
      <c r="AU737" s="1"/>
      <c r="AV737" s="1"/>
      <c r="AW737" s="1"/>
      <c r="AX737" s="1"/>
      <c r="AY737" s="1"/>
      <c r="AZ737"/>
      <c r="BA737"/>
      <c r="BB737"/>
      <c r="BC737"/>
      <c r="BD737"/>
      <c r="BE737"/>
    </row>
    <row r="738" spans="1:57">
      <c r="A738" s="239" t="s">
        <v>526</v>
      </c>
      <c r="B738" s="239">
        <v>51.53</v>
      </c>
      <c r="C738" s="239">
        <v>57.91</v>
      </c>
      <c r="D738" s="239">
        <v>60.21</v>
      </c>
      <c r="E738" s="239">
        <v>62.52</v>
      </c>
      <c r="F738" s="239">
        <v>69.34</v>
      </c>
      <c r="G738" s="239">
        <v>71.849999999999994</v>
      </c>
      <c r="H738" s="239">
        <v>74.3</v>
      </c>
      <c r="I738" s="239">
        <v>76.78</v>
      </c>
      <c r="J738" s="239">
        <v>45.95</v>
      </c>
      <c r="K738" s="239">
        <v>32.44</v>
      </c>
      <c r="L738" s="239">
        <v>35.31</v>
      </c>
      <c r="M738" s="239">
        <v>30.96</v>
      </c>
      <c r="N738" s="239">
        <v>31.71</v>
      </c>
      <c r="S738" s="1"/>
      <c r="T738" s="1"/>
      <c r="U738" s="1"/>
      <c r="V738" s="1"/>
      <c r="W738" s="1"/>
      <c r="X738" s="1"/>
      <c r="Y738" s="1"/>
      <c r="Z738" s="1"/>
      <c r="AD738"/>
      <c r="AE738"/>
      <c r="AF738"/>
      <c r="AG738"/>
      <c r="AH738"/>
      <c r="AI738"/>
      <c r="AJ738"/>
      <c r="AK738"/>
      <c r="AN738" s="1"/>
      <c r="AT738" s="1"/>
      <c r="AU738" s="1"/>
      <c r="AV738" s="1"/>
      <c r="AW738" s="1"/>
      <c r="AX738" s="1"/>
      <c r="AY738" s="1"/>
      <c r="AZ738"/>
      <c r="BA738"/>
      <c r="BB738"/>
      <c r="BC738"/>
      <c r="BD738"/>
      <c r="BE738"/>
    </row>
    <row r="739" spans="1:57">
      <c r="A739" s="239" t="s">
        <v>527</v>
      </c>
      <c r="B739" s="239">
        <v>55.36</v>
      </c>
      <c r="C739" s="239">
        <v>62.2</v>
      </c>
      <c r="D739" s="239">
        <v>64.680000000000007</v>
      </c>
      <c r="E739" s="239">
        <v>67.17</v>
      </c>
      <c r="F739" s="239">
        <v>74.83</v>
      </c>
      <c r="G739" s="239">
        <v>77.5</v>
      </c>
      <c r="H739" s="239">
        <v>80.180000000000007</v>
      </c>
      <c r="I739" s="239">
        <v>82.85</v>
      </c>
      <c r="J739" s="239">
        <v>49.59</v>
      </c>
      <c r="K739" s="239">
        <v>35</v>
      </c>
      <c r="L739" s="239">
        <v>38.119999999999997</v>
      </c>
      <c r="M739" s="239">
        <v>33.42</v>
      </c>
      <c r="N739" s="239">
        <v>34.229999999999997</v>
      </c>
      <c r="S739" s="1"/>
      <c r="T739" s="1"/>
      <c r="U739" s="1"/>
      <c r="V739" s="1"/>
      <c r="W739" s="1"/>
      <c r="X739" s="1"/>
      <c r="Y739" s="1"/>
      <c r="Z739" s="1"/>
      <c r="AD739"/>
      <c r="AE739"/>
      <c r="AF739"/>
      <c r="AG739"/>
      <c r="AH739"/>
      <c r="AI739"/>
      <c r="AJ739"/>
      <c r="AK739"/>
      <c r="AN739" s="1"/>
      <c r="AT739" s="1"/>
      <c r="AU739" s="1"/>
      <c r="AV739" s="1"/>
      <c r="AW739" s="1"/>
      <c r="AX739" s="1"/>
      <c r="AY739" s="1"/>
      <c r="AZ739"/>
      <c r="BA739"/>
      <c r="BB739"/>
      <c r="BC739"/>
      <c r="BD739"/>
      <c r="BE739"/>
    </row>
    <row r="740" spans="1:57">
      <c r="A740" s="239" t="s">
        <v>528</v>
      </c>
      <c r="B740" s="239">
        <v>25.49</v>
      </c>
      <c r="C740" s="239">
        <v>28.62</v>
      </c>
      <c r="D740" s="239">
        <v>29.78</v>
      </c>
      <c r="E740" s="239">
        <v>30.91</v>
      </c>
      <c r="F740" s="239">
        <v>32.130000000000003</v>
      </c>
      <c r="G740" s="239">
        <v>33.26</v>
      </c>
      <c r="H740" s="239">
        <v>34.42</v>
      </c>
      <c r="I740" s="239">
        <v>35.56</v>
      </c>
      <c r="J740" s="239">
        <v>21.29</v>
      </c>
      <c r="K740" s="239">
        <v>15.02</v>
      </c>
      <c r="L740" s="239">
        <v>16.350000000000001</v>
      </c>
      <c r="M740" s="239">
        <v>14.35</v>
      </c>
      <c r="N740" s="239">
        <v>14.68</v>
      </c>
      <c r="S740" s="1"/>
      <c r="T740" s="1"/>
      <c r="U740" s="1"/>
      <c r="V740" s="1"/>
      <c r="W740" s="1"/>
      <c r="X740" s="1"/>
      <c r="Y740" s="1"/>
      <c r="Z740" s="1"/>
      <c r="AD740"/>
      <c r="AE740"/>
      <c r="AF740"/>
      <c r="AG740"/>
      <c r="AH740"/>
      <c r="AI740"/>
      <c r="AJ740"/>
      <c r="AK740"/>
      <c r="AN740" s="1"/>
      <c r="AT740" s="1"/>
      <c r="AU740" s="1"/>
      <c r="AV740" s="1"/>
      <c r="AW740" s="1"/>
      <c r="AX740" s="1"/>
      <c r="AY740" s="1"/>
      <c r="AZ740"/>
      <c r="BA740"/>
      <c r="BB740"/>
      <c r="BC740"/>
      <c r="BD740"/>
      <c r="BE740"/>
    </row>
    <row r="741" spans="1:57">
      <c r="A741" s="239" t="s">
        <v>529</v>
      </c>
      <c r="B741" s="239">
        <v>45.98</v>
      </c>
      <c r="C741" s="239">
        <v>51.67</v>
      </c>
      <c r="D741" s="239">
        <v>53.73</v>
      </c>
      <c r="E741" s="239">
        <v>55.81</v>
      </c>
      <c r="F741" s="239">
        <v>61.44</v>
      </c>
      <c r="G741" s="239">
        <v>63.63</v>
      </c>
      <c r="H741" s="239">
        <v>65.81</v>
      </c>
      <c r="I741" s="239">
        <v>68.03</v>
      </c>
      <c r="J741" s="239">
        <v>40.71</v>
      </c>
      <c r="K741" s="239">
        <v>28.72</v>
      </c>
      <c r="L741" s="239">
        <v>31.29</v>
      </c>
      <c r="M741" s="239">
        <v>27.42</v>
      </c>
      <c r="N741" s="239">
        <v>28.09</v>
      </c>
      <c r="S741" s="1"/>
      <c r="T741" s="1"/>
      <c r="U741" s="1"/>
      <c r="V741" s="1"/>
      <c r="W741" s="1"/>
      <c r="X741" s="1"/>
      <c r="Y741" s="1"/>
      <c r="Z741" s="1"/>
      <c r="AD741"/>
      <c r="AE741"/>
      <c r="AF741"/>
      <c r="AG741"/>
      <c r="AH741"/>
      <c r="AI741"/>
      <c r="AJ741"/>
      <c r="AK741"/>
      <c r="AN741" s="1"/>
      <c r="AT741" s="1"/>
      <c r="AU741" s="1"/>
      <c r="AV741" s="1"/>
      <c r="AW741" s="1"/>
      <c r="AX741" s="1"/>
      <c r="AY741" s="1"/>
      <c r="AZ741"/>
      <c r="BA741"/>
      <c r="BB741"/>
      <c r="BC741"/>
      <c r="BD741"/>
      <c r="BE741"/>
    </row>
    <row r="742" spans="1:57">
      <c r="A742" s="239" t="s">
        <v>530</v>
      </c>
      <c r="B742" s="239">
        <v>40.26</v>
      </c>
      <c r="C742" s="239">
        <v>45.21</v>
      </c>
      <c r="D742" s="239">
        <v>47.01</v>
      </c>
      <c r="E742" s="239">
        <v>48.83</v>
      </c>
      <c r="F742" s="239">
        <v>53.22</v>
      </c>
      <c r="G742" s="239">
        <v>55.12</v>
      </c>
      <c r="H742" s="239">
        <v>57.02</v>
      </c>
      <c r="I742" s="239">
        <v>58.91</v>
      </c>
      <c r="J742" s="239">
        <v>35.270000000000003</v>
      </c>
      <c r="K742" s="239">
        <v>24.89</v>
      </c>
      <c r="L742" s="239">
        <v>27.09</v>
      </c>
      <c r="M742" s="239">
        <v>23.76</v>
      </c>
      <c r="N742" s="239">
        <v>24.33</v>
      </c>
      <c r="S742" s="1"/>
      <c r="T742" s="1"/>
      <c r="U742" s="1"/>
      <c r="V742" s="1"/>
      <c r="W742" s="1"/>
      <c r="X742" s="1"/>
      <c r="Y742" s="1"/>
      <c r="Z742" s="1"/>
      <c r="AD742"/>
      <c r="AE742"/>
      <c r="AF742"/>
      <c r="AG742"/>
      <c r="AH742"/>
      <c r="AI742"/>
      <c r="AJ742"/>
      <c r="AK742"/>
      <c r="AN742" s="1"/>
      <c r="AT742" s="1"/>
      <c r="AU742" s="1"/>
      <c r="AV742" s="1"/>
      <c r="AW742" s="1"/>
      <c r="AX742" s="1"/>
      <c r="AY742" s="1"/>
      <c r="AZ742"/>
      <c r="BA742"/>
      <c r="BB742"/>
      <c r="BC742"/>
      <c r="BD742"/>
      <c r="BE742"/>
    </row>
    <row r="743" spans="1:57">
      <c r="A743" s="239" t="s">
        <v>531</v>
      </c>
      <c r="B743" s="239">
        <v>40.28</v>
      </c>
      <c r="C743" s="239">
        <v>45.23</v>
      </c>
      <c r="D743" s="239">
        <v>47.06</v>
      </c>
      <c r="E743" s="239">
        <v>48.87</v>
      </c>
      <c r="F743" s="239">
        <v>53.27</v>
      </c>
      <c r="G743" s="239">
        <v>55.15</v>
      </c>
      <c r="H743" s="239">
        <v>57.06</v>
      </c>
      <c r="I743" s="239">
        <v>58.96</v>
      </c>
      <c r="J743" s="239">
        <v>35.29</v>
      </c>
      <c r="K743" s="239">
        <v>24.9</v>
      </c>
      <c r="L743" s="239">
        <v>27.12</v>
      </c>
      <c r="M743" s="239">
        <v>23.78</v>
      </c>
      <c r="N743" s="239">
        <v>24.36</v>
      </c>
      <c r="S743" s="1"/>
      <c r="T743" s="1"/>
      <c r="U743" s="1"/>
      <c r="V743" s="1"/>
      <c r="W743" s="1"/>
      <c r="X743" s="1"/>
      <c r="Y743" s="1"/>
      <c r="Z743" s="1"/>
      <c r="AD743"/>
      <c r="AE743"/>
      <c r="AF743"/>
      <c r="AG743"/>
      <c r="AH743"/>
      <c r="AI743"/>
      <c r="AJ743"/>
      <c r="AK743"/>
      <c r="AN743" s="1"/>
      <c r="AT743" s="1"/>
      <c r="AU743" s="1"/>
      <c r="AV743" s="1"/>
      <c r="AW743" s="1"/>
      <c r="AX743" s="1"/>
      <c r="AY743" s="1"/>
      <c r="AZ743"/>
      <c r="BA743"/>
      <c r="BB743"/>
      <c r="BC743"/>
      <c r="BD743"/>
      <c r="BE743"/>
    </row>
    <row r="744" spans="1:57">
      <c r="A744" s="239" t="s">
        <v>532</v>
      </c>
      <c r="B744" s="239">
        <v>50.35</v>
      </c>
      <c r="C744" s="239">
        <v>56.54</v>
      </c>
      <c r="D744" s="239">
        <v>58.83</v>
      </c>
      <c r="E744" s="239">
        <v>61.09</v>
      </c>
      <c r="F744" s="239">
        <v>66.56</v>
      </c>
      <c r="G744" s="239">
        <v>68.97</v>
      </c>
      <c r="H744" s="239">
        <v>71.33</v>
      </c>
      <c r="I744" s="239">
        <v>73.7</v>
      </c>
      <c r="J744" s="239">
        <v>44.13</v>
      </c>
      <c r="K744" s="239">
        <v>31.14</v>
      </c>
      <c r="L744" s="239">
        <v>33.880000000000003</v>
      </c>
      <c r="M744" s="239">
        <v>29.72</v>
      </c>
      <c r="N744" s="239">
        <v>30.45</v>
      </c>
      <c r="S744" s="1"/>
      <c r="T744" s="1"/>
      <c r="U744" s="1"/>
      <c r="V744" s="1"/>
      <c r="W744" s="1"/>
      <c r="X744" s="1"/>
      <c r="Y744" s="1"/>
      <c r="Z744" s="1"/>
      <c r="AD744"/>
      <c r="AE744"/>
      <c r="AF744"/>
      <c r="AG744"/>
      <c r="AH744"/>
      <c r="AI744"/>
      <c r="AJ744"/>
      <c r="AK744"/>
      <c r="AN744" s="1"/>
      <c r="AT744" s="1"/>
      <c r="AU744" s="1"/>
      <c r="AV744" s="1"/>
      <c r="AW744" s="1"/>
      <c r="AX744" s="1"/>
      <c r="AY744" s="1"/>
      <c r="AZ744"/>
      <c r="BA744"/>
      <c r="BB744"/>
      <c r="BC744"/>
      <c r="BD744"/>
      <c r="BE744"/>
    </row>
    <row r="745" spans="1:57">
      <c r="A745" s="239" t="s">
        <v>533</v>
      </c>
      <c r="B745" s="239">
        <v>38.74</v>
      </c>
      <c r="C745" s="239">
        <v>43.52</v>
      </c>
      <c r="D745" s="239">
        <v>45.25</v>
      </c>
      <c r="E745" s="239">
        <v>46.99</v>
      </c>
      <c r="F745" s="239">
        <v>51.06</v>
      </c>
      <c r="G745" s="239">
        <v>52.84</v>
      </c>
      <c r="H745" s="239">
        <v>54.7</v>
      </c>
      <c r="I745" s="239">
        <v>56.53</v>
      </c>
      <c r="J745" s="239">
        <v>33.840000000000003</v>
      </c>
      <c r="K745" s="239">
        <v>23.88</v>
      </c>
      <c r="L745" s="239">
        <v>25.99</v>
      </c>
      <c r="M745" s="239">
        <v>22.8</v>
      </c>
      <c r="N745" s="239">
        <v>23.34</v>
      </c>
      <c r="S745" s="1"/>
      <c r="T745" s="1"/>
      <c r="U745" s="1"/>
      <c r="V745" s="1"/>
      <c r="W745" s="1"/>
      <c r="X745" s="1"/>
      <c r="Y745" s="1"/>
      <c r="Z745" s="1"/>
      <c r="AD745"/>
      <c r="AE745"/>
      <c r="AF745"/>
      <c r="AG745"/>
      <c r="AH745"/>
      <c r="AI745"/>
      <c r="AJ745"/>
      <c r="AK745"/>
      <c r="AN745" s="1"/>
      <c r="AT745" s="1"/>
      <c r="AU745" s="1"/>
      <c r="AV745" s="1"/>
      <c r="AW745" s="1"/>
      <c r="AX745" s="1"/>
      <c r="AY745" s="1"/>
      <c r="AZ745"/>
      <c r="BA745"/>
      <c r="BB745"/>
      <c r="BC745"/>
      <c r="BD745"/>
      <c r="BE745"/>
    </row>
    <row r="746" spans="1:57">
      <c r="A746" s="239" t="s">
        <v>534</v>
      </c>
      <c r="B746" s="239">
        <v>52.84</v>
      </c>
      <c r="C746" s="239">
        <v>59.4</v>
      </c>
      <c r="D746" s="239">
        <v>61.8</v>
      </c>
      <c r="E746" s="239">
        <v>64.150000000000006</v>
      </c>
      <c r="F746" s="239">
        <v>70.66</v>
      </c>
      <c r="G746" s="239">
        <v>73.17</v>
      </c>
      <c r="H746" s="239">
        <v>75.69</v>
      </c>
      <c r="I746" s="239">
        <v>78.2</v>
      </c>
      <c r="J746" s="239">
        <v>46.82</v>
      </c>
      <c r="K746" s="239">
        <v>33.04</v>
      </c>
      <c r="L746" s="239">
        <v>35.96</v>
      </c>
      <c r="M746" s="239">
        <v>31.54</v>
      </c>
      <c r="N746" s="239">
        <v>32.299999999999997</v>
      </c>
      <c r="S746" s="1"/>
      <c r="T746" s="1"/>
      <c r="U746" s="1"/>
      <c r="V746" s="1"/>
      <c r="W746" s="1"/>
      <c r="X746" s="1"/>
      <c r="Y746" s="1"/>
      <c r="Z746" s="1"/>
      <c r="AD746"/>
      <c r="AE746"/>
      <c r="AF746"/>
      <c r="AG746"/>
      <c r="AH746"/>
      <c r="AI746"/>
      <c r="AJ746"/>
      <c r="AK746"/>
      <c r="AN746" s="1"/>
      <c r="AT746" s="1"/>
      <c r="AU746" s="1"/>
      <c r="AV746" s="1"/>
      <c r="AW746" s="1"/>
      <c r="AX746" s="1"/>
      <c r="AY746" s="1"/>
      <c r="AZ746"/>
      <c r="BA746"/>
      <c r="BB746"/>
      <c r="BC746"/>
      <c r="BD746"/>
      <c r="BE746"/>
    </row>
    <row r="747" spans="1:57">
      <c r="A747" s="239" t="s">
        <v>535</v>
      </c>
      <c r="B747" s="239">
        <v>114.05</v>
      </c>
      <c r="C747" s="239">
        <v>128.13999999999999</v>
      </c>
      <c r="D747" s="239">
        <v>133.24</v>
      </c>
      <c r="E747" s="239">
        <v>138.38999999999999</v>
      </c>
      <c r="F747" s="239">
        <v>154.15</v>
      </c>
      <c r="G747" s="239">
        <v>159.66</v>
      </c>
      <c r="H747" s="239">
        <v>165.18</v>
      </c>
      <c r="I747" s="239">
        <v>170.68</v>
      </c>
      <c r="J747" s="239">
        <v>102.16</v>
      </c>
      <c r="K747" s="239">
        <v>72.09</v>
      </c>
      <c r="L747" s="239">
        <v>78.5</v>
      </c>
      <c r="M747" s="239">
        <v>68.81</v>
      </c>
      <c r="N747" s="239">
        <v>70.48</v>
      </c>
      <c r="S747" s="1"/>
      <c r="T747" s="1"/>
      <c r="U747" s="1"/>
      <c r="V747" s="1"/>
      <c r="W747" s="1"/>
      <c r="X747" s="1"/>
      <c r="Y747" s="1"/>
      <c r="Z747" s="1"/>
      <c r="AD747"/>
      <c r="AE747"/>
      <c r="AF747"/>
      <c r="AG747"/>
      <c r="AH747"/>
      <c r="AI747"/>
      <c r="AJ747"/>
      <c r="AK747"/>
      <c r="AN747" s="1"/>
      <c r="AT747" s="1"/>
      <c r="AU747" s="1"/>
      <c r="AV747" s="1"/>
      <c r="AW747" s="1"/>
      <c r="AX747" s="1"/>
      <c r="AY747" s="1"/>
      <c r="AZ747"/>
      <c r="BA747"/>
      <c r="BB747"/>
      <c r="BC747"/>
      <c r="BD747"/>
      <c r="BE747"/>
    </row>
    <row r="748" spans="1:57">
      <c r="A748" s="239" t="s">
        <v>536</v>
      </c>
      <c r="B748" s="239">
        <v>42.55</v>
      </c>
      <c r="C748" s="239">
        <v>47.82</v>
      </c>
      <c r="D748" s="239">
        <v>49.72</v>
      </c>
      <c r="E748" s="239">
        <v>51.64</v>
      </c>
      <c r="F748" s="239">
        <v>56.52</v>
      </c>
      <c r="G748" s="239">
        <v>58.53</v>
      </c>
      <c r="H748" s="239">
        <v>60.56</v>
      </c>
      <c r="I748" s="239">
        <v>62.58</v>
      </c>
      <c r="J748" s="239">
        <v>37.450000000000003</v>
      </c>
      <c r="K748" s="239">
        <v>26.44</v>
      </c>
      <c r="L748" s="239">
        <v>28.79</v>
      </c>
      <c r="M748" s="239">
        <v>25.23</v>
      </c>
      <c r="N748" s="239">
        <v>25.83</v>
      </c>
      <c r="S748" s="1"/>
      <c r="T748" s="1"/>
      <c r="U748" s="1"/>
      <c r="V748" s="1"/>
      <c r="W748" s="1"/>
      <c r="X748" s="1"/>
      <c r="Y748" s="1"/>
      <c r="Z748" s="1"/>
      <c r="AD748"/>
      <c r="AE748"/>
      <c r="AF748"/>
      <c r="AG748"/>
      <c r="AH748"/>
      <c r="AI748"/>
      <c r="AJ748"/>
      <c r="AK748"/>
      <c r="AN748" s="1"/>
      <c r="AT748" s="1"/>
      <c r="AU748" s="1"/>
      <c r="AV748" s="1"/>
      <c r="AW748" s="1"/>
      <c r="AX748" s="1"/>
      <c r="AY748" s="1"/>
      <c r="AZ748"/>
      <c r="BA748"/>
      <c r="BB748"/>
      <c r="BC748"/>
      <c r="BD748"/>
      <c r="BE748"/>
    </row>
    <row r="749" spans="1:57">
      <c r="A749" s="239" t="s">
        <v>537</v>
      </c>
      <c r="B749" s="239">
        <v>32.17</v>
      </c>
      <c r="C749" s="239">
        <v>36.130000000000003</v>
      </c>
      <c r="D749" s="239">
        <v>37.590000000000003</v>
      </c>
      <c r="E749" s="239">
        <v>39.06</v>
      </c>
      <c r="F749" s="239">
        <v>41.68</v>
      </c>
      <c r="G749" s="239">
        <v>43.17</v>
      </c>
      <c r="H749" s="239">
        <v>44.65</v>
      </c>
      <c r="I749" s="239">
        <v>46.14</v>
      </c>
      <c r="J749" s="239">
        <v>27.64</v>
      </c>
      <c r="K749" s="239">
        <v>19.5</v>
      </c>
      <c r="L749" s="239">
        <v>21.22</v>
      </c>
      <c r="M749" s="239">
        <v>18.61</v>
      </c>
      <c r="N749" s="239">
        <v>19.059999999999999</v>
      </c>
      <c r="S749" s="1"/>
      <c r="T749" s="1"/>
      <c r="U749" s="1"/>
      <c r="V749" s="1"/>
      <c r="W749" s="1"/>
      <c r="X749" s="1"/>
      <c r="Y749" s="1"/>
      <c r="Z749" s="1"/>
      <c r="AD749"/>
      <c r="AE749"/>
      <c r="AF749"/>
      <c r="AG749"/>
      <c r="AH749"/>
      <c r="AI749"/>
      <c r="AJ749"/>
      <c r="AK749"/>
      <c r="AN749" s="1"/>
      <c r="AT749" s="1"/>
      <c r="AU749" s="1"/>
      <c r="AV749" s="1"/>
      <c r="AW749" s="1"/>
      <c r="AX749" s="1"/>
      <c r="AY749" s="1"/>
      <c r="AZ749"/>
      <c r="BA749"/>
      <c r="BB749"/>
      <c r="BC749"/>
      <c r="BD749"/>
      <c r="BE749"/>
    </row>
    <row r="750" spans="1:57">
      <c r="A750" s="239" t="s">
        <v>538</v>
      </c>
      <c r="B750" s="239">
        <v>40.24</v>
      </c>
      <c r="C750" s="239">
        <v>45.19</v>
      </c>
      <c r="D750" s="239">
        <v>46.99</v>
      </c>
      <c r="E750" s="239">
        <v>48.8</v>
      </c>
      <c r="F750" s="239">
        <v>52.12</v>
      </c>
      <c r="G750" s="239">
        <v>53.98</v>
      </c>
      <c r="H750" s="239">
        <v>55.85</v>
      </c>
      <c r="I750" s="239">
        <v>57.68</v>
      </c>
      <c r="J750" s="239">
        <v>34.520000000000003</v>
      </c>
      <c r="K750" s="239">
        <v>24.37</v>
      </c>
      <c r="L750" s="239">
        <v>26.53</v>
      </c>
      <c r="M750" s="239">
        <v>23.26</v>
      </c>
      <c r="N750" s="239">
        <v>23.83</v>
      </c>
      <c r="S750" s="1"/>
      <c r="T750" s="1"/>
      <c r="U750" s="1"/>
      <c r="V750" s="1"/>
      <c r="W750" s="1"/>
      <c r="X750" s="1"/>
      <c r="Y750" s="1"/>
      <c r="Z750" s="1"/>
      <c r="AD750"/>
      <c r="AE750"/>
      <c r="AF750"/>
      <c r="AG750"/>
      <c r="AH750"/>
      <c r="AI750"/>
      <c r="AJ750"/>
      <c r="AK750"/>
      <c r="AN750" s="1"/>
      <c r="AT750" s="1"/>
      <c r="AU750" s="1"/>
      <c r="AV750" s="1"/>
      <c r="AW750" s="1"/>
      <c r="AX750" s="1"/>
      <c r="AY750" s="1"/>
      <c r="AZ750"/>
      <c r="BA750"/>
      <c r="BB750"/>
      <c r="BC750"/>
      <c r="BD750"/>
      <c r="BE750"/>
    </row>
    <row r="751" spans="1:57">
      <c r="A751" s="239" t="s">
        <v>539</v>
      </c>
      <c r="B751" s="239">
        <v>43.83</v>
      </c>
      <c r="C751" s="239">
        <v>49.24</v>
      </c>
      <c r="D751" s="239">
        <v>51.23</v>
      </c>
      <c r="E751" s="239">
        <v>53.2</v>
      </c>
      <c r="F751" s="239">
        <v>58.16</v>
      </c>
      <c r="G751" s="239">
        <v>60.22</v>
      </c>
      <c r="H751" s="239">
        <v>62.31</v>
      </c>
      <c r="I751" s="239">
        <v>64.39</v>
      </c>
      <c r="J751" s="239">
        <v>38.53</v>
      </c>
      <c r="K751" s="239">
        <v>27.2</v>
      </c>
      <c r="L751" s="239">
        <v>29.6</v>
      </c>
      <c r="M751" s="239">
        <v>25.96</v>
      </c>
      <c r="N751" s="239">
        <v>26.58</v>
      </c>
      <c r="S751" s="1"/>
      <c r="T751" s="1"/>
      <c r="U751" s="1"/>
      <c r="V751" s="1"/>
      <c r="W751" s="1"/>
      <c r="X751" s="1"/>
      <c r="Y751" s="1"/>
      <c r="Z751" s="1"/>
      <c r="AD751"/>
      <c r="AE751"/>
      <c r="AF751"/>
      <c r="AG751"/>
      <c r="AH751"/>
      <c r="AI751"/>
      <c r="AJ751"/>
      <c r="AK751"/>
      <c r="AN751" s="1"/>
      <c r="AT751" s="1"/>
      <c r="AU751" s="1"/>
      <c r="AV751" s="1"/>
      <c r="AW751" s="1"/>
      <c r="AX751" s="1"/>
      <c r="AY751" s="1"/>
      <c r="AZ751"/>
      <c r="BA751"/>
      <c r="BB751"/>
      <c r="BC751"/>
      <c r="BD751"/>
      <c r="BE751"/>
    </row>
    <row r="752" spans="1:57">
      <c r="A752" s="239" t="s">
        <v>540</v>
      </c>
      <c r="B752" s="239">
        <v>43.07</v>
      </c>
      <c r="C752" s="239">
        <v>48.39</v>
      </c>
      <c r="D752" s="239">
        <v>50.32</v>
      </c>
      <c r="E752" s="239">
        <v>52.25</v>
      </c>
      <c r="F752" s="239">
        <v>57.27</v>
      </c>
      <c r="G752" s="239">
        <v>59.31</v>
      </c>
      <c r="H752" s="239">
        <v>61.32</v>
      </c>
      <c r="I752" s="239">
        <v>63.39</v>
      </c>
      <c r="J752" s="239">
        <v>37.93</v>
      </c>
      <c r="K752" s="239">
        <v>26.77</v>
      </c>
      <c r="L752" s="239">
        <v>29.16</v>
      </c>
      <c r="M752" s="239">
        <v>25.56</v>
      </c>
      <c r="N752" s="239">
        <v>26.18</v>
      </c>
      <c r="S752" s="1"/>
      <c r="T752" s="1"/>
      <c r="U752" s="1"/>
      <c r="V752" s="1"/>
      <c r="W752" s="1"/>
      <c r="X752" s="1"/>
      <c r="Y752" s="1"/>
      <c r="Z752" s="1"/>
      <c r="AD752"/>
      <c r="AE752"/>
      <c r="AF752"/>
      <c r="AG752"/>
      <c r="AH752"/>
      <c r="AI752"/>
      <c r="AJ752"/>
      <c r="AK752"/>
      <c r="AN752" s="1"/>
      <c r="AT752" s="1"/>
      <c r="AU752" s="1"/>
      <c r="AV752" s="1"/>
      <c r="AW752" s="1"/>
      <c r="AX752" s="1"/>
      <c r="AY752" s="1"/>
      <c r="AZ752"/>
      <c r="BA752"/>
      <c r="BB752"/>
      <c r="BC752"/>
      <c r="BD752"/>
      <c r="BE752"/>
    </row>
    <row r="753" spans="1:57">
      <c r="A753" s="239" t="s">
        <v>541</v>
      </c>
      <c r="B753" s="239">
        <v>45.33</v>
      </c>
      <c r="C753" s="239">
        <v>50.91</v>
      </c>
      <c r="D753" s="239">
        <v>52.97</v>
      </c>
      <c r="E753" s="239">
        <v>55</v>
      </c>
      <c r="F753" s="239">
        <v>60.49</v>
      </c>
      <c r="G753" s="239">
        <v>62.63</v>
      </c>
      <c r="H753" s="239">
        <v>64.8</v>
      </c>
      <c r="I753" s="239">
        <v>66.97</v>
      </c>
      <c r="J753" s="239">
        <v>40.07</v>
      </c>
      <c r="K753" s="239">
        <v>28.27</v>
      </c>
      <c r="L753" s="239">
        <v>30.79</v>
      </c>
      <c r="M753" s="239">
        <v>27.01</v>
      </c>
      <c r="N753" s="239">
        <v>27.65</v>
      </c>
      <c r="S753" s="1"/>
      <c r="T753" s="1"/>
      <c r="U753" s="1"/>
      <c r="V753" s="1"/>
      <c r="W753" s="1"/>
      <c r="X753" s="1"/>
      <c r="Y753" s="1"/>
      <c r="Z753" s="1"/>
      <c r="AD753"/>
      <c r="AE753"/>
      <c r="AF753"/>
      <c r="AG753"/>
      <c r="AH753"/>
      <c r="AI753"/>
      <c r="AJ753"/>
      <c r="AK753"/>
      <c r="AN753" s="1"/>
      <c r="AT753" s="1"/>
      <c r="AU753" s="1"/>
      <c r="AV753" s="1"/>
      <c r="AW753" s="1"/>
      <c r="AX753" s="1"/>
      <c r="AY753" s="1"/>
      <c r="AZ753"/>
      <c r="BA753"/>
      <c r="BB753"/>
      <c r="BC753"/>
      <c r="BD753"/>
      <c r="BE753"/>
    </row>
    <row r="754" spans="1:57">
      <c r="A754" s="239" t="s">
        <v>542</v>
      </c>
      <c r="B754" s="239">
        <v>50.46</v>
      </c>
      <c r="C754" s="239">
        <v>56.71</v>
      </c>
      <c r="D754" s="239">
        <v>58.96</v>
      </c>
      <c r="E754" s="239">
        <v>61.25</v>
      </c>
      <c r="F754" s="239">
        <v>67.84</v>
      </c>
      <c r="G754" s="239">
        <v>70.28</v>
      </c>
      <c r="H754" s="239">
        <v>72.69</v>
      </c>
      <c r="I754" s="239">
        <v>75.11</v>
      </c>
      <c r="J754" s="239">
        <v>44.96</v>
      </c>
      <c r="K754" s="239">
        <v>31.72</v>
      </c>
      <c r="L754" s="239">
        <v>34.549999999999997</v>
      </c>
      <c r="M754" s="239">
        <v>30.28</v>
      </c>
      <c r="N754" s="239">
        <v>31.02</v>
      </c>
      <c r="S754" s="1"/>
      <c r="T754" s="1"/>
      <c r="U754" s="1"/>
      <c r="V754" s="1"/>
      <c r="W754" s="1"/>
      <c r="X754" s="1"/>
      <c r="Y754" s="1"/>
      <c r="Z754" s="1"/>
      <c r="AD754"/>
      <c r="AE754"/>
      <c r="AF754"/>
      <c r="AG754"/>
      <c r="AH754"/>
      <c r="AI754"/>
      <c r="AJ754"/>
      <c r="AK754"/>
      <c r="AN754" s="1"/>
      <c r="AT754" s="1"/>
      <c r="AU754" s="1"/>
      <c r="AV754" s="1"/>
      <c r="AW754" s="1"/>
      <c r="AX754" s="1"/>
      <c r="AY754" s="1"/>
      <c r="AZ754"/>
      <c r="BA754"/>
      <c r="BB754"/>
      <c r="BC754"/>
      <c r="BD754"/>
      <c r="BE754"/>
    </row>
    <row r="755" spans="1:57">
      <c r="A755" s="239" t="s">
        <v>543</v>
      </c>
      <c r="B755" s="239">
        <v>29.89</v>
      </c>
      <c r="C755" s="239">
        <v>33.56</v>
      </c>
      <c r="D755" s="239">
        <v>34.92</v>
      </c>
      <c r="E755" s="239">
        <v>36.26</v>
      </c>
      <c r="F755" s="239">
        <v>38.409999999999997</v>
      </c>
      <c r="G755" s="239">
        <v>39.770000000000003</v>
      </c>
      <c r="H755" s="239">
        <v>41.16</v>
      </c>
      <c r="I755" s="239">
        <v>42.53</v>
      </c>
      <c r="J755" s="239">
        <v>25.43</v>
      </c>
      <c r="K755" s="239">
        <v>17.96</v>
      </c>
      <c r="L755" s="239">
        <v>19.55</v>
      </c>
      <c r="M755" s="239">
        <v>17.14</v>
      </c>
      <c r="N755" s="239">
        <v>17.559999999999999</v>
      </c>
      <c r="S755" s="1"/>
      <c r="T755" s="1"/>
      <c r="U755" s="1"/>
      <c r="V755" s="1"/>
      <c r="W755" s="1"/>
      <c r="X755" s="1"/>
      <c r="Y755" s="1"/>
      <c r="Z755" s="1"/>
      <c r="AD755"/>
      <c r="AE755"/>
      <c r="AF755"/>
      <c r="AG755"/>
      <c r="AH755"/>
      <c r="AI755"/>
      <c r="AJ755"/>
      <c r="AK755"/>
      <c r="AN755" s="1"/>
      <c r="AT755" s="1"/>
      <c r="AU755" s="1"/>
      <c r="AV755" s="1"/>
      <c r="AW755" s="1"/>
      <c r="AX755" s="1"/>
      <c r="AY755" s="1"/>
      <c r="AZ755"/>
      <c r="BA755"/>
      <c r="BB755"/>
      <c r="BC755"/>
      <c r="BD755"/>
      <c r="BE755"/>
    </row>
    <row r="756" spans="1:57">
      <c r="A756" s="239" t="s">
        <v>544</v>
      </c>
      <c r="B756" s="239">
        <v>32.51</v>
      </c>
      <c r="C756" s="239">
        <v>36.51</v>
      </c>
      <c r="D756" s="239">
        <v>37.97</v>
      </c>
      <c r="E756" s="239">
        <v>39.409999999999997</v>
      </c>
      <c r="F756" s="239">
        <v>42.13</v>
      </c>
      <c r="G756" s="239">
        <v>43.64</v>
      </c>
      <c r="H756" s="239">
        <v>45.17</v>
      </c>
      <c r="I756" s="239">
        <v>46.65</v>
      </c>
      <c r="J756" s="239">
        <v>27.92</v>
      </c>
      <c r="K756" s="239">
        <v>19.71</v>
      </c>
      <c r="L756" s="239">
        <v>21.48</v>
      </c>
      <c r="M756" s="239">
        <v>18.809999999999999</v>
      </c>
      <c r="N756" s="239">
        <v>19.27</v>
      </c>
      <c r="S756" s="1"/>
      <c r="T756" s="1"/>
      <c r="U756" s="1"/>
      <c r="V756" s="1"/>
      <c r="W756" s="1"/>
      <c r="X756" s="1"/>
      <c r="Y756" s="1"/>
      <c r="Z756" s="1"/>
      <c r="AD756"/>
      <c r="AE756"/>
      <c r="AF756"/>
      <c r="AG756"/>
      <c r="AH756"/>
      <c r="AI756"/>
      <c r="AJ756"/>
      <c r="AK756"/>
      <c r="AN756" s="1"/>
      <c r="AT756" s="1"/>
      <c r="AU756" s="1"/>
      <c r="AV756" s="1"/>
      <c r="AW756" s="1"/>
      <c r="AX756" s="1"/>
      <c r="AY756" s="1"/>
      <c r="AZ756"/>
      <c r="BA756"/>
      <c r="BB756"/>
      <c r="BC756"/>
      <c r="BD756"/>
      <c r="BE756"/>
    </row>
    <row r="757" spans="1:57">
      <c r="A757" s="239" t="s">
        <v>545</v>
      </c>
      <c r="B757" s="239">
        <v>36.520000000000003</v>
      </c>
      <c r="C757" s="239">
        <v>41.06</v>
      </c>
      <c r="D757" s="239">
        <v>42.68</v>
      </c>
      <c r="E757" s="239">
        <v>44.35</v>
      </c>
      <c r="F757" s="239">
        <v>47.91</v>
      </c>
      <c r="G757" s="239">
        <v>49.64</v>
      </c>
      <c r="H757" s="239">
        <v>51.33</v>
      </c>
      <c r="I757" s="239">
        <v>53.07</v>
      </c>
      <c r="J757" s="239">
        <v>31.75</v>
      </c>
      <c r="K757" s="239">
        <v>22.4</v>
      </c>
      <c r="L757" s="239">
        <v>24.41</v>
      </c>
      <c r="M757" s="239">
        <v>21.39</v>
      </c>
      <c r="N757" s="239">
        <v>21.9</v>
      </c>
      <c r="S757" s="1"/>
      <c r="T757" s="1"/>
      <c r="U757" s="1"/>
      <c r="V757" s="1"/>
      <c r="W757" s="1"/>
      <c r="X757" s="1"/>
      <c r="Y757" s="1"/>
      <c r="Z757" s="1"/>
      <c r="AD757"/>
      <c r="AE757"/>
      <c r="AF757"/>
      <c r="AG757"/>
      <c r="AH757"/>
      <c r="AI757"/>
      <c r="AJ757"/>
      <c r="AK757"/>
      <c r="AN757" s="1"/>
      <c r="AT757" s="1"/>
      <c r="AU757" s="1"/>
      <c r="AV757" s="1"/>
      <c r="AW757" s="1"/>
      <c r="AX757" s="1"/>
      <c r="AY757" s="1"/>
      <c r="AZ757"/>
      <c r="BA757"/>
      <c r="BB757"/>
      <c r="BC757"/>
      <c r="BD757"/>
      <c r="BE757"/>
    </row>
    <row r="758" spans="1:57">
      <c r="A758" s="239" t="s">
        <v>546</v>
      </c>
      <c r="B758" s="239">
        <v>45.67</v>
      </c>
      <c r="C758" s="239">
        <v>51.3</v>
      </c>
      <c r="D758" s="239">
        <v>53.36</v>
      </c>
      <c r="E758" s="239">
        <v>55.42</v>
      </c>
      <c r="F758" s="239">
        <v>59.89</v>
      </c>
      <c r="G758" s="239">
        <v>62.04</v>
      </c>
      <c r="H758" s="239">
        <v>64.16</v>
      </c>
      <c r="I758" s="239">
        <v>66.31</v>
      </c>
      <c r="J758" s="239">
        <v>39.700000000000003</v>
      </c>
      <c r="K758" s="239">
        <v>28.02</v>
      </c>
      <c r="L758" s="239">
        <v>30.5</v>
      </c>
      <c r="M758" s="239">
        <v>26.74</v>
      </c>
      <c r="N758" s="239">
        <v>27.39</v>
      </c>
      <c r="S758" s="1"/>
      <c r="T758" s="1"/>
      <c r="U758" s="1"/>
      <c r="V758" s="1"/>
      <c r="W758" s="1"/>
      <c r="X758" s="1"/>
      <c r="Y758" s="1"/>
      <c r="Z758" s="1"/>
      <c r="AD758"/>
      <c r="AE758"/>
      <c r="AF758"/>
      <c r="AG758"/>
      <c r="AH758"/>
      <c r="AI758"/>
      <c r="AJ758"/>
      <c r="AK758"/>
      <c r="AN758" s="1"/>
      <c r="AT758" s="1"/>
      <c r="AU758" s="1"/>
      <c r="AV758" s="1"/>
      <c r="AW758" s="1"/>
      <c r="AX758" s="1"/>
      <c r="AY758" s="1"/>
      <c r="AZ758"/>
      <c r="BA758"/>
      <c r="BB758"/>
      <c r="BC758"/>
      <c r="BD758"/>
      <c r="BE758"/>
    </row>
    <row r="759" spans="1:57">
      <c r="A759" s="239" t="s">
        <v>547</v>
      </c>
      <c r="B759" s="239">
        <v>55.38</v>
      </c>
      <c r="C759" s="239">
        <v>62.2</v>
      </c>
      <c r="D759" s="239">
        <v>64.680000000000007</v>
      </c>
      <c r="E759" s="239">
        <v>67.180000000000007</v>
      </c>
      <c r="F759" s="239">
        <v>74.84</v>
      </c>
      <c r="G759" s="239">
        <v>77.53</v>
      </c>
      <c r="H759" s="239">
        <v>80.180000000000007</v>
      </c>
      <c r="I759" s="239">
        <v>82.86</v>
      </c>
      <c r="J759" s="239">
        <v>49.59</v>
      </c>
      <c r="K759" s="239">
        <v>35.01</v>
      </c>
      <c r="L759" s="239">
        <v>38.119999999999997</v>
      </c>
      <c r="M759" s="239">
        <v>33.42</v>
      </c>
      <c r="N759" s="239">
        <v>34.229999999999997</v>
      </c>
      <c r="S759" s="1"/>
      <c r="T759" s="1"/>
      <c r="U759" s="1"/>
      <c r="V759" s="1"/>
      <c r="W759" s="1"/>
      <c r="X759" s="1"/>
      <c r="Y759" s="1"/>
      <c r="Z759" s="1"/>
      <c r="AD759"/>
      <c r="AE759"/>
      <c r="AF759"/>
      <c r="AG759"/>
      <c r="AH759"/>
      <c r="AI759"/>
      <c r="AJ759"/>
      <c r="AK759"/>
      <c r="AN759" s="1"/>
      <c r="AT759" s="1"/>
      <c r="AU759" s="1"/>
      <c r="AV759" s="1"/>
      <c r="AW759" s="1"/>
      <c r="AX759" s="1"/>
      <c r="AY759" s="1"/>
      <c r="AZ759"/>
      <c r="BA759"/>
      <c r="BB759"/>
      <c r="BC759"/>
      <c r="BD759"/>
      <c r="BE759"/>
    </row>
    <row r="760" spans="1:57">
      <c r="A760" s="239" t="s">
        <v>548</v>
      </c>
      <c r="B760" s="239"/>
      <c r="C760" s="239"/>
      <c r="D760" s="239"/>
      <c r="E760" s="239"/>
      <c r="F760" s="239"/>
      <c r="G760" s="239"/>
      <c r="H760" s="239"/>
      <c r="I760" s="239"/>
      <c r="J760" s="239"/>
      <c r="K760" s="239"/>
      <c r="L760" s="239"/>
      <c r="M760" s="239"/>
      <c r="N760" s="239"/>
      <c r="S760" s="1"/>
      <c r="T760" s="1"/>
      <c r="U760" s="1"/>
      <c r="V760" s="1"/>
      <c r="W760" s="1"/>
      <c r="X760" s="1"/>
      <c r="Y760" s="1"/>
      <c r="Z760" s="1"/>
      <c r="AD760"/>
      <c r="AE760"/>
      <c r="AF760"/>
      <c r="AG760"/>
      <c r="AH760"/>
      <c r="AI760"/>
      <c r="AJ760"/>
      <c r="AK760"/>
      <c r="AN760" s="1"/>
      <c r="AT760" s="1"/>
      <c r="AU760" s="1"/>
      <c r="AV760" s="1"/>
      <c r="AW760" s="1"/>
      <c r="AX760" s="1"/>
      <c r="AY760" s="1"/>
      <c r="AZ760"/>
      <c r="BA760"/>
      <c r="BB760"/>
      <c r="BC760"/>
      <c r="BD760"/>
      <c r="BE760"/>
    </row>
    <row r="761" spans="1:57">
      <c r="A761" s="239" t="s">
        <v>549</v>
      </c>
      <c r="B761" s="239">
        <v>49.4</v>
      </c>
      <c r="C761" s="239">
        <v>55.48</v>
      </c>
      <c r="D761" s="239">
        <v>57.72</v>
      </c>
      <c r="E761" s="239">
        <v>59.91</v>
      </c>
      <c r="F761" s="239">
        <v>66.290000000000006</v>
      </c>
      <c r="G761" s="239">
        <v>68.67</v>
      </c>
      <c r="H761" s="239">
        <v>71.040000000000006</v>
      </c>
      <c r="I761" s="239">
        <v>73.39</v>
      </c>
      <c r="J761" s="239">
        <v>43.95</v>
      </c>
      <c r="K761" s="239">
        <v>31.01</v>
      </c>
      <c r="L761" s="239">
        <v>33.76</v>
      </c>
      <c r="M761" s="239">
        <v>29.59</v>
      </c>
      <c r="N761" s="239">
        <v>30.32</v>
      </c>
      <c r="S761" s="1"/>
      <c r="T761" s="1"/>
      <c r="U761" s="1"/>
      <c r="V761" s="1"/>
      <c r="W761" s="1"/>
      <c r="X761" s="1"/>
      <c r="Y761" s="1"/>
      <c r="Z761" s="1"/>
      <c r="AD761"/>
      <c r="AE761"/>
      <c r="AF761"/>
      <c r="AG761"/>
      <c r="AH761"/>
      <c r="AI761"/>
      <c r="AJ761"/>
      <c r="AK761"/>
      <c r="AN761" s="1"/>
      <c r="AT761" s="1"/>
      <c r="AU761" s="1"/>
      <c r="AV761" s="1"/>
      <c r="AW761" s="1"/>
      <c r="AX761" s="1"/>
      <c r="AY761" s="1"/>
      <c r="AZ761"/>
      <c r="BA761"/>
      <c r="BB761"/>
      <c r="BC761"/>
      <c r="BD761"/>
      <c r="BE761"/>
    </row>
    <row r="762" spans="1:57">
      <c r="A762" s="239" t="s">
        <v>550</v>
      </c>
      <c r="B762" s="239"/>
      <c r="C762" s="239"/>
      <c r="D762" s="239"/>
      <c r="E762" s="239"/>
      <c r="F762" s="239"/>
      <c r="G762" s="239"/>
      <c r="H762" s="239"/>
      <c r="I762" s="239"/>
      <c r="J762" s="239"/>
      <c r="K762" s="239"/>
      <c r="L762" s="239"/>
      <c r="M762" s="239"/>
      <c r="N762" s="239"/>
      <c r="S762" s="1"/>
      <c r="T762" s="1"/>
      <c r="U762" s="1"/>
      <c r="V762" s="1"/>
      <c r="W762" s="1"/>
      <c r="X762" s="1"/>
      <c r="Y762" s="1"/>
      <c r="Z762" s="1"/>
      <c r="AD762"/>
      <c r="AE762"/>
      <c r="AF762"/>
      <c r="AG762"/>
      <c r="AH762"/>
      <c r="AI762"/>
      <c r="AJ762"/>
      <c r="AK762"/>
      <c r="AN762" s="1"/>
      <c r="AT762" s="1"/>
      <c r="AU762" s="1"/>
      <c r="AV762" s="1"/>
      <c r="AW762" s="1"/>
      <c r="AX762" s="1"/>
      <c r="AY762" s="1"/>
      <c r="AZ762"/>
      <c r="BA762"/>
      <c r="BB762"/>
      <c r="BC762"/>
      <c r="BD762"/>
      <c r="BE762"/>
    </row>
    <row r="763" spans="1:57">
      <c r="A763" s="239" t="s">
        <v>551</v>
      </c>
      <c r="B763" s="239">
        <v>49.6</v>
      </c>
      <c r="C763" s="239">
        <v>55.72</v>
      </c>
      <c r="D763" s="239">
        <v>57.95</v>
      </c>
      <c r="E763" s="239">
        <v>60.18</v>
      </c>
      <c r="F763" s="239">
        <v>66.599999999999994</v>
      </c>
      <c r="G763" s="239">
        <v>68.98</v>
      </c>
      <c r="H763" s="239">
        <v>71.34</v>
      </c>
      <c r="I763" s="239">
        <v>73.72</v>
      </c>
      <c r="J763" s="239">
        <v>44.14</v>
      </c>
      <c r="K763" s="239">
        <v>31.14</v>
      </c>
      <c r="L763" s="239">
        <v>33.89</v>
      </c>
      <c r="M763" s="239">
        <v>29.73</v>
      </c>
      <c r="N763" s="239">
        <v>30.46</v>
      </c>
      <c r="S763" s="1"/>
      <c r="T763" s="1"/>
      <c r="U763" s="1"/>
      <c r="V763" s="1"/>
      <c r="W763" s="1"/>
      <c r="X763" s="1"/>
      <c r="Y763" s="1"/>
      <c r="Z763" s="1"/>
      <c r="AD763"/>
      <c r="AE763"/>
      <c r="AF763"/>
      <c r="AG763"/>
      <c r="AH763"/>
      <c r="AI763"/>
      <c r="AJ763"/>
      <c r="AK763"/>
      <c r="AN763" s="1"/>
      <c r="AT763" s="1"/>
      <c r="AU763" s="1"/>
      <c r="AV763" s="1"/>
      <c r="AW763" s="1"/>
      <c r="AX763" s="1"/>
      <c r="AY763" s="1"/>
      <c r="AZ763"/>
      <c r="BA763"/>
      <c r="BB763"/>
      <c r="BC763"/>
      <c r="BD763"/>
      <c r="BE763"/>
    </row>
    <row r="764" spans="1:57">
      <c r="A764" s="239" t="s">
        <v>552</v>
      </c>
      <c r="B764" s="239">
        <v>44.94</v>
      </c>
      <c r="C764" s="239">
        <v>50.47</v>
      </c>
      <c r="D764" s="239">
        <v>52.51</v>
      </c>
      <c r="E764" s="239">
        <v>54.53</v>
      </c>
      <c r="F764" s="239">
        <v>59.91</v>
      </c>
      <c r="G764" s="239">
        <v>62.09</v>
      </c>
      <c r="H764" s="239">
        <v>64.19</v>
      </c>
      <c r="I764" s="239">
        <v>66.349999999999994</v>
      </c>
      <c r="J764" s="239">
        <v>39.72</v>
      </c>
      <c r="K764" s="239">
        <v>28.02</v>
      </c>
      <c r="L764" s="239">
        <v>30.51</v>
      </c>
      <c r="M764" s="239">
        <v>26.75</v>
      </c>
      <c r="N764" s="239">
        <v>27.4</v>
      </c>
      <c r="S764" s="1"/>
      <c r="T764" s="1"/>
      <c r="U764" s="1"/>
      <c r="V764" s="1"/>
      <c r="W764" s="1"/>
      <c r="X764" s="1"/>
      <c r="Y764" s="1"/>
      <c r="Z764" s="1"/>
      <c r="AD764"/>
      <c r="AE764"/>
      <c r="AF764"/>
      <c r="AG764"/>
      <c r="AH764"/>
      <c r="AI764"/>
      <c r="AJ764"/>
      <c r="AK764"/>
      <c r="AN764" s="1"/>
      <c r="AT764" s="1"/>
      <c r="AU764" s="1"/>
      <c r="AV764" s="1"/>
      <c r="AW764" s="1"/>
      <c r="AX764" s="1"/>
      <c r="AY764" s="1"/>
      <c r="AZ764"/>
      <c r="BA764"/>
      <c r="BB764"/>
      <c r="BC764"/>
      <c r="BD764"/>
      <c r="BE764"/>
    </row>
    <row r="765" spans="1:57">
      <c r="A765" s="239" t="s">
        <v>553</v>
      </c>
      <c r="B765" s="239">
        <v>55.16</v>
      </c>
      <c r="C765" s="239">
        <v>61.99</v>
      </c>
      <c r="D765" s="239">
        <v>64.489999999999995</v>
      </c>
      <c r="E765" s="239">
        <v>66.97</v>
      </c>
      <c r="F765" s="239">
        <v>74.58</v>
      </c>
      <c r="G765" s="239">
        <v>77.23</v>
      </c>
      <c r="H765" s="239">
        <v>79.91</v>
      </c>
      <c r="I765" s="239">
        <v>82.58</v>
      </c>
      <c r="J765" s="239">
        <v>49.42</v>
      </c>
      <c r="K765" s="239">
        <v>34.880000000000003</v>
      </c>
      <c r="L765" s="239">
        <v>37.979999999999997</v>
      </c>
      <c r="M765" s="239">
        <v>33.28</v>
      </c>
      <c r="N765" s="239">
        <v>34.11</v>
      </c>
      <c r="S765" s="1"/>
      <c r="T765" s="1"/>
      <c r="U765" s="1"/>
      <c r="V765" s="1"/>
      <c r="W765" s="1"/>
      <c r="X765" s="1"/>
      <c r="Y765" s="1"/>
      <c r="Z765" s="1"/>
      <c r="AD765"/>
      <c r="AE765"/>
      <c r="AF765"/>
      <c r="AG765"/>
      <c r="AH765"/>
      <c r="AI765"/>
      <c r="AJ765"/>
      <c r="AK765"/>
      <c r="AN765" s="1"/>
      <c r="AT765" s="1"/>
      <c r="AU765" s="1"/>
      <c r="AV765" s="1"/>
      <c r="AW765" s="1"/>
      <c r="AX765" s="1"/>
      <c r="AY765" s="1"/>
      <c r="AZ765"/>
      <c r="BA765"/>
      <c r="BB765"/>
      <c r="BC765"/>
      <c r="BD765"/>
      <c r="BE765"/>
    </row>
    <row r="766" spans="1:57">
      <c r="A766" s="239" t="s">
        <v>554</v>
      </c>
      <c r="B766" s="239">
        <v>31.16</v>
      </c>
      <c r="C766" s="239">
        <v>34.99</v>
      </c>
      <c r="D766" s="239">
        <v>36.39</v>
      </c>
      <c r="E766" s="239">
        <v>37.79</v>
      </c>
      <c r="F766" s="239">
        <v>40.22</v>
      </c>
      <c r="G766" s="239">
        <v>41.65</v>
      </c>
      <c r="H766" s="239">
        <v>43.09</v>
      </c>
      <c r="I766" s="239">
        <v>44.52</v>
      </c>
      <c r="J766" s="239">
        <v>26.64</v>
      </c>
      <c r="K766" s="239">
        <v>18.8</v>
      </c>
      <c r="L766" s="239">
        <v>20.48</v>
      </c>
      <c r="M766" s="239">
        <v>17.940000000000001</v>
      </c>
      <c r="N766" s="239">
        <v>18.39</v>
      </c>
      <c r="S766" s="1"/>
      <c r="T766" s="1"/>
      <c r="U766" s="1"/>
      <c r="V766" s="1"/>
      <c r="W766" s="1"/>
      <c r="X766" s="1"/>
      <c r="Y766" s="1"/>
      <c r="Z766" s="1"/>
      <c r="AD766"/>
      <c r="AE766"/>
      <c r="AF766"/>
      <c r="AG766"/>
      <c r="AH766"/>
      <c r="AI766"/>
      <c r="AJ766"/>
      <c r="AK766"/>
      <c r="AN766" s="1"/>
      <c r="AT766" s="1"/>
      <c r="AU766" s="1"/>
      <c r="AV766" s="1"/>
      <c r="AW766" s="1"/>
      <c r="AX766" s="1"/>
      <c r="AY766" s="1"/>
      <c r="AZ766"/>
      <c r="BA766"/>
      <c r="BB766"/>
      <c r="BC766"/>
      <c r="BD766"/>
      <c r="BE766"/>
    </row>
    <row r="767" spans="1:57">
      <c r="A767" s="239" t="s">
        <v>555</v>
      </c>
      <c r="B767" s="239">
        <v>39.159999999999997</v>
      </c>
      <c r="C767" s="239">
        <v>43.99</v>
      </c>
      <c r="D767" s="239">
        <v>45.76</v>
      </c>
      <c r="E767" s="239">
        <v>47.52</v>
      </c>
      <c r="F767" s="239">
        <v>51.67</v>
      </c>
      <c r="G767" s="239">
        <v>53.52</v>
      </c>
      <c r="H767" s="239">
        <v>55.36</v>
      </c>
      <c r="I767" s="239">
        <v>57.2</v>
      </c>
      <c r="J767" s="239">
        <v>34.24</v>
      </c>
      <c r="K767" s="239">
        <v>24.17</v>
      </c>
      <c r="L767" s="239">
        <v>26.31</v>
      </c>
      <c r="M767" s="239">
        <v>23.06</v>
      </c>
      <c r="N767" s="239">
        <v>23.62</v>
      </c>
      <c r="S767" s="1"/>
      <c r="T767" s="1"/>
      <c r="U767" s="1"/>
      <c r="V767" s="1"/>
      <c r="W767" s="1"/>
      <c r="X767" s="1"/>
      <c r="Y767" s="1"/>
      <c r="Z767" s="1"/>
      <c r="AD767"/>
      <c r="AE767"/>
      <c r="AF767"/>
      <c r="AG767"/>
      <c r="AH767"/>
      <c r="AI767"/>
      <c r="AJ767"/>
      <c r="AK767"/>
      <c r="AN767" s="1"/>
      <c r="AT767" s="1"/>
      <c r="AU767" s="1"/>
      <c r="AV767" s="1"/>
      <c r="AW767" s="1"/>
      <c r="AX767" s="1"/>
      <c r="AY767" s="1"/>
      <c r="AZ767"/>
      <c r="BA767"/>
      <c r="BB767"/>
      <c r="BC767"/>
      <c r="BD767"/>
      <c r="BE767"/>
    </row>
    <row r="768" spans="1:57">
      <c r="A768" s="239" t="s">
        <v>556</v>
      </c>
      <c r="B768" s="239">
        <v>33.74</v>
      </c>
      <c r="C768" s="239">
        <v>37.909999999999997</v>
      </c>
      <c r="D768" s="239">
        <v>39.42</v>
      </c>
      <c r="E768" s="239">
        <v>40.96</v>
      </c>
      <c r="F768" s="239">
        <v>43.94</v>
      </c>
      <c r="G768" s="239">
        <v>45.51</v>
      </c>
      <c r="H768" s="239">
        <v>47.08</v>
      </c>
      <c r="I768" s="239">
        <v>48.65</v>
      </c>
      <c r="J768" s="239">
        <v>29.13</v>
      </c>
      <c r="K768" s="239">
        <v>20.55</v>
      </c>
      <c r="L768" s="239">
        <v>22.38</v>
      </c>
      <c r="M768" s="239">
        <v>19.62</v>
      </c>
      <c r="N768" s="239">
        <v>20.09</v>
      </c>
      <c r="S768" s="1"/>
      <c r="T768" s="1"/>
      <c r="U768" s="1"/>
      <c r="V768" s="1"/>
      <c r="W768" s="1"/>
      <c r="X768" s="1"/>
      <c r="Y768" s="1"/>
      <c r="Z768" s="1"/>
      <c r="AD768"/>
      <c r="AE768"/>
      <c r="AF768"/>
      <c r="AG768"/>
      <c r="AH768"/>
      <c r="AI768"/>
      <c r="AJ768"/>
      <c r="AK768"/>
      <c r="AN768" s="1"/>
      <c r="AT768" s="1"/>
      <c r="AU768" s="1"/>
      <c r="AV768" s="1"/>
      <c r="AW768" s="1"/>
      <c r="AX768" s="1"/>
      <c r="AY768" s="1"/>
      <c r="AZ768"/>
      <c r="BA768"/>
      <c r="BB768"/>
      <c r="BC768"/>
      <c r="BD768"/>
      <c r="BE768"/>
    </row>
    <row r="769" spans="1:57">
      <c r="A769" s="239" t="s">
        <v>557</v>
      </c>
      <c r="B769" s="239">
        <v>49.51</v>
      </c>
      <c r="C769" s="239">
        <v>55.63</v>
      </c>
      <c r="D769" s="239">
        <v>57.89</v>
      </c>
      <c r="E769" s="239">
        <v>60.1</v>
      </c>
      <c r="F769" s="239">
        <v>66.5</v>
      </c>
      <c r="G769" s="239">
        <v>68.87</v>
      </c>
      <c r="H769" s="239">
        <v>71.25</v>
      </c>
      <c r="I769" s="239">
        <v>73.62</v>
      </c>
      <c r="J769" s="239">
        <v>44.06</v>
      </c>
      <c r="K769" s="239">
        <v>31.11</v>
      </c>
      <c r="L769" s="239">
        <v>33.840000000000003</v>
      </c>
      <c r="M769" s="239">
        <v>29.69</v>
      </c>
      <c r="N769" s="239">
        <v>30.41</v>
      </c>
      <c r="S769" s="1"/>
      <c r="T769" s="1"/>
      <c r="U769" s="1"/>
      <c r="V769" s="1"/>
      <c r="W769" s="1"/>
      <c r="X769" s="1"/>
      <c r="Y769" s="1"/>
      <c r="Z769" s="1"/>
      <c r="AD769"/>
      <c r="AE769"/>
      <c r="AF769"/>
      <c r="AG769"/>
      <c r="AH769"/>
      <c r="AI769"/>
      <c r="AJ769"/>
      <c r="AK769"/>
      <c r="AN769" s="1"/>
      <c r="AT769" s="1"/>
      <c r="AU769" s="1"/>
      <c r="AV769" s="1"/>
      <c r="AW769" s="1"/>
      <c r="AX769" s="1"/>
      <c r="AY769" s="1"/>
      <c r="AZ769"/>
      <c r="BA769"/>
      <c r="BB769"/>
      <c r="BC769"/>
      <c r="BD769"/>
      <c r="BE769"/>
    </row>
    <row r="770" spans="1:57">
      <c r="A770" s="239" t="s">
        <v>558</v>
      </c>
      <c r="B770" s="239">
        <v>61.91</v>
      </c>
      <c r="C770" s="239">
        <v>69.569999999999993</v>
      </c>
      <c r="D770" s="239">
        <v>72.34</v>
      </c>
      <c r="E770" s="239">
        <v>75.12</v>
      </c>
      <c r="F770" s="239">
        <v>83.14</v>
      </c>
      <c r="G770" s="239">
        <v>86.08</v>
      </c>
      <c r="H770" s="239">
        <v>89.08</v>
      </c>
      <c r="I770" s="239">
        <v>92.04</v>
      </c>
      <c r="J770" s="239">
        <v>55.08</v>
      </c>
      <c r="K770" s="239">
        <v>38.86</v>
      </c>
      <c r="L770" s="239">
        <v>42.33</v>
      </c>
      <c r="M770" s="239">
        <v>37.11</v>
      </c>
      <c r="N770" s="239">
        <v>38.01</v>
      </c>
      <c r="S770" s="1"/>
      <c r="T770" s="1"/>
      <c r="U770" s="1"/>
      <c r="V770" s="1"/>
      <c r="W770" s="1"/>
      <c r="X770" s="1"/>
      <c r="Y770" s="1"/>
      <c r="Z770" s="1"/>
      <c r="AD770"/>
      <c r="AE770"/>
      <c r="AF770"/>
      <c r="AG770"/>
      <c r="AH770"/>
      <c r="AI770"/>
      <c r="AJ770"/>
      <c r="AK770"/>
      <c r="AN770" s="1"/>
      <c r="AT770" s="1"/>
      <c r="AU770" s="1"/>
      <c r="AV770" s="1"/>
      <c r="AW770" s="1"/>
      <c r="AX770" s="1"/>
      <c r="AY770" s="1"/>
      <c r="AZ770"/>
      <c r="BA770"/>
      <c r="BB770"/>
      <c r="BC770"/>
      <c r="BD770"/>
      <c r="BE770"/>
    </row>
    <row r="771" spans="1:57">
      <c r="A771" s="239" t="s">
        <v>559</v>
      </c>
      <c r="B771" s="239">
        <v>45.33</v>
      </c>
      <c r="C771" s="239">
        <v>50.91</v>
      </c>
      <c r="D771" s="239">
        <v>52.97</v>
      </c>
      <c r="E771" s="239">
        <v>55</v>
      </c>
      <c r="F771" s="239">
        <v>60.49</v>
      </c>
      <c r="G771" s="239">
        <v>62.63</v>
      </c>
      <c r="H771" s="239">
        <v>64.8</v>
      </c>
      <c r="I771" s="239">
        <v>66.97</v>
      </c>
      <c r="J771" s="239">
        <v>40.07</v>
      </c>
      <c r="K771" s="239">
        <v>28.27</v>
      </c>
      <c r="L771" s="239">
        <v>30.79</v>
      </c>
      <c r="M771" s="239">
        <v>27.01</v>
      </c>
      <c r="N771" s="239">
        <v>27.65</v>
      </c>
      <c r="S771" s="1"/>
      <c r="T771" s="1"/>
      <c r="U771" s="1"/>
      <c r="V771" s="1"/>
      <c r="W771" s="1"/>
      <c r="X771" s="1"/>
      <c r="Y771" s="1"/>
      <c r="Z771" s="1"/>
      <c r="AD771"/>
      <c r="AE771"/>
      <c r="AF771"/>
      <c r="AG771"/>
      <c r="AH771"/>
      <c r="AI771"/>
      <c r="AJ771"/>
      <c r="AK771"/>
      <c r="AN771" s="1"/>
      <c r="AT771" s="1"/>
      <c r="AU771" s="1"/>
      <c r="AV771" s="1"/>
      <c r="AW771" s="1"/>
      <c r="AX771" s="1"/>
      <c r="AY771" s="1"/>
      <c r="AZ771"/>
      <c r="BA771"/>
      <c r="BB771"/>
      <c r="BC771"/>
      <c r="BD771"/>
      <c r="BE771"/>
    </row>
    <row r="772" spans="1:57">
      <c r="A772" s="239" t="s">
        <v>560</v>
      </c>
      <c r="B772" s="239">
        <v>50.61</v>
      </c>
      <c r="C772" s="239">
        <v>56.86</v>
      </c>
      <c r="D772" s="239">
        <v>59.14</v>
      </c>
      <c r="E772" s="239">
        <v>61.4</v>
      </c>
      <c r="F772" s="239">
        <v>68.05</v>
      </c>
      <c r="G772" s="239">
        <v>70.47</v>
      </c>
      <c r="H772" s="239">
        <v>72.89</v>
      </c>
      <c r="I772" s="239">
        <v>75.33</v>
      </c>
      <c r="J772" s="239">
        <v>45.08</v>
      </c>
      <c r="K772" s="239">
        <v>31.81</v>
      </c>
      <c r="L772" s="239">
        <v>34.65</v>
      </c>
      <c r="M772" s="239">
        <v>30.38</v>
      </c>
      <c r="N772" s="239">
        <v>31.13</v>
      </c>
      <c r="S772" s="1"/>
      <c r="T772" s="1"/>
      <c r="U772" s="1"/>
      <c r="V772" s="1"/>
      <c r="W772" s="1"/>
      <c r="X772" s="1"/>
      <c r="Y772" s="1"/>
      <c r="Z772" s="1"/>
      <c r="AD772"/>
      <c r="AE772"/>
      <c r="AF772"/>
      <c r="AG772"/>
      <c r="AH772"/>
      <c r="AI772"/>
      <c r="AJ772"/>
      <c r="AK772"/>
      <c r="AN772" s="1"/>
      <c r="AT772" s="1"/>
      <c r="AU772" s="1"/>
      <c r="AV772" s="1"/>
      <c r="AW772" s="1"/>
      <c r="AX772" s="1"/>
      <c r="AY772" s="1"/>
      <c r="AZ772"/>
      <c r="BA772"/>
      <c r="BB772"/>
      <c r="BC772"/>
      <c r="BD772"/>
      <c r="BE772"/>
    </row>
    <row r="773" spans="1:57">
      <c r="A773" s="239" t="s">
        <v>561</v>
      </c>
      <c r="B773" s="239">
        <v>35.79</v>
      </c>
      <c r="C773" s="239">
        <v>40.21</v>
      </c>
      <c r="D773" s="239">
        <v>41.79</v>
      </c>
      <c r="E773" s="239">
        <v>43.42</v>
      </c>
      <c r="F773" s="239">
        <v>46.85</v>
      </c>
      <c r="G773" s="239">
        <v>48.5</v>
      </c>
      <c r="H773" s="239">
        <v>50.18</v>
      </c>
      <c r="I773" s="239">
        <v>51.84</v>
      </c>
      <c r="J773" s="239">
        <v>31.03</v>
      </c>
      <c r="K773" s="239">
        <v>21.9</v>
      </c>
      <c r="L773" s="239">
        <v>23.85</v>
      </c>
      <c r="M773" s="239">
        <v>20.92</v>
      </c>
      <c r="N773" s="239">
        <v>21.42</v>
      </c>
      <c r="S773" s="1"/>
      <c r="T773" s="1"/>
      <c r="U773" s="1"/>
      <c r="V773" s="1"/>
      <c r="W773" s="1"/>
      <c r="X773" s="1"/>
      <c r="Y773" s="1"/>
      <c r="Z773" s="1"/>
      <c r="AD773"/>
      <c r="AE773"/>
      <c r="AF773"/>
      <c r="AG773"/>
      <c r="AH773"/>
      <c r="AI773"/>
      <c r="AJ773"/>
      <c r="AK773"/>
      <c r="AN773" s="1"/>
      <c r="AT773" s="1"/>
      <c r="AU773" s="1"/>
      <c r="AV773" s="1"/>
      <c r="AW773" s="1"/>
      <c r="AX773" s="1"/>
      <c r="AY773" s="1"/>
      <c r="AZ773"/>
      <c r="BA773"/>
      <c r="BB773"/>
      <c r="BC773"/>
      <c r="BD773"/>
      <c r="BE773"/>
    </row>
    <row r="774" spans="1:57">
      <c r="A774" s="239" t="s">
        <v>562</v>
      </c>
      <c r="B774" s="239">
        <v>47.77</v>
      </c>
      <c r="C774" s="239">
        <v>53.66</v>
      </c>
      <c r="D774" s="239">
        <v>55.81</v>
      </c>
      <c r="E774" s="239">
        <v>57.95</v>
      </c>
      <c r="F774" s="239">
        <v>63.97</v>
      </c>
      <c r="G774" s="239">
        <v>66.25</v>
      </c>
      <c r="H774" s="239">
        <v>68.55</v>
      </c>
      <c r="I774" s="239">
        <v>70.8</v>
      </c>
      <c r="J774" s="239">
        <v>42.38</v>
      </c>
      <c r="K774" s="239">
        <v>29.91</v>
      </c>
      <c r="L774" s="239">
        <v>32.57</v>
      </c>
      <c r="M774" s="239">
        <v>28.56</v>
      </c>
      <c r="N774" s="239">
        <v>29.24</v>
      </c>
      <c r="S774" s="1"/>
      <c r="T774" s="1"/>
      <c r="U774" s="1"/>
      <c r="V774" s="1"/>
      <c r="W774" s="1"/>
      <c r="X774" s="1"/>
      <c r="Y774" s="1"/>
      <c r="Z774" s="1"/>
      <c r="AD774"/>
      <c r="AE774"/>
      <c r="AF774"/>
      <c r="AG774"/>
      <c r="AH774"/>
      <c r="AI774"/>
      <c r="AJ774"/>
      <c r="AK774"/>
      <c r="AN774" s="1"/>
      <c r="AT774" s="1"/>
      <c r="AU774" s="1"/>
      <c r="AV774" s="1"/>
      <c r="AW774" s="1"/>
      <c r="AX774" s="1"/>
      <c r="AY774" s="1"/>
      <c r="AZ774"/>
      <c r="BA774"/>
      <c r="BB774"/>
      <c r="BC774"/>
      <c r="BD774"/>
      <c r="BE774"/>
    </row>
    <row r="775" spans="1:57">
      <c r="A775" s="239" t="s">
        <v>563</v>
      </c>
      <c r="B775" s="239">
        <v>47.04</v>
      </c>
      <c r="C775" s="239">
        <v>52.83</v>
      </c>
      <c r="D775" s="239">
        <v>55</v>
      </c>
      <c r="E775" s="239">
        <v>57.08</v>
      </c>
      <c r="F775" s="239">
        <v>62.95</v>
      </c>
      <c r="G775" s="239">
        <v>65.22</v>
      </c>
      <c r="H775" s="239">
        <v>67.45</v>
      </c>
      <c r="I775" s="239">
        <v>69.72</v>
      </c>
      <c r="J775" s="239">
        <v>41.71</v>
      </c>
      <c r="K775" s="239">
        <v>29.43</v>
      </c>
      <c r="L775" s="239">
        <v>32.049999999999997</v>
      </c>
      <c r="M775" s="239">
        <v>28.1</v>
      </c>
      <c r="N775" s="239">
        <v>28.79</v>
      </c>
      <c r="S775" s="1"/>
      <c r="T775" s="1"/>
      <c r="U775" s="1"/>
      <c r="V775" s="1"/>
      <c r="W775" s="1"/>
      <c r="X775" s="1"/>
      <c r="Y775" s="1"/>
      <c r="Z775" s="1"/>
      <c r="AD775"/>
      <c r="AE775"/>
      <c r="AF775"/>
      <c r="AG775"/>
      <c r="AH775"/>
      <c r="AI775"/>
      <c r="AJ775"/>
      <c r="AK775"/>
      <c r="AN775" s="1"/>
      <c r="AT775" s="1"/>
      <c r="AU775" s="1"/>
      <c r="AV775" s="1"/>
      <c r="AW775" s="1"/>
      <c r="AX775" s="1"/>
      <c r="AY775" s="1"/>
      <c r="AZ775"/>
      <c r="BA775"/>
      <c r="BB775"/>
      <c r="BC775"/>
      <c r="BD775"/>
      <c r="BE775"/>
    </row>
    <row r="776" spans="1:57">
      <c r="A776" s="239" t="s">
        <v>564</v>
      </c>
      <c r="B776" s="239">
        <v>35.08</v>
      </c>
      <c r="C776" s="239">
        <v>39.4</v>
      </c>
      <c r="D776" s="239">
        <v>41.02</v>
      </c>
      <c r="E776" s="239">
        <v>42.59</v>
      </c>
      <c r="F776" s="239">
        <v>45.84</v>
      </c>
      <c r="G776" s="239">
        <v>47.49</v>
      </c>
      <c r="H776" s="239">
        <v>49.14</v>
      </c>
      <c r="I776" s="239">
        <v>50.75</v>
      </c>
      <c r="J776" s="239">
        <v>30.38</v>
      </c>
      <c r="K776" s="239">
        <v>21.43</v>
      </c>
      <c r="L776" s="239">
        <v>23.34</v>
      </c>
      <c r="M776" s="239">
        <v>20.48</v>
      </c>
      <c r="N776" s="239">
        <v>20.96</v>
      </c>
      <c r="S776" s="1"/>
      <c r="T776" s="1"/>
      <c r="U776" s="1"/>
      <c r="V776" s="1"/>
      <c r="W776" s="1"/>
      <c r="X776" s="1"/>
      <c r="Y776" s="1"/>
      <c r="Z776" s="1"/>
      <c r="AD776"/>
      <c r="AE776"/>
      <c r="AF776"/>
      <c r="AG776"/>
      <c r="AH776"/>
      <c r="AI776"/>
      <c r="AJ776"/>
      <c r="AK776"/>
      <c r="AN776" s="1"/>
      <c r="AT776" s="1"/>
      <c r="AU776" s="1"/>
      <c r="AV776" s="1"/>
      <c r="AW776" s="1"/>
      <c r="AX776" s="1"/>
      <c r="AY776" s="1"/>
      <c r="AZ776"/>
      <c r="BA776"/>
      <c r="BB776"/>
      <c r="BC776"/>
      <c r="BD776"/>
      <c r="BE776"/>
    </row>
    <row r="777" spans="1:57">
      <c r="A777" s="239" t="s">
        <v>565</v>
      </c>
      <c r="B777" s="239">
        <v>34.83</v>
      </c>
      <c r="C777" s="239">
        <v>39.14</v>
      </c>
      <c r="D777" s="239">
        <v>40.700000000000003</v>
      </c>
      <c r="E777" s="239">
        <v>42.27</v>
      </c>
      <c r="F777" s="239">
        <v>45.47</v>
      </c>
      <c r="G777" s="239">
        <v>47.11</v>
      </c>
      <c r="H777" s="239">
        <v>48.73</v>
      </c>
      <c r="I777" s="239">
        <v>50.36</v>
      </c>
      <c r="J777" s="239">
        <v>30.13</v>
      </c>
      <c r="K777" s="239">
        <v>21.27</v>
      </c>
      <c r="L777" s="239">
        <v>23.17</v>
      </c>
      <c r="M777" s="239">
        <v>20.3</v>
      </c>
      <c r="N777" s="239">
        <v>20.8</v>
      </c>
      <c r="S777" s="1"/>
      <c r="T777" s="1"/>
      <c r="U777" s="1"/>
      <c r="V777" s="1"/>
      <c r="W777" s="1"/>
      <c r="X777" s="1"/>
      <c r="Y777" s="1"/>
      <c r="Z777" s="1"/>
      <c r="AD777"/>
      <c r="AE777"/>
      <c r="AF777"/>
      <c r="AG777"/>
      <c r="AH777"/>
      <c r="AI777"/>
      <c r="AJ777"/>
      <c r="AK777"/>
      <c r="AN777" s="1"/>
      <c r="AT777" s="1"/>
      <c r="AU777" s="1"/>
      <c r="AV777" s="1"/>
      <c r="AW777" s="1"/>
      <c r="AX777" s="1"/>
      <c r="AY777" s="1"/>
      <c r="AZ777"/>
      <c r="BA777"/>
      <c r="BB777"/>
      <c r="BC777"/>
      <c r="BD777"/>
      <c r="BE777"/>
    </row>
    <row r="778" spans="1:57">
      <c r="A778" s="239" t="s">
        <v>566</v>
      </c>
      <c r="B778" s="239">
        <v>58.44</v>
      </c>
      <c r="C778" s="239">
        <v>65.680000000000007</v>
      </c>
      <c r="D778" s="239">
        <v>68.290000000000006</v>
      </c>
      <c r="E778" s="239">
        <v>70.92</v>
      </c>
      <c r="F778" s="239">
        <v>78.58</v>
      </c>
      <c r="G778" s="239">
        <v>81.400000000000006</v>
      </c>
      <c r="H778" s="239">
        <v>84.21</v>
      </c>
      <c r="I778" s="239">
        <v>87.01</v>
      </c>
      <c r="J778" s="239">
        <v>52.08</v>
      </c>
      <c r="K778" s="239">
        <v>36.75</v>
      </c>
      <c r="L778" s="239">
        <v>40.01</v>
      </c>
      <c r="M778" s="239">
        <v>35.06</v>
      </c>
      <c r="N778" s="239">
        <v>35.93</v>
      </c>
      <c r="S778" s="1"/>
      <c r="T778" s="1"/>
      <c r="U778" s="1"/>
      <c r="V778" s="1"/>
      <c r="W778" s="1"/>
      <c r="X778" s="1"/>
      <c r="Y778" s="1"/>
      <c r="Z778" s="1"/>
      <c r="AD778"/>
      <c r="AE778"/>
      <c r="AF778"/>
      <c r="AG778"/>
      <c r="AH778"/>
      <c r="AI778"/>
      <c r="AJ778"/>
      <c r="AK778"/>
      <c r="AN778" s="1"/>
      <c r="AT778" s="1"/>
      <c r="AU778" s="1"/>
      <c r="AV778" s="1"/>
      <c r="AW778" s="1"/>
      <c r="AX778" s="1"/>
      <c r="AY778" s="1"/>
      <c r="AZ778"/>
      <c r="BA778"/>
      <c r="BB778"/>
      <c r="BC778"/>
      <c r="BD778"/>
      <c r="BE778"/>
    </row>
    <row r="779" spans="1:57">
      <c r="A779" s="239" t="s">
        <v>567</v>
      </c>
      <c r="B779" s="239">
        <v>49</v>
      </c>
      <c r="C779" s="239">
        <v>55.08</v>
      </c>
      <c r="D779" s="239">
        <v>57.29</v>
      </c>
      <c r="E779" s="239">
        <v>59.46</v>
      </c>
      <c r="F779" s="239">
        <v>65.77</v>
      </c>
      <c r="G779" s="239">
        <v>68.099999999999994</v>
      </c>
      <c r="H779" s="239">
        <v>70.459999999999994</v>
      </c>
      <c r="I779" s="239">
        <v>72.81</v>
      </c>
      <c r="J779" s="239">
        <v>43.58</v>
      </c>
      <c r="K779" s="239">
        <v>30.75</v>
      </c>
      <c r="L779" s="239">
        <v>33.47</v>
      </c>
      <c r="M779" s="239">
        <v>29.35</v>
      </c>
      <c r="N779" s="239">
        <v>30.07</v>
      </c>
      <c r="S779" s="1"/>
      <c r="T779" s="1"/>
      <c r="U779" s="1"/>
      <c r="V779" s="1"/>
      <c r="W779" s="1"/>
      <c r="X779" s="1"/>
      <c r="Y779" s="1"/>
      <c r="Z779" s="1"/>
      <c r="AD779"/>
      <c r="AE779"/>
      <c r="AF779"/>
      <c r="AG779"/>
      <c r="AH779"/>
      <c r="AI779"/>
      <c r="AJ779"/>
      <c r="AK779"/>
      <c r="AN779" s="1"/>
      <c r="AT779" s="1"/>
      <c r="AU779" s="1"/>
      <c r="AV779" s="1"/>
      <c r="AW779" s="1"/>
      <c r="AX779" s="1"/>
      <c r="AY779" s="1"/>
      <c r="AZ779"/>
      <c r="BA779"/>
      <c r="BB779"/>
      <c r="BC779"/>
      <c r="BD779"/>
      <c r="BE779"/>
    </row>
    <row r="780" spans="1:57">
      <c r="A780" s="239" t="s">
        <v>568</v>
      </c>
      <c r="B780" s="239">
        <v>51.41</v>
      </c>
      <c r="C780" s="239">
        <v>57.76</v>
      </c>
      <c r="D780" s="239">
        <v>60.08</v>
      </c>
      <c r="E780" s="239">
        <v>62.38</v>
      </c>
      <c r="F780" s="239">
        <v>69.180000000000007</v>
      </c>
      <c r="G780" s="239">
        <v>71.650000000000006</v>
      </c>
      <c r="H780" s="239">
        <v>74.14</v>
      </c>
      <c r="I780" s="239">
        <v>76.599999999999994</v>
      </c>
      <c r="J780" s="239">
        <v>45.85</v>
      </c>
      <c r="K780" s="239">
        <v>32.35</v>
      </c>
      <c r="L780" s="239">
        <v>35.24</v>
      </c>
      <c r="M780" s="239">
        <v>30.88</v>
      </c>
      <c r="N780" s="239">
        <v>31.64</v>
      </c>
      <c r="S780" s="1"/>
      <c r="T780" s="1"/>
      <c r="U780" s="1"/>
      <c r="V780" s="1"/>
      <c r="W780" s="1"/>
      <c r="X780" s="1"/>
      <c r="Y780" s="1"/>
      <c r="Z780" s="1"/>
      <c r="AD780"/>
      <c r="AE780"/>
      <c r="AF780"/>
      <c r="AG780"/>
      <c r="AH780"/>
      <c r="AI780"/>
      <c r="AJ780"/>
      <c r="AK780"/>
      <c r="AN780" s="1"/>
      <c r="AT780" s="1"/>
      <c r="AU780" s="1"/>
      <c r="AV780" s="1"/>
      <c r="AW780" s="1"/>
      <c r="AX780" s="1"/>
      <c r="AY780" s="1"/>
      <c r="AZ780"/>
      <c r="BA780"/>
      <c r="BB780"/>
      <c r="BC780"/>
      <c r="BD780"/>
      <c r="BE780"/>
    </row>
    <row r="781" spans="1:57">
      <c r="A781" s="239" t="s">
        <v>569</v>
      </c>
      <c r="B781" s="239">
        <v>33.33</v>
      </c>
      <c r="C781" s="239">
        <v>37.47</v>
      </c>
      <c r="D781" s="239">
        <v>38.97</v>
      </c>
      <c r="E781" s="239">
        <v>40.49</v>
      </c>
      <c r="F781" s="239">
        <v>43.37</v>
      </c>
      <c r="G781" s="239">
        <v>44.92</v>
      </c>
      <c r="H781" s="239">
        <v>46.47</v>
      </c>
      <c r="I781" s="239">
        <v>48.01</v>
      </c>
      <c r="J781" s="239">
        <v>28.75</v>
      </c>
      <c r="K781" s="239">
        <v>20.28</v>
      </c>
      <c r="L781" s="239">
        <v>22.08</v>
      </c>
      <c r="M781" s="239">
        <v>19.350000000000001</v>
      </c>
      <c r="N781" s="239">
        <v>19.84</v>
      </c>
      <c r="S781" s="1"/>
      <c r="T781" s="1"/>
      <c r="U781" s="1"/>
      <c r="V781" s="1"/>
      <c r="W781" s="1"/>
      <c r="X781" s="1"/>
      <c r="Y781" s="1"/>
      <c r="Z781" s="1"/>
      <c r="AD781"/>
      <c r="AE781"/>
      <c r="AF781"/>
      <c r="AG781"/>
      <c r="AH781"/>
      <c r="AI781"/>
      <c r="AJ781"/>
      <c r="AK781"/>
      <c r="AN781" s="1"/>
      <c r="AT781" s="1"/>
      <c r="AU781" s="1"/>
      <c r="AV781" s="1"/>
      <c r="AW781" s="1"/>
      <c r="AX781" s="1"/>
      <c r="AY781" s="1"/>
      <c r="AZ781"/>
      <c r="BA781"/>
      <c r="BB781"/>
      <c r="BC781"/>
      <c r="BD781"/>
      <c r="BE781"/>
    </row>
    <row r="782" spans="1:57">
      <c r="A782" s="239" t="s">
        <v>570</v>
      </c>
      <c r="B782" s="239">
        <v>27.24</v>
      </c>
      <c r="C782" s="239">
        <v>30.62</v>
      </c>
      <c r="D782" s="239">
        <v>31.82</v>
      </c>
      <c r="E782" s="239">
        <v>33.06</v>
      </c>
      <c r="F782" s="239">
        <v>34.61</v>
      </c>
      <c r="G782" s="239">
        <v>35.880000000000003</v>
      </c>
      <c r="H782" s="239">
        <v>37.1</v>
      </c>
      <c r="I782" s="239">
        <v>38.340000000000003</v>
      </c>
      <c r="J782" s="239">
        <v>22.96</v>
      </c>
      <c r="K782" s="239">
        <v>16.190000000000001</v>
      </c>
      <c r="L782" s="239">
        <v>17.64</v>
      </c>
      <c r="M782" s="239">
        <v>15.46</v>
      </c>
      <c r="N782" s="239">
        <v>15.83</v>
      </c>
      <c r="S782" s="1"/>
      <c r="T782" s="1"/>
      <c r="U782" s="1"/>
      <c r="V782" s="1"/>
      <c r="W782" s="1"/>
      <c r="X782" s="1"/>
      <c r="Y782" s="1"/>
      <c r="Z782" s="1"/>
      <c r="AD782"/>
      <c r="AE782"/>
      <c r="AF782"/>
      <c r="AG782"/>
      <c r="AH782"/>
      <c r="AI782"/>
      <c r="AJ782"/>
      <c r="AK782"/>
      <c r="AN782" s="1"/>
      <c r="AT782" s="1"/>
      <c r="AU782" s="1"/>
      <c r="AV782" s="1"/>
      <c r="AW782" s="1"/>
      <c r="AX782" s="1"/>
      <c r="AY782" s="1"/>
      <c r="AZ782"/>
      <c r="BA782"/>
      <c r="BB782"/>
      <c r="BC782"/>
      <c r="BD782"/>
      <c r="BE782"/>
    </row>
    <row r="783" spans="1:57">
      <c r="A783" s="239" t="s">
        <v>571</v>
      </c>
      <c r="B783" s="239">
        <v>37.299999999999997</v>
      </c>
      <c r="C783" s="239">
        <v>41.92</v>
      </c>
      <c r="D783" s="239">
        <v>43.59</v>
      </c>
      <c r="E783" s="239">
        <v>45.25</v>
      </c>
      <c r="F783" s="239">
        <v>49</v>
      </c>
      <c r="G783" s="239">
        <v>50.75</v>
      </c>
      <c r="H783" s="239">
        <v>52.52</v>
      </c>
      <c r="I783" s="239">
        <v>54.26</v>
      </c>
      <c r="J783" s="239">
        <v>32.479999999999997</v>
      </c>
      <c r="K783" s="239">
        <v>22.93</v>
      </c>
      <c r="L783" s="239">
        <v>24.96</v>
      </c>
      <c r="M783" s="239">
        <v>21.88</v>
      </c>
      <c r="N783" s="239">
        <v>22.42</v>
      </c>
      <c r="S783" s="1"/>
      <c r="T783" s="1"/>
      <c r="U783" s="1"/>
      <c r="V783" s="1"/>
      <c r="W783" s="1"/>
      <c r="X783" s="1"/>
      <c r="Y783" s="1"/>
      <c r="Z783" s="1"/>
      <c r="AD783"/>
      <c r="AE783"/>
      <c r="AF783"/>
      <c r="AG783"/>
      <c r="AH783"/>
      <c r="AI783"/>
      <c r="AJ783"/>
      <c r="AK783"/>
      <c r="AN783" s="1"/>
      <c r="AT783" s="1"/>
      <c r="AU783" s="1"/>
      <c r="AV783" s="1"/>
      <c r="AW783" s="1"/>
      <c r="AX783" s="1"/>
      <c r="AY783" s="1"/>
      <c r="AZ783"/>
      <c r="BA783"/>
      <c r="BB783"/>
      <c r="BC783"/>
      <c r="BD783"/>
      <c r="BE783"/>
    </row>
    <row r="784" spans="1:57">
      <c r="A784" s="239" t="s">
        <v>572</v>
      </c>
      <c r="B784" s="239">
        <v>43.4</v>
      </c>
      <c r="C784" s="239">
        <v>48.76</v>
      </c>
      <c r="D784" s="239">
        <v>50.71</v>
      </c>
      <c r="E784" s="239">
        <v>52.66</v>
      </c>
      <c r="F784" s="239">
        <v>57.73</v>
      </c>
      <c r="G784" s="239">
        <v>59.79</v>
      </c>
      <c r="H784" s="239">
        <v>61.84</v>
      </c>
      <c r="I784" s="239">
        <v>63.92</v>
      </c>
      <c r="J784" s="239">
        <v>38.24</v>
      </c>
      <c r="K784" s="239">
        <v>27</v>
      </c>
      <c r="L784" s="239">
        <v>29.39</v>
      </c>
      <c r="M784" s="239">
        <v>25.77</v>
      </c>
      <c r="N784" s="239">
        <v>26.41</v>
      </c>
      <c r="S784" s="1"/>
      <c r="T784" s="1"/>
      <c r="U784" s="1"/>
      <c r="V784" s="1"/>
      <c r="W784" s="1"/>
      <c r="X784" s="1"/>
      <c r="Y784" s="1"/>
      <c r="Z784" s="1"/>
      <c r="AD784"/>
      <c r="AE784"/>
      <c r="AF784"/>
      <c r="AG784"/>
      <c r="AH784"/>
      <c r="AI784"/>
      <c r="AJ784"/>
      <c r="AK784"/>
      <c r="AN784" s="1"/>
      <c r="AT784" s="1"/>
      <c r="AU784" s="1"/>
      <c r="AV784" s="1"/>
      <c r="AW784" s="1"/>
      <c r="AX784" s="1"/>
      <c r="AY784" s="1"/>
      <c r="AZ784"/>
      <c r="BA784"/>
      <c r="BB784"/>
      <c r="BC784"/>
      <c r="BD784"/>
      <c r="BE784"/>
    </row>
    <row r="785" spans="1:57">
      <c r="A785" s="239" t="s">
        <v>573</v>
      </c>
      <c r="B785" s="239">
        <v>31.2</v>
      </c>
      <c r="C785" s="239">
        <v>35.049999999999997</v>
      </c>
      <c r="D785" s="239">
        <v>36.46</v>
      </c>
      <c r="E785" s="239">
        <v>37.86</v>
      </c>
      <c r="F785" s="239">
        <v>40.28</v>
      </c>
      <c r="G785" s="239">
        <v>41.71</v>
      </c>
      <c r="H785" s="239">
        <v>43.15</v>
      </c>
      <c r="I785" s="239">
        <v>44.58</v>
      </c>
      <c r="J785" s="239">
        <v>26.69</v>
      </c>
      <c r="K785" s="239">
        <v>18.829999999999998</v>
      </c>
      <c r="L785" s="239">
        <v>20.51</v>
      </c>
      <c r="M785" s="239">
        <v>17.98</v>
      </c>
      <c r="N785" s="239">
        <v>18.420000000000002</v>
      </c>
      <c r="S785" s="1"/>
      <c r="T785" s="1"/>
      <c r="U785" s="1"/>
      <c r="V785" s="1"/>
      <c r="W785" s="1"/>
      <c r="X785" s="1"/>
      <c r="Y785" s="1"/>
      <c r="Z785" s="1"/>
      <c r="AD785"/>
      <c r="AE785"/>
      <c r="AF785"/>
      <c r="AG785"/>
      <c r="AH785"/>
      <c r="AI785"/>
      <c r="AJ785"/>
      <c r="AK785"/>
      <c r="AN785" s="1"/>
      <c r="AT785" s="1"/>
      <c r="AU785" s="1"/>
      <c r="AV785" s="1"/>
      <c r="AW785" s="1"/>
      <c r="AX785" s="1"/>
      <c r="AY785" s="1"/>
      <c r="AZ785"/>
      <c r="BA785"/>
      <c r="BB785"/>
      <c r="BC785"/>
      <c r="BD785"/>
      <c r="BE785"/>
    </row>
    <row r="786" spans="1:57">
      <c r="A786" s="239" t="s">
        <v>574</v>
      </c>
      <c r="B786" s="239">
        <v>43.82</v>
      </c>
      <c r="C786" s="239">
        <v>49.22</v>
      </c>
      <c r="D786" s="239">
        <v>51.2</v>
      </c>
      <c r="E786" s="239">
        <v>53.14</v>
      </c>
      <c r="F786" s="239">
        <v>58.31</v>
      </c>
      <c r="G786" s="239">
        <v>60.39</v>
      </c>
      <c r="H786" s="239">
        <v>62.49</v>
      </c>
      <c r="I786" s="239">
        <v>64.56</v>
      </c>
      <c r="J786" s="239">
        <v>38.64</v>
      </c>
      <c r="K786" s="239">
        <v>27.28</v>
      </c>
      <c r="L786" s="239">
        <v>29.7</v>
      </c>
      <c r="M786" s="239">
        <v>26.02</v>
      </c>
      <c r="N786" s="239">
        <v>26.69</v>
      </c>
      <c r="S786" s="1"/>
      <c r="T786" s="1"/>
      <c r="U786" s="1"/>
      <c r="V786" s="1"/>
      <c r="W786" s="1"/>
      <c r="X786" s="1"/>
      <c r="Y786" s="1"/>
      <c r="Z786" s="1"/>
      <c r="AD786"/>
      <c r="AE786"/>
      <c r="AF786"/>
      <c r="AG786"/>
      <c r="AH786"/>
      <c r="AI786"/>
      <c r="AJ786"/>
      <c r="AK786"/>
      <c r="AN786" s="1"/>
      <c r="AT786" s="1"/>
      <c r="AU786" s="1"/>
      <c r="AV786" s="1"/>
      <c r="AW786" s="1"/>
      <c r="AX786" s="1"/>
      <c r="AY786" s="1"/>
      <c r="AZ786"/>
      <c r="BA786"/>
      <c r="BB786"/>
      <c r="BC786"/>
      <c r="BD786"/>
      <c r="BE786"/>
    </row>
    <row r="787" spans="1:57">
      <c r="A787" s="239" t="s">
        <v>575</v>
      </c>
      <c r="B787" s="239">
        <v>43.46</v>
      </c>
      <c r="C787" s="239">
        <v>48.83</v>
      </c>
      <c r="D787" s="239">
        <v>50.77</v>
      </c>
      <c r="E787" s="239">
        <v>52.75</v>
      </c>
      <c r="F787" s="239">
        <v>57.84</v>
      </c>
      <c r="G787" s="239">
        <v>59.89</v>
      </c>
      <c r="H787" s="239">
        <v>61.96</v>
      </c>
      <c r="I787" s="239">
        <v>64.03</v>
      </c>
      <c r="J787" s="239">
        <v>38.32</v>
      </c>
      <c r="K787" s="239">
        <v>27.05</v>
      </c>
      <c r="L787" s="239">
        <v>29.44</v>
      </c>
      <c r="M787" s="239">
        <v>25.81</v>
      </c>
      <c r="N787" s="239">
        <v>26.45</v>
      </c>
      <c r="S787" s="1"/>
      <c r="T787" s="1"/>
      <c r="U787" s="1"/>
      <c r="V787" s="1"/>
      <c r="W787" s="1"/>
      <c r="X787" s="1"/>
      <c r="Y787" s="1"/>
      <c r="Z787" s="1"/>
      <c r="AD787"/>
      <c r="AE787"/>
      <c r="AF787"/>
      <c r="AG787"/>
      <c r="AH787"/>
      <c r="AI787"/>
      <c r="AJ787"/>
      <c r="AK787"/>
      <c r="AN787" s="1"/>
      <c r="AT787" s="1"/>
      <c r="AU787" s="1"/>
      <c r="AV787" s="1"/>
      <c r="AW787" s="1"/>
      <c r="AX787" s="1"/>
      <c r="AY787" s="1"/>
      <c r="AZ787"/>
      <c r="BA787"/>
      <c r="BB787"/>
      <c r="BC787"/>
      <c r="BD787"/>
      <c r="BE787"/>
    </row>
    <row r="788" spans="1:57">
      <c r="A788" s="239" t="s">
        <v>576</v>
      </c>
      <c r="B788" s="239">
        <v>34.090000000000003</v>
      </c>
      <c r="C788" s="239">
        <v>38.31</v>
      </c>
      <c r="D788" s="239">
        <v>39.83</v>
      </c>
      <c r="E788" s="239">
        <v>41.38</v>
      </c>
      <c r="F788" s="239">
        <v>44.42</v>
      </c>
      <c r="G788" s="239">
        <v>46</v>
      </c>
      <c r="H788" s="239">
        <v>47.59</v>
      </c>
      <c r="I788" s="239">
        <v>49.18</v>
      </c>
      <c r="J788" s="239">
        <v>29.44</v>
      </c>
      <c r="K788" s="239">
        <v>20.78</v>
      </c>
      <c r="L788" s="239">
        <v>22.61</v>
      </c>
      <c r="M788" s="239">
        <v>19.829999999999998</v>
      </c>
      <c r="N788" s="239">
        <v>20.3</v>
      </c>
      <c r="S788" s="1"/>
      <c r="T788" s="1"/>
      <c r="U788" s="1"/>
      <c r="V788" s="1"/>
      <c r="W788" s="1"/>
      <c r="X788" s="1"/>
      <c r="Y788" s="1"/>
      <c r="Z788" s="1"/>
      <c r="AD788"/>
      <c r="AE788"/>
      <c r="AF788"/>
      <c r="AG788"/>
      <c r="AH788"/>
      <c r="AI788"/>
      <c r="AJ788"/>
      <c r="AK788"/>
      <c r="AN788" s="1"/>
      <c r="AT788" s="1"/>
      <c r="AU788" s="1"/>
      <c r="AV788" s="1"/>
      <c r="AW788" s="1"/>
      <c r="AX788" s="1"/>
      <c r="AY788" s="1"/>
      <c r="AZ788"/>
      <c r="BA788"/>
      <c r="BB788"/>
      <c r="BC788"/>
      <c r="BD788"/>
      <c r="BE788"/>
    </row>
    <row r="789" spans="1:57">
      <c r="A789" s="239" t="s">
        <v>577</v>
      </c>
      <c r="B789" s="239">
        <v>42.62</v>
      </c>
      <c r="C789" s="239">
        <v>47.87</v>
      </c>
      <c r="D789" s="239">
        <v>49.78</v>
      </c>
      <c r="E789" s="239">
        <v>51.71</v>
      </c>
      <c r="F789" s="239">
        <v>55.55</v>
      </c>
      <c r="G789" s="239">
        <v>57.51</v>
      </c>
      <c r="H789" s="239">
        <v>59.48</v>
      </c>
      <c r="I789" s="239">
        <v>61.48</v>
      </c>
      <c r="J789" s="239">
        <v>36.799999999999997</v>
      </c>
      <c r="K789" s="239">
        <v>25.97</v>
      </c>
      <c r="L789" s="239">
        <v>28.28</v>
      </c>
      <c r="M789" s="239">
        <v>24.78</v>
      </c>
      <c r="N789" s="239">
        <v>25.4</v>
      </c>
      <c r="S789" s="1"/>
      <c r="T789" s="1"/>
      <c r="U789" s="1"/>
      <c r="V789" s="1"/>
      <c r="W789" s="1"/>
      <c r="X789" s="1"/>
      <c r="Y789" s="1"/>
      <c r="Z789" s="1"/>
      <c r="AD789"/>
      <c r="AE789"/>
      <c r="AF789"/>
      <c r="AG789"/>
      <c r="AH789"/>
      <c r="AI789"/>
      <c r="AJ789"/>
      <c r="AK789"/>
      <c r="AN789" s="1"/>
      <c r="AT789" s="1"/>
      <c r="AU789" s="1"/>
      <c r="AV789" s="1"/>
      <c r="AW789" s="1"/>
      <c r="AX789" s="1"/>
      <c r="AY789" s="1"/>
      <c r="AZ789"/>
      <c r="BA789"/>
      <c r="BB789"/>
      <c r="BC789"/>
      <c r="BD789"/>
      <c r="BE789"/>
    </row>
    <row r="790" spans="1:57">
      <c r="A790" s="239" t="s">
        <v>578</v>
      </c>
      <c r="B790" s="239">
        <v>43.12</v>
      </c>
      <c r="C790" s="239">
        <v>48.46</v>
      </c>
      <c r="D790" s="239">
        <v>50.4</v>
      </c>
      <c r="E790" s="239">
        <v>52.33</v>
      </c>
      <c r="F790" s="239">
        <v>57.35</v>
      </c>
      <c r="G790" s="239">
        <v>59.38</v>
      </c>
      <c r="H790" s="239">
        <v>61.44</v>
      </c>
      <c r="I790" s="239">
        <v>63.49</v>
      </c>
      <c r="J790" s="239">
        <v>38</v>
      </c>
      <c r="K790" s="239">
        <v>26.82</v>
      </c>
      <c r="L790" s="239">
        <v>29.2</v>
      </c>
      <c r="M790" s="239">
        <v>25.6</v>
      </c>
      <c r="N790" s="239">
        <v>26.22</v>
      </c>
      <c r="S790" s="1"/>
      <c r="T790" s="1"/>
      <c r="U790" s="1"/>
      <c r="V790" s="1"/>
      <c r="W790" s="1"/>
      <c r="X790" s="1"/>
      <c r="Y790" s="1"/>
      <c r="Z790" s="1"/>
      <c r="AD790"/>
      <c r="AE790"/>
      <c r="AF790"/>
      <c r="AG790"/>
      <c r="AH790"/>
      <c r="AI790"/>
      <c r="AJ790"/>
      <c r="AK790"/>
      <c r="AN790" s="1"/>
      <c r="AT790" s="1"/>
      <c r="AU790" s="1"/>
      <c r="AV790" s="1"/>
      <c r="AW790" s="1"/>
      <c r="AX790" s="1"/>
      <c r="AY790" s="1"/>
      <c r="AZ790"/>
      <c r="BA790"/>
      <c r="BB790"/>
      <c r="BC790"/>
      <c r="BD790"/>
      <c r="BE790"/>
    </row>
    <row r="791" spans="1:57">
      <c r="A791" s="239" t="s">
        <v>579</v>
      </c>
      <c r="B791" s="239">
        <v>38.520000000000003</v>
      </c>
      <c r="C791" s="239">
        <v>43.31</v>
      </c>
      <c r="D791" s="239">
        <v>45.02</v>
      </c>
      <c r="E791" s="239">
        <v>46.77</v>
      </c>
      <c r="F791" s="239">
        <v>50.77</v>
      </c>
      <c r="G791" s="239">
        <v>52.6</v>
      </c>
      <c r="H791" s="239">
        <v>54.42</v>
      </c>
      <c r="I791" s="239">
        <v>56.23</v>
      </c>
      <c r="J791" s="239">
        <v>33.65</v>
      </c>
      <c r="K791" s="239">
        <v>23.75</v>
      </c>
      <c r="L791" s="239">
        <v>25.88</v>
      </c>
      <c r="M791" s="239">
        <v>22.68</v>
      </c>
      <c r="N791" s="239">
        <v>23.22</v>
      </c>
      <c r="S791" s="1"/>
      <c r="T791" s="1"/>
      <c r="U791" s="1"/>
      <c r="V791" s="1"/>
      <c r="W791" s="1"/>
      <c r="X791" s="1"/>
      <c r="Y791" s="1"/>
      <c r="Z791" s="1"/>
      <c r="AD791"/>
      <c r="AE791"/>
      <c r="AF791"/>
      <c r="AG791"/>
      <c r="AH791"/>
      <c r="AI791"/>
      <c r="AJ791"/>
      <c r="AK791"/>
      <c r="AN791" s="1"/>
      <c r="AT791" s="1"/>
      <c r="AU791" s="1"/>
      <c r="AV791" s="1"/>
      <c r="AW791" s="1"/>
      <c r="AX791" s="1"/>
      <c r="AY791" s="1"/>
      <c r="AZ791"/>
      <c r="BA791"/>
      <c r="BB791"/>
      <c r="BC791"/>
      <c r="BD791"/>
      <c r="BE791"/>
    </row>
    <row r="792" spans="1:57">
      <c r="A792" s="239" t="s">
        <v>580</v>
      </c>
      <c r="B792" s="239">
        <v>36.69</v>
      </c>
      <c r="C792" s="239">
        <v>41.2</v>
      </c>
      <c r="D792" s="239">
        <v>42.87</v>
      </c>
      <c r="E792" s="239">
        <v>44.51</v>
      </c>
      <c r="F792" s="239">
        <v>48.12</v>
      </c>
      <c r="G792" s="239">
        <v>49.83</v>
      </c>
      <c r="H792" s="239">
        <v>51.56</v>
      </c>
      <c r="I792" s="239">
        <v>53.28</v>
      </c>
      <c r="J792" s="239">
        <v>31.89</v>
      </c>
      <c r="K792" s="239">
        <v>22.51</v>
      </c>
      <c r="L792" s="239">
        <v>24.49</v>
      </c>
      <c r="M792" s="239">
        <v>21.49</v>
      </c>
      <c r="N792" s="239">
        <v>22</v>
      </c>
      <c r="S792" s="1"/>
      <c r="T792" s="1"/>
      <c r="U792" s="1"/>
      <c r="V792" s="1"/>
      <c r="W792" s="1"/>
      <c r="X792" s="1"/>
      <c r="Y792" s="1"/>
      <c r="Z792" s="1"/>
      <c r="AD792"/>
      <c r="AE792"/>
      <c r="AF792"/>
      <c r="AG792"/>
      <c r="AH792"/>
      <c r="AI792"/>
      <c r="AJ792"/>
      <c r="AK792"/>
      <c r="AN792" s="1"/>
      <c r="AT792" s="1"/>
      <c r="AU792" s="1"/>
      <c r="AV792" s="1"/>
      <c r="AW792" s="1"/>
      <c r="AX792" s="1"/>
      <c r="AY792" s="1"/>
      <c r="AZ792"/>
      <c r="BA792"/>
      <c r="BB792"/>
      <c r="BC792"/>
      <c r="BD792"/>
      <c r="BE792"/>
    </row>
    <row r="793" spans="1:57">
      <c r="A793" s="239" t="s">
        <v>581</v>
      </c>
      <c r="B793" s="239">
        <v>39.93</v>
      </c>
      <c r="C793" s="239">
        <v>44.89</v>
      </c>
      <c r="D793" s="239">
        <v>46.68</v>
      </c>
      <c r="E793" s="239">
        <v>48.47</v>
      </c>
      <c r="F793" s="239">
        <v>52.17</v>
      </c>
      <c r="G793" s="239">
        <v>54.02</v>
      </c>
      <c r="H793" s="239">
        <v>55.89</v>
      </c>
      <c r="I793" s="239">
        <v>57.74</v>
      </c>
      <c r="J793" s="239">
        <v>34.56</v>
      </c>
      <c r="K793" s="239">
        <v>24.4</v>
      </c>
      <c r="L793" s="239">
        <v>26.54</v>
      </c>
      <c r="M793" s="239">
        <v>23.26</v>
      </c>
      <c r="N793" s="239">
        <v>23.86</v>
      </c>
      <c r="S793" s="1"/>
      <c r="T793" s="1"/>
      <c r="U793" s="1"/>
      <c r="V793" s="1"/>
      <c r="W793" s="1"/>
      <c r="X793" s="1"/>
      <c r="Y793" s="1"/>
      <c r="Z793" s="1"/>
      <c r="AD793"/>
      <c r="AE793"/>
      <c r="AF793"/>
      <c r="AG793"/>
      <c r="AH793"/>
      <c r="AI793"/>
      <c r="AJ793"/>
      <c r="AK793"/>
      <c r="AN793" s="1"/>
      <c r="AT793" s="1"/>
      <c r="AU793" s="1"/>
      <c r="AV793" s="1"/>
      <c r="AW793" s="1"/>
      <c r="AX793" s="1"/>
      <c r="AY793" s="1"/>
      <c r="AZ793"/>
      <c r="BA793"/>
      <c r="BB793"/>
      <c r="BC793"/>
      <c r="BD793"/>
      <c r="BE793"/>
    </row>
    <row r="794" spans="1:57">
      <c r="A794" s="239" t="s">
        <v>582</v>
      </c>
      <c r="B794" s="239">
        <v>28.25</v>
      </c>
      <c r="C794" s="239">
        <v>31.73</v>
      </c>
      <c r="D794" s="239">
        <v>33</v>
      </c>
      <c r="E794" s="239">
        <v>34.26</v>
      </c>
      <c r="F794" s="239">
        <v>36.06</v>
      </c>
      <c r="G794" s="239">
        <v>37.35</v>
      </c>
      <c r="H794" s="239">
        <v>38.65</v>
      </c>
      <c r="I794" s="239">
        <v>39.93</v>
      </c>
      <c r="J794" s="239">
        <v>23.89</v>
      </c>
      <c r="K794" s="239">
        <v>16.87</v>
      </c>
      <c r="L794" s="239">
        <v>18.36</v>
      </c>
      <c r="M794" s="239">
        <v>16.100000000000001</v>
      </c>
      <c r="N794" s="239">
        <v>16.48</v>
      </c>
      <c r="S794" s="1"/>
      <c r="T794" s="1"/>
      <c r="U794" s="1"/>
      <c r="V794" s="1"/>
      <c r="W794" s="1"/>
      <c r="X794" s="1"/>
      <c r="Y794" s="1"/>
      <c r="Z794" s="1"/>
      <c r="AD794"/>
      <c r="AE794"/>
      <c r="AF794"/>
      <c r="AG794"/>
      <c r="AH794"/>
      <c r="AI794"/>
      <c r="AJ794"/>
      <c r="AK794"/>
      <c r="AN794" s="1"/>
      <c r="AT794" s="1"/>
      <c r="AU794" s="1"/>
      <c r="AV794" s="1"/>
      <c r="AW794" s="1"/>
      <c r="AX794" s="1"/>
      <c r="AY794" s="1"/>
      <c r="AZ794"/>
      <c r="BA794"/>
      <c r="BB794"/>
      <c r="BC794"/>
      <c r="BD794"/>
      <c r="BE794"/>
    </row>
    <row r="795" spans="1:57">
      <c r="A795" s="239" t="s">
        <v>583</v>
      </c>
      <c r="B795" s="239">
        <v>35.630000000000003</v>
      </c>
      <c r="C795" s="239">
        <v>40.07</v>
      </c>
      <c r="D795" s="239">
        <v>41.67</v>
      </c>
      <c r="E795" s="239">
        <v>43.28</v>
      </c>
      <c r="F795" s="239">
        <v>46.66</v>
      </c>
      <c r="G795" s="239">
        <v>48.32</v>
      </c>
      <c r="H795" s="239">
        <v>50</v>
      </c>
      <c r="I795" s="239">
        <v>51.68</v>
      </c>
      <c r="J795" s="239">
        <v>30.94</v>
      </c>
      <c r="K795" s="239">
        <v>21.82</v>
      </c>
      <c r="L795" s="239">
        <v>23.77</v>
      </c>
      <c r="M795" s="239">
        <v>20.83</v>
      </c>
      <c r="N795" s="239">
        <v>21.34</v>
      </c>
      <c r="S795" s="1"/>
      <c r="T795" s="1"/>
      <c r="U795" s="1"/>
      <c r="V795" s="1"/>
      <c r="W795" s="1"/>
      <c r="X795" s="1"/>
      <c r="Y795" s="1"/>
      <c r="Z795" s="1"/>
      <c r="AD795"/>
      <c r="AE795"/>
      <c r="AF795"/>
      <c r="AG795"/>
      <c r="AH795"/>
      <c r="AI795"/>
      <c r="AJ795"/>
      <c r="AK795"/>
      <c r="AN795" s="1"/>
      <c r="AT795" s="1"/>
      <c r="AU795" s="1"/>
      <c r="AV795" s="1"/>
      <c r="AW795" s="1"/>
      <c r="AX795" s="1"/>
      <c r="AY795" s="1"/>
      <c r="AZ795"/>
      <c r="BA795"/>
      <c r="BB795"/>
      <c r="BC795"/>
      <c r="BD795"/>
      <c r="BE795"/>
    </row>
    <row r="796" spans="1:57">
      <c r="A796" s="239" t="s">
        <v>584</v>
      </c>
      <c r="B796" s="239">
        <v>43.18</v>
      </c>
      <c r="C796" s="239">
        <v>48.51</v>
      </c>
      <c r="D796" s="239">
        <v>50.45</v>
      </c>
      <c r="E796" s="239">
        <v>52.4</v>
      </c>
      <c r="F796" s="239">
        <v>57.43</v>
      </c>
      <c r="G796" s="239">
        <v>59.46</v>
      </c>
      <c r="H796" s="239">
        <v>61.53</v>
      </c>
      <c r="I796" s="239">
        <v>63.58</v>
      </c>
      <c r="J796" s="239">
        <v>38.049999999999997</v>
      </c>
      <c r="K796" s="239">
        <v>26.85</v>
      </c>
      <c r="L796" s="239">
        <v>29.24</v>
      </c>
      <c r="M796" s="239">
        <v>25.63</v>
      </c>
      <c r="N796" s="239">
        <v>26.25</v>
      </c>
      <c r="S796" s="1"/>
      <c r="T796" s="1"/>
      <c r="U796" s="1"/>
      <c r="V796" s="1"/>
      <c r="W796" s="1"/>
      <c r="X796" s="1"/>
      <c r="Y796" s="1"/>
      <c r="Z796" s="1"/>
      <c r="AD796"/>
      <c r="AE796"/>
      <c r="AF796"/>
      <c r="AG796"/>
      <c r="AH796"/>
      <c r="AI796"/>
      <c r="AJ796"/>
      <c r="AK796"/>
      <c r="AN796" s="1"/>
      <c r="AT796" s="1"/>
      <c r="AU796" s="1"/>
      <c r="AV796" s="1"/>
      <c r="AW796" s="1"/>
      <c r="AX796" s="1"/>
      <c r="AY796" s="1"/>
      <c r="AZ796"/>
      <c r="BA796"/>
      <c r="BB796"/>
      <c r="BC796"/>
      <c r="BD796"/>
      <c r="BE796"/>
    </row>
    <row r="797" spans="1:57">
      <c r="A797" s="239" t="s">
        <v>585</v>
      </c>
      <c r="B797" s="239">
        <v>51.07</v>
      </c>
      <c r="C797" s="239">
        <v>57.38</v>
      </c>
      <c r="D797" s="239">
        <v>59.7</v>
      </c>
      <c r="E797" s="239">
        <v>61.98</v>
      </c>
      <c r="F797" s="239">
        <v>68.7</v>
      </c>
      <c r="G797" s="239">
        <v>71.17</v>
      </c>
      <c r="H797" s="239">
        <v>73.62</v>
      </c>
      <c r="I797" s="239">
        <v>76.09</v>
      </c>
      <c r="J797" s="239">
        <v>45.54</v>
      </c>
      <c r="K797" s="239">
        <v>32.14</v>
      </c>
      <c r="L797" s="239">
        <v>35</v>
      </c>
      <c r="M797" s="239">
        <v>30.69</v>
      </c>
      <c r="N797" s="239">
        <v>31.42</v>
      </c>
      <c r="S797" s="1"/>
      <c r="T797" s="1"/>
      <c r="U797" s="1"/>
      <c r="V797" s="1"/>
      <c r="W797" s="1"/>
      <c r="X797" s="1"/>
      <c r="Y797" s="1"/>
      <c r="Z797" s="1"/>
      <c r="AD797"/>
      <c r="AE797"/>
      <c r="AF797"/>
      <c r="AG797"/>
      <c r="AH797"/>
      <c r="AI797"/>
      <c r="AJ797"/>
      <c r="AK797"/>
      <c r="AN797" s="1"/>
      <c r="AT797" s="1"/>
      <c r="AU797" s="1"/>
      <c r="AV797" s="1"/>
      <c r="AW797" s="1"/>
      <c r="AX797" s="1"/>
      <c r="AY797" s="1"/>
      <c r="AZ797"/>
      <c r="BA797"/>
      <c r="BB797"/>
      <c r="BC797"/>
      <c r="BD797"/>
      <c r="BE797"/>
    </row>
    <row r="798" spans="1:57">
      <c r="A798" s="239" t="s">
        <v>586</v>
      </c>
      <c r="B798" s="239">
        <v>63.86</v>
      </c>
      <c r="C798" s="239">
        <v>71.739999999999995</v>
      </c>
      <c r="D798" s="239">
        <v>74.599999999999994</v>
      </c>
      <c r="E798" s="239">
        <v>77.48</v>
      </c>
      <c r="F798" s="239">
        <v>85.89</v>
      </c>
      <c r="G798" s="239">
        <v>88.96</v>
      </c>
      <c r="H798" s="239">
        <v>92.04</v>
      </c>
      <c r="I798" s="239">
        <v>95.12</v>
      </c>
      <c r="J798" s="239">
        <v>56.92</v>
      </c>
      <c r="K798" s="239">
        <v>40.159999999999997</v>
      </c>
      <c r="L798" s="239">
        <v>43.75</v>
      </c>
      <c r="M798" s="239">
        <v>38.33</v>
      </c>
      <c r="N798" s="239">
        <v>39.28</v>
      </c>
      <c r="S798" s="1"/>
      <c r="T798" s="1"/>
      <c r="U798" s="1"/>
      <c r="V798" s="1"/>
      <c r="W798" s="1"/>
      <c r="X798" s="1"/>
      <c r="Y798" s="1"/>
      <c r="Z798" s="1"/>
      <c r="AD798"/>
      <c r="AE798"/>
      <c r="AF798"/>
      <c r="AG798"/>
      <c r="AH798"/>
      <c r="AI798"/>
      <c r="AJ798"/>
      <c r="AK798"/>
      <c r="AN798" s="1"/>
      <c r="AT798" s="1"/>
      <c r="AU798" s="1"/>
      <c r="AV798" s="1"/>
      <c r="AW798" s="1"/>
      <c r="AX798" s="1"/>
      <c r="AY798" s="1"/>
      <c r="AZ798"/>
      <c r="BA798"/>
      <c r="BB798"/>
      <c r="BC798"/>
      <c r="BD798"/>
      <c r="BE798"/>
    </row>
    <row r="799" spans="1:57">
      <c r="A799" s="239" t="s">
        <v>587</v>
      </c>
      <c r="B799" s="239">
        <v>51.05</v>
      </c>
      <c r="C799" s="239">
        <v>57.36</v>
      </c>
      <c r="D799" s="239">
        <v>59.65</v>
      </c>
      <c r="E799" s="239">
        <v>61.94</v>
      </c>
      <c r="F799" s="239">
        <v>68.67</v>
      </c>
      <c r="G799" s="239">
        <v>71.12</v>
      </c>
      <c r="H799" s="239">
        <v>73.569999999999993</v>
      </c>
      <c r="I799" s="239">
        <v>76.010000000000005</v>
      </c>
      <c r="J799" s="239">
        <v>45.51</v>
      </c>
      <c r="K799" s="239">
        <v>32.119999999999997</v>
      </c>
      <c r="L799" s="239">
        <v>34.96</v>
      </c>
      <c r="M799" s="239">
        <v>30.66</v>
      </c>
      <c r="N799" s="239">
        <v>31.41</v>
      </c>
      <c r="S799" s="1"/>
      <c r="T799" s="1"/>
      <c r="U799" s="1"/>
      <c r="V799" s="1"/>
      <c r="W799" s="1"/>
      <c r="X799" s="1"/>
      <c r="Y799" s="1"/>
      <c r="Z799" s="1"/>
      <c r="AD799"/>
      <c r="AE799"/>
      <c r="AF799"/>
      <c r="AG799"/>
      <c r="AH799"/>
      <c r="AI799"/>
      <c r="AJ799"/>
      <c r="AK799"/>
      <c r="AN799" s="1"/>
      <c r="AT799" s="1"/>
      <c r="AU799" s="1"/>
      <c r="AV799" s="1"/>
      <c r="AW799" s="1"/>
      <c r="AX799" s="1"/>
      <c r="AY799" s="1"/>
      <c r="AZ799"/>
      <c r="BA799"/>
      <c r="BB799"/>
      <c r="BC799"/>
      <c r="BD799"/>
      <c r="BE799"/>
    </row>
    <row r="800" spans="1:57">
      <c r="A800" s="239" t="s">
        <v>588</v>
      </c>
      <c r="B800" s="239">
        <v>63.8</v>
      </c>
      <c r="C800" s="239">
        <v>71.680000000000007</v>
      </c>
      <c r="D800" s="239">
        <v>74.56</v>
      </c>
      <c r="E800" s="239">
        <v>77.42</v>
      </c>
      <c r="F800" s="239">
        <v>85.83</v>
      </c>
      <c r="G800" s="239">
        <v>88.89</v>
      </c>
      <c r="H800" s="239">
        <v>91.95</v>
      </c>
      <c r="I800" s="239">
        <v>95.02</v>
      </c>
      <c r="J800" s="239">
        <v>56.88</v>
      </c>
      <c r="K800" s="239">
        <v>40.14</v>
      </c>
      <c r="L800" s="239">
        <v>43.69</v>
      </c>
      <c r="M800" s="239">
        <v>38.32</v>
      </c>
      <c r="N800" s="239">
        <v>39.25</v>
      </c>
      <c r="S800" s="1"/>
      <c r="T800" s="1"/>
      <c r="U800" s="1"/>
      <c r="V800" s="1"/>
      <c r="W800" s="1"/>
      <c r="X800" s="1"/>
      <c r="Y800" s="1"/>
      <c r="Z800" s="1"/>
      <c r="AD800"/>
      <c r="AE800"/>
      <c r="AF800"/>
      <c r="AG800"/>
      <c r="AH800"/>
      <c r="AI800"/>
      <c r="AJ800"/>
      <c r="AK800"/>
      <c r="AN800" s="1"/>
      <c r="AT800" s="1"/>
      <c r="AU800" s="1"/>
      <c r="AV800" s="1"/>
      <c r="AW800" s="1"/>
      <c r="AX800" s="1"/>
      <c r="AY800" s="1"/>
      <c r="AZ800"/>
      <c r="BA800"/>
      <c r="BB800"/>
      <c r="BC800"/>
      <c r="BD800"/>
      <c r="BE800"/>
    </row>
    <row r="801" spans="1:57">
      <c r="A801" s="239" t="s">
        <v>589</v>
      </c>
      <c r="B801" s="239">
        <v>56.25</v>
      </c>
      <c r="C801" s="239">
        <v>63.2</v>
      </c>
      <c r="D801" s="239">
        <v>65.760000000000005</v>
      </c>
      <c r="E801" s="239">
        <v>68.290000000000006</v>
      </c>
      <c r="F801" s="239">
        <v>76.150000000000006</v>
      </c>
      <c r="G801" s="239">
        <v>78.84</v>
      </c>
      <c r="H801" s="239">
        <v>81.55</v>
      </c>
      <c r="I801" s="239">
        <v>84.29</v>
      </c>
      <c r="J801" s="239">
        <v>50.44</v>
      </c>
      <c r="K801" s="239">
        <v>35.6</v>
      </c>
      <c r="L801" s="239">
        <v>38.76</v>
      </c>
      <c r="M801" s="239">
        <v>34</v>
      </c>
      <c r="N801" s="239">
        <v>34.81</v>
      </c>
      <c r="S801" s="1"/>
      <c r="T801" s="1"/>
      <c r="U801" s="1"/>
      <c r="V801" s="1"/>
      <c r="W801" s="1"/>
      <c r="X801" s="1"/>
      <c r="Y801" s="1"/>
      <c r="Z801" s="1"/>
      <c r="AD801"/>
      <c r="AE801"/>
      <c r="AF801"/>
      <c r="AG801"/>
      <c r="AH801"/>
      <c r="AI801"/>
      <c r="AJ801"/>
      <c r="AK801"/>
      <c r="AN801" s="1"/>
      <c r="AT801" s="1"/>
      <c r="AU801" s="1"/>
      <c r="AV801" s="1"/>
      <c r="AW801" s="1"/>
      <c r="AX801" s="1"/>
      <c r="AY801" s="1"/>
      <c r="AZ801"/>
      <c r="BA801"/>
      <c r="BB801"/>
      <c r="BC801"/>
      <c r="BD801"/>
      <c r="BE801"/>
    </row>
    <row r="802" spans="1:57">
      <c r="A802" s="239" t="s">
        <v>590</v>
      </c>
      <c r="B802" s="239">
        <v>70.34</v>
      </c>
      <c r="C802" s="239">
        <v>79.02</v>
      </c>
      <c r="D802" s="239">
        <v>82.18</v>
      </c>
      <c r="E802" s="239">
        <v>85.34</v>
      </c>
      <c r="F802" s="239">
        <v>95.16</v>
      </c>
      <c r="G802" s="239">
        <v>98.56</v>
      </c>
      <c r="H802" s="239">
        <v>101.95</v>
      </c>
      <c r="I802" s="239">
        <v>105.35</v>
      </c>
      <c r="J802" s="239">
        <v>63.04</v>
      </c>
      <c r="K802" s="239">
        <v>44.5</v>
      </c>
      <c r="L802" s="239">
        <v>48.45</v>
      </c>
      <c r="M802" s="239">
        <v>42.47</v>
      </c>
      <c r="N802" s="239">
        <v>43.52</v>
      </c>
      <c r="S802" s="1"/>
      <c r="T802" s="1"/>
      <c r="U802" s="1"/>
      <c r="V802" s="1"/>
      <c r="W802" s="1"/>
      <c r="X802" s="1"/>
      <c r="Y802" s="1"/>
      <c r="Z802" s="1"/>
      <c r="AD802"/>
      <c r="AE802"/>
      <c r="AF802"/>
      <c r="AG802"/>
      <c r="AH802"/>
      <c r="AI802"/>
      <c r="AJ802"/>
      <c r="AK802"/>
      <c r="AN802" s="1"/>
      <c r="AT802" s="1"/>
      <c r="AU802" s="1"/>
      <c r="AV802" s="1"/>
      <c r="AW802" s="1"/>
      <c r="AX802" s="1"/>
      <c r="AY802" s="1"/>
      <c r="AZ802"/>
      <c r="BA802"/>
      <c r="BB802"/>
      <c r="BC802"/>
      <c r="BD802"/>
      <c r="BE802"/>
    </row>
    <row r="803" spans="1:57">
      <c r="A803" s="239" t="s">
        <v>591</v>
      </c>
      <c r="B803" s="239">
        <v>47.91</v>
      </c>
      <c r="C803" s="239">
        <v>53.84</v>
      </c>
      <c r="D803" s="239">
        <v>56.01</v>
      </c>
      <c r="E803" s="239">
        <v>58.16</v>
      </c>
      <c r="F803" s="239">
        <v>64.19</v>
      </c>
      <c r="G803" s="239">
        <v>66.5</v>
      </c>
      <c r="H803" s="239">
        <v>68.8</v>
      </c>
      <c r="I803" s="239">
        <v>71.08</v>
      </c>
      <c r="J803" s="239">
        <v>42.54</v>
      </c>
      <c r="K803" s="239">
        <v>30.02</v>
      </c>
      <c r="L803" s="239">
        <v>32.69</v>
      </c>
      <c r="M803" s="239">
        <v>28.67</v>
      </c>
      <c r="N803" s="239">
        <v>29.38</v>
      </c>
      <c r="S803" s="1"/>
      <c r="T803" s="1"/>
      <c r="U803" s="1"/>
      <c r="V803" s="1"/>
      <c r="W803" s="1"/>
      <c r="X803" s="1"/>
      <c r="Y803" s="1"/>
      <c r="Z803" s="1"/>
      <c r="AD803"/>
      <c r="AE803"/>
      <c r="AF803"/>
      <c r="AG803"/>
      <c r="AH803"/>
      <c r="AI803"/>
      <c r="AJ803"/>
      <c r="AK803"/>
      <c r="AN803" s="1"/>
      <c r="AT803" s="1"/>
      <c r="AU803" s="1"/>
      <c r="AV803" s="1"/>
      <c r="AW803" s="1"/>
      <c r="AX803" s="1"/>
      <c r="AY803" s="1"/>
      <c r="AZ803"/>
      <c r="BA803"/>
      <c r="BB803"/>
      <c r="BC803"/>
      <c r="BD803"/>
      <c r="BE803"/>
    </row>
    <row r="804" spans="1:57">
      <c r="A804" s="239" t="s">
        <v>592</v>
      </c>
      <c r="B804" s="239">
        <v>47.48</v>
      </c>
      <c r="C804" s="239">
        <v>53.33</v>
      </c>
      <c r="D804" s="239">
        <v>55.48</v>
      </c>
      <c r="E804" s="239">
        <v>57.62</v>
      </c>
      <c r="F804" s="239">
        <v>63.56</v>
      </c>
      <c r="G804" s="239">
        <v>65.83</v>
      </c>
      <c r="H804" s="239">
        <v>68.099999999999994</v>
      </c>
      <c r="I804" s="239">
        <v>70.39</v>
      </c>
      <c r="J804" s="239">
        <v>42.12</v>
      </c>
      <c r="K804" s="239">
        <v>29.73</v>
      </c>
      <c r="L804" s="239">
        <v>32.35</v>
      </c>
      <c r="M804" s="239">
        <v>28.37</v>
      </c>
      <c r="N804" s="239">
        <v>29.08</v>
      </c>
      <c r="S804" s="1"/>
      <c r="T804" s="1"/>
      <c r="U804" s="1"/>
      <c r="V804" s="1"/>
      <c r="W804" s="1"/>
      <c r="X804" s="1"/>
      <c r="Y804" s="1"/>
      <c r="Z804" s="1"/>
      <c r="AD804"/>
      <c r="AE804"/>
      <c r="AF804"/>
      <c r="AG804"/>
      <c r="AH804"/>
      <c r="AI804"/>
      <c r="AJ804"/>
      <c r="AK804"/>
      <c r="AN804" s="1"/>
      <c r="AT804" s="1"/>
      <c r="AU804" s="1"/>
      <c r="AV804" s="1"/>
      <c r="AW804" s="1"/>
      <c r="AX804" s="1"/>
      <c r="AY804" s="1"/>
      <c r="AZ804"/>
      <c r="BA804"/>
      <c r="BB804"/>
      <c r="BC804"/>
      <c r="BD804"/>
      <c r="BE804"/>
    </row>
    <row r="805" spans="1:57">
      <c r="A805" s="239" t="s">
        <v>593</v>
      </c>
      <c r="B805" s="239">
        <v>46.91</v>
      </c>
      <c r="C805" s="239">
        <v>52.72</v>
      </c>
      <c r="D805" s="239">
        <v>54.81</v>
      </c>
      <c r="E805" s="239">
        <v>56.92</v>
      </c>
      <c r="F805" s="239">
        <v>62.75</v>
      </c>
      <c r="G805" s="239">
        <v>65.010000000000005</v>
      </c>
      <c r="H805" s="239">
        <v>67.239999999999995</v>
      </c>
      <c r="I805" s="239">
        <v>69.489999999999995</v>
      </c>
      <c r="J805" s="239">
        <v>41.59</v>
      </c>
      <c r="K805" s="239">
        <v>29.35</v>
      </c>
      <c r="L805" s="239">
        <v>31.96</v>
      </c>
      <c r="M805" s="239">
        <v>28.02</v>
      </c>
      <c r="N805" s="239">
        <v>28.71</v>
      </c>
      <c r="S805" s="1"/>
      <c r="T805" s="1"/>
      <c r="U805" s="1"/>
      <c r="V805" s="1"/>
      <c r="W805" s="1"/>
      <c r="X805" s="1"/>
      <c r="Y805" s="1"/>
      <c r="Z805" s="1"/>
      <c r="AD805"/>
      <c r="AE805"/>
      <c r="AF805"/>
      <c r="AG805"/>
      <c r="AH805"/>
      <c r="AI805"/>
      <c r="AJ805"/>
      <c r="AK805"/>
      <c r="AN805" s="1"/>
      <c r="AT805" s="1"/>
      <c r="AU805" s="1"/>
      <c r="AV805" s="1"/>
      <c r="AW805" s="1"/>
      <c r="AX805" s="1"/>
      <c r="AY805" s="1"/>
      <c r="AZ805"/>
      <c r="BA805"/>
      <c r="BB805"/>
      <c r="BC805"/>
      <c r="BD805"/>
      <c r="BE805"/>
    </row>
    <row r="806" spans="1:57">
      <c r="A806" s="239" t="s">
        <v>594</v>
      </c>
      <c r="B806" s="239">
        <v>45.33</v>
      </c>
      <c r="C806" s="239">
        <v>50.91</v>
      </c>
      <c r="D806" s="239">
        <v>52.97</v>
      </c>
      <c r="E806" s="239">
        <v>55</v>
      </c>
      <c r="F806" s="239">
        <v>60.49</v>
      </c>
      <c r="G806" s="239">
        <v>62.63</v>
      </c>
      <c r="H806" s="239">
        <v>64.8</v>
      </c>
      <c r="I806" s="239">
        <v>66.97</v>
      </c>
      <c r="J806" s="239">
        <v>40.07</v>
      </c>
      <c r="K806" s="239">
        <v>28.27</v>
      </c>
      <c r="L806" s="239">
        <v>30.79</v>
      </c>
      <c r="M806" s="239">
        <v>27.01</v>
      </c>
      <c r="N806" s="239">
        <v>27.65</v>
      </c>
      <c r="S806" s="1"/>
      <c r="T806" s="1"/>
      <c r="U806" s="1"/>
      <c r="V806" s="1"/>
      <c r="W806" s="1"/>
      <c r="X806" s="1"/>
      <c r="Y806" s="1"/>
      <c r="Z806" s="1"/>
      <c r="AD806"/>
      <c r="AE806"/>
      <c r="AF806"/>
      <c r="AG806"/>
      <c r="AH806"/>
      <c r="AI806"/>
      <c r="AJ806"/>
      <c r="AK806"/>
      <c r="AN806" s="1"/>
      <c r="AT806" s="1"/>
      <c r="AU806" s="1"/>
      <c r="AV806" s="1"/>
      <c r="AW806" s="1"/>
      <c r="AX806" s="1"/>
      <c r="AY806" s="1"/>
      <c r="AZ806"/>
      <c r="BA806"/>
      <c r="BB806"/>
      <c r="BC806"/>
      <c r="BD806"/>
      <c r="BE806"/>
    </row>
    <row r="807" spans="1:57">
      <c r="A807" s="239" t="s">
        <v>595</v>
      </c>
      <c r="B807" s="239">
        <v>43.36</v>
      </c>
      <c r="C807" s="239">
        <v>48.73</v>
      </c>
      <c r="D807" s="239">
        <v>50.68</v>
      </c>
      <c r="E807" s="239">
        <v>52.62</v>
      </c>
      <c r="F807" s="239">
        <v>57.67</v>
      </c>
      <c r="G807" s="239">
        <v>59.73</v>
      </c>
      <c r="H807" s="239">
        <v>61.81</v>
      </c>
      <c r="I807" s="239">
        <v>63.87</v>
      </c>
      <c r="J807" s="239">
        <v>38.229999999999997</v>
      </c>
      <c r="K807" s="239">
        <v>26.98</v>
      </c>
      <c r="L807" s="239">
        <v>29.38</v>
      </c>
      <c r="M807" s="239">
        <v>25.74</v>
      </c>
      <c r="N807" s="239">
        <v>26.4</v>
      </c>
      <c r="S807" s="1"/>
      <c r="T807" s="1"/>
      <c r="U807" s="1"/>
      <c r="V807" s="1"/>
      <c r="W807" s="1"/>
      <c r="X807" s="1"/>
      <c r="Y807" s="1"/>
      <c r="Z807" s="1"/>
      <c r="AD807"/>
      <c r="AE807"/>
      <c r="AF807"/>
      <c r="AG807"/>
      <c r="AH807"/>
      <c r="AI807"/>
      <c r="AJ807"/>
      <c r="AK807"/>
      <c r="AN807" s="1"/>
      <c r="AT807" s="1"/>
      <c r="AU807" s="1"/>
      <c r="AV807" s="1"/>
      <c r="AW807" s="1"/>
      <c r="AX807" s="1"/>
      <c r="AY807" s="1"/>
      <c r="AZ807"/>
      <c r="BA807"/>
      <c r="BB807"/>
      <c r="BC807"/>
      <c r="BD807"/>
      <c r="BE807"/>
    </row>
    <row r="808" spans="1:57">
      <c r="A808" s="239" t="s">
        <v>596</v>
      </c>
      <c r="B808" s="239">
        <v>30.46</v>
      </c>
      <c r="C808" s="239">
        <v>34.22</v>
      </c>
      <c r="D808" s="239">
        <v>35.58</v>
      </c>
      <c r="E808" s="239">
        <v>36.97</v>
      </c>
      <c r="F808" s="239">
        <v>39.22</v>
      </c>
      <c r="G808" s="239">
        <v>40.630000000000003</v>
      </c>
      <c r="H808" s="239">
        <v>42.04</v>
      </c>
      <c r="I808" s="239">
        <v>43.43</v>
      </c>
      <c r="J808" s="239">
        <v>25.99</v>
      </c>
      <c r="K808" s="239">
        <v>18.350000000000001</v>
      </c>
      <c r="L808" s="239">
        <v>19.98</v>
      </c>
      <c r="M808" s="239">
        <v>17.5</v>
      </c>
      <c r="N808" s="239">
        <v>17.95</v>
      </c>
      <c r="S808" s="1"/>
      <c r="T808" s="1"/>
      <c r="U808" s="1"/>
      <c r="V808" s="1"/>
      <c r="W808" s="1"/>
      <c r="X808" s="1"/>
      <c r="Y808" s="1"/>
      <c r="Z808" s="1"/>
      <c r="AD808"/>
      <c r="AE808"/>
      <c r="AF808"/>
      <c r="AG808"/>
      <c r="AH808"/>
      <c r="AI808"/>
      <c r="AJ808"/>
      <c r="AK808"/>
      <c r="AN808" s="1"/>
      <c r="AT808" s="1"/>
      <c r="AU808" s="1"/>
      <c r="AV808" s="1"/>
      <c r="AW808" s="1"/>
      <c r="AX808" s="1"/>
      <c r="AY808" s="1"/>
      <c r="AZ808"/>
      <c r="BA808"/>
      <c r="BB808"/>
      <c r="BC808"/>
      <c r="BD808"/>
      <c r="BE808"/>
    </row>
    <row r="809" spans="1:57">
      <c r="A809" s="239" t="s">
        <v>597</v>
      </c>
      <c r="B809" s="239">
        <v>50.44</v>
      </c>
      <c r="C809" s="239">
        <v>56.68</v>
      </c>
      <c r="D809" s="239">
        <v>58.94</v>
      </c>
      <c r="E809" s="239">
        <v>61.21</v>
      </c>
      <c r="F809" s="239">
        <v>67.81</v>
      </c>
      <c r="G809" s="239">
        <v>70.23</v>
      </c>
      <c r="H809" s="239">
        <v>72.650000000000006</v>
      </c>
      <c r="I809" s="239">
        <v>75.09</v>
      </c>
      <c r="J809" s="239">
        <v>44.94</v>
      </c>
      <c r="K809" s="239">
        <v>31.71</v>
      </c>
      <c r="L809" s="239">
        <v>34.520000000000003</v>
      </c>
      <c r="M809" s="239">
        <v>30.28</v>
      </c>
      <c r="N809" s="239">
        <v>31</v>
      </c>
      <c r="S809" s="1"/>
      <c r="T809" s="1"/>
      <c r="U809" s="1"/>
      <c r="V809" s="1"/>
      <c r="W809" s="1"/>
      <c r="X809" s="1"/>
      <c r="Y809" s="1"/>
      <c r="Z809" s="1"/>
      <c r="AD809"/>
      <c r="AE809"/>
      <c r="AF809"/>
      <c r="AG809"/>
      <c r="AH809"/>
      <c r="AI809"/>
      <c r="AJ809"/>
      <c r="AK809"/>
      <c r="AN809" s="1"/>
      <c r="AT809" s="1"/>
      <c r="AU809" s="1"/>
      <c r="AV809" s="1"/>
      <c r="AW809" s="1"/>
      <c r="AX809" s="1"/>
      <c r="AY809" s="1"/>
      <c r="AZ809"/>
      <c r="BA809"/>
      <c r="BB809"/>
      <c r="BC809"/>
      <c r="BD809"/>
      <c r="BE809"/>
    </row>
    <row r="810" spans="1:57">
      <c r="A810" s="239" t="s">
        <v>598</v>
      </c>
      <c r="B810" s="239">
        <v>63.08</v>
      </c>
      <c r="C810" s="239">
        <v>70.87</v>
      </c>
      <c r="D810" s="239">
        <v>73.69</v>
      </c>
      <c r="E810" s="239">
        <v>76.52</v>
      </c>
      <c r="F810" s="239">
        <v>84.76</v>
      </c>
      <c r="G810" s="239">
        <v>87.79</v>
      </c>
      <c r="H810" s="239">
        <v>90.82</v>
      </c>
      <c r="I810" s="239">
        <v>93.85</v>
      </c>
      <c r="J810" s="239">
        <v>56.16</v>
      </c>
      <c r="K810" s="239">
        <v>39.64</v>
      </c>
      <c r="L810" s="239">
        <v>43.17</v>
      </c>
      <c r="M810" s="239">
        <v>37.85</v>
      </c>
      <c r="N810" s="239">
        <v>38.770000000000003</v>
      </c>
      <c r="S810" s="1"/>
      <c r="T810" s="1"/>
      <c r="U810" s="1"/>
      <c r="V810" s="1"/>
      <c r="W810" s="1"/>
      <c r="X810" s="1"/>
      <c r="Y810" s="1"/>
      <c r="Z810" s="1"/>
      <c r="AD810"/>
      <c r="AE810"/>
      <c r="AF810"/>
      <c r="AG810"/>
      <c r="AH810"/>
      <c r="AI810"/>
      <c r="AJ810"/>
      <c r="AK810"/>
      <c r="AN810" s="1"/>
      <c r="AT810" s="1"/>
      <c r="AU810" s="1"/>
      <c r="AV810" s="1"/>
      <c r="AW810" s="1"/>
      <c r="AX810" s="1"/>
      <c r="AY810" s="1"/>
      <c r="AZ810"/>
      <c r="BA810"/>
      <c r="BB810"/>
      <c r="BC810"/>
      <c r="BD810"/>
      <c r="BE810"/>
    </row>
    <row r="811" spans="1:57">
      <c r="A811" s="239" t="s">
        <v>599</v>
      </c>
      <c r="B811" s="239">
        <v>50.13</v>
      </c>
      <c r="C811" s="239">
        <v>56.33</v>
      </c>
      <c r="D811" s="239">
        <v>58.56</v>
      </c>
      <c r="E811" s="239">
        <v>60.82</v>
      </c>
      <c r="F811" s="239">
        <v>67.349999999999994</v>
      </c>
      <c r="G811" s="239">
        <v>69.75</v>
      </c>
      <c r="H811" s="239">
        <v>72.16</v>
      </c>
      <c r="I811" s="239">
        <v>74.56</v>
      </c>
      <c r="J811" s="239">
        <v>44.63</v>
      </c>
      <c r="K811" s="239">
        <v>31.48</v>
      </c>
      <c r="L811" s="239">
        <v>34.31</v>
      </c>
      <c r="M811" s="239">
        <v>30.07</v>
      </c>
      <c r="N811" s="239">
        <v>30.79</v>
      </c>
      <c r="S811" s="1"/>
      <c r="T811" s="1"/>
      <c r="U811" s="1"/>
      <c r="V811" s="1"/>
      <c r="W811" s="1"/>
      <c r="X811" s="1"/>
      <c r="Y811" s="1"/>
      <c r="Z811" s="1"/>
      <c r="AD811"/>
      <c r="AE811"/>
      <c r="AF811"/>
      <c r="AG811"/>
      <c r="AH811"/>
      <c r="AI811"/>
      <c r="AJ811"/>
      <c r="AK811"/>
      <c r="AN811" s="1"/>
      <c r="AT811" s="1"/>
      <c r="AU811" s="1"/>
      <c r="AV811" s="1"/>
      <c r="AW811" s="1"/>
      <c r="AX811" s="1"/>
      <c r="AY811" s="1"/>
      <c r="AZ811"/>
      <c r="BA811"/>
      <c r="BB811"/>
      <c r="BC811"/>
      <c r="BD811"/>
      <c r="BE811"/>
    </row>
    <row r="812" spans="1:57">
      <c r="A812" s="239" t="s">
        <v>600</v>
      </c>
      <c r="B812" s="239">
        <v>62.64</v>
      </c>
      <c r="C812" s="239">
        <v>70.400000000000006</v>
      </c>
      <c r="D812" s="239">
        <v>73.23</v>
      </c>
      <c r="E812" s="239">
        <v>76.010000000000005</v>
      </c>
      <c r="F812" s="239">
        <v>84.2</v>
      </c>
      <c r="G812" s="239">
        <v>87.2</v>
      </c>
      <c r="H812" s="239">
        <v>90.2</v>
      </c>
      <c r="I812" s="239">
        <v>93.2</v>
      </c>
      <c r="J812" s="239">
        <v>55.8</v>
      </c>
      <c r="K812" s="239">
        <v>39.369999999999997</v>
      </c>
      <c r="L812" s="239">
        <v>42.87</v>
      </c>
      <c r="M812" s="239">
        <v>37.590000000000003</v>
      </c>
      <c r="N812" s="239">
        <v>38.5</v>
      </c>
      <c r="S812" s="1"/>
      <c r="T812" s="1"/>
      <c r="U812" s="1"/>
      <c r="V812" s="1"/>
      <c r="W812" s="1"/>
      <c r="X812" s="1"/>
      <c r="Y812" s="1"/>
      <c r="Z812" s="1"/>
      <c r="AD812"/>
      <c r="AE812"/>
      <c r="AF812"/>
      <c r="AG812"/>
      <c r="AH812"/>
      <c r="AI812"/>
      <c r="AJ812"/>
      <c r="AK812"/>
      <c r="AN812" s="1"/>
      <c r="AT812" s="1"/>
      <c r="AU812" s="1"/>
      <c r="AV812" s="1"/>
      <c r="AW812" s="1"/>
      <c r="AX812" s="1"/>
      <c r="AY812" s="1"/>
      <c r="AZ812"/>
      <c r="BA812"/>
      <c r="BB812"/>
      <c r="BC812"/>
      <c r="BD812"/>
      <c r="BE812"/>
    </row>
    <row r="813" spans="1:57">
      <c r="A813" s="239" t="s">
        <v>601</v>
      </c>
      <c r="B813" s="239">
        <v>37.85</v>
      </c>
      <c r="C813" s="239">
        <v>42.53</v>
      </c>
      <c r="D813" s="239">
        <v>44.23</v>
      </c>
      <c r="E813" s="239">
        <v>45.93</v>
      </c>
      <c r="F813" s="239">
        <v>49.15</v>
      </c>
      <c r="G813" s="239">
        <v>50.9</v>
      </c>
      <c r="H813" s="239">
        <v>52.66</v>
      </c>
      <c r="I813" s="239">
        <v>54.41</v>
      </c>
      <c r="J813" s="239">
        <v>32.56</v>
      </c>
      <c r="K813" s="239">
        <v>22.98</v>
      </c>
      <c r="L813" s="239">
        <v>25.02</v>
      </c>
      <c r="M813" s="239">
        <v>21.94</v>
      </c>
      <c r="N813" s="239">
        <v>22.48</v>
      </c>
      <c r="S813" s="1"/>
      <c r="T813" s="1"/>
      <c r="U813" s="1"/>
      <c r="V813" s="1"/>
      <c r="W813" s="1"/>
      <c r="X813" s="1"/>
      <c r="Y813" s="1"/>
      <c r="Z813" s="1"/>
      <c r="AD813"/>
      <c r="AE813"/>
      <c r="AF813"/>
      <c r="AG813"/>
      <c r="AH813"/>
      <c r="AI813"/>
      <c r="AJ813"/>
      <c r="AK813"/>
      <c r="AN813" s="1"/>
      <c r="AT813" s="1"/>
      <c r="AU813" s="1"/>
      <c r="AV813" s="1"/>
      <c r="AW813" s="1"/>
      <c r="AX813" s="1"/>
      <c r="AY813" s="1"/>
      <c r="AZ813"/>
      <c r="BA813"/>
      <c r="BB813"/>
      <c r="BC813"/>
      <c r="BD813"/>
      <c r="BE813"/>
    </row>
    <row r="814" spans="1:57">
      <c r="A814" s="239" t="s">
        <v>602</v>
      </c>
      <c r="B814" s="239">
        <v>29.34</v>
      </c>
      <c r="C814" s="239">
        <v>32.979999999999997</v>
      </c>
      <c r="D814" s="239">
        <v>34.270000000000003</v>
      </c>
      <c r="E814" s="239">
        <v>35.61</v>
      </c>
      <c r="F814" s="239">
        <v>37.65</v>
      </c>
      <c r="G814" s="239">
        <v>38.99</v>
      </c>
      <c r="H814" s="239">
        <v>40.33</v>
      </c>
      <c r="I814" s="239">
        <v>41.68</v>
      </c>
      <c r="J814" s="239">
        <v>24.95</v>
      </c>
      <c r="K814" s="239">
        <v>17.62</v>
      </c>
      <c r="L814" s="239">
        <v>19.170000000000002</v>
      </c>
      <c r="M814" s="239">
        <v>16.809999999999999</v>
      </c>
      <c r="N814" s="239">
        <v>17.22</v>
      </c>
      <c r="S814" s="1"/>
      <c r="T814" s="1"/>
      <c r="U814" s="1"/>
      <c r="V814" s="1"/>
      <c r="W814" s="1"/>
      <c r="X814" s="1"/>
      <c r="Y814" s="1"/>
      <c r="Z814" s="1"/>
      <c r="AD814"/>
      <c r="AE814"/>
      <c r="AF814"/>
      <c r="AG814"/>
      <c r="AH814"/>
      <c r="AI814"/>
      <c r="AJ814"/>
      <c r="AK814"/>
      <c r="AN814" s="1"/>
      <c r="AT814" s="1"/>
      <c r="AU814" s="1"/>
      <c r="AV814" s="1"/>
      <c r="AW814" s="1"/>
      <c r="AX814" s="1"/>
      <c r="AY814" s="1"/>
      <c r="AZ814"/>
      <c r="BA814"/>
      <c r="BB814"/>
      <c r="BC814"/>
      <c r="BD814"/>
      <c r="BE814"/>
    </row>
    <row r="815" spans="1:57">
      <c r="A815" s="239" t="s">
        <v>603</v>
      </c>
      <c r="B815" s="239">
        <v>38.42</v>
      </c>
      <c r="C815" s="239">
        <v>43.17</v>
      </c>
      <c r="D815" s="239">
        <v>44.89</v>
      </c>
      <c r="E815" s="239">
        <v>46.63</v>
      </c>
      <c r="F815" s="239">
        <v>49.95</v>
      </c>
      <c r="G815" s="239">
        <v>51.77</v>
      </c>
      <c r="H815" s="239">
        <v>53.54</v>
      </c>
      <c r="I815" s="239">
        <v>55.32</v>
      </c>
      <c r="J815" s="239">
        <v>33.090000000000003</v>
      </c>
      <c r="K815" s="239">
        <v>23.38</v>
      </c>
      <c r="L815" s="239">
        <v>25.43</v>
      </c>
      <c r="M815" s="239">
        <v>22.32</v>
      </c>
      <c r="N815" s="239">
        <v>22.85</v>
      </c>
      <c r="S815" s="1"/>
      <c r="T815" s="1"/>
      <c r="U815" s="1"/>
      <c r="V815" s="1"/>
      <c r="W815" s="1"/>
      <c r="X815" s="1"/>
      <c r="Y815" s="1"/>
      <c r="Z815" s="1"/>
      <c r="AD815"/>
      <c r="AE815"/>
      <c r="AF815"/>
      <c r="AG815"/>
      <c r="AH815"/>
      <c r="AI815"/>
      <c r="AJ815"/>
      <c r="AK815"/>
      <c r="AN815" s="1"/>
      <c r="AT815" s="1"/>
      <c r="AU815" s="1"/>
      <c r="AV815" s="1"/>
      <c r="AW815" s="1"/>
      <c r="AX815" s="1"/>
      <c r="AY815" s="1"/>
      <c r="AZ815"/>
      <c r="BA815"/>
      <c r="BB815"/>
      <c r="BC815"/>
      <c r="BD815"/>
      <c r="BE815"/>
    </row>
    <row r="816" spans="1:57">
      <c r="A816" s="239" t="s">
        <v>604</v>
      </c>
      <c r="B816" s="239">
        <v>35.68</v>
      </c>
      <c r="C816" s="239">
        <v>40.090000000000003</v>
      </c>
      <c r="D816" s="239">
        <v>41.69</v>
      </c>
      <c r="E816" s="239">
        <v>43.3</v>
      </c>
      <c r="F816" s="239">
        <v>46.04</v>
      </c>
      <c r="G816" s="239">
        <v>47.7</v>
      </c>
      <c r="H816" s="239">
        <v>49.35</v>
      </c>
      <c r="I816" s="239">
        <v>50.99</v>
      </c>
      <c r="J816" s="239">
        <v>30.51</v>
      </c>
      <c r="K816" s="239">
        <v>21.54</v>
      </c>
      <c r="L816" s="239">
        <v>23.45</v>
      </c>
      <c r="M816" s="239">
        <v>20.56</v>
      </c>
      <c r="N816" s="239">
        <v>21.06</v>
      </c>
      <c r="S816" s="1"/>
      <c r="T816" s="1"/>
      <c r="U816" s="1"/>
      <c r="V816" s="1"/>
      <c r="W816" s="1"/>
      <c r="X816" s="1"/>
      <c r="Y816" s="1"/>
      <c r="Z816" s="1"/>
      <c r="AD816"/>
      <c r="AE816"/>
      <c r="AF816"/>
      <c r="AG816"/>
      <c r="AH816"/>
      <c r="AI816"/>
      <c r="AJ816"/>
      <c r="AK816"/>
      <c r="AN816" s="1"/>
      <c r="AT816" s="1"/>
      <c r="AU816" s="1"/>
      <c r="AV816" s="1"/>
      <c r="AW816" s="1"/>
      <c r="AX816" s="1"/>
      <c r="AY816" s="1"/>
      <c r="AZ816"/>
      <c r="BA816"/>
      <c r="BB816"/>
      <c r="BC816"/>
      <c r="BD816"/>
      <c r="BE816"/>
    </row>
    <row r="817" spans="1:57">
      <c r="A817" s="239" t="s">
        <v>605</v>
      </c>
      <c r="B817" s="239">
        <v>36.61</v>
      </c>
      <c r="C817" s="239">
        <v>41.16</v>
      </c>
      <c r="D817" s="239">
        <v>42.8</v>
      </c>
      <c r="E817" s="239">
        <v>44.46</v>
      </c>
      <c r="F817" s="239">
        <v>48.06</v>
      </c>
      <c r="G817" s="239">
        <v>49.77</v>
      </c>
      <c r="H817" s="239">
        <v>51.49</v>
      </c>
      <c r="I817" s="239">
        <v>53.2</v>
      </c>
      <c r="J817" s="239">
        <v>31.83</v>
      </c>
      <c r="K817" s="239">
        <v>22.48</v>
      </c>
      <c r="L817" s="239">
        <v>24.46</v>
      </c>
      <c r="M817" s="239">
        <v>21.47</v>
      </c>
      <c r="N817" s="239">
        <v>21.98</v>
      </c>
      <c r="S817" s="1"/>
      <c r="T817" s="1"/>
      <c r="U817" s="1"/>
      <c r="V817" s="1"/>
      <c r="W817" s="1"/>
      <c r="X817" s="1"/>
      <c r="Y817" s="1"/>
      <c r="Z817" s="1"/>
      <c r="AD817"/>
      <c r="AE817"/>
      <c r="AF817"/>
      <c r="AG817"/>
      <c r="AH817"/>
      <c r="AI817"/>
      <c r="AJ817"/>
      <c r="AK817"/>
      <c r="AN817" s="1"/>
      <c r="AT817" s="1"/>
      <c r="AU817" s="1"/>
      <c r="AV817" s="1"/>
      <c r="AW817" s="1"/>
      <c r="AX817" s="1"/>
      <c r="AY817" s="1"/>
      <c r="AZ817"/>
      <c r="BA817"/>
      <c r="BB817"/>
      <c r="BC817"/>
      <c r="BD817"/>
      <c r="BE817"/>
    </row>
    <row r="818" spans="1:57">
      <c r="A818" s="239" t="s">
        <v>606</v>
      </c>
      <c r="B818" s="239">
        <v>33.090000000000003</v>
      </c>
      <c r="C818" s="239">
        <v>37.200000000000003</v>
      </c>
      <c r="D818" s="239">
        <v>38.68</v>
      </c>
      <c r="E818" s="239">
        <v>40.159999999999997</v>
      </c>
      <c r="F818" s="239">
        <v>42.99</v>
      </c>
      <c r="G818" s="239">
        <v>44.55</v>
      </c>
      <c r="H818" s="239">
        <v>46.08</v>
      </c>
      <c r="I818" s="239">
        <v>47.6</v>
      </c>
      <c r="J818" s="239">
        <v>28.5</v>
      </c>
      <c r="K818" s="239">
        <v>20.11</v>
      </c>
      <c r="L818" s="239">
        <v>21.89</v>
      </c>
      <c r="M818" s="239">
        <v>19.2</v>
      </c>
      <c r="N818" s="239">
        <v>19.670000000000002</v>
      </c>
      <c r="S818" s="1"/>
      <c r="T818" s="1"/>
      <c r="U818" s="1"/>
      <c r="V818" s="1"/>
      <c r="W818" s="1"/>
      <c r="X818" s="1"/>
      <c r="Y818" s="1"/>
      <c r="Z818" s="1"/>
      <c r="AD818"/>
      <c r="AE818"/>
      <c r="AF818"/>
      <c r="AG818"/>
      <c r="AH818"/>
      <c r="AI818"/>
      <c r="AJ818"/>
      <c r="AK818"/>
      <c r="AN818" s="1"/>
      <c r="AT818" s="1"/>
      <c r="AU818" s="1"/>
      <c r="AV818" s="1"/>
      <c r="AW818" s="1"/>
      <c r="AX818" s="1"/>
      <c r="AY818" s="1"/>
      <c r="AZ818"/>
      <c r="BA818"/>
      <c r="BB818"/>
      <c r="BC818"/>
      <c r="BD818"/>
      <c r="BE818"/>
    </row>
    <row r="819" spans="1:57">
      <c r="A819" s="239" t="s">
        <v>607</v>
      </c>
      <c r="B819" s="239">
        <v>58.9</v>
      </c>
      <c r="C819" s="239">
        <v>66.19</v>
      </c>
      <c r="D819" s="239">
        <v>68.83</v>
      </c>
      <c r="E819" s="239">
        <v>71.47</v>
      </c>
      <c r="F819" s="239">
        <v>79.239999999999995</v>
      </c>
      <c r="G819" s="239">
        <v>82.07</v>
      </c>
      <c r="H819" s="239">
        <v>84.92</v>
      </c>
      <c r="I819" s="239">
        <v>87.74</v>
      </c>
      <c r="J819" s="239">
        <v>52.52</v>
      </c>
      <c r="K819" s="239">
        <v>37.06</v>
      </c>
      <c r="L819" s="239">
        <v>40.36</v>
      </c>
      <c r="M819" s="239">
        <v>35.369999999999997</v>
      </c>
      <c r="N819" s="239">
        <v>36.24</v>
      </c>
      <c r="S819" s="1"/>
      <c r="T819" s="1"/>
      <c r="U819" s="1"/>
      <c r="V819" s="1"/>
      <c r="W819" s="1"/>
      <c r="X819" s="1"/>
      <c r="Y819" s="1"/>
      <c r="Z819" s="1"/>
      <c r="AD819"/>
      <c r="AE819"/>
      <c r="AF819"/>
      <c r="AG819"/>
      <c r="AH819"/>
      <c r="AI819"/>
      <c r="AJ819"/>
      <c r="AK819"/>
      <c r="AN819" s="1"/>
      <c r="AT819" s="1"/>
      <c r="AU819" s="1"/>
      <c r="AV819" s="1"/>
      <c r="AW819" s="1"/>
      <c r="AX819" s="1"/>
      <c r="AY819" s="1"/>
      <c r="AZ819"/>
      <c r="BA819"/>
      <c r="BB819"/>
      <c r="BC819"/>
      <c r="BD819"/>
      <c r="BE819"/>
    </row>
    <row r="820" spans="1:57">
      <c r="A820" s="239" t="s">
        <v>608</v>
      </c>
      <c r="B820" s="239">
        <v>49.32</v>
      </c>
      <c r="C820" s="239">
        <v>55.42</v>
      </c>
      <c r="D820" s="239">
        <v>57.63</v>
      </c>
      <c r="E820" s="239">
        <v>59.85</v>
      </c>
      <c r="F820" s="239">
        <v>66.209999999999994</v>
      </c>
      <c r="G820" s="239">
        <v>68.59</v>
      </c>
      <c r="H820" s="239">
        <v>70.95</v>
      </c>
      <c r="I820" s="239">
        <v>73.290000000000006</v>
      </c>
      <c r="J820" s="239">
        <v>43.86</v>
      </c>
      <c r="K820" s="239">
        <v>30.96</v>
      </c>
      <c r="L820" s="239">
        <v>33.72</v>
      </c>
      <c r="M820" s="239">
        <v>29.56</v>
      </c>
      <c r="N820" s="239">
        <v>30.27</v>
      </c>
      <c r="S820" s="1"/>
      <c r="T820" s="1"/>
      <c r="U820" s="1"/>
      <c r="V820" s="1"/>
      <c r="W820" s="1"/>
      <c r="X820" s="1"/>
      <c r="Y820" s="1"/>
      <c r="Z820" s="1"/>
      <c r="AD820"/>
      <c r="AE820"/>
      <c r="AF820"/>
      <c r="AG820"/>
      <c r="AH820"/>
      <c r="AI820"/>
      <c r="AJ820"/>
      <c r="AK820"/>
      <c r="AN820" s="1"/>
      <c r="AT820" s="1"/>
      <c r="AU820" s="1"/>
      <c r="AV820" s="1"/>
      <c r="AW820" s="1"/>
      <c r="AX820" s="1"/>
      <c r="AY820" s="1"/>
      <c r="AZ820"/>
      <c r="BA820"/>
      <c r="BB820"/>
      <c r="BC820"/>
      <c r="BD820"/>
      <c r="BE820"/>
    </row>
    <row r="821" spans="1:57">
      <c r="A821" s="239" t="s">
        <v>609</v>
      </c>
      <c r="B821" s="239">
        <v>59.17</v>
      </c>
      <c r="C821" s="239">
        <v>66.459999999999994</v>
      </c>
      <c r="D821" s="239">
        <v>69.12</v>
      </c>
      <c r="E821" s="239">
        <v>71.790000000000006</v>
      </c>
      <c r="F821" s="239">
        <v>80.27</v>
      </c>
      <c r="G821" s="239">
        <v>83.14</v>
      </c>
      <c r="H821" s="239">
        <v>86.01</v>
      </c>
      <c r="I821" s="239">
        <v>88.86</v>
      </c>
      <c r="J821" s="239">
        <v>53.19</v>
      </c>
      <c r="K821" s="239">
        <v>37.53</v>
      </c>
      <c r="L821" s="239">
        <v>40.869999999999997</v>
      </c>
      <c r="M821" s="239">
        <v>35.83</v>
      </c>
      <c r="N821" s="239">
        <v>36.700000000000003</v>
      </c>
      <c r="S821" s="1"/>
      <c r="T821" s="1"/>
      <c r="U821" s="1"/>
      <c r="V821" s="1"/>
      <c r="W821" s="1"/>
      <c r="X821" s="1"/>
      <c r="Y821" s="1"/>
      <c r="Z821" s="1"/>
      <c r="AD821"/>
      <c r="AE821"/>
      <c r="AF821"/>
      <c r="AG821"/>
      <c r="AH821"/>
      <c r="AI821"/>
      <c r="AJ821"/>
      <c r="AK821"/>
      <c r="AN821" s="1"/>
      <c r="AT821" s="1"/>
      <c r="AU821" s="1"/>
      <c r="AV821" s="1"/>
      <c r="AW821" s="1"/>
      <c r="AX821" s="1"/>
      <c r="AY821" s="1"/>
      <c r="AZ821"/>
      <c r="BA821"/>
      <c r="BB821"/>
      <c r="BC821"/>
      <c r="BD821"/>
      <c r="BE821"/>
    </row>
    <row r="822" spans="1:57">
      <c r="A822" s="239" t="s">
        <v>610</v>
      </c>
      <c r="B822" s="239"/>
      <c r="C822" s="239"/>
      <c r="D822" s="239"/>
      <c r="E822" s="239"/>
      <c r="F822" s="239"/>
      <c r="G822" s="239"/>
      <c r="H822" s="239"/>
      <c r="I822" s="239"/>
      <c r="J822" s="239"/>
      <c r="K822" s="239"/>
      <c r="L822" s="239"/>
      <c r="M822" s="239"/>
      <c r="N822" s="239"/>
      <c r="S822" s="1"/>
      <c r="T822" s="1"/>
      <c r="U822" s="1"/>
      <c r="V822" s="1"/>
      <c r="W822" s="1"/>
      <c r="X822" s="1"/>
      <c r="Y822" s="1"/>
      <c r="Z822" s="1"/>
      <c r="AD822"/>
      <c r="AE822"/>
      <c r="AF822"/>
      <c r="AG822"/>
      <c r="AH822"/>
      <c r="AI822"/>
      <c r="AJ822"/>
      <c r="AK822"/>
      <c r="AN822" s="1"/>
      <c r="AT822" s="1"/>
      <c r="AU822" s="1"/>
      <c r="AV822" s="1"/>
      <c r="AW822" s="1"/>
      <c r="AX822" s="1"/>
      <c r="AY822" s="1"/>
      <c r="AZ822"/>
      <c r="BA822"/>
      <c r="BB822"/>
      <c r="BC822"/>
      <c r="BD822"/>
      <c r="BE822"/>
    </row>
    <row r="823" spans="1:57">
      <c r="A823" s="239" t="s">
        <v>611</v>
      </c>
      <c r="B823" s="239">
        <v>54.26</v>
      </c>
      <c r="C823" s="239">
        <v>60.96</v>
      </c>
      <c r="D823" s="239">
        <v>63.42</v>
      </c>
      <c r="E823" s="239">
        <v>65.849999999999994</v>
      </c>
      <c r="F823" s="239">
        <v>73.290000000000006</v>
      </c>
      <c r="G823" s="239">
        <v>75.89</v>
      </c>
      <c r="H823" s="239">
        <v>78.510000000000005</v>
      </c>
      <c r="I823" s="239">
        <v>81.13</v>
      </c>
      <c r="J823" s="239">
        <v>48.57</v>
      </c>
      <c r="K823" s="239">
        <v>34.270000000000003</v>
      </c>
      <c r="L823" s="239">
        <v>37.299999999999997</v>
      </c>
      <c r="M823" s="239">
        <v>32.700000000000003</v>
      </c>
      <c r="N823" s="239">
        <v>33.51</v>
      </c>
      <c r="S823" s="1"/>
      <c r="T823" s="1"/>
      <c r="U823" s="1"/>
      <c r="V823" s="1"/>
      <c r="W823" s="1"/>
      <c r="X823" s="1"/>
      <c r="Y823" s="1"/>
      <c r="Z823" s="1"/>
      <c r="AD823"/>
      <c r="AE823"/>
      <c r="AF823"/>
      <c r="AG823"/>
      <c r="AH823"/>
      <c r="AI823"/>
      <c r="AJ823"/>
      <c r="AK823"/>
      <c r="AN823" s="1"/>
      <c r="AT823" s="1"/>
      <c r="AU823" s="1"/>
      <c r="AV823" s="1"/>
      <c r="AW823" s="1"/>
      <c r="AX823" s="1"/>
      <c r="AY823" s="1"/>
      <c r="AZ823"/>
      <c r="BA823"/>
      <c r="BB823"/>
      <c r="BC823"/>
      <c r="BD823"/>
      <c r="BE823"/>
    </row>
    <row r="824" spans="1:57">
      <c r="A824" s="239" t="s">
        <v>612</v>
      </c>
      <c r="B824" s="239">
        <v>36.99</v>
      </c>
      <c r="C824" s="239">
        <v>41.56</v>
      </c>
      <c r="D824" s="239">
        <v>43.2</v>
      </c>
      <c r="E824" s="239">
        <v>44.88</v>
      </c>
      <c r="F824" s="239">
        <v>48.56</v>
      </c>
      <c r="G824" s="239">
        <v>50.29</v>
      </c>
      <c r="H824" s="239">
        <v>52.04</v>
      </c>
      <c r="I824" s="239">
        <v>53.76</v>
      </c>
      <c r="J824" s="239">
        <v>32.18</v>
      </c>
      <c r="K824" s="239">
        <v>22.7</v>
      </c>
      <c r="L824" s="239">
        <v>24.74</v>
      </c>
      <c r="M824" s="239">
        <v>21.69</v>
      </c>
      <c r="N824" s="239">
        <v>22.2</v>
      </c>
      <c r="S824" s="1"/>
      <c r="T824" s="1"/>
      <c r="U824" s="1"/>
      <c r="V824" s="1"/>
      <c r="W824" s="1"/>
      <c r="X824" s="1"/>
      <c r="Y824" s="1"/>
      <c r="Z824" s="1"/>
      <c r="AD824"/>
      <c r="AE824"/>
      <c r="AF824"/>
      <c r="AG824"/>
      <c r="AH824"/>
      <c r="AI824"/>
      <c r="AJ824"/>
      <c r="AK824"/>
      <c r="AN824" s="1"/>
      <c r="AT824" s="1"/>
      <c r="AU824" s="1"/>
      <c r="AV824" s="1"/>
      <c r="AW824" s="1"/>
      <c r="AX824" s="1"/>
      <c r="AY824" s="1"/>
      <c r="AZ824"/>
      <c r="BA824"/>
      <c r="BB824"/>
      <c r="BC824"/>
      <c r="BD824"/>
      <c r="BE824"/>
    </row>
    <row r="825" spans="1:57">
      <c r="A825" s="239" t="s">
        <v>613</v>
      </c>
      <c r="B825" s="239">
        <v>46.24</v>
      </c>
      <c r="C825" s="239">
        <v>51.94</v>
      </c>
      <c r="D825" s="239">
        <v>54.03</v>
      </c>
      <c r="E825" s="239">
        <v>56.1</v>
      </c>
      <c r="F825" s="239">
        <v>60.69</v>
      </c>
      <c r="G825" s="239">
        <v>62.88</v>
      </c>
      <c r="H825" s="239">
        <v>65.03</v>
      </c>
      <c r="I825" s="239">
        <v>67.2</v>
      </c>
      <c r="J825" s="239">
        <v>40.229999999999997</v>
      </c>
      <c r="K825" s="239">
        <v>28.39</v>
      </c>
      <c r="L825" s="239">
        <v>30.9</v>
      </c>
      <c r="M825" s="239">
        <v>27.09</v>
      </c>
      <c r="N825" s="239">
        <v>27.76</v>
      </c>
      <c r="S825" s="1"/>
      <c r="T825" s="1"/>
      <c r="U825" s="1"/>
      <c r="V825" s="1"/>
      <c r="W825" s="1"/>
      <c r="X825" s="1"/>
      <c r="Y825" s="1"/>
      <c r="Z825" s="1"/>
      <c r="AD825"/>
      <c r="AE825"/>
      <c r="AF825"/>
      <c r="AG825"/>
      <c r="AH825"/>
      <c r="AI825"/>
      <c r="AJ825"/>
      <c r="AK825"/>
      <c r="AN825" s="1"/>
      <c r="AT825" s="1"/>
      <c r="AU825" s="1"/>
      <c r="AV825" s="1"/>
      <c r="AW825" s="1"/>
      <c r="AX825" s="1"/>
      <c r="AY825" s="1"/>
      <c r="AZ825"/>
      <c r="BA825"/>
      <c r="BB825"/>
      <c r="BC825"/>
      <c r="BD825"/>
      <c r="BE825"/>
    </row>
    <row r="826" spans="1:57">
      <c r="A826" s="239" t="s">
        <v>614</v>
      </c>
      <c r="B826" s="239">
        <v>36.4</v>
      </c>
      <c r="C826" s="239">
        <v>40.9</v>
      </c>
      <c r="D826" s="239">
        <v>42.55</v>
      </c>
      <c r="E826" s="239">
        <v>44.18</v>
      </c>
      <c r="F826" s="239">
        <v>47.76</v>
      </c>
      <c r="G826" s="239">
        <v>49.44</v>
      </c>
      <c r="H826" s="239">
        <v>51.16</v>
      </c>
      <c r="I826" s="239">
        <v>52.83</v>
      </c>
      <c r="J826" s="239">
        <v>31.63</v>
      </c>
      <c r="K826" s="239">
        <v>22.32</v>
      </c>
      <c r="L826" s="239">
        <v>24.32</v>
      </c>
      <c r="M826" s="239">
        <v>21.31</v>
      </c>
      <c r="N826" s="239">
        <v>21.83</v>
      </c>
      <c r="S826" s="1"/>
      <c r="T826" s="1"/>
      <c r="U826" s="1"/>
      <c r="V826" s="1"/>
      <c r="W826" s="1"/>
      <c r="X826" s="1"/>
      <c r="Y826" s="1"/>
      <c r="Z826" s="1"/>
      <c r="AD826"/>
      <c r="AE826"/>
      <c r="AF826"/>
      <c r="AG826"/>
      <c r="AH826"/>
      <c r="AI826"/>
      <c r="AJ826"/>
      <c r="AK826"/>
      <c r="AN826" s="1"/>
      <c r="AT826" s="1"/>
      <c r="AU826" s="1"/>
      <c r="AV826" s="1"/>
      <c r="AW826" s="1"/>
      <c r="AX826" s="1"/>
      <c r="AY826" s="1"/>
      <c r="AZ826"/>
      <c r="BA826"/>
      <c r="BB826"/>
      <c r="BC826"/>
      <c r="BD826"/>
      <c r="BE826"/>
    </row>
    <row r="827" spans="1:57">
      <c r="A827" s="239" t="s">
        <v>615</v>
      </c>
      <c r="B827" s="239">
        <v>43.83</v>
      </c>
      <c r="C827" s="239">
        <v>49.24</v>
      </c>
      <c r="D827" s="239">
        <v>51.23</v>
      </c>
      <c r="E827" s="239">
        <v>53.2</v>
      </c>
      <c r="F827" s="239">
        <v>58.16</v>
      </c>
      <c r="G827" s="239">
        <v>60.22</v>
      </c>
      <c r="H827" s="239">
        <v>62.31</v>
      </c>
      <c r="I827" s="239">
        <v>64.39</v>
      </c>
      <c r="J827" s="239">
        <v>38.53</v>
      </c>
      <c r="K827" s="239">
        <v>27.2</v>
      </c>
      <c r="L827" s="239">
        <v>29.6</v>
      </c>
      <c r="M827" s="239">
        <v>25.96</v>
      </c>
      <c r="N827" s="239">
        <v>26.58</v>
      </c>
      <c r="S827" s="1"/>
      <c r="T827" s="1"/>
      <c r="U827" s="1"/>
      <c r="V827" s="1"/>
      <c r="W827" s="1"/>
      <c r="X827" s="1"/>
      <c r="Y827" s="1"/>
      <c r="Z827" s="1"/>
      <c r="AD827"/>
      <c r="AE827"/>
      <c r="AF827"/>
      <c r="AG827"/>
      <c r="AH827"/>
      <c r="AI827"/>
      <c r="AJ827"/>
      <c r="AK827"/>
      <c r="AN827" s="1"/>
      <c r="AT827" s="1"/>
      <c r="AU827" s="1"/>
      <c r="AV827" s="1"/>
      <c r="AW827" s="1"/>
      <c r="AX827" s="1"/>
      <c r="AY827" s="1"/>
      <c r="AZ827"/>
      <c r="BA827"/>
      <c r="BB827"/>
      <c r="BC827"/>
      <c r="BD827"/>
      <c r="BE827"/>
    </row>
    <row r="828" spans="1:57">
      <c r="A828" s="239" t="s">
        <v>616</v>
      </c>
      <c r="B828" s="239">
        <v>43.93</v>
      </c>
      <c r="C828" s="239">
        <v>49.35</v>
      </c>
      <c r="D828" s="239">
        <v>51.31</v>
      </c>
      <c r="E828" s="239">
        <v>53.3</v>
      </c>
      <c r="F828" s="239">
        <v>58.48</v>
      </c>
      <c r="G828" s="239">
        <v>60.57</v>
      </c>
      <c r="H828" s="239">
        <v>62.64</v>
      </c>
      <c r="I828" s="239">
        <v>64.739999999999995</v>
      </c>
      <c r="J828" s="239">
        <v>38.74</v>
      </c>
      <c r="K828" s="239">
        <v>27.35</v>
      </c>
      <c r="L828" s="239">
        <v>29.78</v>
      </c>
      <c r="M828" s="239">
        <v>26.1</v>
      </c>
      <c r="N828" s="239">
        <v>26.75</v>
      </c>
      <c r="S828" s="1"/>
      <c r="T828" s="1"/>
      <c r="U828" s="1"/>
      <c r="V828" s="1"/>
      <c r="W828" s="1"/>
      <c r="X828" s="1"/>
      <c r="Y828" s="1"/>
      <c r="Z828" s="1"/>
      <c r="AD828"/>
      <c r="AE828"/>
      <c r="AF828"/>
      <c r="AG828"/>
      <c r="AH828"/>
      <c r="AI828"/>
      <c r="AJ828"/>
      <c r="AK828"/>
      <c r="AN828" s="1"/>
      <c r="AT828" s="1"/>
      <c r="AU828" s="1"/>
      <c r="AV828" s="1"/>
      <c r="AW828" s="1"/>
      <c r="AX828" s="1"/>
      <c r="AY828" s="1"/>
      <c r="AZ828"/>
      <c r="BA828"/>
      <c r="BB828"/>
      <c r="BC828"/>
      <c r="BD828"/>
      <c r="BE828"/>
    </row>
    <row r="829" spans="1:57">
      <c r="A829" s="239" t="s">
        <v>617</v>
      </c>
      <c r="B829" s="239">
        <v>37.65</v>
      </c>
      <c r="C829" s="239">
        <v>42.31</v>
      </c>
      <c r="D829" s="239">
        <v>43.99</v>
      </c>
      <c r="E829" s="239">
        <v>45.69</v>
      </c>
      <c r="F829" s="239">
        <v>49.5</v>
      </c>
      <c r="G829" s="239">
        <v>51.29</v>
      </c>
      <c r="H829" s="239">
        <v>53.05</v>
      </c>
      <c r="I829" s="239">
        <v>54.81</v>
      </c>
      <c r="J829" s="239">
        <v>32.81</v>
      </c>
      <c r="K829" s="239">
        <v>23.15</v>
      </c>
      <c r="L829" s="239">
        <v>25.22</v>
      </c>
      <c r="M829" s="239">
        <v>22.1</v>
      </c>
      <c r="N829" s="239">
        <v>22.63</v>
      </c>
      <c r="S829" s="1"/>
      <c r="T829" s="1"/>
      <c r="U829" s="1"/>
      <c r="V829" s="1"/>
      <c r="W829" s="1"/>
      <c r="X829" s="1"/>
      <c r="Y829" s="1"/>
      <c r="Z829" s="1"/>
      <c r="AD829"/>
      <c r="AE829"/>
      <c r="AF829"/>
      <c r="AG829"/>
      <c r="AH829"/>
      <c r="AI829"/>
      <c r="AJ829"/>
      <c r="AK829"/>
      <c r="AN829" s="1"/>
      <c r="AT829" s="1"/>
      <c r="AU829" s="1"/>
      <c r="AV829" s="1"/>
      <c r="AW829" s="1"/>
      <c r="AX829" s="1"/>
      <c r="AY829" s="1"/>
      <c r="AZ829"/>
      <c r="BA829"/>
      <c r="BB829"/>
      <c r="BC829"/>
      <c r="BD829"/>
      <c r="BE829"/>
    </row>
    <row r="830" spans="1:57">
      <c r="A830" s="239" t="s">
        <v>618</v>
      </c>
      <c r="B830" s="239">
        <v>47.48</v>
      </c>
      <c r="C830" s="239">
        <v>53.33</v>
      </c>
      <c r="D830" s="239">
        <v>55.48</v>
      </c>
      <c r="E830" s="239">
        <v>57.62</v>
      </c>
      <c r="F830" s="239">
        <v>63.56</v>
      </c>
      <c r="G830" s="239">
        <v>65.83</v>
      </c>
      <c r="H830" s="239">
        <v>68.099999999999994</v>
      </c>
      <c r="I830" s="239">
        <v>70.39</v>
      </c>
      <c r="J830" s="239">
        <v>42.12</v>
      </c>
      <c r="K830" s="239">
        <v>29.73</v>
      </c>
      <c r="L830" s="239">
        <v>32.35</v>
      </c>
      <c r="M830" s="239">
        <v>28.37</v>
      </c>
      <c r="N830" s="239">
        <v>29.08</v>
      </c>
      <c r="S830" s="1"/>
      <c r="T830" s="1"/>
      <c r="U830" s="1"/>
      <c r="V830" s="1"/>
      <c r="W830" s="1"/>
      <c r="X830" s="1"/>
      <c r="Y830" s="1"/>
      <c r="Z830" s="1"/>
      <c r="AD830"/>
      <c r="AE830"/>
      <c r="AF830"/>
      <c r="AG830"/>
      <c r="AH830"/>
      <c r="AI830"/>
      <c r="AJ830"/>
      <c r="AK830"/>
      <c r="AN830" s="1"/>
      <c r="AT830" s="1"/>
      <c r="AU830" s="1"/>
      <c r="AV830" s="1"/>
      <c r="AW830" s="1"/>
      <c r="AX830" s="1"/>
      <c r="AY830" s="1"/>
      <c r="AZ830"/>
      <c r="BA830"/>
      <c r="BB830"/>
      <c r="BC830"/>
      <c r="BD830"/>
      <c r="BE830"/>
    </row>
    <row r="831" spans="1:57">
      <c r="A831" s="239" t="s">
        <v>619</v>
      </c>
      <c r="B831" s="239">
        <v>38.57</v>
      </c>
      <c r="C831" s="239">
        <v>43.35</v>
      </c>
      <c r="D831" s="239">
        <v>45.05</v>
      </c>
      <c r="E831" s="239">
        <v>46.81</v>
      </c>
      <c r="F831" s="239">
        <v>50.18</v>
      </c>
      <c r="G831" s="239">
        <v>51.99</v>
      </c>
      <c r="H831" s="239">
        <v>53.77</v>
      </c>
      <c r="I831" s="239">
        <v>55.57</v>
      </c>
      <c r="J831" s="239">
        <v>33.26</v>
      </c>
      <c r="K831" s="239">
        <v>23.47</v>
      </c>
      <c r="L831" s="239">
        <v>25.56</v>
      </c>
      <c r="M831" s="239">
        <v>22.41</v>
      </c>
      <c r="N831" s="239">
        <v>22.94</v>
      </c>
      <c r="S831" s="1"/>
      <c r="T831" s="1"/>
      <c r="U831" s="1"/>
      <c r="V831" s="1"/>
      <c r="W831" s="1"/>
      <c r="X831" s="1"/>
      <c r="Y831" s="1"/>
      <c r="Z831" s="1"/>
      <c r="AD831"/>
      <c r="AE831"/>
      <c r="AF831"/>
      <c r="AG831"/>
      <c r="AH831"/>
      <c r="AI831"/>
      <c r="AJ831"/>
      <c r="AK831"/>
      <c r="AN831" s="1"/>
      <c r="AT831" s="1"/>
      <c r="AU831" s="1"/>
      <c r="AV831" s="1"/>
      <c r="AW831" s="1"/>
      <c r="AX831" s="1"/>
      <c r="AY831" s="1"/>
      <c r="AZ831"/>
      <c r="BA831"/>
      <c r="BB831"/>
      <c r="BC831"/>
      <c r="BD831"/>
      <c r="BE831"/>
    </row>
    <row r="832" spans="1:57">
      <c r="A832" s="239" t="s">
        <v>620</v>
      </c>
      <c r="B832" s="239">
        <v>36.659999999999997</v>
      </c>
      <c r="C832" s="239">
        <v>41.18</v>
      </c>
      <c r="D832" s="239">
        <v>42.83</v>
      </c>
      <c r="E832" s="239">
        <v>44.49</v>
      </c>
      <c r="F832" s="239">
        <v>47.46</v>
      </c>
      <c r="G832" s="239">
        <v>49.15</v>
      </c>
      <c r="H832" s="239">
        <v>50.84</v>
      </c>
      <c r="I832" s="239">
        <v>52.53</v>
      </c>
      <c r="J832" s="239">
        <v>31.44</v>
      </c>
      <c r="K832" s="239">
        <v>22.19</v>
      </c>
      <c r="L832" s="239">
        <v>24.16</v>
      </c>
      <c r="M832" s="239">
        <v>21.17</v>
      </c>
      <c r="N832" s="239">
        <v>21.68</v>
      </c>
      <c r="S832" s="1"/>
      <c r="T832" s="1"/>
      <c r="U832" s="1"/>
      <c r="V832" s="1"/>
      <c r="W832" s="1"/>
      <c r="X832" s="1"/>
      <c r="Y832" s="1"/>
      <c r="Z832" s="1"/>
      <c r="AD832"/>
      <c r="AE832"/>
      <c r="AF832"/>
      <c r="AG832"/>
      <c r="AH832"/>
      <c r="AI832"/>
      <c r="AJ832"/>
      <c r="AK832"/>
      <c r="AN832" s="1"/>
      <c r="AT832" s="1"/>
      <c r="AU832" s="1"/>
      <c r="AV832" s="1"/>
      <c r="AW832" s="1"/>
      <c r="AX832" s="1"/>
      <c r="AY832" s="1"/>
      <c r="AZ832"/>
      <c r="BA832"/>
      <c r="BB832"/>
      <c r="BC832"/>
      <c r="BD832"/>
      <c r="BE832"/>
    </row>
    <row r="833" spans="1:57">
      <c r="A833" s="239" t="s">
        <v>621</v>
      </c>
      <c r="B833" s="239">
        <v>38.22</v>
      </c>
      <c r="C833" s="239">
        <v>42.95</v>
      </c>
      <c r="D833" s="239">
        <v>44.65</v>
      </c>
      <c r="E833" s="239">
        <v>46.37</v>
      </c>
      <c r="F833" s="239">
        <v>49.69</v>
      </c>
      <c r="G833" s="239">
        <v>51.46</v>
      </c>
      <c r="H833" s="239">
        <v>53.24</v>
      </c>
      <c r="I833" s="239">
        <v>55.02</v>
      </c>
      <c r="J833" s="239">
        <v>32.92</v>
      </c>
      <c r="K833" s="239">
        <v>23.23</v>
      </c>
      <c r="L833" s="239">
        <v>25.3</v>
      </c>
      <c r="M833" s="239">
        <v>22.17</v>
      </c>
      <c r="N833" s="239">
        <v>22.71</v>
      </c>
      <c r="X833" s="1"/>
      <c r="Y833" s="1"/>
      <c r="Z833" s="1"/>
      <c r="AA833" s="1"/>
      <c r="AB833" s="1"/>
      <c r="AC833" s="1"/>
      <c r="AF833"/>
      <c r="AG833"/>
      <c r="AH833"/>
      <c r="AI833"/>
      <c r="AJ833"/>
      <c r="AK833"/>
      <c r="AS833" s="211"/>
      <c r="AT833" s="1"/>
      <c r="AU833" s="1"/>
      <c r="AV833" s="1"/>
      <c r="AW833" s="1"/>
      <c r="AX833" s="1"/>
      <c r="AY833" s="1"/>
      <c r="AZ833"/>
      <c r="BA833"/>
      <c r="BB833"/>
      <c r="BC833"/>
      <c r="BD833"/>
      <c r="BE833"/>
    </row>
    <row r="834" spans="1:57">
      <c r="A834" s="239" t="s">
        <v>622</v>
      </c>
      <c r="B834" s="239">
        <v>37.85</v>
      </c>
      <c r="C834" s="239">
        <v>42.53</v>
      </c>
      <c r="D834" s="239">
        <v>44.23</v>
      </c>
      <c r="E834" s="239">
        <v>45.93</v>
      </c>
      <c r="F834" s="239">
        <v>49.15</v>
      </c>
      <c r="G834" s="239">
        <v>50.9</v>
      </c>
      <c r="H834" s="239">
        <v>52.66</v>
      </c>
      <c r="I834" s="239">
        <v>54.41</v>
      </c>
      <c r="J834" s="239">
        <v>32.56</v>
      </c>
      <c r="K834" s="239">
        <v>22.98</v>
      </c>
      <c r="L834" s="239">
        <v>25.02</v>
      </c>
      <c r="M834" s="239">
        <v>21.94</v>
      </c>
      <c r="N834" s="239">
        <v>22.48</v>
      </c>
      <c r="X834" s="1"/>
      <c r="Y834" s="1"/>
      <c r="Z834" s="1"/>
      <c r="AA834" s="1"/>
      <c r="AB834" s="1"/>
      <c r="AC834" s="1"/>
      <c r="AF834"/>
      <c r="AG834"/>
      <c r="AH834"/>
      <c r="AI834"/>
      <c r="AJ834"/>
      <c r="AK834"/>
      <c r="AS834" s="211"/>
      <c r="AT834" s="1"/>
      <c r="AU834" s="1"/>
      <c r="AV834" s="1"/>
      <c r="AW834" s="1"/>
      <c r="AX834" s="1"/>
      <c r="AY834" s="1"/>
      <c r="AZ834"/>
      <c r="BA834"/>
      <c r="BB834"/>
      <c r="BC834"/>
      <c r="BD834"/>
      <c r="BE834"/>
    </row>
    <row r="835" spans="1:57">
      <c r="A835" s="239" t="s">
        <v>623</v>
      </c>
      <c r="B835" s="239">
        <v>37.020000000000003</v>
      </c>
      <c r="C835" s="239">
        <v>41.6</v>
      </c>
      <c r="D835" s="239">
        <v>43.26</v>
      </c>
      <c r="E835" s="239">
        <v>44.94</v>
      </c>
      <c r="F835" s="239">
        <v>47.96</v>
      </c>
      <c r="G835" s="239">
        <v>49.69</v>
      </c>
      <c r="H835" s="239">
        <v>51.38</v>
      </c>
      <c r="I835" s="239">
        <v>53.1</v>
      </c>
      <c r="J835" s="239">
        <v>31.78</v>
      </c>
      <c r="K835" s="239">
        <v>22.43</v>
      </c>
      <c r="L835" s="239">
        <v>24.43</v>
      </c>
      <c r="M835" s="239">
        <v>21.4</v>
      </c>
      <c r="N835" s="239">
        <v>21.92</v>
      </c>
      <c r="X835" s="1"/>
      <c r="Y835" s="1"/>
      <c r="Z835" s="1"/>
      <c r="AA835" s="1"/>
      <c r="AB835" s="1"/>
      <c r="AC835" s="1"/>
      <c r="AF835"/>
      <c r="AG835"/>
      <c r="AH835"/>
      <c r="AI835"/>
      <c r="AJ835"/>
      <c r="AK835"/>
      <c r="AS835" s="211"/>
      <c r="AT835" s="1"/>
      <c r="AU835" s="1"/>
      <c r="AV835" s="1"/>
      <c r="AW835" s="1"/>
      <c r="AX835" s="1"/>
      <c r="AY835" s="1"/>
      <c r="AZ835"/>
      <c r="BA835"/>
      <c r="BB835"/>
      <c r="BC835"/>
      <c r="BD835"/>
      <c r="BE835"/>
    </row>
    <row r="836" spans="1:57">
      <c r="A836" s="239" t="s">
        <v>756</v>
      </c>
      <c r="B836" s="239">
        <v>74.77</v>
      </c>
      <c r="C836" s="239">
        <v>84</v>
      </c>
      <c r="D836" s="239">
        <v>87.36</v>
      </c>
      <c r="E836" s="239">
        <v>90.72</v>
      </c>
      <c r="F836" s="239">
        <v>101.74</v>
      </c>
      <c r="G836" s="239">
        <v>105.35</v>
      </c>
      <c r="H836" s="239">
        <v>108.99</v>
      </c>
      <c r="I836" s="239">
        <v>112.63</v>
      </c>
      <c r="J836" s="239">
        <v>67.41</v>
      </c>
      <c r="K836" s="239">
        <v>47.57</v>
      </c>
      <c r="L836" s="239">
        <v>51.81</v>
      </c>
      <c r="M836" s="239">
        <v>45.42</v>
      </c>
      <c r="N836" s="239">
        <v>46.51</v>
      </c>
      <c r="X836" s="1"/>
      <c r="Y836" s="1"/>
      <c r="Z836" s="1"/>
      <c r="AA836" s="1"/>
      <c r="AB836" s="1"/>
      <c r="AC836" s="1"/>
      <c r="AF836"/>
      <c r="AG836"/>
      <c r="AH836"/>
      <c r="AI836"/>
      <c r="AJ836"/>
      <c r="AK836"/>
      <c r="AS836" s="211"/>
      <c r="AT836" s="1"/>
      <c r="AU836" s="1"/>
      <c r="AV836" s="1"/>
      <c r="AW836" s="1"/>
      <c r="AX836" s="1"/>
      <c r="AY836" s="1"/>
      <c r="AZ836"/>
      <c r="BA836"/>
      <c r="BB836"/>
      <c r="BC836"/>
      <c r="BD836"/>
      <c r="BE836"/>
    </row>
    <row r="837" spans="1:57">
      <c r="A837" s="269"/>
      <c r="B837" s="269"/>
      <c r="AD837" s="263"/>
      <c r="AE837" s="263"/>
      <c r="AF837" s="263"/>
      <c r="AG837" s="263"/>
      <c r="AH837" s="263"/>
    </row>
    <row r="838" spans="1:57">
      <c r="A838" s="450" t="s">
        <v>771</v>
      </c>
      <c r="B838" s="511">
        <f>B840*500</f>
        <v>500</v>
      </c>
      <c r="C838" s="511">
        <f t="shared" ref="C838:AH838" si="461">C840*500</f>
        <v>1000</v>
      </c>
      <c r="D838" s="511">
        <f t="shared" si="461"/>
        <v>1500</v>
      </c>
      <c r="E838" s="511">
        <f t="shared" si="461"/>
        <v>2000</v>
      </c>
      <c r="F838" s="511">
        <f t="shared" si="461"/>
        <v>2500</v>
      </c>
      <c r="G838" s="511">
        <f t="shared" si="461"/>
        <v>3000</v>
      </c>
      <c r="H838" s="511">
        <f t="shared" si="461"/>
        <v>3500</v>
      </c>
      <c r="I838" s="511">
        <f t="shared" si="461"/>
        <v>4000</v>
      </c>
      <c r="J838" s="511">
        <f t="shared" si="461"/>
        <v>4500</v>
      </c>
      <c r="K838" s="511">
        <f t="shared" si="461"/>
        <v>5000</v>
      </c>
      <c r="L838" s="511">
        <f t="shared" si="461"/>
        <v>5500</v>
      </c>
      <c r="M838" s="511">
        <f t="shared" si="461"/>
        <v>6000</v>
      </c>
      <c r="N838" s="511">
        <f t="shared" si="461"/>
        <v>6500</v>
      </c>
      <c r="O838" s="511">
        <f t="shared" si="461"/>
        <v>7000</v>
      </c>
      <c r="P838" s="511">
        <f t="shared" si="461"/>
        <v>7500</v>
      </c>
      <c r="Q838" s="511">
        <f t="shared" si="461"/>
        <v>8000</v>
      </c>
      <c r="R838" s="511">
        <f t="shared" si="461"/>
        <v>8500</v>
      </c>
      <c r="S838" s="511">
        <f t="shared" si="461"/>
        <v>9000</v>
      </c>
      <c r="T838" s="511">
        <f t="shared" si="461"/>
        <v>9500</v>
      </c>
      <c r="U838" s="511">
        <f t="shared" si="461"/>
        <v>10000</v>
      </c>
      <c r="V838" s="511">
        <f t="shared" si="461"/>
        <v>10500</v>
      </c>
      <c r="W838" s="511">
        <f t="shared" si="461"/>
        <v>11000</v>
      </c>
      <c r="X838" s="511">
        <f t="shared" si="461"/>
        <v>11500</v>
      </c>
      <c r="Y838" s="511">
        <f t="shared" si="461"/>
        <v>12000</v>
      </c>
      <c r="Z838" s="511">
        <f t="shared" si="461"/>
        <v>12500</v>
      </c>
      <c r="AA838" s="511">
        <f t="shared" si="461"/>
        <v>13000</v>
      </c>
      <c r="AB838" s="511">
        <f t="shared" si="461"/>
        <v>13500</v>
      </c>
      <c r="AC838" s="511">
        <f t="shared" si="461"/>
        <v>14000</v>
      </c>
      <c r="AD838" s="511">
        <f t="shared" si="461"/>
        <v>14500</v>
      </c>
      <c r="AE838" s="511">
        <f t="shared" si="461"/>
        <v>15000</v>
      </c>
      <c r="AF838" s="511">
        <f t="shared" si="461"/>
        <v>15500</v>
      </c>
      <c r="AG838" s="511">
        <f t="shared" si="461"/>
        <v>16000</v>
      </c>
      <c r="AH838" s="511">
        <f t="shared" si="461"/>
        <v>16500</v>
      </c>
      <c r="AI838" s="212"/>
    </row>
    <row r="839" spans="1:57">
      <c r="A839" s="453" t="s">
        <v>767</v>
      </c>
      <c r="B839" s="453">
        <v>0.4</v>
      </c>
      <c r="C839" s="453">
        <f>B839+0.4</f>
        <v>0.8</v>
      </c>
      <c r="D839" s="453">
        <f t="shared" ref="D839:AE839" si="462">C839+0.4</f>
        <v>1.2000000000000002</v>
      </c>
      <c r="E839" s="453">
        <f t="shared" si="462"/>
        <v>1.6</v>
      </c>
      <c r="F839" s="453">
        <f t="shared" si="462"/>
        <v>2</v>
      </c>
      <c r="G839" s="453">
        <f t="shared" si="462"/>
        <v>2.4</v>
      </c>
      <c r="H839" s="453">
        <f t="shared" si="462"/>
        <v>2.8</v>
      </c>
      <c r="I839" s="453">
        <f t="shared" si="462"/>
        <v>3.1999999999999997</v>
      </c>
      <c r="J839" s="453">
        <f t="shared" si="462"/>
        <v>3.5999999999999996</v>
      </c>
      <c r="K839" s="453">
        <f t="shared" si="462"/>
        <v>3.9999999999999996</v>
      </c>
      <c r="L839" s="453">
        <f t="shared" si="462"/>
        <v>4.3999999999999995</v>
      </c>
      <c r="M839" s="453">
        <f t="shared" si="462"/>
        <v>4.8</v>
      </c>
      <c r="N839" s="453">
        <f>M839+0.4</f>
        <v>5.2</v>
      </c>
      <c r="O839" s="453">
        <f t="shared" si="462"/>
        <v>5.6000000000000005</v>
      </c>
      <c r="P839" s="453">
        <f t="shared" si="462"/>
        <v>6.0000000000000009</v>
      </c>
      <c r="Q839" s="453">
        <f t="shared" si="462"/>
        <v>6.4000000000000012</v>
      </c>
      <c r="R839" s="453">
        <f t="shared" si="462"/>
        <v>6.8000000000000016</v>
      </c>
      <c r="S839" s="453">
        <f t="shared" si="462"/>
        <v>7.200000000000002</v>
      </c>
      <c r="T839" s="453">
        <f t="shared" si="462"/>
        <v>7.6000000000000023</v>
      </c>
      <c r="U839" s="453">
        <f t="shared" si="462"/>
        <v>8.0000000000000018</v>
      </c>
      <c r="V839" s="453">
        <f>U839+0.4</f>
        <v>8.4000000000000021</v>
      </c>
      <c r="W839" s="453">
        <f t="shared" si="462"/>
        <v>8.8000000000000025</v>
      </c>
      <c r="X839" s="453">
        <f t="shared" si="462"/>
        <v>9.2000000000000028</v>
      </c>
      <c r="Y839" s="453">
        <f t="shared" si="462"/>
        <v>9.6000000000000032</v>
      </c>
      <c r="Z839" s="453">
        <f t="shared" si="462"/>
        <v>10.000000000000004</v>
      </c>
      <c r="AA839" s="453">
        <f t="shared" si="462"/>
        <v>10.400000000000004</v>
      </c>
      <c r="AB839" s="453">
        <f t="shared" si="462"/>
        <v>10.800000000000004</v>
      </c>
      <c r="AC839" s="453">
        <f t="shared" si="462"/>
        <v>11.200000000000005</v>
      </c>
      <c r="AD839" s="453">
        <f>AC839+0.4</f>
        <v>11.600000000000005</v>
      </c>
      <c r="AE839" s="453">
        <f t="shared" si="462"/>
        <v>12.000000000000005</v>
      </c>
      <c r="AF839" s="453">
        <f>AE839+0.4</f>
        <v>12.400000000000006</v>
      </c>
      <c r="AG839" s="453">
        <f>AF839+0.4</f>
        <v>12.800000000000006</v>
      </c>
      <c r="AH839" s="453">
        <f t="shared" ref="AH839" si="463">AG839+0.4</f>
        <v>13.200000000000006</v>
      </c>
      <c r="AI839" s="212"/>
    </row>
    <row r="840" spans="1:57">
      <c r="A840" s="454" t="s">
        <v>768</v>
      </c>
      <c r="B840" s="453">
        <v>1</v>
      </c>
      <c r="C840" s="453">
        <v>2</v>
      </c>
      <c r="D840" s="453">
        <v>3</v>
      </c>
      <c r="E840" s="453">
        <v>4</v>
      </c>
      <c r="F840" s="453">
        <v>5</v>
      </c>
      <c r="G840" s="453">
        <v>6</v>
      </c>
      <c r="H840" s="453">
        <v>7</v>
      </c>
      <c r="I840" s="453">
        <v>8</v>
      </c>
      <c r="J840" s="453">
        <v>9</v>
      </c>
      <c r="K840" s="453">
        <v>10</v>
      </c>
      <c r="L840" s="453">
        <v>11</v>
      </c>
      <c r="M840" s="453">
        <v>12</v>
      </c>
      <c r="N840" s="453">
        <v>13</v>
      </c>
      <c r="O840" s="453">
        <v>14</v>
      </c>
      <c r="P840" s="453">
        <v>15</v>
      </c>
      <c r="Q840" s="453">
        <v>16</v>
      </c>
      <c r="R840" s="453">
        <v>17</v>
      </c>
      <c r="S840" s="453">
        <v>18</v>
      </c>
      <c r="T840" s="453">
        <v>19</v>
      </c>
      <c r="U840" s="453">
        <v>20</v>
      </c>
      <c r="V840" s="453">
        <v>21</v>
      </c>
      <c r="W840" s="453">
        <v>22</v>
      </c>
      <c r="X840" s="453">
        <v>23</v>
      </c>
      <c r="Y840" s="453">
        <v>24</v>
      </c>
      <c r="Z840" s="453">
        <v>25</v>
      </c>
      <c r="AA840" s="453">
        <v>26</v>
      </c>
      <c r="AB840" s="453">
        <v>27</v>
      </c>
      <c r="AC840" s="453">
        <v>28</v>
      </c>
      <c r="AD840" s="453">
        <v>29</v>
      </c>
      <c r="AE840" s="453">
        <v>30</v>
      </c>
      <c r="AF840" s="453">
        <v>31</v>
      </c>
      <c r="AG840" s="453">
        <v>32</v>
      </c>
      <c r="AH840" s="453">
        <v>33</v>
      </c>
      <c r="AI840" s="212"/>
    </row>
    <row r="841" spans="1:57">
      <c r="A841" s="453" t="s">
        <v>528</v>
      </c>
      <c r="B841" s="451">
        <v>106</v>
      </c>
      <c r="C841" s="451">
        <v>127</v>
      </c>
      <c r="D841" s="451">
        <v>151</v>
      </c>
      <c r="E841" s="451">
        <v>158</v>
      </c>
      <c r="F841" s="451">
        <v>158</v>
      </c>
      <c r="G841" s="451">
        <v>178</v>
      </c>
      <c r="H841" s="451">
        <v>188</v>
      </c>
      <c r="I841" s="451">
        <v>204</v>
      </c>
      <c r="J841" s="451">
        <v>215</v>
      </c>
      <c r="K841" s="451">
        <v>215</v>
      </c>
      <c r="L841" s="451">
        <v>225</v>
      </c>
      <c r="M841" s="451">
        <v>237</v>
      </c>
      <c r="N841" s="451">
        <v>243</v>
      </c>
      <c r="O841" s="451">
        <v>250</v>
      </c>
      <c r="P841" s="451">
        <v>250</v>
      </c>
      <c r="Q841" s="451">
        <v>270</v>
      </c>
      <c r="R841" s="451">
        <v>270</v>
      </c>
      <c r="S841" s="451">
        <v>284</v>
      </c>
      <c r="T841" s="451">
        <v>284</v>
      </c>
      <c r="U841" s="451">
        <v>284</v>
      </c>
      <c r="V841" s="451">
        <v>299</v>
      </c>
      <c r="W841" s="451">
        <v>299</v>
      </c>
      <c r="X841" s="451">
        <v>310</v>
      </c>
      <c r="Y841" s="451">
        <v>310</v>
      </c>
      <c r="Z841" s="451">
        <v>310</v>
      </c>
      <c r="AA841" s="451">
        <v>350</v>
      </c>
      <c r="AB841" s="451">
        <v>350</v>
      </c>
      <c r="AC841" s="451">
        <v>370</v>
      </c>
      <c r="AD841" s="451">
        <v>370</v>
      </c>
      <c r="AE841" s="451">
        <v>370</v>
      </c>
      <c r="AF841" s="451">
        <v>379</v>
      </c>
      <c r="AG841" s="451">
        <v>379</v>
      </c>
      <c r="AH841" s="451">
        <v>379</v>
      </c>
      <c r="AI841" s="212"/>
    </row>
    <row r="842" spans="1:57">
      <c r="A842" s="453" t="s">
        <v>537</v>
      </c>
      <c r="B842" s="451">
        <v>135</v>
      </c>
      <c r="C842" s="451">
        <v>152</v>
      </c>
      <c r="D842" s="451">
        <v>169</v>
      </c>
      <c r="E842" s="451">
        <v>187</v>
      </c>
      <c r="F842" s="451">
        <v>204</v>
      </c>
      <c r="G842" s="451">
        <v>227</v>
      </c>
      <c r="H842" s="451">
        <v>255</v>
      </c>
      <c r="I842" s="451">
        <v>279</v>
      </c>
      <c r="J842" s="451">
        <v>306</v>
      </c>
      <c r="K842" s="451">
        <v>331</v>
      </c>
      <c r="L842" s="451">
        <v>353</v>
      </c>
      <c r="M842" s="451">
        <v>377</v>
      </c>
      <c r="N842" s="451">
        <v>397</v>
      </c>
      <c r="O842" s="451">
        <v>419</v>
      </c>
      <c r="P842" s="451">
        <v>442</v>
      </c>
      <c r="Q842" s="451">
        <v>451</v>
      </c>
      <c r="R842" s="451">
        <v>460</v>
      </c>
      <c r="S842" s="451">
        <v>469</v>
      </c>
      <c r="T842" s="451">
        <v>477</v>
      </c>
      <c r="U842" s="451">
        <v>487</v>
      </c>
      <c r="V842" s="451">
        <v>498</v>
      </c>
      <c r="W842" s="451">
        <v>508</v>
      </c>
      <c r="X842" s="451">
        <v>519</v>
      </c>
      <c r="Y842" s="451">
        <v>530</v>
      </c>
      <c r="Z842" s="451">
        <v>538</v>
      </c>
      <c r="AA842" s="451">
        <v>543</v>
      </c>
      <c r="AB842" s="451">
        <v>549</v>
      </c>
      <c r="AC842" s="451">
        <v>552</v>
      </c>
      <c r="AD842" s="451">
        <v>559</v>
      </c>
      <c r="AE842" s="451">
        <v>563</v>
      </c>
      <c r="AF842" s="451">
        <v>567</v>
      </c>
      <c r="AG842" s="451">
        <v>577</v>
      </c>
      <c r="AH842" s="451">
        <v>581</v>
      </c>
      <c r="AI842" s="212"/>
    </row>
    <row r="843" spans="1:57">
      <c r="A843" s="453" t="s">
        <v>543</v>
      </c>
      <c r="B843" s="451">
        <v>139</v>
      </c>
      <c r="C843" s="451">
        <v>156</v>
      </c>
      <c r="D843" s="451">
        <v>176</v>
      </c>
      <c r="E843" s="451">
        <v>193</v>
      </c>
      <c r="F843" s="451">
        <v>210</v>
      </c>
      <c r="G843" s="451">
        <v>239</v>
      </c>
      <c r="H843" s="451">
        <v>264</v>
      </c>
      <c r="I843" s="451">
        <v>289</v>
      </c>
      <c r="J843" s="451">
        <v>318</v>
      </c>
      <c r="K843" s="451">
        <v>345</v>
      </c>
      <c r="L843" s="451">
        <v>364</v>
      </c>
      <c r="M843" s="451">
        <v>389</v>
      </c>
      <c r="N843" s="451">
        <v>411</v>
      </c>
      <c r="O843" s="451">
        <v>432</v>
      </c>
      <c r="P843" s="451">
        <v>457</v>
      </c>
      <c r="Q843" s="451">
        <v>467</v>
      </c>
      <c r="R843" s="451">
        <v>475</v>
      </c>
      <c r="S843" s="451">
        <v>485</v>
      </c>
      <c r="T843" s="451">
        <v>494</v>
      </c>
      <c r="U843" s="451">
        <v>506</v>
      </c>
      <c r="V843" s="451">
        <v>517</v>
      </c>
      <c r="W843" s="451">
        <v>527</v>
      </c>
      <c r="X843" s="451">
        <v>536</v>
      </c>
      <c r="Y843" s="451">
        <v>548</v>
      </c>
      <c r="Z843" s="451">
        <v>559</v>
      </c>
      <c r="AA843" s="451">
        <v>563</v>
      </c>
      <c r="AB843" s="451">
        <v>567</v>
      </c>
      <c r="AC843" s="451">
        <v>575</v>
      </c>
      <c r="AD843" s="451">
        <v>579</v>
      </c>
      <c r="AE843" s="451">
        <v>583</v>
      </c>
      <c r="AF843" s="451">
        <v>588</v>
      </c>
      <c r="AG843" s="451">
        <v>595</v>
      </c>
      <c r="AH843" s="451">
        <v>599</v>
      </c>
      <c r="AI843" s="212"/>
    </row>
    <row r="844" spans="1:57">
      <c r="A844" s="453" t="s">
        <v>544</v>
      </c>
      <c r="B844" s="451">
        <v>135</v>
      </c>
      <c r="C844" s="451">
        <v>152</v>
      </c>
      <c r="D844" s="451">
        <v>169</v>
      </c>
      <c r="E844" s="451">
        <v>187</v>
      </c>
      <c r="F844" s="451">
        <v>204</v>
      </c>
      <c r="G844" s="451">
        <v>227</v>
      </c>
      <c r="H844" s="451">
        <v>255</v>
      </c>
      <c r="I844" s="451">
        <v>279</v>
      </c>
      <c r="J844" s="451">
        <v>306</v>
      </c>
      <c r="K844" s="451">
        <v>331</v>
      </c>
      <c r="L844" s="451">
        <v>353</v>
      </c>
      <c r="M844" s="451">
        <v>376</v>
      </c>
      <c r="N844" s="451">
        <v>397</v>
      </c>
      <c r="O844" s="451">
        <v>419</v>
      </c>
      <c r="P844" s="451">
        <v>441</v>
      </c>
      <c r="Q844" s="451">
        <v>451</v>
      </c>
      <c r="R844" s="451">
        <v>460</v>
      </c>
      <c r="S844" s="451">
        <v>469</v>
      </c>
      <c r="T844" s="451">
        <v>477</v>
      </c>
      <c r="U844" s="451">
        <v>487</v>
      </c>
      <c r="V844" s="451">
        <v>498</v>
      </c>
      <c r="W844" s="451">
        <v>508</v>
      </c>
      <c r="X844" s="451">
        <v>519</v>
      </c>
      <c r="Y844" s="451">
        <v>530</v>
      </c>
      <c r="Z844" s="451">
        <v>537</v>
      </c>
      <c r="AA844" s="451">
        <v>543</v>
      </c>
      <c r="AB844" s="451">
        <v>548</v>
      </c>
      <c r="AC844" s="451">
        <v>552</v>
      </c>
      <c r="AD844" s="451">
        <v>558</v>
      </c>
      <c r="AE844" s="451">
        <v>563</v>
      </c>
      <c r="AF844" s="451">
        <v>567</v>
      </c>
      <c r="AG844" s="451">
        <v>575</v>
      </c>
      <c r="AH844" s="451">
        <v>581</v>
      </c>
      <c r="AI844" s="212"/>
    </row>
    <row r="845" spans="1:57">
      <c r="A845" s="453" t="s">
        <v>545</v>
      </c>
      <c r="B845" s="451">
        <v>160</v>
      </c>
      <c r="C845" s="451">
        <v>181</v>
      </c>
      <c r="D845" s="451">
        <v>203</v>
      </c>
      <c r="E845" s="451">
        <v>222</v>
      </c>
      <c r="F845" s="451">
        <v>245</v>
      </c>
      <c r="G845" s="451">
        <v>273</v>
      </c>
      <c r="H845" s="451">
        <v>305</v>
      </c>
      <c r="I845" s="451">
        <v>333</v>
      </c>
      <c r="J845" s="451">
        <v>364</v>
      </c>
      <c r="K845" s="451">
        <v>396</v>
      </c>
      <c r="L845" s="451">
        <v>422</v>
      </c>
      <c r="M845" s="451">
        <v>448</v>
      </c>
      <c r="N845" s="451">
        <v>474</v>
      </c>
      <c r="O845" s="451">
        <v>500</v>
      </c>
      <c r="P845" s="451">
        <v>527</v>
      </c>
      <c r="Q845" s="451">
        <v>537</v>
      </c>
      <c r="R845" s="451">
        <v>549</v>
      </c>
      <c r="S845" s="451">
        <v>560</v>
      </c>
      <c r="T845" s="451">
        <v>569</v>
      </c>
      <c r="U845" s="451">
        <v>583</v>
      </c>
      <c r="V845" s="451">
        <v>595</v>
      </c>
      <c r="W845" s="451">
        <v>609</v>
      </c>
      <c r="X845" s="451">
        <v>619</v>
      </c>
      <c r="Y845" s="451">
        <v>633</v>
      </c>
      <c r="Z845" s="451">
        <v>645</v>
      </c>
      <c r="AA845" s="451">
        <v>650</v>
      </c>
      <c r="AB845" s="451">
        <v>654</v>
      </c>
      <c r="AC845" s="451">
        <v>663</v>
      </c>
      <c r="AD845" s="451">
        <v>667</v>
      </c>
      <c r="AE845" s="451">
        <v>672</v>
      </c>
      <c r="AF845" s="451">
        <v>680</v>
      </c>
      <c r="AG845" s="451">
        <v>685</v>
      </c>
      <c r="AH845" s="451">
        <v>693</v>
      </c>
      <c r="AI845" s="212"/>
    </row>
    <row r="846" spans="1:57">
      <c r="A846" s="453" t="s">
        <v>547</v>
      </c>
      <c r="B846" s="451">
        <v>310</v>
      </c>
      <c r="C846" s="451">
        <v>350</v>
      </c>
      <c r="D846" s="451">
        <v>391</v>
      </c>
      <c r="E846" s="451">
        <v>430</v>
      </c>
      <c r="F846" s="451">
        <v>472</v>
      </c>
      <c r="G846" s="451">
        <v>531</v>
      </c>
      <c r="H846" s="451">
        <v>589</v>
      </c>
      <c r="I846" s="451">
        <v>649</v>
      </c>
      <c r="J846" s="451">
        <v>708</v>
      </c>
      <c r="K846" s="451">
        <v>767</v>
      </c>
      <c r="L846" s="451">
        <v>819</v>
      </c>
      <c r="M846" s="451">
        <v>869</v>
      </c>
      <c r="N846" s="451">
        <v>920</v>
      </c>
      <c r="O846" s="451">
        <v>969</v>
      </c>
      <c r="P846" s="451">
        <v>1021</v>
      </c>
      <c r="Q846" s="451">
        <v>1044</v>
      </c>
      <c r="R846" s="451">
        <v>1064</v>
      </c>
      <c r="S846" s="451">
        <v>1085</v>
      </c>
      <c r="T846" s="451">
        <v>1107</v>
      </c>
      <c r="U846" s="451">
        <v>1129</v>
      </c>
      <c r="V846" s="451">
        <v>1153</v>
      </c>
      <c r="W846" s="451">
        <v>1178</v>
      </c>
      <c r="X846" s="451">
        <v>1202</v>
      </c>
      <c r="Y846" s="451">
        <v>1224</v>
      </c>
      <c r="Z846" s="451">
        <v>1250</v>
      </c>
      <c r="AA846" s="451">
        <v>1262</v>
      </c>
      <c r="AB846" s="451">
        <v>1272</v>
      </c>
      <c r="AC846" s="451">
        <v>1281</v>
      </c>
      <c r="AD846" s="451">
        <v>1294</v>
      </c>
      <c r="AE846" s="451">
        <v>1304</v>
      </c>
      <c r="AF846" s="451">
        <v>1319</v>
      </c>
      <c r="AG846" s="451">
        <v>1330</v>
      </c>
      <c r="AH846" s="451">
        <v>1342</v>
      </c>
      <c r="AI846" s="212"/>
    </row>
    <row r="847" spans="1:57">
      <c r="A847" s="453" t="s">
        <v>769</v>
      </c>
      <c r="B847" s="451">
        <v>299</v>
      </c>
      <c r="C847" s="451">
        <v>336</v>
      </c>
      <c r="D847" s="451">
        <v>377</v>
      </c>
      <c r="E847" s="451">
        <v>414</v>
      </c>
      <c r="F847" s="451">
        <v>453</v>
      </c>
      <c r="G847" s="451">
        <v>509</v>
      </c>
      <c r="H847" s="451">
        <v>567</v>
      </c>
      <c r="I847" s="451">
        <v>622</v>
      </c>
      <c r="J847" s="451">
        <v>681</v>
      </c>
      <c r="K847" s="451">
        <v>737</v>
      </c>
      <c r="L847" s="451">
        <v>787</v>
      </c>
      <c r="M847" s="451">
        <v>836</v>
      </c>
      <c r="N847" s="451">
        <v>885</v>
      </c>
      <c r="O847" s="451">
        <v>933</v>
      </c>
      <c r="P847" s="451">
        <v>983</v>
      </c>
      <c r="Q847" s="451">
        <v>1005</v>
      </c>
      <c r="R847" s="451">
        <v>1023</v>
      </c>
      <c r="S847" s="451">
        <v>1045</v>
      </c>
      <c r="T847" s="451">
        <v>1066</v>
      </c>
      <c r="U847" s="451">
        <v>1087</v>
      </c>
      <c r="V847" s="451">
        <v>1110</v>
      </c>
      <c r="W847" s="451">
        <v>1131</v>
      </c>
      <c r="X847" s="451">
        <v>1155</v>
      </c>
      <c r="Y847" s="451">
        <v>1179</v>
      </c>
      <c r="Z847" s="451">
        <v>1202</v>
      </c>
      <c r="AA847" s="451">
        <v>1213</v>
      </c>
      <c r="AB847" s="451">
        <v>1221</v>
      </c>
      <c r="AC847" s="451">
        <v>1233</v>
      </c>
      <c r="AD847" s="451">
        <v>1244</v>
      </c>
      <c r="AE847" s="451">
        <v>1252</v>
      </c>
      <c r="AF847" s="451">
        <v>1266</v>
      </c>
      <c r="AG847" s="451">
        <v>1280</v>
      </c>
      <c r="AH847" s="451">
        <v>1295</v>
      </c>
      <c r="AI847" s="212"/>
    </row>
    <row r="848" spans="1:57">
      <c r="A848" s="453" t="s">
        <v>770</v>
      </c>
      <c r="B848" s="452">
        <v>282</v>
      </c>
      <c r="C848" s="452">
        <v>316</v>
      </c>
      <c r="D848" s="452">
        <v>355</v>
      </c>
      <c r="E848" s="452">
        <v>390</v>
      </c>
      <c r="F848" s="452">
        <v>427</v>
      </c>
      <c r="G848" s="452">
        <v>479</v>
      </c>
      <c r="H848" s="452">
        <v>534</v>
      </c>
      <c r="I848" s="452">
        <v>586</v>
      </c>
      <c r="J848" s="452">
        <v>641</v>
      </c>
      <c r="K848" s="452">
        <v>694</v>
      </c>
      <c r="L848" s="452">
        <v>741</v>
      </c>
      <c r="M848" s="452">
        <v>787</v>
      </c>
      <c r="N848" s="452">
        <v>833</v>
      </c>
      <c r="O848" s="452">
        <v>879</v>
      </c>
      <c r="P848" s="452">
        <v>926</v>
      </c>
      <c r="Q848" s="452">
        <v>946</v>
      </c>
      <c r="R848" s="452">
        <v>963</v>
      </c>
      <c r="S848" s="452">
        <v>984</v>
      </c>
      <c r="T848" s="452">
        <v>1004</v>
      </c>
      <c r="U848" s="452">
        <v>1024</v>
      </c>
      <c r="V848" s="452">
        <v>1045</v>
      </c>
      <c r="W848" s="452">
        <v>1065</v>
      </c>
      <c r="X848" s="452">
        <v>1088</v>
      </c>
      <c r="Y848" s="452">
        <v>1110</v>
      </c>
      <c r="Z848" s="452">
        <v>1132</v>
      </c>
      <c r="AA848" s="452">
        <v>1142</v>
      </c>
      <c r="AB848" s="452">
        <v>1150</v>
      </c>
      <c r="AC848" s="452">
        <v>1161</v>
      </c>
      <c r="AD848" s="452">
        <v>1171</v>
      </c>
      <c r="AE848" s="452">
        <v>1179</v>
      </c>
      <c r="AF848" s="452">
        <v>1192</v>
      </c>
      <c r="AG848" s="452">
        <v>1205</v>
      </c>
      <c r="AH848" s="452">
        <v>1219</v>
      </c>
      <c r="AI848" s="212"/>
    </row>
    <row r="849" spans="1:35">
      <c r="A849" s="453" t="s">
        <v>554</v>
      </c>
      <c r="B849" s="451">
        <v>107</v>
      </c>
      <c r="C849" s="451">
        <v>121</v>
      </c>
      <c r="D849" s="451">
        <v>135</v>
      </c>
      <c r="E849" s="451">
        <v>148</v>
      </c>
      <c r="F849" s="451">
        <v>160</v>
      </c>
      <c r="G849" s="451">
        <v>181</v>
      </c>
      <c r="H849" s="451">
        <v>202</v>
      </c>
      <c r="I849" s="451">
        <v>220</v>
      </c>
      <c r="J849" s="451">
        <v>242</v>
      </c>
      <c r="K849" s="451">
        <v>262</v>
      </c>
      <c r="L849" s="451">
        <v>278</v>
      </c>
      <c r="M849" s="451">
        <v>297</v>
      </c>
      <c r="N849" s="451">
        <v>314</v>
      </c>
      <c r="O849" s="451">
        <v>330</v>
      </c>
      <c r="P849" s="451">
        <v>348</v>
      </c>
      <c r="Q849" s="451">
        <v>356</v>
      </c>
      <c r="R849" s="451">
        <v>362</v>
      </c>
      <c r="S849" s="451">
        <v>370</v>
      </c>
      <c r="T849" s="451">
        <v>378</v>
      </c>
      <c r="U849" s="451">
        <v>383</v>
      </c>
      <c r="V849" s="451">
        <v>393</v>
      </c>
      <c r="W849" s="451">
        <v>402</v>
      </c>
      <c r="X849" s="451">
        <v>410</v>
      </c>
      <c r="Y849" s="451">
        <v>416</v>
      </c>
      <c r="Z849" s="451">
        <v>425</v>
      </c>
      <c r="AA849" s="451">
        <v>428</v>
      </c>
      <c r="AB849" s="451">
        <v>431</v>
      </c>
      <c r="AC849" s="451">
        <v>436</v>
      </c>
      <c r="AD849" s="451">
        <v>441</v>
      </c>
      <c r="AE849" s="451">
        <v>444</v>
      </c>
      <c r="AF849" s="451">
        <v>448</v>
      </c>
      <c r="AG849" s="451">
        <v>453</v>
      </c>
      <c r="AH849" s="451">
        <v>459</v>
      </c>
      <c r="AI849" s="212"/>
    </row>
    <row r="850" spans="1:35">
      <c r="A850" s="453" t="s">
        <v>556</v>
      </c>
      <c r="B850" s="451">
        <v>122</v>
      </c>
      <c r="C850" s="451">
        <v>137</v>
      </c>
      <c r="D850" s="451">
        <v>153</v>
      </c>
      <c r="E850" s="451">
        <v>169</v>
      </c>
      <c r="F850" s="451">
        <v>184</v>
      </c>
      <c r="G850" s="451">
        <v>207</v>
      </c>
      <c r="H850" s="451">
        <v>227</v>
      </c>
      <c r="I850" s="451">
        <v>253</v>
      </c>
      <c r="J850" s="451">
        <v>274</v>
      </c>
      <c r="K850" s="451">
        <v>298</v>
      </c>
      <c r="L850" s="451">
        <v>319</v>
      </c>
      <c r="M850" s="451">
        <v>337</v>
      </c>
      <c r="N850" s="451">
        <v>359</v>
      </c>
      <c r="O850" s="451">
        <v>378</v>
      </c>
      <c r="P850" s="451">
        <v>397</v>
      </c>
      <c r="Q850" s="451">
        <v>407</v>
      </c>
      <c r="R850" s="451">
        <v>413</v>
      </c>
      <c r="S850" s="451">
        <v>423</v>
      </c>
      <c r="T850" s="451">
        <v>430</v>
      </c>
      <c r="U850" s="451">
        <v>440</v>
      </c>
      <c r="V850" s="451">
        <v>448</v>
      </c>
      <c r="W850" s="451">
        <v>459</v>
      </c>
      <c r="X850" s="451">
        <v>468</v>
      </c>
      <c r="Y850" s="451">
        <v>476</v>
      </c>
      <c r="Z850" s="451">
        <v>485</v>
      </c>
      <c r="AA850" s="451">
        <v>490</v>
      </c>
      <c r="AB850" s="451">
        <v>493</v>
      </c>
      <c r="AC850" s="451">
        <v>498</v>
      </c>
      <c r="AD850" s="451">
        <v>502</v>
      </c>
      <c r="AE850" s="451">
        <v>507</v>
      </c>
      <c r="AF850" s="451">
        <v>512</v>
      </c>
      <c r="AG850" s="451">
        <v>518</v>
      </c>
      <c r="AH850" s="451">
        <v>523</v>
      </c>
      <c r="AI850" s="212"/>
    </row>
    <row r="851" spans="1:35">
      <c r="A851" s="453" t="s">
        <v>561</v>
      </c>
      <c r="B851" s="451">
        <v>135</v>
      </c>
      <c r="C851" s="451">
        <v>152</v>
      </c>
      <c r="D851" s="451">
        <v>167</v>
      </c>
      <c r="E851" s="451">
        <v>186</v>
      </c>
      <c r="F851" s="451">
        <v>203</v>
      </c>
      <c r="G851" s="451">
        <v>226</v>
      </c>
      <c r="H851" s="451">
        <v>254</v>
      </c>
      <c r="I851" s="451">
        <v>277</v>
      </c>
      <c r="J851" s="451">
        <v>304</v>
      </c>
      <c r="K851" s="451">
        <v>329</v>
      </c>
      <c r="L851" s="451">
        <v>350</v>
      </c>
      <c r="M851" s="451">
        <v>375</v>
      </c>
      <c r="N851" s="451">
        <v>394</v>
      </c>
      <c r="O851" s="451">
        <v>415</v>
      </c>
      <c r="P851" s="451">
        <v>439</v>
      </c>
      <c r="Q851" s="451">
        <v>446</v>
      </c>
      <c r="R851" s="451">
        <v>457</v>
      </c>
      <c r="S851" s="451">
        <v>467</v>
      </c>
      <c r="T851" s="451">
        <v>475</v>
      </c>
      <c r="U851" s="451">
        <v>483</v>
      </c>
      <c r="V851" s="451">
        <v>493</v>
      </c>
      <c r="W851" s="451">
        <v>506</v>
      </c>
      <c r="X851" s="451">
        <v>515</v>
      </c>
      <c r="Y851" s="451">
        <v>526</v>
      </c>
      <c r="Z851" s="451">
        <v>535</v>
      </c>
      <c r="AA851" s="451">
        <v>538</v>
      </c>
      <c r="AB851" s="451">
        <v>546</v>
      </c>
      <c r="AC851" s="451">
        <v>549</v>
      </c>
      <c r="AD851" s="451">
        <v>554</v>
      </c>
      <c r="AE851" s="451">
        <v>559</v>
      </c>
      <c r="AF851" s="451">
        <v>564</v>
      </c>
      <c r="AG851" s="451">
        <v>568</v>
      </c>
      <c r="AH851" s="451">
        <v>578</v>
      </c>
      <c r="AI851" s="212"/>
    </row>
    <row r="852" spans="1:35">
      <c r="A852" s="453" t="s">
        <v>564</v>
      </c>
      <c r="B852" s="451">
        <v>116</v>
      </c>
      <c r="C852" s="451">
        <v>129</v>
      </c>
      <c r="D852" s="451">
        <v>145</v>
      </c>
      <c r="E852" s="451">
        <v>160</v>
      </c>
      <c r="F852" s="451">
        <v>176</v>
      </c>
      <c r="G852" s="451">
        <v>196</v>
      </c>
      <c r="H852" s="451">
        <v>218</v>
      </c>
      <c r="I852" s="451">
        <v>241</v>
      </c>
      <c r="J852" s="451">
        <v>263</v>
      </c>
      <c r="K852" s="451">
        <v>284</v>
      </c>
      <c r="L852" s="451">
        <v>304</v>
      </c>
      <c r="M852" s="451">
        <v>322</v>
      </c>
      <c r="N852" s="451">
        <v>340</v>
      </c>
      <c r="O852" s="451">
        <v>360</v>
      </c>
      <c r="P852" s="451">
        <v>379</v>
      </c>
      <c r="Q852" s="451">
        <v>386</v>
      </c>
      <c r="R852" s="451">
        <v>394</v>
      </c>
      <c r="S852" s="451">
        <v>405</v>
      </c>
      <c r="T852" s="451">
        <v>410</v>
      </c>
      <c r="U852" s="451">
        <v>416</v>
      </c>
      <c r="V852" s="451">
        <v>426</v>
      </c>
      <c r="W852" s="451">
        <v>436</v>
      </c>
      <c r="X852" s="451">
        <v>444</v>
      </c>
      <c r="Y852" s="451">
        <v>455</v>
      </c>
      <c r="Z852" s="451">
        <v>463</v>
      </c>
      <c r="AA852" s="451">
        <v>468</v>
      </c>
      <c r="AB852" s="451">
        <v>470</v>
      </c>
      <c r="AC852" s="451">
        <v>474</v>
      </c>
      <c r="AD852" s="451">
        <v>477</v>
      </c>
      <c r="AE852" s="451">
        <v>481</v>
      </c>
      <c r="AF852" s="451">
        <v>487</v>
      </c>
      <c r="AG852" s="451">
        <v>492</v>
      </c>
      <c r="AH852" s="451">
        <v>496</v>
      </c>
      <c r="AI852" s="212"/>
    </row>
    <row r="853" spans="1:35">
      <c r="A853" s="453" t="s">
        <v>565</v>
      </c>
      <c r="B853" s="451">
        <v>147</v>
      </c>
      <c r="C853" s="451">
        <v>164</v>
      </c>
      <c r="D853" s="451">
        <v>184</v>
      </c>
      <c r="E853" s="451">
        <v>203</v>
      </c>
      <c r="F853" s="451">
        <v>222</v>
      </c>
      <c r="G853" s="451">
        <v>250</v>
      </c>
      <c r="H853" s="451">
        <v>277</v>
      </c>
      <c r="I853" s="451">
        <v>305</v>
      </c>
      <c r="J853" s="451">
        <v>332</v>
      </c>
      <c r="K853" s="451">
        <v>361</v>
      </c>
      <c r="L853" s="451">
        <v>383</v>
      </c>
      <c r="M853" s="451">
        <v>409</v>
      </c>
      <c r="N853" s="451">
        <v>431</v>
      </c>
      <c r="O853" s="451">
        <v>457</v>
      </c>
      <c r="P853" s="451">
        <v>480</v>
      </c>
      <c r="Q853" s="451">
        <v>490</v>
      </c>
      <c r="R853" s="451">
        <v>500</v>
      </c>
      <c r="S853" s="451">
        <v>511</v>
      </c>
      <c r="T853" s="451">
        <v>521</v>
      </c>
      <c r="U853" s="451">
        <v>531</v>
      </c>
      <c r="V853" s="451">
        <v>542</v>
      </c>
      <c r="W853" s="451">
        <v>552</v>
      </c>
      <c r="X853" s="451">
        <v>565</v>
      </c>
      <c r="Y853" s="451">
        <v>578</v>
      </c>
      <c r="Z853" s="451">
        <v>587</v>
      </c>
      <c r="AA853" s="451">
        <v>593</v>
      </c>
      <c r="AB853" s="451">
        <v>597</v>
      </c>
      <c r="AC853" s="451">
        <v>603</v>
      </c>
      <c r="AD853" s="451">
        <v>609</v>
      </c>
      <c r="AE853" s="451">
        <v>613</v>
      </c>
      <c r="AF853" s="451">
        <v>619</v>
      </c>
      <c r="AG853" s="451">
        <v>626</v>
      </c>
      <c r="AH853" s="451">
        <v>631</v>
      </c>
      <c r="AI853" s="212"/>
    </row>
    <row r="854" spans="1:35">
      <c r="A854" s="453" t="s">
        <v>569</v>
      </c>
      <c r="B854" s="451">
        <v>90</v>
      </c>
      <c r="C854" s="451">
        <v>102</v>
      </c>
      <c r="D854" s="451">
        <v>112</v>
      </c>
      <c r="E854" s="451">
        <v>124</v>
      </c>
      <c r="F854" s="451">
        <v>136</v>
      </c>
      <c r="G854" s="451">
        <v>153</v>
      </c>
      <c r="H854" s="451">
        <v>169</v>
      </c>
      <c r="I854" s="451">
        <v>187</v>
      </c>
      <c r="J854" s="451">
        <v>203</v>
      </c>
      <c r="K854" s="451">
        <v>219</v>
      </c>
      <c r="L854" s="451">
        <v>234</v>
      </c>
      <c r="M854" s="451">
        <v>249</v>
      </c>
      <c r="N854" s="451">
        <v>263</v>
      </c>
      <c r="O854" s="451">
        <v>277</v>
      </c>
      <c r="P854" s="451">
        <v>293</v>
      </c>
      <c r="Q854" s="451">
        <v>298</v>
      </c>
      <c r="R854" s="451">
        <v>305</v>
      </c>
      <c r="S854" s="451">
        <v>310</v>
      </c>
      <c r="T854" s="451">
        <v>318</v>
      </c>
      <c r="U854" s="451">
        <v>324</v>
      </c>
      <c r="V854" s="451">
        <v>330</v>
      </c>
      <c r="W854" s="451">
        <v>336</v>
      </c>
      <c r="X854" s="451">
        <v>345</v>
      </c>
      <c r="Y854" s="451">
        <v>350</v>
      </c>
      <c r="Z854" s="451">
        <v>357</v>
      </c>
      <c r="AA854" s="451">
        <v>360</v>
      </c>
      <c r="AB854" s="451">
        <v>363</v>
      </c>
      <c r="AC854" s="451">
        <v>365</v>
      </c>
      <c r="AD854" s="451">
        <v>367</v>
      </c>
      <c r="AE854" s="451">
        <v>375</v>
      </c>
      <c r="AF854" s="451">
        <v>377</v>
      </c>
      <c r="AG854" s="451">
        <v>380</v>
      </c>
      <c r="AH854" s="451">
        <v>383</v>
      </c>
      <c r="AI854" s="212"/>
    </row>
    <row r="855" spans="1:35">
      <c r="A855" s="453" t="s">
        <v>570</v>
      </c>
      <c r="B855" s="451">
        <v>141</v>
      </c>
      <c r="C855" s="451">
        <v>158</v>
      </c>
      <c r="D855" s="451">
        <v>177</v>
      </c>
      <c r="E855" s="451">
        <v>194</v>
      </c>
      <c r="F855" s="451">
        <v>215</v>
      </c>
      <c r="G855" s="451">
        <v>241</v>
      </c>
      <c r="H855" s="451">
        <v>268</v>
      </c>
      <c r="I855" s="451">
        <v>294</v>
      </c>
      <c r="J855" s="451">
        <v>320</v>
      </c>
      <c r="K855" s="451">
        <v>348</v>
      </c>
      <c r="L855" s="451">
        <v>367</v>
      </c>
      <c r="M855" s="451">
        <v>392</v>
      </c>
      <c r="N855" s="451">
        <v>414</v>
      </c>
      <c r="O855" s="451">
        <v>439</v>
      </c>
      <c r="P855" s="451">
        <v>461</v>
      </c>
      <c r="Q855" s="451">
        <v>472</v>
      </c>
      <c r="R855" s="451">
        <v>480</v>
      </c>
      <c r="S855" s="451">
        <v>490</v>
      </c>
      <c r="T855" s="451">
        <v>499</v>
      </c>
      <c r="U855" s="451">
        <v>509</v>
      </c>
      <c r="V855" s="451">
        <v>520</v>
      </c>
      <c r="W855" s="451">
        <v>532</v>
      </c>
      <c r="X855" s="451">
        <v>542</v>
      </c>
      <c r="Y855" s="451">
        <v>552</v>
      </c>
      <c r="Z855" s="451">
        <v>564</v>
      </c>
      <c r="AA855" s="451">
        <v>568</v>
      </c>
      <c r="AB855" s="451">
        <v>573</v>
      </c>
      <c r="AC855" s="451">
        <v>580</v>
      </c>
      <c r="AD855" s="451">
        <v>583</v>
      </c>
      <c r="AE855" s="451">
        <v>587</v>
      </c>
      <c r="AF855" s="451">
        <v>594</v>
      </c>
      <c r="AG855" s="451">
        <v>598</v>
      </c>
      <c r="AH855" s="451">
        <v>605</v>
      </c>
      <c r="AI855" s="212"/>
    </row>
    <row r="856" spans="1:35">
      <c r="A856" s="453" t="s">
        <v>571</v>
      </c>
      <c r="B856" s="451">
        <v>188</v>
      </c>
      <c r="C856" s="451">
        <v>211</v>
      </c>
      <c r="D856" s="451">
        <v>237</v>
      </c>
      <c r="E856" s="451">
        <v>261</v>
      </c>
      <c r="F856" s="451">
        <v>284</v>
      </c>
      <c r="G856" s="451">
        <v>321</v>
      </c>
      <c r="H856" s="451">
        <v>356</v>
      </c>
      <c r="I856" s="451">
        <v>392</v>
      </c>
      <c r="J856" s="451">
        <v>427</v>
      </c>
      <c r="K856" s="451">
        <v>463</v>
      </c>
      <c r="L856" s="451">
        <v>493</v>
      </c>
      <c r="M856" s="451">
        <v>526</v>
      </c>
      <c r="N856" s="451">
        <v>556</v>
      </c>
      <c r="O856" s="451">
        <v>587</v>
      </c>
      <c r="P856" s="451">
        <v>618</v>
      </c>
      <c r="Q856" s="451">
        <v>630</v>
      </c>
      <c r="R856" s="451">
        <v>644</v>
      </c>
      <c r="S856" s="451">
        <v>656</v>
      </c>
      <c r="T856" s="451">
        <v>669</v>
      </c>
      <c r="U856" s="451">
        <v>682</v>
      </c>
      <c r="V856" s="451">
        <v>697</v>
      </c>
      <c r="W856" s="451">
        <v>710</v>
      </c>
      <c r="X856" s="451">
        <v>726</v>
      </c>
      <c r="Y856" s="451">
        <v>740</v>
      </c>
      <c r="Z856" s="451">
        <v>755</v>
      </c>
      <c r="AA856" s="451">
        <v>760</v>
      </c>
      <c r="AB856" s="451">
        <v>768</v>
      </c>
      <c r="AC856" s="451">
        <v>776</v>
      </c>
      <c r="AD856" s="451">
        <v>782</v>
      </c>
      <c r="AE856" s="451">
        <v>788</v>
      </c>
      <c r="AF856" s="451">
        <v>794</v>
      </c>
      <c r="AG856" s="451">
        <v>804</v>
      </c>
      <c r="AH856" s="451">
        <v>810</v>
      </c>
      <c r="AI856" s="212"/>
    </row>
    <row r="857" spans="1:35">
      <c r="A857" s="453" t="s">
        <v>573</v>
      </c>
      <c r="B857" s="451">
        <v>82</v>
      </c>
      <c r="C857" s="451">
        <v>93</v>
      </c>
      <c r="D857" s="451">
        <v>105</v>
      </c>
      <c r="E857" s="451">
        <v>113</v>
      </c>
      <c r="F857" s="451">
        <v>124</v>
      </c>
      <c r="G857" s="451">
        <v>140</v>
      </c>
      <c r="H857" s="451">
        <v>155</v>
      </c>
      <c r="I857" s="451">
        <v>171</v>
      </c>
      <c r="J857" s="451">
        <v>188</v>
      </c>
      <c r="K857" s="451">
        <v>203</v>
      </c>
      <c r="L857" s="451">
        <v>216</v>
      </c>
      <c r="M857" s="451">
        <v>227</v>
      </c>
      <c r="N857" s="451">
        <v>243</v>
      </c>
      <c r="O857" s="451">
        <v>256</v>
      </c>
      <c r="P857" s="451">
        <v>270</v>
      </c>
      <c r="Q857" s="451">
        <v>274</v>
      </c>
      <c r="R857" s="451">
        <v>279</v>
      </c>
      <c r="S857" s="451">
        <v>286</v>
      </c>
      <c r="T857" s="451">
        <v>293</v>
      </c>
      <c r="U857" s="451">
        <v>298</v>
      </c>
      <c r="V857" s="451">
        <v>305</v>
      </c>
      <c r="W857" s="451">
        <v>310</v>
      </c>
      <c r="X857" s="451">
        <v>318</v>
      </c>
      <c r="Y857" s="451">
        <v>324</v>
      </c>
      <c r="Z857" s="451">
        <v>330</v>
      </c>
      <c r="AA857" s="451">
        <v>332</v>
      </c>
      <c r="AB857" s="451">
        <v>335</v>
      </c>
      <c r="AC857" s="451">
        <v>337</v>
      </c>
      <c r="AD857" s="451">
        <v>340</v>
      </c>
      <c r="AE857" s="451">
        <v>345</v>
      </c>
      <c r="AF857" s="451">
        <v>348</v>
      </c>
      <c r="AG857" s="451">
        <v>350</v>
      </c>
      <c r="AH857" s="451">
        <v>354</v>
      </c>
      <c r="AI857" s="212"/>
    </row>
    <row r="858" spans="1:35">
      <c r="A858" s="453" t="s">
        <v>576</v>
      </c>
      <c r="B858" s="451">
        <v>133</v>
      </c>
      <c r="C858" s="451">
        <v>149</v>
      </c>
      <c r="D858" s="451">
        <v>165</v>
      </c>
      <c r="E858" s="451">
        <v>184</v>
      </c>
      <c r="F858" s="451">
        <v>200</v>
      </c>
      <c r="G858" s="451">
        <v>224</v>
      </c>
      <c r="H858" s="451">
        <v>250</v>
      </c>
      <c r="I858" s="451">
        <v>274</v>
      </c>
      <c r="J858" s="451">
        <v>299</v>
      </c>
      <c r="K858" s="451">
        <v>325</v>
      </c>
      <c r="L858" s="451">
        <v>347</v>
      </c>
      <c r="M858" s="451">
        <v>366</v>
      </c>
      <c r="N858" s="451">
        <v>390</v>
      </c>
      <c r="O858" s="451">
        <v>411</v>
      </c>
      <c r="P858" s="451">
        <v>431</v>
      </c>
      <c r="Q858" s="451">
        <v>442</v>
      </c>
      <c r="R858" s="451">
        <v>452</v>
      </c>
      <c r="S858" s="451">
        <v>460</v>
      </c>
      <c r="T858" s="451">
        <v>469</v>
      </c>
      <c r="U858" s="451">
        <v>477</v>
      </c>
      <c r="V858" s="451">
        <v>489</v>
      </c>
      <c r="W858" s="451">
        <v>498</v>
      </c>
      <c r="X858" s="451">
        <v>509</v>
      </c>
      <c r="Y858" s="451">
        <v>519</v>
      </c>
      <c r="Z858" s="451">
        <v>530</v>
      </c>
      <c r="AA858" s="451">
        <v>533</v>
      </c>
      <c r="AB858" s="451">
        <v>537</v>
      </c>
      <c r="AC858" s="451">
        <v>542</v>
      </c>
      <c r="AD858" s="451">
        <v>547</v>
      </c>
      <c r="AE858" s="451">
        <v>551</v>
      </c>
      <c r="AF858" s="451">
        <v>558</v>
      </c>
      <c r="AG858" s="451">
        <v>563</v>
      </c>
      <c r="AH858" s="451">
        <v>567</v>
      </c>
      <c r="AI858" s="212"/>
    </row>
    <row r="859" spans="1:35">
      <c r="A859" s="453" t="s">
        <v>580</v>
      </c>
      <c r="B859" s="451">
        <v>206</v>
      </c>
      <c r="C859" s="451">
        <v>232</v>
      </c>
      <c r="D859" s="451">
        <v>259</v>
      </c>
      <c r="E859" s="451">
        <v>284</v>
      </c>
      <c r="F859" s="451">
        <v>311</v>
      </c>
      <c r="G859" s="451">
        <v>350</v>
      </c>
      <c r="H859" s="451">
        <v>390</v>
      </c>
      <c r="I859" s="451">
        <v>427</v>
      </c>
      <c r="J859" s="451">
        <v>468</v>
      </c>
      <c r="K859" s="451">
        <v>507</v>
      </c>
      <c r="L859" s="451">
        <v>538</v>
      </c>
      <c r="M859" s="451">
        <v>575</v>
      </c>
      <c r="N859" s="451">
        <v>609</v>
      </c>
      <c r="O859" s="451">
        <v>641</v>
      </c>
      <c r="P859" s="451">
        <v>674</v>
      </c>
      <c r="Q859" s="451">
        <v>689</v>
      </c>
      <c r="R859" s="451">
        <v>701</v>
      </c>
      <c r="S859" s="451">
        <v>719</v>
      </c>
      <c r="T859" s="451">
        <v>732</v>
      </c>
      <c r="U859" s="451">
        <v>746</v>
      </c>
      <c r="V859" s="451">
        <v>760</v>
      </c>
      <c r="W859" s="451">
        <v>778</v>
      </c>
      <c r="X859" s="451">
        <v>793</v>
      </c>
      <c r="Y859" s="451">
        <v>809</v>
      </c>
      <c r="Z859" s="451">
        <v>824</v>
      </c>
      <c r="AA859" s="451">
        <v>834</v>
      </c>
      <c r="AB859" s="451">
        <v>839</v>
      </c>
      <c r="AC859" s="451">
        <v>847</v>
      </c>
      <c r="AD859" s="451">
        <v>853</v>
      </c>
      <c r="AE859" s="451">
        <v>862</v>
      </c>
      <c r="AF859" s="451">
        <v>869</v>
      </c>
      <c r="AG859" s="451">
        <v>879</v>
      </c>
      <c r="AH859" s="451">
        <v>887</v>
      </c>
      <c r="AI859" s="212"/>
    </row>
    <row r="860" spans="1:35">
      <c r="A860" s="453" t="s">
        <v>581</v>
      </c>
      <c r="B860" s="451">
        <v>161</v>
      </c>
      <c r="C860" s="451">
        <v>183</v>
      </c>
      <c r="D860" s="451">
        <v>204</v>
      </c>
      <c r="E860" s="451">
        <v>224</v>
      </c>
      <c r="F860" s="451">
        <v>246</v>
      </c>
      <c r="G860" s="451">
        <v>275</v>
      </c>
      <c r="H860" s="451">
        <v>308</v>
      </c>
      <c r="I860" s="451">
        <v>337</v>
      </c>
      <c r="J860" s="451">
        <v>366</v>
      </c>
      <c r="K860" s="451">
        <v>398</v>
      </c>
      <c r="L860" s="451">
        <v>425</v>
      </c>
      <c r="M860" s="451">
        <v>453</v>
      </c>
      <c r="N860" s="451">
        <v>477</v>
      </c>
      <c r="O860" s="451">
        <v>506</v>
      </c>
      <c r="P860" s="451">
        <v>532</v>
      </c>
      <c r="Q860" s="451">
        <v>542</v>
      </c>
      <c r="R860" s="451">
        <v>552</v>
      </c>
      <c r="S860" s="451">
        <v>565</v>
      </c>
      <c r="T860" s="451">
        <v>578</v>
      </c>
      <c r="U860" s="451">
        <v>587</v>
      </c>
      <c r="V860" s="451">
        <v>599</v>
      </c>
      <c r="W860" s="451">
        <v>613</v>
      </c>
      <c r="X860" s="451">
        <v>624</v>
      </c>
      <c r="Y860" s="451">
        <v>637</v>
      </c>
      <c r="Z860" s="451">
        <v>650</v>
      </c>
      <c r="AA860" s="451">
        <v>654</v>
      </c>
      <c r="AB860" s="451">
        <v>663</v>
      </c>
      <c r="AC860" s="451">
        <v>667</v>
      </c>
      <c r="AD860" s="451">
        <v>673</v>
      </c>
      <c r="AE860" s="451">
        <v>679</v>
      </c>
      <c r="AF860" s="451">
        <v>684</v>
      </c>
      <c r="AG860" s="451">
        <v>691</v>
      </c>
      <c r="AH860" s="451">
        <v>698</v>
      </c>
      <c r="AI860" s="212"/>
    </row>
    <row r="861" spans="1:35">
      <c r="A861" s="453" t="s">
        <v>582</v>
      </c>
      <c r="B861" s="451">
        <v>123</v>
      </c>
      <c r="C861" s="451">
        <v>139</v>
      </c>
      <c r="D861" s="451">
        <v>155</v>
      </c>
      <c r="E861" s="451">
        <v>171</v>
      </c>
      <c r="F861" s="451">
        <v>188</v>
      </c>
      <c r="G861" s="451">
        <v>210</v>
      </c>
      <c r="H861" s="451">
        <v>234</v>
      </c>
      <c r="I861" s="451">
        <v>257</v>
      </c>
      <c r="J861" s="451">
        <v>279</v>
      </c>
      <c r="K861" s="451">
        <v>305</v>
      </c>
      <c r="L861" s="451">
        <v>325</v>
      </c>
      <c r="M861" s="451">
        <v>346</v>
      </c>
      <c r="N861" s="451">
        <v>364</v>
      </c>
      <c r="O861" s="451">
        <v>384</v>
      </c>
      <c r="P861" s="451">
        <v>407</v>
      </c>
      <c r="Q861" s="451">
        <v>413</v>
      </c>
      <c r="R861" s="451">
        <v>422</v>
      </c>
      <c r="S861" s="451">
        <v>430</v>
      </c>
      <c r="T861" s="451">
        <v>440</v>
      </c>
      <c r="U861" s="451">
        <v>446</v>
      </c>
      <c r="V861" s="451">
        <v>457</v>
      </c>
      <c r="W861" s="451">
        <v>468</v>
      </c>
      <c r="X861" s="451">
        <v>476</v>
      </c>
      <c r="Y861" s="451">
        <v>485</v>
      </c>
      <c r="Z861" s="451">
        <v>494</v>
      </c>
      <c r="AA861" s="451">
        <v>499</v>
      </c>
      <c r="AB861" s="451">
        <v>503</v>
      </c>
      <c r="AC861" s="451">
        <v>508</v>
      </c>
      <c r="AD861" s="451">
        <v>514</v>
      </c>
      <c r="AE861" s="451">
        <v>518</v>
      </c>
      <c r="AF861" s="451">
        <v>523</v>
      </c>
      <c r="AG861" s="451">
        <v>528</v>
      </c>
      <c r="AH861" s="451">
        <v>533</v>
      </c>
      <c r="AI861" s="212"/>
    </row>
    <row r="862" spans="1:35">
      <c r="A862" s="453" t="s">
        <v>583</v>
      </c>
      <c r="B862" s="451">
        <v>200</v>
      </c>
      <c r="C862" s="451">
        <v>224</v>
      </c>
      <c r="D862" s="451">
        <v>252</v>
      </c>
      <c r="E862" s="451">
        <v>275</v>
      </c>
      <c r="F862" s="451">
        <v>302</v>
      </c>
      <c r="G862" s="451">
        <v>338</v>
      </c>
      <c r="H862" s="451">
        <v>379</v>
      </c>
      <c r="I862" s="451">
        <v>415</v>
      </c>
      <c r="J862" s="451">
        <v>455</v>
      </c>
      <c r="K862" s="451">
        <v>491</v>
      </c>
      <c r="L862" s="451">
        <v>524</v>
      </c>
      <c r="M862" s="451">
        <v>558</v>
      </c>
      <c r="N862" s="451">
        <v>589</v>
      </c>
      <c r="O862" s="451">
        <v>621</v>
      </c>
      <c r="P862" s="451">
        <v>653</v>
      </c>
      <c r="Q862" s="451">
        <v>669</v>
      </c>
      <c r="R862" s="451">
        <v>682</v>
      </c>
      <c r="S862" s="451">
        <v>696</v>
      </c>
      <c r="T862" s="451">
        <v>709</v>
      </c>
      <c r="U862" s="451">
        <v>725</v>
      </c>
      <c r="V862" s="451">
        <v>739</v>
      </c>
      <c r="W862" s="451">
        <v>755</v>
      </c>
      <c r="X862" s="451">
        <v>770</v>
      </c>
      <c r="Y862" s="451">
        <v>787</v>
      </c>
      <c r="Z862" s="451">
        <v>801</v>
      </c>
      <c r="AA862" s="451">
        <v>807</v>
      </c>
      <c r="AB862" s="451">
        <v>813</v>
      </c>
      <c r="AC862" s="451">
        <v>822</v>
      </c>
      <c r="AD862" s="451">
        <v>827</v>
      </c>
      <c r="AE862" s="451">
        <v>836</v>
      </c>
      <c r="AF862" s="451">
        <v>845</v>
      </c>
      <c r="AG862" s="451">
        <v>853</v>
      </c>
      <c r="AH862" s="451">
        <v>862</v>
      </c>
      <c r="AI862" s="212"/>
    </row>
    <row r="863" spans="1:35">
      <c r="A863" s="453" t="s">
        <v>593</v>
      </c>
      <c r="B863" s="451">
        <v>230</v>
      </c>
      <c r="C863" s="451">
        <v>261</v>
      </c>
      <c r="D863" s="451">
        <v>289</v>
      </c>
      <c r="E863" s="451">
        <v>321</v>
      </c>
      <c r="F863" s="451">
        <v>350</v>
      </c>
      <c r="G863" s="451">
        <v>394</v>
      </c>
      <c r="H863" s="451">
        <v>439</v>
      </c>
      <c r="I863" s="451">
        <v>481</v>
      </c>
      <c r="J863" s="451">
        <v>526</v>
      </c>
      <c r="K863" s="451">
        <v>568</v>
      </c>
      <c r="L863" s="451">
        <v>609</v>
      </c>
      <c r="M863" s="451">
        <v>645</v>
      </c>
      <c r="N863" s="451">
        <v>682</v>
      </c>
      <c r="O863" s="451">
        <v>722</v>
      </c>
      <c r="P863" s="451">
        <v>758</v>
      </c>
      <c r="Q863" s="451">
        <v>776</v>
      </c>
      <c r="R863" s="451">
        <v>791</v>
      </c>
      <c r="S863" s="451">
        <v>806</v>
      </c>
      <c r="T863" s="451">
        <v>822</v>
      </c>
      <c r="U863" s="451">
        <v>838</v>
      </c>
      <c r="V863" s="451">
        <v>855</v>
      </c>
      <c r="W863" s="451">
        <v>874</v>
      </c>
      <c r="X863" s="451">
        <v>893</v>
      </c>
      <c r="Y863" s="451">
        <v>910</v>
      </c>
      <c r="Z863" s="451">
        <v>929</v>
      </c>
      <c r="AA863" s="451">
        <v>937</v>
      </c>
      <c r="AB863" s="451">
        <v>945</v>
      </c>
      <c r="AC863" s="451">
        <v>953</v>
      </c>
      <c r="AD863" s="451">
        <v>960</v>
      </c>
      <c r="AE863" s="451">
        <v>965</v>
      </c>
      <c r="AF863" s="451">
        <v>979</v>
      </c>
      <c r="AG863" s="451">
        <v>989</v>
      </c>
      <c r="AH863" s="451">
        <v>998</v>
      </c>
      <c r="AI863" s="212"/>
    </row>
    <row r="864" spans="1:35">
      <c r="A864" s="453" t="s">
        <v>596</v>
      </c>
      <c r="B864" s="451">
        <v>109</v>
      </c>
      <c r="C864" s="451">
        <v>123</v>
      </c>
      <c r="D864" s="451">
        <v>138</v>
      </c>
      <c r="E864" s="451">
        <v>152</v>
      </c>
      <c r="F864" s="451">
        <v>165</v>
      </c>
      <c r="G864" s="451">
        <v>187</v>
      </c>
      <c r="H864" s="451">
        <v>208</v>
      </c>
      <c r="I864" s="451">
        <v>226</v>
      </c>
      <c r="J864" s="451">
        <v>250</v>
      </c>
      <c r="K864" s="451">
        <v>270</v>
      </c>
      <c r="L864" s="451">
        <v>286</v>
      </c>
      <c r="M864" s="451">
        <v>305</v>
      </c>
      <c r="N864" s="451">
        <v>324</v>
      </c>
      <c r="O864" s="451">
        <v>340</v>
      </c>
      <c r="P864" s="451">
        <v>359</v>
      </c>
      <c r="Q864" s="451">
        <v>365</v>
      </c>
      <c r="R864" s="451">
        <v>376</v>
      </c>
      <c r="S864" s="451">
        <v>381</v>
      </c>
      <c r="T864" s="451">
        <v>390</v>
      </c>
      <c r="U864" s="451">
        <v>396</v>
      </c>
      <c r="V864" s="451">
        <v>407</v>
      </c>
      <c r="W864" s="451">
        <v>413</v>
      </c>
      <c r="X864" s="451">
        <v>422</v>
      </c>
      <c r="Y864" s="451">
        <v>430</v>
      </c>
      <c r="Z864" s="451">
        <v>440</v>
      </c>
      <c r="AA864" s="451">
        <v>443</v>
      </c>
      <c r="AB864" s="451">
        <v>445</v>
      </c>
      <c r="AC864" s="451">
        <v>451</v>
      </c>
      <c r="AD864" s="451">
        <v>455</v>
      </c>
      <c r="AE864" s="451">
        <v>459</v>
      </c>
      <c r="AF864" s="451">
        <v>462</v>
      </c>
      <c r="AG864" s="451">
        <v>468</v>
      </c>
      <c r="AH864" s="451">
        <v>472</v>
      </c>
      <c r="AI864" s="212"/>
    </row>
    <row r="865" spans="1:35">
      <c r="A865" s="453" t="s">
        <v>601</v>
      </c>
      <c r="B865" s="451">
        <v>153</v>
      </c>
      <c r="C865" s="451">
        <v>173</v>
      </c>
      <c r="D865" s="451">
        <v>193</v>
      </c>
      <c r="E865" s="451">
        <v>211</v>
      </c>
      <c r="F865" s="451">
        <v>232</v>
      </c>
      <c r="G865" s="451">
        <v>261</v>
      </c>
      <c r="H865" s="451">
        <v>289</v>
      </c>
      <c r="I865" s="451">
        <v>320</v>
      </c>
      <c r="J865" s="451">
        <v>348</v>
      </c>
      <c r="K865" s="451">
        <v>378</v>
      </c>
      <c r="L865" s="451">
        <v>402</v>
      </c>
      <c r="M865" s="451">
        <v>426</v>
      </c>
      <c r="N865" s="451">
        <v>452</v>
      </c>
      <c r="O865" s="451">
        <v>476</v>
      </c>
      <c r="P865" s="451">
        <v>502</v>
      </c>
      <c r="Q865" s="451">
        <v>514</v>
      </c>
      <c r="R865" s="451">
        <v>523</v>
      </c>
      <c r="S865" s="451">
        <v>533</v>
      </c>
      <c r="T865" s="451">
        <v>543</v>
      </c>
      <c r="U865" s="451">
        <v>554</v>
      </c>
      <c r="V865" s="451">
        <v>566</v>
      </c>
      <c r="W865" s="451">
        <v>580</v>
      </c>
      <c r="X865" s="451">
        <v>589</v>
      </c>
      <c r="Y865" s="451">
        <v>602</v>
      </c>
      <c r="Z865" s="451">
        <v>614</v>
      </c>
      <c r="AA865" s="451">
        <v>619</v>
      </c>
      <c r="AB865" s="451">
        <v>624</v>
      </c>
      <c r="AC865" s="451">
        <v>630</v>
      </c>
      <c r="AD865" s="451">
        <v>635</v>
      </c>
      <c r="AE865" s="451">
        <v>641</v>
      </c>
      <c r="AF865" s="451">
        <v>646</v>
      </c>
      <c r="AG865" s="451">
        <v>652</v>
      </c>
      <c r="AH865" s="451">
        <v>661</v>
      </c>
      <c r="AI865" s="212"/>
    </row>
    <row r="866" spans="1:35">
      <c r="A866" s="453" t="s">
        <v>602</v>
      </c>
      <c r="B866" s="451">
        <v>153</v>
      </c>
      <c r="C866" s="451">
        <v>173</v>
      </c>
      <c r="D866" s="451">
        <v>193</v>
      </c>
      <c r="E866" s="451">
        <v>211</v>
      </c>
      <c r="F866" s="451">
        <v>232</v>
      </c>
      <c r="G866" s="451">
        <v>262</v>
      </c>
      <c r="H866" s="451">
        <v>289</v>
      </c>
      <c r="I866" s="451">
        <v>320</v>
      </c>
      <c r="J866" s="451">
        <v>348</v>
      </c>
      <c r="K866" s="451">
        <v>378</v>
      </c>
      <c r="L866" s="451">
        <v>402</v>
      </c>
      <c r="M866" s="451">
        <v>426</v>
      </c>
      <c r="N866" s="451">
        <v>453</v>
      </c>
      <c r="O866" s="451">
        <v>476</v>
      </c>
      <c r="P866" s="451">
        <v>502</v>
      </c>
      <c r="Q866" s="451">
        <v>514</v>
      </c>
      <c r="R866" s="451">
        <v>524</v>
      </c>
      <c r="S866" s="451">
        <v>533</v>
      </c>
      <c r="T866" s="451">
        <v>543</v>
      </c>
      <c r="U866" s="451">
        <v>554</v>
      </c>
      <c r="V866" s="451">
        <v>566</v>
      </c>
      <c r="W866" s="451">
        <v>580</v>
      </c>
      <c r="X866" s="451">
        <v>590</v>
      </c>
      <c r="Y866" s="451">
        <v>602</v>
      </c>
      <c r="Z866" s="451">
        <v>614</v>
      </c>
      <c r="AA866" s="451">
        <v>619</v>
      </c>
      <c r="AB866" s="451">
        <v>624</v>
      </c>
      <c r="AC866" s="451">
        <v>630</v>
      </c>
      <c r="AD866" s="451">
        <v>635</v>
      </c>
      <c r="AE866" s="451">
        <v>641</v>
      </c>
      <c r="AF866" s="451">
        <v>648</v>
      </c>
      <c r="AG866" s="451">
        <v>653</v>
      </c>
      <c r="AH866" s="451">
        <v>663</v>
      </c>
      <c r="AI866" s="212"/>
    </row>
    <row r="867" spans="1:35">
      <c r="A867" s="453" t="s">
        <v>603</v>
      </c>
      <c r="B867" s="451">
        <v>158</v>
      </c>
      <c r="C867" s="451">
        <v>179</v>
      </c>
      <c r="D867" s="451">
        <v>200</v>
      </c>
      <c r="E867" s="451">
        <v>220</v>
      </c>
      <c r="F867" s="451">
        <v>242</v>
      </c>
      <c r="G867" s="451">
        <v>271</v>
      </c>
      <c r="H867" s="451">
        <v>302</v>
      </c>
      <c r="I867" s="451">
        <v>331</v>
      </c>
      <c r="J867" s="451">
        <v>362</v>
      </c>
      <c r="K867" s="451">
        <v>392</v>
      </c>
      <c r="L867" s="451">
        <v>419</v>
      </c>
      <c r="M867" s="451">
        <v>444</v>
      </c>
      <c r="N867" s="451">
        <v>470</v>
      </c>
      <c r="O867" s="451">
        <v>496</v>
      </c>
      <c r="P867" s="451">
        <v>523</v>
      </c>
      <c r="Q867" s="451">
        <v>533</v>
      </c>
      <c r="R867" s="451">
        <v>546</v>
      </c>
      <c r="S867" s="451">
        <v>556</v>
      </c>
      <c r="T867" s="451">
        <v>566</v>
      </c>
      <c r="U867" s="451">
        <v>579</v>
      </c>
      <c r="V867" s="451">
        <v>589</v>
      </c>
      <c r="W867" s="451">
        <v>602</v>
      </c>
      <c r="X867" s="451">
        <v>615</v>
      </c>
      <c r="Y867" s="451">
        <v>627</v>
      </c>
      <c r="Z867" s="451">
        <v>640</v>
      </c>
      <c r="AA867" s="451">
        <v>645</v>
      </c>
      <c r="AB867" s="451">
        <v>650</v>
      </c>
      <c r="AC867" s="451">
        <v>654</v>
      </c>
      <c r="AD867" s="451">
        <v>663</v>
      </c>
      <c r="AE867" s="451">
        <v>667</v>
      </c>
      <c r="AF867" s="451">
        <v>673</v>
      </c>
      <c r="AG867" s="451">
        <v>681</v>
      </c>
      <c r="AH867" s="451">
        <v>688</v>
      </c>
      <c r="AI867" s="212"/>
    </row>
    <row r="868" spans="1:35">
      <c r="A868" s="453" t="s">
        <v>604</v>
      </c>
      <c r="B868" s="451">
        <v>158</v>
      </c>
      <c r="C868" s="451">
        <v>179</v>
      </c>
      <c r="D868" s="451">
        <v>200</v>
      </c>
      <c r="E868" s="451">
        <v>220</v>
      </c>
      <c r="F868" s="451">
        <v>242</v>
      </c>
      <c r="G868" s="451">
        <v>271</v>
      </c>
      <c r="H868" s="451">
        <v>302</v>
      </c>
      <c r="I868" s="451">
        <v>331</v>
      </c>
      <c r="J868" s="451">
        <v>362</v>
      </c>
      <c r="K868" s="451">
        <v>392</v>
      </c>
      <c r="L868" s="451">
        <v>419</v>
      </c>
      <c r="M868" s="451">
        <v>444</v>
      </c>
      <c r="N868" s="451">
        <v>470</v>
      </c>
      <c r="O868" s="451">
        <v>496</v>
      </c>
      <c r="P868" s="451">
        <v>523</v>
      </c>
      <c r="Q868" s="451">
        <v>533</v>
      </c>
      <c r="R868" s="451">
        <v>546</v>
      </c>
      <c r="S868" s="451">
        <v>556</v>
      </c>
      <c r="T868" s="451">
        <v>566</v>
      </c>
      <c r="U868" s="451">
        <v>579</v>
      </c>
      <c r="V868" s="451">
        <v>589</v>
      </c>
      <c r="W868" s="451">
        <v>602</v>
      </c>
      <c r="X868" s="451">
        <v>615</v>
      </c>
      <c r="Y868" s="451">
        <v>627</v>
      </c>
      <c r="Z868" s="451">
        <v>640</v>
      </c>
      <c r="AA868" s="451">
        <v>645</v>
      </c>
      <c r="AB868" s="451">
        <v>650</v>
      </c>
      <c r="AC868" s="451">
        <v>654</v>
      </c>
      <c r="AD868" s="451">
        <v>663</v>
      </c>
      <c r="AE868" s="451">
        <v>667</v>
      </c>
      <c r="AF868" s="451">
        <v>673</v>
      </c>
      <c r="AG868" s="451">
        <v>681</v>
      </c>
      <c r="AH868" s="451">
        <v>688</v>
      </c>
      <c r="AI868" s="212"/>
    </row>
    <row r="869" spans="1:35">
      <c r="A869" s="453" t="s">
        <v>606</v>
      </c>
      <c r="B869" s="451">
        <v>173</v>
      </c>
      <c r="C869" s="451">
        <v>195</v>
      </c>
      <c r="D869" s="451">
        <v>218</v>
      </c>
      <c r="E869" s="451">
        <v>241</v>
      </c>
      <c r="F869" s="451">
        <v>263</v>
      </c>
      <c r="G869" s="451">
        <v>295</v>
      </c>
      <c r="H869" s="451">
        <v>329</v>
      </c>
      <c r="I869" s="451">
        <v>361</v>
      </c>
      <c r="J869" s="451">
        <v>394</v>
      </c>
      <c r="K869" s="451">
        <v>426</v>
      </c>
      <c r="L869" s="451">
        <v>456</v>
      </c>
      <c r="M869" s="451">
        <v>483</v>
      </c>
      <c r="N869" s="451">
        <v>512</v>
      </c>
      <c r="O869" s="451">
        <v>539</v>
      </c>
      <c r="P869" s="451">
        <v>568</v>
      </c>
      <c r="Q869" s="451">
        <v>582</v>
      </c>
      <c r="R869" s="451">
        <v>593</v>
      </c>
      <c r="S869" s="451">
        <v>604</v>
      </c>
      <c r="T869" s="451">
        <v>617</v>
      </c>
      <c r="U869" s="451">
        <v>628</v>
      </c>
      <c r="V869" s="451">
        <v>643</v>
      </c>
      <c r="W869" s="451">
        <v>654</v>
      </c>
      <c r="X869" s="451">
        <v>669</v>
      </c>
      <c r="Y869" s="451">
        <v>682</v>
      </c>
      <c r="Z869" s="451">
        <v>696</v>
      </c>
      <c r="AA869" s="451">
        <v>700</v>
      </c>
      <c r="AB869" s="451">
        <v>708</v>
      </c>
      <c r="AC869" s="451">
        <v>714</v>
      </c>
      <c r="AD869" s="451">
        <v>721</v>
      </c>
      <c r="AE869" s="451">
        <v>726</v>
      </c>
      <c r="AF869" s="451">
        <v>733</v>
      </c>
      <c r="AG869" s="451">
        <v>740</v>
      </c>
      <c r="AH869" s="451">
        <v>748</v>
      </c>
      <c r="AI869" s="212"/>
    </row>
    <row r="870" spans="1:35">
      <c r="A870" s="453" t="s">
        <v>617</v>
      </c>
      <c r="B870" s="451">
        <v>176</v>
      </c>
      <c r="C870" s="451">
        <v>199</v>
      </c>
      <c r="D870" s="451">
        <v>220</v>
      </c>
      <c r="E870" s="451">
        <v>245</v>
      </c>
      <c r="F870" s="451">
        <v>268</v>
      </c>
      <c r="G870" s="451">
        <v>299</v>
      </c>
      <c r="H870" s="451">
        <v>332</v>
      </c>
      <c r="I870" s="451">
        <v>365</v>
      </c>
      <c r="J870" s="451">
        <v>399</v>
      </c>
      <c r="K870" s="451">
        <v>432</v>
      </c>
      <c r="L870" s="451">
        <v>462</v>
      </c>
      <c r="M870" s="451">
        <v>490</v>
      </c>
      <c r="N870" s="451">
        <v>520</v>
      </c>
      <c r="O870" s="451">
        <v>548</v>
      </c>
      <c r="P870" s="451">
        <v>579</v>
      </c>
      <c r="Q870" s="451">
        <v>589</v>
      </c>
      <c r="R870" s="451">
        <v>602</v>
      </c>
      <c r="S870" s="451">
        <v>614</v>
      </c>
      <c r="T870" s="451">
        <v>626</v>
      </c>
      <c r="U870" s="451">
        <v>637</v>
      </c>
      <c r="V870" s="451">
        <v>651</v>
      </c>
      <c r="W870" s="451">
        <v>666</v>
      </c>
      <c r="X870" s="451">
        <v>679</v>
      </c>
      <c r="Y870" s="451">
        <v>691</v>
      </c>
      <c r="Z870" s="451">
        <v>704</v>
      </c>
      <c r="AA870" s="451">
        <v>713</v>
      </c>
      <c r="AB870" s="451">
        <v>719</v>
      </c>
      <c r="AC870" s="451">
        <v>725</v>
      </c>
      <c r="AD870" s="451">
        <v>730</v>
      </c>
      <c r="AE870" s="451">
        <v>736</v>
      </c>
      <c r="AF870" s="451">
        <v>744</v>
      </c>
      <c r="AG870" s="451">
        <v>751</v>
      </c>
      <c r="AH870" s="451">
        <v>758</v>
      </c>
    </row>
    <row r="871" spans="1:35">
      <c r="A871" s="259"/>
      <c r="B871" s="259"/>
      <c r="AD871" s="259"/>
      <c r="AE871" s="259"/>
      <c r="AF871" s="259"/>
      <c r="AG871" s="259"/>
      <c r="AH871" s="259"/>
    </row>
    <row r="872" spans="1:35" ht="19.5">
      <c r="A872" s="456"/>
      <c r="B872" s="842" t="s">
        <v>772</v>
      </c>
      <c r="C872" s="842"/>
      <c r="D872" s="842"/>
      <c r="E872" s="842"/>
      <c r="F872" s="842"/>
      <c r="G872" s="842"/>
      <c r="H872" s="842"/>
      <c r="I872" s="842"/>
      <c r="J872" s="842"/>
      <c r="K872" s="842"/>
      <c r="L872" s="842"/>
      <c r="M872" s="842"/>
      <c r="N872" s="842"/>
      <c r="O872" s="842"/>
      <c r="P872" s="842"/>
      <c r="Q872" s="842"/>
      <c r="R872" s="842"/>
      <c r="S872" s="842"/>
      <c r="T872" s="842"/>
      <c r="U872" s="842"/>
    </row>
    <row r="873" spans="1:35" ht="16.5" thickBot="1">
      <c r="A873" s="456" t="s">
        <v>805</v>
      </c>
      <c r="B873" s="458"/>
      <c r="C873" s="458"/>
      <c r="D873" s="458"/>
      <c r="E873" s="458"/>
      <c r="F873" s="458"/>
      <c r="G873" s="458"/>
      <c r="H873" s="458"/>
      <c r="I873" s="458"/>
      <c r="J873" s="458"/>
      <c r="K873" s="458"/>
      <c r="L873" s="458"/>
      <c r="M873" s="458"/>
      <c r="N873" s="458"/>
      <c r="O873" s="458"/>
      <c r="P873" s="458"/>
      <c r="Q873" s="458"/>
      <c r="R873" s="458"/>
      <c r="S873" s="458"/>
      <c r="T873" s="458"/>
      <c r="U873" s="458"/>
    </row>
    <row r="874" spans="1:35" ht="45.75" thickBot="1">
      <c r="A874" s="469" t="s">
        <v>767</v>
      </c>
      <c r="B874" s="479" t="s">
        <v>773</v>
      </c>
      <c r="C874" s="480" t="s">
        <v>774</v>
      </c>
      <c r="D874" s="480" t="s">
        <v>775</v>
      </c>
      <c r="E874" s="480">
        <v>1.5</v>
      </c>
      <c r="F874" s="481">
        <v>2</v>
      </c>
      <c r="G874" s="481">
        <v>2.5</v>
      </c>
      <c r="H874" s="481">
        <v>3</v>
      </c>
      <c r="I874" s="481">
        <v>3.5</v>
      </c>
      <c r="J874" s="481">
        <v>4</v>
      </c>
      <c r="K874" s="481">
        <v>4.5</v>
      </c>
      <c r="L874" s="481">
        <v>5</v>
      </c>
      <c r="M874" s="481">
        <v>5.5</v>
      </c>
      <c r="N874" s="481">
        <v>6</v>
      </c>
      <c r="O874" s="481">
        <v>7</v>
      </c>
      <c r="P874" s="481">
        <v>8</v>
      </c>
      <c r="Q874" s="481">
        <v>9</v>
      </c>
      <c r="R874" s="481">
        <v>10</v>
      </c>
      <c r="S874" s="481">
        <v>11</v>
      </c>
      <c r="T874" s="481">
        <v>12</v>
      </c>
      <c r="U874" s="482" t="s">
        <v>776</v>
      </c>
    </row>
    <row r="875" spans="1:35">
      <c r="A875" s="471" t="s">
        <v>777</v>
      </c>
      <c r="B875" s="483">
        <v>66</v>
      </c>
      <c r="C875" s="483">
        <v>80</v>
      </c>
      <c r="D875" s="483">
        <v>98</v>
      </c>
      <c r="E875" s="483">
        <v>133</v>
      </c>
      <c r="F875" s="483">
        <v>154</v>
      </c>
      <c r="G875" s="483">
        <v>170</v>
      </c>
      <c r="H875" s="483">
        <v>183</v>
      </c>
      <c r="I875" s="483">
        <v>199</v>
      </c>
      <c r="J875" s="483">
        <v>209</v>
      </c>
      <c r="K875" s="483">
        <v>220</v>
      </c>
      <c r="L875" s="483">
        <v>227</v>
      </c>
      <c r="M875" s="483">
        <v>239</v>
      </c>
      <c r="N875" s="483">
        <v>243</v>
      </c>
      <c r="O875" s="483">
        <v>263</v>
      </c>
      <c r="P875" s="483">
        <v>277</v>
      </c>
      <c r="Q875" s="483">
        <v>293</v>
      </c>
      <c r="R875" s="483">
        <v>301</v>
      </c>
      <c r="S875" s="483">
        <v>340</v>
      </c>
      <c r="T875" s="483">
        <v>360</v>
      </c>
      <c r="U875" s="483">
        <v>367</v>
      </c>
    </row>
    <row r="876" spans="1:35">
      <c r="A876" s="472" t="s">
        <v>778</v>
      </c>
      <c r="B876" s="483">
        <v>120</v>
      </c>
      <c r="C876" s="483">
        <v>151</v>
      </c>
      <c r="D876" s="483">
        <v>188</v>
      </c>
      <c r="E876" s="483">
        <v>224</v>
      </c>
      <c r="F876" s="483">
        <v>247</v>
      </c>
      <c r="G876" s="483">
        <v>272</v>
      </c>
      <c r="H876" s="483">
        <v>291</v>
      </c>
      <c r="I876" s="483">
        <v>322</v>
      </c>
      <c r="J876" s="483">
        <v>345</v>
      </c>
      <c r="K876" s="483">
        <v>375</v>
      </c>
      <c r="L876" s="483">
        <v>383</v>
      </c>
      <c r="M876" s="483">
        <v>399</v>
      </c>
      <c r="N876" s="483">
        <v>410</v>
      </c>
      <c r="O876" s="483">
        <v>473</v>
      </c>
      <c r="P876" s="483">
        <v>493</v>
      </c>
      <c r="Q876" s="483">
        <v>520</v>
      </c>
      <c r="R876" s="483">
        <v>531</v>
      </c>
      <c r="S876" s="483">
        <v>597</v>
      </c>
      <c r="T876" s="483">
        <v>634</v>
      </c>
      <c r="U876" s="483">
        <v>649</v>
      </c>
    </row>
    <row r="877" spans="1:35">
      <c r="A877" s="472" t="s">
        <v>779</v>
      </c>
      <c r="B877" s="483">
        <v>91</v>
      </c>
      <c r="C877" s="483">
        <v>112</v>
      </c>
      <c r="D877" s="483">
        <v>136</v>
      </c>
      <c r="E877" s="483">
        <v>158</v>
      </c>
      <c r="F877" s="483">
        <v>169</v>
      </c>
      <c r="G877" s="483">
        <v>189</v>
      </c>
      <c r="H877" s="483">
        <v>199</v>
      </c>
      <c r="I877" s="483">
        <v>215</v>
      </c>
      <c r="J877" s="483">
        <v>226</v>
      </c>
      <c r="K877" s="483">
        <v>241</v>
      </c>
      <c r="L877" s="483">
        <v>250</v>
      </c>
      <c r="M877" s="483">
        <v>256</v>
      </c>
      <c r="N877" s="483">
        <v>263</v>
      </c>
      <c r="O877" s="483">
        <v>285</v>
      </c>
      <c r="P877" s="483">
        <v>299</v>
      </c>
      <c r="Q877" s="483">
        <v>316</v>
      </c>
      <c r="R877" s="483">
        <v>328</v>
      </c>
      <c r="S877" s="483">
        <v>367</v>
      </c>
      <c r="T877" s="483">
        <v>391</v>
      </c>
      <c r="U877" s="483">
        <v>399</v>
      </c>
    </row>
    <row r="878" spans="1:35">
      <c r="A878" s="472" t="s">
        <v>780</v>
      </c>
      <c r="B878" s="483">
        <v>93</v>
      </c>
      <c r="C878" s="483">
        <v>117</v>
      </c>
      <c r="D878" s="483">
        <v>140</v>
      </c>
      <c r="E878" s="483">
        <v>170</v>
      </c>
      <c r="F878" s="483">
        <v>181</v>
      </c>
      <c r="G878" s="483">
        <v>203</v>
      </c>
      <c r="H878" s="483">
        <v>211</v>
      </c>
      <c r="I878" s="483">
        <v>230</v>
      </c>
      <c r="J878" s="483">
        <v>245</v>
      </c>
      <c r="K878" s="483">
        <v>257</v>
      </c>
      <c r="L878" s="483">
        <v>268</v>
      </c>
      <c r="M878" s="483">
        <v>274</v>
      </c>
      <c r="N878" s="483">
        <v>282</v>
      </c>
      <c r="O878" s="483">
        <v>306</v>
      </c>
      <c r="P878" s="483">
        <v>324</v>
      </c>
      <c r="Q878" s="483">
        <v>338</v>
      </c>
      <c r="R878" s="483">
        <v>350</v>
      </c>
      <c r="S878" s="483">
        <v>397</v>
      </c>
      <c r="T878" s="483">
        <v>421</v>
      </c>
      <c r="U878" s="483">
        <v>430</v>
      </c>
    </row>
    <row r="879" spans="1:35">
      <c r="A879" s="472" t="s">
        <v>781</v>
      </c>
      <c r="B879" s="483">
        <v>155</v>
      </c>
      <c r="C879" s="483">
        <v>200</v>
      </c>
      <c r="D879" s="483">
        <v>253</v>
      </c>
      <c r="E879" s="483">
        <v>297</v>
      </c>
      <c r="F879" s="483">
        <v>329</v>
      </c>
      <c r="G879" s="483">
        <v>362</v>
      </c>
      <c r="H879" s="483">
        <v>390</v>
      </c>
      <c r="I879" s="483">
        <v>426</v>
      </c>
      <c r="J879" s="483">
        <v>459</v>
      </c>
      <c r="K879" s="483">
        <v>490</v>
      </c>
      <c r="L879" s="483">
        <v>511</v>
      </c>
      <c r="M879" s="483">
        <v>532</v>
      </c>
      <c r="N879" s="483">
        <v>543</v>
      </c>
      <c r="O879" s="483">
        <v>630</v>
      </c>
      <c r="P879" s="483">
        <v>656</v>
      </c>
      <c r="Q879" s="483">
        <v>689</v>
      </c>
      <c r="R879" s="483">
        <v>708</v>
      </c>
      <c r="S879" s="483">
        <v>794</v>
      </c>
      <c r="T879" s="483">
        <v>846</v>
      </c>
      <c r="U879" s="483">
        <v>863</v>
      </c>
    </row>
    <row r="880" spans="1:35">
      <c r="A880" s="473" t="s">
        <v>782</v>
      </c>
      <c r="B880" s="483">
        <v>293</v>
      </c>
      <c r="C880" s="483">
        <v>329</v>
      </c>
      <c r="D880" s="483">
        <v>378</v>
      </c>
      <c r="E880" s="483">
        <v>526</v>
      </c>
      <c r="F880" s="483">
        <v>624</v>
      </c>
      <c r="G880" s="483">
        <v>683</v>
      </c>
      <c r="H880" s="483">
        <v>735</v>
      </c>
      <c r="I880" s="483">
        <v>791</v>
      </c>
      <c r="J880" s="483">
        <v>839</v>
      </c>
      <c r="K880" s="483">
        <v>889</v>
      </c>
      <c r="L880" s="483">
        <v>925</v>
      </c>
      <c r="M880" s="483">
        <v>954</v>
      </c>
      <c r="N880" s="483">
        <v>979</v>
      </c>
      <c r="O880" s="483">
        <v>1057</v>
      </c>
      <c r="P880" s="483">
        <v>1119</v>
      </c>
      <c r="Q880" s="483">
        <v>1174</v>
      </c>
      <c r="R880" s="483">
        <v>1212</v>
      </c>
      <c r="S880" s="483">
        <v>1371</v>
      </c>
      <c r="T880" s="483">
        <v>1453</v>
      </c>
      <c r="U880" s="483">
        <v>1485</v>
      </c>
    </row>
    <row r="881" spans="1:21">
      <c r="A881" s="472" t="s">
        <v>783</v>
      </c>
      <c r="B881" s="483">
        <v>93</v>
      </c>
      <c r="C881" s="483">
        <v>124</v>
      </c>
      <c r="D881" s="483">
        <v>151</v>
      </c>
      <c r="E881" s="483">
        <v>196</v>
      </c>
      <c r="F881" s="483">
        <v>208</v>
      </c>
      <c r="G881" s="483">
        <v>230</v>
      </c>
      <c r="H881" s="483">
        <v>245</v>
      </c>
      <c r="I881" s="483">
        <v>266</v>
      </c>
      <c r="J881" s="483">
        <v>278</v>
      </c>
      <c r="K881" s="483">
        <v>297</v>
      </c>
      <c r="L881" s="483">
        <v>308</v>
      </c>
      <c r="M881" s="483">
        <v>322</v>
      </c>
      <c r="N881" s="483">
        <v>326</v>
      </c>
      <c r="O881" s="483">
        <v>353</v>
      </c>
      <c r="P881" s="483">
        <v>375</v>
      </c>
      <c r="Q881" s="483">
        <v>391</v>
      </c>
      <c r="R881" s="483">
        <v>406</v>
      </c>
      <c r="S881" s="483">
        <v>457</v>
      </c>
      <c r="T881" s="483">
        <v>483</v>
      </c>
      <c r="U881" s="483">
        <v>494</v>
      </c>
    </row>
    <row r="882" spans="1:21">
      <c r="A882" s="472" t="s">
        <v>784</v>
      </c>
      <c r="B882" s="483">
        <v>137</v>
      </c>
      <c r="C882" s="483">
        <v>169</v>
      </c>
      <c r="D882" s="483">
        <v>202</v>
      </c>
      <c r="E882" s="483">
        <v>253</v>
      </c>
      <c r="F882" s="483">
        <v>277</v>
      </c>
      <c r="G882" s="483">
        <v>308</v>
      </c>
      <c r="H882" s="483">
        <v>328</v>
      </c>
      <c r="I882" s="483">
        <v>353</v>
      </c>
      <c r="J882" s="483">
        <v>376</v>
      </c>
      <c r="K882" s="483">
        <v>399</v>
      </c>
      <c r="L882" s="483">
        <v>412</v>
      </c>
      <c r="M882" s="483">
        <v>424</v>
      </c>
      <c r="N882" s="483">
        <v>436</v>
      </c>
      <c r="O882" s="483">
        <v>472</v>
      </c>
      <c r="P882" s="483">
        <v>498</v>
      </c>
      <c r="Q882" s="483">
        <v>524</v>
      </c>
      <c r="R882" s="483">
        <v>538</v>
      </c>
      <c r="S882" s="483">
        <v>613</v>
      </c>
      <c r="T882" s="483">
        <v>648</v>
      </c>
      <c r="U882" s="483">
        <v>663</v>
      </c>
    </row>
    <row r="883" spans="1:21">
      <c r="A883" s="472" t="s">
        <v>785</v>
      </c>
      <c r="B883" s="483">
        <v>137</v>
      </c>
      <c r="C883" s="483">
        <v>169</v>
      </c>
      <c r="D883" s="483">
        <v>202</v>
      </c>
      <c r="E883" s="483">
        <v>253</v>
      </c>
      <c r="F883" s="483">
        <v>277</v>
      </c>
      <c r="G883" s="483">
        <v>308</v>
      </c>
      <c r="H883" s="483">
        <v>328</v>
      </c>
      <c r="I883" s="483">
        <v>353</v>
      </c>
      <c r="J883" s="483">
        <v>376</v>
      </c>
      <c r="K883" s="483">
        <v>399</v>
      </c>
      <c r="L883" s="483">
        <v>412</v>
      </c>
      <c r="M883" s="483">
        <v>424</v>
      </c>
      <c r="N883" s="483">
        <v>436</v>
      </c>
      <c r="O883" s="483">
        <v>472</v>
      </c>
      <c r="P883" s="483">
        <v>498</v>
      </c>
      <c r="Q883" s="483">
        <v>524</v>
      </c>
      <c r="R883" s="483">
        <v>538</v>
      </c>
      <c r="S883" s="483">
        <v>613</v>
      </c>
      <c r="T883" s="483">
        <v>648</v>
      </c>
      <c r="U883" s="483">
        <v>663</v>
      </c>
    </row>
    <row r="884" spans="1:21">
      <c r="A884" s="474" t="s">
        <v>786</v>
      </c>
      <c r="B884" s="483">
        <v>137</v>
      </c>
      <c r="C884" s="483">
        <v>169</v>
      </c>
      <c r="D884" s="483">
        <v>202</v>
      </c>
      <c r="E884" s="483">
        <v>253</v>
      </c>
      <c r="F884" s="483">
        <v>277</v>
      </c>
      <c r="G884" s="483">
        <v>308</v>
      </c>
      <c r="H884" s="483">
        <v>328</v>
      </c>
      <c r="I884" s="483">
        <v>353</v>
      </c>
      <c r="J884" s="483">
        <v>376</v>
      </c>
      <c r="K884" s="483">
        <v>399</v>
      </c>
      <c r="L884" s="483">
        <v>412</v>
      </c>
      <c r="M884" s="483">
        <v>424</v>
      </c>
      <c r="N884" s="483">
        <v>436</v>
      </c>
      <c r="O884" s="483">
        <v>472</v>
      </c>
      <c r="P884" s="483">
        <v>498</v>
      </c>
      <c r="Q884" s="483">
        <v>524</v>
      </c>
      <c r="R884" s="483">
        <v>538</v>
      </c>
      <c r="S884" s="483">
        <v>613</v>
      </c>
      <c r="T884" s="483">
        <v>648</v>
      </c>
      <c r="U884" s="483">
        <v>663</v>
      </c>
    </row>
    <row r="885" spans="1:21">
      <c r="A885" s="472" t="s">
        <v>787</v>
      </c>
      <c r="B885" s="483">
        <v>137</v>
      </c>
      <c r="C885" s="483">
        <v>169</v>
      </c>
      <c r="D885" s="483">
        <v>202</v>
      </c>
      <c r="E885" s="483">
        <v>253</v>
      </c>
      <c r="F885" s="483">
        <v>277</v>
      </c>
      <c r="G885" s="483">
        <v>308</v>
      </c>
      <c r="H885" s="483">
        <v>328</v>
      </c>
      <c r="I885" s="483">
        <v>353</v>
      </c>
      <c r="J885" s="483">
        <v>376</v>
      </c>
      <c r="K885" s="483">
        <v>399</v>
      </c>
      <c r="L885" s="483">
        <v>412</v>
      </c>
      <c r="M885" s="483">
        <v>424</v>
      </c>
      <c r="N885" s="483">
        <v>436</v>
      </c>
      <c r="O885" s="483">
        <v>472</v>
      </c>
      <c r="P885" s="483">
        <v>498</v>
      </c>
      <c r="Q885" s="483">
        <v>524</v>
      </c>
      <c r="R885" s="483">
        <v>538</v>
      </c>
      <c r="S885" s="483">
        <v>613</v>
      </c>
      <c r="T885" s="483">
        <v>648</v>
      </c>
      <c r="U885" s="483">
        <v>663</v>
      </c>
    </row>
    <row r="886" spans="1:21">
      <c r="A886" s="475" t="s">
        <v>788</v>
      </c>
      <c r="B886" s="483">
        <v>108</v>
      </c>
      <c r="C886" s="483">
        <v>136</v>
      </c>
      <c r="D886" s="483">
        <v>157</v>
      </c>
      <c r="E886" s="483">
        <v>211</v>
      </c>
      <c r="F886" s="483">
        <v>246</v>
      </c>
      <c r="G886" s="483">
        <v>272</v>
      </c>
      <c r="H886" s="483">
        <v>289</v>
      </c>
      <c r="I886" s="483">
        <v>316</v>
      </c>
      <c r="J886" s="483">
        <v>330</v>
      </c>
      <c r="K886" s="483">
        <v>350</v>
      </c>
      <c r="L886" s="483">
        <v>363</v>
      </c>
      <c r="M886" s="483">
        <v>378</v>
      </c>
      <c r="N886" s="483">
        <v>384</v>
      </c>
      <c r="O886" s="483">
        <v>415</v>
      </c>
      <c r="P886" s="483">
        <v>441</v>
      </c>
      <c r="Q886" s="483">
        <v>463</v>
      </c>
      <c r="R886" s="483">
        <v>476</v>
      </c>
      <c r="S886" s="483">
        <v>538</v>
      </c>
      <c r="T886" s="483">
        <v>573</v>
      </c>
      <c r="U886" s="483">
        <v>585</v>
      </c>
    </row>
    <row r="887" spans="1:21">
      <c r="A887" s="475" t="s">
        <v>789</v>
      </c>
      <c r="B887" s="483">
        <v>95</v>
      </c>
      <c r="C887" s="483">
        <v>118</v>
      </c>
      <c r="D887" s="483">
        <v>142</v>
      </c>
      <c r="E887" s="483">
        <v>183</v>
      </c>
      <c r="F887" s="483">
        <v>193</v>
      </c>
      <c r="G887" s="483">
        <v>212</v>
      </c>
      <c r="H887" s="483">
        <v>225</v>
      </c>
      <c r="I887" s="483">
        <v>246</v>
      </c>
      <c r="J887" s="483">
        <v>259</v>
      </c>
      <c r="K887" s="483">
        <v>271</v>
      </c>
      <c r="L887" s="483">
        <v>285</v>
      </c>
      <c r="M887" s="483">
        <v>295</v>
      </c>
      <c r="N887" s="483">
        <v>302</v>
      </c>
      <c r="O887" s="483">
        <v>328</v>
      </c>
      <c r="P887" s="483">
        <v>346</v>
      </c>
      <c r="Q887" s="483">
        <v>362</v>
      </c>
      <c r="R887" s="483">
        <v>376</v>
      </c>
      <c r="S887" s="483">
        <v>424</v>
      </c>
      <c r="T887" s="483">
        <v>448</v>
      </c>
      <c r="U887" s="483">
        <v>460</v>
      </c>
    </row>
    <row r="888" spans="1:21">
      <c r="A888" s="475" t="s">
        <v>790</v>
      </c>
      <c r="B888" s="460">
        <v>71</v>
      </c>
      <c r="C888" s="462">
        <v>91</v>
      </c>
      <c r="D888" s="461">
        <v>116</v>
      </c>
      <c r="E888" s="461">
        <v>140</v>
      </c>
      <c r="F888" s="461">
        <v>149</v>
      </c>
      <c r="G888" s="461">
        <v>168</v>
      </c>
      <c r="H888" s="461">
        <v>178</v>
      </c>
      <c r="I888" s="461">
        <v>198</v>
      </c>
      <c r="J888" s="461">
        <v>209</v>
      </c>
      <c r="K888" s="461">
        <v>223</v>
      </c>
      <c r="L888" s="461">
        <v>233</v>
      </c>
      <c r="M888" s="461">
        <v>242</v>
      </c>
      <c r="N888" s="461">
        <v>249</v>
      </c>
      <c r="O888" s="461">
        <v>288</v>
      </c>
      <c r="P888" s="461">
        <v>300</v>
      </c>
      <c r="Q888" s="461">
        <v>315</v>
      </c>
      <c r="R888" s="461">
        <v>325</v>
      </c>
      <c r="S888" s="461">
        <v>362</v>
      </c>
      <c r="T888" s="461">
        <v>387</v>
      </c>
      <c r="U888" s="461">
        <v>395</v>
      </c>
    </row>
    <row r="889" spans="1:21">
      <c r="A889" s="475" t="s">
        <v>791</v>
      </c>
      <c r="B889" s="483">
        <v>160</v>
      </c>
      <c r="C889" s="483">
        <v>200</v>
      </c>
      <c r="D889" s="483">
        <v>245</v>
      </c>
      <c r="E889" s="483">
        <v>294</v>
      </c>
      <c r="F889" s="483">
        <v>329</v>
      </c>
      <c r="G889" s="483">
        <v>362</v>
      </c>
      <c r="H889" s="483">
        <v>386</v>
      </c>
      <c r="I889" s="483">
        <v>414</v>
      </c>
      <c r="J889" s="483">
        <v>443</v>
      </c>
      <c r="K889" s="483">
        <v>469</v>
      </c>
      <c r="L889" s="483">
        <v>485</v>
      </c>
      <c r="M889" s="483">
        <v>506</v>
      </c>
      <c r="N889" s="483">
        <v>517</v>
      </c>
      <c r="O889" s="483">
        <v>558</v>
      </c>
      <c r="P889" s="483">
        <v>589</v>
      </c>
      <c r="Q889" s="483">
        <v>619</v>
      </c>
      <c r="R889" s="483">
        <v>637</v>
      </c>
      <c r="S889" s="483">
        <v>724</v>
      </c>
      <c r="T889" s="483">
        <v>766</v>
      </c>
      <c r="U889" s="483">
        <v>783</v>
      </c>
    </row>
    <row r="890" spans="1:21">
      <c r="A890" s="472" t="s">
        <v>792</v>
      </c>
      <c r="B890" s="483">
        <v>85</v>
      </c>
      <c r="C890" s="483">
        <v>106</v>
      </c>
      <c r="D890" s="483">
        <v>127</v>
      </c>
      <c r="E890" s="483">
        <v>151</v>
      </c>
      <c r="F890" s="483">
        <v>158</v>
      </c>
      <c r="G890" s="483">
        <v>178</v>
      </c>
      <c r="H890" s="483">
        <v>188</v>
      </c>
      <c r="I890" s="483">
        <v>204</v>
      </c>
      <c r="J890" s="483">
        <v>215</v>
      </c>
      <c r="K890" s="483">
        <v>225</v>
      </c>
      <c r="L890" s="483">
        <v>237</v>
      </c>
      <c r="M890" s="483">
        <v>243</v>
      </c>
      <c r="N890" s="483">
        <v>250</v>
      </c>
      <c r="O890" s="483">
        <v>270</v>
      </c>
      <c r="P890" s="483">
        <v>284</v>
      </c>
      <c r="Q890" s="483">
        <v>299</v>
      </c>
      <c r="R890" s="483">
        <v>310</v>
      </c>
      <c r="S890" s="483">
        <v>350</v>
      </c>
      <c r="T890" s="483">
        <v>370</v>
      </c>
      <c r="U890" s="483">
        <v>379</v>
      </c>
    </row>
    <row r="891" spans="1:21">
      <c r="A891" s="472" t="s">
        <v>793</v>
      </c>
      <c r="B891" s="483">
        <v>125</v>
      </c>
      <c r="C891" s="483">
        <v>160</v>
      </c>
      <c r="D891" s="483">
        <v>204</v>
      </c>
      <c r="E891" s="483">
        <v>242</v>
      </c>
      <c r="F891" s="483">
        <v>266</v>
      </c>
      <c r="G891" s="483">
        <v>293</v>
      </c>
      <c r="H891" s="483">
        <v>314</v>
      </c>
      <c r="I891" s="483">
        <v>347</v>
      </c>
      <c r="J891" s="483">
        <v>370</v>
      </c>
      <c r="K891" s="483">
        <v>397</v>
      </c>
      <c r="L891" s="483">
        <v>413</v>
      </c>
      <c r="M891" s="483">
        <v>435</v>
      </c>
      <c r="N891" s="483">
        <v>442</v>
      </c>
      <c r="O891" s="483">
        <v>512</v>
      </c>
      <c r="P891" s="483">
        <v>531</v>
      </c>
      <c r="Q891" s="483">
        <v>559</v>
      </c>
      <c r="R891" s="483">
        <v>575</v>
      </c>
      <c r="S891" s="483">
        <v>644</v>
      </c>
      <c r="T891" s="483">
        <v>684</v>
      </c>
      <c r="U891" s="483">
        <v>699</v>
      </c>
    </row>
    <row r="892" spans="1:21">
      <c r="A892" s="476" t="s">
        <v>794</v>
      </c>
      <c r="B892" s="470">
        <v>158</v>
      </c>
      <c r="C892" s="470">
        <v>196</v>
      </c>
      <c r="D892" s="483">
        <v>242</v>
      </c>
      <c r="E892" s="483">
        <v>289</v>
      </c>
      <c r="F892" s="483">
        <v>324</v>
      </c>
      <c r="G892" s="483">
        <v>357</v>
      </c>
      <c r="H892" s="483">
        <v>381</v>
      </c>
      <c r="I892" s="483">
        <v>413</v>
      </c>
      <c r="J892" s="483">
        <v>436</v>
      </c>
      <c r="K892" s="483">
        <v>465</v>
      </c>
      <c r="L892" s="483">
        <v>478</v>
      </c>
      <c r="M892" s="483">
        <v>494</v>
      </c>
      <c r="N892" s="483">
        <v>509</v>
      </c>
      <c r="O892" s="483">
        <v>549</v>
      </c>
      <c r="P892" s="483">
        <v>581</v>
      </c>
      <c r="Q892" s="483">
        <v>611</v>
      </c>
      <c r="R892" s="483">
        <v>628</v>
      </c>
      <c r="S892" s="483">
        <v>713</v>
      </c>
      <c r="T892" s="483">
        <v>754</v>
      </c>
      <c r="U892" s="483">
        <v>771</v>
      </c>
    </row>
    <row r="893" spans="1:21">
      <c r="A893" s="475" t="s">
        <v>795</v>
      </c>
      <c r="B893" s="483">
        <v>118</v>
      </c>
      <c r="C893" s="483">
        <v>148</v>
      </c>
      <c r="D893" s="483">
        <v>242</v>
      </c>
      <c r="E893" s="483">
        <v>289</v>
      </c>
      <c r="F893" s="483">
        <v>324</v>
      </c>
      <c r="G893" s="483">
        <v>357</v>
      </c>
      <c r="H893" s="483">
        <v>381</v>
      </c>
      <c r="I893" s="483">
        <v>413</v>
      </c>
      <c r="J893" s="483">
        <v>436</v>
      </c>
      <c r="K893" s="483">
        <v>465</v>
      </c>
      <c r="L893" s="483">
        <v>478</v>
      </c>
      <c r="M893" s="483">
        <v>494</v>
      </c>
      <c r="N893" s="483">
        <v>509</v>
      </c>
      <c r="O893" s="483">
        <v>549</v>
      </c>
      <c r="P893" s="483">
        <v>581</v>
      </c>
      <c r="Q893" s="483">
        <v>611</v>
      </c>
      <c r="R893" s="483">
        <v>628</v>
      </c>
      <c r="S893" s="483">
        <v>713</v>
      </c>
      <c r="T893" s="483">
        <v>754</v>
      </c>
      <c r="U893" s="483">
        <v>771</v>
      </c>
    </row>
    <row r="894" spans="1:21">
      <c r="A894" s="475" t="s">
        <v>796</v>
      </c>
      <c r="B894" s="483">
        <v>95</v>
      </c>
      <c r="C894" s="483">
        <v>118</v>
      </c>
      <c r="D894" s="483">
        <v>142</v>
      </c>
      <c r="E894" s="483">
        <v>183</v>
      </c>
      <c r="F894" s="483">
        <v>193</v>
      </c>
      <c r="G894" s="483">
        <v>212</v>
      </c>
      <c r="H894" s="483">
        <v>225</v>
      </c>
      <c r="I894" s="483">
        <v>246</v>
      </c>
      <c r="J894" s="483">
        <v>259</v>
      </c>
      <c r="K894" s="483">
        <v>271</v>
      </c>
      <c r="L894" s="483">
        <v>285</v>
      </c>
      <c r="M894" s="483">
        <v>295</v>
      </c>
      <c r="N894" s="483">
        <v>302</v>
      </c>
      <c r="O894" s="483">
        <v>328</v>
      </c>
      <c r="P894" s="483">
        <v>346</v>
      </c>
      <c r="Q894" s="483">
        <v>362</v>
      </c>
      <c r="R894" s="483">
        <v>376</v>
      </c>
      <c r="S894" s="483">
        <v>424</v>
      </c>
      <c r="T894" s="483">
        <v>448</v>
      </c>
      <c r="U894" s="483">
        <v>460</v>
      </c>
    </row>
    <row r="895" spans="1:21">
      <c r="A895" s="476" t="s">
        <v>797</v>
      </c>
      <c r="B895" s="483">
        <v>158</v>
      </c>
      <c r="C895" s="483">
        <v>196</v>
      </c>
      <c r="D895" s="483">
        <v>242</v>
      </c>
      <c r="E895" s="483">
        <v>289</v>
      </c>
      <c r="F895" s="483">
        <v>324</v>
      </c>
      <c r="G895" s="483">
        <v>357</v>
      </c>
      <c r="H895" s="483">
        <v>381</v>
      </c>
      <c r="I895" s="483">
        <v>413</v>
      </c>
      <c r="J895" s="483">
        <v>436</v>
      </c>
      <c r="K895" s="483">
        <v>465</v>
      </c>
      <c r="L895" s="483">
        <v>478</v>
      </c>
      <c r="M895" s="483">
        <v>494</v>
      </c>
      <c r="N895" s="483">
        <v>509</v>
      </c>
      <c r="O895" s="483">
        <v>549</v>
      </c>
      <c r="P895" s="483">
        <v>581</v>
      </c>
      <c r="Q895" s="483">
        <v>611</v>
      </c>
      <c r="R895" s="483">
        <v>628</v>
      </c>
      <c r="S895" s="483">
        <v>713</v>
      </c>
      <c r="T895" s="483">
        <v>754</v>
      </c>
      <c r="U895" s="483">
        <v>771</v>
      </c>
    </row>
    <row r="896" spans="1:21">
      <c r="A896" s="476" t="s">
        <v>798</v>
      </c>
      <c r="B896" s="483">
        <v>211</v>
      </c>
      <c r="C896" s="483">
        <v>264</v>
      </c>
      <c r="D896" s="483">
        <v>316</v>
      </c>
      <c r="E896" s="483">
        <v>392</v>
      </c>
      <c r="F896" s="483">
        <v>461</v>
      </c>
      <c r="G896" s="483">
        <v>506</v>
      </c>
      <c r="H896" s="483">
        <v>538</v>
      </c>
      <c r="I896" s="483">
        <v>583</v>
      </c>
      <c r="J896" s="483">
        <v>618</v>
      </c>
      <c r="K896" s="483">
        <v>652</v>
      </c>
      <c r="L896" s="483">
        <v>681</v>
      </c>
      <c r="M896" s="483">
        <v>706</v>
      </c>
      <c r="N896" s="483">
        <v>722</v>
      </c>
      <c r="O896" s="483">
        <v>780</v>
      </c>
      <c r="P896" s="483">
        <v>823</v>
      </c>
      <c r="Q896" s="483">
        <v>864</v>
      </c>
      <c r="R896" s="483">
        <v>893</v>
      </c>
      <c r="S896" s="483">
        <v>1010</v>
      </c>
      <c r="T896" s="483">
        <v>1069</v>
      </c>
      <c r="U896" s="483">
        <v>1094</v>
      </c>
    </row>
    <row r="897" spans="1:82">
      <c r="A897" s="475" t="s">
        <v>799</v>
      </c>
      <c r="B897" s="483">
        <v>93</v>
      </c>
      <c r="C897" s="483">
        <v>117</v>
      </c>
      <c r="D897" s="483">
        <v>140</v>
      </c>
      <c r="E897" s="483">
        <v>170</v>
      </c>
      <c r="F897" s="483">
        <v>181</v>
      </c>
      <c r="G897" s="483">
        <v>203</v>
      </c>
      <c r="H897" s="483">
        <v>212</v>
      </c>
      <c r="I897" s="483">
        <v>230</v>
      </c>
      <c r="J897" s="483">
        <v>245</v>
      </c>
      <c r="K897" s="483">
        <v>257</v>
      </c>
      <c r="L897" s="483">
        <v>269</v>
      </c>
      <c r="M897" s="483">
        <v>275</v>
      </c>
      <c r="N897" s="483">
        <v>282</v>
      </c>
      <c r="O897" s="483">
        <v>306</v>
      </c>
      <c r="P897" s="483">
        <v>324</v>
      </c>
      <c r="Q897" s="483">
        <v>338</v>
      </c>
      <c r="R897" s="483">
        <v>352</v>
      </c>
      <c r="S897" s="483">
        <v>397</v>
      </c>
      <c r="T897" s="483">
        <v>421</v>
      </c>
      <c r="U897" s="483">
        <v>428</v>
      </c>
    </row>
    <row r="898" spans="1:82">
      <c r="A898" s="477" t="s">
        <v>800</v>
      </c>
      <c r="B898" s="483">
        <v>90</v>
      </c>
      <c r="C898" s="483">
        <v>112</v>
      </c>
      <c r="D898" s="483">
        <v>136</v>
      </c>
      <c r="E898" s="483">
        <v>158</v>
      </c>
      <c r="F898" s="483">
        <v>169</v>
      </c>
      <c r="G898" s="483">
        <v>188</v>
      </c>
      <c r="H898" s="483">
        <v>199</v>
      </c>
      <c r="I898" s="483">
        <v>215</v>
      </c>
      <c r="J898" s="483">
        <v>225</v>
      </c>
      <c r="K898" s="483">
        <v>241</v>
      </c>
      <c r="L898" s="483">
        <v>250</v>
      </c>
      <c r="M898" s="483">
        <v>256</v>
      </c>
      <c r="N898" s="483">
        <v>263</v>
      </c>
      <c r="O898" s="483">
        <v>285</v>
      </c>
      <c r="P898" s="483">
        <v>301</v>
      </c>
      <c r="Q898" s="483">
        <v>316</v>
      </c>
      <c r="R898" s="483">
        <v>328</v>
      </c>
      <c r="S898" s="483">
        <v>370</v>
      </c>
      <c r="T898" s="483">
        <v>391</v>
      </c>
      <c r="U898" s="483">
        <v>399</v>
      </c>
    </row>
    <row r="899" spans="1:82">
      <c r="A899" s="473" t="s">
        <v>801</v>
      </c>
      <c r="B899" s="483">
        <v>162</v>
      </c>
      <c r="C899" s="483">
        <v>202</v>
      </c>
      <c r="D899" s="483">
        <v>247</v>
      </c>
      <c r="E899" s="483">
        <v>298</v>
      </c>
      <c r="F899" s="483">
        <v>330</v>
      </c>
      <c r="G899" s="483">
        <v>363</v>
      </c>
      <c r="H899" s="483">
        <v>390</v>
      </c>
      <c r="I899" s="483">
        <v>416</v>
      </c>
      <c r="J899" s="483">
        <v>445</v>
      </c>
      <c r="K899" s="483">
        <v>470</v>
      </c>
      <c r="L899" s="483">
        <v>490</v>
      </c>
      <c r="M899" s="483">
        <v>507</v>
      </c>
      <c r="N899" s="483">
        <v>518</v>
      </c>
      <c r="O899" s="483">
        <v>560</v>
      </c>
      <c r="P899" s="483">
        <v>593</v>
      </c>
      <c r="Q899" s="483">
        <v>621</v>
      </c>
      <c r="R899" s="483">
        <v>643</v>
      </c>
      <c r="S899" s="483">
        <v>726</v>
      </c>
      <c r="T899" s="483">
        <v>768</v>
      </c>
      <c r="U899" s="483">
        <v>787</v>
      </c>
    </row>
    <row r="900" spans="1:82" ht="15.75" thickBot="1">
      <c r="A900" s="478" t="s">
        <v>802</v>
      </c>
      <c r="B900" s="483">
        <v>160</v>
      </c>
      <c r="C900" s="483">
        <v>200</v>
      </c>
      <c r="D900" s="483">
        <v>245</v>
      </c>
      <c r="E900" s="483">
        <v>294</v>
      </c>
      <c r="F900" s="483">
        <v>329</v>
      </c>
      <c r="G900" s="483">
        <v>362</v>
      </c>
      <c r="H900" s="483">
        <v>386</v>
      </c>
      <c r="I900" s="483">
        <v>414</v>
      </c>
      <c r="J900" s="483">
        <v>443</v>
      </c>
      <c r="K900" s="483">
        <v>469</v>
      </c>
      <c r="L900" s="483">
        <v>485</v>
      </c>
      <c r="M900" s="483">
        <v>506</v>
      </c>
      <c r="N900" s="483">
        <v>517</v>
      </c>
      <c r="O900" s="483">
        <v>558</v>
      </c>
      <c r="P900" s="483">
        <v>589</v>
      </c>
      <c r="Q900" s="483">
        <v>619</v>
      </c>
      <c r="R900" s="483">
        <v>637</v>
      </c>
      <c r="S900" s="483">
        <v>724</v>
      </c>
      <c r="T900" s="483">
        <v>766</v>
      </c>
      <c r="U900" s="483">
        <v>783</v>
      </c>
    </row>
    <row r="901" spans="1:82">
      <c r="A901" s="465"/>
      <c r="B901" s="465"/>
      <c r="C901" s="464"/>
      <c r="D901" s="464"/>
      <c r="E901" s="464"/>
      <c r="F901" s="464"/>
      <c r="G901" s="464"/>
      <c r="H901" s="466"/>
      <c r="I901" s="464"/>
      <c r="J901" s="464"/>
      <c r="K901" s="464"/>
      <c r="L901" s="467"/>
      <c r="M901" s="464"/>
      <c r="N901" s="464"/>
      <c r="O901" s="465"/>
      <c r="P901" s="468"/>
      <c r="Q901" s="468"/>
      <c r="R901" s="468"/>
      <c r="S901" s="468"/>
      <c r="T901" s="464"/>
      <c r="U901" s="464"/>
    </row>
    <row r="902" spans="1:82">
      <c r="A902" s="456"/>
      <c r="B902" s="456"/>
      <c r="C902" s="456"/>
      <c r="D902" s="456"/>
      <c r="E902" s="456"/>
      <c r="F902" s="456"/>
      <c r="G902" s="456"/>
      <c r="H902" s="456"/>
      <c r="I902" s="456"/>
      <c r="J902" s="456"/>
      <c r="K902" s="456"/>
      <c r="L902" s="456"/>
      <c r="M902" s="456"/>
      <c r="N902" s="456"/>
      <c r="O902" s="456"/>
      <c r="P902" s="456"/>
      <c r="Q902" s="456"/>
      <c r="R902" s="456"/>
      <c r="S902" s="456"/>
      <c r="T902" s="456"/>
      <c r="U902" s="456"/>
    </row>
    <row r="903" spans="1:82" ht="19.5">
      <c r="A903" s="459"/>
      <c r="B903" s="841" t="s">
        <v>803</v>
      </c>
      <c r="C903" s="841"/>
      <c r="D903" s="841"/>
      <c r="E903" s="841"/>
      <c r="F903" s="841"/>
      <c r="G903" s="463"/>
      <c r="H903" s="457"/>
      <c r="I903" s="459"/>
      <c r="J903" s="459"/>
      <c r="K903" s="459"/>
      <c r="L903" s="459"/>
      <c r="M903" s="459"/>
      <c r="N903" s="842" t="s">
        <v>804</v>
      </c>
      <c r="O903" s="842"/>
      <c r="P903" s="842"/>
      <c r="Q903" s="459"/>
      <c r="R903" s="459"/>
      <c r="S903" s="459"/>
      <c r="T903" s="459"/>
      <c r="U903" s="459"/>
      <c r="AI903" s="256">
        <v>250</v>
      </c>
      <c r="AJ903" s="256">
        <v>301</v>
      </c>
      <c r="AK903" s="256">
        <v>325</v>
      </c>
      <c r="AL903" s="256">
        <v>350</v>
      </c>
      <c r="AM903" s="256">
        <v>375</v>
      </c>
      <c r="AN903" s="256">
        <v>401</v>
      </c>
      <c r="AO903" s="256">
        <v>425</v>
      </c>
      <c r="AP903" s="256">
        <v>450</v>
      </c>
      <c r="AQ903" s="256">
        <v>475</v>
      </c>
      <c r="AR903" s="256">
        <v>500</v>
      </c>
      <c r="AS903" s="256">
        <v>525</v>
      </c>
      <c r="AT903" s="256">
        <v>550</v>
      </c>
      <c r="AU903" s="256">
        <v>575</v>
      </c>
      <c r="AV903" s="256">
        <v>600</v>
      </c>
      <c r="AW903" s="256">
        <v>650</v>
      </c>
      <c r="AX903" s="256">
        <v>700</v>
      </c>
      <c r="AY903" s="256">
        <v>750</v>
      </c>
      <c r="AZ903" s="256">
        <v>800</v>
      </c>
      <c r="BA903" s="256">
        <v>850</v>
      </c>
      <c r="BB903" s="256">
        <v>900</v>
      </c>
      <c r="BC903" s="256">
        <v>950</v>
      </c>
      <c r="BD903" s="256">
        <v>1000</v>
      </c>
      <c r="BE903" s="258">
        <v>1100</v>
      </c>
      <c r="BF903" s="258">
        <v>1200</v>
      </c>
      <c r="BG903" s="258">
        <v>1250</v>
      </c>
      <c r="BH903" s="258">
        <v>1300</v>
      </c>
      <c r="BI903" s="258">
        <v>1400</v>
      </c>
      <c r="BJ903" s="256">
        <v>1500</v>
      </c>
      <c r="BK903" s="256">
        <v>1600</v>
      </c>
      <c r="BL903" s="256">
        <v>1700</v>
      </c>
      <c r="BM903" s="256">
        <v>1750</v>
      </c>
      <c r="BN903" s="256">
        <v>1800</v>
      </c>
      <c r="BO903" s="256">
        <v>1900</v>
      </c>
      <c r="BP903" s="256">
        <v>2000</v>
      </c>
      <c r="BQ903" s="256">
        <v>2250</v>
      </c>
      <c r="BR903" s="256">
        <v>2500</v>
      </c>
      <c r="BS903" s="256">
        <f>5.5*500</f>
        <v>2750</v>
      </c>
      <c r="BT903" s="256">
        <f>6*500</f>
        <v>3000</v>
      </c>
      <c r="BU903" s="256">
        <v>3500</v>
      </c>
      <c r="BV903" s="256">
        <v>4000</v>
      </c>
      <c r="BW903" s="256">
        <v>4500</v>
      </c>
      <c r="BX903" s="256">
        <v>5000</v>
      </c>
      <c r="BY903" s="256">
        <v>5500</v>
      </c>
      <c r="BZ903" s="256">
        <v>6000</v>
      </c>
      <c r="CA903" s="256">
        <v>7000</v>
      </c>
      <c r="CB903" s="256">
        <v>8000</v>
      </c>
      <c r="CC903" s="256">
        <v>9000</v>
      </c>
      <c r="CD903" s="256">
        <v>10000</v>
      </c>
    </row>
    <row r="904" spans="1:82" ht="15.75" thickBot="1">
      <c r="B904" s="257">
        <v>1</v>
      </c>
      <c r="C904" s="256">
        <v>2</v>
      </c>
      <c r="D904" s="256">
        <v>3</v>
      </c>
      <c r="E904" s="256">
        <v>4</v>
      </c>
      <c r="F904" s="256">
        <v>5</v>
      </c>
      <c r="G904" s="256">
        <v>6</v>
      </c>
      <c r="H904" s="256">
        <v>7</v>
      </c>
      <c r="I904" s="256">
        <v>8</v>
      </c>
      <c r="J904" s="256">
        <v>9</v>
      </c>
      <c r="K904" s="256">
        <v>10</v>
      </c>
      <c r="L904" s="256">
        <v>11</v>
      </c>
      <c r="M904" s="256">
        <v>12</v>
      </c>
      <c r="N904" s="256">
        <v>13</v>
      </c>
      <c r="O904" s="256">
        <v>14</v>
      </c>
      <c r="P904" s="256">
        <v>15</v>
      </c>
      <c r="Q904" s="256">
        <v>16</v>
      </c>
      <c r="R904" s="256">
        <v>17</v>
      </c>
      <c r="S904" s="256">
        <v>18</v>
      </c>
      <c r="T904" s="256">
        <v>19</v>
      </c>
      <c r="U904" s="256">
        <v>20</v>
      </c>
      <c r="V904" s="256">
        <v>30</v>
      </c>
      <c r="W904" s="256">
        <v>40</v>
      </c>
      <c r="X904" s="256">
        <v>50</v>
      </c>
      <c r="Y904" s="256">
        <v>60</v>
      </c>
      <c r="Z904" s="256">
        <v>70</v>
      </c>
      <c r="AA904" s="256">
        <v>80</v>
      </c>
      <c r="AB904" s="256">
        <v>90</v>
      </c>
      <c r="AC904" s="256">
        <v>100</v>
      </c>
      <c r="AD904" s="256">
        <v>125</v>
      </c>
      <c r="AE904" s="256">
        <v>150</v>
      </c>
      <c r="AF904" s="256">
        <v>175</v>
      </c>
      <c r="AG904" s="256">
        <v>201</v>
      </c>
      <c r="AH904" s="256">
        <v>225</v>
      </c>
      <c r="AI904" s="449">
        <f t="shared" ref="AI904:AV904" si="464">$C875</f>
        <v>80</v>
      </c>
      <c r="AJ904" s="449">
        <f t="shared" si="464"/>
        <v>80</v>
      </c>
      <c r="AK904" s="449">
        <f t="shared" si="464"/>
        <v>80</v>
      </c>
      <c r="AL904" s="449">
        <f t="shared" si="464"/>
        <v>80</v>
      </c>
      <c r="AM904" s="449">
        <f t="shared" si="464"/>
        <v>80</v>
      </c>
      <c r="AN904" s="449">
        <f t="shared" si="464"/>
        <v>80</v>
      </c>
      <c r="AO904" s="449">
        <f t="shared" si="464"/>
        <v>80</v>
      </c>
      <c r="AP904" s="449">
        <f t="shared" si="464"/>
        <v>80</v>
      </c>
      <c r="AQ904" s="449">
        <f t="shared" si="464"/>
        <v>80</v>
      </c>
      <c r="AR904" s="449">
        <f t="shared" si="464"/>
        <v>80</v>
      </c>
      <c r="AS904" s="449">
        <f t="shared" si="464"/>
        <v>80</v>
      </c>
      <c r="AT904" s="449">
        <f t="shared" si="464"/>
        <v>80</v>
      </c>
      <c r="AU904" s="449">
        <f t="shared" si="464"/>
        <v>80</v>
      </c>
      <c r="AV904" s="449">
        <f t="shared" si="464"/>
        <v>80</v>
      </c>
      <c r="AW904" s="449">
        <f t="shared" ref="AW904:BD904" si="465">$D875</f>
        <v>98</v>
      </c>
      <c r="AX904" s="449">
        <f t="shared" si="465"/>
        <v>98</v>
      </c>
      <c r="AY904" s="449">
        <f t="shared" si="465"/>
        <v>98</v>
      </c>
      <c r="AZ904" s="449">
        <f t="shared" si="465"/>
        <v>98</v>
      </c>
      <c r="BA904" s="449">
        <f t="shared" si="465"/>
        <v>98</v>
      </c>
      <c r="BB904" s="449">
        <f t="shared" si="465"/>
        <v>98</v>
      </c>
      <c r="BC904" s="449">
        <f t="shared" si="465"/>
        <v>98</v>
      </c>
      <c r="BD904" s="449">
        <f t="shared" si="465"/>
        <v>98</v>
      </c>
      <c r="BE904" s="449">
        <f t="shared" ref="BE904:BJ904" si="466">$E875</f>
        <v>133</v>
      </c>
      <c r="BF904" s="449">
        <f t="shared" si="466"/>
        <v>133</v>
      </c>
      <c r="BG904" s="449">
        <f t="shared" si="466"/>
        <v>133</v>
      </c>
      <c r="BH904" s="449">
        <f t="shared" si="466"/>
        <v>133</v>
      </c>
      <c r="BI904" s="449">
        <f t="shared" si="466"/>
        <v>133</v>
      </c>
      <c r="BJ904" s="449">
        <f t="shared" si="466"/>
        <v>133</v>
      </c>
      <c r="BK904" s="449">
        <f t="shared" ref="BK904:BP904" si="467">$F875</f>
        <v>154</v>
      </c>
      <c r="BL904" s="449">
        <f t="shared" si="467"/>
        <v>154</v>
      </c>
      <c r="BM904" s="449">
        <f t="shared" si="467"/>
        <v>154</v>
      </c>
      <c r="BN904" s="449">
        <f t="shared" si="467"/>
        <v>154</v>
      </c>
      <c r="BO904" s="449">
        <f t="shared" si="467"/>
        <v>154</v>
      </c>
      <c r="BP904" s="449">
        <f t="shared" si="467"/>
        <v>154</v>
      </c>
      <c r="BQ904" s="484">
        <f>$G875</f>
        <v>170</v>
      </c>
      <c r="BR904" s="484">
        <f>$G875</f>
        <v>170</v>
      </c>
      <c r="BS904" s="484">
        <f>$H875</f>
        <v>183</v>
      </c>
      <c r="BT904" s="484">
        <f>$I875</f>
        <v>199</v>
      </c>
      <c r="BU904" s="484">
        <f>$J875</f>
        <v>209</v>
      </c>
      <c r="BV904" s="484">
        <f>$K875</f>
        <v>220</v>
      </c>
      <c r="BW904" s="484">
        <f>$L875</f>
        <v>227</v>
      </c>
      <c r="BX904" s="484">
        <f>$M875</f>
        <v>239</v>
      </c>
      <c r="BY904" s="484">
        <f>$M875</f>
        <v>239</v>
      </c>
      <c r="BZ904" s="484">
        <f>$O875</f>
        <v>263</v>
      </c>
      <c r="CA904" s="484">
        <f>Q875</f>
        <v>293</v>
      </c>
      <c r="CB904" s="484">
        <f>R875</f>
        <v>301</v>
      </c>
      <c r="CC904" s="484">
        <f>S875</f>
        <v>340</v>
      </c>
      <c r="CD904" s="484">
        <f>T875</f>
        <v>360</v>
      </c>
    </row>
    <row r="905" spans="1:82">
      <c r="A905" s="471" t="s">
        <v>777</v>
      </c>
      <c r="B905" s="449">
        <f t="shared" ref="B905:AC905" si="468">$B875</f>
        <v>66</v>
      </c>
      <c r="C905" s="449">
        <f t="shared" si="468"/>
        <v>66</v>
      </c>
      <c r="D905" s="449">
        <f t="shared" si="468"/>
        <v>66</v>
      </c>
      <c r="E905" s="449">
        <f t="shared" si="468"/>
        <v>66</v>
      </c>
      <c r="F905" s="449">
        <f t="shared" si="468"/>
        <v>66</v>
      </c>
      <c r="G905" s="449">
        <f t="shared" si="468"/>
        <v>66</v>
      </c>
      <c r="H905" s="449">
        <f t="shared" si="468"/>
        <v>66</v>
      </c>
      <c r="I905" s="449">
        <f t="shared" si="468"/>
        <v>66</v>
      </c>
      <c r="J905" s="449">
        <f t="shared" si="468"/>
        <v>66</v>
      </c>
      <c r="K905" s="449">
        <f t="shared" si="468"/>
        <v>66</v>
      </c>
      <c r="L905" s="449">
        <f t="shared" si="468"/>
        <v>66</v>
      </c>
      <c r="M905" s="449">
        <f t="shared" si="468"/>
        <v>66</v>
      </c>
      <c r="N905" s="449">
        <f t="shared" si="468"/>
        <v>66</v>
      </c>
      <c r="O905" s="449">
        <f t="shared" si="468"/>
        <v>66</v>
      </c>
      <c r="P905" s="449">
        <f t="shared" si="468"/>
        <v>66</v>
      </c>
      <c r="Q905" s="449">
        <f t="shared" si="468"/>
        <v>66</v>
      </c>
      <c r="R905" s="449">
        <f t="shared" si="468"/>
        <v>66</v>
      </c>
      <c r="S905" s="449">
        <f t="shared" si="468"/>
        <v>66</v>
      </c>
      <c r="T905" s="449">
        <f t="shared" si="468"/>
        <v>66</v>
      </c>
      <c r="U905" s="449">
        <f t="shared" si="468"/>
        <v>66</v>
      </c>
      <c r="V905" s="449">
        <f t="shared" si="468"/>
        <v>66</v>
      </c>
      <c r="W905" s="449">
        <f t="shared" si="468"/>
        <v>66</v>
      </c>
      <c r="X905" s="449">
        <f t="shared" si="468"/>
        <v>66</v>
      </c>
      <c r="Y905" s="449">
        <f t="shared" si="468"/>
        <v>66</v>
      </c>
      <c r="Z905" s="449">
        <f t="shared" si="468"/>
        <v>66</v>
      </c>
      <c r="AA905" s="449">
        <f t="shared" si="468"/>
        <v>66</v>
      </c>
      <c r="AB905" s="449">
        <f t="shared" si="468"/>
        <v>66</v>
      </c>
      <c r="AC905" s="449">
        <f t="shared" si="468"/>
        <v>66</v>
      </c>
      <c r="AD905" s="449">
        <f t="shared" ref="AD905:AH905" si="469">$C875</f>
        <v>80</v>
      </c>
      <c r="AE905" s="449">
        <f t="shared" si="469"/>
        <v>80</v>
      </c>
      <c r="AF905" s="449">
        <f t="shared" si="469"/>
        <v>80</v>
      </c>
      <c r="AG905" s="449">
        <f t="shared" si="469"/>
        <v>80</v>
      </c>
      <c r="AH905" s="449">
        <f t="shared" si="469"/>
        <v>80</v>
      </c>
      <c r="AI905" s="449">
        <f t="shared" ref="AI905:AV905" si="470">$C876</f>
        <v>151</v>
      </c>
      <c r="AJ905" s="449">
        <f t="shared" si="470"/>
        <v>151</v>
      </c>
      <c r="AK905" s="449">
        <f t="shared" si="470"/>
        <v>151</v>
      </c>
      <c r="AL905" s="449">
        <f t="shared" si="470"/>
        <v>151</v>
      </c>
      <c r="AM905" s="449">
        <f t="shared" si="470"/>
        <v>151</v>
      </c>
      <c r="AN905" s="449">
        <f t="shared" si="470"/>
        <v>151</v>
      </c>
      <c r="AO905" s="449">
        <f t="shared" si="470"/>
        <v>151</v>
      </c>
      <c r="AP905" s="449">
        <f t="shared" si="470"/>
        <v>151</v>
      </c>
      <c r="AQ905" s="449">
        <f t="shared" si="470"/>
        <v>151</v>
      </c>
      <c r="AR905" s="449">
        <f t="shared" si="470"/>
        <v>151</v>
      </c>
      <c r="AS905" s="449">
        <f t="shared" si="470"/>
        <v>151</v>
      </c>
      <c r="AT905" s="449">
        <f t="shared" si="470"/>
        <v>151</v>
      </c>
      <c r="AU905" s="449">
        <f t="shared" si="470"/>
        <v>151</v>
      </c>
      <c r="AV905" s="449">
        <f t="shared" si="470"/>
        <v>151</v>
      </c>
      <c r="AW905" s="449">
        <f t="shared" ref="AW905:BD905" si="471">$D876</f>
        <v>188</v>
      </c>
      <c r="AX905" s="449">
        <f t="shared" si="471"/>
        <v>188</v>
      </c>
      <c r="AY905" s="449">
        <f t="shared" si="471"/>
        <v>188</v>
      </c>
      <c r="AZ905" s="449">
        <f t="shared" si="471"/>
        <v>188</v>
      </c>
      <c r="BA905" s="449">
        <f t="shared" si="471"/>
        <v>188</v>
      </c>
      <c r="BB905" s="449">
        <f t="shared" si="471"/>
        <v>188</v>
      </c>
      <c r="BC905" s="449">
        <f t="shared" si="471"/>
        <v>188</v>
      </c>
      <c r="BD905" s="449">
        <f t="shared" si="471"/>
        <v>188</v>
      </c>
      <c r="BE905" s="449">
        <f t="shared" ref="BE905:BJ905" si="472">$E876</f>
        <v>224</v>
      </c>
      <c r="BF905" s="449">
        <f t="shared" si="472"/>
        <v>224</v>
      </c>
      <c r="BG905" s="449">
        <f t="shared" si="472"/>
        <v>224</v>
      </c>
      <c r="BH905" s="449">
        <f t="shared" si="472"/>
        <v>224</v>
      </c>
      <c r="BI905" s="449">
        <f t="shared" si="472"/>
        <v>224</v>
      </c>
      <c r="BJ905" s="449">
        <f t="shared" si="472"/>
        <v>224</v>
      </c>
      <c r="BK905" s="449">
        <f t="shared" ref="BK905:BP905" si="473">$F876</f>
        <v>247</v>
      </c>
      <c r="BL905" s="449">
        <f t="shared" si="473"/>
        <v>247</v>
      </c>
      <c r="BM905" s="449">
        <f t="shared" si="473"/>
        <v>247</v>
      </c>
      <c r="BN905" s="449">
        <f t="shared" si="473"/>
        <v>247</v>
      </c>
      <c r="BO905" s="449">
        <f t="shared" si="473"/>
        <v>247</v>
      </c>
      <c r="BP905" s="449">
        <f t="shared" si="473"/>
        <v>247</v>
      </c>
      <c r="BQ905" s="484">
        <f t="shared" ref="BQ905:BR905" si="474">$G876</f>
        <v>272</v>
      </c>
      <c r="BR905" s="484">
        <f t="shared" si="474"/>
        <v>272</v>
      </c>
      <c r="BS905" s="484">
        <f t="shared" ref="BS905:BS928" si="475">$H876</f>
        <v>291</v>
      </c>
      <c r="BT905" s="484">
        <f t="shared" ref="BT905:BT928" si="476">$I876</f>
        <v>322</v>
      </c>
      <c r="BU905" s="484">
        <f t="shared" ref="BU905:BU928" si="477">$J876</f>
        <v>345</v>
      </c>
      <c r="BV905" s="484">
        <f t="shared" ref="BV905:BV928" si="478">$K876</f>
        <v>375</v>
      </c>
      <c r="BW905" s="484">
        <f t="shared" ref="BW905:BW928" si="479">$L876</f>
        <v>383</v>
      </c>
      <c r="BX905" s="484">
        <f t="shared" ref="BX905:BY905" si="480">$M876</f>
        <v>399</v>
      </c>
      <c r="BY905" s="484">
        <f t="shared" si="480"/>
        <v>399</v>
      </c>
      <c r="BZ905" s="484">
        <f t="shared" ref="BZ905:BZ928" si="481">$O876</f>
        <v>473</v>
      </c>
      <c r="CA905" s="484">
        <f t="shared" ref="CA905:CD905" si="482">Q876</f>
        <v>520</v>
      </c>
      <c r="CB905" s="484">
        <f t="shared" si="482"/>
        <v>531</v>
      </c>
      <c r="CC905" s="484">
        <f t="shared" si="482"/>
        <v>597</v>
      </c>
      <c r="CD905" s="484">
        <f t="shared" si="482"/>
        <v>634</v>
      </c>
    </row>
    <row r="906" spans="1:82">
      <c r="A906" s="472" t="s">
        <v>778</v>
      </c>
      <c r="B906" s="449">
        <f t="shared" ref="B906:AC906" si="483">$B876</f>
        <v>120</v>
      </c>
      <c r="C906" s="449">
        <f t="shared" si="483"/>
        <v>120</v>
      </c>
      <c r="D906" s="449">
        <f t="shared" si="483"/>
        <v>120</v>
      </c>
      <c r="E906" s="449">
        <f t="shared" si="483"/>
        <v>120</v>
      </c>
      <c r="F906" s="449">
        <f t="shared" si="483"/>
        <v>120</v>
      </c>
      <c r="G906" s="449">
        <f t="shared" si="483"/>
        <v>120</v>
      </c>
      <c r="H906" s="449">
        <f t="shared" si="483"/>
        <v>120</v>
      </c>
      <c r="I906" s="449">
        <f t="shared" si="483"/>
        <v>120</v>
      </c>
      <c r="J906" s="449">
        <f t="shared" si="483"/>
        <v>120</v>
      </c>
      <c r="K906" s="449">
        <f t="shared" si="483"/>
        <v>120</v>
      </c>
      <c r="L906" s="449">
        <f t="shared" si="483"/>
        <v>120</v>
      </c>
      <c r="M906" s="449">
        <f t="shared" si="483"/>
        <v>120</v>
      </c>
      <c r="N906" s="449">
        <f t="shared" si="483"/>
        <v>120</v>
      </c>
      <c r="O906" s="449">
        <f t="shared" si="483"/>
        <v>120</v>
      </c>
      <c r="P906" s="449">
        <f t="shared" si="483"/>
        <v>120</v>
      </c>
      <c r="Q906" s="449">
        <f t="shared" si="483"/>
        <v>120</v>
      </c>
      <c r="R906" s="449">
        <f t="shared" si="483"/>
        <v>120</v>
      </c>
      <c r="S906" s="449">
        <f t="shared" si="483"/>
        <v>120</v>
      </c>
      <c r="T906" s="449">
        <f t="shared" si="483"/>
        <v>120</v>
      </c>
      <c r="U906" s="449">
        <f t="shared" si="483"/>
        <v>120</v>
      </c>
      <c r="V906" s="449">
        <f t="shared" si="483"/>
        <v>120</v>
      </c>
      <c r="W906" s="449">
        <f t="shared" si="483"/>
        <v>120</v>
      </c>
      <c r="X906" s="449">
        <f t="shared" si="483"/>
        <v>120</v>
      </c>
      <c r="Y906" s="449">
        <f t="shared" si="483"/>
        <v>120</v>
      </c>
      <c r="Z906" s="449">
        <f t="shared" si="483"/>
        <v>120</v>
      </c>
      <c r="AA906" s="449">
        <f t="shared" si="483"/>
        <v>120</v>
      </c>
      <c r="AB906" s="449">
        <f t="shared" si="483"/>
        <v>120</v>
      </c>
      <c r="AC906" s="449">
        <f t="shared" si="483"/>
        <v>120</v>
      </c>
      <c r="AD906" s="449">
        <f t="shared" ref="AD906:AH906" si="484">$C876</f>
        <v>151</v>
      </c>
      <c r="AE906" s="449">
        <f t="shared" si="484"/>
        <v>151</v>
      </c>
      <c r="AF906" s="449">
        <f t="shared" si="484"/>
        <v>151</v>
      </c>
      <c r="AG906" s="449">
        <f t="shared" si="484"/>
        <v>151</v>
      </c>
      <c r="AH906" s="449">
        <f t="shared" si="484"/>
        <v>151</v>
      </c>
      <c r="AI906" s="449">
        <f t="shared" ref="AI906:AV906" si="485">$C877</f>
        <v>112</v>
      </c>
      <c r="AJ906" s="449">
        <f t="shared" si="485"/>
        <v>112</v>
      </c>
      <c r="AK906" s="449">
        <f t="shared" si="485"/>
        <v>112</v>
      </c>
      <c r="AL906" s="449">
        <f t="shared" si="485"/>
        <v>112</v>
      </c>
      <c r="AM906" s="449">
        <f t="shared" si="485"/>
        <v>112</v>
      </c>
      <c r="AN906" s="449">
        <f t="shared" si="485"/>
        <v>112</v>
      </c>
      <c r="AO906" s="449">
        <f t="shared" si="485"/>
        <v>112</v>
      </c>
      <c r="AP906" s="449">
        <f t="shared" si="485"/>
        <v>112</v>
      </c>
      <c r="AQ906" s="449">
        <f t="shared" si="485"/>
        <v>112</v>
      </c>
      <c r="AR906" s="449">
        <f t="shared" si="485"/>
        <v>112</v>
      </c>
      <c r="AS906" s="449">
        <f t="shared" si="485"/>
        <v>112</v>
      </c>
      <c r="AT906" s="449">
        <f t="shared" si="485"/>
        <v>112</v>
      </c>
      <c r="AU906" s="449">
        <f t="shared" si="485"/>
        <v>112</v>
      </c>
      <c r="AV906" s="449">
        <f t="shared" si="485"/>
        <v>112</v>
      </c>
      <c r="AW906" s="449">
        <f t="shared" ref="AW906:BD906" si="486">$D877</f>
        <v>136</v>
      </c>
      <c r="AX906" s="449">
        <f t="shared" si="486"/>
        <v>136</v>
      </c>
      <c r="AY906" s="449">
        <f t="shared" si="486"/>
        <v>136</v>
      </c>
      <c r="AZ906" s="449">
        <f t="shared" si="486"/>
        <v>136</v>
      </c>
      <c r="BA906" s="449">
        <f t="shared" si="486"/>
        <v>136</v>
      </c>
      <c r="BB906" s="449">
        <f t="shared" si="486"/>
        <v>136</v>
      </c>
      <c r="BC906" s="449">
        <f t="shared" si="486"/>
        <v>136</v>
      </c>
      <c r="BD906" s="449">
        <f t="shared" si="486"/>
        <v>136</v>
      </c>
      <c r="BE906" s="449">
        <f t="shared" ref="BE906:BJ906" si="487">$E877</f>
        <v>158</v>
      </c>
      <c r="BF906" s="449">
        <f t="shared" si="487"/>
        <v>158</v>
      </c>
      <c r="BG906" s="449">
        <f t="shared" si="487"/>
        <v>158</v>
      </c>
      <c r="BH906" s="449">
        <f t="shared" si="487"/>
        <v>158</v>
      </c>
      <c r="BI906" s="449">
        <f t="shared" si="487"/>
        <v>158</v>
      </c>
      <c r="BJ906" s="449">
        <f t="shared" si="487"/>
        <v>158</v>
      </c>
      <c r="BK906" s="449">
        <f t="shared" ref="BK906:BP906" si="488">$F877</f>
        <v>169</v>
      </c>
      <c r="BL906" s="449">
        <f t="shared" si="488"/>
        <v>169</v>
      </c>
      <c r="BM906" s="449">
        <f t="shared" si="488"/>
        <v>169</v>
      </c>
      <c r="BN906" s="449">
        <f t="shared" si="488"/>
        <v>169</v>
      </c>
      <c r="BO906" s="449">
        <f t="shared" si="488"/>
        <v>169</v>
      </c>
      <c r="BP906" s="449">
        <f t="shared" si="488"/>
        <v>169</v>
      </c>
      <c r="BQ906" s="484">
        <f t="shared" ref="BQ906:BR906" si="489">$G877</f>
        <v>189</v>
      </c>
      <c r="BR906" s="484">
        <f t="shared" si="489"/>
        <v>189</v>
      </c>
      <c r="BS906" s="484">
        <f t="shared" si="475"/>
        <v>199</v>
      </c>
      <c r="BT906" s="484">
        <f t="shared" si="476"/>
        <v>215</v>
      </c>
      <c r="BU906" s="484">
        <f t="shared" si="477"/>
        <v>226</v>
      </c>
      <c r="BV906" s="484">
        <f t="shared" si="478"/>
        <v>241</v>
      </c>
      <c r="BW906" s="484">
        <f t="shared" si="479"/>
        <v>250</v>
      </c>
      <c r="BX906" s="484">
        <f t="shared" ref="BX906:BY906" si="490">$M877</f>
        <v>256</v>
      </c>
      <c r="BY906" s="484">
        <f t="shared" si="490"/>
        <v>256</v>
      </c>
      <c r="BZ906" s="484">
        <f t="shared" si="481"/>
        <v>285</v>
      </c>
      <c r="CA906" s="484">
        <f t="shared" ref="CA906:CD906" si="491">Q877</f>
        <v>316</v>
      </c>
      <c r="CB906" s="484">
        <f t="shared" si="491"/>
        <v>328</v>
      </c>
      <c r="CC906" s="484">
        <f t="shared" si="491"/>
        <v>367</v>
      </c>
      <c r="CD906" s="484">
        <f t="shared" si="491"/>
        <v>391</v>
      </c>
    </row>
    <row r="907" spans="1:82">
      <c r="A907" s="472" t="s">
        <v>779</v>
      </c>
      <c r="B907" s="449">
        <f t="shared" ref="B907:AC907" si="492">$B877</f>
        <v>91</v>
      </c>
      <c r="C907" s="449">
        <f t="shared" si="492"/>
        <v>91</v>
      </c>
      <c r="D907" s="449">
        <f t="shared" si="492"/>
        <v>91</v>
      </c>
      <c r="E907" s="449">
        <f t="shared" si="492"/>
        <v>91</v>
      </c>
      <c r="F907" s="449">
        <f t="shared" si="492"/>
        <v>91</v>
      </c>
      <c r="G907" s="449">
        <f t="shared" si="492"/>
        <v>91</v>
      </c>
      <c r="H907" s="449">
        <f t="shared" si="492"/>
        <v>91</v>
      </c>
      <c r="I907" s="449">
        <f t="shared" si="492"/>
        <v>91</v>
      </c>
      <c r="J907" s="449">
        <f t="shared" si="492"/>
        <v>91</v>
      </c>
      <c r="K907" s="449">
        <f t="shared" si="492"/>
        <v>91</v>
      </c>
      <c r="L907" s="449">
        <f t="shared" si="492"/>
        <v>91</v>
      </c>
      <c r="M907" s="449">
        <f t="shared" si="492"/>
        <v>91</v>
      </c>
      <c r="N907" s="449">
        <f t="shared" si="492"/>
        <v>91</v>
      </c>
      <c r="O907" s="449">
        <f t="shared" si="492"/>
        <v>91</v>
      </c>
      <c r="P907" s="449">
        <f t="shared" si="492"/>
        <v>91</v>
      </c>
      <c r="Q907" s="449">
        <f t="shared" si="492"/>
        <v>91</v>
      </c>
      <c r="R907" s="449">
        <f t="shared" si="492"/>
        <v>91</v>
      </c>
      <c r="S907" s="449">
        <f t="shared" si="492"/>
        <v>91</v>
      </c>
      <c r="T907" s="449">
        <f t="shared" si="492"/>
        <v>91</v>
      </c>
      <c r="U907" s="449">
        <f t="shared" si="492"/>
        <v>91</v>
      </c>
      <c r="V907" s="449">
        <f t="shared" si="492"/>
        <v>91</v>
      </c>
      <c r="W907" s="449">
        <f t="shared" si="492"/>
        <v>91</v>
      </c>
      <c r="X907" s="449">
        <f t="shared" si="492"/>
        <v>91</v>
      </c>
      <c r="Y907" s="449">
        <f t="shared" si="492"/>
        <v>91</v>
      </c>
      <c r="Z907" s="449">
        <f t="shared" si="492"/>
        <v>91</v>
      </c>
      <c r="AA907" s="449">
        <f t="shared" si="492"/>
        <v>91</v>
      </c>
      <c r="AB907" s="449">
        <f t="shared" si="492"/>
        <v>91</v>
      </c>
      <c r="AC907" s="449">
        <f t="shared" si="492"/>
        <v>91</v>
      </c>
      <c r="AD907" s="449">
        <f t="shared" ref="AD907:AH907" si="493">$C877</f>
        <v>112</v>
      </c>
      <c r="AE907" s="449">
        <f t="shared" si="493"/>
        <v>112</v>
      </c>
      <c r="AF907" s="449">
        <f t="shared" si="493"/>
        <v>112</v>
      </c>
      <c r="AG907" s="449">
        <f t="shared" si="493"/>
        <v>112</v>
      </c>
      <c r="AH907" s="449">
        <f t="shared" si="493"/>
        <v>112</v>
      </c>
      <c r="AI907" s="449">
        <f t="shared" ref="AI907:AV907" si="494">$C878</f>
        <v>117</v>
      </c>
      <c r="AJ907" s="449">
        <f t="shared" si="494"/>
        <v>117</v>
      </c>
      <c r="AK907" s="449">
        <f t="shared" si="494"/>
        <v>117</v>
      </c>
      <c r="AL907" s="449">
        <f t="shared" si="494"/>
        <v>117</v>
      </c>
      <c r="AM907" s="449">
        <f t="shared" si="494"/>
        <v>117</v>
      </c>
      <c r="AN907" s="449">
        <f t="shared" si="494"/>
        <v>117</v>
      </c>
      <c r="AO907" s="449">
        <f t="shared" si="494"/>
        <v>117</v>
      </c>
      <c r="AP907" s="449">
        <f t="shared" si="494"/>
        <v>117</v>
      </c>
      <c r="AQ907" s="449">
        <f t="shared" si="494"/>
        <v>117</v>
      </c>
      <c r="AR907" s="449">
        <f t="shared" si="494"/>
        <v>117</v>
      </c>
      <c r="AS907" s="449">
        <f t="shared" si="494"/>
        <v>117</v>
      </c>
      <c r="AT907" s="449">
        <f t="shared" si="494"/>
        <v>117</v>
      </c>
      <c r="AU907" s="449">
        <f t="shared" si="494"/>
        <v>117</v>
      </c>
      <c r="AV907" s="449">
        <f t="shared" si="494"/>
        <v>117</v>
      </c>
      <c r="AW907" s="449">
        <f t="shared" ref="AW907:BD907" si="495">$D878</f>
        <v>140</v>
      </c>
      <c r="AX907" s="449">
        <f t="shared" si="495"/>
        <v>140</v>
      </c>
      <c r="AY907" s="449">
        <f t="shared" si="495"/>
        <v>140</v>
      </c>
      <c r="AZ907" s="449">
        <f t="shared" si="495"/>
        <v>140</v>
      </c>
      <c r="BA907" s="449">
        <f t="shared" si="495"/>
        <v>140</v>
      </c>
      <c r="BB907" s="449">
        <f t="shared" si="495"/>
        <v>140</v>
      </c>
      <c r="BC907" s="449">
        <f t="shared" si="495"/>
        <v>140</v>
      </c>
      <c r="BD907" s="449">
        <f t="shared" si="495"/>
        <v>140</v>
      </c>
      <c r="BE907" s="449">
        <f t="shared" ref="BE907:BJ907" si="496">$E878</f>
        <v>170</v>
      </c>
      <c r="BF907" s="449">
        <f t="shared" si="496"/>
        <v>170</v>
      </c>
      <c r="BG907" s="449">
        <f t="shared" si="496"/>
        <v>170</v>
      </c>
      <c r="BH907" s="449">
        <f t="shared" si="496"/>
        <v>170</v>
      </c>
      <c r="BI907" s="449">
        <f t="shared" si="496"/>
        <v>170</v>
      </c>
      <c r="BJ907" s="449">
        <f t="shared" si="496"/>
        <v>170</v>
      </c>
      <c r="BK907" s="449">
        <f t="shared" ref="BK907:BP907" si="497">$F878</f>
        <v>181</v>
      </c>
      <c r="BL907" s="449">
        <f t="shared" si="497"/>
        <v>181</v>
      </c>
      <c r="BM907" s="449">
        <f t="shared" si="497"/>
        <v>181</v>
      </c>
      <c r="BN907" s="449">
        <f t="shared" si="497"/>
        <v>181</v>
      </c>
      <c r="BO907" s="449">
        <f t="shared" si="497"/>
        <v>181</v>
      </c>
      <c r="BP907" s="449">
        <f t="shared" si="497"/>
        <v>181</v>
      </c>
      <c r="BQ907" s="484">
        <f t="shared" ref="BQ907:BR907" si="498">$G878</f>
        <v>203</v>
      </c>
      <c r="BR907" s="484">
        <f t="shared" si="498"/>
        <v>203</v>
      </c>
      <c r="BS907" s="484">
        <f t="shared" si="475"/>
        <v>211</v>
      </c>
      <c r="BT907" s="484">
        <f t="shared" si="476"/>
        <v>230</v>
      </c>
      <c r="BU907" s="484">
        <f t="shared" si="477"/>
        <v>245</v>
      </c>
      <c r="BV907" s="484">
        <f t="shared" si="478"/>
        <v>257</v>
      </c>
      <c r="BW907" s="484">
        <f t="shared" si="479"/>
        <v>268</v>
      </c>
      <c r="BX907" s="484">
        <f t="shared" ref="BX907:BY907" si="499">$M878</f>
        <v>274</v>
      </c>
      <c r="BY907" s="484">
        <f t="shared" si="499"/>
        <v>274</v>
      </c>
      <c r="BZ907" s="484">
        <f t="shared" si="481"/>
        <v>306</v>
      </c>
      <c r="CA907" s="484">
        <f t="shared" ref="CA907:CD907" si="500">Q878</f>
        <v>338</v>
      </c>
      <c r="CB907" s="484">
        <f t="shared" si="500"/>
        <v>350</v>
      </c>
      <c r="CC907" s="484">
        <f t="shared" si="500"/>
        <v>397</v>
      </c>
      <c r="CD907" s="484">
        <f t="shared" si="500"/>
        <v>421</v>
      </c>
    </row>
    <row r="908" spans="1:82">
      <c r="A908" s="472" t="s">
        <v>780</v>
      </c>
      <c r="B908" s="449">
        <f t="shared" ref="B908:AC908" si="501">$B878</f>
        <v>93</v>
      </c>
      <c r="C908" s="449">
        <f t="shared" si="501"/>
        <v>93</v>
      </c>
      <c r="D908" s="449">
        <f t="shared" si="501"/>
        <v>93</v>
      </c>
      <c r="E908" s="449">
        <f t="shared" si="501"/>
        <v>93</v>
      </c>
      <c r="F908" s="449">
        <f t="shared" si="501"/>
        <v>93</v>
      </c>
      <c r="G908" s="449">
        <f t="shared" si="501"/>
        <v>93</v>
      </c>
      <c r="H908" s="449">
        <f t="shared" si="501"/>
        <v>93</v>
      </c>
      <c r="I908" s="449">
        <f t="shared" si="501"/>
        <v>93</v>
      </c>
      <c r="J908" s="449">
        <f t="shared" si="501"/>
        <v>93</v>
      </c>
      <c r="K908" s="449">
        <f t="shared" si="501"/>
        <v>93</v>
      </c>
      <c r="L908" s="449">
        <f t="shared" si="501"/>
        <v>93</v>
      </c>
      <c r="M908" s="449">
        <f t="shared" si="501"/>
        <v>93</v>
      </c>
      <c r="N908" s="449">
        <f t="shared" si="501"/>
        <v>93</v>
      </c>
      <c r="O908" s="449">
        <f t="shared" si="501"/>
        <v>93</v>
      </c>
      <c r="P908" s="449">
        <f t="shared" si="501"/>
        <v>93</v>
      </c>
      <c r="Q908" s="449">
        <f t="shared" si="501"/>
        <v>93</v>
      </c>
      <c r="R908" s="449">
        <f t="shared" si="501"/>
        <v>93</v>
      </c>
      <c r="S908" s="449">
        <f t="shared" si="501"/>
        <v>93</v>
      </c>
      <c r="T908" s="449">
        <f t="shared" si="501"/>
        <v>93</v>
      </c>
      <c r="U908" s="449">
        <f t="shared" si="501"/>
        <v>93</v>
      </c>
      <c r="V908" s="449">
        <f t="shared" si="501"/>
        <v>93</v>
      </c>
      <c r="W908" s="449">
        <f t="shared" si="501"/>
        <v>93</v>
      </c>
      <c r="X908" s="449">
        <f t="shared" si="501"/>
        <v>93</v>
      </c>
      <c r="Y908" s="449">
        <f t="shared" si="501"/>
        <v>93</v>
      </c>
      <c r="Z908" s="449">
        <f t="shared" si="501"/>
        <v>93</v>
      </c>
      <c r="AA908" s="449">
        <f t="shared" si="501"/>
        <v>93</v>
      </c>
      <c r="AB908" s="449">
        <f t="shared" si="501"/>
        <v>93</v>
      </c>
      <c r="AC908" s="449">
        <f t="shared" si="501"/>
        <v>93</v>
      </c>
      <c r="AD908" s="449">
        <f t="shared" ref="AD908:AH908" si="502">$C878</f>
        <v>117</v>
      </c>
      <c r="AE908" s="449">
        <f t="shared" si="502"/>
        <v>117</v>
      </c>
      <c r="AF908" s="449">
        <f t="shared" si="502"/>
        <v>117</v>
      </c>
      <c r="AG908" s="449">
        <f t="shared" si="502"/>
        <v>117</v>
      </c>
      <c r="AH908" s="449">
        <f t="shared" si="502"/>
        <v>117</v>
      </c>
      <c r="AI908" s="449">
        <f t="shared" ref="AI908:AV908" si="503">$C879</f>
        <v>200</v>
      </c>
      <c r="AJ908" s="449">
        <f t="shared" si="503"/>
        <v>200</v>
      </c>
      <c r="AK908" s="449">
        <f t="shared" si="503"/>
        <v>200</v>
      </c>
      <c r="AL908" s="449">
        <f t="shared" si="503"/>
        <v>200</v>
      </c>
      <c r="AM908" s="449">
        <f t="shared" si="503"/>
        <v>200</v>
      </c>
      <c r="AN908" s="449">
        <f t="shared" si="503"/>
        <v>200</v>
      </c>
      <c r="AO908" s="449">
        <f t="shared" si="503"/>
        <v>200</v>
      </c>
      <c r="AP908" s="449">
        <f t="shared" si="503"/>
        <v>200</v>
      </c>
      <c r="AQ908" s="449">
        <f t="shared" si="503"/>
        <v>200</v>
      </c>
      <c r="AR908" s="449">
        <f t="shared" si="503"/>
        <v>200</v>
      </c>
      <c r="AS908" s="449">
        <f t="shared" si="503"/>
        <v>200</v>
      </c>
      <c r="AT908" s="449">
        <f t="shared" si="503"/>
        <v>200</v>
      </c>
      <c r="AU908" s="449">
        <f t="shared" si="503"/>
        <v>200</v>
      </c>
      <c r="AV908" s="449">
        <f t="shared" si="503"/>
        <v>200</v>
      </c>
      <c r="AW908" s="449">
        <f t="shared" ref="AW908:BD908" si="504">$D879</f>
        <v>253</v>
      </c>
      <c r="AX908" s="449">
        <f t="shared" si="504"/>
        <v>253</v>
      </c>
      <c r="AY908" s="449">
        <f t="shared" si="504"/>
        <v>253</v>
      </c>
      <c r="AZ908" s="449">
        <f t="shared" si="504"/>
        <v>253</v>
      </c>
      <c r="BA908" s="449">
        <f t="shared" si="504"/>
        <v>253</v>
      </c>
      <c r="BB908" s="449">
        <f t="shared" si="504"/>
        <v>253</v>
      </c>
      <c r="BC908" s="449">
        <f t="shared" si="504"/>
        <v>253</v>
      </c>
      <c r="BD908" s="449">
        <f t="shared" si="504"/>
        <v>253</v>
      </c>
      <c r="BE908" s="449">
        <f t="shared" ref="BE908:BJ908" si="505">$E879</f>
        <v>297</v>
      </c>
      <c r="BF908" s="449">
        <f t="shared" si="505"/>
        <v>297</v>
      </c>
      <c r="BG908" s="449">
        <f t="shared" si="505"/>
        <v>297</v>
      </c>
      <c r="BH908" s="449">
        <f t="shared" si="505"/>
        <v>297</v>
      </c>
      <c r="BI908" s="449">
        <f t="shared" si="505"/>
        <v>297</v>
      </c>
      <c r="BJ908" s="449">
        <f t="shared" si="505"/>
        <v>297</v>
      </c>
      <c r="BK908" s="449">
        <f t="shared" ref="BK908:BP908" si="506">$F879</f>
        <v>329</v>
      </c>
      <c r="BL908" s="449">
        <f t="shared" si="506"/>
        <v>329</v>
      </c>
      <c r="BM908" s="449">
        <f t="shared" si="506"/>
        <v>329</v>
      </c>
      <c r="BN908" s="449">
        <f t="shared" si="506"/>
        <v>329</v>
      </c>
      <c r="BO908" s="449">
        <f t="shared" si="506"/>
        <v>329</v>
      </c>
      <c r="BP908" s="449">
        <f t="shared" si="506"/>
        <v>329</v>
      </c>
      <c r="BQ908" s="484">
        <f t="shared" ref="BQ908:BR908" si="507">$G879</f>
        <v>362</v>
      </c>
      <c r="BR908" s="484">
        <f t="shared" si="507"/>
        <v>362</v>
      </c>
      <c r="BS908" s="484">
        <f t="shared" si="475"/>
        <v>390</v>
      </c>
      <c r="BT908" s="484">
        <f t="shared" si="476"/>
        <v>426</v>
      </c>
      <c r="BU908" s="484">
        <f t="shared" si="477"/>
        <v>459</v>
      </c>
      <c r="BV908" s="484">
        <f t="shared" si="478"/>
        <v>490</v>
      </c>
      <c r="BW908" s="484">
        <f t="shared" si="479"/>
        <v>511</v>
      </c>
      <c r="BX908" s="484">
        <f t="shared" ref="BX908:BY908" si="508">$M879</f>
        <v>532</v>
      </c>
      <c r="BY908" s="484">
        <f t="shared" si="508"/>
        <v>532</v>
      </c>
      <c r="BZ908" s="484">
        <f t="shared" si="481"/>
        <v>630</v>
      </c>
      <c r="CA908" s="484">
        <f t="shared" ref="CA908:CD908" si="509">Q879</f>
        <v>689</v>
      </c>
      <c r="CB908" s="484">
        <f t="shared" si="509"/>
        <v>708</v>
      </c>
      <c r="CC908" s="484">
        <f t="shared" si="509"/>
        <v>794</v>
      </c>
      <c r="CD908" s="484">
        <f t="shared" si="509"/>
        <v>846</v>
      </c>
    </row>
    <row r="909" spans="1:82">
      <c r="A909" s="472" t="s">
        <v>781</v>
      </c>
      <c r="B909" s="449">
        <f t="shared" ref="B909:AC909" si="510">$B879</f>
        <v>155</v>
      </c>
      <c r="C909" s="449">
        <f t="shared" si="510"/>
        <v>155</v>
      </c>
      <c r="D909" s="449">
        <f t="shared" si="510"/>
        <v>155</v>
      </c>
      <c r="E909" s="449">
        <f t="shared" si="510"/>
        <v>155</v>
      </c>
      <c r="F909" s="449">
        <f t="shared" si="510"/>
        <v>155</v>
      </c>
      <c r="G909" s="449">
        <f t="shared" si="510"/>
        <v>155</v>
      </c>
      <c r="H909" s="449">
        <f t="shared" si="510"/>
        <v>155</v>
      </c>
      <c r="I909" s="449">
        <f t="shared" si="510"/>
        <v>155</v>
      </c>
      <c r="J909" s="449">
        <f t="shared" si="510"/>
        <v>155</v>
      </c>
      <c r="K909" s="449">
        <f t="shared" si="510"/>
        <v>155</v>
      </c>
      <c r="L909" s="449">
        <f t="shared" si="510"/>
        <v>155</v>
      </c>
      <c r="M909" s="449">
        <f t="shared" si="510"/>
        <v>155</v>
      </c>
      <c r="N909" s="449">
        <f t="shared" si="510"/>
        <v>155</v>
      </c>
      <c r="O909" s="449">
        <f t="shared" si="510"/>
        <v>155</v>
      </c>
      <c r="P909" s="449">
        <f t="shared" si="510"/>
        <v>155</v>
      </c>
      <c r="Q909" s="449">
        <f t="shared" si="510"/>
        <v>155</v>
      </c>
      <c r="R909" s="449">
        <f t="shared" si="510"/>
        <v>155</v>
      </c>
      <c r="S909" s="449">
        <f t="shared" si="510"/>
        <v>155</v>
      </c>
      <c r="T909" s="449">
        <f t="shared" si="510"/>
        <v>155</v>
      </c>
      <c r="U909" s="449">
        <f t="shared" si="510"/>
        <v>155</v>
      </c>
      <c r="V909" s="449">
        <f t="shared" si="510"/>
        <v>155</v>
      </c>
      <c r="W909" s="449">
        <f t="shared" si="510"/>
        <v>155</v>
      </c>
      <c r="X909" s="449">
        <f t="shared" si="510"/>
        <v>155</v>
      </c>
      <c r="Y909" s="449">
        <f t="shared" si="510"/>
        <v>155</v>
      </c>
      <c r="Z909" s="449">
        <f t="shared" si="510"/>
        <v>155</v>
      </c>
      <c r="AA909" s="449">
        <f t="shared" si="510"/>
        <v>155</v>
      </c>
      <c r="AB909" s="449">
        <f t="shared" si="510"/>
        <v>155</v>
      </c>
      <c r="AC909" s="449">
        <f t="shared" si="510"/>
        <v>155</v>
      </c>
      <c r="AD909" s="449">
        <f t="shared" ref="AD909:AH909" si="511">$C879</f>
        <v>200</v>
      </c>
      <c r="AE909" s="449">
        <f t="shared" si="511"/>
        <v>200</v>
      </c>
      <c r="AF909" s="449">
        <f t="shared" si="511"/>
        <v>200</v>
      </c>
      <c r="AG909" s="449">
        <f t="shared" si="511"/>
        <v>200</v>
      </c>
      <c r="AH909" s="449">
        <f t="shared" si="511"/>
        <v>200</v>
      </c>
      <c r="AI909" s="449">
        <f t="shared" ref="AI909:AV909" si="512">$C880</f>
        <v>329</v>
      </c>
      <c r="AJ909" s="449">
        <f t="shared" si="512"/>
        <v>329</v>
      </c>
      <c r="AK909" s="449">
        <f t="shared" si="512"/>
        <v>329</v>
      </c>
      <c r="AL909" s="449">
        <f t="shared" si="512"/>
        <v>329</v>
      </c>
      <c r="AM909" s="449">
        <f t="shared" si="512"/>
        <v>329</v>
      </c>
      <c r="AN909" s="449">
        <f t="shared" si="512"/>
        <v>329</v>
      </c>
      <c r="AO909" s="449">
        <f t="shared" si="512"/>
        <v>329</v>
      </c>
      <c r="AP909" s="449">
        <f t="shared" si="512"/>
        <v>329</v>
      </c>
      <c r="AQ909" s="449">
        <f t="shared" si="512"/>
        <v>329</v>
      </c>
      <c r="AR909" s="449">
        <f t="shared" si="512"/>
        <v>329</v>
      </c>
      <c r="AS909" s="449">
        <f t="shared" si="512"/>
        <v>329</v>
      </c>
      <c r="AT909" s="449">
        <f t="shared" si="512"/>
        <v>329</v>
      </c>
      <c r="AU909" s="449">
        <f t="shared" si="512"/>
        <v>329</v>
      </c>
      <c r="AV909" s="449">
        <f t="shared" si="512"/>
        <v>329</v>
      </c>
      <c r="AW909" s="449">
        <f t="shared" ref="AW909:BD909" si="513">$D880</f>
        <v>378</v>
      </c>
      <c r="AX909" s="449">
        <f t="shared" si="513"/>
        <v>378</v>
      </c>
      <c r="AY909" s="449">
        <f t="shared" si="513"/>
        <v>378</v>
      </c>
      <c r="AZ909" s="449">
        <f t="shared" si="513"/>
        <v>378</v>
      </c>
      <c r="BA909" s="449">
        <f t="shared" si="513"/>
        <v>378</v>
      </c>
      <c r="BB909" s="449">
        <f t="shared" si="513"/>
        <v>378</v>
      </c>
      <c r="BC909" s="449">
        <f t="shared" si="513"/>
        <v>378</v>
      </c>
      <c r="BD909" s="449">
        <f t="shared" si="513"/>
        <v>378</v>
      </c>
      <c r="BE909" s="449">
        <f t="shared" ref="BE909:BJ909" si="514">$E880</f>
        <v>526</v>
      </c>
      <c r="BF909" s="449">
        <f t="shared" si="514"/>
        <v>526</v>
      </c>
      <c r="BG909" s="449">
        <f t="shared" si="514"/>
        <v>526</v>
      </c>
      <c r="BH909" s="449">
        <f t="shared" si="514"/>
        <v>526</v>
      </c>
      <c r="BI909" s="449">
        <f t="shared" si="514"/>
        <v>526</v>
      </c>
      <c r="BJ909" s="449">
        <f t="shared" si="514"/>
        <v>526</v>
      </c>
      <c r="BK909" s="449">
        <f t="shared" ref="BK909:BP909" si="515">$F880</f>
        <v>624</v>
      </c>
      <c r="BL909" s="449">
        <f t="shared" si="515"/>
        <v>624</v>
      </c>
      <c r="BM909" s="449">
        <f t="shared" si="515"/>
        <v>624</v>
      </c>
      <c r="BN909" s="449">
        <f t="shared" si="515"/>
        <v>624</v>
      </c>
      <c r="BO909" s="449">
        <f t="shared" si="515"/>
        <v>624</v>
      </c>
      <c r="BP909" s="449">
        <f t="shared" si="515"/>
        <v>624</v>
      </c>
      <c r="BQ909" s="484">
        <f t="shared" ref="BQ909:BR909" si="516">$G880</f>
        <v>683</v>
      </c>
      <c r="BR909" s="484">
        <f t="shared" si="516"/>
        <v>683</v>
      </c>
      <c r="BS909" s="484">
        <f t="shared" si="475"/>
        <v>735</v>
      </c>
      <c r="BT909" s="484">
        <f t="shared" si="476"/>
        <v>791</v>
      </c>
      <c r="BU909" s="484">
        <f t="shared" si="477"/>
        <v>839</v>
      </c>
      <c r="BV909" s="484">
        <f t="shared" si="478"/>
        <v>889</v>
      </c>
      <c r="BW909" s="484">
        <f t="shared" si="479"/>
        <v>925</v>
      </c>
      <c r="BX909" s="484">
        <f t="shared" ref="BX909:BY909" si="517">$M880</f>
        <v>954</v>
      </c>
      <c r="BY909" s="484">
        <f t="shared" si="517"/>
        <v>954</v>
      </c>
      <c r="BZ909" s="484">
        <f t="shared" si="481"/>
        <v>1057</v>
      </c>
      <c r="CA909" s="484">
        <f t="shared" ref="CA909:CD909" si="518">Q880</f>
        <v>1174</v>
      </c>
      <c r="CB909" s="484">
        <f t="shared" si="518"/>
        <v>1212</v>
      </c>
      <c r="CC909" s="484">
        <f t="shared" si="518"/>
        <v>1371</v>
      </c>
      <c r="CD909" s="484">
        <f t="shared" si="518"/>
        <v>1453</v>
      </c>
    </row>
    <row r="910" spans="1:82">
      <c r="A910" s="473" t="s">
        <v>782</v>
      </c>
      <c r="B910" s="449">
        <f t="shared" ref="B910:AC910" si="519">$B880</f>
        <v>293</v>
      </c>
      <c r="C910" s="449">
        <f t="shared" si="519"/>
        <v>293</v>
      </c>
      <c r="D910" s="449">
        <f t="shared" si="519"/>
        <v>293</v>
      </c>
      <c r="E910" s="449">
        <f t="shared" si="519"/>
        <v>293</v>
      </c>
      <c r="F910" s="449">
        <f t="shared" si="519"/>
        <v>293</v>
      </c>
      <c r="G910" s="449">
        <f t="shared" si="519"/>
        <v>293</v>
      </c>
      <c r="H910" s="449">
        <f t="shared" si="519"/>
        <v>293</v>
      </c>
      <c r="I910" s="449">
        <f t="shared" si="519"/>
        <v>293</v>
      </c>
      <c r="J910" s="449">
        <f t="shared" si="519"/>
        <v>293</v>
      </c>
      <c r="K910" s="449">
        <f t="shared" si="519"/>
        <v>293</v>
      </c>
      <c r="L910" s="449">
        <f t="shared" si="519"/>
        <v>293</v>
      </c>
      <c r="M910" s="449">
        <f t="shared" si="519"/>
        <v>293</v>
      </c>
      <c r="N910" s="449">
        <f t="shared" si="519"/>
        <v>293</v>
      </c>
      <c r="O910" s="449">
        <f t="shared" si="519"/>
        <v>293</v>
      </c>
      <c r="P910" s="449">
        <f t="shared" si="519"/>
        <v>293</v>
      </c>
      <c r="Q910" s="449">
        <f t="shared" si="519"/>
        <v>293</v>
      </c>
      <c r="R910" s="449">
        <f t="shared" si="519"/>
        <v>293</v>
      </c>
      <c r="S910" s="449">
        <f t="shared" si="519"/>
        <v>293</v>
      </c>
      <c r="T910" s="449">
        <f t="shared" si="519"/>
        <v>293</v>
      </c>
      <c r="U910" s="449">
        <f t="shared" si="519"/>
        <v>293</v>
      </c>
      <c r="V910" s="449">
        <f t="shared" si="519"/>
        <v>293</v>
      </c>
      <c r="W910" s="449">
        <f t="shared" si="519"/>
        <v>293</v>
      </c>
      <c r="X910" s="449">
        <f t="shared" si="519"/>
        <v>293</v>
      </c>
      <c r="Y910" s="449">
        <f t="shared" si="519"/>
        <v>293</v>
      </c>
      <c r="Z910" s="449">
        <f t="shared" si="519"/>
        <v>293</v>
      </c>
      <c r="AA910" s="449">
        <f t="shared" si="519"/>
        <v>293</v>
      </c>
      <c r="AB910" s="449">
        <f t="shared" si="519"/>
        <v>293</v>
      </c>
      <c r="AC910" s="449">
        <f t="shared" si="519"/>
        <v>293</v>
      </c>
      <c r="AD910" s="449">
        <f t="shared" ref="AD910:AH910" si="520">$C880</f>
        <v>329</v>
      </c>
      <c r="AE910" s="449">
        <f t="shared" si="520"/>
        <v>329</v>
      </c>
      <c r="AF910" s="449">
        <f t="shared" si="520"/>
        <v>329</v>
      </c>
      <c r="AG910" s="449">
        <f t="shared" si="520"/>
        <v>329</v>
      </c>
      <c r="AH910" s="449">
        <f t="shared" si="520"/>
        <v>329</v>
      </c>
      <c r="AI910" s="449">
        <f t="shared" ref="AI910:AV910" si="521">$C881</f>
        <v>124</v>
      </c>
      <c r="AJ910" s="449">
        <f t="shared" si="521"/>
        <v>124</v>
      </c>
      <c r="AK910" s="449">
        <f t="shared" si="521"/>
        <v>124</v>
      </c>
      <c r="AL910" s="449">
        <f t="shared" si="521"/>
        <v>124</v>
      </c>
      <c r="AM910" s="449">
        <f t="shared" si="521"/>
        <v>124</v>
      </c>
      <c r="AN910" s="449">
        <f t="shared" si="521"/>
        <v>124</v>
      </c>
      <c r="AO910" s="449">
        <f t="shared" si="521"/>
        <v>124</v>
      </c>
      <c r="AP910" s="449">
        <f t="shared" si="521"/>
        <v>124</v>
      </c>
      <c r="AQ910" s="449">
        <f t="shared" si="521"/>
        <v>124</v>
      </c>
      <c r="AR910" s="449">
        <f t="shared" si="521"/>
        <v>124</v>
      </c>
      <c r="AS910" s="449">
        <f t="shared" si="521"/>
        <v>124</v>
      </c>
      <c r="AT910" s="449">
        <f t="shared" si="521"/>
        <v>124</v>
      </c>
      <c r="AU910" s="449">
        <f t="shared" si="521"/>
        <v>124</v>
      </c>
      <c r="AV910" s="449">
        <f t="shared" si="521"/>
        <v>124</v>
      </c>
      <c r="AW910" s="449">
        <f t="shared" ref="AW910:BD910" si="522">$D881</f>
        <v>151</v>
      </c>
      <c r="AX910" s="449">
        <f t="shared" si="522"/>
        <v>151</v>
      </c>
      <c r="AY910" s="449">
        <f t="shared" si="522"/>
        <v>151</v>
      </c>
      <c r="AZ910" s="449">
        <f t="shared" si="522"/>
        <v>151</v>
      </c>
      <c r="BA910" s="449">
        <f t="shared" si="522"/>
        <v>151</v>
      </c>
      <c r="BB910" s="449">
        <f t="shared" si="522"/>
        <v>151</v>
      </c>
      <c r="BC910" s="449">
        <f t="shared" si="522"/>
        <v>151</v>
      </c>
      <c r="BD910" s="449">
        <f t="shared" si="522"/>
        <v>151</v>
      </c>
      <c r="BE910" s="449">
        <f t="shared" ref="BE910:BJ910" si="523">$E881</f>
        <v>196</v>
      </c>
      <c r="BF910" s="449">
        <f t="shared" si="523"/>
        <v>196</v>
      </c>
      <c r="BG910" s="449">
        <f t="shared" si="523"/>
        <v>196</v>
      </c>
      <c r="BH910" s="449">
        <f t="shared" si="523"/>
        <v>196</v>
      </c>
      <c r="BI910" s="449">
        <f t="shared" si="523"/>
        <v>196</v>
      </c>
      <c r="BJ910" s="449">
        <f t="shared" si="523"/>
        <v>196</v>
      </c>
      <c r="BK910" s="449">
        <f t="shared" ref="BK910:BP910" si="524">$F881</f>
        <v>208</v>
      </c>
      <c r="BL910" s="449">
        <f t="shared" si="524"/>
        <v>208</v>
      </c>
      <c r="BM910" s="449">
        <f t="shared" si="524"/>
        <v>208</v>
      </c>
      <c r="BN910" s="449">
        <f t="shared" si="524"/>
        <v>208</v>
      </c>
      <c r="BO910" s="449">
        <f t="shared" si="524"/>
        <v>208</v>
      </c>
      <c r="BP910" s="449">
        <f t="shared" si="524"/>
        <v>208</v>
      </c>
      <c r="BQ910" s="484">
        <f t="shared" ref="BQ910:BR910" si="525">$G881</f>
        <v>230</v>
      </c>
      <c r="BR910" s="484">
        <f t="shared" si="525"/>
        <v>230</v>
      </c>
      <c r="BS910" s="484">
        <f t="shared" si="475"/>
        <v>245</v>
      </c>
      <c r="BT910" s="484">
        <f t="shared" si="476"/>
        <v>266</v>
      </c>
      <c r="BU910" s="484">
        <f t="shared" si="477"/>
        <v>278</v>
      </c>
      <c r="BV910" s="484">
        <f t="shared" si="478"/>
        <v>297</v>
      </c>
      <c r="BW910" s="484">
        <f t="shared" si="479"/>
        <v>308</v>
      </c>
      <c r="BX910" s="484">
        <f t="shared" ref="BX910:BY910" si="526">$M881</f>
        <v>322</v>
      </c>
      <c r="BY910" s="484">
        <f t="shared" si="526"/>
        <v>322</v>
      </c>
      <c r="BZ910" s="484">
        <f t="shared" si="481"/>
        <v>353</v>
      </c>
      <c r="CA910" s="484">
        <f t="shared" ref="CA910:CD910" si="527">Q881</f>
        <v>391</v>
      </c>
      <c r="CB910" s="484">
        <f t="shared" si="527"/>
        <v>406</v>
      </c>
      <c r="CC910" s="484">
        <f t="shared" si="527"/>
        <v>457</v>
      </c>
      <c r="CD910" s="484">
        <f t="shared" si="527"/>
        <v>483</v>
      </c>
    </row>
    <row r="911" spans="1:82">
      <c r="A911" s="472" t="s">
        <v>783</v>
      </c>
      <c r="B911" s="449">
        <f t="shared" ref="B911:AC911" si="528">$B881</f>
        <v>93</v>
      </c>
      <c r="C911" s="449">
        <f t="shared" si="528"/>
        <v>93</v>
      </c>
      <c r="D911" s="449">
        <f t="shared" si="528"/>
        <v>93</v>
      </c>
      <c r="E911" s="449">
        <f t="shared" si="528"/>
        <v>93</v>
      </c>
      <c r="F911" s="449">
        <f t="shared" si="528"/>
        <v>93</v>
      </c>
      <c r="G911" s="449">
        <f t="shared" si="528"/>
        <v>93</v>
      </c>
      <c r="H911" s="449">
        <f t="shared" si="528"/>
        <v>93</v>
      </c>
      <c r="I911" s="449">
        <f t="shared" si="528"/>
        <v>93</v>
      </c>
      <c r="J911" s="449">
        <f t="shared" si="528"/>
        <v>93</v>
      </c>
      <c r="K911" s="449">
        <f t="shared" si="528"/>
        <v>93</v>
      </c>
      <c r="L911" s="449">
        <f t="shared" si="528"/>
        <v>93</v>
      </c>
      <c r="M911" s="449">
        <f t="shared" si="528"/>
        <v>93</v>
      </c>
      <c r="N911" s="449">
        <f t="shared" si="528"/>
        <v>93</v>
      </c>
      <c r="O911" s="449">
        <f t="shared" si="528"/>
        <v>93</v>
      </c>
      <c r="P911" s="449">
        <f t="shared" si="528"/>
        <v>93</v>
      </c>
      <c r="Q911" s="449">
        <f t="shared" si="528"/>
        <v>93</v>
      </c>
      <c r="R911" s="449">
        <f t="shared" si="528"/>
        <v>93</v>
      </c>
      <c r="S911" s="449">
        <f t="shared" si="528"/>
        <v>93</v>
      </c>
      <c r="T911" s="449">
        <f t="shared" si="528"/>
        <v>93</v>
      </c>
      <c r="U911" s="449">
        <f t="shared" si="528"/>
        <v>93</v>
      </c>
      <c r="V911" s="449">
        <f t="shared" si="528"/>
        <v>93</v>
      </c>
      <c r="W911" s="449">
        <f t="shared" si="528"/>
        <v>93</v>
      </c>
      <c r="X911" s="449">
        <f t="shared" si="528"/>
        <v>93</v>
      </c>
      <c r="Y911" s="449">
        <f t="shared" si="528"/>
        <v>93</v>
      </c>
      <c r="Z911" s="449">
        <f t="shared" si="528"/>
        <v>93</v>
      </c>
      <c r="AA911" s="449">
        <f t="shared" si="528"/>
        <v>93</v>
      </c>
      <c r="AB911" s="449">
        <f t="shared" si="528"/>
        <v>93</v>
      </c>
      <c r="AC911" s="449">
        <f t="shared" si="528"/>
        <v>93</v>
      </c>
      <c r="AD911" s="449">
        <f t="shared" ref="AD911:AH911" si="529">$C881</f>
        <v>124</v>
      </c>
      <c r="AE911" s="449">
        <f t="shared" si="529"/>
        <v>124</v>
      </c>
      <c r="AF911" s="449">
        <f t="shared" si="529"/>
        <v>124</v>
      </c>
      <c r="AG911" s="449">
        <f t="shared" si="529"/>
        <v>124</v>
      </c>
      <c r="AH911" s="449">
        <f t="shared" si="529"/>
        <v>124</v>
      </c>
      <c r="AI911" s="449">
        <f t="shared" ref="AI911:AV911" si="530">$C882</f>
        <v>169</v>
      </c>
      <c r="AJ911" s="449">
        <f t="shared" si="530"/>
        <v>169</v>
      </c>
      <c r="AK911" s="449">
        <f t="shared" si="530"/>
        <v>169</v>
      </c>
      <c r="AL911" s="449">
        <f t="shared" si="530"/>
        <v>169</v>
      </c>
      <c r="AM911" s="449">
        <f t="shared" si="530"/>
        <v>169</v>
      </c>
      <c r="AN911" s="449">
        <f t="shared" si="530"/>
        <v>169</v>
      </c>
      <c r="AO911" s="449">
        <f t="shared" si="530"/>
        <v>169</v>
      </c>
      <c r="AP911" s="449">
        <f t="shared" si="530"/>
        <v>169</v>
      </c>
      <c r="AQ911" s="449">
        <f t="shared" si="530"/>
        <v>169</v>
      </c>
      <c r="AR911" s="449">
        <f t="shared" si="530"/>
        <v>169</v>
      </c>
      <c r="AS911" s="449">
        <f t="shared" si="530"/>
        <v>169</v>
      </c>
      <c r="AT911" s="449">
        <f t="shared" si="530"/>
        <v>169</v>
      </c>
      <c r="AU911" s="449">
        <f t="shared" si="530"/>
        <v>169</v>
      </c>
      <c r="AV911" s="449">
        <f t="shared" si="530"/>
        <v>169</v>
      </c>
      <c r="AW911" s="449">
        <f t="shared" ref="AW911:BD911" si="531">$D882</f>
        <v>202</v>
      </c>
      <c r="AX911" s="449">
        <f t="shared" si="531"/>
        <v>202</v>
      </c>
      <c r="AY911" s="449">
        <f t="shared" si="531"/>
        <v>202</v>
      </c>
      <c r="AZ911" s="449">
        <f t="shared" si="531"/>
        <v>202</v>
      </c>
      <c r="BA911" s="449">
        <f t="shared" si="531"/>
        <v>202</v>
      </c>
      <c r="BB911" s="449">
        <f t="shared" si="531"/>
        <v>202</v>
      </c>
      <c r="BC911" s="449">
        <f t="shared" si="531"/>
        <v>202</v>
      </c>
      <c r="BD911" s="449">
        <f t="shared" si="531"/>
        <v>202</v>
      </c>
      <c r="BE911" s="449">
        <f t="shared" ref="BE911:BJ911" si="532">$E882</f>
        <v>253</v>
      </c>
      <c r="BF911" s="449">
        <f t="shared" si="532"/>
        <v>253</v>
      </c>
      <c r="BG911" s="449">
        <f t="shared" si="532"/>
        <v>253</v>
      </c>
      <c r="BH911" s="449">
        <f t="shared" si="532"/>
        <v>253</v>
      </c>
      <c r="BI911" s="449">
        <f t="shared" si="532"/>
        <v>253</v>
      </c>
      <c r="BJ911" s="449">
        <f t="shared" si="532"/>
        <v>253</v>
      </c>
      <c r="BK911" s="449">
        <f t="shared" ref="BK911:BP911" si="533">$F882</f>
        <v>277</v>
      </c>
      <c r="BL911" s="449">
        <f t="shared" si="533"/>
        <v>277</v>
      </c>
      <c r="BM911" s="449">
        <f t="shared" si="533"/>
        <v>277</v>
      </c>
      <c r="BN911" s="449">
        <f t="shared" si="533"/>
        <v>277</v>
      </c>
      <c r="BO911" s="449">
        <f t="shared" si="533"/>
        <v>277</v>
      </c>
      <c r="BP911" s="449">
        <f t="shared" si="533"/>
        <v>277</v>
      </c>
      <c r="BQ911" s="484">
        <f t="shared" ref="BQ911:BR911" si="534">$G882</f>
        <v>308</v>
      </c>
      <c r="BR911" s="484">
        <f t="shared" si="534"/>
        <v>308</v>
      </c>
      <c r="BS911" s="484">
        <f t="shared" si="475"/>
        <v>328</v>
      </c>
      <c r="BT911" s="484">
        <f t="shared" si="476"/>
        <v>353</v>
      </c>
      <c r="BU911" s="484">
        <f t="shared" si="477"/>
        <v>376</v>
      </c>
      <c r="BV911" s="484">
        <f t="shared" si="478"/>
        <v>399</v>
      </c>
      <c r="BW911" s="484">
        <f t="shared" si="479"/>
        <v>412</v>
      </c>
      <c r="BX911" s="484">
        <f t="shared" ref="BX911:BY911" si="535">$M882</f>
        <v>424</v>
      </c>
      <c r="BY911" s="484">
        <f t="shared" si="535"/>
        <v>424</v>
      </c>
      <c r="BZ911" s="484">
        <f t="shared" si="481"/>
        <v>472</v>
      </c>
      <c r="CA911" s="484">
        <f t="shared" ref="CA911:CD911" si="536">Q882</f>
        <v>524</v>
      </c>
      <c r="CB911" s="484">
        <f t="shared" si="536"/>
        <v>538</v>
      </c>
      <c r="CC911" s="484">
        <f t="shared" si="536"/>
        <v>613</v>
      </c>
      <c r="CD911" s="484">
        <f t="shared" si="536"/>
        <v>648</v>
      </c>
    </row>
    <row r="912" spans="1:82">
      <c r="A912" s="472" t="s">
        <v>784</v>
      </c>
      <c r="B912" s="449">
        <f t="shared" ref="B912:AC912" si="537">$B882</f>
        <v>137</v>
      </c>
      <c r="C912" s="449">
        <f t="shared" si="537"/>
        <v>137</v>
      </c>
      <c r="D912" s="449">
        <f t="shared" si="537"/>
        <v>137</v>
      </c>
      <c r="E912" s="449">
        <f t="shared" si="537"/>
        <v>137</v>
      </c>
      <c r="F912" s="449">
        <f t="shared" si="537"/>
        <v>137</v>
      </c>
      <c r="G912" s="449">
        <f t="shared" si="537"/>
        <v>137</v>
      </c>
      <c r="H912" s="449">
        <f t="shared" si="537"/>
        <v>137</v>
      </c>
      <c r="I912" s="449">
        <f t="shared" si="537"/>
        <v>137</v>
      </c>
      <c r="J912" s="449">
        <f t="shared" si="537"/>
        <v>137</v>
      </c>
      <c r="K912" s="449">
        <f t="shared" si="537"/>
        <v>137</v>
      </c>
      <c r="L912" s="449">
        <f t="shared" si="537"/>
        <v>137</v>
      </c>
      <c r="M912" s="449">
        <f t="shared" si="537"/>
        <v>137</v>
      </c>
      <c r="N912" s="449">
        <f t="shared" si="537"/>
        <v>137</v>
      </c>
      <c r="O912" s="449">
        <f t="shared" si="537"/>
        <v>137</v>
      </c>
      <c r="P912" s="449">
        <f t="shared" si="537"/>
        <v>137</v>
      </c>
      <c r="Q912" s="449">
        <f t="shared" si="537"/>
        <v>137</v>
      </c>
      <c r="R912" s="449">
        <f t="shared" si="537"/>
        <v>137</v>
      </c>
      <c r="S912" s="449">
        <f t="shared" si="537"/>
        <v>137</v>
      </c>
      <c r="T912" s="449">
        <f t="shared" si="537"/>
        <v>137</v>
      </c>
      <c r="U912" s="449">
        <f t="shared" si="537"/>
        <v>137</v>
      </c>
      <c r="V912" s="449">
        <f t="shared" si="537"/>
        <v>137</v>
      </c>
      <c r="W912" s="449">
        <f t="shared" si="537"/>
        <v>137</v>
      </c>
      <c r="X912" s="449">
        <f t="shared" si="537"/>
        <v>137</v>
      </c>
      <c r="Y912" s="449">
        <f t="shared" si="537"/>
        <v>137</v>
      </c>
      <c r="Z912" s="449">
        <f t="shared" si="537"/>
        <v>137</v>
      </c>
      <c r="AA912" s="449">
        <f t="shared" si="537"/>
        <v>137</v>
      </c>
      <c r="AB912" s="449">
        <f t="shared" si="537"/>
        <v>137</v>
      </c>
      <c r="AC912" s="449">
        <f t="shared" si="537"/>
        <v>137</v>
      </c>
      <c r="AD912" s="449">
        <f t="shared" ref="AD912:AH912" si="538">$C882</f>
        <v>169</v>
      </c>
      <c r="AE912" s="449">
        <f t="shared" si="538"/>
        <v>169</v>
      </c>
      <c r="AF912" s="449">
        <f t="shared" si="538"/>
        <v>169</v>
      </c>
      <c r="AG912" s="449">
        <f t="shared" si="538"/>
        <v>169</v>
      </c>
      <c r="AH912" s="449">
        <f t="shared" si="538"/>
        <v>169</v>
      </c>
      <c r="AI912" s="449">
        <f t="shared" ref="AI912:AV912" si="539">$C883</f>
        <v>169</v>
      </c>
      <c r="AJ912" s="449">
        <f t="shared" si="539"/>
        <v>169</v>
      </c>
      <c r="AK912" s="449">
        <f t="shared" si="539"/>
        <v>169</v>
      </c>
      <c r="AL912" s="449">
        <f t="shared" si="539"/>
        <v>169</v>
      </c>
      <c r="AM912" s="449">
        <f t="shared" si="539"/>
        <v>169</v>
      </c>
      <c r="AN912" s="449">
        <f t="shared" si="539"/>
        <v>169</v>
      </c>
      <c r="AO912" s="449">
        <f t="shared" si="539"/>
        <v>169</v>
      </c>
      <c r="AP912" s="449">
        <f t="shared" si="539"/>
        <v>169</v>
      </c>
      <c r="AQ912" s="449">
        <f t="shared" si="539"/>
        <v>169</v>
      </c>
      <c r="AR912" s="449">
        <f t="shared" si="539"/>
        <v>169</v>
      </c>
      <c r="AS912" s="449">
        <f t="shared" si="539"/>
        <v>169</v>
      </c>
      <c r="AT912" s="449">
        <f t="shared" si="539"/>
        <v>169</v>
      </c>
      <c r="AU912" s="449">
        <f t="shared" si="539"/>
        <v>169</v>
      </c>
      <c r="AV912" s="449">
        <f t="shared" si="539"/>
        <v>169</v>
      </c>
      <c r="AW912" s="449">
        <f t="shared" ref="AW912:BD912" si="540">$D883</f>
        <v>202</v>
      </c>
      <c r="AX912" s="449">
        <f t="shared" si="540"/>
        <v>202</v>
      </c>
      <c r="AY912" s="449">
        <f t="shared" si="540"/>
        <v>202</v>
      </c>
      <c r="AZ912" s="449">
        <f t="shared" si="540"/>
        <v>202</v>
      </c>
      <c r="BA912" s="449">
        <f t="shared" si="540"/>
        <v>202</v>
      </c>
      <c r="BB912" s="449">
        <f t="shared" si="540"/>
        <v>202</v>
      </c>
      <c r="BC912" s="449">
        <f t="shared" si="540"/>
        <v>202</v>
      </c>
      <c r="BD912" s="449">
        <f t="shared" si="540"/>
        <v>202</v>
      </c>
      <c r="BE912" s="449">
        <f t="shared" ref="BE912:BJ912" si="541">$E883</f>
        <v>253</v>
      </c>
      <c r="BF912" s="449">
        <f t="shared" si="541"/>
        <v>253</v>
      </c>
      <c r="BG912" s="449">
        <f t="shared" si="541"/>
        <v>253</v>
      </c>
      <c r="BH912" s="449">
        <f t="shared" si="541"/>
        <v>253</v>
      </c>
      <c r="BI912" s="449">
        <f t="shared" si="541"/>
        <v>253</v>
      </c>
      <c r="BJ912" s="449">
        <f t="shared" si="541"/>
        <v>253</v>
      </c>
      <c r="BK912" s="449">
        <f t="shared" ref="BK912:BP912" si="542">$F883</f>
        <v>277</v>
      </c>
      <c r="BL912" s="449">
        <f t="shared" si="542"/>
        <v>277</v>
      </c>
      <c r="BM912" s="449">
        <f t="shared" si="542"/>
        <v>277</v>
      </c>
      <c r="BN912" s="449">
        <f t="shared" si="542"/>
        <v>277</v>
      </c>
      <c r="BO912" s="449">
        <f t="shared" si="542"/>
        <v>277</v>
      </c>
      <c r="BP912" s="449">
        <f t="shared" si="542"/>
        <v>277</v>
      </c>
      <c r="BQ912" s="484">
        <f t="shared" ref="BQ912:BR912" si="543">$G883</f>
        <v>308</v>
      </c>
      <c r="BR912" s="484">
        <f t="shared" si="543"/>
        <v>308</v>
      </c>
      <c r="BS912" s="484">
        <f t="shared" si="475"/>
        <v>328</v>
      </c>
      <c r="BT912" s="484">
        <f t="shared" si="476"/>
        <v>353</v>
      </c>
      <c r="BU912" s="484">
        <f t="shared" si="477"/>
        <v>376</v>
      </c>
      <c r="BV912" s="484">
        <f t="shared" si="478"/>
        <v>399</v>
      </c>
      <c r="BW912" s="484">
        <f t="shared" si="479"/>
        <v>412</v>
      </c>
      <c r="BX912" s="484">
        <f t="shared" ref="BX912:BY912" si="544">$M883</f>
        <v>424</v>
      </c>
      <c r="BY912" s="484">
        <f t="shared" si="544"/>
        <v>424</v>
      </c>
      <c r="BZ912" s="484">
        <f t="shared" si="481"/>
        <v>472</v>
      </c>
      <c r="CA912" s="484">
        <f t="shared" ref="CA912:CD912" si="545">Q883</f>
        <v>524</v>
      </c>
      <c r="CB912" s="484">
        <f t="shared" si="545"/>
        <v>538</v>
      </c>
      <c r="CC912" s="484">
        <f t="shared" si="545"/>
        <v>613</v>
      </c>
      <c r="CD912" s="484">
        <f t="shared" si="545"/>
        <v>648</v>
      </c>
    </row>
    <row r="913" spans="1:82">
      <c r="A913" s="472" t="s">
        <v>785</v>
      </c>
      <c r="B913" s="449">
        <f t="shared" ref="B913:AC913" si="546">$B883</f>
        <v>137</v>
      </c>
      <c r="C913" s="449">
        <f t="shared" si="546"/>
        <v>137</v>
      </c>
      <c r="D913" s="449">
        <f t="shared" si="546"/>
        <v>137</v>
      </c>
      <c r="E913" s="449">
        <f t="shared" si="546"/>
        <v>137</v>
      </c>
      <c r="F913" s="449">
        <f t="shared" si="546"/>
        <v>137</v>
      </c>
      <c r="G913" s="449">
        <f t="shared" si="546"/>
        <v>137</v>
      </c>
      <c r="H913" s="449">
        <f t="shared" si="546"/>
        <v>137</v>
      </c>
      <c r="I913" s="449">
        <f t="shared" si="546"/>
        <v>137</v>
      </c>
      <c r="J913" s="449">
        <f t="shared" si="546"/>
        <v>137</v>
      </c>
      <c r="K913" s="449">
        <f t="shared" si="546"/>
        <v>137</v>
      </c>
      <c r="L913" s="449">
        <f t="shared" si="546"/>
        <v>137</v>
      </c>
      <c r="M913" s="449">
        <f t="shared" si="546"/>
        <v>137</v>
      </c>
      <c r="N913" s="449">
        <f t="shared" si="546"/>
        <v>137</v>
      </c>
      <c r="O913" s="449">
        <f t="shared" si="546"/>
        <v>137</v>
      </c>
      <c r="P913" s="449">
        <f t="shared" si="546"/>
        <v>137</v>
      </c>
      <c r="Q913" s="449">
        <f t="shared" si="546"/>
        <v>137</v>
      </c>
      <c r="R913" s="449">
        <f t="shared" si="546"/>
        <v>137</v>
      </c>
      <c r="S913" s="449">
        <f t="shared" si="546"/>
        <v>137</v>
      </c>
      <c r="T913" s="449">
        <f t="shared" si="546"/>
        <v>137</v>
      </c>
      <c r="U913" s="449">
        <f t="shared" si="546"/>
        <v>137</v>
      </c>
      <c r="V913" s="449">
        <f t="shared" si="546"/>
        <v>137</v>
      </c>
      <c r="W913" s="449">
        <f t="shared" si="546"/>
        <v>137</v>
      </c>
      <c r="X913" s="449">
        <f t="shared" si="546"/>
        <v>137</v>
      </c>
      <c r="Y913" s="449">
        <f t="shared" si="546"/>
        <v>137</v>
      </c>
      <c r="Z913" s="449">
        <f t="shared" si="546"/>
        <v>137</v>
      </c>
      <c r="AA913" s="449">
        <f t="shared" si="546"/>
        <v>137</v>
      </c>
      <c r="AB913" s="449">
        <f t="shared" si="546"/>
        <v>137</v>
      </c>
      <c r="AC913" s="449">
        <f t="shared" si="546"/>
        <v>137</v>
      </c>
      <c r="AD913" s="449">
        <f t="shared" ref="AD913:AH913" si="547">$C883</f>
        <v>169</v>
      </c>
      <c r="AE913" s="449">
        <f t="shared" si="547"/>
        <v>169</v>
      </c>
      <c r="AF913" s="449">
        <f t="shared" si="547"/>
        <v>169</v>
      </c>
      <c r="AG913" s="449">
        <f t="shared" si="547"/>
        <v>169</v>
      </c>
      <c r="AH913" s="449">
        <f t="shared" si="547"/>
        <v>169</v>
      </c>
      <c r="AI913" s="449">
        <f t="shared" ref="AI913:AV913" si="548">$C884</f>
        <v>169</v>
      </c>
      <c r="AJ913" s="449">
        <f t="shared" si="548"/>
        <v>169</v>
      </c>
      <c r="AK913" s="449">
        <f t="shared" si="548"/>
        <v>169</v>
      </c>
      <c r="AL913" s="449">
        <f t="shared" si="548"/>
        <v>169</v>
      </c>
      <c r="AM913" s="449">
        <f t="shared" si="548"/>
        <v>169</v>
      </c>
      <c r="AN913" s="449">
        <f t="shared" si="548"/>
        <v>169</v>
      </c>
      <c r="AO913" s="449">
        <f t="shared" si="548"/>
        <v>169</v>
      </c>
      <c r="AP913" s="449">
        <f t="shared" si="548"/>
        <v>169</v>
      </c>
      <c r="AQ913" s="449">
        <f t="shared" si="548"/>
        <v>169</v>
      </c>
      <c r="AR913" s="449">
        <f t="shared" si="548"/>
        <v>169</v>
      </c>
      <c r="AS913" s="449">
        <f t="shared" si="548"/>
        <v>169</v>
      </c>
      <c r="AT913" s="449">
        <f t="shared" si="548"/>
        <v>169</v>
      </c>
      <c r="AU913" s="449">
        <f t="shared" si="548"/>
        <v>169</v>
      </c>
      <c r="AV913" s="449">
        <f t="shared" si="548"/>
        <v>169</v>
      </c>
      <c r="AW913" s="449">
        <f t="shared" ref="AW913:BD913" si="549">$D884</f>
        <v>202</v>
      </c>
      <c r="AX913" s="449">
        <f t="shared" si="549"/>
        <v>202</v>
      </c>
      <c r="AY913" s="449">
        <f t="shared" si="549"/>
        <v>202</v>
      </c>
      <c r="AZ913" s="449">
        <f t="shared" si="549"/>
        <v>202</v>
      </c>
      <c r="BA913" s="449">
        <f t="shared" si="549"/>
        <v>202</v>
      </c>
      <c r="BB913" s="449">
        <f t="shared" si="549"/>
        <v>202</v>
      </c>
      <c r="BC913" s="449">
        <f t="shared" si="549"/>
        <v>202</v>
      </c>
      <c r="BD913" s="449">
        <f t="shared" si="549"/>
        <v>202</v>
      </c>
      <c r="BE913" s="449">
        <f t="shared" ref="BE913:BJ913" si="550">$E884</f>
        <v>253</v>
      </c>
      <c r="BF913" s="449">
        <f t="shared" si="550"/>
        <v>253</v>
      </c>
      <c r="BG913" s="449">
        <f t="shared" si="550"/>
        <v>253</v>
      </c>
      <c r="BH913" s="449">
        <f t="shared" si="550"/>
        <v>253</v>
      </c>
      <c r="BI913" s="449">
        <f t="shared" si="550"/>
        <v>253</v>
      </c>
      <c r="BJ913" s="449">
        <f t="shared" si="550"/>
        <v>253</v>
      </c>
      <c r="BK913" s="449">
        <f t="shared" ref="BK913:BP913" si="551">$F884</f>
        <v>277</v>
      </c>
      <c r="BL913" s="449">
        <f t="shared" si="551"/>
        <v>277</v>
      </c>
      <c r="BM913" s="449">
        <f t="shared" si="551"/>
        <v>277</v>
      </c>
      <c r="BN913" s="449">
        <f t="shared" si="551"/>
        <v>277</v>
      </c>
      <c r="BO913" s="449">
        <f t="shared" si="551"/>
        <v>277</v>
      </c>
      <c r="BP913" s="449">
        <f t="shared" si="551"/>
        <v>277</v>
      </c>
      <c r="BQ913" s="484">
        <f t="shared" ref="BQ913:BR913" si="552">$G884</f>
        <v>308</v>
      </c>
      <c r="BR913" s="484">
        <f t="shared" si="552"/>
        <v>308</v>
      </c>
      <c r="BS913" s="484">
        <f t="shared" si="475"/>
        <v>328</v>
      </c>
      <c r="BT913" s="484">
        <f t="shared" si="476"/>
        <v>353</v>
      </c>
      <c r="BU913" s="484">
        <f t="shared" si="477"/>
        <v>376</v>
      </c>
      <c r="BV913" s="484">
        <f t="shared" si="478"/>
        <v>399</v>
      </c>
      <c r="BW913" s="484">
        <f t="shared" si="479"/>
        <v>412</v>
      </c>
      <c r="BX913" s="484">
        <f t="shared" ref="BX913:BY913" si="553">$M884</f>
        <v>424</v>
      </c>
      <c r="BY913" s="484">
        <f t="shared" si="553"/>
        <v>424</v>
      </c>
      <c r="BZ913" s="484">
        <f t="shared" si="481"/>
        <v>472</v>
      </c>
      <c r="CA913" s="484">
        <f t="shared" ref="CA913:CD913" si="554">Q884</f>
        <v>524</v>
      </c>
      <c r="CB913" s="484">
        <f t="shared" si="554"/>
        <v>538</v>
      </c>
      <c r="CC913" s="484">
        <f t="shared" si="554"/>
        <v>613</v>
      </c>
      <c r="CD913" s="484">
        <f t="shared" si="554"/>
        <v>648</v>
      </c>
    </row>
    <row r="914" spans="1:82">
      <c r="A914" s="474" t="s">
        <v>786</v>
      </c>
      <c r="B914" s="449">
        <f t="shared" ref="B914:AC914" si="555">$B884</f>
        <v>137</v>
      </c>
      <c r="C914" s="449">
        <f t="shared" si="555"/>
        <v>137</v>
      </c>
      <c r="D914" s="449">
        <f t="shared" si="555"/>
        <v>137</v>
      </c>
      <c r="E914" s="449">
        <f t="shared" si="555"/>
        <v>137</v>
      </c>
      <c r="F914" s="449">
        <f t="shared" si="555"/>
        <v>137</v>
      </c>
      <c r="G914" s="449">
        <f t="shared" si="555"/>
        <v>137</v>
      </c>
      <c r="H914" s="449">
        <f t="shared" si="555"/>
        <v>137</v>
      </c>
      <c r="I914" s="449">
        <f t="shared" si="555"/>
        <v>137</v>
      </c>
      <c r="J914" s="449">
        <f t="shared" si="555"/>
        <v>137</v>
      </c>
      <c r="K914" s="449">
        <f t="shared" si="555"/>
        <v>137</v>
      </c>
      <c r="L914" s="449">
        <f t="shared" si="555"/>
        <v>137</v>
      </c>
      <c r="M914" s="449">
        <f t="shared" si="555"/>
        <v>137</v>
      </c>
      <c r="N914" s="449">
        <f t="shared" si="555"/>
        <v>137</v>
      </c>
      <c r="O914" s="449">
        <f t="shared" si="555"/>
        <v>137</v>
      </c>
      <c r="P914" s="449">
        <f t="shared" si="555"/>
        <v>137</v>
      </c>
      <c r="Q914" s="449">
        <f t="shared" si="555"/>
        <v>137</v>
      </c>
      <c r="R914" s="449">
        <f t="shared" si="555"/>
        <v>137</v>
      </c>
      <c r="S914" s="449">
        <f t="shared" si="555"/>
        <v>137</v>
      </c>
      <c r="T914" s="449">
        <f t="shared" si="555"/>
        <v>137</v>
      </c>
      <c r="U914" s="449">
        <f t="shared" si="555"/>
        <v>137</v>
      </c>
      <c r="V914" s="449">
        <f t="shared" si="555"/>
        <v>137</v>
      </c>
      <c r="W914" s="449">
        <f t="shared" si="555"/>
        <v>137</v>
      </c>
      <c r="X914" s="449">
        <f t="shared" si="555"/>
        <v>137</v>
      </c>
      <c r="Y914" s="449">
        <f t="shared" si="555"/>
        <v>137</v>
      </c>
      <c r="Z914" s="449">
        <f t="shared" si="555"/>
        <v>137</v>
      </c>
      <c r="AA914" s="449">
        <f t="shared" si="555"/>
        <v>137</v>
      </c>
      <c r="AB914" s="449">
        <f t="shared" si="555"/>
        <v>137</v>
      </c>
      <c r="AC914" s="449">
        <f t="shared" si="555"/>
        <v>137</v>
      </c>
      <c r="AD914" s="449">
        <f t="shared" ref="AD914:AH914" si="556">$C884</f>
        <v>169</v>
      </c>
      <c r="AE914" s="449">
        <f t="shared" si="556"/>
        <v>169</v>
      </c>
      <c r="AF914" s="449">
        <f t="shared" si="556"/>
        <v>169</v>
      </c>
      <c r="AG914" s="449">
        <f t="shared" si="556"/>
        <v>169</v>
      </c>
      <c r="AH914" s="449">
        <f t="shared" si="556"/>
        <v>169</v>
      </c>
      <c r="AI914" s="449">
        <f t="shared" ref="AI914:AV914" si="557">$C885</f>
        <v>169</v>
      </c>
      <c r="AJ914" s="449">
        <f t="shared" si="557"/>
        <v>169</v>
      </c>
      <c r="AK914" s="449">
        <f t="shared" si="557"/>
        <v>169</v>
      </c>
      <c r="AL914" s="449">
        <f t="shared" si="557"/>
        <v>169</v>
      </c>
      <c r="AM914" s="449">
        <f t="shared" si="557"/>
        <v>169</v>
      </c>
      <c r="AN914" s="449">
        <f t="shared" si="557"/>
        <v>169</v>
      </c>
      <c r="AO914" s="449">
        <f t="shared" si="557"/>
        <v>169</v>
      </c>
      <c r="AP914" s="449">
        <f t="shared" si="557"/>
        <v>169</v>
      </c>
      <c r="AQ914" s="449">
        <f t="shared" si="557"/>
        <v>169</v>
      </c>
      <c r="AR914" s="449">
        <f t="shared" si="557"/>
        <v>169</v>
      </c>
      <c r="AS914" s="449">
        <f t="shared" si="557"/>
        <v>169</v>
      </c>
      <c r="AT914" s="449">
        <f t="shared" si="557"/>
        <v>169</v>
      </c>
      <c r="AU914" s="449">
        <f t="shared" si="557"/>
        <v>169</v>
      </c>
      <c r="AV914" s="449">
        <f t="shared" si="557"/>
        <v>169</v>
      </c>
      <c r="AW914" s="449">
        <f t="shared" ref="AW914:BD914" si="558">$D885</f>
        <v>202</v>
      </c>
      <c r="AX914" s="449">
        <f t="shared" si="558"/>
        <v>202</v>
      </c>
      <c r="AY914" s="449">
        <f t="shared" si="558"/>
        <v>202</v>
      </c>
      <c r="AZ914" s="449">
        <f t="shared" si="558"/>
        <v>202</v>
      </c>
      <c r="BA914" s="449">
        <f t="shared" si="558"/>
        <v>202</v>
      </c>
      <c r="BB914" s="449">
        <f t="shared" si="558"/>
        <v>202</v>
      </c>
      <c r="BC914" s="449">
        <f t="shared" si="558"/>
        <v>202</v>
      </c>
      <c r="BD914" s="449">
        <f t="shared" si="558"/>
        <v>202</v>
      </c>
      <c r="BE914" s="449">
        <f t="shared" ref="BE914:BJ914" si="559">$E885</f>
        <v>253</v>
      </c>
      <c r="BF914" s="449">
        <f t="shared" si="559"/>
        <v>253</v>
      </c>
      <c r="BG914" s="449">
        <f t="shared" si="559"/>
        <v>253</v>
      </c>
      <c r="BH914" s="449">
        <f t="shared" si="559"/>
        <v>253</v>
      </c>
      <c r="BI914" s="449">
        <f t="shared" si="559"/>
        <v>253</v>
      </c>
      <c r="BJ914" s="449">
        <f t="shared" si="559"/>
        <v>253</v>
      </c>
      <c r="BK914" s="449">
        <f t="shared" ref="BK914:BP914" si="560">$F885</f>
        <v>277</v>
      </c>
      <c r="BL914" s="449">
        <f t="shared" si="560"/>
        <v>277</v>
      </c>
      <c r="BM914" s="449">
        <f t="shared" si="560"/>
        <v>277</v>
      </c>
      <c r="BN914" s="449">
        <f t="shared" si="560"/>
        <v>277</v>
      </c>
      <c r="BO914" s="449">
        <f t="shared" si="560"/>
        <v>277</v>
      </c>
      <c r="BP914" s="449">
        <f t="shared" si="560"/>
        <v>277</v>
      </c>
      <c r="BQ914" s="484">
        <f t="shared" ref="BQ914:BR914" si="561">$G885</f>
        <v>308</v>
      </c>
      <c r="BR914" s="484">
        <f t="shared" si="561"/>
        <v>308</v>
      </c>
      <c r="BS914" s="484">
        <f t="shared" si="475"/>
        <v>328</v>
      </c>
      <c r="BT914" s="484">
        <f t="shared" si="476"/>
        <v>353</v>
      </c>
      <c r="BU914" s="484">
        <f t="shared" si="477"/>
        <v>376</v>
      </c>
      <c r="BV914" s="484">
        <f t="shared" si="478"/>
        <v>399</v>
      </c>
      <c r="BW914" s="484">
        <f t="shared" si="479"/>
        <v>412</v>
      </c>
      <c r="BX914" s="484">
        <f t="shared" ref="BX914:BY914" si="562">$M885</f>
        <v>424</v>
      </c>
      <c r="BY914" s="484">
        <f t="shared" si="562"/>
        <v>424</v>
      </c>
      <c r="BZ914" s="484">
        <f t="shared" si="481"/>
        <v>472</v>
      </c>
      <c r="CA914" s="484">
        <f t="shared" ref="CA914:CD914" si="563">Q885</f>
        <v>524</v>
      </c>
      <c r="CB914" s="484">
        <f t="shared" si="563"/>
        <v>538</v>
      </c>
      <c r="CC914" s="484">
        <f t="shared" si="563"/>
        <v>613</v>
      </c>
      <c r="CD914" s="484">
        <f t="shared" si="563"/>
        <v>648</v>
      </c>
    </row>
    <row r="915" spans="1:82">
      <c r="A915" s="472" t="s">
        <v>787</v>
      </c>
      <c r="B915" s="449">
        <f t="shared" ref="B915:AC915" si="564">$B885</f>
        <v>137</v>
      </c>
      <c r="C915" s="449">
        <f t="shared" si="564"/>
        <v>137</v>
      </c>
      <c r="D915" s="449">
        <f t="shared" si="564"/>
        <v>137</v>
      </c>
      <c r="E915" s="449">
        <f t="shared" si="564"/>
        <v>137</v>
      </c>
      <c r="F915" s="449">
        <f t="shared" si="564"/>
        <v>137</v>
      </c>
      <c r="G915" s="449">
        <f t="shared" si="564"/>
        <v>137</v>
      </c>
      <c r="H915" s="449">
        <f t="shared" si="564"/>
        <v>137</v>
      </c>
      <c r="I915" s="449">
        <f t="shared" si="564"/>
        <v>137</v>
      </c>
      <c r="J915" s="449">
        <f t="shared" si="564"/>
        <v>137</v>
      </c>
      <c r="K915" s="449">
        <f t="shared" si="564"/>
        <v>137</v>
      </c>
      <c r="L915" s="449">
        <f t="shared" si="564"/>
        <v>137</v>
      </c>
      <c r="M915" s="449">
        <f t="shared" si="564"/>
        <v>137</v>
      </c>
      <c r="N915" s="449">
        <f t="shared" si="564"/>
        <v>137</v>
      </c>
      <c r="O915" s="449">
        <f t="shared" si="564"/>
        <v>137</v>
      </c>
      <c r="P915" s="449">
        <f t="shared" si="564"/>
        <v>137</v>
      </c>
      <c r="Q915" s="449">
        <f t="shared" si="564"/>
        <v>137</v>
      </c>
      <c r="R915" s="449">
        <f t="shared" si="564"/>
        <v>137</v>
      </c>
      <c r="S915" s="449">
        <f t="shared" si="564"/>
        <v>137</v>
      </c>
      <c r="T915" s="449">
        <f t="shared" si="564"/>
        <v>137</v>
      </c>
      <c r="U915" s="449">
        <f t="shared" si="564"/>
        <v>137</v>
      </c>
      <c r="V915" s="449">
        <f t="shared" si="564"/>
        <v>137</v>
      </c>
      <c r="W915" s="449">
        <f t="shared" si="564"/>
        <v>137</v>
      </c>
      <c r="X915" s="449">
        <f t="shared" si="564"/>
        <v>137</v>
      </c>
      <c r="Y915" s="449">
        <f t="shared" si="564"/>
        <v>137</v>
      </c>
      <c r="Z915" s="449">
        <f t="shared" si="564"/>
        <v>137</v>
      </c>
      <c r="AA915" s="449">
        <f t="shared" si="564"/>
        <v>137</v>
      </c>
      <c r="AB915" s="449">
        <f t="shared" si="564"/>
        <v>137</v>
      </c>
      <c r="AC915" s="449">
        <f t="shared" si="564"/>
        <v>137</v>
      </c>
      <c r="AD915" s="449">
        <f t="shared" ref="AD915:AH915" si="565">$C885</f>
        <v>169</v>
      </c>
      <c r="AE915" s="449">
        <f t="shared" si="565"/>
        <v>169</v>
      </c>
      <c r="AF915" s="449">
        <f t="shared" si="565"/>
        <v>169</v>
      </c>
      <c r="AG915" s="449">
        <f t="shared" si="565"/>
        <v>169</v>
      </c>
      <c r="AH915" s="449">
        <f t="shared" si="565"/>
        <v>169</v>
      </c>
      <c r="AI915" s="449">
        <f t="shared" ref="AI915:AV915" si="566">$C886</f>
        <v>136</v>
      </c>
      <c r="AJ915" s="449">
        <f t="shared" si="566"/>
        <v>136</v>
      </c>
      <c r="AK915" s="449">
        <f t="shared" si="566"/>
        <v>136</v>
      </c>
      <c r="AL915" s="449">
        <f t="shared" si="566"/>
        <v>136</v>
      </c>
      <c r="AM915" s="449">
        <f t="shared" si="566"/>
        <v>136</v>
      </c>
      <c r="AN915" s="449">
        <f t="shared" si="566"/>
        <v>136</v>
      </c>
      <c r="AO915" s="449">
        <f t="shared" si="566"/>
        <v>136</v>
      </c>
      <c r="AP915" s="449">
        <f t="shared" si="566"/>
        <v>136</v>
      </c>
      <c r="AQ915" s="449">
        <f t="shared" si="566"/>
        <v>136</v>
      </c>
      <c r="AR915" s="449">
        <f t="shared" si="566"/>
        <v>136</v>
      </c>
      <c r="AS915" s="449">
        <f t="shared" si="566"/>
        <v>136</v>
      </c>
      <c r="AT915" s="449">
        <f t="shared" si="566"/>
        <v>136</v>
      </c>
      <c r="AU915" s="449">
        <f t="shared" si="566"/>
        <v>136</v>
      </c>
      <c r="AV915" s="449">
        <f t="shared" si="566"/>
        <v>136</v>
      </c>
      <c r="AW915" s="449">
        <f t="shared" ref="AW915:BD915" si="567">$D886</f>
        <v>157</v>
      </c>
      <c r="AX915" s="449">
        <f t="shared" si="567"/>
        <v>157</v>
      </c>
      <c r="AY915" s="449">
        <f t="shared" si="567"/>
        <v>157</v>
      </c>
      <c r="AZ915" s="449">
        <f t="shared" si="567"/>
        <v>157</v>
      </c>
      <c r="BA915" s="449">
        <f t="shared" si="567"/>
        <v>157</v>
      </c>
      <c r="BB915" s="449">
        <f t="shared" si="567"/>
        <v>157</v>
      </c>
      <c r="BC915" s="449">
        <f t="shared" si="567"/>
        <v>157</v>
      </c>
      <c r="BD915" s="449">
        <f t="shared" si="567"/>
        <v>157</v>
      </c>
      <c r="BE915" s="449">
        <f t="shared" ref="BE915:BJ915" si="568">$E886</f>
        <v>211</v>
      </c>
      <c r="BF915" s="449">
        <f t="shared" si="568"/>
        <v>211</v>
      </c>
      <c r="BG915" s="449">
        <f t="shared" si="568"/>
        <v>211</v>
      </c>
      <c r="BH915" s="449">
        <f t="shared" si="568"/>
        <v>211</v>
      </c>
      <c r="BI915" s="449">
        <f t="shared" si="568"/>
        <v>211</v>
      </c>
      <c r="BJ915" s="449">
        <f t="shared" si="568"/>
        <v>211</v>
      </c>
      <c r="BK915" s="449">
        <f t="shared" ref="BK915:BP915" si="569">$F886</f>
        <v>246</v>
      </c>
      <c r="BL915" s="449">
        <f t="shared" si="569"/>
        <v>246</v>
      </c>
      <c r="BM915" s="449">
        <f t="shared" si="569"/>
        <v>246</v>
      </c>
      <c r="BN915" s="449">
        <f t="shared" si="569"/>
        <v>246</v>
      </c>
      <c r="BO915" s="449">
        <f t="shared" si="569"/>
        <v>246</v>
      </c>
      <c r="BP915" s="449">
        <f t="shared" si="569"/>
        <v>246</v>
      </c>
      <c r="BQ915" s="484">
        <f t="shared" ref="BQ915:BR915" si="570">$G886</f>
        <v>272</v>
      </c>
      <c r="BR915" s="484">
        <f t="shared" si="570"/>
        <v>272</v>
      </c>
      <c r="BS915" s="484">
        <f t="shared" si="475"/>
        <v>289</v>
      </c>
      <c r="BT915" s="484">
        <f t="shared" si="476"/>
        <v>316</v>
      </c>
      <c r="BU915" s="484">
        <f t="shared" si="477"/>
        <v>330</v>
      </c>
      <c r="BV915" s="484">
        <f t="shared" si="478"/>
        <v>350</v>
      </c>
      <c r="BW915" s="484">
        <f t="shared" si="479"/>
        <v>363</v>
      </c>
      <c r="BX915" s="484">
        <f t="shared" ref="BX915:BY915" si="571">$M886</f>
        <v>378</v>
      </c>
      <c r="BY915" s="484">
        <f t="shared" si="571"/>
        <v>378</v>
      </c>
      <c r="BZ915" s="484">
        <f t="shared" si="481"/>
        <v>415</v>
      </c>
      <c r="CA915" s="484">
        <f t="shared" ref="CA915:CD915" si="572">Q886</f>
        <v>463</v>
      </c>
      <c r="CB915" s="484">
        <f t="shared" si="572"/>
        <v>476</v>
      </c>
      <c r="CC915" s="484">
        <f t="shared" si="572"/>
        <v>538</v>
      </c>
      <c r="CD915" s="484">
        <f t="shared" si="572"/>
        <v>573</v>
      </c>
    </row>
    <row r="916" spans="1:82">
      <c r="A916" s="475" t="s">
        <v>788</v>
      </c>
      <c r="B916" s="449">
        <f t="shared" ref="B916:AC916" si="573">$B886</f>
        <v>108</v>
      </c>
      <c r="C916" s="449">
        <f t="shared" si="573"/>
        <v>108</v>
      </c>
      <c r="D916" s="449">
        <f t="shared" si="573"/>
        <v>108</v>
      </c>
      <c r="E916" s="449">
        <f t="shared" si="573"/>
        <v>108</v>
      </c>
      <c r="F916" s="449">
        <f t="shared" si="573"/>
        <v>108</v>
      </c>
      <c r="G916" s="449">
        <f t="shared" si="573"/>
        <v>108</v>
      </c>
      <c r="H916" s="449">
        <f t="shared" si="573"/>
        <v>108</v>
      </c>
      <c r="I916" s="449">
        <f t="shared" si="573"/>
        <v>108</v>
      </c>
      <c r="J916" s="449">
        <f t="shared" si="573"/>
        <v>108</v>
      </c>
      <c r="K916" s="449">
        <f t="shared" si="573"/>
        <v>108</v>
      </c>
      <c r="L916" s="449">
        <f t="shared" si="573"/>
        <v>108</v>
      </c>
      <c r="M916" s="449">
        <f t="shared" si="573"/>
        <v>108</v>
      </c>
      <c r="N916" s="449">
        <f t="shared" si="573"/>
        <v>108</v>
      </c>
      <c r="O916" s="449">
        <f t="shared" si="573"/>
        <v>108</v>
      </c>
      <c r="P916" s="449">
        <f t="shared" si="573"/>
        <v>108</v>
      </c>
      <c r="Q916" s="449">
        <f t="shared" si="573"/>
        <v>108</v>
      </c>
      <c r="R916" s="449">
        <f t="shared" si="573"/>
        <v>108</v>
      </c>
      <c r="S916" s="449">
        <f t="shared" si="573"/>
        <v>108</v>
      </c>
      <c r="T916" s="449">
        <f t="shared" si="573"/>
        <v>108</v>
      </c>
      <c r="U916" s="449">
        <f t="shared" si="573"/>
        <v>108</v>
      </c>
      <c r="V916" s="449">
        <f t="shared" si="573"/>
        <v>108</v>
      </c>
      <c r="W916" s="449">
        <f t="shared" si="573"/>
        <v>108</v>
      </c>
      <c r="X916" s="449">
        <f t="shared" si="573"/>
        <v>108</v>
      </c>
      <c r="Y916" s="449">
        <f t="shared" si="573"/>
        <v>108</v>
      </c>
      <c r="Z916" s="449">
        <f t="shared" si="573"/>
        <v>108</v>
      </c>
      <c r="AA916" s="449">
        <f t="shared" si="573"/>
        <v>108</v>
      </c>
      <c r="AB916" s="449">
        <f t="shared" si="573"/>
        <v>108</v>
      </c>
      <c r="AC916" s="449">
        <f t="shared" si="573"/>
        <v>108</v>
      </c>
      <c r="AD916" s="449">
        <f t="shared" ref="AD916:AH916" si="574">$C886</f>
        <v>136</v>
      </c>
      <c r="AE916" s="449">
        <f t="shared" si="574"/>
        <v>136</v>
      </c>
      <c r="AF916" s="449">
        <f t="shared" si="574"/>
        <v>136</v>
      </c>
      <c r="AG916" s="449">
        <f t="shared" si="574"/>
        <v>136</v>
      </c>
      <c r="AH916" s="449">
        <f t="shared" si="574"/>
        <v>136</v>
      </c>
      <c r="AI916" s="449">
        <f t="shared" ref="AI916:AV916" si="575">$C887</f>
        <v>118</v>
      </c>
      <c r="AJ916" s="449">
        <f t="shared" si="575"/>
        <v>118</v>
      </c>
      <c r="AK916" s="449">
        <f t="shared" si="575"/>
        <v>118</v>
      </c>
      <c r="AL916" s="449">
        <f t="shared" si="575"/>
        <v>118</v>
      </c>
      <c r="AM916" s="449">
        <f t="shared" si="575"/>
        <v>118</v>
      </c>
      <c r="AN916" s="449">
        <f t="shared" si="575"/>
        <v>118</v>
      </c>
      <c r="AO916" s="449">
        <f t="shared" si="575"/>
        <v>118</v>
      </c>
      <c r="AP916" s="449">
        <f t="shared" si="575"/>
        <v>118</v>
      </c>
      <c r="AQ916" s="449">
        <f t="shared" si="575"/>
        <v>118</v>
      </c>
      <c r="AR916" s="449">
        <f t="shared" si="575"/>
        <v>118</v>
      </c>
      <c r="AS916" s="449">
        <f t="shared" si="575"/>
        <v>118</v>
      </c>
      <c r="AT916" s="449">
        <f t="shared" si="575"/>
        <v>118</v>
      </c>
      <c r="AU916" s="449">
        <f t="shared" si="575"/>
        <v>118</v>
      </c>
      <c r="AV916" s="449">
        <f t="shared" si="575"/>
        <v>118</v>
      </c>
      <c r="AW916" s="449">
        <f t="shared" ref="AW916:BD916" si="576">$D887</f>
        <v>142</v>
      </c>
      <c r="AX916" s="449">
        <f t="shared" si="576"/>
        <v>142</v>
      </c>
      <c r="AY916" s="449">
        <f t="shared" si="576"/>
        <v>142</v>
      </c>
      <c r="AZ916" s="449">
        <f t="shared" si="576"/>
        <v>142</v>
      </c>
      <c r="BA916" s="449">
        <f t="shared" si="576"/>
        <v>142</v>
      </c>
      <c r="BB916" s="449">
        <f t="shared" si="576"/>
        <v>142</v>
      </c>
      <c r="BC916" s="449">
        <f t="shared" si="576"/>
        <v>142</v>
      </c>
      <c r="BD916" s="449">
        <f t="shared" si="576"/>
        <v>142</v>
      </c>
      <c r="BE916" s="449">
        <f t="shared" ref="BE916:BJ916" si="577">$E887</f>
        <v>183</v>
      </c>
      <c r="BF916" s="449">
        <f t="shared" si="577"/>
        <v>183</v>
      </c>
      <c r="BG916" s="449">
        <f t="shared" si="577"/>
        <v>183</v>
      </c>
      <c r="BH916" s="449">
        <f t="shared" si="577"/>
        <v>183</v>
      </c>
      <c r="BI916" s="449">
        <f t="shared" si="577"/>
        <v>183</v>
      </c>
      <c r="BJ916" s="449">
        <f t="shared" si="577"/>
        <v>183</v>
      </c>
      <c r="BK916" s="449">
        <f t="shared" ref="BK916:BP916" si="578">$F887</f>
        <v>193</v>
      </c>
      <c r="BL916" s="449">
        <f t="shared" si="578"/>
        <v>193</v>
      </c>
      <c r="BM916" s="449">
        <f t="shared" si="578"/>
        <v>193</v>
      </c>
      <c r="BN916" s="449">
        <f t="shared" si="578"/>
        <v>193</v>
      </c>
      <c r="BO916" s="449">
        <f t="shared" si="578"/>
        <v>193</v>
      </c>
      <c r="BP916" s="449">
        <f t="shared" si="578"/>
        <v>193</v>
      </c>
      <c r="BQ916" s="484">
        <f t="shared" ref="BQ916:BR916" si="579">$G887</f>
        <v>212</v>
      </c>
      <c r="BR916" s="484">
        <f t="shared" si="579"/>
        <v>212</v>
      </c>
      <c r="BS916" s="484">
        <f t="shared" si="475"/>
        <v>225</v>
      </c>
      <c r="BT916" s="484">
        <f t="shared" si="476"/>
        <v>246</v>
      </c>
      <c r="BU916" s="484">
        <f t="shared" si="477"/>
        <v>259</v>
      </c>
      <c r="BV916" s="484">
        <f t="shared" si="478"/>
        <v>271</v>
      </c>
      <c r="BW916" s="484">
        <f t="shared" si="479"/>
        <v>285</v>
      </c>
      <c r="BX916" s="484">
        <f t="shared" ref="BX916:BY916" si="580">$M887</f>
        <v>295</v>
      </c>
      <c r="BY916" s="484">
        <f t="shared" si="580"/>
        <v>295</v>
      </c>
      <c r="BZ916" s="484">
        <f t="shared" si="481"/>
        <v>328</v>
      </c>
      <c r="CA916" s="484">
        <f t="shared" ref="CA916:CD916" si="581">Q887</f>
        <v>362</v>
      </c>
      <c r="CB916" s="484">
        <f t="shared" si="581"/>
        <v>376</v>
      </c>
      <c r="CC916" s="484">
        <f t="shared" si="581"/>
        <v>424</v>
      </c>
      <c r="CD916" s="484">
        <f t="shared" si="581"/>
        <v>448</v>
      </c>
    </row>
    <row r="917" spans="1:82">
      <c r="A917" s="475" t="s">
        <v>789</v>
      </c>
      <c r="B917" s="449">
        <f t="shared" ref="B917:AC917" si="582">$B887</f>
        <v>95</v>
      </c>
      <c r="C917" s="449">
        <f t="shared" si="582"/>
        <v>95</v>
      </c>
      <c r="D917" s="449">
        <f t="shared" si="582"/>
        <v>95</v>
      </c>
      <c r="E917" s="449">
        <f t="shared" si="582"/>
        <v>95</v>
      </c>
      <c r="F917" s="449">
        <f t="shared" si="582"/>
        <v>95</v>
      </c>
      <c r="G917" s="449">
        <f t="shared" si="582"/>
        <v>95</v>
      </c>
      <c r="H917" s="449">
        <f t="shared" si="582"/>
        <v>95</v>
      </c>
      <c r="I917" s="449">
        <f t="shared" si="582"/>
        <v>95</v>
      </c>
      <c r="J917" s="449">
        <f t="shared" si="582"/>
        <v>95</v>
      </c>
      <c r="K917" s="449">
        <f t="shared" si="582"/>
        <v>95</v>
      </c>
      <c r="L917" s="449">
        <f t="shared" si="582"/>
        <v>95</v>
      </c>
      <c r="M917" s="449">
        <f t="shared" si="582"/>
        <v>95</v>
      </c>
      <c r="N917" s="449">
        <f t="shared" si="582"/>
        <v>95</v>
      </c>
      <c r="O917" s="449">
        <f t="shared" si="582"/>
        <v>95</v>
      </c>
      <c r="P917" s="449">
        <f t="shared" si="582"/>
        <v>95</v>
      </c>
      <c r="Q917" s="449">
        <f t="shared" si="582"/>
        <v>95</v>
      </c>
      <c r="R917" s="449">
        <f t="shared" si="582"/>
        <v>95</v>
      </c>
      <c r="S917" s="449">
        <f t="shared" si="582"/>
        <v>95</v>
      </c>
      <c r="T917" s="449">
        <f t="shared" si="582"/>
        <v>95</v>
      </c>
      <c r="U917" s="449">
        <f t="shared" si="582"/>
        <v>95</v>
      </c>
      <c r="V917" s="449">
        <f t="shared" si="582"/>
        <v>95</v>
      </c>
      <c r="W917" s="449">
        <f t="shared" si="582"/>
        <v>95</v>
      </c>
      <c r="X917" s="449">
        <f t="shared" si="582"/>
        <v>95</v>
      </c>
      <c r="Y917" s="449">
        <f t="shared" si="582"/>
        <v>95</v>
      </c>
      <c r="Z917" s="449">
        <f t="shared" si="582"/>
        <v>95</v>
      </c>
      <c r="AA917" s="449">
        <f t="shared" si="582"/>
        <v>95</v>
      </c>
      <c r="AB917" s="449">
        <f t="shared" si="582"/>
        <v>95</v>
      </c>
      <c r="AC917" s="449">
        <f t="shared" si="582"/>
        <v>95</v>
      </c>
      <c r="AD917" s="449">
        <f t="shared" ref="AD917:AH917" si="583">$C887</f>
        <v>118</v>
      </c>
      <c r="AE917" s="449">
        <f t="shared" si="583"/>
        <v>118</v>
      </c>
      <c r="AF917" s="449">
        <f t="shared" si="583"/>
        <v>118</v>
      </c>
      <c r="AG917" s="449">
        <f t="shared" si="583"/>
        <v>118</v>
      </c>
      <c r="AH917" s="449">
        <f t="shared" si="583"/>
        <v>118</v>
      </c>
      <c r="AI917" s="449">
        <f t="shared" ref="AI917:AV917" si="584">$C888</f>
        <v>91</v>
      </c>
      <c r="AJ917" s="449">
        <f t="shared" si="584"/>
        <v>91</v>
      </c>
      <c r="AK917" s="449">
        <f t="shared" si="584"/>
        <v>91</v>
      </c>
      <c r="AL917" s="449">
        <f t="shared" si="584"/>
        <v>91</v>
      </c>
      <c r="AM917" s="449">
        <f t="shared" si="584"/>
        <v>91</v>
      </c>
      <c r="AN917" s="449">
        <f t="shared" si="584"/>
        <v>91</v>
      </c>
      <c r="AO917" s="449">
        <f t="shared" si="584"/>
        <v>91</v>
      </c>
      <c r="AP917" s="449">
        <f t="shared" si="584"/>
        <v>91</v>
      </c>
      <c r="AQ917" s="449">
        <f t="shared" si="584"/>
        <v>91</v>
      </c>
      <c r="AR917" s="449">
        <f t="shared" si="584"/>
        <v>91</v>
      </c>
      <c r="AS917" s="449">
        <f t="shared" si="584"/>
        <v>91</v>
      </c>
      <c r="AT917" s="449">
        <f t="shared" si="584"/>
        <v>91</v>
      </c>
      <c r="AU917" s="449">
        <f t="shared" si="584"/>
        <v>91</v>
      </c>
      <c r="AV917" s="449">
        <f t="shared" si="584"/>
        <v>91</v>
      </c>
      <c r="AW917" s="449">
        <f t="shared" ref="AW917:BD917" si="585">$D888</f>
        <v>116</v>
      </c>
      <c r="AX917" s="449">
        <f t="shared" si="585"/>
        <v>116</v>
      </c>
      <c r="AY917" s="449">
        <f t="shared" si="585"/>
        <v>116</v>
      </c>
      <c r="AZ917" s="449">
        <f t="shared" si="585"/>
        <v>116</v>
      </c>
      <c r="BA917" s="449">
        <f t="shared" si="585"/>
        <v>116</v>
      </c>
      <c r="BB917" s="449">
        <f t="shared" si="585"/>
        <v>116</v>
      </c>
      <c r="BC917" s="449">
        <f t="shared" si="585"/>
        <v>116</v>
      </c>
      <c r="BD917" s="449">
        <f t="shared" si="585"/>
        <v>116</v>
      </c>
      <c r="BE917" s="449">
        <f t="shared" ref="BE917:BJ917" si="586">$E888</f>
        <v>140</v>
      </c>
      <c r="BF917" s="449">
        <f t="shared" si="586"/>
        <v>140</v>
      </c>
      <c r="BG917" s="449">
        <f t="shared" si="586"/>
        <v>140</v>
      </c>
      <c r="BH917" s="449">
        <f t="shared" si="586"/>
        <v>140</v>
      </c>
      <c r="BI917" s="449">
        <f t="shared" si="586"/>
        <v>140</v>
      </c>
      <c r="BJ917" s="449">
        <f t="shared" si="586"/>
        <v>140</v>
      </c>
      <c r="BK917" s="449">
        <f t="shared" ref="BK917:BP917" si="587">$F888</f>
        <v>149</v>
      </c>
      <c r="BL917" s="449">
        <f t="shared" si="587"/>
        <v>149</v>
      </c>
      <c r="BM917" s="449">
        <f t="shared" si="587"/>
        <v>149</v>
      </c>
      <c r="BN917" s="449">
        <f t="shared" si="587"/>
        <v>149</v>
      </c>
      <c r="BO917" s="449">
        <f t="shared" si="587"/>
        <v>149</v>
      </c>
      <c r="BP917" s="449">
        <f t="shared" si="587"/>
        <v>149</v>
      </c>
      <c r="BQ917" s="484">
        <f t="shared" ref="BQ917:BR917" si="588">$G888</f>
        <v>168</v>
      </c>
      <c r="BR917" s="484">
        <f t="shared" si="588"/>
        <v>168</v>
      </c>
      <c r="BS917" s="484">
        <f t="shared" si="475"/>
        <v>178</v>
      </c>
      <c r="BT917" s="484">
        <f t="shared" si="476"/>
        <v>198</v>
      </c>
      <c r="BU917" s="484">
        <f t="shared" si="477"/>
        <v>209</v>
      </c>
      <c r="BV917" s="484">
        <f t="shared" si="478"/>
        <v>223</v>
      </c>
      <c r="BW917" s="484">
        <f t="shared" si="479"/>
        <v>233</v>
      </c>
      <c r="BX917" s="484">
        <f t="shared" ref="BX917:BY917" si="589">$M888</f>
        <v>242</v>
      </c>
      <c r="BY917" s="484">
        <f t="shared" si="589"/>
        <v>242</v>
      </c>
      <c r="BZ917" s="484">
        <f t="shared" si="481"/>
        <v>288</v>
      </c>
      <c r="CA917" s="484">
        <f t="shared" ref="CA917:CD917" si="590">Q888</f>
        <v>315</v>
      </c>
      <c r="CB917" s="484">
        <f t="shared" si="590"/>
        <v>325</v>
      </c>
      <c r="CC917" s="484">
        <f t="shared" si="590"/>
        <v>362</v>
      </c>
      <c r="CD917" s="484">
        <f t="shared" si="590"/>
        <v>387</v>
      </c>
    </row>
    <row r="918" spans="1:82">
      <c r="A918" s="475" t="s">
        <v>790</v>
      </c>
      <c r="B918" s="449">
        <f t="shared" ref="B918:AC918" si="591">$B888</f>
        <v>71</v>
      </c>
      <c r="C918" s="449">
        <f t="shared" si="591"/>
        <v>71</v>
      </c>
      <c r="D918" s="449">
        <f t="shared" si="591"/>
        <v>71</v>
      </c>
      <c r="E918" s="449">
        <f t="shared" si="591"/>
        <v>71</v>
      </c>
      <c r="F918" s="449">
        <f t="shared" si="591"/>
        <v>71</v>
      </c>
      <c r="G918" s="449">
        <f t="shared" si="591"/>
        <v>71</v>
      </c>
      <c r="H918" s="449">
        <f t="shared" si="591"/>
        <v>71</v>
      </c>
      <c r="I918" s="449">
        <f t="shared" si="591"/>
        <v>71</v>
      </c>
      <c r="J918" s="449">
        <f t="shared" si="591"/>
        <v>71</v>
      </c>
      <c r="K918" s="449">
        <f t="shared" si="591"/>
        <v>71</v>
      </c>
      <c r="L918" s="449">
        <f t="shared" si="591"/>
        <v>71</v>
      </c>
      <c r="M918" s="449">
        <f t="shared" si="591"/>
        <v>71</v>
      </c>
      <c r="N918" s="449">
        <f t="shared" si="591"/>
        <v>71</v>
      </c>
      <c r="O918" s="449">
        <f t="shared" si="591"/>
        <v>71</v>
      </c>
      <c r="P918" s="449">
        <f t="shared" si="591"/>
        <v>71</v>
      </c>
      <c r="Q918" s="449">
        <f t="shared" si="591"/>
        <v>71</v>
      </c>
      <c r="R918" s="449">
        <f t="shared" si="591"/>
        <v>71</v>
      </c>
      <c r="S918" s="449">
        <f t="shared" si="591"/>
        <v>71</v>
      </c>
      <c r="T918" s="449">
        <f t="shared" si="591"/>
        <v>71</v>
      </c>
      <c r="U918" s="449">
        <f t="shared" si="591"/>
        <v>71</v>
      </c>
      <c r="V918" s="449">
        <f t="shared" si="591"/>
        <v>71</v>
      </c>
      <c r="W918" s="449">
        <f t="shared" si="591"/>
        <v>71</v>
      </c>
      <c r="X918" s="449">
        <f t="shared" si="591"/>
        <v>71</v>
      </c>
      <c r="Y918" s="449">
        <f t="shared" si="591"/>
        <v>71</v>
      </c>
      <c r="Z918" s="449">
        <f t="shared" si="591"/>
        <v>71</v>
      </c>
      <c r="AA918" s="449">
        <f t="shared" si="591"/>
        <v>71</v>
      </c>
      <c r="AB918" s="449">
        <f t="shared" si="591"/>
        <v>71</v>
      </c>
      <c r="AC918" s="449">
        <f t="shared" si="591"/>
        <v>71</v>
      </c>
      <c r="AD918" s="449">
        <f t="shared" ref="AD918:AH918" si="592">$C888</f>
        <v>91</v>
      </c>
      <c r="AE918" s="449">
        <f t="shared" si="592"/>
        <v>91</v>
      </c>
      <c r="AF918" s="449">
        <f t="shared" si="592"/>
        <v>91</v>
      </c>
      <c r="AG918" s="449">
        <f t="shared" si="592"/>
        <v>91</v>
      </c>
      <c r="AH918" s="449">
        <f t="shared" si="592"/>
        <v>91</v>
      </c>
      <c r="AI918" s="449">
        <f t="shared" ref="AI918:AV918" si="593">$C889</f>
        <v>200</v>
      </c>
      <c r="AJ918" s="449">
        <f t="shared" si="593"/>
        <v>200</v>
      </c>
      <c r="AK918" s="449">
        <f t="shared" si="593"/>
        <v>200</v>
      </c>
      <c r="AL918" s="449">
        <f t="shared" si="593"/>
        <v>200</v>
      </c>
      <c r="AM918" s="449">
        <f t="shared" si="593"/>
        <v>200</v>
      </c>
      <c r="AN918" s="449">
        <f t="shared" si="593"/>
        <v>200</v>
      </c>
      <c r="AO918" s="449">
        <f t="shared" si="593"/>
        <v>200</v>
      </c>
      <c r="AP918" s="449">
        <f t="shared" si="593"/>
        <v>200</v>
      </c>
      <c r="AQ918" s="449">
        <f t="shared" si="593"/>
        <v>200</v>
      </c>
      <c r="AR918" s="449">
        <f t="shared" si="593"/>
        <v>200</v>
      </c>
      <c r="AS918" s="449">
        <f t="shared" si="593"/>
        <v>200</v>
      </c>
      <c r="AT918" s="449">
        <f t="shared" si="593"/>
        <v>200</v>
      </c>
      <c r="AU918" s="449">
        <f t="shared" si="593"/>
        <v>200</v>
      </c>
      <c r="AV918" s="449">
        <f t="shared" si="593"/>
        <v>200</v>
      </c>
      <c r="AW918" s="449">
        <f t="shared" ref="AW918:BD918" si="594">$D889</f>
        <v>245</v>
      </c>
      <c r="AX918" s="449">
        <f t="shared" si="594"/>
        <v>245</v>
      </c>
      <c r="AY918" s="449">
        <f t="shared" si="594"/>
        <v>245</v>
      </c>
      <c r="AZ918" s="449">
        <f t="shared" si="594"/>
        <v>245</v>
      </c>
      <c r="BA918" s="449">
        <f t="shared" si="594"/>
        <v>245</v>
      </c>
      <c r="BB918" s="449">
        <f t="shared" si="594"/>
        <v>245</v>
      </c>
      <c r="BC918" s="449">
        <f t="shared" si="594"/>
        <v>245</v>
      </c>
      <c r="BD918" s="449">
        <f t="shared" si="594"/>
        <v>245</v>
      </c>
      <c r="BE918" s="449">
        <f t="shared" ref="BE918:BJ918" si="595">$E889</f>
        <v>294</v>
      </c>
      <c r="BF918" s="449">
        <f t="shared" si="595"/>
        <v>294</v>
      </c>
      <c r="BG918" s="449">
        <f t="shared" si="595"/>
        <v>294</v>
      </c>
      <c r="BH918" s="449">
        <f t="shared" si="595"/>
        <v>294</v>
      </c>
      <c r="BI918" s="449">
        <f t="shared" si="595"/>
        <v>294</v>
      </c>
      <c r="BJ918" s="449">
        <f t="shared" si="595"/>
        <v>294</v>
      </c>
      <c r="BK918" s="449">
        <f t="shared" ref="BK918:BP918" si="596">$F889</f>
        <v>329</v>
      </c>
      <c r="BL918" s="449">
        <f t="shared" si="596"/>
        <v>329</v>
      </c>
      <c r="BM918" s="449">
        <f t="shared" si="596"/>
        <v>329</v>
      </c>
      <c r="BN918" s="449">
        <f t="shared" si="596"/>
        <v>329</v>
      </c>
      <c r="BO918" s="449">
        <f t="shared" si="596"/>
        <v>329</v>
      </c>
      <c r="BP918" s="449">
        <f t="shared" si="596"/>
        <v>329</v>
      </c>
      <c r="BQ918" s="484">
        <f t="shared" ref="BQ918:BR918" si="597">$G889</f>
        <v>362</v>
      </c>
      <c r="BR918" s="484">
        <f t="shared" si="597"/>
        <v>362</v>
      </c>
      <c r="BS918" s="484">
        <f t="shared" si="475"/>
        <v>386</v>
      </c>
      <c r="BT918" s="484">
        <f t="shared" si="476"/>
        <v>414</v>
      </c>
      <c r="BU918" s="484">
        <f t="shared" si="477"/>
        <v>443</v>
      </c>
      <c r="BV918" s="484">
        <f t="shared" si="478"/>
        <v>469</v>
      </c>
      <c r="BW918" s="484">
        <f t="shared" si="479"/>
        <v>485</v>
      </c>
      <c r="BX918" s="484">
        <f t="shared" ref="BX918:BY918" si="598">$M889</f>
        <v>506</v>
      </c>
      <c r="BY918" s="484">
        <f t="shared" si="598"/>
        <v>506</v>
      </c>
      <c r="BZ918" s="484">
        <f t="shared" si="481"/>
        <v>558</v>
      </c>
      <c r="CA918" s="484">
        <f t="shared" ref="CA918:CD918" si="599">Q889</f>
        <v>619</v>
      </c>
      <c r="CB918" s="484">
        <f t="shared" si="599"/>
        <v>637</v>
      </c>
      <c r="CC918" s="484">
        <f t="shared" si="599"/>
        <v>724</v>
      </c>
      <c r="CD918" s="484">
        <f t="shared" si="599"/>
        <v>766</v>
      </c>
    </row>
    <row r="919" spans="1:82">
      <c r="A919" s="475" t="s">
        <v>791</v>
      </c>
      <c r="B919" s="449">
        <f t="shared" ref="B919:AC919" si="600">$B889</f>
        <v>160</v>
      </c>
      <c r="C919" s="449">
        <f t="shared" si="600"/>
        <v>160</v>
      </c>
      <c r="D919" s="449">
        <f t="shared" si="600"/>
        <v>160</v>
      </c>
      <c r="E919" s="449">
        <f t="shared" si="600"/>
        <v>160</v>
      </c>
      <c r="F919" s="449">
        <f t="shared" si="600"/>
        <v>160</v>
      </c>
      <c r="G919" s="449">
        <f t="shared" si="600"/>
        <v>160</v>
      </c>
      <c r="H919" s="449">
        <f t="shared" si="600"/>
        <v>160</v>
      </c>
      <c r="I919" s="449">
        <f t="shared" si="600"/>
        <v>160</v>
      </c>
      <c r="J919" s="449">
        <f t="shared" si="600"/>
        <v>160</v>
      </c>
      <c r="K919" s="449">
        <f t="shared" si="600"/>
        <v>160</v>
      </c>
      <c r="L919" s="449">
        <f t="shared" si="600"/>
        <v>160</v>
      </c>
      <c r="M919" s="449">
        <f t="shared" si="600"/>
        <v>160</v>
      </c>
      <c r="N919" s="449">
        <f t="shared" si="600"/>
        <v>160</v>
      </c>
      <c r="O919" s="449">
        <f t="shared" si="600"/>
        <v>160</v>
      </c>
      <c r="P919" s="449">
        <f t="shared" si="600"/>
        <v>160</v>
      </c>
      <c r="Q919" s="449">
        <f t="shared" si="600"/>
        <v>160</v>
      </c>
      <c r="R919" s="449">
        <f t="shared" si="600"/>
        <v>160</v>
      </c>
      <c r="S919" s="449">
        <f t="shared" si="600"/>
        <v>160</v>
      </c>
      <c r="T919" s="449">
        <f t="shared" si="600"/>
        <v>160</v>
      </c>
      <c r="U919" s="449">
        <f t="shared" si="600"/>
        <v>160</v>
      </c>
      <c r="V919" s="449">
        <f t="shared" si="600"/>
        <v>160</v>
      </c>
      <c r="W919" s="449">
        <f t="shared" si="600"/>
        <v>160</v>
      </c>
      <c r="X919" s="449">
        <f t="shared" si="600"/>
        <v>160</v>
      </c>
      <c r="Y919" s="449">
        <f t="shared" si="600"/>
        <v>160</v>
      </c>
      <c r="Z919" s="449">
        <f t="shared" si="600"/>
        <v>160</v>
      </c>
      <c r="AA919" s="449">
        <f t="shared" si="600"/>
        <v>160</v>
      </c>
      <c r="AB919" s="449">
        <f t="shared" si="600"/>
        <v>160</v>
      </c>
      <c r="AC919" s="449">
        <f t="shared" si="600"/>
        <v>160</v>
      </c>
      <c r="AD919" s="449">
        <f t="shared" ref="AD919:AH919" si="601">$C889</f>
        <v>200</v>
      </c>
      <c r="AE919" s="449">
        <f t="shared" si="601"/>
        <v>200</v>
      </c>
      <c r="AF919" s="449">
        <f t="shared" si="601"/>
        <v>200</v>
      </c>
      <c r="AG919" s="449">
        <f t="shared" si="601"/>
        <v>200</v>
      </c>
      <c r="AH919" s="449">
        <f t="shared" si="601"/>
        <v>200</v>
      </c>
      <c r="AI919" s="449">
        <f t="shared" ref="AI919:AV919" si="602">$C890</f>
        <v>106</v>
      </c>
      <c r="AJ919" s="449">
        <f t="shared" si="602"/>
        <v>106</v>
      </c>
      <c r="AK919" s="449">
        <f t="shared" si="602"/>
        <v>106</v>
      </c>
      <c r="AL919" s="449">
        <f t="shared" si="602"/>
        <v>106</v>
      </c>
      <c r="AM919" s="449">
        <f t="shared" si="602"/>
        <v>106</v>
      </c>
      <c r="AN919" s="449">
        <f t="shared" si="602"/>
        <v>106</v>
      </c>
      <c r="AO919" s="449">
        <f t="shared" si="602"/>
        <v>106</v>
      </c>
      <c r="AP919" s="449">
        <f t="shared" si="602"/>
        <v>106</v>
      </c>
      <c r="AQ919" s="449">
        <f t="shared" si="602"/>
        <v>106</v>
      </c>
      <c r="AR919" s="449">
        <f t="shared" si="602"/>
        <v>106</v>
      </c>
      <c r="AS919" s="449">
        <f t="shared" si="602"/>
        <v>106</v>
      </c>
      <c r="AT919" s="449">
        <f t="shared" si="602"/>
        <v>106</v>
      </c>
      <c r="AU919" s="449">
        <f t="shared" si="602"/>
        <v>106</v>
      </c>
      <c r="AV919" s="449">
        <f t="shared" si="602"/>
        <v>106</v>
      </c>
      <c r="AW919" s="449">
        <f t="shared" ref="AW919:BD919" si="603">$D890</f>
        <v>127</v>
      </c>
      <c r="AX919" s="449">
        <f t="shared" si="603"/>
        <v>127</v>
      </c>
      <c r="AY919" s="449">
        <f t="shared" si="603"/>
        <v>127</v>
      </c>
      <c r="AZ919" s="449">
        <f t="shared" si="603"/>
        <v>127</v>
      </c>
      <c r="BA919" s="449">
        <f t="shared" si="603"/>
        <v>127</v>
      </c>
      <c r="BB919" s="449">
        <f t="shared" si="603"/>
        <v>127</v>
      </c>
      <c r="BC919" s="449">
        <f t="shared" si="603"/>
        <v>127</v>
      </c>
      <c r="BD919" s="449">
        <f t="shared" si="603"/>
        <v>127</v>
      </c>
      <c r="BE919" s="449">
        <f t="shared" ref="BE919:BJ919" si="604">$E890</f>
        <v>151</v>
      </c>
      <c r="BF919" s="449">
        <f t="shared" si="604"/>
        <v>151</v>
      </c>
      <c r="BG919" s="449">
        <f t="shared" si="604"/>
        <v>151</v>
      </c>
      <c r="BH919" s="449">
        <f t="shared" si="604"/>
        <v>151</v>
      </c>
      <c r="BI919" s="449">
        <f t="shared" si="604"/>
        <v>151</v>
      </c>
      <c r="BJ919" s="449">
        <f t="shared" si="604"/>
        <v>151</v>
      </c>
      <c r="BK919" s="449">
        <f t="shared" ref="BK919:BP919" si="605">$F890</f>
        <v>158</v>
      </c>
      <c r="BL919" s="449">
        <f t="shared" si="605"/>
        <v>158</v>
      </c>
      <c r="BM919" s="449">
        <f t="shared" si="605"/>
        <v>158</v>
      </c>
      <c r="BN919" s="449">
        <f t="shared" si="605"/>
        <v>158</v>
      </c>
      <c r="BO919" s="449">
        <f t="shared" si="605"/>
        <v>158</v>
      </c>
      <c r="BP919" s="449">
        <f t="shared" si="605"/>
        <v>158</v>
      </c>
      <c r="BQ919" s="484">
        <f t="shared" ref="BQ919:BR919" si="606">$G890</f>
        <v>178</v>
      </c>
      <c r="BR919" s="484">
        <f t="shared" si="606"/>
        <v>178</v>
      </c>
      <c r="BS919" s="484">
        <f t="shared" si="475"/>
        <v>188</v>
      </c>
      <c r="BT919" s="484">
        <f t="shared" si="476"/>
        <v>204</v>
      </c>
      <c r="BU919" s="484">
        <f t="shared" si="477"/>
        <v>215</v>
      </c>
      <c r="BV919" s="484">
        <f t="shared" si="478"/>
        <v>225</v>
      </c>
      <c r="BW919" s="484">
        <f t="shared" si="479"/>
        <v>237</v>
      </c>
      <c r="BX919" s="484">
        <f t="shared" ref="BX919:BY919" si="607">$M890</f>
        <v>243</v>
      </c>
      <c r="BY919" s="484">
        <f t="shared" si="607"/>
        <v>243</v>
      </c>
      <c r="BZ919" s="484">
        <f t="shared" si="481"/>
        <v>270</v>
      </c>
      <c r="CA919" s="484">
        <f t="shared" ref="CA919:CD919" si="608">Q890</f>
        <v>299</v>
      </c>
      <c r="CB919" s="484">
        <f t="shared" si="608"/>
        <v>310</v>
      </c>
      <c r="CC919" s="484">
        <f t="shared" si="608"/>
        <v>350</v>
      </c>
      <c r="CD919" s="484">
        <f t="shared" si="608"/>
        <v>370</v>
      </c>
    </row>
    <row r="920" spans="1:82">
      <c r="A920" s="472" t="s">
        <v>792</v>
      </c>
      <c r="B920" s="449">
        <f t="shared" ref="B920:AC920" si="609">$B890</f>
        <v>85</v>
      </c>
      <c r="C920" s="449">
        <f t="shared" si="609"/>
        <v>85</v>
      </c>
      <c r="D920" s="449">
        <f t="shared" si="609"/>
        <v>85</v>
      </c>
      <c r="E920" s="449">
        <f t="shared" si="609"/>
        <v>85</v>
      </c>
      <c r="F920" s="449">
        <f t="shared" si="609"/>
        <v>85</v>
      </c>
      <c r="G920" s="449">
        <f t="shared" si="609"/>
        <v>85</v>
      </c>
      <c r="H920" s="449">
        <f t="shared" si="609"/>
        <v>85</v>
      </c>
      <c r="I920" s="449">
        <f t="shared" si="609"/>
        <v>85</v>
      </c>
      <c r="J920" s="449">
        <f t="shared" si="609"/>
        <v>85</v>
      </c>
      <c r="K920" s="449">
        <f t="shared" si="609"/>
        <v>85</v>
      </c>
      <c r="L920" s="449">
        <f t="shared" si="609"/>
        <v>85</v>
      </c>
      <c r="M920" s="449">
        <f t="shared" si="609"/>
        <v>85</v>
      </c>
      <c r="N920" s="449">
        <f t="shared" si="609"/>
        <v>85</v>
      </c>
      <c r="O920" s="449">
        <f t="shared" si="609"/>
        <v>85</v>
      </c>
      <c r="P920" s="449">
        <f t="shared" si="609"/>
        <v>85</v>
      </c>
      <c r="Q920" s="449">
        <f t="shared" si="609"/>
        <v>85</v>
      </c>
      <c r="R920" s="449">
        <f t="shared" si="609"/>
        <v>85</v>
      </c>
      <c r="S920" s="449">
        <f t="shared" si="609"/>
        <v>85</v>
      </c>
      <c r="T920" s="449">
        <f t="shared" si="609"/>
        <v>85</v>
      </c>
      <c r="U920" s="449">
        <f t="shared" si="609"/>
        <v>85</v>
      </c>
      <c r="V920" s="449">
        <f t="shared" si="609"/>
        <v>85</v>
      </c>
      <c r="W920" s="449">
        <f t="shared" si="609"/>
        <v>85</v>
      </c>
      <c r="X920" s="449">
        <f t="shared" si="609"/>
        <v>85</v>
      </c>
      <c r="Y920" s="449">
        <f t="shared" si="609"/>
        <v>85</v>
      </c>
      <c r="Z920" s="449">
        <f t="shared" si="609"/>
        <v>85</v>
      </c>
      <c r="AA920" s="449">
        <f t="shared" si="609"/>
        <v>85</v>
      </c>
      <c r="AB920" s="449">
        <f t="shared" si="609"/>
        <v>85</v>
      </c>
      <c r="AC920" s="449">
        <f t="shared" si="609"/>
        <v>85</v>
      </c>
      <c r="AD920" s="449">
        <f t="shared" ref="AD920:AH920" si="610">$C890</f>
        <v>106</v>
      </c>
      <c r="AE920" s="449">
        <f t="shared" si="610"/>
        <v>106</v>
      </c>
      <c r="AF920" s="449">
        <f t="shared" si="610"/>
        <v>106</v>
      </c>
      <c r="AG920" s="449">
        <f t="shared" si="610"/>
        <v>106</v>
      </c>
      <c r="AH920" s="449">
        <f t="shared" si="610"/>
        <v>106</v>
      </c>
      <c r="AI920" s="449">
        <f t="shared" ref="AI920:AV920" si="611">$C891</f>
        <v>160</v>
      </c>
      <c r="AJ920" s="449">
        <f t="shared" si="611"/>
        <v>160</v>
      </c>
      <c r="AK920" s="449">
        <f t="shared" si="611"/>
        <v>160</v>
      </c>
      <c r="AL920" s="449">
        <f t="shared" si="611"/>
        <v>160</v>
      </c>
      <c r="AM920" s="449">
        <f t="shared" si="611"/>
        <v>160</v>
      </c>
      <c r="AN920" s="449">
        <f t="shared" si="611"/>
        <v>160</v>
      </c>
      <c r="AO920" s="449">
        <f t="shared" si="611"/>
        <v>160</v>
      </c>
      <c r="AP920" s="449">
        <f t="shared" si="611"/>
        <v>160</v>
      </c>
      <c r="AQ920" s="449">
        <f t="shared" si="611"/>
        <v>160</v>
      </c>
      <c r="AR920" s="449">
        <f t="shared" si="611"/>
        <v>160</v>
      </c>
      <c r="AS920" s="449">
        <f t="shared" si="611"/>
        <v>160</v>
      </c>
      <c r="AT920" s="449">
        <f t="shared" si="611"/>
        <v>160</v>
      </c>
      <c r="AU920" s="449">
        <f t="shared" si="611"/>
        <v>160</v>
      </c>
      <c r="AV920" s="449">
        <f t="shared" si="611"/>
        <v>160</v>
      </c>
      <c r="AW920" s="449">
        <f t="shared" ref="AW920:BD920" si="612">$D891</f>
        <v>204</v>
      </c>
      <c r="AX920" s="449">
        <f t="shared" si="612"/>
        <v>204</v>
      </c>
      <c r="AY920" s="449">
        <f t="shared" si="612"/>
        <v>204</v>
      </c>
      <c r="AZ920" s="449">
        <f t="shared" si="612"/>
        <v>204</v>
      </c>
      <c r="BA920" s="449">
        <f t="shared" si="612"/>
        <v>204</v>
      </c>
      <c r="BB920" s="449">
        <f t="shared" si="612"/>
        <v>204</v>
      </c>
      <c r="BC920" s="449">
        <f t="shared" si="612"/>
        <v>204</v>
      </c>
      <c r="BD920" s="449">
        <f t="shared" si="612"/>
        <v>204</v>
      </c>
      <c r="BE920" s="449">
        <f t="shared" ref="BE920:BJ920" si="613">$E891</f>
        <v>242</v>
      </c>
      <c r="BF920" s="449">
        <f t="shared" si="613"/>
        <v>242</v>
      </c>
      <c r="BG920" s="449">
        <f t="shared" si="613"/>
        <v>242</v>
      </c>
      <c r="BH920" s="449">
        <f t="shared" si="613"/>
        <v>242</v>
      </c>
      <c r="BI920" s="449">
        <f t="shared" si="613"/>
        <v>242</v>
      </c>
      <c r="BJ920" s="449">
        <f t="shared" si="613"/>
        <v>242</v>
      </c>
      <c r="BK920" s="449">
        <f t="shared" ref="BK920:BP920" si="614">$F891</f>
        <v>266</v>
      </c>
      <c r="BL920" s="449">
        <f t="shared" si="614"/>
        <v>266</v>
      </c>
      <c r="BM920" s="449">
        <f t="shared" si="614"/>
        <v>266</v>
      </c>
      <c r="BN920" s="449">
        <f t="shared" si="614"/>
        <v>266</v>
      </c>
      <c r="BO920" s="449">
        <f t="shared" si="614"/>
        <v>266</v>
      </c>
      <c r="BP920" s="449">
        <f t="shared" si="614"/>
        <v>266</v>
      </c>
      <c r="BQ920" s="484">
        <f t="shared" ref="BQ920:BR920" si="615">$G891</f>
        <v>293</v>
      </c>
      <c r="BR920" s="484">
        <f t="shared" si="615"/>
        <v>293</v>
      </c>
      <c r="BS920" s="484">
        <f t="shared" si="475"/>
        <v>314</v>
      </c>
      <c r="BT920" s="484">
        <f t="shared" si="476"/>
        <v>347</v>
      </c>
      <c r="BU920" s="484">
        <f t="shared" si="477"/>
        <v>370</v>
      </c>
      <c r="BV920" s="484">
        <f t="shared" si="478"/>
        <v>397</v>
      </c>
      <c r="BW920" s="484">
        <f t="shared" si="479"/>
        <v>413</v>
      </c>
      <c r="BX920" s="484">
        <f t="shared" ref="BX920:BY920" si="616">$M891</f>
        <v>435</v>
      </c>
      <c r="BY920" s="484">
        <f t="shared" si="616"/>
        <v>435</v>
      </c>
      <c r="BZ920" s="484">
        <f t="shared" si="481"/>
        <v>512</v>
      </c>
      <c r="CA920" s="484">
        <f t="shared" ref="CA920:CD920" si="617">Q891</f>
        <v>559</v>
      </c>
      <c r="CB920" s="484">
        <f t="shared" si="617"/>
        <v>575</v>
      </c>
      <c r="CC920" s="484">
        <f t="shared" si="617"/>
        <v>644</v>
      </c>
      <c r="CD920" s="484">
        <f t="shared" si="617"/>
        <v>684</v>
      </c>
    </row>
    <row r="921" spans="1:82">
      <c r="A921" s="472" t="s">
        <v>793</v>
      </c>
      <c r="B921" s="449">
        <f t="shared" ref="B921:AC921" si="618">$B891</f>
        <v>125</v>
      </c>
      <c r="C921" s="449">
        <f t="shared" si="618"/>
        <v>125</v>
      </c>
      <c r="D921" s="449">
        <f t="shared" si="618"/>
        <v>125</v>
      </c>
      <c r="E921" s="449">
        <f t="shared" si="618"/>
        <v>125</v>
      </c>
      <c r="F921" s="449">
        <f t="shared" si="618"/>
        <v>125</v>
      </c>
      <c r="G921" s="449">
        <f t="shared" si="618"/>
        <v>125</v>
      </c>
      <c r="H921" s="449">
        <f t="shared" si="618"/>
        <v>125</v>
      </c>
      <c r="I921" s="449">
        <f t="shared" si="618"/>
        <v>125</v>
      </c>
      <c r="J921" s="449">
        <f t="shared" si="618"/>
        <v>125</v>
      </c>
      <c r="K921" s="449">
        <f t="shared" si="618"/>
        <v>125</v>
      </c>
      <c r="L921" s="449">
        <f t="shared" si="618"/>
        <v>125</v>
      </c>
      <c r="M921" s="449">
        <f t="shared" si="618"/>
        <v>125</v>
      </c>
      <c r="N921" s="449">
        <f t="shared" si="618"/>
        <v>125</v>
      </c>
      <c r="O921" s="449">
        <f t="shared" si="618"/>
        <v>125</v>
      </c>
      <c r="P921" s="449">
        <f t="shared" si="618"/>
        <v>125</v>
      </c>
      <c r="Q921" s="449">
        <f t="shared" si="618"/>
        <v>125</v>
      </c>
      <c r="R921" s="449">
        <f t="shared" si="618"/>
        <v>125</v>
      </c>
      <c r="S921" s="449">
        <f t="shared" si="618"/>
        <v>125</v>
      </c>
      <c r="T921" s="449">
        <f t="shared" si="618"/>
        <v>125</v>
      </c>
      <c r="U921" s="449">
        <f t="shared" si="618"/>
        <v>125</v>
      </c>
      <c r="V921" s="449">
        <f t="shared" si="618"/>
        <v>125</v>
      </c>
      <c r="W921" s="449">
        <f t="shared" si="618"/>
        <v>125</v>
      </c>
      <c r="X921" s="449">
        <f t="shared" si="618"/>
        <v>125</v>
      </c>
      <c r="Y921" s="449">
        <f t="shared" si="618"/>
        <v>125</v>
      </c>
      <c r="Z921" s="449">
        <f t="shared" si="618"/>
        <v>125</v>
      </c>
      <c r="AA921" s="449">
        <f t="shared" si="618"/>
        <v>125</v>
      </c>
      <c r="AB921" s="449">
        <f t="shared" si="618"/>
        <v>125</v>
      </c>
      <c r="AC921" s="449">
        <f t="shared" si="618"/>
        <v>125</v>
      </c>
      <c r="AD921" s="449">
        <f t="shared" ref="AD921:AH921" si="619">$C891</f>
        <v>160</v>
      </c>
      <c r="AE921" s="449">
        <f t="shared" si="619"/>
        <v>160</v>
      </c>
      <c r="AF921" s="449">
        <f t="shared" si="619"/>
        <v>160</v>
      </c>
      <c r="AG921" s="449">
        <f t="shared" si="619"/>
        <v>160</v>
      </c>
      <c r="AH921" s="449">
        <f t="shared" si="619"/>
        <v>160</v>
      </c>
      <c r="AI921" s="449">
        <f t="shared" ref="AI921:AV921" si="620">$C892</f>
        <v>196</v>
      </c>
      <c r="AJ921" s="449">
        <f t="shared" si="620"/>
        <v>196</v>
      </c>
      <c r="AK921" s="449">
        <f t="shared" si="620"/>
        <v>196</v>
      </c>
      <c r="AL921" s="449">
        <f t="shared" si="620"/>
        <v>196</v>
      </c>
      <c r="AM921" s="449">
        <f t="shared" si="620"/>
        <v>196</v>
      </c>
      <c r="AN921" s="449">
        <f t="shared" si="620"/>
        <v>196</v>
      </c>
      <c r="AO921" s="449">
        <f t="shared" si="620"/>
        <v>196</v>
      </c>
      <c r="AP921" s="449">
        <f t="shared" si="620"/>
        <v>196</v>
      </c>
      <c r="AQ921" s="449">
        <f t="shared" si="620"/>
        <v>196</v>
      </c>
      <c r="AR921" s="449">
        <f t="shared" si="620"/>
        <v>196</v>
      </c>
      <c r="AS921" s="449">
        <f t="shared" si="620"/>
        <v>196</v>
      </c>
      <c r="AT921" s="449">
        <f t="shared" si="620"/>
        <v>196</v>
      </c>
      <c r="AU921" s="449">
        <f t="shared" si="620"/>
        <v>196</v>
      </c>
      <c r="AV921" s="449">
        <f t="shared" si="620"/>
        <v>196</v>
      </c>
      <c r="AW921" s="449">
        <f t="shared" ref="AW921:BD921" si="621">$D892</f>
        <v>242</v>
      </c>
      <c r="AX921" s="449">
        <f t="shared" si="621"/>
        <v>242</v>
      </c>
      <c r="AY921" s="449">
        <f t="shared" si="621"/>
        <v>242</v>
      </c>
      <c r="AZ921" s="449">
        <f t="shared" si="621"/>
        <v>242</v>
      </c>
      <c r="BA921" s="449">
        <f t="shared" si="621"/>
        <v>242</v>
      </c>
      <c r="BB921" s="449">
        <f t="shared" si="621"/>
        <v>242</v>
      </c>
      <c r="BC921" s="449">
        <f t="shared" si="621"/>
        <v>242</v>
      </c>
      <c r="BD921" s="449">
        <f t="shared" si="621"/>
        <v>242</v>
      </c>
      <c r="BE921" s="449">
        <f t="shared" ref="BE921:BJ921" si="622">$E892</f>
        <v>289</v>
      </c>
      <c r="BF921" s="449">
        <f t="shared" si="622"/>
        <v>289</v>
      </c>
      <c r="BG921" s="449">
        <f t="shared" si="622"/>
        <v>289</v>
      </c>
      <c r="BH921" s="449">
        <f t="shared" si="622"/>
        <v>289</v>
      </c>
      <c r="BI921" s="449">
        <f t="shared" si="622"/>
        <v>289</v>
      </c>
      <c r="BJ921" s="449">
        <f t="shared" si="622"/>
        <v>289</v>
      </c>
      <c r="BK921" s="449">
        <f t="shared" ref="BK921:BP921" si="623">$F892</f>
        <v>324</v>
      </c>
      <c r="BL921" s="449">
        <f t="shared" si="623"/>
        <v>324</v>
      </c>
      <c r="BM921" s="449">
        <f t="shared" si="623"/>
        <v>324</v>
      </c>
      <c r="BN921" s="449">
        <f t="shared" si="623"/>
        <v>324</v>
      </c>
      <c r="BO921" s="449">
        <f t="shared" si="623"/>
        <v>324</v>
      </c>
      <c r="BP921" s="449">
        <f t="shared" si="623"/>
        <v>324</v>
      </c>
      <c r="BQ921" s="484">
        <f t="shared" ref="BQ921:BR921" si="624">$G892</f>
        <v>357</v>
      </c>
      <c r="BR921" s="484">
        <f t="shared" si="624"/>
        <v>357</v>
      </c>
      <c r="BS921" s="484">
        <f t="shared" si="475"/>
        <v>381</v>
      </c>
      <c r="BT921" s="484">
        <f t="shared" si="476"/>
        <v>413</v>
      </c>
      <c r="BU921" s="484">
        <f t="shared" si="477"/>
        <v>436</v>
      </c>
      <c r="BV921" s="484">
        <f t="shared" si="478"/>
        <v>465</v>
      </c>
      <c r="BW921" s="484">
        <f t="shared" si="479"/>
        <v>478</v>
      </c>
      <c r="BX921" s="484">
        <f t="shared" ref="BX921:BY921" si="625">$M892</f>
        <v>494</v>
      </c>
      <c r="BY921" s="484">
        <f t="shared" si="625"/>
        <v>494</v>
      </c>
      <c r="BZ921" s="484">
        <f t="shared" si="481"/>
        <v>549</v>
      </c>
      <c r="CA921" s="484">
        <f t="shared" ref="CA921:CD921" si="626">Q892</f>
        <v>611</v>
      </c>
      <c r="CB921" s="484">
        <f t="shared" si="626"/>
        <v>628</v>
      </c>
      <c r="CC921" s="484">
        <f t="shared" si="626"/>
        <v>713</v>
      </c>
      <c r="CD921" s="484">
        <f t="shared" si="626"/>
        <v>754</v>
      </c>
    </row>
    <row r="922" spans="1:82">
      <c r="A922" s="476" t="s">
        <v>794</v>
      </c>
      <c r="B922" s="449">
        <f t="shared" ref="B922:AC922" si="627">$B892</f>
        <v>158</v>
      </c>
      <c r="C922" s="449">
        <f t="shared" si="627"/>
        <v>158</v>
      </c>
      <c r="D922" s="449">
        <f t="shared" si="627"/>
        <v>158</v>
      </c>
      <c r="E922" s="449">
        <f t="shared" si="627"/>
        <v>158</v>
      </c>
      <c r="F922" s="449">
        <f t="shared" si="627"/>
        <v>158</v>
      </c>
      <c r="G922" s="449">
        <f t="shared" si="627"/>
        <v>158</v>
      </c>
      <c r="H922" s="449">
        <f t="shared" si="627"/>
        <v>158</v>
      </c>
      <c r="I922" s="449">
        <f t="shared" si="627"/>
        <v>158</v>
      </c>
      <c r="J922" s="449">
        <f t="shared" si="627"/>
        <v>158</v>
      </c>
      <c r="K922" s="449">
        <f t="shared" si="627"/>
        <v>158</v>
      </c>
      <c r="L922" s="449">
        <f t="shared" si="627"/>
        <v>158</v>
      </c>
      <c r="M922" s="449">
        <f t="shared" si="627"/>
        <v>158</v>
      </c>
      <c r="N922" s="449">
        <f t="shared" si="627"/>
        <v>158</v>
      </c>
      <c r="O922" s="449">
        <f t="shared" si="627"/>
        <v>158</v>
      </c>
      <c r="P922" s="449">
        <f t="shared" si="627"/>
        <v>158</v>
      </c>
      <c r="Q922" s="449">
        <f t="shared" si="627"/>
        <v>158</v>
      </c>
      <c r="R922" s="449">
        <f t="shared" si="627"/>
        <v>158</v>
      </c>
      <c r="S922" s="449">
        <f t="shared" si="627"/>
        <v>158</v>
      </c>
      <c r="T922" s="449">
        <f t="shared" si="627"/>
        <v>158</v>
      </c>
      <c r="U922" s="449">
        <f t="shared" si="627"/>
        <v>158</v>
      </c>
      <c r="V922" s="449">
        <f t="shared" si="627"/>
        <v>158</v>
      </c>
      <c r="W922" s="449">
        <f t="shared" si="627"/>
        <v>158</v>
      </c>
      <c r="X922" s="449">
        <f t="shared" si="627"/>
        <v>158</v>
      </c>
      <c r="Y922" s="449">
        <f t="shared" si="627"/>
        <v>158</v>
      </c>
      <c r="Z922" s="449">
        <f t="shared" si="627"/>
        <v>158</v>
      </c>
      <c r="AA922" s="449">
        <f t="shared" si="627"/>
        <v>158</v>
      </c>
      <c r="AB922" s="449">
        <f t="shared" si="627"/>
        <v>158</v>
      </c>
      <c r="AC922" s="449">
        <f t="shared" si="627"/>
        <v>158</v>
      </c>
      <c r="AD922" s="449">
        <f t="shared" ref="AD922:AH922" si="628">$C892</f>
        <v>196</v>
      </c>
      <c r="AE922" s="449">
        <f t="shared" si="628"/>
        <v>196</v>
      </c>
      <c r="AF922" s="449">
        <f t="shared" si="628"/>
        <v>196</v>
      </c>
      <c r="AG922" s="449">
        <f t="shared" si="628"/>
        <v>196</v>
      </c>
      <c r="AH922" s="449">
        <f t="shared" si="628"/>
        <v>196</v>
      </c>
      <c r="AI922" s="449">
        <f t="shared" ref="AI922:AV922" si="629">$C893</f>
        <v>148</v>
      </c>
      <c r="AJ922" s="449">
        <f t="shared" si="629"/>
        <v>148</v>
      </c>
      <c r="AK922" s="449">
        <f t="shared" si="629"/>
        <v>148</v>
      </c>
      <c r="AL922" s="449">
        <f t="shared" si="629"/>
        <v>148</v>
      </c>
      <c r="AM922" s="449">
        <f t="shared" si="629"/>
        <v>148</v>
      </c>
      <c r="AN922" s="449">
        <f t="shared" si="629"/>
        <v>148</v>
      </c>
      <c r="AO922" s="449">
        <f t="shared" si="629"/>
        <v>148</v>
      </c>
      <c r="AP922" s="449">
        <f t="shared" si="629"/>
        <v>148</v>
      </c>
      <c r="AQ922" s="449">
        <f t="shared" si="629"/>
        <v>148</v>
      </c>
      <c r="AR922" s="449">
        <f t="shared" si="629"/>
        <v>148</v>
      </c>
      <c r="AS922" s="449">
        <f t="shared" si="629"/>
        <v>148</v>
      </c>
      <c r="AT922" s="449">
        <f t="shared" si="629"/>
        <v>148</v>
      </c>
      <c r="AU922" s="449">
        <f t="shared" si="629"/>
        <v>148</v>
      </c>
      <c r="AV922" s="449">
        <f t="shared" si="629"/>
        <v>148</v>
      </c>
      <c r="AW922" s="449">
        <f t="shared" ref="AW922:BD922" si="630">$D893</f>
        <v>242</v>
      </c>
      <c r="AX922" s="449">
        <f t="shared" si="630"/>
        <v>242</v>
      </c>
      <c r="AY922" s="449">
        <f t="shared" si="630"/>
        <v>242</v>
      </c>
      <c r="AZ922" s="449">
        <f t="shared" si="630"/>
        <v>242</v>
      </c>
      <c r="BA922" s="449">
        <f t="shared" si="630"/>
        <v>242</v>
      </c>
      <c r="BB922" s="449">
        <f t="shared" si="630"/>
        <v>242</v>
      </c>
      <c r="BC922" s="449">
        <f t="shared" si="630"/>
        <v>242</v>
      </c>
      <c r="BD922" s="449">
        <f t="shared" si="630"/>
        <v>242</v>
      </c>
      <c r="BE922" s="449">
        <f t="shared" ref="BE922:BJ922" si="631">$E893</f>
        <v>289</v>
      </c>
      <c r="BF922" s="449">
        <f t="shared" si="631"/>
        <v>289</v>
      </c>
      <c r="BG922" s="449">
        <f t="shared" si="631"/>
        <v>289</v>
      </c>
      <c r="BH922" s="449">
        <f t="shared" si="631"/>
        <v>289</v>
      </c>
      <c r="BI922" s="449">
        <f t="shared" si="631"/>
        <v>289</v>
      </c>
      <c r="BJ922" s="449">
        <f t="shared" si="631"/>
        <v>289</v>
      </c>
      <c r="BK922" s="449">
        <f t="shared" ref="BK922:BP922" si="632">$F893</f>
        <v>324</v>
      </c>
      <c r="BL922" s="449">
        <f t="shared" si="632"/>
        <v>324</v>
      </c>
      <c r="BM922" s="449">
        <f t="shared" si="632"/>
        <v>324</v>
      </c>
      <c r="BN922" s="449">
        <f t="shared" si="632"/>
        <v>324</v>
      </c>
      <c r="BO922" s="449">
        <f t="shared" si="632"/>
        <v>324</v>
      </c>
      <c r="BP922" s="449">
        <f t="shared" si="632"/>
        <v>324</v>
      </c>
      <c r="BQ922" s="484">
        <f t="shared" ref="BQ922:BR922" si="633">$G893</f>
        <v>357</v>
      </c>
      <c r="BR922" s="484">
        <f t="shared" si="633"/>
        <v>357</v>
      </c>
      <c r="BS922" s="484">
        <f t="shared" si="475"/>
        <v>381</v>
      </c>
      <c r="BT922" s="484">
        <f t="shared" si="476"/>
        <v>413</v>
      </c>
      <c r="BU922" s="484">
        <f t="shared" si="477"/>
        <v>436</v>
      </c>
      <c r="BV922" s="484">
        <f t="shared" si="478"/>
        <v>465</v>
      </c>
      <c r="BW922" s="484">
        <f t="shared" si="479"/>
        <v>478</v>
      </c>
      <c r="BX922" s="484">
        <f t="shared" ref="BX922:BY922" si="634">$M893</f>
        <v>494</v>
      </c>
      <c r="BY922" s="484">
        <f t="shared" si="634"/>
        <v>494</v>
      </c>
      <c r="BZ922" s="484">
        <f t="shared" si="481"/>
        <v>549</v>
      </c>
      <c r="CA922" s="484">
        <f t="shared" ref="CA922:CD922" si="635">Q893</f>
        <v>611</v>
      </c>
      <c r="CB922" s="484">
        <f t="shared" si="635"/>
        <v>628</v>
      </c>
      <c r="CC922" s="484">
        <f t="shared" si="635"/>
        <v>713</v>
      </c>
      <c r="CD922" s="484">
        <f t="shared" si="635"/>
        <v>754</v>
      </c>
    </row>
    <row r="923" spans="1:82">
      <c r="A923" s="475" t="s">
        <v>795</v>
      </c>
      <c r="B923" s="449">
        <f t="shared" ref="B923:AC923" si="636">$B893</f>
        <v>118</v>
      </c>
      <c r="C923" s="449">
        <f t="shared" si="636"/>
        <v>118</v>
      </c>
      <c r="D923" s="449">
        <f t="shared" si="636"/>
        <v>118</v>
      </c>
      <c r="E923" s="449">
        <f t="shared" si="636"/>
        <v>118</v>
      </c>
      <c r="F923" s="449">
        <f t="shared" si="636"/>
        <v>118</v>
      </c>
      <c r="G923" s="449">
        <f t="shared" si="636"/>
        <v>118</v>
      </c>
      <c r="H923" s="449">
        <f t="shared" si="636"/>
        <v>118</v>
      </c>
      <c r="I923" s="449">
        <f t="shared" si="636"/>
        <v>118</v>
      </c>
      <c r="J923" s="449">
        <f t="shared" si="636"/>
        <v>118</v>
      </c>
      <c r="K923" s="449">
        <f t="shared" si="636"/>
        <v>118</v>
      </c>
      <c r="L923" s="449">
        <f t="shared" si="636"/>
        <v>118</v>
      </c>
      <c r="M923" s="449">
        <f t="shared" si="636"/>
        <v>118</v>
      </c>
      <c r="N923" s="449">
        <f t="shared" si="636"/>
        <v>118</v>
      </c>
      <c r="O923" s="449">
        <f t="shared" si="636"/>
        <v>118</v>
      </c>
      <c r="P923" s="449">
        <f t="shared" si="636"/>
        <v>118</v>
      </c>
      <c r="Q923" s="449">
        <f t="shared" si="636"/>
        <v>118</v>
      </c>
      <c r="R923" s="449">
        <f t="shared" si="636"/>
        <v>118</v>
      </c>
      <c r="S923" s="449">
        <f t="shared" si="636"/>
        <v>118</v>
      </c>
      <c r="T923" s="449">
        <f t="shared" si="636"/>
        <v>118</v>
      </c>
      <c r="U923" s="449">
        <f t="shared" si="636"/>
        <v>118</v>
      </c>
      <c r="V923" s="449">
        <f t="shared" si="636"/>
        <v>118</v>
      </c>
      <c r="W923" s="449">
        <f t="shared" si="636"/>
        <v>118</v>
      </c>
      <c r="X923" s="449">
        <f t="shared" si="636"/>
        <v>118</v>
      </c>
      <c r="Y923" s="449">
        <f t="shared" si="636"/>
        <v>118</v>
      </c>
      <c r="Z923" s="449">
        <f t="shared" si="636"/>
        <v>118</v>
      </c>
      <c r="AA923" s="449">
        <f t="shared" si="636"/>
        <v>118</v>
      </c>
      <c r="AB923" s="449">
        <f t="shared" si="636"/>
        <v>118</v>
      </c>
      <c r="AC923" s="449">
        <f t="shared" si="636"/>
        <v>118</v>
      </c>
      <c r="AD923" s="449">
        <f t="shared" ref="AD923:AH923" si="637">$C893</f>
        <v>148</v>
      </c>
      <c r="AE923" s="449">
        <f t="shared" si="637"/>
        <v>148</v>
      </c>
      <c r="AF923" s="449">
        <f t="shared" si="637"/>
        <v>148</v>
      </c>
      <c r="AG923" s="449">
        <f t="shared" si="637"/>
        <v>148</v>
      </c>
      <c r="AH923" s="449">
        <f t="shared" si="637"/>
        <v>148</v>
      </c>
      <c r="AI923" s="449">
        <f t="shared" ref="AI923:AV923" si="638">$C894</f>
        <v>118</v>
      </c>
      <c r="AJ923" s="449">
        <f t="shared" si="638"/>
        <v>118</v>
      </c>
      <c r="AK923" s="449">
        <f t="shared" si="638"/>
        <v>118</v>
      </c>
      <c r="AL923" s="449">
        <f t="shared" si="638"/>
        <v>118</v>
      </c>
      <c r="AM923" s="449">
        <f t="shared" si="638"/>
        <v>118</v>
      </c>
      <c r="AN923" s="449">
        <f t="shared" si="638"/>
        <v>118</v>
      </c>
      <c r="AO923" s="449">
        <f t="shared" si="638"/>
        <v>118</v>
      </c>
      <c r="AP923" s="449">
        <f t="shared" si="638"/>
        <v>118</v>
      </c>
      <c r="AQ923" s="449">
        <f t="shared" si="638"/>
        <v>118</v>
      </c>
      <c r="AR923" s="449">
        <f t="shared" si="638"/>
        <v>118</v>
      </c>
      <c r="AS923" s="449">
        <f t="shared" si="638"/>
        <v>118</v>
      </c>
      <c r="AT923" s="449">
        <f t="shared" si="638"/>
        <v>118</v>
      </c>
      <c r="AU923" s="449">
        <f t="shared" si="638"/>
        <v>118</v>
      </c>
      <c r="AV923" s="449">
        <f t="shared" si="638"/>
        <v>118</v>
      </c>
      <c r="AW923" s="449">
        <f t="shared" ref="AW923:BD923" si="639">$D894</f>
        <v>142</v>
      </c>
      <c r="AX923" s="449">
        <f t="shared" si="639"/>
        <v>142</v>
      </c>
      <c r="AY923" s="449">
        <f t="shared" si="639"/>
        <v>142</v>
      </c>
      <c r="AZ923" s="449">
        <f t="shared" si="639"/>
        <v>142</v>
      </c>
      <c r="BA923" s="449">
        <f t="shared" si="639"/>
        <v>142</v>
      </c>
      <c r="BB923" s="449">
        <f t="shared" si="639"/>
        <v>142</v>
      </c>
      <c r="BC923" s="449">
        <f t="shared" si="639"/>
        <v>142</v>
      </c>
      <c r="BD923" s="449">
        <f t="shared" si="639"/>
        <v>142</v>
      </c>
      <c r="BE923" s="449">
        <f t="shared" ref="BE923:BJ923" si="640">$E894</f>
        <v>183</v>
      </c>
      <c r="BF923" s="449">
        <f t="shared" si="640"/>
        <v>183</v>
      </c>
      <c r="BG923" s="449">
        <f t="shared" si="640"/>
        <v>183</v>
      </c>
      <c r="BH923" s="449">
        <f t="shared" si="640"/>
        <v>183</v>
      </c>
      <c r="BI923" s="449">
        <f t="shared" si="640"/>
        <v>183</v>
      </c>
      <c r="BJ923" s="449">
        <f t="shared" si="640"/>
        <v>183</v>
      </c>
      <c r="BK923" s="449">
        <f t="shared" ref="BK923:BP923" si="641">$F894</f>
        <v>193</v>
      </c>
      <c r="BL923" s="449">
        <f t="shared" si="641"/>
        <v>193</v>
      </c>
      <c r="BM923" s="449">
        <f t="shared" si="641"/>
        <v>193</v>
      </c>
      <c r="BN923" s="449">
        <f t="shared" si="641"/>
        <v>193</v>
      </c>
      <c r="BO923" s="449">
        <f t="shared" si="641"/>
        <v>193</v>
      </c>
      <c r="BP923" s="449">
        <f t="shared" si="641"/>
        <v>193</v>
      </c>
      <c r="BQ923" s="484">
        <f t="shared" ref="BQ923:BR923" si="642">$G894</f>
        <v>212</v>
      </c>
      <c r="BR923" s="484">
        <f t="shared" si="642"/>
        <v>212</v>
      </c>
      <c r="BS923" s="484">
        <f t="shared" si="475"/>
        <v>225</v>
      </c>
      <c r="BT923" s="484">
        <f t="shared" si="476"/>
        <v>246</v>
      </c>
      <c r="BU923" s="484">
        <f t="shared" si="477"/>
        <v>259</v>
      </c>
      <c r="BV923" s="484">
        <f t="shared" si="478"/>
        <v>271</v>
      </c>
      <c r="BW923" s="484">
        <f t="shared" si="479"/>
        <v>285</v>
      </c>
      <c r="BX923" s="484">
        <f t="shared" ref="BX923:BY923" si="643">$M894</f>
        <v>295</v>
      </c>
      <c r="BY923" s="484">
        <f t="shared" si="643"/>
        <v>295</v>
      </c>
      <c r="BZ923" s="484">
        <f t="shared" si="481"/>
        <v>328</v>
      </c>
      <c r="CA923" s="484">
        <f t="shared" ref="CA923:CD923" si="644">Q894</f>
        <v>362</v>
      </c>
      <c r="CB923" s="484">
        <f t="shared" si="644"/>
        <v>376</v>
      </c>
      <c r="CC923" s="484">
        <f t="shared" si="644"/>
        <v>424</v>
      </c>
      <c r="CD923" s="484">
        <f t="shared" si="644"/>
        <v>448</v>
      </c>
    </row>
    <row r="924" spans="1:82">
      <c r="A924" s="475" t="s">
        <v>796</v>
      </c>
      <c r="B924" s="449">
        <f t="shared" ref="B924:AC924" si="645">$B894</f>
        <v>95</v>
      </c>
      <c r="C924" s="449">
        <f t="shared" si="645"/>
        <v>95</v>
      </c>
      <c r="D924" s="449">
        <f t="shared" si="645"/>
        <v>95</v>
      </c>
      <c r="E924" s="449">
        <f t="shared" si="645"/>
        <v>95</v>
      </c>
      <c r="F924" s="449">
        <f t="shared" si="645"/>
        <v>95</v>
      </c>
      <c r="G924" s="449">
        <f t="shared" si="645"/>
        <v>95</v>
      </c>
      <c r="H924" s="449">
        <f t="shared" si="645"/>
        <v>95</v>
      </c>
      <c r="I924" s="449">
        <f t="shared" si="645"/>
        <v>95</v>
      </c>
      <c r="J924" s="449">
        <f t="shared" si="645"/>
        <v>95</v>
      </c>
      <c r="K924" s="449">
        <f t="shared" si="645"/>
        <v>95</v>
      </c>
      <c r="L924" s="449">
        <f t="shared" si="645"/>
        <v>95</v>
      </c>
      <c r="M924" s="449">
        <f t="shared" si="645"/>
        <v>95</v>
      </c>
      <c r="N924" s="449">
        <f t="shared" si="645"/>
        <v>95</v>
      </c>
      <c r="O924" s="449">
        <f t="shared" si="645"/>
        <v>95</v>
      </c>
      <c r="P924" s="449">
        <f t="shared" si="645"/>
        <v>95</v>
      </c>
      <c r="Q924" s="449">
        <f t="shared" si="645"/>
        <v>95</v>
      </c>
      <c r="R924" s="449">
        <f t="shared" si="645"/>
        <v>95</v>
      </c>
      <c r="S924" s="449">
        <f t="shared" si="645"/>
        <v>95</v>
      </c>
      <c r="T924" s="449">
        <f t="shared" si="645"/>
        <v>95</v>
      </c>
      <c r="U924" s="449">
        <f t="shared" si="645"/>
        <v>95</v>
      </c>
      <c r="V924" s="449">
        <f t="shared" si="645"/>
        <v>95</v>
      </c>
      <c r="W924" s="449">
        <f t="shared" si="645"/>
        <v>95</v>
      </c>
      <c r="X924" s="449">
        <f t="shared" si="645"/>
        <v>95</v>
      </c>
      <c r="Y924" s="449">
        <f t="shared" si="645"/>
        <v>95</v>
      </c>
      <c r="Z924" s="449">
        <f t="shared" si="645"/>
        <v>95</v>
      </c>
      <c r="AA924" s="449">
        <f t="shared" si="645"/>
        <v>95</v>
      </c>
      <c r="AB924" s="449">
        <f t="shared" si="645"/>
        <v>95</v>
      </c>
      <c r="AC924" s="449">
        <f t="shared" si="645"/>
        <v>95</v>
      </c>
      <c r="AD924" s="449">
        <f t="shared" ref="AD924:AH924" si="646">$C894</f>
        <v>118</v>
      </c>
      <c r="AE924" s="449">
        <f t="shared" si="646"/>
        <v>118</v>
      </c>
      <c r="AF924" s="449">
        <f t="shared" si="646"/>
        <v>118</v>
      </c>
      <c r="AG924" s="449">
        <f t="shared" si="646"/>
        <v>118</v>
      </c>
      <c r="AH924" s="449">
        <f t="shared" si="646"/>
        <v>118</v>
      </c>
      <c r="AI924" s="449">
        <f t="shared" ref="AI924:AV924" si="647">$C895</f>
        <v>196</v>
      </c>
      <c r="AJ924" s="449">
        <f t="shared" si="647"/>
        <v>196</v>
      </c>
      <c r="AK924" s="449">
        <f t="shared" si="647"/>
        <v>196</v>
      </c>
      <c r="AL924" s="449">
        <f t="shared" si="647"/>
        <v>196</v>
      </c>
      <c r="AM924" s="449">
        <f t="shared" si="647"/>
        <v>196</v>
      </c>
      <c r="AN924" s="449">
        <f t="shared" si="647"/>
        <v>196</v>
      </c>
      <c r="AO924" s="449">
        <f t="shared" si="647"/>
        <v>196</v>
      </c>
      <c r="AP924" s="449">
        <f t="shared" si="647"/>
        <v>196</v>
      </c>
      <c r="AQ924" s="449">
        <f t="shared" si="647"/>
        <v>196</v>
      </c>
      <c r="AR924" s="449">
        <f t="shared" si="647"/>
        <v>196</v>
      </c>
      <c r="AS924" s="449">
        <f t="shared" si="647"/>
        <v>196</v>
      </c>
      <c r="AT924" s="449">
        <f t="shared" si="647"/>
        <v>196</v>
      </c>
      <c r="AU924" s="449">
        <f t="shared" si="647"/>
        <v>196</v>
      </c>
      <c r="AV924" s="449">
        <f t="shared" si="647"/>
        <v>196</v>
      </c>
      <c r="AW924" s="449">
        <f t="shared" ref="AW924:BD924" si="648">$D895</f>
        <v>242</v>
      </c>
      <c r="AX924" s="449">
        <f t="shared" si="648"/>
        <v>242</v>
      </c>
      <c r="AY924" s="449">
        <f t="shared" si="648"/>
        <v>242</v>
      </c>
      <c r="AZ924" s="449">
        <f t="shared" si="648"/>
        <v>242</v>
      </c>
      <c r="BA924" s="449">
        <f t="shared" si="648"/>
        <v>242</v>
      </c>
      <c r="BB924" s="449">
        <f t="shared" si="648"/>
        <v>242</v>
      </c>
      <c r="BC924" s="449">
        <f t="shared" si="648"/>
        <v>242</v>
      </c>
      <c r="BD924" s="449">
        <f t="shared" si="648"/>
        <v>242</v>
      </c>
      <c r="BE924" s="449">
        <f t="shared" ref="BE924:BJ924" si="649">$E895</f>
        <v>289</v>
      </c>
      <c r="BF924" s="449">
        <f t="shared" si="649"/>
        <v>289</v>
      </c>
      <c r="BG924" s="449">
        <f t="shared" si="649"/>
        <v>289</v>
      </c>
      <c r="BH924" s="449">
        <f t="shared" si="649"/>
        <v>289</v>
      </c>
      <c r="BI924" s="449">
        <f t="shared" si="649"/>
        <v>289</v>
      </c>
      <c r="BJ924" s="449">
        <f t="shared" si="649"/>
        <v>289</v>
      </c>
      <c r="BK924" s="449">
        <f t="shared" ref="BK924:BP924" si="650">$F895</f>
        <v>324</v>
      </c>
      <c r="BL924" s="449">
        <f t="shared" si="650"/>
        <v>324</v>
      </c>
      <c r="BM924" s="449">
        <f t="shared" si="650"/>
        <v>324</v>
      </c>
      <c r="BN924" s="449">
        <f t="shared" si="650"/>
        <v>324</v>
      </c>
      <c r="BO924" s="449">
        <f t="shared" si="650"/>
        <v>324</v>
      </c>
      <c r="BP924" s="449">
        <f t="shared" si="650"/>
        <v>324</v>
      </c>
      <c r="BQ924" s="484">
        <f t="shared" ref="BQ924:BR924" si="651">$G895</f>
        <v>357</v>
      </c>
      <c r="BR924" s="484">
        <f t="shared" si="651"/>
        <v>357</v>
      </c>
      <c r="BS924" s="484">
        <f t="shared" si="475"/>
        <v>381</v>
      </c>
      <c r="BT924" s="484">
        <f t="shared" si="476"/>
        <v>413</v>
      </c>
      <c r="BU924" s="484">
        <f t="shared" si="477"/>
        <v>436</v>
      </c>
      <c r="BV924" s="484">
        <f t="shared" si="478"/>
        <v>465</v>
      </c>
      <c r="BW924" s="484">
        <f t="shared" si="479"/>
        <v>478</v>
      </c>
      <c r="BX924" s="484">
        <f t="shared" ref="BX924:BY924" si="652">$M895</f>
        <v>494</v>
      </c>
      <c r="BY924" s="484">
        <f t="shared" si="652"/>
        <v>494</v>
      </c>
      <c r="BZ924" s="484">
        <f t="shared" si="481"/>
        <v>549</v>
      </c>
      <c r="CA924" s="484">
        <f t="shared" ref="CA924:CD924" si="653">Q895</f>
        <v>611</v>
      </c>
      <c r="CB924" s="484">
        <f t="shared" si="653"/>
        <v>628</v>
      </c>
      <c r="CC924" s="484">
        <f t="shared" si="653"/>
        <v>713</v>
      </c>
      <c r="CD924" s="484">
        <f t="shared" si="653"/>
        <v>754</v>
      </c>
    </row>
    <row r="925" spans="1:82">
      <c r="A925" s="476" t="s">
        <v>797</v>
      </c>
      <c r="B925" s="449">
        <f t="shared" ref="B925:AC925" si="654">$B895</f>
        <v>158</v>
      </c>
      <c r="C925" s="449">
        <f t="shared" si="654"/>
        <v>158</v>
      </c>
      <c r="D925" s="449">
        <f t="shared" si="654"/>
        <v>158</v>
      </c>
      <c r="E925" s="449">
        <f t="shared" si="654"/>
        <v>158</v>
      </c>
      <c r="F925" s="449">
        <f t="shared" si="654"/>
        <v>158</v>
      </c>
      <c r="G925" s="449">
        <f t="shared" si="654"/>
        <v>158</v>
      </c>
      <c r="H925" s="449">
        <f t="shared" si="654"/>
        <v>158</v>
      </c>
      <c r="I925" s="449">
        <f t="shared" si="654"/>
        <v>158</v>
      </c>
      <c r="J925" s="449">
        <f t="shared" si="654"/>
        <v>158</v>
      </c>
      <c r="K925" s="449">
        <f t="shared" si="654"/>
        <v>158</v>
      </c>
      <c r="L925" s="449">
        <f t="shared" si="654"/>
        <v>158</v>
      </c>
      <c r="M925" s="449">
        <f t="shared" si="654"/>
        <v>158</v>
      </c>
      <c r="N925" s="449">
        <f t="shared" si="654"/>
        <v>158</v>
      </c>
      <c r="O925" s="449">
        <f t="shared" si="654"/>
        <v>158</v>
      </c>
      <c r="P925" s="449">
        <f t="shared" si="654"/>
        <v>158</v>
      </c>
      <c r="Q925" s="449">
        <f t="shared" si="654"/>
        <v>158</v>
      </c>
      <c r="R925" s="449">
        <f t="shared" si="654"/>
        <v>158</v>
      </c>
      <c r="S925" s="449">
        <f t="shared" si="654"/>
        <v>158</v>
      </c>
      <c r="T925" s="449">
        <f t="shared" si="654"/>
        <v>158</v>
      </c>
      <c r="U925" s="449">
        <f t="shared" si="654"/>
        <v>158</v>
      </c>
      <c r="V925" s="449">
        <f t="shared" si="654"/>
        <v>158</v>
      </c>
      <c r="W925" s="449">
        <f t="shared" si="654"/>
        <v>158</v>
      </c>
      <c r="X925" s="449">
        <f t="shared" si="654"/>
        <v>158</v>
      </c>
      <c r="Y925" s="449">
        <f t="shared" si="654"/>
        <v>158</v>
      </c>
      <c r="Z925" s="449">
        <f t="shared" si="654"/>
        <v>158</v>
      </c>
      <c r="AA925" s="449">
        <f t="shared" si="654"/>
        <v>158</v>
      </c>
      <c r="AB925" s="449">
        <f t="shared" si="654"/>
        <v>158</v>
      </c>
      <c r="AC925" s="449">
        <f t="shared" si="654"/>
        <v>158</v>
      </c>
      <c r="AD925" s="449">
        <f t="shared" ref="AD925:AH925" si="655">$C895</f>
        <v>196</v>
      </c>
      <c r="AE925" s="449">
        <f t="shared" si="655"/>
        <v>196</v>
      </c>
      <c r="AF925" s="449">
        <f t="shared" si="655"/>
        <v>196</v>
      </c>
      <c r="AG925" s="449">
        <f t="shared" si="655"/>
        <v>196</v>
      </c>
      <c r="AH925" s="449">
        <f t="shared" si="655"/>
        <v>196</v>
      </c>
      <c r="AI925" s="449">
        <f t="shared" ref="AI925:AV925" si="656">$C896</f>
        <v>264</v>
      </c>
      <c r="AJ925" s="449">
        <f t="shared" si="656"/>
        <v>264</v>
      </c>
      <c r="AK925" s="449">
        <f t="shared" si="656"/>
        <v>264</v>
      </c>
      <c r="AL925" s="449">
        <f t="shared" si="656"/>
        <v>264</v>
      </c>
      <c r="AM925" s="449">
        <f t="shared" si="656"/>
        <v>264</v>
      </c>
      <c r="AN925" s="449">
        <f t="shared" si="656"/>
        <v>264</v>
      </c>
      <c r="AO925" s="449">
        <f t="shared" si="656"/>
        <v>264</v>
      </c>
      <c r="AP925" s="449">
        <f t="shared" si="656"/>
        <v>264</v>
      </c>
      <c r="AQ925" s="449">
        <f t="shared" si="656"/>
        <v>264</v>
      </c>
      <c r="AR925" s="449">
        <f t="shared" si="656"/>
        <v>264</v>
      </c>
      <c r="AS925" s="449">
        <f t="shared" si="656"/>
        <v>264</v>
      </c>
      <c r="AT925" s="449">
        <f t="shared" si="656"/>
        <v>264</v>
      </c>
      <c r="AU925" s="449">
        <f t="shared" si="656"/>
        <v>264</v>
      </c>
      <c r="AV925" s="449">
        <f t="shared" si="656"/>
        <v>264</v>
      </c>
      <c r="AW925" s="449">
        <f t="shared" ref="AW925:BD925" si="657">$D896</f>
        <v>316</v>
      </c>
      <c r="AX925" s="449">
        <f t="shared" si="657"/>
        <v>316</v>
      </c>
      <c r="AY925" s="449">
        <f t="shared" si="657"/>
        <v>316</v>
      </c>
      <c r="AZ925" s="449">
        <f t="shared" si="657"/>
        <v>316</v>
      </c>
      <c r="BA925" s="449">
        <f t="shared" si="657"/>
        <v>316</v>
      </c>
      <c r="BB925" s="449">
        <f t="shared" si="657"/>
        <v>316</v>
      </c>
      <c r="BC925" s="449">
        <f t="shared" si="657"/>
        <v>316</v>
      </c>
      <c r="BD925" s="449">
        <f t="shared" si="657"/>
        <v>316</v>
      </c>
      <c r="BE925" s="449">
        <f t="shared" ref="BE925:BJ925" si="658">$E896</f>
        <v>392</v>
      </c>
      <c r="BF925" s="449">
        <f t="shared" si="658"/>
        <v>392</v>
      </c>
      <c r="BG925" s="449">
        <f t="shared" si="658"/>
        <v>392</v>
      </c>
      <c r="BH925" s="449">
        <f t="shared" si="658"/>
        <v>392</v>
      </c>
      <c r="BI925" s="449">
        <f t="shared" si="658"/>
        <v>392</v>
      </c>
      <c r="BJ925" s="449">
        <f t="shared" si="658"/>
        <v>392</v>
      </c>
      <c r="BK925" s="449">
        <f t="shared" ref="BK925:BP925" si="659">$F896</f>
        <v>461</v>
      </c>
      <c r="BL925" s="449">
        <f t="shared" si="659"/>
        <v>461</v>
      </c>
      <c r="BM925" s="449">
        <f t="shared" si="659"/>
        <v>461</v>
      </c>
      <c r="BN925" s="449">
        <f t="shared" si="659"/>
        <v>461</v>
      </c>
      <c r="BO925" s="449">
        <f t="shared" si="659"/>
        <v>461</v>
      </c>
      <c r="BP925" s="449">
        <f t="shared" si="659"/>
        <v>461</v>
      </c>
      <c r="BQ925" s="484">
        <f>$G896</f>
        <v>506</v>
      </c>
      <c r="BR925" s="484">
        <f>$G896</f>
        <v>506</v>
      </c>
      <c r="BS925" s="484">
        <f>$H896</f>
        <v>538</v>
      </c>
      <c r="BT925" s="484">
        <f>$I896</f>
        <v>583</v>
      </c>
      <c r="BU925" s="484">
        <f>$J896</f>
        <v>618</v>
      </c>
      <c r="BV925" s="484">
        <f>$K896</f>
        <v>652</v>
      </c>
      <c r="BW925" s="484">
        <f>$L896</f>
        <v>681</v>
      </c>
      <c r="BX925" s="484">
        <f>$M896</f>
        <v>706</v>
      </c>
      <c r="BY925" s="484">
        <f>$M896</f>
        <v>706</v>
      </c>
      <c r="BZ925" s="484">
        <f>$O896</f>
        <v>780</v>
      </c>
      <c r="CA925" s="484">
        <f>Q896</f>
        <v>864</v>
      </c>
      <c r="CB925" s="484">
        <f>R896</f>
        <v>893</v>
      </c>
      <c r="CC925" s="484">
        <f>S896</f>
        <v>1010</v>
      </c>
      <c r="CD925" s="484">
        <f>T896</f>
        <v>1069</v>
      </c>
    </row>
    <row r="926" spans="1:82">
      <c r="A926" s="476" t="s">
        <v>798</v>
      </c>
      <c r="B926" s="449">
        <f t="shared" ref="B926:AC926" si="660">$B896</f>
        <v>211</v>
      </c>
      <c r="C926" s="449">
        <f t="shared" si="660"/>
        <v>211</v>
      </c>
      <c r="D926" s="449">
        <f t="shared" si="660"/>
        <v>211</v>
      </c>
      <c r="E926" s="449">
        <f t="shared" si="660"/>
        <v>211</v>
      </c>
      <c r="F926" s="449">
        <f t="shared" si="660"/>
        <v>211</v>
      </c>
      <c r="G926" s="449">
        <f t="shared" si="660"/>
        <v>211</v>
      </c>
      <c r="H926" s="449">
        <f t="shared" si="660"/>
        <v>211</v>
      </c>
      <c r="I926" s="449">
        <f t="shared" si="660"/>
        <v>211</v>
      </c>
      <c r="J926" s="449">
        <f t="shared" si="660"/>
        <v>211</v>
      </c>
      <c r="K926" s="449">
        <f t="shared" si="660"/>
        <v>211</v>
      </c>
      <c r="L926" s="449">
        <f t="shared" si="660"/>
        <v>211</v>
      </c>
      <c r="M926" s="449">
        <f t="shared" si="660"/>
        <v>211</v>
      </c>
      <c r="N926" s="449">
        <f t="shared" si="660"/>
        <v>211</v>
      </c>
      <c r="O926" s="449">
        <f t="shared" si="660"/>
        <v>211</v>
      </c>
      <c r="P926" s="449">
        <f t="shared" si="660"/>
        <v>211</v>
      </c>
      <c r="Q926" s="449">
        <f t="shared" si="660"/>
        <v>211</v>
      </c>
      <c r="R926" s="449">
        <f t="shared" si="660"/>
        <v>211</v>
      </c>
      <c r="S926" s="449">
        <f t="shared" si="660"/>
        <v>211</v>
      </c>
      <c r="T926" s="449">
        <f t="shared" si="660"/>
        <v>211</v>
      </c>
      <c r="U926" s="449">
        <f t="shared" si="660"/>
        <v>211</v>
      </c>
      <c r="V926" s="449">
        <f t="shared" si="660"/>
        <v>211</v>
      </c>
      <c r="W926" s="449">
        <f t="shared" si="660"/>
        <v>211</v>
      </c>
      <c r="X926" s="449">
        <f t="shared" si="660"/>
        <v>211</v>
      </c>
      <c r="Y926" s="449">
        <f t="shared" si="660"/>
        <v>211</v>
      </c>
      <c r="Z926" s="449">
        <f t="shared" si="660"/>
        <v>211</v>
      </c>
      <c r="AA926" s="449">
        <f t="shared" si="660"/>
        <v>211</v>
      </c>
      <c r="AB926" s="449">
        <f t="shared" si="660"/>
        <v>211</v>
      </c>
      <c r="AC926" s="449">
        <f t="shared" si="660"/>
        <v>211</v>
      </c>
      <c r="AD926" s="449">
        <f t="shared" ref="AD926:AH926" si="661">$C896</f>
        <v>264</v>
      </c>
      <c r="AE926" s="449">
        <f t="shared" si="661"/>
        <v>264</v>
      </c>
      <c r="AF926" s="449">
        <f t="shared" si="661"/>
        <v>264</v>
      </c>
      <c r="AG926" s="449">
        <f t="shared" si="661"/>
        <v>264</v>
      </c>
      <c r="AH926" s="449">
        <f t="shared" si="661"/>
        <v>264</v>
      </c>
      <c r="AI926" s="449">
        <f t="shared" ref="AI926:AV926" si="662">$C897</f>
        <v>117</v>
      </c>
      <c r="AJ926" s="449">
        <f t="shared" si="662"/>
        <v>117</v>
      </c>
      <c r="AK926" s="449">
        <f t="shared" si="662"/>
        <v>117</v>
      </c>
      <c r="AL926" s="449">
        <f t="shared" si="662"/>
        <v>117</v>
      </c>
      <c r="AM926" s="449">
        <f t="shared" si="662"/>
        <v>117</v>
      </c>
      <c r="AN926" s="449">
        <f t="shared" si="662"/>
        <v>117</v>
      </c>
      <c r="AO926" s="449">
        <f t="shared" si="662"/>
        <v>117</v>
      </c>
      <c r="AP926" s="449">
        <f t="shared" si="662"/>
        <v>117</v>
      </c>
      <c r="AQ926" s="449">
        <f t="shared" si="662"/>
        <v>117</v>
      </c>
      <c r="AR926" s="449">
        <f t="shared" si="662"/>
        <v>117</v>
      </c>
      <c r="AS926" s="449">
        <f t="shared" si="662"/>
        <v>117</v>
      </c>
      <c r="AT926" s="449">
        <f t="shared" si="662"/>
        <v>117</v>
      </c>
      <c r="AU926" s="449">
        <f t="shared" si="662"/>
        <v>117</v>
      </c>
      <c r="AV926" s="449">
        <f t="shared" si="662"/>
        <v>117</v>
      </c>
      <c r="AW926" s="449">
        <f t="shared" ref="AW926:BD926" si="663">$D897</f>
        <v>140</v>
      </c>
      <c r="AX926" s="449">
        <f t="shared" si="663"/>
        <v>140</v>
      </c>
      <c r="AY926" s="449">
        <f t="shared" si="663"/>
        <v>140</v>
      </c>
      <c r="AZ926" s="449">
        <f t="shared" si="663"/>
        <v>140</v>
      </c>
      <c r="BA926" s="449">
        <f t="shared" si="663"/>
        <v>140</v>
      </c>
      <c r="BB926" s="449">
        <f t="shared" si="663"/>
        <v>140</v>
      </c>
      <c r="BC926" s="449">
        <f t="shared" si="663"/>
        <v>140</v>
      </c>
      <c r="BD926" s="449">
        <f t="shared" si="663"/>
        <v>140</v>
      </c>
      <c r="BE926" s="449">
        <f t="shared" ref="BE926:BJ926" si="664">$E897</f>
        <v>170</v>
      </c>
      <c r="BF926" s="449">
        <f t="shared" si="664"/>
        <v>170</v>
      </c>
      <c r="BG926" s="449">
        <f t="shared" si="664"/>
        <v>170</v>
      </c>
      <c r="BH926" s="449">
        <f t="shared" si="664"/>
        <v>170</v>
      </c>
      <c r="BI926" s="449">
        <f t="shared" si="664"/>
        <v>170</v>
      </c>
      <c r="BJ926" s="449">
        <f t="shared" si="664"/>
        <v>170</v>
      </c>
      <c r="BK926" s="449">
        <f t="shared" ref="BK926:BP926" si="665">$F897</f>
        <v>181</v>
      </c>
      <c r="BL926" s="449">
        <f t="shared" si="665"/>
        <v>181</v>
      </c>
      <c r="BM926" s="449">
        <f t="shared" si="665"/>
        <v>181</v>
      </c>
      <c r="BN926" s="449">
        <f t="shared" si="665"/>
        <v>181</v>
      </c>
      <c r="BO926" s="449">
        <f t="shared" si="665"/>
        <v>181</v>
      </c>
      <c r="BP926" s="449">
        <f t="shared" si="665"/>
        <v>181</v>
      </c>
      <c r="BQ926" s="484">
        <f t="shared" ref="BQ926:BR926" si="666">$G897</f>
        <v>203</v>
      </c>
      <c r="BR926" s="484">
        <f t="shared" si="666"/>
        <v>203</v>
      </c>
      <c r="BS926" s="484">
        <f t="shared" si="475"/>
        <v>212</v>
      </c>
      <c r="BT926" s="484">
        <f t="shared" si="476"/>
        <v>230</v>
      </c>
      <c r="BU926" s="484">
        <f t="shared" si="477"/>
        <v>245</v>
      </c>
      <c r="BV926" s="484">
        <f t="shared" si="478"/>
        <v>257</v>
      </c>
      <c r="BW926" s="484">
        <f t="shared" si="479"/>
        <v>269</v>
      </c>
      <c r="BX926" s="484">
        <f t="shared" ref="BX926:BY926" si="667">$M897</f>
        <v>275</v>
      </c>
      <c r="BY926" s="484">
        <f t="shared" si="667"/>
        <v>275</v>
      </c>
      <c r="BZ926" s="484">
        <f t="shared" si="481"/>
        <v>306</v>
      </c>
      <c r="CA926" s="484">
        <f t="shared" ref="CA926:CA928" si="668">Q897</f>
        <v>338</v>
      </c>
      <c r="CB926" s="484">
        <f t="shared" ref="CB926:CB928" si="669">R897</f>
        <v>352</v>
      </c>
      <c r="CC926" s="484">
        <f t="shared" ref="CC926:CC928" si="670">S897</f>
        <v>397</v>
      </c>
      <c r="CD926" s="484">
        <f t="shared" ref="CD926:CD928" si="671">T897</f>
        <v>421</v>
      </c>
    </row>
    <row r="927" spans="1:82">
      <c r="A927" s="475" t="s">
        <v>799</v>
      </c>
      <c r="B927" s="449">
        <f t="shared" ref="B927:AC927" si="672">$B897</f>
        <v>93</v>
      </c>
      <c r="C927" s="449">
        <f t="shared" si="672"/>
        <v>93</v>
      </c>
      <c r="D927" s="449">
        <f t="shared" si="672"/>
        <v>93</v>
      </c>
      <c r="E927" s="449">
        <f t="shared" si="672"/>
        <v>93</v>
      </c>
      <c r="F927" s="449">
        <f t="shared" si="672"/>
        <v>93</v>
      </c>
      <c r="G927" s="449">
        <f t="shared" si="672"/>
        <v>93</v>
      </c>
      <c r="H927" s="449">
        <f t="shared" si="672"/>
        <v>93</v>
      </c>
      <c r="I927" s="449">
        <f t="shared" si="672"/>
        <v>93</v>
      </c>
      <c r="J927" s="449">
        <f t="shared" si="672"/>
        <v>93</v>
      </c>
      <c r="K927" s="449">
        <f t="shared" si="672"/>
        <v>93</v>
      </c>
      <c r="L927" s="449">
        <f t="shared" si="672"/>
        <v>93</v>
      </c>
      <c r="M927" s="449">
        <f t="shared" si="672"/>
        <v>93</v>
      </c>
      <c r="N927" s="449">
        <f t="shared" si="672"/>
        <v>93</v>
      </c>
      <c r="O927" s="449">
        <f t="shared" si="672"/>
        <v>93</v>
      </c>
      <c r="P927" s="449">
        <f t="shared" si="672"/>
        <v>93</v>
      </c>
      <c r="Q927" s="449">
        <f t="shared" si="672"/>
        <v>93</v>
      </c>
      <c r="R927" s="449">
        <f t="shared" si="672"/>
        <v>93</v>
      </c>
      <c r="S927" s="449">
        <f t="shared" si="672"/>
        <v>93</v>
      </c>
      <c r="T927" s="449">
        <f t="shared" si="672"/>
        <v>93</v>
      </c>
      <c r="U927" s="449">
        <f t="shared" si="672"/>
        <v>93</v>
      </c>
      <c r="V927" s="449">
        <f t="shared" si="672"/>
        <v>93</v>
      </c>
      <c r="W927" s="449">
        <f t="shared" si="672"/>
        <v>93</v>
      </c>
      <c r="X927" s="449">
        <f t="shared" si="672"/>
        <v>93</v>
      </c>
      <c r="Y927" s="449">
        <f t="shared" si="672"/>
        <v>93</v>
      </c>
      <c r="Z927" s="449">
        <f t="shared" si="672"/>
        <v>93</v>
      </c>
      <c r="AA927" s="449">
        <f t="shared" si="672"/>
        <v>93</v>
      </c>
      <c r="AB927" s="449">
        <f t="shared" si="672"/>
        <v>93</v>
      </c>
      <c r="AC927" s="449">
        <f t="shared" si="672"/>
        <v>93</v>
      </c>
      <c r="AD927" s="449">
        <f t="shared" ref="AD927:AH927" si="673">$C897</f>
        <v>117</v>
      </c>
      <c r="AE927" s="449">
        <f t="shared" si="673"/>
        <v>117</v>
      </c>
      <c r="AF927" s="449">
        <f t="shared" si="673"/>
        <v>117</v>
      </c>
      <c r="AG927" s="449">
        <f t="shared" si="673"/>
        <v>117</v>
      </c>
      <c r="AH927" s="449">
        <f t="shared" si="673"/>
        <v>117</v>
      </c>
      <c r="AI927" s="449">
        <f t="shared" ref="AI927:AV927" si="674">$C898</f>
        <v>112</v>
      </c>
      <c r="AJ927" s="449">
        <f t="shared" si="674"/>
        <v>112</v>
      </c>
      <c r="AK927" s="449">
        <f t="shared" si="674"/>
        <v>112</v>
      </c>
      <c r="AL927" s="449">
        <f t="shared" si="674"/>
        <v>112</v>
      </c>
      <c r="AM927" s="449">
        <f t="shared" si="674"/>
        <v>112</v>
      </c>
      <c r="AN927" s="449">
        <f t="shared" si="674"/>
        <v>112</v>
      </c>
      <c r="AO927" s="449">
        <f t="shared" si="674"/>
        <v>112</v>
      </c>
      <c r="AP927" s="449">
        <f t="shared" si="674"/>
        <v>112</v>
      </c>
      <c r="AQ927" s="449">
        <f t="shared" si="674"/>
        <v>112</v>
      </c>
      <c r="AR927" s="449">
        <f t="shared" si="674"/>
        <v>112</v>
      </c>
      <c r="AS927" s="449">
        <f t="shared" si="674"/>
        <v>112</v>
      </c>
      <c r="AT927" s="449">
        <f t="shared" si="674"/>
        <v>112</v>
      </c>
      <c r="AU927" s="449">
        <f t="shared" si="674"/>
        <v>112</v>
      </c>
      <c r="AV927" s="449">
        <f t="shared" si="674"/>
        <v>112</v>
      </c>
      <c r="AW927" s="449">
        <f t="shared" ref="AW927:BD927" si="675">$D898</f>
        <v>136</v>
      </c>
      <c r="AX927" s="449">
        <f t="shared" si="675"/>
        <v>136</v>
      </c>
      <c r="AY927" s="449">
        <f t="shared" si="675"/>
        <v>136</v>
      </c>
      <c r="AZ927" s="449">
        <f t="shared" si="675"/>
        <v>136</v>
      </c>
      <c r="BA927" s="449">
        <f t="shared" si="675"/>
        <v>136</v>
      </c>
      <c r="BB927" s="449">
        <f t="shared" si="675"/>
        <v>136</v>
      </c>
      <c r="BC927" s="449">
        <f t="shared" si="675"/>
        <v>136</v>
      </c>
      <c r="BD927" s="449">
        <f t="shared" si="675"/>
        <v>136</v>
      </c>
      <c r="BE927" s="449">
        <f t="shared" ref="BE927:BJ927" si="676">$E898</f>
        <v>158</v>
      </c>
      <c r="BF927" s="449">
        <f t="shared" si="676"/>
        <v>158</v>
      </c>
      <c r="BG927" s="449">
        <f t="shared" si="676"/>
        <v>158</v>
      </c>
      <c r="BH927" s="449">
        <f t="shared" si="676"/>
        <v>158</v>
      </c>
      <c r="BI927" s="449">
        <f t="shared" si="676"/>
        <v>158</v>
      </c>
      <c r="BJ927" s="449">
        <f t="shared" si="676"/>
        <v>158</v>
      </c>
      <c r="BK927" s="449">
        <f t="shared" ref="BK927:BP927" si="677">$F898</f>
        <v>169</v>
      </c>
      <c r="BL927" s="449">
        <f t="shared" si="677"/>
        <v>169</v>
      </c>
      <c r="BM927" s="449">
        <f t="shared" si="677"/>
        <v>169</v>
      </c>
      <c r="BN927" s="449">
        <f t="shared" si="677"/>
        <v>169</v>
      </c>
      <c r="BO927" s="449">
        <f t="shared" si="677"/>
        <v>169</v>
      </c>
      <c r="BP927" s="449">
        <f t="shared" si="677"/>
        <v>169</v>
      </c>
      <c r="BQ927" s="484">
        <f t="shared" ref="BQ927:BR927" si="678">$G898</f>
        <v>188</v>
      </c>
      <c r="BR927" s="484">
        <f t="shared" si="678"/>
        <v>188</v>
      </c>
      <c r="BS927" s="484">
        <f t="shared" si="475"/>
        <v>199</v>
      </c>
      <c r="BT927" s="484">
        <f t="shared" si="476"/>
        <v>215</v>
      </c>
      <c r="BU927" s="484">
        <f t="shared" si="477"/>
        <v>225</v>
      </c>
      <c r="BV927" s="484">
        <f t="shared" si="478"/>
        <v>241</v>
      </c>
      <c r="BW927" s="484">
        <f t="shared" si="479"/>
        <v>250</v>
      </c>
      <c r="BX927" s="484">
        <f t="shared" ref="BX927:BY927" si="679">$M898</f>
        <v>256</v>
      </c>
      <c r="BY927" s="484">
        <f t="shared" si="679"/>
        <v>256</v>
      </c>
      <c r="BZ927" s="484">
        <f t="shared" si="481"/>
        <v>285</v>
      </c>
      <c r="CA927" s="484">
        <f t="shared" si="668"/>
        <v>316</v>
      </c>
      <c r="CB927" s="484">
        <f t="shared" si="669"/>
        <v>328</v>
      </c>
      <c r="CC927" s="484">
        <f t="shared" si="670"/>
        <v>370</v>
      </c>
      <c r="CD927" s="484">
        <f t="shared" si="671"/>
        <v>391</v>
      </c>
    </row>
    <row r="928" spans="1:82">
      <c r="A928" s="477" t="s">
        <v>800</v>
      </c>
      <c r="B928" s="449">
        <f t="shared" ref="B928:AC928" si="680">$B898</f>
        <v>90</v>
      </c>
      <c r="C928" s="449">
        <f t="shared" si="680"/>
        <v>90</v>
      </c>
      <c r="D928" s="449">
        <f t="shared" si="680"/>
        <v>90</v>
      </c>
      <c r="E928" s="449">
        <f t="shared" si="680"/>
        <v>90</v>
      </c>
      <c r="F928" s="449">
        <f t="shared" si="680"/>
        <v>90</v>
      </c>
      <c r="G928" s="449">
        <f t="shared" si="680"/>
        <v>90</v>
      </c>
      <c r="H928" s="449">
        <f t="shared" si="680"/>
        <v>90</v>
      </c>
      <c r="I928" s="449">
        <f t="shared" si="680"/>
        <v>90</v>
      </c>
      <c r="J928" s="449">
        <f t="shared" si="680"/>
        <v>90</v>
      </c>
      <c r="K928" s="449">
        <f t="shared" si="680"/>
        <v>90</v>
      </c>
      <c r="L928" s="449">
        <f t="shared" si="680"/>
        <v>90</v>
      </c>
      <c r="M928" s="449">
        <f t="shared" si="680"/>
        <v>90</v>
      </c>
      <c r="N928" s="449">
        <f t="shared" si="680"/>
        <v>90</v>
      </c>
      <c r="O928" s="449">
        <f t="shared" si="680"/>
        <v>90</v>
      </c>
      <c r="P928" s="449">
        <f t="shared" si="680"/>
        <v>90</v>
      </c>
      <c r="Q928" s="449">
        <f t="shared" si="680"/>
        <v>90</v>
      </c>
      <c r="R928" s="449">
        <f t="shared" si="680"/>
        <v>90</v>
      </c>
      <c r="S928" s="449">
        <f t="shared" si="680"/>
        <v>90</v>
      </c>
      <c r="T928" s="449">
        <f t="shared" si="680"/>
        <v>90</v>
      </c>
      <c r="U928" s="449">
        <f t="shared" si="680"/>
        <v>90</v>
      </c>
      <c r="V928" s="449">
        <f t="shared" si="680"/>
        <v>90</v>
      </c>
      <c r="W928" s="449">
        <f t="shared" si="680"/>
        <v>90</v>
      </c>
      <c r="X928" s="449">
        <f t="shared" si="680"/>
        <v>90</v>
      </c>
      <c r="Y928" s="449">
        <f t="shared" si="680"/>
        <v>90</v>
      </c>
      <c r="Z928" s="449">
        <f t="shared" si="680"/>
        <v>90</v>
      </c>
      <c r="AA928" s="449">
        <f t="shared" si="680"/>
        <v>90</v>
      </c>
      <c r="AB928" s="449">
        <f t="shared" si="680"/>
        <v>90</v>
      </c>
      <c r="AC928" s="449">
        <f t="shared" si="680"/>
        <v>90</v>
      </c>
      <c r="AD928" s="449">
        <f t="shared" ref="AD928:AH928" si="681">$C898</f>
        <v>112</v>
      </c>
      <c r="AE928" s="449">
        <f t="shared" si="681"/>
        <v>112</v>
      </c>
      <c r="AF928" s="449">
        <f t="shared" si="681"/>
        <v>112</v>
      </c>
      <c r="AG928" s="449">
        <f t="shared" si="681"/>
        <v>112</v>
      </c>
      <c r="AH928" s="449">
        <f t="shared" si="681"/>
        <v>112</v>
      </c>
      <c r="AI928" s="449">
        <f t="shared" ref="AI928:AV928" si="682">$C899</f>
        <v>202</v>
      </c>
      <c r="AJ928" s="449">
        <f t="shared" si="682"/>
        <v>202</v>
      </c>
      <c r="AK928" s="449">
        <f t="shared" si="682"/>
        <v>202</v>
      </c>
      <c r="AL928" s="449">
        <f t="shared" si="682"/>
        <v>202</v>
      </c>
      <c r="AM928" s="449">
        <f t="shared" si="682"/>
        <v>202</v>
      </c>
      <c r="AN928" s="449">
        <f t="shared" si="682"/>
        <v>202</v>
      </c>
      <c r="AO928" s="449">
        <f t="shared" si="682"/>
        <v>202</v>
      </c>
      <c r="AP928" s="449">
        <f t="shared" si="682"/>
        <v>202</v>
      </c>
      <c r="AQ928" s="449">
        <f t="shared" si="682"/>
        <v>202</v>
      </c>
      <c r="AR928" s="449">
        <f t="shared" si="682"/>
        <v>202</v>
      </c>
      <c r="AS928" s="449">
        <f t="shared" si="682"/>
        <v>202</v>
      </c>
      <c r="AT928" s="449">
        <f t="shared" si="682"/>
        <v>202</v>
      </c>
      <c r="AU928" s="449">
        <f t="shared" si="682"/>
        <v>202</v>
      </c>
      <c r="AV928" s="449">
        <f t="shared" si="682"/>
        <v>202</v>
      </c>
      <c r="AW928" s="449">
        <f t="shared" ref="AW928:BD928" si="683">$D899</f>
        <v>247</v>
      </c>
      <c r="AX928" s="449">
        <f t="shared" si="683"/>
        <v>247</v>
      </c>
      <c r="AY928" s="449">
        <f t="shared" si="683"/>
        <v>247</v>
      </c>
      <c r="AZ928" s="449">
        <f t="shared" si="683"/>
        <v>247</v>
      </c>
      <c r="BA928" s="449">
        <f t="shared" si="683"/>
        <v>247</v>
      </c>
      <c r="BB928" s="449">
        <f t="shared" si="683"/>
        <v>247</v>
      </c>
      <c r="BC928" s="449">
        <f t="shared" si="683"/>
        <v>247</v>
      </c>
      <c r="BD928" s="449">
        <f t="shared" si="683"/>
        <v>247</v>
      </c>
      <c r="BE928" s="449">
        <f t="shared" ref="BE928:BJ928" si="684">$E899</f>
        <v>298</v>
      </c>
      <c r="BF928" s="449">
        <f t="shared" si="684"/>
        <v>298</v>
      </c>
      <c r="BG928" s="449">
        <f t="shared" si="684"/>
        <v>298</v>
      </c>
      <c r="BH928" s="449">
        <f t="shared" si="684"/>
        <v>298</v>
      </c>
      <c r="BI928" s="449">
        <f t="shared" si="684"/>
        <v>298</v>
      </c>
      <c r="BJ928" s="449">
        <f t="shared" si="684"/>
        <v>298</v>
      </c>
      <c r="BK928" s="449">
        <f t="shared" ref="BK928:BP928" si="685">$F899</f>
        <v>330</v>
      </c>
      <c r="BL928" s="449">
        <f t="shared" si="685"/>
        <v>330</v>
      </c>
      <c r="BM928" s="449">
        <f t="shared" si="685"/>
        <v>330</v>
      </c>
      <c r="BN928" s="449">
        <f t="shared" si="685"/>
        <v>330</v>
      </c>
      <c r="BO928" s="449">
        <f t="shared" si="685"/>
        <v>330</v>
      </c>
      <c r="BP928" s="449">
        <f t="shared" si="685"/>
        <v>330</v>
      </c>
      <c r="BQ928" s="484">
        <f t="shared" ref="BQ928:BR928" si="686">$G899</f>
        <v>363</v>
      </c>
      <c r="BR928" s="484">
        <f t="shared" si="686"/>
        <v>363</v>
      </c>
      <c r="BS928" s="484">
        <f t="shared" si="475"/>
        <v>390</v>
      </c>
      <c r="BT928" s="484">
        <f t="shared" si="476"/>
        <v>416</v>
      </c>
      <c r="BU928" s="484">
        <f t="shared" si="477"/>
        <v>445</v>
      </c>
      <c r="BV928" s="484">
        <f t="shared" si="478"/>
        <v>470</v>
      </c>
      <c r="BW928" s="484">
        <f t="shared" si="479"/>
        <v>490</v>
      </c>
      <c r="BX928" s="484">
        <f t="shared" ref="BX928:BY928" si="687">$M899</f>
        <v>507</v>
      </c>
      <c r="BY928" s="484">
        <f t="shared" si="687"/>
        <v>507</v>
      </c>
      <c r="BZ928" s="484">
        <f t="shared" si="481"/>
        <v>560</v>
      </c>
      <c r="CA928" s="484">
        <f t="shared" si="668"/>
        <v>621</v>
      </c>
      <c r="CB928" s="484">
        <f t="shared" si="669"/>
        <v>643</v>
      </c>
      <c r="CC928" s="484">
        <f t="shared" si="670"/>
        <v>726</v>
      </c>
      <c r="CD928" s="484">
        <f t="shared" si="671"/>
        <v>768</v>
      </c>
    </row>
    <row r="929" spans="1:82">
      <c r="A929" s="473" t="s">
        <v>801</v>
      </c>
      <c r="B929" s="449">
        <f t="shared" ref="B929:AC929" si="688">$B899</f>
        <v>162</v>
      </c>
      <c r="C929" s="449">
        <f t="shared" si="688"/>
        <v>162</v>
      </c>
      <c r="D929" s="449">
        <f t="shared" si="688"/>
        <v>162</v>
      </c>
      <c r="E929" s="449">
        <f t="shared" si="688"/>
        <v>162</v>
      </c>
      <c r="F929" s="449">
        <f t="shared" si="688"/>
        <v>162</v>
      </c>
      <c r="G929" s="449">
        <f t="shared" si="688"/>
        <v>162</v>
      </c>
      <c r="H929" s="449">
        <f t="shared" si="688"/>
        <v>162</v>
      </c>
      <c r="I929" s="449">
        <f t="shared" si="688"/>
        <v>162</v>
      </c>
      <c r="J929" s="449">
        <f t="shared" si="688"/>
        <v>162</v>
      </c>
      <c r="K929" s="449">
        <f t="shared" si="688"/>
        <v>162</v>
      </c>
      <c r="L929" s="449">
        <f t="shared" si="688"/>
        <v>162</v>
      </c>
      <c r="M929" s="449">
        <f t="shared" si="688"/>
        <v>162</v>
      </c>
      <c r="N929" s="449">
        <f t="shared" si="688"/>
        <v>162</v>
      </c>
      <c r="O929" s="449">
        <f t="shared" si="688"/>
        <v>162</v>
      </c>
      <c r="P929" s="449">
        <f t="shared" si="688"/>
        <v>162</v>
      </c>
      <c r="Q929" s="449">
        <f t="shared" si="688"/>
        <v>162</v>
      </c>
      <c r="R929" s="449">
        <f t="shared" si="688"/>
        <v>162</v>
      </c>
      <c r="S929" s="449">
        <f t="shared" si="688"/>
        <v>162</v>
      </c>
      <c r="T929" s="449">
        <f t="shared" si="688"/>
        <v>162</v>
      </c>
      <c r="U929" s="449">
        <f t="shared" si="688"/>
        <v>162</v>
      </c>
      <c r="V929" s="449">
        <f t="shared" si="688"/>
        <v>162</v>
      </c>
      <c r="W929" s="449">
        <f t="shared" si="688"/>
        <v>162</v>
      </c>
      <c r="X929" s="449">
        <f t="shared" si="688"/>
        <v>162</v>
      </c>
      <c r="Y929" s="449">
        <f t="shared" si="688"/>
        <v>162</v>
      </c>
      <c r="Z929" s="449">
        <f t="shared" si="688"/>
        <v>162</v>
      </c>
      <c r="AA929" s="449">
        <f t="shared" si="688"/>
        <v>162</v>
      </c>
      <c r="AB929" s="449">
        <f t="shared" si="688"/>
        <v>162</v>
      </c>
      <c r="AC929" s="449">
        <f t="shared" si="688"/>
        <v>162</v>
      </c>
      <c r="AD929" s="449">
        <f t="shared" ref="AD929:AH929" si="689">$C899</f>
        <v>202</v>
      </c>
      <c r="AE929" s="449">
        <f t="shared" si="689"/>
        <v>202</v>
      </c>
      <c r="AF929" s="449">
        <f t="shared" si="689"/>
        <v>202</v>
      </c>
      <c r="AG929" s="449">
        <f t="shared" si="689"/>
        <v>202</v>
      </c>
      <c r="AH929" s="449">
        <f t="shared" si="689"/>
        <v>202</v>
      </c>
      <c r="AI929" s="449">
        <f t="shared" ref="AI929:AV929" si="690">$C900</f>
        <v>200</v>
      </c>
      <c r="AJ929" s="449">
        <f t="shared" si="690"/>
        <v>200</v>
      </c>
      <c r="AK929" s="449">
        <f t="shared" si="690"/>
        <v>200</v>
      </c>
      <c r="AL929" s="449">
        <f t="shared" si="690"/>
        <v>200</v>
      </c>
      <c r="AM929" s="449">
        <f t="shared" si="690"/>
        <v>200</v>
      </c>
      <c r="AN929" s="449">
        <f t="shared" si="690"/>
        <v>200</v>
      </c>
      <c r="AO929" s="449">
        <f t="shared" si="690"/>
        <v>200</v>
      </c>
      <c r="AP929" s="449">
        <f t="shared" si="690"/>
        <v>200</v>
      </c>
      <c r="AQ929" s="449">
        <f t="shared" si="690"/>
        <v>200</v>
      </c>
      <c r="AR929" s="449">
        <f t="shared" si="690"/>
        <v>200</v>
      </c>
      <c r="AS929" s="449">
        <f t="shared" si="690"/>
        <v>200</v>
      </c>
      <c r="AT929" s="449">
        <f t="shared" si="690"/>
        <v>200</v>
      </c>
      <c r="AU929" s="449">
        <f t="shared" si="690"/>
        <v>200</v>
      </c>
      <c r="AV929" s="449">
        <f t="shared" si="690"/>
        <v>200</v>
      </c>
      <c r="AW929" s="449">
        <f t="shared" ref="AW929:BD929" si="691">$D900</f>
        <v>245</v>
      </c>
      <c r="AX929" s="449">
        <f t="shared" si="691"/>
        <v>245</v>
      </c>
      <c r="AY929" s="449">
        <f t="shared" si="691"/>
        <v>245</v>
      </c>
      <c r="AZ929" s="449">
        <f t="shared" si="691"/>
        <v>245</v>
      </c>
      <c r="BA929" s="449">
        <f t="shared" si="691"/>
        <v>245</v>
      </c>
      <c r="BB929" s="449">
        <f t="shared" si="691"/>
        <v>245</v>
      </c>
      <c r="BC929" s="449">
        <f t="shared" si="691"/>
        <v>245</v>
      </c>
      <c r="BD929" s="449">
        <f t="shared" si="691"/>
        <v>245</v>
      </c>
      <c r="BE929" s="449">
        <f t="shared" ref="BE929:BJ929" si="692">$E900</f>
        <v>294</v>
      </c>
      <c r="BF929" s="449">
        <f t="shared" si="692"/>
        <v>294</v>
      </c>
      <c r="BG929" s="449">
        <f t="shared" si="692"/>
        <v>294</v>
      </c>
      <c r="BH929" s="449">
        <f t="shared" si="692"/>
        <v>294</v>
      </c>
      <c r="BI929" s="449">
        <f t="shared" si="692"/>
        <v>294</v>
      </c>
      <c r="BJ929" s="449">
        <f t="shared" si="692"/>
        <v>294</v>
      </c>
      <c r="BK929" s="449">
        <f t="shared" ref="BK929:BP929" si="693">$F900</f>
        <v>329</v>
      </c>
      <c r="BL929" s="449">
        <f t="shared" si="693"/>
        <v>329</v>
      </c>
      <c r="BM929" s="449">
        <f t="shared" si="693"/>
        <v>329</v>
      </c>
      <c r="BN929" s="449">
        <f t="shared" si="693"/>
        <v>329</v>
      </c>
      <c r="BO929" s="449">
        <f t="shared" si="693"/>
        <v>329</v>
      </c>
      <c r="BP929" s="449">
        <f t="shared" si="693"/>
        <v>329</v>
      </c>
      <c r="BQ929" s="484">
        <f>$G900</f>
        <v>362</v>
      </c>
      <c r="BR929" s="484">
        <f>$G900</f>
        <v>362</v>
      </c>
      <c r="BS929" s="484">
        <f>$H900</f>
        <v>386</v>
      </c>
      <c r="BT929" s="484">
        <f>$I900</f>
        <v>414</v>
      </c>
      <c r="BU929" s="484">
        <f>$J900</f>
        <v>443</v>
      </c>
      <c r="BV929" s="484">
        <f>$K900</f>
        <v>469</v>
      </c>
      <c r="BW929" s="484">
        <f>$L900</f>
        <v>485</v>
      </c>
      <c r="BX929" s="484">
        <f>$M900</f>
        <v>506</v>
      </c>
      <c r="BY929" s="484">
        <f>$M900</f>
        <v>506</v>
      </c>
      <c r="BZ929" s="484">
        <f>$O900</f>
        <v>558</v>
      </c>
      <c r="CA929" s="484">
        <f>Q900</f>
        <v>619</v>
      </c>
      <c r="CB929" s="484">
        <f>R900</f>
        <v>637</v>
      </c>
      <c r="CC929" s="484">
        <f>S900</f>
        <v>724</v>
      </c>
      <c r="CD929" s="484">
        <f>T900</f>
        <v>766</v>
      </c>
    </row>
    <row r="930" spans="1:82" ht="15.75" thickBot="1">
      <c r="A930" s="478" t="s">
        <v>802</v>
      </c>
      <c r="B930" s="449">
        <f t="shared" ref="B930:AC930" si="694">$B900</f>
        <v>160</v>
      </c>
      <c r="C930" s="449">
        <f t="shared" si="694"/>
        <v>160</v>
      </c>
      <c r="D930" s="449">
        <f t="shared" si="694"/>
        <v>160</v>
      </c>
      <c r="E930" s="449">
        <f t="shared" si="694"/>
        <v>160</v>
      </c>
      <c r="F930" s="449">
        <f t="shared" si="694"/>
        <v>160</v>
      </c>
      <c r="G930" s="449">
        <f t="shared" si="694"/>
        <v>160</v>
      </c>
      <c r="H930" s="449">
        <f t="shared" si="694"/>
        <v>160</v>
      </c>
      <c r="I930" s="449">
        <f t="shared" si="694"/>
        <v>160</v>
      </c>
      <c r="J930" s="449">
        <f t="shared" si="694"/>
        <v>160</v>
      </c>
      <c r="K930" s="449">
        <f t="shared" si="694"/>
        <v>160</v>
      </c>
      <c r="L930" s="449">
        <f t="shared" si="694"/>
        <v>160</v>
      </c>
      <c r="M930" s="449">
        <f t="shared" si="694"/>
        <v>160</v>
      </c>
      <c r="N930" s="449">
        <f t="shared" si="694"/>
        <v>160</v>
      </c>
      <c r="O930" s="449">
        <f t="shared" si="694"/>
        <v>160</v>
      </c>
      <c r="P930" s="449">
        <f t="shared" si="694"/>
        <v>160</v>
      </c>
      <c r="Q930" s="449">
        <f t="shared" si="694"/>
        <v>160</v>
      </c>
      <c r="R930" s="449">
        <f t="shared" si="694"/>
        <v>160</v>
      </c>
      <c r="S930" s="449">
        <f t="shared" si="694"/>
        <v>160</v>
      </c>
      <c r="T930" s="449">
        <f t="shared" si="694"/>
        <v>160</v>
      </c>
      <c r="U930" s="449">
        <f t="shared" si="694"/>
        <v>160</v>
      </c>
      <c r="V930" s="449">
        <f t="shared" si="694"/>
        <v>160</v>
      </c>
      <c r="W930" s="449">
        <f t="shared" si="694"/>
        <v>160</v>
      </c>
      <c r="X930" s="449">
        <f t="shared" si="694"/>
        <v>160</v>
      </c>
      <c r="Y930" s="449">
        <f t="shared" si="694"/>
        <v>160</v>
      </c>
      <c r="Z930" s="449">
        <f t="shared" si="694"/>
        <v>160</v>
      </c>
      <c r="AA930" s="449">
        <f t="shared" si="694"/>
        <v>160</v>
      </c>
      <c r="AB930" s="449">
        <f t="shared" si="694"/>
        <v>160</v>
      </c>
      <c r="AC930" s="449">
        <f t="shared" si="694"/>
        <v>160</v>
      </c>
      <c r="AD930" s="449">
        <f t="shared" ref="AD930:AH930" si="695">$C900</f>
        <v>200</v>
      </c>
      <c r="AE930" s="449">
        <f t="shared" si="695"/>
        <v>200</v>
      </c>
      <c r="AF930" s="449">
        <f t="shared" si="695"/>
        <v>200</v>
      </c>
      <c r="AG930" s="449">
        <f t="shared" si="695"/>
        <v>200</v>
      </c>
      <c r="AH930" s="449">
        <f t="shared" si="695"/>
        <v>200</v>
      </c>
    </row>
  </sheetData>
  <mergeCells count="4">
    <mergeCell ref="E718:G718"/>
    <mergeCell ref="B903:F903"/>
    <mergeCell ref="N903:P903"/>
    <mergeCell ref="B872:U872"/>
  </mergeCells>
  <phoneticPr fontId="60" type="noConversion"/>
  <pageMargins left="0.7" right="0.7" top="0.75" bottom="0.75" header="0.3" footer="0.3"/>
  <pageSetup paperSize="9" orientation="portrait" r:id="rId1"/>
  <ignoredErrors>
    <ignoredError sqref="AF208:CF208 O208:AD208"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H24"/>
  <sheetViews>
    <sheetView workbookViewId="0">
      <selection activeCell="F14" sqref="F14"/>
    </sheetView>
  </sheetViews>
  <sheetFormatPr baseColWidth="10" defaultRowHeight="15"/>
  <cols>
    <col min="1" max="1" width="46.85546875" customWidth="1"/>
    <col min="2" max="2" width="61.28515625" customWidth="1"/>
    <col min="3" max="3" width="29.140625" customWidth="1"/>
    <col min="7" max="7" width="22.7109375" customWidth="1"/>
  </cols>
  <sheetData>
    <row r="1" spans="1:8">
      <c r="A1" s="1" t="s">
        <v>741</v>
      </c>
      <c r="B1" s="1" t="s">
        <v>742</v>
      </c>
      <c r="C1" s="1" t="s">
        <v>747</v>
      </c>
    </row>
    <row r="2" spans="1:8">
      <c r="A2" s="367"/>
      <c r="B2" s="188"/>
    </row>
    <row r="3" spans="1:8" ht="45">
      <c r="A3" s="368" t="s">
        <v>743</v>
      </c>
      <c r="B3" s="190" t="s">
        <v>744</v>
      </c>
      <c r="C3" s="370"/>
      <c r="G3" s="445" t="s">
        <v>763</v>
      </c>
      <c r="H3" s="445"/>
    </row>
    <row r="4" spans="1:8" ht="30">
      <c r="A4" s="368" t="s">
        <v>745</v>
      </c>
      <c r="B4" s="190" t="s">
        <v>746</v>
      </c>
      <c r="C4" s="371"/>
    </row>
    <row r="5" spans="1:8">
      <c r="A5" s="368" t="s">
        <v>764</v>
      </c>
      <c r="B5" s="190" t="s">
        <v>765</v>
      </c>
      <c r="C5" s="370"/>
    </row>
    <row r="6" spans="1:8">
      <c r="A6" s="368"/>
      <c r="B6" s="190"/>
      <c r="C6" s="1"/>
    </row>
    <row r="7" spans="1:8">
      <c r="A7" s="368"/>
      <c r="B7" s="190"/>
      <c r="C7" s="1"/>
    </row>
    <row r="8" spans="1:8">
      <c r="A8" s="368"/>
      <c r="B8" s="190"/>
      <c r="C8" s="1"/>
    </row>
    <row r="9" spans="1:8">
      <c r="A9" s="368"/>
      <c r="B9" s="190"/>
      <c r="C9" s="1"/>
    </row>
    <row r="10" spans="1:8">
      <c r="A10" s="368"/>
      <c r="B10" s="190"/>
      <c r="C10" s="1"/>
    </row>
    <row r="11" spans="1:8">
      <c r="A11" s="369"/>
      <c r="B11" s="190"/>
      <c r="C11" s="1"/>
    </row>
    <row r="12" spans="1:8">
      <c r="A12" s="369"/>
      <c r="B12" s="190"/>
      <c r="C12" s="1"/>
    </row>
    <row r="13" spans="1:8">
      <c r="A13" s="369"/>
      <c r="B13" s="190"/>
      <c r="C13" s="1"/>
    </row>
    <row r="14" spans="1:8">
      <c r="A14" s="369"/>
      <c r="B14" s="190"/>
      <c r="C14" s="1"/>
    </row>
    <row r="15" spans="1:8">
      <c r="A15" s="369"/>
      <c r="B15" s="190"/>
      <c r="C15" s="1"/>
    </row>
    <row r="16" spans="1:8">
      <c r="A16" s="188"/>
      <c r="B16" s="188"/>
    </row>
    <row r="17" spans="1:2">
      <c r="A17" s="188"/>
      <c r="B17" s="188"/>
    </row>
    <row r="18" spans="1:2">
      <c r="A18" s="188"/>
      <c r="B18" s="188"/>
    </row>
    <row r="19" spans="1:2">
      <c r="A19" s="188"/>
      <c r="B19" s="188"/>
    </row>
    <row r="20" spans="1:2">
      <c r="A20" s="188"/>
      <c r="B20" s="188"/>
    </row>
    <row r="21" spans="1:2">
      <c r="A21" s="188"/>
      <c r="B21" s="188"/>
    </row>
    <row r="22" spans="1:2">
      <c r="A22" s="188"/>
      <c r="B22" s="188"/>
    </row>
    <row r="23" spans="1:2">
      <c r="A23" s="188"/>
      <c r="B23" s="188"/>
    </row>
    <row r="24" spans="1:2">
      <c r="A24" s="188"/>
      <c r="B24" s="188"/>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0"/>
  <dimension ref="A1:M19"/>
  <sheetViews>
    <sheetView workbookViewId="0">
      <selection activeCell="J52" sqref="J52"/>
    </sheetView>
  </sheetViews>
  <sheetFormatPr baseColWidth="10" defaultColWidth="8.7109375" defaultRowHeight="15"/>
  <cols>
    <col min="1" max="13" width="22" customWidth="1"/>
  </cols>
  <sheetData>
    <row r="1" spans="1:13">
      <c r="A1" s="189" t="s">
        <v>321</v>
      </c>
      <c r="B1" s="189"/>
      <c r="C1" s="189"/>
      <c r="D1" s="189"/>
      <c r="E1" s="189"/>
      <c r="F1" s="189"/>
      <c r="G1" s="189"/>
      <c r="H1" s="189"/>
      <c r="I1" s="189"/>
      <c r="J1" s="189"/>
      <c r="K1" s="189"/>
      <c r="L1" s="189"/>
      <c r="M1" s="189"/>
    </row>
    <row r="3" spans="1:13">
      <c r="A3" s="189" t="s">
        <v>284</v>
      </c>
      <c r="B3" s="189" t="s">
        <v>320</v>
      </c>
      <c r="C3" s="189" t="s">
        <v>319</v>
      </c>
      <c r="D3" s="189" t="s">
        <v>318</v>
      </c>
      <c r="E3" s="189" t="s">
        <v>317</v>
      </c>
      <c r="F3" s="189" t="s">
        <v>316</v>
      </c>
      <c r="G3" s="189" t="s">
        <v>315</v>
      </c>
      <c r="H3" s="189" t="s">
        <v>314</v>
      </c>
      <c r="I3" s="189" t="s">
        <v>313</v>
      </c>
      <c r="J3" s="189" t="s">
        <v>312</v>
      </c>
      <c r="K3" s="189" t="s">
        <v>311</v>
      </c>
      <c r="L3" s="189" t="s">
        <v>310</v>
      </c>
      <c r="M3" s="189" t="s">
        <v>309</v>
      </c>
    </row>
    <row r="4" spans="1:13">
      <c r="A4" t="s">
        <v>308</v>
      </c>
      <c r="B4" t="s">
        <v>307</v>
      </c>
      <c r="C4" t="s">
        <v>306</v>
      </c>
      <c r="D4">
        <v>5</v>
      </c>
      <c r="E4" t="s">
        <v>305</v>
      </c>
      <c r="F4" t="s">
        <v>304</v>
      </c>
      <c r="G4" t="s">
        <v>303</v>
      </c>
      <c r="H4" t="s">
        <v>302</v>
      </c>
      <c r="I4" t="s">
        <v>301</v>
      </c>
      <c r="J4" t="s">
        <v>300</v>
      </c>
      <c r="K4" t="s">
        <v>299</v>
      </c>
      <c r="L4" t="s">
        <v>298</v>
      </c>
      <c r="M4" t="s">
        <v>297</v>
      </c>
    </row>
    <row r="5" spans="1:13">
      <c r="A5" t="s">
        <v>296</v>
      </c>
      <c r="B5" t="s">
        <v>295</v>
      </c>
      <c r="C5" t="s">
        <v>294</v>
      </c>
      <c r="D5">
        <v>4</v>
      </c>
      <c r="E5" t="s">
        <v>293</v>
      </c>
      <c r="F5" t="s">
        <v>80</v>
      </c>
      <c r="G5" t="s">
        <v>292</v>
      </c>
      <c r="H5" t="s">
        <v>291</v>
      </c>
      <c r="I5" t="s">
        <v>290</v>
      </c>
      <c r="J5" t="s">
        <v>289</v>
      </c>
      <c r="K5" t="s">
        <v>288</v>
      </c>
      <c r="L5" t="s">
        <v>287</v>
      </c>
      <c r="M5" t="s">
        <v>286</v>
      </c>
    </row>
    <row r="7" spans="1:13">
      <c r="A7" t="s">
        <v>285</v>
      </c>
    </row>
    <row r="8" spans="1:13">
      <c r="A8" s="189" t="s">
        <v>284</v>
      </c>
      <c r="B8" s="189" t="s">
        <v>184</v>
      </c>
      <c r="C8" s="189" t="s">
        <v>283</v>
      </c>
      <c r="D8" s="189" t="s">
        <v>282</v>
      </c>
      <c r="E8" s="189" t="s">
        <v>281</v>
      </c>
      <c r="F8" s="189" t="s">
        <v>280</v>
      </c>
      <c r="G8" s="189" t="s">
        <v>279</v>
      </c>
      <c r="H8" s="189" t="s">
        <v>278</v>
      </c>
      <c r="I8" s="189" t="s">
        <v>277</v>
      </c>
    </row>
    <row r="9" spans="1:13">
      <c r="A9" t="s">
        <v>276</v>
      </c>
      <c r="B9" t="s">
        <v>275</v>
      </c>
      <c r="C9" t="s">
        <v>274</v>
      </c>
      <c r="D9" t="s">
        <v>273</v>
      </c>
      <c r="E9">
        <v>165</v>
      </c>
      <c r="G9" t="s">
        <v>238</v>
      </c>
      <c r="H9" t="s">
        <v>225</v>
      </c>
      <c r="I9" t="s">
        <v>272</v>
      </c>
    </row>
    <row r="10" spans="1:13">
      <c r="A10" t="s">
        <v>271</v>
      </c>
      <c r="B10" t="s">
        <v>270</v>
      </c>
      <c r="C10" t="s">
        <v>45</v>
      </c>
      <c r="D10" t="s">
        <v>265</v>
      </c>
      <c r="E10">
        <v>60</v>
      </c>
      <c r="F10">
        <v>285</v>
      </c>
      <c r="G10" t="s">
        <v>238</v>
      </c>
      <c r="H10" t="s">
        <v>225</v>
      </c>
      <c r="I10" t="s">
        <v>269</v>
      </c>
    </row>
    <row r="11" spans="1:13">
      <c r="A11" t="s">
        <v>268</v>
      </c>
      <c r="B11" t="s">
        <v>267</v>
      </c>
      <c r="C11" t="s">
        <v>266</v>
      </c>
      <c r="D11" t="s">
        <v>265</v>
      </c>
      <c r="E11">
        <v>60</v>
      </c>
      <c r="F11">
        <v>350</v>
      </c>
      <c r="G11" t="s">
        <v>238</v>
      </c>
      <c r="H11" t="s">
        <v>225</v>
      </c>
      <c r="I11" t="s">
        <v>264</v>
      </c>
    </row>
    <row r="12" spans="1:13">
      <c r="A12" t="s">
        <v>263</v>
      </c>
      <c r="B12" t="s">
        <v>67</v>
      </c>
      <c r="C12" t="s">
        <v>262</v>
      </c>
      <c r="D12" t="s">
        <v>261</v>
      </c>
      <c r="G12" t="s">
        <v>226</v>
      </c>
      <c r="H12" t="s">
        <v>225</v>
      </c>
      <c r="I12" t="s">
        <v>260</v>
      </c>
    </row>
    <row r="13" spans="1:13">
      <c r="A13" t="s">
        <v>259</v>
      </c>
      <c r="B13" t="s">
        <v>67</v>
      </c>
      <c r="C13" t="s">
        <v>258</v>
      </c>
      <c r="D13" t="s">
        <v>254</v>
      </c>
      <c r="G13" t="s">
        <v>226</v>
      </c>
      <c r="H13" t="s">
        <v>225</v>
      </c>
      <c r="I13" t="s">
        <v>257</v>
      </c>
    </row>
    <row r="14" spans="1:13">
      <c r="A14" t="s">
        <v>256</v>
      </c>
      <c r="B14" t="s">
        <v>67</v>
      </c>
      <c r="C14" t="s">
        <v>255</v>
      </c>
      <c r="D14" t="s">
        <v>254</v>
      </c>
      <c r="F14">
        <v>13755</v>
      </c>
      <c r="G14" t="s">
        <v>226</v>
      </c>
      <c r="H14" t="s">
        <v>225</v>
      </c>
      <c r="I14" t="s">
        <v>253</v>
      </c>
    </row>
    <row r="15" spans="1:13">
      <c r="A15" t="s">
        <v>252</v>
      </c>
      <c r="B15" t="s">
        <v>251</v>
      </c>
      <c r="C15" t="s">
        <v>250</v>
      </c>
      <c r="D15" t="s">
        <v>249</v>
      </c>
      <c r="F15">
        <v>11000</v>
      </c>
      <c r="G15" t="s">
        <v>226</v>
      </c>
      <c r="H15" t="s">
        <v>225</v>
      </c>
      <c r="I15" t="s">
        <v>248</v>
      </c>
    </row>
    <row r="16" spans="1:13">
      <c r="A16" t="s">
        <v>247</v>
      </c>
      <c r="B16" t="s">
        <v>246</v>
      </c>
      <c r="C16" t="s">
        <v>245</v>
      </c>
      <c r="D16" t="s">
        <v>244</v>
      </c>
      <c r="F16">
        <v>3000</v>
      </c>
      <c r="G16" t="s">
        <v>226</v>
      </c>
      <c r="H16" t="s">
        <v>225</v>
      </c>
      <c r="I16" t="s">
        <v>243</v>
      </c>
    </row>
    <row r="17" spans="1:9">
      <c r="A17" t="s">
        <v>242</v>
      </c>
      <c r="B17" t="s">
        <v>241</v>
      </c>
      <c r="C17" t="s">
        <v>240</v>
      </c>
      <c r="D17" t="s">
        <v>239</v>
      </c>
      <c r="F17">
        <v>4000</v>
      </c>
      <c r="G17" t="s">
        <v>238</v>
      </c>
      <c r="H17" t="s">
        <v>225</v>
      </c>
      <c r="I17" t="s">
        <v>237</v>
      </c>
    </row>
    <row r="18" spans="1:9">
      <c r="A18" t="s">
        <v>236</v>
      </c>
      <c r="B18" t="s">
        <v>235</v>
      </c>
      <c r="C18" t="s">
        <v>234</v>
      </c>
      <c r="D18" t="s">
        <v>233</v>
      </c>
      <c r="F18">
        <v>12</v>
      </c>
      <c r="G18" t="s">
        <v>226</v>
      </c>
      <c r="H18" t="s">
        <v>232</v>
      </c>
      <c r="I18" t="s">
        <v>231</v>
      </c>
    </row>
    <row r="19" spans="1:9">
      <c r="A19" t="s">
        <v>230</v>
      </c>
      <c r="B19" t="s">
        <v>229</v>
      </c>
      <c r="C19" t="s">
        <v>228</v>
      </c>
      <c r="D19" t="s">
        <v>227</v>
      </c>
      <c r="F19">
        <v>72000</v>
      </c>
      <c r="G19" t="s">
        <v>226</v>
      </c>
      <c r="H19" t="s">
        <v>225</v>
      </c>
      <c r="I19" t="s">
        <v>224</v>
      </c>
    </row>
  </sheetData>
  <pageMargins left="0.75" right="0.75" top="1" bottom="1" header="0.5" footer="0.5"/>
  <pageSetup paperSize="0" orientation="portrait" horizontalDpi="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1"/>
  <dimension ref="A1:R243"/>
  <sheetViews>
    <sheetView topLeftCell="A58" zoomScale="85" zoomScaleNormal="85" workbookViewId="0">
      <selection activeCell="D73" sqref="D73"/>
    </sheetView>
  </sheetViews>
  <sheetFormatPr baseColWidth="10" defaultColWidth="8.7109375" defaultRowHeight="15"/>
  <cols>
    <col min="1" max="1" width="25" customWidth="1"/>
    <col min="2" max="2" width="13.5703125" customWidth="1"/>
    <col min="3" max="3" width="25.28515625" customWidth="1"/>
    <col min="4" max="4" width="35.5703125" customWidth="1"/>
    <col min="5" max="5" width="15" customWidth="1"/>
    <col min="6" max="6" width="34.5703125" customWidth="1"/>
    <col min="7" max="7" width="29.85546875" customWidth="1"/>
    <col min="8" max="8" width="21" customWidth="1"/>
    <col min="9" max="10" width="18" customWidth="1"/>
    <col min="11" max="11" width="22" customWidth="1"/>
    <col min="12" max="12" width="16" customWidth="1"/>
    <col min="13" max="13" width="28" customWidth="1"/>
    <col min="14" max="14" width="21" customWidth="1"/>
    <col min="15" max="15" width="25" customWidth="1"/>
    <col min="16" max="16" width="23" customWidth="1"/>
    <col min="17" max="17" width="25" customWidth="1"/>
    <col min="18" max="18" width="27" customWidth="1"/>
  </cols>
  <sheetData>
    <row r="1" spans="1:18" ht="30">
      <c r="A1" s="198" t="s">
        <v>284</v>
      </c>
      <c r="B1" s="199" t="s">
        <v>322</v>
      </c>
      <c r="C1" s="199" t="s">
        <v>323</v>
      </c>
      <c r="D1" s="199" t="s">
        <v>324</v>
      </c>
      <c r="E1" s="199" t="s">
        <v>325</v>
      </c>
      <c r="F1" s="199" t="s">
        <v>279</v>
      </c>
      <c r="G1" s="199" t="s">
        <v>326</v>
      </c>
      <c r="H1" s="199" t="s">
        <v>327</v>
      </c>
      <c r="I1" s="199" t="s">
        <v>328</v>
      </c>
      <c r="J1" s="199" t="s">
        <v>329</v>
      </c>
      <c r="K1" s="199" t="s">
        <v>330</v>
      </c>
      <c r="L1" s="199" t="s">
        <v>331</v>
      </c>
      <c r="M1" s="199" t="s">
        <v>332</v>
      </c>
      <c r="N1" s="199" t="s">
        <v>333</v>
      </c>
      <c r="O1" s="199" t="s">
        <v>334</v>
      </c>
      <c r="P1" s="199" t="s">
        <v>335</v>
      </c>
      <c r="Q1" s="199" t="s">
        <v>336</v>
      </c>
      <c r="R1" s="200" t="s">
        <v>337</v>
      </c>
    </row>
    <row r="2" spans="1:18" ht="15.75" thickBot="1">
      <c r="A2" s="201" t="s">
        <v>338</v>
      </c>
      <c r="B2" s="202">
        <v>4</v>
      </c>
      <c r="C2" s="202">
        <v>8</v>
      </c>
      <c r="D2" s="202" t="s">
        <v>80</v>
      </c>
      <c r="E2" s="202" t="s">
        <v>304</v>
      </c>
      <c r="F2" s="202" t="s">
        <v>339</v>
      </c>
      <c r="G2" s="202">
        <v>60</v>
      </c>
      <c r="H2" s="202">
        <v>500</v>
      </c>
      <c r="I2" s="202" t="s">
        <v>340</v>
      </c>
      <c r="J2" s="202" t="s">
        <v>341</v>
      </c>
      <c r="K2" s="202" t="s">
        <v>342</v>
      </c>
      <c r="L2" s="202">
        <v>25</v>
      </c>
      <c r="M2" s="202" t="s">
        <v>341</v>
      </c>
      <c r="N2" s="202" t="s">
        <v>343</v>
      </c>
      <c r="O2" s="202">
        <v>0</v>
      </c>
      <c r="P2" s="202" t="s">
        <v>304</v>
      </c>
      <c r="Q2" s="202" t="s">
        <v>304</v>
      </c>
      <c r="R2" s="203" t="s">
        <v>304</v>
      </c>
    </row>
    <row r="3" spans="1:18">
      <c r="A3" s="188"/>
      <c r="B3" s="188"/>
      <c r="C3" s="188"/>
      <c r="D3" s="188"/>
      <c r="E3" s="188"/>
      <c r="F3" s="188"/>
      <c r="G3" s="188"/>
      <c r="H3" s="188"/>
      <c r="I3" s="188"/>
      <c r="J3" s="188"/>
      <c r="K3" s="188"/>
      <c r="L3" s="188"/>
      <c r="M3" s="188"/>
      <c r="N3" s="188"/>
      <c r="O3" s="188"/>
      <c r="P3" s="188"/>
      <c r="Q3" s="188"/>
      <c r="R3" s="188"/>
    </row>
    <row r="4" spans="1:18">
      <c r="A4" s="190" t="s">
        <v>344</v>
      </c>
      <c r="B4" s="190" t="s">
        <v>345</v>
      </c>
      <c r="C4" s="190" t="s">
        <v>346</v>
      </c>
      <c r="D4" s="188"/>
      <c r="E4" s="188"/>
      <c r="F4" s="188"/>
      <c r="G4" s="188"/>
      <c r="H4" s="188"/>
      <c r="I4" s="190"/>
      <c r="J4" s="190" t="s">
        <v>345</v>
      </c>
      <c r="K4" s="190" t="s">
        <v>346</v>
      </c>
      <c r="L4" s="188"/>
      <c r="M4" s="188"/>
      <c r="N4" s="188"/>
      <c r="O4" s="188"/>
      <c r="P4" s="188"/>
      <c r="Q4" s="188"/>
      <c r="R4" s="188"/>
    </row>
    <row r="5" spans="1:18" ht="30">
      <c r="A5" s="190" t="s">
        <v>347</v>
      </c>
      <c r="B5" s="190">
        <v>295</v>
      </c>
      <c r="C5" s="190" t="s">
        <v>348</v>
      </c>
      <c r="D5" s="188"/>
      <c r="E5" s="188"/>
      <c r="F5" s="188"/>
      <c r="G5" s="188"/>
      <c r="H5" s="188"/>
      <c r="I5" s="190" t="s">
        <v>349</v>
      </c>
      <c r="J5" s="190"/>
      <c r="K5" s="190"/>
      <c r="L5" s="188"/>
      <c r="M5" s="188"/>
      <c r="N5" s="188"/>
      <c r="O5" s="188"/>
      <c r="P5" s="188"/>
      <c r="Q5" s="188"/>
      <c r="R5" s="188"/>
    </row>
    <row r="6" spans="1:18">
      <c r="A6" s="190" t="s">
        <v>350</v>
      </c>
      <c r="B6" s="190">
        <v>5</v>
      </c>
      <c r="C6" s="190" t="s">
        <v>351</v>
      </c>
      <c r="D6" s="188"/>
      <c r="E6" s="188"/>
      <c r="F6" s="190" t="s">
        <v>345</v>
      </c>
      <c r="G6" s="190" t="s">
        <v>346</v>
      </c>
      <c r="H6" s="188"/>
      <c r="I6" s="190" t="s">
        <v>352</v>
      </c>
      <c r="J6" s="190">
        <v>15</v>
      </c>
      <c r="K6" s="190" t="s">
        <v>351</v>
      </c>
      <c r="L6" s="188"/>
      <c r="M6" s="188"/>
      <c r="N6" s="188"/>
      <c r="O6" s="188"/>
      <c r="P6" s="188"/>
      <c r="Q6" s="188"/>
      <c r="R6" s="188"/>
    </row>
    <row r="7" spans="1:18" ht="30">
      <c r="A7" s="190" t="s">
        <v>353</v>
      </c>
      <c r="B7" s="190" t="s">
        <v>354</v>
      </c>
      <c r="C7" s="190" t="s">
        <v>355</v>
      </c>
      <c r="D7" s="188"/>
      <c r="E7" s="190" t="s">
        <v>356</v>
      </c>
      <c r="F7" s="190"/>
      <c r="G7" s="190"/>
      <c r="H7" s="188"/>
      <c r="I7" s="190" t="s">
        <v>357</v>
      </c>
      <c r="J7" s="190">
        <v>0</v>
      </c>
      <c r="K7" s="190" t="s">
        <v>351</v>
      </c>
      <c r="L7" s="188"/>
      <c r="M7" s="188"/>
      <c r="N7" s="188"/>
      <c r="O7" s="188"/>
      <c r="P7" s="188"/>
      <c r="Q7" s="188"/>
      <c r="R7" s="188"/>
    </row>
    <row r="8" spans="1:18" ht="30">
      <c r="A8" s="190" t="s">
        <v>358</v>
      </c>
      <c r="B8" s="190" t="s">
        <v>359</v>
      </c>
      <c r="C8" s="190" t="s">
        <v>355</v>
      </c>
      <c r="D8" s="188"/>
      <c r="E8" s="190" t="s">
        <v>360</v>
      </c>
      <c r="F8" s="190">
        <v>4000</v>
      </c>
      <c r="G8" s="190" t="s">
        <v>361</v>
      </c>
      <c r="H8" s="188"/>
      <c r="I8" s="1" t="s">
        <v>362</v>
      </c>
      <c r="J8" s="1"/>
      <c r="K8" s="1"/>
      <c r="L8" s="188"/>
      <c r="M8" s="188"/>
      <c r="N8" s="188"/>
      <c r="O8" s="188"/>
      <c r="P8" s="188"/>
      <c r="Q8" s="188"/>
      <c r="R8" s="188"/>
    </row>
    <row r="9" spans="1:18" ht="30">
      <c r="A9" s="190" t="s">
        <v>219</v>
      </c>
      <c r="B9" s="190" t="s">
        <v>363</v>
      </c>
      <c r="C9" s="190" t="s">
        <v>355</v>
      </c>
      <c r="D9" s="188"/>
      <c r="E9" s="190" t="s">
        <v>364</v>
      </c>
      <c r="F9" s="190">
        <v>6000</v>
      </c>
      <c r="G9" s="190" t="s">
        <v>361</v>
      </c>
      <c r="H9" s="188"/>
      <c r="I9" s="1" t="s">
        <v>365</v>
      </c>
      <c r="J9" s="1">
        <v>70</v>
      </c>
      <c r="K9" s="1" t="s">
        <v>366</v>
      </c>
      <c r="L9" s="188"/>
      <c r="M9" s="188"/>
      <c r="N9" s="188"/>
      <c r="O9" s="188"/>
      <c r="P9" s="188"/>
      <c r="Q9" s="188"/>
      <c r="R9" s="188"/>
    </row>
    <row r="10" spans="1:18" ht="30">
      <c r="A10" s="190" t="s">
        <v>220</v>
      </c>
      <c r="B10" s="190" t="s">
        <v>359</v>
      </c>
      <c r="C10" s="190" t="s">
        <v>355</v>
      </c>
      <c r="D10" s="188"/>
      <c r="E10" s="190" t="s">
        <v>367</v>
      </c>
      <c r="F10" s="190">
        <v>8000</v>
      </c>
      <c r="G10" s="190" t="s">
        <v>361</v>
      </c>
      <c r="H10" s="188"/>
      <c r="I10" s="1" t="s">
        <v>368</v>
      </c>
      <c r="J10" s="1">
        <v>100</v>
      </c>
      <c r="K10" s="1" t="s">
        <v>366</v>
      </c>
      <c r="L10" s="188"/>
      <c r="M10" s="188"/>
      <c r="N10" s="188"/>
      <c r="O10" s="188"/>
      <c r="P10" s="188"/>
      <c r="Q10" s="188"/>
      <c r="R10" s="188"/>
    </row>
    <row r="11" spans="1:18" ht="30">
      <c r="A11" s="190" t="s">
        <v>369</v>
      </c>
      <c r="B11" s="190" t="s">
        <v>359</v>
      </c>
      <c r="C11" s="190" t="s">
        <v>355</v>
      </c>
      <c r="D11" s="188"/>
      <c r="E11" s="190" t="s">
        <v>370</v>
      </c>
      <c r="F11" s="190">
        <v>11000</v>
      </c>
      <c r="G11" s="190" t="s">
        <v>361</v>
      </c>
      <c r="H11" s="188"/>
      <c r="I11" s="1" t="s">
        <v>371</v>
      </c>
      <c r="J11" s="338">
        <v>0.02</v>
      </c>
      <c r="K11" s="1" t="s">
        <v>372</v>
      </c>
      <c r="L11" s="188"/>
      <c r="M11" s="188"/>
      <c r="N11" s="188"/>
      <c r="O11" s="188"/>
      <c r="P11" s="188"/>
      <c r="Q11" s="188"/>
      <c r="R11" s="188"/>
    </row>
    <row r="12" spans="1:18" ht="30">
      <c r="A12" s="190" t="s">
        <v>373</v>
      </c>
      <c r="B12" s="190" t="s">
        <v>359</v>
      </c>
      <c r="C12" s="190" t="s">
        <v>355</v>
      </c>
      <c r="D12" s="188"/>
      <c r="E12" s="190" t="s">
        <v>374</v>
      </c>
      <c r="F12" s="190">
        <v>14500</v>
      </c>
      <c r="G12" s="190" t="s">
        <v>361</v>
      </c>
      <c r="H12" s="188"/>
      <c r="I12" s="1" t="s">
        <v>375</v>
      </c>
      <c r="J12" s="1">
        <v>2</v>
      </c>
      <c r="K12" s="1" t="s">
        <v>366</v>
      </c>
      <c r="L12" s="188"/>
      <c r="M12" s="188"/>
      <c r="N12" s="188"/>
      <c r="O12" s="188"/>
      <c r="P12" s="188"/>
      <c r="Q12" s="188"/>
      <c r="R12" s="188"/>
    </row>
    <row r="13" spans="1:18">
      <c r="A13" s="188"/>
      <c r="B13" s="188"/>
      <c r="C13" s="188"/>
      <c r="D13" s="188"/>
      <c r="E13" s="188"/>
      <c r="F13" s="188"/>
      <c r="G13" s="188"/>
      <c r="H13" s="188"/>
      <c r="I13" s="188"/>
      <c r="J13" s="188"/>
      <c r="K13" s="188"/>
      <c r="L13" s="188"/>
      <c r="M13" s="188"/>
      <c r="N13" s="188"/>
      <c r="O13" s="188"/>
      <c r="P13" s="188"/>
      <c r="Q13" s="188"/>
      <c r="R13" s="188"/>
    </row>
    <row r="14" spans="1:18">
      <c r="D14" s="188"/>
      <c r="E14" s="188"/>
      <c r="F14" s="188"/>
      <c r="G14" s="188"/>
      <c r="H14" s="188"/>
      <c r="I14" s="188"/>
      <c r="J14" s="188"/>
      <c r="K14" s="188"/>
      <c r="L14" s="188"/>
      <c r="M14" s="188"/>
      <c r="N14" s="188"/>
      <c r="O14" s="188"/>
      <c r="P14" s="188"/>
      <c r="Q14" s="188"/>
      <c r="R14" s="188"/>
    </row>
    <row r="15" spans="1:18" ht="30.6" customHeight="1">
      <c r="A15" s="1" t="s">
        <v>376</v>
      </c>
      <c r="C15" s="190" t="s">
        <v>377</v>
      </c>
      <c r="D15" s="190" t="s">
        <v>345</v>
      </c>
      <c r="E15" s="190" t="s">
        <v>346</v>
      </c>
      <c r="F15" s="188"/>
      <c r="G15" s="190" t="s">
        <v>378</v>
      </c>
      <c r="H15" s="190" t="s">
        <v>345</v>
      </c>
      <c r="I15" s="190" t="s">
        <v>346</v>
      </c>
      <c r="J15" s="188"/>
      <c r="K15" s="188"/>
      <c r="L15" s="188"/>
      <c r="M15" s="188"/>
      <c r="N15" s="188"/>
      <c r="O15" s="188"/>
      <c r="P15" s="188"/>
      <c r="Q15" s="188"/>
      <c r="R15" s="188"/>
    </row>
    <row r="16" spans="1:18">
      <c r="A16" s="1" t="s">
        <v>379</v>
      </c>
      <c r="C16" s="1" t="s">
        <v>347</v>
      </c>
      <c r="D16" s="1">
        <v>290</v>
      </c>
      <c r="E16" s="1" t="s">
        <v>348</v>
      </c>
      <c r="F16" s="188"/>
      <c r="G16" s="1" t="s">
        <v>380</v>
      </c>
      <c r="H16" s="1">
        <v>25</v>
      </c>
      <c r="I16" s="1" t="s">
        <v>381</v>
      </c>
      <c r="J16" s="188"/>
      <c r="K16" s="188"/>
      <c r="L16" s="188"/>
      <c r="M16" s="188"/>
      <c r="N16" s="188"/>
      <c r="O16" s="188"/>
      <c r="P16" s="188"/>
      <c r="Q16" s="188"/>
      <c r="R16" s="188"/>
    </row>
    <row r="17" spans="1:18">
      <c r="A17" s="1" t="s">
        <v>382</v>
      </c>
      <c r="C17" s="1" t="s">
        <v>383</v>
      </c>
      <c r="D17" s="339">
        <v>0</v>
      </c>
      <c r="E17" s="1"/>
      <c r="F17" s="188"/>
      <c r="G17" s="1" t="s">
        <v>384</v>
      </c>
      <c r="H17" s="1">
        <v>16</v>
      </c>
      <c r="I17" s="1" t="s">
        <v>381</v>
      </c>
      <c r="J17" s="188"/>
      <c r="K17" s="188"/>
      <c r="L17" s="188"/>
      <c r="M17" s="188"/>
      <c r="N17" s="188"/>
      <c r="O17" s="188"/>
      <c r="P17" s="188"/>
      <c r="Q17" s="188"/>
      <c r="R17" s="188"/>
    </row>
    <row r="18" spans="1:18">
      <c r="A18" s="1" t="s">
        <v>385</v>
      </c>
      <c r="C18" s="1" t="s">
        <v>358</v>
      </c>
      <c r="D18" s="1">
        <v>6</v>
      </c>
      <c r="E18" s="1" t="s">
        <v>386</v>
      </c>
      <c r="F18" s="188"/>
      <c r="G18" s="1" t="s">
        <v>387</v>
      </c>
      <c r="H18" s="1">
        <v>15</v>
      </c>
      <c r="I18" s="1" t="s">
        <v>381</v>
      </c>
      <c r="J18" s="188"/>
      <c r="K18" s="188"/>
      <c r="L18" s="188"/>
      <c r="M18" s="188"/>
      <c r="N18" s="188"/>
      <c r="O18" s="188"/>
      <c r="P18" s="188"/>
      <c r="Q18" s="188"/>
      <c r="R18" s="188"/>
    </row>
    <row r="19" spans="1:18">
      <c r="A19" s="1" t="s">
        <v>388</v>
      </c>
      <c r="C19" s="1" t="s">
        <v>219</v>
      </c>
      <c r="D19" s="1">
        <v>6</v>
      </c>
      <c r="E19" s="1" t="s">
        <v>386</v>
      </c>
      <c r="F19" s="188"/>
      <c r="G19" s="1" t="s">
        <v>389</v>
      </c>
      <c r="H19" s="1">
        <v>15</v>
      </c>
      <c r="I19" s="1" t="s">
        <v>381</v>
      </c>
      <c r="J19" s="188"/>
      <c r="K19" s="188"/>
      <c r="L19" s="188"/>
      <c r="M19" s="188"/>
      <c r="N19" s="188"/>
      <c r="O19" s="188"/>
      <c r="P19" s="188"/>
      <c r="Q19" s="188"/>
      <c r="R19" s="188"/>
    </row>
    <row r="20" spans="1:18">
      <c r="A20" s="1" t="s">
        <v>390</v>
      </c>
      <c r="B20" s="188"/>
      <c r="C20" s="1" t="s">
        <v>220</v>
      </c>
      <c r="D20" s="1">
        <v>10</v>
      </c>
      <c r="E20" s="1" t="s">
        <v>386</v>
      </c>
      <c r="F20" s="188"/>
      <c r="G20" s="1" t="s">
        <v>391</v>
      </c>
      <c r="H20" s="1">
        <v>15</v>
      </c>
      <c r="I20" s="1" t="s">
        <v>381</v>
      </c>
      <c r="J20" s="188"/>
      <c r="K20" s="188"/>
      <c r="L20" s="188"/>
      <c r="M20" s="188"/>
      <c r="N20" s="188"/>
      <c r="O20" s="188"/>
      <c r="P20" s="188"/>
      <c r="Q20" s="188"/>
      <c r="R20" s="188"/>
    </row>
    <row r="21" spans="1:18">
      <c r="A21" s="1" t="s">
        <v>392</v>
      </c>
      <c r="C21" s="1" t="s">
        <v>369</v>
      </c>
      <c r="D21" s="1">
        <v>0</v>
      </c>
      <c r="E21" s="1" t="s">
        <v>386</v>
      </c>
      <c r="F21" s="188"/>
      <c r="G21" s="188"/>
      <c r="H21" s="188"/>
      <c r="I21" s="188"/>
      <c r="J21" s="188"/>
      <c r="K21" s="188"/>
      <c r="L21" s="188"/>
      <c r="M21" s="188"/>
      <c r="N21" s="188"/>
      <c r="O21" s="188"/>
      <c r="P21" s="188"/>
      <c r="Q21" s="188"/>
      <c r="R21" s="188"/>
    </row>
    <row r="22" spans="1:18">
      <c r="A22" s="1" t="s">
        <v>393</v>
      </c>
      <c r="C22" s="1" t="s">
        <v>454</v>
      </c>
      <c r="D22" s="190">
        <v>10</v>
      </c>
      <c r="E22" s="190" t="s">
        <v>386</v>
      </c>
      <c r="F22" s="188"/>
      <c r="G22" s="188"/>
      <c r="H22" s="188"/>
      <c r="I22" s="188"/>
      <c r="J22" s="188"/>
      <c r="K22" s="188"/>
      <c r="L22" s="188"/>
      <c r="M22" s="188"/>
      <c r="N22" s="188"/>
      <c r="O22" s="188"/>
      <c r="P22" s="188"/>
      <c r="Q22" s="188"/>
      <c r="R22" s="188"/>
    </row>
    <row r="23" spans="1:18">
      <c r="A23" s="1" t="s">
        <v>394</v>
      </c>
      <c r="D23" s="188"/>
      <c r="E23" s="188"/>
      <c r="F23" s="188"/>
      <c r="G23" s="188"/>
      <c r="H23" s="188"/>
      <c r="I23" s="188"/>
      <c r="J23" s="188"/>
      <c r="K23" s="188"/>
      <c r="L23" s="188"/>
      <c r="M23" s="188"/>
      <c r="N23" s="188"/>
      <c r="O23" s="188"/>
      <c r="P23" s="188"/>
      <c r="Q23" s="188"/>
      <c r="R23" s="188"/>
    </row>
    <row r="24" spans="1:18" ht="27.95" customHeight="1">
      <c r="A24" s="1" t="s">
        <v>395</v>
      </c>
      <c r="C24" s="190" t="s">
        <v>396</v>
      </c>
      <c r="D24" s="190" t="s">
        <v>345</v>
      </c>
      <c r="F24" s="190" t="s">
        <v>397</v>
      </c>
      <c r="G24" s="190" t="s">
        <v>345</v>
      </c>
    </row>
    <row r="25" spans="1:18">
      <c r="A25" s="1" t="s">
        <v>398</v>
      </c>
      <c r="C25" s="1" t="s">
        <v>399</v>
      </c>
      <c r="D25" s="338">
        <v>2E-3</v>
      </c>
      <c r="F25" s="1" t="s">
        <v>400</v>
      </c>
      <c r="G25" s="339">
        <v>0</v>
      </c>
    </row>
    <row r="26" spans="1:18">
      <c r="A26" s="1" t="s">
        <v>401</v>
      </c>
      <c r="C26" s="1" t="s">
        <v>402</v>
      </c>
      <c r="D26" s="338">
        <v>5.0000000000000001E-3</v>
      </c>
      <c r="F26" s="1" t="s">
        <v>403</v>
      </c>
      <c r="G26" s="339">
        <v>0</v>
      </c>
    </row>
    <row r="27" spans="1:18">
      <c r="C27" s="1" t="s">
        <v>404</v>
      </c>
      <c r="D27" s="338">
        <v>6.0000000000000001E-3</v>
      </c>
      <c r="F27" s="1" t="s">
        <v>405</v>
      </c>
      <c r="G27" s="339">
        <v>0</v>
      </c>
    </row>
    <row r="28" spans="1:18">
      <c r="C28" s="1" t="s">
        <v>406</v>
      </c>
      <c r="D28" s="338">
        <v>8.0000000000000002E-3</v>
      </c>
      <c r="F28" s="1" t="s">
        <v>407</v>
      </c>
      <c r="G28" s="339">
        <v>0</v>
      </c>
    </row>
    <row r="29" spans="1:18">
      <c r="F29" s="1" t="s">
        <v>408</v>
      </c>
      <c r="G29" s="339">
        <v>0</v>
      </c>
    </row>
    <row r="30" spans="1:18">
      <c r="F30" s="1" t="s">
        <v>409</v>
      </c>
      <c r="G30" s="339">
        <v>0</v>
      </c>
    </row>
    <row r="31" spans="1:18">
      <c r="F31" s="1" t="s">
        <v>410</v>
      </c>
      <c r="G31" s="339">
        <v>0</v>
      </c>
    </row>
    <row r="32" spans="1:18">
      <c r="F32" s="1" t="s">
        <v>411</v>
      </c>
      <c r="G32" s="339">
        <v>0</v>
      </c>
    </row>
    <row r="34" spans="1:18" ht="15.75" thickBot="1"/>
    <row r="35" spans="1:18">
      <c r="A35" s="192" t="s">
        <v>284</v>
      </c>
      <c r="B35" s="193" t="s">
        <v>322</v>
      </c>
      <c r="C35" s="193" t="s">
        <v>323</v>
      </c>
      <c r="D35" s="193" t="s">
        <v>324</v>
      </c>
      <c r="E35" s="193" t="s">
        <v>325</v>
      </c>
      <c r="F35" s="193" t="s">
        <v>279</v>
      </c>
      <c r="G35" s="193" t="s">
        <v>326</v>
      </c>
      <c r="H35" s="193" t="s">
        <v>327</v>
      </c>
      <c r="I35" s="193" t="s">
        <v>328</v>
      </c>
      <c r="J35" s="193" t="s">
        <v>329</v>
      </c>
      <c r="K35" s="193" t="s">
        <v>330</v>
      </c>
      <c r="L35" s="193" t="s">
        <v>331</v>
      </c>
      <c r="M35" s="193" t="s">
        <v>332</v>
      </c>
      <c r="N35" s="193" t="s">
        <v>333</v>
      </c>
      <c r="O35" s="193" t="s">
        <v>334</v>
      </c>
      <c r="P35" s="193" t="s">
        <v>335</v>
      </c>
      <c r="Q35" s="193" t="s">
        <v>336</v>
      </c>
      <c r="R35" s="194" t="s">
        <v>337</v>
      </c>
    </row>
    <row r="36" spans="1:18" ht="15.75" thickBot="1">
      <c r="A36" s="195" t="s">
        <v>412</v>
      </c>
      <c r="B36" s="196">
        <v>4</v>
      </c>
      <c r="C36" s="196">
        <v>1</v>
      </c>
      <c r="D36" s="196" t="s">
        <v>304</v>
      </c>
      <c r="E36" s="196" t="s">
        <v>304</v>
      </c>
      <c r="F36" s="196" t="s">
        <v>339</v>
      </c>
      <c r="G36" s="196">
        <v>45</v>
      </c>
      <c r="H36" s="196">
        <v>350</v>
      </c>
      <c r="I36" s="196" t="s">
        <v>413</v>
      </c>
      <c r="J36" s="196" t="s">
        <v>414</v>
      </c>
      <c r="K36" s="196" t="s">
        <v>342</v>
      </c>
      <c r="L36" s="196">
        <v>15</v>
      </c>
      <c r="M36" s="196" t="s">
        <v>414</v>
      </c>
      <c r="N36" s="196" t="s">
        <v>343</v>
      </c>
      <c r="O36" s="196">
        <v>0</v>
      </c>
      <c r="P36" s="196" t="s">
        <v>304</v>
      </c>
      <c r="Q36" s="196" t="s">
        <v>304</v>
      </c>
      <c r="R36" s="197" t="s">
        <v>304</v>
      </c>
    </row>
    <row r="39" spans="1:18" ht="17.25" customHeight="1">
      <c r="A39" s="1" t="s">
        <v>415</v>
      </c>
      <c r="B39" s="1"/>
      <c r="D39" s="190" t="s">
        <v>417</v>
      </c>
      <c r="E39" s="1"/>
      <c r="G39" s="1" t="s">
        <v>433</v>
      </c>
      <c r="H39" s="1"/>
    </row>
    <row r="40" spans="1:18">
      <c r="A40" s="1" t="s">
        <v>347</v>
      </c>
      <c r="B40" s="104">
        <v>290</v>
      </c>
      <c r="D40" s="1" t="s">
        <v>418</v>
      </c>
      <c r="E40" s="104">
        <v>25</v>
      </c>
      <c r="G40" s="1" t="s">
        <v>353</v>
      </c>
      <c r="H40" s="1" t="s">
        <v>354</v>
      </c>
    </row>
    <row r="41" spans="1:18">
      <c r="A41" s="1" t="s">
        <v>358</v>
      </c>
      <c r="B41" s="104">
        <v>6</v>
      </c>
      <c r="D41" s="1" t="s">
        <v>419</v>
      </c>
      <c r="E41" s="104">
        <v>15</v>
      </c>
      <c r="G41" s="1" t="s">
        <v>358</v>
      </c>
      <c r="H41" s="1" t="s">
        <v>363</v>
      </c>
    </row>
    <row r="42" spans="1:18">
      <c r="A42" s="1" t="s">
        <v>219</v>
      </c>
      <c r="B42" s="1" t="s">
        <v>416</v>
      </c>
      <c r="D42" s="1" t="s">
        <v>420</v>
      </c>
      <c r="E42" s="104">
        <v>15</v>
      </c>
      <c r="G42" s="1" t="s">
        <v>434</v>
      </c>
      <c r="H42" s="1" t="s">
        <v>363</v>
      </c>
    </row>
    <row r="43" spans="1:18">
      <c r="A43" s="1" t="s">
        <v>220</v>
      </c>
      <c r="B43" s="104">
        <v>10</v>
      </c>
      <c r="D43" s="1" t="s">
        <v>421</v>
      </c>
      <c r="E43" s="104">
        <v>15</v>
      </c>
      <c r="G43" s="1" t="s">
        <v>220</v>
      </c>
      <c r="H43" s="1" t="s">
        <v>435</v>
      </c>
    </row>
    <row r="44" spans="1:18">
      <c r="A44" s="1" t="s">
        <v>369</v>
      </c>
      <c r="B44" s="104">
        <v>0</v>
      </c>
      <c r="D44" s="1" t="s">
        <v>422</v>
      </c>
      <c r="E44" s="104">
        <v>15</v>
      </c>
      <c r="G44" s="1" t="s">
        <v>369</v>
      </c>
      <c r="H44" s="1" t="s">
        <v>354</v>
      </c>
    </row>
    <row r="46" spans="1:18">
      <c r="A46" s="1" t="s">
        <v>376</v>
      </c>
      <c r="D46" s="1" t="s">
        <v>424</v>
      </c>
      <c r="E46" s="1"/>
    </row>
    <row r="47" spans="1:18">
      <c r="A47" s="1" t="s">
        <v>379</v>
      </c>
      <c r="D47" s="1" t="s">
        <v>425</v>
      </c>
      <c r="E47" s="1">
        <v>250</v>
      </c>
      <c r="G47" s="1" t="s">
        <v>436</v>
      </c>
      <c r="H47" s="1" t="s">
        <v>437</v>
      </c>
    </row>
    <row r="48" spans="1:18">
      <c r="A48" s="1" t="s">
        <v>382</v>
      </c>
      <c r="D48" s="1" t="s">
        <v>426</v>
      </c>
      <c r="E48" s="1">
        <v>70</v>
      </c>
    </row>
    <row r="49" spans="1:5">
      <c r="A49" s="1" t="s">
        <v>385</v>
      </c>
    </row>
    <row r="50" spans="1:5">
      <c r="A50" s="1" t="s">
        <v>388</v>
      </c>
      <c r="D50" s="1" t="s">
        <v>371</v>
      </c>
      <c r="E50" s="1"/>
    </row>
    <row r="51" spans="1:5">
      <c r="A51" s="1" t="s">
        <v>390</v>
      </c>
      <c r="D51" s="1" t="s">
        <v>427</v>
      </c>
      <c r="E51" s="338">
        <v>0.05</v>
      </c>
    </row>
    <row r="52" spans="1:5">
      <c r="A52" s="1" t="s">
        <v>392</v>
      </c>
      <c r="D52" s="1" t="s">
        <v>428</v>
      </c>
      <c r="E52" s="338">
        <v>0.04</v>
      </c>
    </row>
    <row r="53" spans="1:5">
      <c r="A53" s="1" t="s">
        <v>393</v>
      </c>
      <c r="D53" s="1" t="s">
        <v>429</v>
      </c>
      <c r="E53" s="338">
        <v>0.03</v>
      </c>
    </row>
    <row r="54" spans="1:5">
      <c r="A54" s="1" t="s">
        <v>394</v>
      </c>
    </row>
    <row r="55" spans="1:5">
      <c r="A55" s="1" t="s">
        <v>395</v>
      </c>
      <c r="D55" s="1" t="s">
        <v>430</v>
      </c>
      <c r="E55" s="1"/>
    </row>
    <row r="56" spans="1:5">
      <c r="A56" s="1" t="s">
        <v>398</v>
      </c>
      <c r="D56" s="1" t="s">
        <v>431</v>
      </c>
      <c r="E56" s="339">
        <v>0.2</v>
      </c>
    </row>
    <row r="57" spans="1:5">
      <c r="A57" s="1" t="s">
        <v>401</v>
      </c>
      <c r="D57" s="1" t="s">
        <v>432</v>
      </c>
      <c r="E57" s="339">
        <v>0</v>
      </c>
    </row>
    <row r="58" spans="1:5">
      <c r="A58" s="1" t="s">
        <v>423</v>
      </c>
    </row>
    <row r="61" spans="1:5">
      <c r="A61" s="1" t="s">
        <v>821</v>
      </c>
    </row>
    <row r="62" spans="1:5">
      <c r="A62" s="1" t="s">
        <v>807</v>
      </c>
      <c r="B62" s="1" t="s">
        <v>808</v>
      </c>
      <c r="C62" s="1" t="s">
        <v>146</v>
      </c>
      <c r="D62" s="1" t="s">
        <v>811</v>
      </c>
      <c r="E62" s="1" t="s">
        <v>812</v>
      </c>
    </row>
    <row r="63" spans="1:5">
      <c r="A63" s="1" t="s">
        <v>809</v>
      </c>
      <c r="B63" s="1"/>
      <c r="C63" s="1" t="s">
        <v>810</v>
      </c>
      <c r="D63" s="1"/>
      <c r="E63" s="1"/>
    </row>
    <row r="65" spans="1:15">
      <c r="A65" s="1" t="s">
        <v>813</v>
      </c>
      <c r="B65" s="1" t="s">
        <v>820</v>
      </c>
      <c r="C65" s="1">
        <v>1</v>
      </c>
      <c r="D65" s="1">
        <v>2</v>
      </c>
      <c r="E65" s="1">
        <v>3</v>
      </c>
      <c r="F65" s="1">
        <v>4</v>
      </c>
      <c r="G65" s="1">
        <v>5</v>
      </c>
      <c r="H65" s="1">
        <v>6</v>
      </c>
      <c r="I65" s="1"/>
      <c r="J65" s="1"/>
    </row>
    <row r="66" spans="1:15">
      <c r="A66" s="1" t="s">
        <v>814</v>
      </c>
      <c r="B66" s="1">
        <v>6</v>
      </c>
      <c r="C66" s="1">
        <v>270</v>
      </c>
      <c r="D66" s="1">
        <v>250</v>
      </c>
      <c r="E66" s="1">
        <v>150</v>
      </c>
      <c r="F66" s="1">
        <v>115</v>
      </c>
      <c r="G66" s="1">
        <v>115</v>
      </c>
      <c r="H66" s="1">
        <v>115</v>
      </c>
      <c r="I66" s="1"/>
      <c r="J66" s="1"/>
    </row>
    <row r="67" spans="1:15">
      <c r="A67" s="1" t="s">
        <v>815</v>
      </c>
      <c r="B67" s="1">
        <v>6</v>
      </c>
      <c r="C67" s="1">
        <v>270</v>
      </c>
      <c r="D67" s="1">
        <v>250</v>
      </c>
      <c r="E67" s="1">
        <v>200</v>
      </c>
      <c r="F67" s="1">
        <v>200</v>
      </c>
      <c r="G67" s="1">
        <v>200</v>
      </c>
      <c r="H67" s="1">
        <v>135</v>
      </c>
      <c r="I67" s="1"/>
      <c r="J67" s="1"/>
    </row>
    <row r="68" spans="1:15">
      <c r="A68" s="1" t="s">
        <v>816</v>
      </c>
      <c r="B68" s="1">
        <v>4</v>
      </c>
      <c r="C68" s="1">
        <v>270</v>
      </c>
      <c r="D68" s="1">
        <v>270</v>
      </c>
      <c r="E68" s="1">
        <v>200</v>
      </c>
      <c r="F68" s="1">
        <v>170</v>
      </c>
      <c r="G68" s="1"/>
      <c r="H68" s="1"/>
      <c r="I68" s="1"/>
      <c r="J68" s="1"/>
    </row>
    <row r="69" spans="1:15">
      <c r="A69" s="1" t="s">
        <v>817</v>
      </c>
      <c r="B69" s="1">
        <v>6</v>
      </c>
      <c r="C69" s="1">
        <v>270</v>
      </c>
      <c r="D69" s="1">
        <v>270</v>
      </c>
      <c r="E69" s="1">
        <v>250</v>
      </c>
      <c r="F69" s="1">
        <v>200</v>
      </c>
      <c r="G69" s="1">
        <v>170</v>
      </c>
      <c r="H69" s="1">
        <v>170</v>
      </c>
      <c r="I69" s="1"/>
      <c r="J69" s="1"/>
    </row>
    <row r="70" spans="1:15">
      <c r="A70" s="1" t="s">
        <v>818</v>
      </c>
      <c r="B70" s="1" t="s">
        <v>819</v>
      </c>
    </row>
    <row r="72" spans="1:15" ht="105.75" customHeight="1">
      <c r="A72" s="367" t="s">
        <v>822</v>
      </c>
      <c r="C72" s="122" t="s">
        <v>823</v>
      </c>
      <c r="D72" s="122"/>
      <c r="I72" t="s">
        <v>911</v>
      </c>
    </row>
    <row r="73" spans="1:15" ht="39" customHeight="1">
      <c r="A73" s="367" t="s">
        <v>832</v>
      </c>
      <c r="C73" s="122" t="s">
        <v>679</v>
      </c>
      <c r="D73" s="122" t="s">
        <v>679</v>
      </c>
      <c r="F73" s="486" t="s">
        <v>833</v>
      </c>
      <c r="I73" t="s">
        <v>843</v>
      </c>
      <c r="J73" t="s">
        <v>844</v>
      </c>
      <c r="K73" t="s">
        <v>845</v>
      </c>
      <c r="L73" t="s">
        <v>846</v>
      </c>
      <c r="M73" t="s">
        <v>847</v>
      </c>
      <c r="N73" t="s">
        <v>841</v>
      </c>
      <c r="O73" t="s">
        <v>848</v>
      </c>
    </row>
    <row r="74" spans="1:15" ht="39" customHeight="1">
      <c r="A74" s="367" t="s">
        <v>834</v>
      </c>
      <c r="C74" s="122" t="s">
        <v>146</v>
      </c>
      <c r="D74" s="122" t="s">
        <v>146</v>
      </c>
      <c r="F74" s="486"/>
      <c r="I74" t="s">
        <v>849</v>
      </c>
      <c r="J74">
        <v>0</v>
      </c>
      <c r="K74">
        <v>0</v>
      </c>
      <c r="L74">
        <v>1</v>
      </c>
      <c r="M74">
        <v>1</v>
      </c>
      <c r="N74">
        <v>2</v>
      </c>
      <c r="O74" t="s">
        <v>850</v>
      </c>
    </row>
    <row r="75" spans="1:15">
      <c r="A75" t="s">
        <v>824</v>
      </c>
      <c r="B75" t="s">
        <v>831</v>
      </c>
      <c r="C75" t="s">
        <v>815</v>
      </c>
      <c r="D75" t="s">
        <v>817</v>
      </c>
      <c r="E75" t="s">
        <v>925</v>
      </c>
      <c r="F75" t="s">
        <v>828</v>
      </c>
      <c r="I75" t="s">
        <v>849</v>
      </c>
      <c r="J75">
        <v>0</v>
      </c>
      <c r="K75">
        <v>1</v>
      </c>
      <c r="L75">
        <v>0</v>
      </c>
      <c r="M75">
        <v>1</v>
      </c>
      <c r="N75">
        <v>2</v>
      </c>
      <c r="O75" t="s">
        <v>851</v>
      </c>
    </row>
    <row r="76" spans="1:15">
      <c r="C76" t="s">
        <v>830</v>
      </c>
      <c r="D76" t="s">
        <v>825</v>
      </c>
      <c r="E76">
        <v>250</v>
      </c>
      <c r="I76" t="s">
        <v>849</v>
      </c>
      <c r="J76">
        <v>0</v>
      </c>
      <c r="K76">
        <v>1</v>
      </c>
      <c r="L76">
        <v>1</v>
      </c>
      <c r="M76">
        <v>2</v>
      </c>
      <c r="N76">
        <v>3</v>
      </c>
      <c r="O76" t="s">
        <v>852</v>
      </c>
    </row>
    <row r="77" spans="1:15">
      <c r="C77" t="s">
        <v>826</v>
      </c>
      <c r="D77" t="s">
        <v>826</v>
      </c>
      <c r="E77">
        <v>170</v>
      </c>
      <c r="F77" t="s">
        <v>829</v>
      </c>
      <c r="I77" t="s">
        <v>849</v>
      </c>
      <c r="J77">
        <v>0</v>
      </c>
      <c r="K77">
        <v>2</v>
      </c>
      <c r="L77">
        <v>0</v>
      </c>
      <c r="M77">
        <v>2</v>
      </c>
      <c r="N77">
        <v>3</v>
      </c>
      <c r="O77" t="s">
        <v>853</v>
      </c>
    </row>
    <row r="78" spans="1:15">
      <c r="C78" t="s">
        <v>73</v>
      </c>
      <c r="D78" t="s">
        <v>73</v>
      </c>
      <c r="E78">
        <v>170</v>
      </c>
      <c r="F78" t="s">
        <v>829</v>
      </c>
      <c r="I78" t="s">
        <v>849</v>
      </c>
      <c r="J78">
        <v>0</v>
      </c>
      <c r="K78">
        <v>2</v>
      </c>
      <c r="L78">
        <v>1</v>
      </c>
      <c r="M78">
        <v>3</v>
      </c>
      <c r="N78">
        <v>4</v>
      </c>
      <c r="O78" t="s">
        <v>854</v>
      </c>
    </row>
    <row r="79" spans="1:15">
      <c r="C79" t="s">
        <v>71</v>
      </c>
      <c r="D79" t="s">
        <v>71</v>
      </c>
      <c r="E79">
        <v>150</v>
      </c>
      <c r="F79" t="s">
        <v>829</v>
      </c>
      <c r="I79" t="s">
        <v>849</v>
      </c>
      <c r="J79">
        <v>0</v>
      </c>
      <c r="K79">
        <v>3</v>
      </c>
      <c r="L79">
        <v>0</v>
      </c>
      <c r="M79">
        <v>3</v>
      </c>
      <c r="N79">
        <v>4</v>
      </c>
      <c r="O79" t="s">
        <v>855</v>
      </c>
    </row>
    <row r="80" spans="1:15">
      <c r="C80" t="s">
        <v>70</v>
      </c>
      <c r="D80" t="s">
        <v>70</v>
      </c>
      <c r="E80">
        <v>150</v>
      </c>
      <c r="F80" t="s">
        <v>829</v>
      </c>
      <c r="I80" t="s">
        <v>849</v>
      </c>
      <c r="J80">
        <v>0</v>
      </c>
      <c r="K80">
        <v>3</v>
      </c>
      <c r="L80">
        <v>1</v>
      </c>
      <c r="M80">
        <v>4</v>
      </c>
      <c r="N80">
        <v>5</v>
      </c>
      <c r="O80" t="s">
        <v>856</v>
      </c>
    </row>
    <row r="81" spans="1:15">
      <c r="C81" t="s">
        <v>836</v>
      </c>
      <c r="E81">
        <v>200</v>
      </c>
      <c r="F81" t="s">
        <v>837</v>
      </c>
      <c r="G81" t="s">
        <v>827</v>
      </c>
      <c r="I81" t="s">
        <v>849</v>
      </c>
      <c r="J81">
        <v>0</v>
      </c>
      <c r="K81">
        <v>4</v>
      </c>
      <c r="L81">
        <v>0</v>
      </c>
      <c r="M81">
        <v>4</v>
      </c>
      <c r="N81">
        <v>5</v>
      </c>
      <c r="O81" t="s">
        <v>857</v>
      </c>
    </row>
    <row r="82" spans="1:15">
      <c r="A82" t="s">
        <v>835</v>
      </c>
      <c r="I82" t="s">
        <v>849</v>
      </c>
      <c r="J82">
        <v>0</v>
      </c>
      <c r="K82">
        <v>4</v>
      </c>
      <c r="L82">
        <v>1</v>
      </c>
      <c r="M82">
        <v>5</v>
      </c>
      <c r="N82">
        <v>6</v>
      </c>
      <c r="O82" t="s">
        <v>858</v>
      </c>
    </row>
    <row r="83" spans="1:15">
      <c r="I83" t="s">
        <v>849</v>
      </c>
      <c r="J83">
        <v>1</v>
      </c>
      <c r="K83">
        <v>0</v>
      </c>
      <c r="L83">
        <v>0</v>
      </c>
      <c r="M83">
        <v>1</v>
      </c>
      <c r="N83">
        <v>2</v>
      </c>
      <c r="O83" t="s">
        <v>851</v>
      </c>
    </row>
    <row r="84" spans="1:15">
      <c r="I84" t="s">
        <v>849</v>
      </c>
      <c r="J84">
        <v>1</v>
      </c>
      <c r="K84">
        <v>0</v>
      </c>
      <c r="L84">
        <v>1</v>
      </c>
      <c r="M84">
        <v>2</v>
      </c>
      <c r="N84">
        <v>3</v>
      </c>
      <c r="O84" t="s">
        <v>852</v>
      </c>
    </row>
    <row r="85" spans="1:15">
      <c r="I85" t="s">
        <v>849</v>
      </c>
      <c r="J85">
        <v>1</v>
      </c>
      <c r="K85">
        <v>1</v>
      </c>
      <c r="L85">
        <v>0</v>
      </c>
      <c r="M85">
        <v>2</v>
      </c>
      <c r="N85">
        <v>3</v>
      </c>
      <c r="O85" t="s">
        <v>853</v>
      </c>
    </row>
    <row r="86" spans="1:15">
      <c r="I86" t="s">
        <v>849</v>
      </c>
      <c r="J86">
        <v>1</v>
      </c>
      <c r="K86">
        <v>1</v>
      </c>
      <c r="L86">
        <v>1</v>
      </c>
      <c r="M86">
        <v>3</v>
      </c>
      <c r="N86">
        <v>4</v>
      </c>
      <c r="O86" t="s">
        <v>854</v>
      </c>
    </row>
    <row r="87" spans="1:15">
      <c r="I87" t="s">
        <v>849</v>
      </c>
      <c r="J87">
        <v>1</v>
      </c>
      <c r="K87">
        <v>2</v>
      </c>
      <c r="L87">
        <v>0</v>
      </c>
      <c r="M87">
        <v>3</v>
      </c>
      <c r="N87">
        <v>4</v>
      </c>
      <c r="O87" t="s">
        <v>855</v>
      </c>
    </row>
    <row r="88" spans="1:15">
      <c r="I88" t="s">
        <v>849</v>
      </c>
      <c r="J88">
        <v>1</v>
      </c>
      <c r="K88">
        <v>2</v>
      </c>
      <c r="L88">
        <v>1</v>
      </c>
      <c r="M88">
        <v>4</v>
      </c>
      <c r="N88">
        <v>5</v>
      </c>
      <c r="O88" t="s">
        <v>856</v>
      </c>
    </row>
    <row r="89" spans="1:15">
      <c r="I89" t="s">
        <v>849</v>
      </c>
      <c r="J89">
        <v>1</v>
      </c>
      <c r="K89">
        <v>3</v>
      </c>
      <c r="L89">
        <v>0</v>
      </c>
      <c r="M89">
        <v>4</v>
      </c>
      <c r="N89">
        <v>5</v>
      </c>
      <c r="O89" t="s">
        <v>857</v>
      </c>
    </row>
    <row r="90" spans="1:15">
      <c r="I90" t="s">
        <v>849</v>
      </c>
      <c r="J90">
        <v>1</v>
      </c>
      <c r="K90">
        <v>3</v>
      </c>
      <c r="L90">
        <v>1</v>
      </c>
      <c r="M90">
        <v>5</v>
      </c>
      <c r="N90">
        <v>6</v>
      </c>
      <c r="O90" t="s">
        <v>858</v>
      </c>
    </row>
    <row r="91" spans="1:15">
      <c r="I91" t="s">
        <v>849</v>
      </c>
      <c r="J91">
        <v>1</v>
      </c>
      <c r="K91">
        <v>4</v>
      </c>
      <c r="L91">
        <v>0</v>
      </c>
      <c r="M91">
        <v>5</v>
      </c>
      <c r="N91">
        <v>6</v>
      </c>
      <c r="O91" t="s">
        <v>859</v>
      </c>
    </row>
    <row r="92" spans="1:15">
      <c r="I92" t="s">
        <v>849</v>
      </c>
      <c r="J92">
        <v>1</v>
      </c>
      <c r="K92">
        <v>4</v>
      </c>
      <c r="L92">
        <v>1</v>
      </c>
      <c r="M92">
        <v>6</v>
      </c>
      <c r="N92">
        <v>7</v>
      </c>
      <c r="O92" t="s">
        <v>860</v>
      </c>
    </row>
    <row r="93" spans="1:15">
      <c r="I93" t="s">
        <v>849</v>
      </c>
      <c r="J93">
        <v>2</v>
      </c>
      <c r="K93">
        <v>0</v>
      </c>
      <c r="L93">
        <v>0</v>
      </c>
      <c r="M93">
        <v>2</v>
      </c>
      <c r="N93">
        <v>3</v>
      </c>
      <c r="O93" t="s">
        <v>853</v>
      </c>
    </row>
    <row r="94" spans="1:15">
      <c r="I94" t="s">
        <v>849</v>
      </c>
      <c r="J94">
        <v>2</v>
      </c>
      <c r="K94">
        <v>0</v>
      </c>
      <c r="L94">
        <v>1</v>
      </c>
      <c r="M94">
        <v>3</v>
      </c>
      <c r="N94">
        <v>4</v>
      </c>
      <c r="O94" t="s">
        <v>854</v>
      </c>
    </row>
    <row r="95" spans="1:15">
      <c r="I95" t="s">
        <v>849</v>
      </c>
      <c r="J95">
        <v>2</v>
      </c>
      <c r="K95">
        <v>1</v>
      </c>
      <c r="L95">
        <v>0</v>
      </c>
      <c r="M95">
        <v>3</v>
      </c>
      <c r="N95">
        <v>4</v>
      </c>
      <c r="O95" t="s">
        <v>855</v>
      </c>
    </row>
    <row r="96" spans="1:15">
      <c r="I96" t="s">
        <v>849</v>
      </c>
      <c r="J96">
        <v>2</v>
      </c>
      <c r="K96">
        <v>1</v>
      </c>
      <c r="L96">
        <v>1</v>
      </c>
      <c r="M96">
        <v>4</v>
      </c>
      <c r="N96">
        <v>5</v>
      </c>
      <c r="O96" t="s">
        <v>856</v>
      </c>
    </row>
    <row r="97" spans="9:15">
      <c r="I97" t="s">
        <v>849</v>
      </c>
      <c r="J97">
        <v>2</v>
      </c>
      <c r="K97">
        <v>2</v>
      </c>
      <c r="L97">
        <v>0</v>
      </c>
      <c r="M97">
        <v>4</v>
      </c>
      <c r="N97">
        <v>5</v>
      </c>
      <c r="O97" t="s">
        <v>857</v>
      </c>
    </row>
    <row r="98" spans="9:15">
      <c r="I98" t="s">
        <v>849</v>
      </c>
      <c r="J98">
        <v>2</v>
      </c>
      <c r="K98">
        <v>2</v>
      </c>
      <c r="L98">
        <v>1</v>
      </c>
      <c r="M98">
        <v>5</v>
      </c>
      <c r="N98">
        <v>6</v>
      </c>
      <c r="O98" t="s">
        <v>858</v>
      </c>
    </row>
    <row r="99" spans="9:15">
      <c r="I99" t="s">
        <v>849</v>
      </c>
      <c r="J99">
        <v>2</v>
      </c>
      <c r="K99">
        <v>3</v>
      </c>
      <c r="L99">
        <v>0</v>
      </c>
      <c r="M99">
        <v>5</v>
      </c>
      <c r="N99">
        <v>6</v>
      </c>
      <c r="O99" t="s">
        <v>859</v>
      </c>
    </row>
    <row r="100" spans="9:15">
      <c r="I100" t="s">
        <v>849</v>
      </c>
      <c r="J100">
        <v>2</v>
      </c>
      <c r="K100">
        <v>3</v>
      </c>
      <c r="L100">
        <v>1</v>
      </c>
      <c r="M100">
        <v>6</v>
      </c>
      <c r="N100">
        <v>7</v>
      </c>
      <c r="O100" t="s">
        <v>860</v>
      </c>
    </row>
    <row r="101" spans="9:15">
      <c r="I101" t="s">
        <v>849</v>
      </c>
      <c r="J101">
        <v>2</v>
      </c>
      <c r="K101">
        <v>4</v>
      </c>
      <c r="L101">
        <v>0</v>
      </c>
      <c r="M101">
        <v>6</v>
      </c>
      <c r="N101">
        <v>7</v>
      </c>
      <c r="O101" t="s">
        <v>861</v>
      </c>
    </row>
    <row r="102" spans="9:15">
      <c r="I102" t="s">
        <v>849</v>
      </c>
      <c r="J102">
        <v>2</v>
      </c>
      <c r="K102">
        <v>4</v>
      </c>
      <c r="L102">
        <v>1</v>
      </c>
      <c r="M102">
        <v>7</v>
      </c>
      <c r="N102">
        <v>8</v>
      </c>
      <c r="O102" t="s">
        <v>862</v>
      </c>
    </row>
    <row r="103" spans="9:15">
      <c r="I103" t="s">
        <v>849</v>
      </c>
      <c r="J103">
        <v>3</v>
      </c>
      <c r="K103">
        <v>0</v>
      </c>
      <c r="L103">
        <v>0</v>
      </c>
      <c r="M103">
        <v>3</v>
      </c>
      <c r="N103">
        <v>4</v>
      </c>
      <c r="O103" t="s">
        <v>855</v>
      </c>
    </row>
    <row r="104" spans="9:15">
      <c r="I104" t="s">
        <v>849</v>
      </c>
      <c r="J104">
        <v>3</v>
      </c>
      <c r="K104">
        <v>0</v>
      </c>
      <c r="L104">
        <v>1</v>
      </c>
      <c r="M104">
        <v>4</v>
      </c>
      <c r="N104">
        <v>5</v>
      </c>
      <c r="O104" t="s">
        <v>856</v>
      </c>
    </row>
    <row r="105" spans="9:15">
      <c r="I105" t="s">
        <v>849</v>
      </c>
      <c r="J105">
        <v>3</v>
      </c>
      <c r="K105">
        <v>1</v>
      </c>
      <c r="L105">
        <v>0</v>
      </c>
      <c r="M105">
        <v>4</v>
      </c>
      <c r="N105">
        <v>5</v>
      </c>
      <c r="O105" t="s">
        <v>857</v>
      </c>
    </row>
    <row r="106" spans="9:15">
      <c r="I106" t="s">
        <v>849</v>
      </c>
      <c r="J106">
        <v>3</v>
      </c>
      <c r="K106">
        <v>1</v>
      </c>
      <c r="L106">
        <v>1</v>
      </c>
      <c r="M106">
        <v>5</v>
      </c>
      <c r="N106">
        <v>6</v>
      </c>
      <c r="O106" t="s">
        <v>858</v>
      </c>
    </row>
    <row r="107" spans="9:15">
      <c r="I107" t="s">
        <v>849</v>
      </c>
      <c r="J107">
        <v>3</v>
      </c>
      <c r="K107">
        <v>2</v>
      </c>
      <c r="L107">
        <v>0</v>
      </c>
      <c r="M107">
        <v>5</v>
      </c>
      <c r="N107">
        <v>6</v>
      </c>
      <c r="O107" t="s">
        <v>859</v>
      </c>
    </row>
    <row r="108" spans="9:15">
      <c r="I108" t="s">
        <v>849</v>
      </c>
      <c r="J108">
        <v>3</v>
      </c>
      <c r="K108">
        <v>2</v>
      </c>
      <c r="L108">
        <v>1</v>
      </c>
      <c r="M108">
        <v>6</v>
      </c>
      <c r="N108">
        <v>7</v>
      </c>
      <c r="O108" t="s">
        <v>860</v>
      </c>
    </row>
    <row r="109" spans="9:15">
      <c r="I109" t="s">
        <v>849</v>
      </c>
      <c r="J109">
        <v>3</v>
      </c>
      <c r="K109">
        <v>3</v>
      </c>
      <c r="L109">
        <v>0</v>
      </c>
      <c r="M109">
        <v>6</v>
      </c>
      <c r="N109">
        <v>7</v>
      </c>
      <c r="O109" t="s">
        <v>861</v>
      </c>
    </row>
    <row r="110" spans="9:15">
      <c r="I110" t="s">
        <v>849</v>
      </c>
      <c r="J110">
        <v>3</v>
      </c>
      <c r="K110">
        <v>3</v>
      </c>
      <c r="L110">
        <v>1</v>
      </c>
      <c r="M110">
        <v>7</v>
      </c>
      <c r="N110">
        <v>8</v>
      </c>
      <c r="O110" t="s">
        <v>862</v>
      </c>
    </row>
    <row r="111" spans="9:15">
      <c r="I111" t="s">
        <v>849</v>
      </c>
      <c r="J111">
        <v>3</v>
      </c>
      <c r="K111">
        <v>4</v>
      </c>
      <c r="L111">
        <v>0</v>
      </c>
      <c r="M111">
        <v>7</v>
      </c>
      <c r="N111">
        <v>8</v>
      </c>
      <c r="O111" t="s">
        <v>863</v>
      </c>
    </row>
    <row r="112" spans="9:15">
      <c r="I112" t="s">
        <v>849</v>
      </c>
      <c r="J112">
        <v>4</v>
      </c>
      <c r="K112">
        <v>0</v>
      </c>
      <c r="L112">
        <v>0</v>
      </c>
      <c r="M112">
        <v>4</v>
      </c>
      <c r="N112">
        <v>5</v>
      </c>
      <c r="O112" t="s">
        <v>857</v>
      </c>
    </row>
    <row r="113" spans="9:15">
      <c r="I113" t="s">
        <v>849</v>
      </c>
      <c r="J113">
        <v>4</v>
      </c>
      <c r="K113">
        <v>0</v>
      </c>
      <c r="L113">
        <v>1</v>
      </c>
      <c r="M113">
        <v>5</v>
      </c>
      <c r="N113">
        <v>6</v>
      </c>
      <c r="O113" t="s">
        <v>858</v>
      </c>
    </row>
    <row r="114" spans="9:15">
      <c r="I114" t="s">
        <v>849</v>
      </c>
      <c r="J114">
        <v>4</v>
      </c>
      <c r="K114">
        <v>1</v>
      </c>
      <c r="L114">
        <v>0</v>
      </c>
      <c r="M114">
        <v>5</v>
      </c>
      <c r="N114">
        <v>6</v>
      </c>
      <c r="O114" t="s">
        <v>859</v>
      </c>
    </row>
    <row r="115" spans="9:15">
      <c r="I115" t="s">
        <v>849</v>
      </c>
      <c r="J115">
        <v>4</v>
      </c>
      <c r="K115">
        <v>1</v>
      </c>
      <c r="L115">
        <v>1</v>
      </c>
      <c r="M115">
        <v>6</v>
      </c>
      <c r="N115">
        <v>7</v>
      </c>
      <c r="O115" t="s">
        <v>860</v>
      </c>
    </row>
    <row r="116" spans="9:15">
      <c r="I116" t="s">
        <v>849</v>
      </c>
      <c r="J116">
        <v>4</v>
      </c>
      <c r="K116">
        <v>2</v>
      </c>
      <c r="L116">
        <v>0</v>
      </c>
      <c r="M116">
        <v>6</v>
      </c>
      <c r="N116">
        <v>7</v>
      </c>
      <c r="O116" t="s">
        <v>861</v>
      </c>
    </row>
    <row r="117" spans="9:15">
      <c r="I117" t="s">
        <v>849</v>
      </c>
      <c r="J117">
        <v>4</v>
      </c>
      <c r="K117">
        <v>2</v>
      </c>
      <c r="L117">
        <v>1</v>
      </c>
      <c r="M117">
        <v>7</v>
      </c>
      <c r="N117">
        <v>8</v>
      </c>
      <c r="O117" t="s">
        <v>862</v>
      </c>
    </row>
    <row r="118" spans="9:15">
      <c r="I118" t="s">
        <v>849</v>
      </c>
      <c r="J118">
        <v>4</v>
      </c>
      <c r="K118">
        <v>3</v>
      </c>
      <c r="L118">
        <v>0</v>
      </c>
      <c r="M118">
        <v>7</v>
      </c>
      <c r="N118">
        <v>8</v>
      </c>
      <c r="O118" t="s">
        <v>863</v>
      </c>
    </row>
    <row r="119" spans="9:15">
      <c r="I119" t="s">
        <v>864</v>
      </c>
      <c r="J119">
        <v>0</v>
      </c>
      <c r="K119">
        <v>0</v>
      </c>
      <c r="L119">
        <v>1</v>
      </c>
      <c r="M119">
        <v>1</v>
      </c>
      <c r="N119">
        <v>2</v>
      </c>
      <c r="O119" t="s">
        <v>865</v>
      </c>
    </row>
    <row r="120" spans="9:15">
      <c r="I120" t="s">
        <v>864</v>
      </c>
      <c r="J120">
        <v>0</v>
      </c>
      <c r="K120">
        <v>1</v>
      </c>
      <c r="L120">
        <v>0</v>
      </c>
      <c r="M120">
        <v>1</v>
      </c>
      <c r="N120">
        <v>2</v>
      </c>
      <c r="O120" t="s">
        <v>866</v>
      </c>
    </row>
    <row r="121" spans="9:15">
      <c r="I121" t="s">
        <v>864</v>
      </c>
      <c r="J121">
        <v>0</v>
      </c>
      <c r="K121">
        <v>1</v>
      </c>
      <c r="L121">
        <v>1</v>
      </c>
      <c r="M121">
        <v>2</v>
      </c>
      <c r="N121">
        <v>3</v>
      </c>
      <c r="O121" t="s">
        <v>867</v>
      </c>
    </row>
    <row r="122" spans="9:15">
      <c r="I122" t="s">
        <v>864</v>
      </c>
      <c r="J122">
        <v>0</v>
      </c>
      <c r="K122">
        <v>2</v>
      </c>
      <c r="L122">
        <v>0</v>
      </c>
      <c r="M122">
        <v>2</v>
      </c>
      <c r="N122">
        <v>3</v>
      </c>
      <c r="O122" t="s">
        <v>868</v>
      </c>
    </row>
    <row r="123" spans="9:15">
      <c r="I123" t="s">
        <v>864</v>
      </c>
      <c r="J123">
        <v>0</v>
      </c>
      <c r="K123">
        <v>2</v>
      </c>
      <c r="L123">
        <v>1</v>
      </c>
      <c r="M123">
        <v>3</v>
      </c>
      <c r="N123">
        <v>4</v>
      </c>
      <c r="O123" t="s">
        <v>869</v>
      </c>
    </row>
    <row r="124" spans="9:15">
      <c r="I124" t="s">
        <v>864</v>
      </c>
      <c r="J124">
        <v>0</v>
      </c>
      <c r="K124">
        <v>3</v>
      </c>
      <c r="L124">
        <v>0</v>
      </c>
      <c r="M124">
        <v>3</v>
      </c>
      <c r="N124">
        <v>4</v>
      </c>
      <c r="O124" t="s">
        <v>870</v>
      </c>
    </row>
    <row r="125" spans="9:15">
      <c r="I125" t="s">
        <v>864</v>
      </c>
      <c r="J125">
        <v>0</v>
      </c>
      <c r="K125">
        <v>3</v>
      </c>
      <c r="L125">
        <v>1</v>
      </c>
      <c r="M125">
        <v>4</v>
      </c>
      <c r="N125">
        <v>5</v>
      </c>
      <c r="O125" t="s">
        <v>871</v>
      </c>
    </row>
    <row r="126" spans="9:15">
      <c r="I126" t="s">
        <v>864</v>
      </c>
      <c r="J126">
        <v>0</v>
      </c>
      <c r="K126">
        <v>4</v>
      </c>
      <c r="L126">
        <v>0</v>
      </c>
      <c r="M126">
        <v>4</v>
      </c>
      <c r="N126">
        <v>5</v>
      </c>
      <c r="O126" t="s">
        <v>872</v>
      </c>
    </row>
    <row r="127" spans="9:15">
      <c r="I127" t="s">
        <v>864</v>
      </c>
      <c r="J127">
        <v>0</v>
      </c>
      <c r="K127">
        <v>4</v>
      </c>
      <c r="L127">
        <v>1</v>
      </c>
      <c r="M127">
        <v>5</v>
      </c>
      <c r="N127">
        <v>6</v>
      </c>
      <c r="O127" t="s">
        <v>873</v>
      </c>
    </row>
    <row r="128" spans="9:15">
      <c r="I128" t="s">
        <v>864</v>
      </c>
      <c r="J128">
        <v>1</v>
      </c>
      <c r="K128">
        <v>0</v>
      </c>
      <c r="L128">
        <v>0</v>
      </c>
      <c r="M128">
        <v>1</v>
      </c>
      <c r="N128">
        <v>2</v>
      </c>
      <c r="O128" t="s">
        <v>866</v>
      </c>
    </row>
    <row r="129" spans="9:15">
      <c r="I129" t="s">
        <v>864</v>
      </c>
      <c r="J129">
        <v>1</v>
      </c>
      <c r="K129">
        <v>0</v>
      </c>
      <c r="L129">
        <v>1</v>
      </c>
      <c r="M129">
        <v>2</v>
      </c>
      <c r="N129">
        <v>3</v>
      </c>
      <c r="O129" t="s">
        <v>867</v>
      </c>
    </row>
    <row r="130" spans="9:15">
      <c r="I130" t="s">
        <v>864</v>
      </c>
      <c r="J130">
        <v>1</v>
      </c>
      <c r="K130">
        <v>1</v>
      </c>
      <c r="L130">
        <v>0</v>
      </c>
      <c r="M130">
        <v>2</v>
      </c>
      <c r="N130">
        <v>3</v>
      </c>
      <c r="O130" t="s">
        <v>868</v>
      </c>
    </row>
    <row r="131" spans="9:15">
      <c r="I131" t="s">
        <v>864</v>
      </c>
      <c r="J131">
        <v>1</v>
      </c>
      <c r="K131">
        <v>1</v>
      </c>
      <c r="L131">
        <v>1</v>
      </c>
      <c r="M131">
        <v>3</v>
      </c>
      <c r="N131">
        <v>4</v>
      </c>
      <c r="O131" t="s">
        <v>869</v>
      </c>
    </row>
    <row r="132" spans="9:15">
      <c r="I132" t="s">
        <v>864</v>
      </c>
      <c r="J132">
        <v>1</v>
      </c>
      <c r="K132">
        <v>2</v>
      </c>
      <c r="L132">
        <v>0</v>
      </c>
      <c r="M132">
        <v>3</v>
      </c>
      <c r="N132">
        <v>4</v>
      </c>
      <c r="O132" t="s">
        <v>870</v>
      </c>
    </row>
    <row r="133" spans="9:15">
      <c r="I133" t="s">
        <v>864</v>
      </c>
      <c r="J133">
        <v>1</v>
      </c>
      <c r="K133">
        <v>2</v>
      </c>
      <c r="L133">
        <v>1</v>
      </c>
      <c r="M133">
        <v>4</v>
      </c>
      <c r="N133">
        <v>5</v>
      </c>
      <c r="O133" t="s">
        <v>871</v>
      </c>
    </row>
    <row r="134" spans="9:15">
      <c r="I134" t="s">
        <v>864</v>
      </c>
      <c r="J134">
        <v>1</v>
      </c>
      <c r="K134">
        <v>3</v>
      </c>
      <c r="L134">
        <v>0</v>
      </c>
      <c r="M134">
        <v>4</v>
      </c>
      <c r="N134">
        <v>5</v>
      </c>
      <c r="O134" t="s">
        <v>872</v>
      </c>
    </row>
    <row r="135" spans="9:15">
      <c r="I135" t="s">
        <v>864</v>
      </c>
      <c r="J135">
        <v>1</v>
      </c>
      <c r="K135">
        <v>3</v>
      </c>
      <c r="L135">
        <v>1</v>
      </c>
      <c r="M135">
        <v>5</v>
      </c>
      <c r="N135">
        <v>6</v>
      </c>
      <c r="O135" t="s">
        <v>873</v>
      </c>
    </row>
    <row r="136" spans="9:15">
      <c r="I136" t="s">
        <v>864</v>
      </c>
      <c r="J136">
        <v>1</v>
      </c>
      <c r="K136">
        <v>4</v>
      </c>
      <c r="L136">
        <v>0</v>
      </c>
      <c r="M136">
        <v>5</v>
      </c>
      <c r="N136">
        <v>6</v>
      </c>
      <c r="O136" t="s">
        <v>874</v>
      </c>
    </row>
    <row r="137" spans="9:15">
      <c r="I137" t="s">
        <v>864</v>
      </c>
      <c r="J137">
        <v>1</v>
      </c>
      <c r="K137">
        <v>4</v>
      </c>
      <c r="L137">
        <v>1</v>
      </c>
      <c r="M137">
        <v>6</v>
      </c>
      <c r="N137">
        <v>7</v>
      </c>
      <c r="O137" t="s">
        <v>875</v>
      </c>
    </row>
    <row r="138" spans="9:15">
      <c r="I138" t="s">
        <v>864</v>
      </c>
      <c r="J138">
        <v>2</v>
      </c>
      <c r="K138">
        <v>0</v>
      </c>
      <c r="L138">
        <v>0</v>
      </c>
      <c r="M138">
        <v>2</v>
      </c>
      <c r="N138">
        <v>3</v>
      </c>
      <c r="O138" t="s">
        <v>868</v>
      </c>
    </row>
    <row r="139" spans="9:15">
      <c r="I139" t="s">
        <v>864</v>
      </c>
      <c r="J139">
        <v>2</v>
      </c>
      <c r="K139">
        <v>0</v>
      </c>
      <c r="L139">
        <v>1</v>
      </c>
      <c r="M139">
        <v>3</v>
      </c>
      <c r="N139">
        <v>4</v>
      </c>
      <c r="O139" t="s">
        <v>869</v>
      </c>
    </row>
    <row r="140" spans="9:15">
      <c r="I140" t="s">
        <v>864</v>
      </c>
      <c r="J140">
        <v>2</v>
      </c>
      <c r="K140">
        <v>1</v>
      </c>
      <c r="L140">
        <v>0</v>
      </c>
      <c r="M140">
        <v>3</v>
      </c>
      <c r="N140">
        <v>4</v>
      </c>
      <c r="O140" t="s">
        <v>870</v>
      </c>
    </row>
    <row r="141" spans="9:15">
      <c r="I141" t="s">
        <v>864</v>
      </c>
      <c r="J141">
        <v>2</v>
      </c>
      <c r="K141">
        <v>1</v>
      </c>
      <c r="L141">
        <v>1</v>
      </c>
      <c r="M141">
        <v>4</v>
      </c>
      <c r="N141">
        <v>5</v>
      </c>
      <c r="O141" t="s">
        <v>871</v>
      </c>
    </row>
    <row r="142" spans="9:15">
      <c r="I142" t="s">
        <v>864</v>
      </c>
      <c r="J142">
        <v>2</v>
      </c>
      <c r="K142">
        <v>2</v>
      </c>
      <c r="L142">
        <v>0</v>
      </c>
      <c r="M142">
        <v>4</v>
      </c>
      <c r="N142">
        <v>5</v>
      </c>
      <c r="O142" t="s">
        <v>872</v>
      </c>
    </row>
    <row r="143" spans="9:15">
      <c r="I143" t="s">
        <v>864</v>
      </c>
      <c r="J143">
        <v>2</v>
      </c>
      <c r="K143">
        <v>2</v>
      </c>
      <c r="L143">
        <v>1</v>
      </c>
      <c r="M143">
        <v>5</v>
      </c>
      <c r="N143">
        <v>6</v>
      </c>
      <c r="O143" t="s">
        <v>873</v>
      </c>
    </row>
    <row r="144" spans="9:15">
      <c r="I144" t="s">
        <v>864</v>
      </c>
      <c r="J144">
        <v>2</v>
      </c>
      <c r="K144">
        <v>3</v>
      </c>
      <c r="L144">
        <v>0</v>
      </c>
      <c r="M144">
        <v>5</v>
      </c>
      <c r="N144">
        <v>6</v>
      </c>
      <c r="O144" t="s">
        <v>874</v>
      </c>
    </row>
    <row r="145" spans="9:15">
      <c r="I145" t="s">
        <v>864</v>
      </c>
      <c r="J145">
        <v>2</v>
      </c>
      <c r="K145">
        <v>3</v>
      </c>
      <c r="L145">
        <v>1</v>
      </c>
      <c r="M145">
        <v>6</v>
      </c>
      <c r="N145">
        <v>7</v>
      </c>
      <c r="O145" t="s">
        <v>875</v>
      </c>
    </row>
    <row r="146" spans="9:15">
      <c r="I146" t="s">
        <v>864</v>
      </c>
      <c r="J146">
        <v>2</v>
      </c>
      <c r="K146">
        <v>4</v>
      </c>
      <c r="L146">
        <v>0</v>
      </c>
      <c r="M146">
        <v>6</v>
      </c>
      <c r="N146">
        <v>7</v>
      </c>
      <c r="O146" t="s">
        <v>876</v>
      </c>
    </row>
    <row r="147" spans="9:15">
      <c r="I147" t="s">
        <v>864</v>
      </c>
      <c r="J147">
        <v>2</v>
      </c>
      <c r="K147">
        <v>4</v>
      </c>
      <c r="L147">
        <v>1</v>
      </c>
      <c r="M147">
        <v>7</v>
      </c>
      <c r="N147">
        <v>8</v>
      </c>
      <c r="O147" t="s">
        <v>877</v>
      </c>
    </row>
    <row r="148" spans="9:15">
      <c r="I148" t="s">
        <v>864</v>
      </c>
      <c r="J148">
        <v>3</v>
      </c>
      <c r="K148">
        <v>0</v>
      </c>
      <c r="L148">
        <v>0</v>
      </c>
      <c r="M148">
        <v>3</v>
      </c>
      <c r="N148">
        <v>4</v>
      </c>
      <c r="O148" t="s">
        <v>870</v>
      </c>
    </row>
    <row r="149" spans="9:15">
      <c r="I149" t="s">
        <v>864</v>
      </c>
      <c r="J149">
        <v>3</v>
      </c>
      <c r="K149">
        <v>0</v>
      </c>
      <c r="L149">
        <v>1</v>
      </c>
      <c r="M149">
        <v>4</v>
      </c>
      <c r="N149">
        <v>5</v>
      </c>
      <c r="O149" t="s">
        <v>871</v>
      </c>
    </row>
    <row r="150" spans="9:15">
      <c r="I150" t="s">
        <v>864</v>
      </c>
      <c r="J150">
        <v>3</v>
      </c>
      <c r="K150">
        <v>1</v>
      </c>
      <c r="L150">
        <v>0</v>
      </c>
      <c r="M150">
        <v>4</v>
      </c>
      <c r="N150">
        <v>5</v>
      </c>
      <c r="O150" t="s">
        <v>872</v>
      </c>
    </row>
    <row r="151" spans="9:15">
      <c r="I151" t="s">
        <v>864</v>
      </c>
      <c r="J151">
        <v>3</v>
      </c>
      <c r="K151">
        <v>1</v>
      </c>
      <c r="L151">
        <v>1</v>
      </c>
      <c r="M151">
        <v>5</v>
      </c>
      <c r="N151">
        <v>6</v>
      </c>
      <c r="O151" t="s">
        <v>873</v>
      </c>
    </row>
    <row r="152" spans="9:15">
      <c r="I152" t="s">
        <v>864</v>
      </c>
      <c r="J152">
        <v>3</v>
      </c>
      <c r="K152">
        <v>2</v>
      </c>
      <c r="L152">
        <v>0</v>
      </c>
      <c r="M152">
        <v>5</v>
      </c>
      <c r="N152">
        <v>6</v>
      </c>
      <c r="O152" t="s">
        <v>874</v>
      </c>
    </row>
    <row r="153" spans="9:15">
      <c r="I153" t="s">
        <v>864</v>
      </c>
      <c r="J153">
        <v>3</v>
      </c>
      <c r="K153">
        <v>2</v>
      </c>
      <c r="L153">
        <v>1</v>
      </c>
      <c r="M153">
        <v>6</v>
      </c>
      <c r="N153">
        <v>7</v>
      </c>
      <c r="O153" t="s">
        <v>875</v>
      </c>
    </row>
    <row r="154" spans="9:15">
      <c r="I154" t="s">
        <v>864</v>
      </c>
      <c r="J154">
        <v>3</v>
      </c>
      <c r="K154">
        <v>3</v>
      </c>
      <c r="L154">
        <v>0</v>
      </c>
      <c r="M154">
        <v>6</v>
      </c>
      <c r="N154">
        <v>7</v>
      </c>
      <c r="O154" t="s">
        <v>876</v>
      </c>
    </row>
    <row r="155" spans="9:15">
      <c r="I155" t="s">
        <v>864</v>
      </c>
      <c r="J155">
        <v>3</v>
      </c>
      <c r="K155">
        <v>3</v>
      </c>
      <c r="L155">
        <v>1</v>
      </c>
      <c r="M155">
        <v>7</v>
      </c>
      <c r="N155">
        <v>8</v>
      </c>
      <c r="O155" t="s">
        <v>877</v>
      </c>
    </row>
    <row r="156" spans="9:15">
      <c r="I156" t="s">
        <v>864</v>
      </c>
      <c r="J156">
        <v>3</v>
      </c>
      <c r="K156">
        <v>4</v>
      </c>
      <c r="L156">
        <v>0</v>
      </c>
      <c r="M156">
        <v>7</v>
      </c>
      <c r="N156">
        <v>8</v>
      </c>
      <c r="O156" t="s">
        <v>878</v>
      </c>
    </row>
    <row r="157" spans="9:15">
      <c r="I157" t="s">
        <v>864</v>
      </c>
      <c r="J157">
        <v>3</v>
      </c>
      <c r="K157">
        <v>4</v>
      </c>
      <c r="L157">
        <v>1</v>
      </c>
      <c r="M157">
        <v>8</v>
      </c>
      <c r="N157">
        <v>9</v>
      </c>
      <c r="O157" t="s">
        <v>879</v>
      </c>
    </row>
    <row r="158" spans="9:15">
      <c r="I158" t="s">
        <v>864</v>
      </c>
      <c r="J158">
        <v>4</v>
      </c>
      <c r="K158">
        <v>0</v>
      </c>
      <c r="L158">
        <v>0</v>
      </c>
      <c r="M158">
        <v>4</v>
      </c>
      <c r="N158">
        <v>5</v>
      </c>
      <c r="O158" t="s">
        <v>872</v>
      </c>
    </row>
    <row r="159" spans="9:15">
      <c r="I159" t="s">
        <v>864</v>
      </c>
      <c r="J159">
        <v>4</v>
      </c>
      <c r="K159">
        <v>0</v>
      </c>
      <c r="L159">
        <v>1</v>
      </c>
      <c r="M159">
        <v>5</v>
      </c>
      <c r="N159">
        <v>6</v>
      </c>
      <c r="O159" t="s">
        <v>873</v>
      </c>
    </row>
    <row r="160" spans="9:15">
      <c r="I160" t="s">
        <v>864</v>
      </c>
      <c r="J160">
        <v>4</v>
      </c>
      <c r="K160">
        <v>1</v>
      </c>
      <c r="L160">
        <v>0</v>
      </c>
      <c r="M160">
        <v>5</v>
      </c>
      <c r="N160">
        <v>6</v>
      </c>
      <c r="O160" t="s">
        <v>874</v>
      </c>
    </row>
    <row r="161" spans="9:15">
      <c r="I161" t="s">
        <v>864</v>
      </c>
      <c r="J161">
        <v>4</v>
      </c>
      <c r="K161">
        <v>1</v>
      </c>
      <c r="L161">
        <v>1</v>
      </c>
      <c r="M161">
        <v>6</v>
      </c>
      <c r="N161">
        <v>7</v>
      </c>
      <c r="O161" t="s">
        <v>875</v>
      </c>
    </row>
    <row r="162" spans="9:15">
      <c r="I162" t="s">
        <v>864</v>
      </c>
      <c r="J162">
        <v>4</v>
      </c>
      <c r="K162">
        <v>2</v>
      </c>
      <c r="L162">
        <v>0</v>
      </c>
      <c r="M162">
        <v>6</v>
      </c>
      <c r="N162">
        <v>7</v>
      </c>
      <c r="O162" t="s">
        <v>876</v>
      </c>
    </row>
    <row r="163" spans="9:15">
      <c r="I163" t="s">
        <v>864</v>
      </c>
      <c r="J163">
        <v>4</v>
      </c>
      <c r="K163">
        <v>2</v>
      </c>
      <c r="L163">
        <v>1</v>
      </c>
      <c r="M163">
        <v>7</v>
      </c>
      <c r="N163">
        <v>8</v>
      </c>
      <c r="O163" t="s">
        <v>877</v>
      </c>
    </row>
    <row r="164" spans="9:15">
      <c r="I164" t="s">
        <v>864</v>
      </c>
      <c r="J164">
        <v>4</v>
      </c>
      <c r="K164">
        <v>3</v>
      </c>
      <c r="L164">
        <v>0</v>
      </c>
      <c r="M164">
        <v>7</v>
      </c>
      <c r="N164">
        <v>8</v>
      </c>
      <c r="O164" t="s">
        <v>878</v>
      </c>
    </row>
    <row r="165" spans="9:15">
      <c r="I165" t="s">
        <v>864</v>
      </c>
      <c r="J165">
        <v>4</v>
      </c>
      <c r="K165">
        <v>3</v>
      </c>
      <c r="L165">
        <v>1</v>
      </c>
      <c r="M165">
        <v>8</v>
      </c>
      <c r="N165">
        <v>9</v>
      </c>
      <c r="O165" t="s">
        <v>879</v>
      </c>
    </row>
    <row r="166" spans="9:15">
      <c r="I166" t="s">
        <v>864</v>
      </c>
      <c r="J166">
        <v>4</v>
      </c>
      <c r="K166">
        <v>4</v>
      </c>
      <c r="L166">
        <v>0</v>
      </c>
      <c r="M166">
        <v>8</v>
      </c>
      <c r="N166">
        <v>9</v>
      </c>
      <c r="O166" t="s">
        <v>880</v>
      </c>
    </row>
    <row r="167" spans="9:15">
      <c r="I167" t="s">
        <v>881</v>
      </c>
      <c r="J167">
        <v>0</v>
      </c>
      <c r="K167">
        <v>0</v>
      </c>
      <c r="L167">
        <v>1</v>
      </c>
      <c r="M167">
        <v>1</v>
      </c>
      <c r="N167">
        <v>2</v>
      </c>
      <c r="O167" t="s">
        <v>882</v>
      </c>
    </row>
    <row r="168" spans="9:15">
      <c r="I168" t="s">
        <v>881</v>
      </c>
      <c r="J168">
        <v>0</v>
      </c>
      <c r="K168">
        <v>1</v>
      </c>
      <c r="L168">
        <v>0</v>
      </c>
      <c r="M168">
        <v>1</v>
      </c>
      <c r="N168">
        <v>2</v>
      </c>
      <c r="O168" t="s">
        <v>883</v>
      </c>
    </row>
    <row r="169" spans="9:15">
      <c r="I169" t="s">
        <v>881</v>
      </c>
      <c r="J169">
        <v>0</v>
      </c>
      <c r="K169">
        <v>1</v>
      </c>
      <c r="L169">
        <v>1</v>
      </c>
      <c r="M169">
        <v>2</v>
      </c>
      <c r="N169">
        <v>3</v>
      </c>
      <c r="O169" t="s">
        <v>884</v>
      </c>
    </row>
    <row r="170" spans="9:15">
      <c r="I170" t="s">
        <v>881</v>
      </c>
      <c r="J170">
        <v>0</v>
      </c>
      <c r="K170">
        <v>2</v>
      </c>
      <c r="L170">
        <v>0</v>
      </c>
      <c r="M170">
        <v>2</v>
      </c>
      <c r="N170">
        <v>3</v>
      </c>
      <c r="O170" t="s">
        <v>885</v>
      </c>
    </row>
    <row r="171" spans="9:15">
      <c r="I171" t="s">
        <v>881</v>
      </c>
      <c r="J171">
        <v>0</v>
      </c>
      <c r="K171">
        <v>2</v>
      </c>
      <c r="L171">
        <v>1</v>
      </c>
      <c r="M171">
        <v>3</v>
      </c>
      <c r="N171">
        <v>4</v>
      </c>
      <c r="O171" t="s">
        <v>886</v>
      </c>
    </row>
    <row r="172" spans="9:15">
      <c r="I172" t="s">
        <v>881</v>
      </c>
      <c r="J172">
        <v>0</v>
      </c>
      <c r="K172">
        <v>3</v>
      </c>
      <c r="L172">
        <v>0</v>
      </c>
      <c r="M172">
        <v>3</v>
      </c>
      <c r="N172">
        <v>4</v>
      </c>
      <c r="O172" t="s">
        <v>887</v>
      </c>
    </row>
    <row r="173" spans="9:15">
      <c r="I173" t="s">
        <v>881</v>
      </c>
      <c r="J173">
        <v>0</v>
      </c>
      <c r="K173">
        <v>3</v>
      </c>
      <c r="L173">
        <v>1</v>
      </c>
      <c r="M173">
        <v>4</v>
      </c>
      <c r="N173">
        <v>5</v>
      </c>
      <c r="O173" t="s">
        <v>888</v>
      </c>
    </row>
    <row r="174" spans="9:15">
      <c r="I174" t="s">
        <v>881</v>
      </c>
      <c r="J174">
        <v>0</v>
      </c>
      <c r="K174">
        <v>4</v>
      </c>
      <c r="L174">
        <v>0</v>
      </c>
      <c r="M174">
        <v>4</v>
      </c>
      <c r="N174">
        <v>5</v>
      </c>
      <c r="O174" t="s">
        <v>889</v>
      </c>
    </row>
    <row r="175" spans="9:15">
      <c r="I175" t="s">
        <v>881</v>
      </c>
      <c r="J175">
        <v>0</v>
      </c>
      <c r="K175">
        <v>4</v>
      </c>
      <c r="L175">
        <v>1</v>
      </c>
      <c r="M175">
        <v>5</v>
      </c>
      <c r="N175">
        <v>6</v>
      </c>
      <c r="O175" t="s">
        <v>890</v>
      </c>
    </row>
    <row r="176" spans="9:15">
      <c r="I176" t="s">
        <v>881</v>
      </c>
      <c r="J176">
        <v>1</v>
      </c>
      <c r="K176">
        <v>0</v>
      </c>
      <c r="L176">
        <v>0</v>
      </c>
      <c r="M176">
        <v>1</v>
      </c>
      <c r="N176">
        <v>2</v>
      </c>
      <c r="O176" t="s">
        <v>883</v>
      </c>
    </row>
    <row r="177" spans="9:15">
      <c r="I177" t="s">
        <v>881</v>
      </c>
      <c r="J177">
        <v>1</v>
      </c>
      <c r="K177">
        <v>0</v>
      </c>
      <c r="L177">
        <v>1</v>
      </c>
      <c r="M177">
        <v>2</v>
      </c>
      <c r="N177">
        <v>3</v>
      </c>
      <c r="O177" t="s">
        <v>884</v>
      </c>
    </row>
    <row r="178" spans="9:15">
      <c r="I178" t="s">
        <v>881</v>
      </c>
      <c r="J178">
        <v>1</v>
      </c>
      <c r="K178">
        <v>1</v>
      </c>
      <c r="L178">
        <v>0</v>
      </c>
      <c r="M178">
        <v>2</v>
      </c>
      <c r="N178">
        <v>3</v>
      </c>
      <c r="O178" t="s">
        <v>885</v>
      </c>
    </row>
    <row r="179" spans="9:15">
      <c r="I179" t="s">
        <v>881</v>
      </c>
      <c r="J179">
        <v>1</v>
      </c>
      <c r="K179">
        <v>1</v>
      </c>
      <c r="L179">
        <v>1</v>
      </c>
      <c r="M179">
        <v>3</v>
      </c>
      <c r="N179">
        <v>4</v>
      </c>
      <c r="O179" t="s">
        <v>886</v>
      </c>
    </row>
    <row r="180" spans="9:15">
      <c r="I180" t="s">
        <v>881</v>
      </c>
      <c r="J180">
        <v>1</v>
      </c>
      <c r="K180">
        <v>2</v>
      </c>
      <c r="L180">
        <v>0</v>
      </c>
      <c r="M180">
        <v>3</v>
      </c>
      <c r="N180">
        <v>4</v>
      </c>
      <c r="O180" t="s">
        <v>887</v>
      </c>
    </row>
    <row r="181" spans="9:15">
      <c r="I181" t="s">
        <v>881</v>
      </c>
      <c r="J181">
        <v>1</v>
      </c>
      <c r="K181">
        <v>2</v>
      </c>
      <c r="L181">
        <v>1</v>
      </c>
      <c r="M181">
        <v>4</v>
      </c>
      <c r="N181">
        <v>5</v>
      </c>
      <c r="O181" t="s">
        <v>888</v>
      </c>
    </row>
    <row r="182" spans="9:15">
      <c r="I182" t="s">
        <v>881</v>
      </c>
      <c r="J182">
        <v>1</v>
      </c>
      <c r="K182">
        <v>3</v>
      </c>
      <c r="L182">
        <v>0</v>
      </c>
      <c r="M182">
        <v>4</v>
      </c>
      <c r="N182">
        <v>5</v>
      </c>
      <c r="O182" t="s">
        <v>889</v>
      </c>
    </row>
    <row r="183" spans="9:15">
      <c r="I183" t="s">
        <v>881</v>
      </c>
      <c r="J183">
        <v>1</v>
      </c>
      <c r="K183">
        <v>3</v>
      </c>
      <c r="L183">
        <v>1</v>
      </c>
      <c r="M183">
        <v>5</v>
      </c>
      <c r="N183">
        <v>6</v>
      </c>
      <c r="O183" t="s">
        <v>890</v>
      </c>
    </row>
    <row r="184" spans="9:15">
      <c r="I184" t="s">
        <v>881</v>
      </c>
      <c r="J184">
        <v>1</v>
      </c>
      <c r="K184">
        <v>4</v>
      </c>
      <c r="L184">
        <v>0</v>
      </c>
      <c r="M184">
        <v>5</v>
      </c>
      <c r="N184">
        <v>6</v>
      </c>
      <c r="O184" t="s">
        <v>891</v>
      </c>
    </row>
    <row r="185" spans="9:15">
      <c r="I185" t="s">
        <v>881</v>
      </c>
      <c r="J185">
        <v>2</v>
      </c>
      <c r="K185">
        <v>0</v>
      </c>
      <c r="L185">
        <v>0</v>
      </c>
      <c r="M185">
        <v>2</v>
      </c>
      <c r="N185">
        <v>3</v>
      </c>
      <c r="O185" t="s">
        <v>885</v>
      </c>
    </row>
    <row r="186" spans="9:15">
      <c r="I186" t="s">
        <v>881</v>
      </c>
      <c r="J186">
        <v>2</v>
      </c>
      <c r="K186">
        <v>0</v>
      </c>
      <c r="L186">
        <v>1</v>
      </c>
      <c r="M186">
        <v>3</v>
      </c>
      <c r="N186">
        <v>4</v>
      </c>
      <c r="O186" t="s">
        <v>886</v>
      </c>
    </row>
    <row r="187" spans="9:15">
      <c r="I187" t="s">
        <v>881</v>
      </c>
      <c r="J187">
        <v>2</v>
      </c>
      <c r="K187">
        <v>1</v>
      </c>
      <c r="L187">
        <v>0</v>
      </c>
      <c r="M187">
        <v>3</v>
      </c>
      <c r="N187">
        <v>4</v>
      </c>
      <c r="O187" t="s">
        <v>887</v>
      </c>
    </row>
    <row r="188" spans="9:15">
      <c r="I188" t="s">
        <v>881</v>
      </c>
      <c r="J188">
        <v>2</v>
      </c>
      <c r="K188">
        <v>1</v>
      </c>
      <c r="L188">
        <v>1</v>
      </c>
      <c r="M188">
        <v>4</v>
      </c>
      <c r="N188">
        <v>5</v>
      </c>
      <c r="O188" t="s">
        <v>888</v>
      </c>
    </row>
    <row r="189" spans="9:15">
      <c r="I189" t="s">
        <v>881</v>
      </c>
      <c r="J189">
        <v>2</v>
      </c>
      <c r="K189">
        <v>2</v>
      </c>
      <c r="L189">
        <v>0</v>
      </c>
      <c r="M189">
        <v>4</v>
      </c>
      <c r="N189">
        <v>5</v>
      </c>
      <c r="O189" t="s">
        <v>889</v>
      </c>
    </row>
    <row r="190" spans="9:15">
      <c r="I190" t="s">
        <v>881</v>
      </c>
      <c r="J190">
        <v>2</v>
      </c>
      <c r="K190">
        <v>2</v>
      </c>
      <c r="L190">
        <v>1</v>
      </c>
      <c r="M190">
        <v>5</v>
      </c>
      <c r="N190">
        <v>6</v>
      </c>
      <c r="O190" t="s">
        <v>890</v>
      </c>
    </row>
    <row r="191" spans="9:15">
      <c r="I191" t="s">
        <v>881</v>
      </c>
      <c r="J191">
        <v>2</v>
      </c>
      <c r="K191">
        <v>3</v>
      </c>
      <c r="L191">
        <v>0</v>
      </c>
      <c r="M191">
        <v>5</v>
      </c>
      <c r="N191">
        <v>6</v>
      </c>
      <c r="O191" t="s">
        <v>891</v>
      </c>
    </row>
    <row r="192" spans="9:15">
      <c r="I192" t="s">
        <v>881</v>
      </c>
      <c r="J192">
        <v>3</v>
      </c>
      <c r="K192">
        <v>0</v>
      </c>
      <c r="L192">
        <v>0</v>
      </c>
      <c r="M192">
        <v>3</v>
      </c>
      <c r="N192">
        <v>4</v>
      </c>
      <c r="O192" t="s">
        <v>887</v>
      </c>
    </row>
    <row r="193" spans="9:15">
      <c r="I193" t="s">
        <v>881</v>
      </c>
      <c r="J193">
        <v>3</v>
      </c>
      <c r="K193">
        <v>0</v>
      </c>
      <c r="L193">
        <v>1</v>
      </c>
      <c r="M193">
        <v>4</v>
      </c>
      <c r="N193">
        <v>5</v>
      </c>
      <c r="O193" t="s">
        <v>888</v>
      </c>
    </row>
    <row r="194" spans="9:15">
      <c r="I194" t="s">
        <v>881</v>
      </c>
      <c r="J194">
        <v>3</v>
      </c>
      <c r="K194">
        <v>1</v>
      </c>
      <c r="L194">
        <v>0</v>
      </c>
      <c r="M194">
        <v>4</v>
      </c>
      <c r="N194">
        <v>5</v>
      </c>
      <c r="O194" t="s">
        <v>889</v>
      </c>
    </row>
    <row r="195" spans="9:15">
      <c r="I195" t="s">
        <v>881</v>
      </c>
      <c r="J195">
        <v>3</v>
      </c>
      <c r="K195">
        <v>1</v>
      </c>
      <c r="L195">
        <v>1</v>
      </c>
      <c r="M195">
        <v>5</v>
      </c>
      <c r="N195">
        <v>6</v>
      </c>
      <c r="O195" t="s">
        <v>890</v>
      </c>
    </row>
    <row r="196" spans="9:15">
      <c r="I196" t="s">
        <v>881</v>
      </c>
      <c r="J196">
        <v>3</v>
      </c>
      <c r="K196">
        <v>2</v>
      </c>
      <c r="L196">
        <v>0</v>
      </c>
      <c r="M196">
        <v>5</v>
      </c>
      <c r="N196">
        <v>6</v>
      </c>
      <c r="O196" t="s">
        <v>891</v>
      </c>
    </row>
    <row r="197" spans="9:15">
      <c r="I197" t="s">
        <v>881</v>
      </c>
      <c r="J197">
        <v>4</v>
      </c>
      <c r="K197">
        <v>0</v>
      </c>
      <c r="L197">
        <v>0</v>
      </c>
      <c r="M197">
        <v>4</v>
      </c>
      <c r="N197">
        <v>5</v>
      </c>
      <c r="O197" t="s">
        <v>889</v>
      </c>
    </row>
    <row r="198" spans="9:15">
      <c r="I198" t="s">
        <v>881</v>
      </c>
      <c r="J198">
        <v>4</v>
      </c>
      <c r="K198">
        <v>0</v>
      </c>
      <c r="L198">
        <v>1</v>
      </c>
      <c r="M198">
        <v>5</v>
      </c>
      <c r="N198">
        <v>6</v>
      </c>
      <c r="O198" t="s">
        <v>890</v>
      </c>
    </row>
    <row r="199" spans="9:15">
      <c r="I199" t="s">
        <v>881</v>
      </c>
      <c r="J199">
        <v>4</v>
      </c>
      <c r="K199">
        <v>1</v>
      </c>
      <c r="L199">
        <v>0</v>
      </c>
      <c r="M199">
        <v>5</v>
      </c>
      <c r="N199">
        <v>6</v>
      </c>
      <c r="O199" t="s">
        <v>891</v>
      </c>
    </row>
    <row r="200" spans="9:15">
      <c r="I200" t="s">
        <v>892</v>
      </c>
      <c r="J200">
        <v>0</v>
      </c>
      <c r="K200">
        <v>0</v>
      </c>
      <c r="L200">
        <v>1</v>
      </c>
      <c r="M200">
        <v>1</v>
      </c>
      <c r="N200">
        <v>2</v>
      </c>
      <c r="O200" t="s">
        <v>893</v>
      </c>
    </row>
    <row r="201" spans="9:15">
      <c r="I201" t="s">
        <v>892</v>
      </c>
      <c r="J201">
        <v>0</v>
      </c>
      <c r="K201">
        <v>1</v>
      </c>
      <c r="L201">
        <v>0</v>
      </c>
      <c r="M201">
        <v>1</v>
      </c>
      <c r="N201">
        <v>2</v>
      </c>
      <c r="O201" t="s">
        <v>894</v>
      </c>
    </row>
    <row r="202" spans="9:15">
      <c r="I202" t="s">
        <v>892</v>
      </c>
      <c r="J202">
        <v>0</v>
      </c>
      <c r="K202">
        <v>1</v>
      </c>
      <c r="L202">
        <v>1</v>
      </c>
      <c r="M202">
        <v>2</v>
      </c>
      <c r="N202">
        <v>3</v>
      </c>
      <c r="O202" t="s">
        <v>895</v>
      </c>
    </row>
    <row r="203" spans="9:15">
      <c r="I203" t="s">
        <v>892</v>
      </c>
      <c r="J203">
        <v>0</v>
      </c>
      <c r="K203">
        <v>2</v>
      </c>
      <c r="L203">
        <v>0</v>
      </c>
      <c r="M203">
        <v>2</v>
      </c>
      <c r="N203">
        <v>3</v>
      </c>
      <c r="O203" t="s">
        <v>896</v>
      </c>
    </row>
    <row r="204" spans="9:15">
      <c r="I204" t="s">
        <v>892</v>
      </c>
      <c r="J204">
        <v>0</v>
      </c>
      <c r="K204">
        <v>2</v>
      </c>
      <c r="L204">
        <v>1</v>
      </c>
      <c r="M204">
        <v>3</v>
      </c>
      <c r="N204">
        <v>4</v>
      </c>
      <c r="O204" t="s">
        <v>897</v>
      </c>
    </row>
    <row r="205" spans="9:15">
      <c r="I205" t="s">
        <v>892</v>
      </c>
      <c r="J205">
        <v>0</v>
      </c>
      <c r="K205">
        <v>3</v>
      </c>
      <c r="L205">
        <v>0</v>
      </c>
      <c r="M205">
        <v>3</v>
      </c>
      <c r="N205">
        <v>4</v>
      </c>
      <c r="O205" t="s">
        <v>898</v>
      </c>
    </row>
    <row r="206" spans="9:15">
      <c r="I206" t="s">
        <v>892</v>
      </c>
      <c r="J206">
        <v>0</v>
      </c>
      <c r="K206">
        <v>3</v>
      </c>
      <c r="L206">
        <v>1</v>
      </c>
      <c r="M206">
        <v>4</v>
      </c>
      <c r="N206">
        <v>5</v>
      </c>
      <c r="O206" t="s">
        <v>899</v>
      </c>
    </row>
    <row r="207" spans="9:15">
      <c r="I207" t="s">
        <v>892</v>
      </c>
      <c r="J207">
        <v>0</v>
      </c>
      <c r="K207">
        <v>4</v>
      </c>
      <c r="L207">
        <v>0</v>
      </c>
      <c r="M207">
        <v>4</v>
      </c>
      <c r="N207">
        <v>5</v>
      </c>
      <c r="O207" t="s">
        <v>900</v>
      </c>
    </row>
    <row r="208" spans="9:15">
      <c r="I208" t="s">
        <v>892</v>
      </c>
      <c r="J208">
        <v>1</v>
      </c>
      <c r="K208">
        <v>0</v>
      </c>
      <c r="L208">
        <v>0</v>
      </c>
      <c r="M208">
        <v>1</v>
      </c>
      <c r="N208">
        <v>2</v>
      </c>
      <c r="O208" t="s">
        <v>894</v>
      </c>
    </row>
    <row r="209" spans="9:15">
      <c r="I209" t="s">
        <v>892</v>
      </c>
      <c r="J209">
        <v>1</v>
      </c>
      <c r="K209">
        <v>0</v>
      </c>
      <c r="L209">
        <v>1</v>
      </c>
      <c r="M209">
        <v>2</v>
      </c>
      <c r="N209">
        <v>3</v>
      </c>
      <c r="O209" t="s">
        <v>895</v>
      </c>
    </row>
    <row r="210" spans="9:15">
      <c r="I210" t="s">
        <v>892</v>
      </c>
      <c r="J210">
        <v>1</v>
      </c>
      <c r="K210">
        <v>1</v>
      </c>
      <c r="L210">
        <v>0</v>
      </c>
      <c r="M210">
        <v>2</v>
      </c>
      <c r="N210">
        <v>3</v>
      </c>
      <c r="O210" t="s">
        <v>896</v>
      </c>
    </row>
    <row r="211" spans="9:15">
      <c r="I211" t="s">
        <v>892</v>
      </c>
      <c r="J211">
        <v>1</v>
      </c>
      <c r="K211">
        <v>1</v>
      </c>
      <c r="L211">
        <v>1</v>
      </c>
      <c r="M211">
        <v>3</v>
      </c>
      <c r="N211">
        <v>4</v>
      </c>
      <c r="O211" t="s">
        <v>897</v>
      </c>
    </row>
    <row r="212" spans="9:15">
      <c r="I212" t="s">
        <v>892</v>
      </c>
      <c r="J212">
        <v>1</v>
      </c>
      <c r="K212">
        <v>2</v>
      </c>
      <c r="L212">
        <v>0</v>
      </c>
      <c r="M212">
        <v>3</v>
      </c>
      <c r="N212">
        <v>4</v>
      </c>
      <c r="O212" t="s">
        <v>898</v>
      </c>
    </row>
    <row r="213" spans="9:15">
      <c r="I213" t="s">
        <v>892</v>
      </c>
      <c r="J213">
        <v>1</v>
      </c>
      <c r="K213">
        <v>2</v>
      </c>
      <c r="L213">
        <v>1</v>
      </c>
      <c r="M213">
        <v>4</v>
      </c>
      <c r="N213">
        <v>5</v>
      </c>
      <c r="O213" t="s">
        <v>899</v>
      </c>
    </row>
    <row r="214" spans="9:15">
      <c r="I214" t="s">
        <v>892</v>
      </c>
      <c r="J214">
        <v>1</v>
      </c>
      <c r="K214">
        <v>3</v>
      </c>
      <c r="L214">
        <v>0</v>
      </c>
      <c r="M214">
        <v>4</v>
      </c>
      <c r="N214">
        <v>5</v>
      </c>
      <c r="O214" t="s">
        <v>900</v>
      </c>
    </row>
    <row r="215" spans="9:15">
      <c r="I215" t="s">
        <v>892</v>
      </c>
      <c r="J215">
        <v>2</v>
      </c>
      <c r="K215">
        <v>0</v>
      </c>
      <c r="L215">
        <v>0</v>
      </c>
      <c r="M215">
        <v>2</v>
      </c>
      <c r="N215">
        <v>3</v>
      </c>
      <c r="O215" t="s">
        <v>896</v>
      </c>
    </row>
    <row r="216" spans="9:15">
      <c r="I216" t="s">
        <v>892</v>
      </c>
      <c r="J216">
        <v>2</v>
      </c>
      <c r="K216">
        <v>0</v>
      </c>
      <c r="L216">
        <v>1</v>
      </c>
      <c r="M216">
        <v>3</v>
      </c>
      <c r="N216">
        <v>4</v>
      </c>
      <c r="O216" t="s">
        <v>897</v>
      </c>
    </row>
    <row r="217" spans="9:15">
      <c r="I217" t="s">
        <v>892</v>
      </c>
      <c r="J217">
        <v>2</v>
      </c>
      <c r="K217">
        <v>1</v>
      </c>
      <c r="L217">
        <v>0</v>
      </c>
      <c r="M217">
        <v>3</v>
      </c>
      <c r="N217">
        <v>4</v>
      </c>
      <c r="O217" t="s">
        <v>898</v>
      </c>
    </row>
    <row r="218" spans="9:15">
      <c r="I218" t="s">
        <v>892</v>
      </c>
      <c r="J218">
        <v>2</v>
      </c>
      <c r="K218">
        <v>1</v>
      </c>
      <c r="L218">
        <v>1</v>
      </c>
      <c r="M218">
        <v>4</v>
      </c>
      <c r="N218">
        <v>5</v>
      </c>
      <c r="O218" t="s">
        <v>899</v>
      </c>
    </row>
    <row r="219" spans="9:15">
      <c r="I219" t="s">
        <v>892</v>
      </c>
      <c r="J219">
        <v>2</v>
      </c>
      <c r="K219">
        <v>2</v>
      </c>
      <c r="L219">
        <v>0</v>
      </c>
      <c r="M219">
        <v>4</v>
      </c>
      <c r="N219">
        <v>5</v>
      </c>
      <c r="O219" t="s">
        <v>900</v>
      </c>
    </row>
    <row r="220" spans="9:15">
      <c r="I220" t="s">
        <v>892</v>
      </c>
      <c r="J220">
        <v>3</v>
      </c>
      <c r="K220">
        <v>0</v>
      </c>
      <c r="L220">
        <v>0</v>
      </c>
      <c r="M220">
        <v>3</v>
      </c>
      <c r="N220">
        <v>4</v>
      </c>
      <c r="O220" t="s">
        <v>898</v>
      </c>
    </row>
    <row r="221" spans="9:15">
      <c r="I221" t="s">
        <v>892</v>
      </c>
      <c r="J221">
        <v>3</v>
      </c>
      <c r="K221">
        <v>0</v>
      </c>
      <c r="L221">
        <v>1</v>
      </c>
      <c r="M221">
        <v>4</v>
      </c>
      <c r="N221">
        <v>5</v>
      </c>
      <c r="O221" t="s">
        <v>899</v>
      </c>
    </row>
    <row r="222" spans="9:15">
      <c r="I222" t="s">
        <v>892</v>
      </c>
      <c r="J222">
        <v>3</v>
      </c>
      <c r="K222">
        <v>1</v>
      </c>
      <c r="L222">
        <v>0</v>
      </c>
      <c r="M222">
        <v>4</v>
      </c>
      <c r="N222">
        <v>5</v>
      </c>
      <c r="O222" t="s">
        <v>900</v>
      </c>
    </row>
    <row r="223" spans="9:15">
      <c r="I223" t="s">
        <v>892</v>
      </c>
      <c r="J223">
        <v>4</v>
      </c>
      <c r="K223">
        <v>0</v>
      </c>
      <c r="L223">
        <v>0</v>
      </c>
      <c r="M223">
        <v>4</v>
      </c>
      <c r="N223">
        <v>5</v>
      </c>
      <c r="O223" t="s">
        <v>900</v>
      </c>
    </row>
    <row r="224" spans="9:15">
      <c r="I224" t="s">
        <v>901</v>
      </c>
      <c r="J224">
        <v>0</v>
      </c>
      <c r="K224">
        <v>0</v>
      </c>
      <c r="L224">
        <v>1</v>
      </c>
      <c r="M224">
        <v>1</v>
      </c>
      <c r="N224">
        <v>2</v>
      </c>
      <c r="O224" t="s">
        <v>902</v>
      </c>
    </row>
    <row r="225" spans="9:15">
      <c r="I225" t="s">
        <v>901</v>
      </c>
      <c r="J225">
        <v>0</v>
      </c>
      <c r="K225">
        <v>1</v>
      </c>
      <c r="L225">
        <v>0</v>
      </c>
      <c r="M225">
        <v>1</v>
      </c>
      <c r="N225">
        <v>2</v>
      </c>
      <c r="O225" t="s">
        <v>903</v>
      </c>
    </row>
    <row r="226" spans="9:15">
      <c r="I226" t="s">
        <v>901</v>
      </c>
      <c r="J226">
        <v>0</v>
      </c>
      <c r="K226">
        <v>1</v>
      </c>
      <c r="L226">
        <v>1</v>
      </c>
      <c r="M226">
        <v>2</v>
      </c>
      <c r="N226">
        <v>3</v>
      </c>
      <c r="O226" t="s">
        <v>904</v>
      </c>
    </row>
    <row r="227" spans="9:15">
      <c r="I227" t="s">
        <v>901</v>
      </c>
      <c r="J227">
        <v>0</v>
      </c>
      <c r="K227">
        <v>2</v>
      </c>
      <c r="L227">
        <v>0</v>
      </c>
      <c r="M227">
        <v>2</v>
      </c>
      <c r="N227">
        <v>3</v>
      </c>
      <c r="O227" t="s">
        <v>905</v>
      </c>
    </row>
    <row r="228" spans="9:15">
      <c r="I228" t="s">
        <v>901</v>
      </c>
      <c r="J228">
        <v>0</v>
      </c>
      <c r="K228">
        <v>2</v>
      </c>
      <c r="L228">
        <v>1</v>
      </c>
      <c r="M228">
        <v>3</v>
      </c>
      <c r="N228">
        <v>4</v>
      </c>
      <c r="O228" t="s">
        <v>906</v>
      </c>
    </row>
    <row r="229" spans="9:15">
      <c r="I229" t="s">
        <v>901</v>
      </c>
      <c r="J229">
        <v>0</v>
      </c>
      <c r="K229">
        <v>3</v>
      </c>
      <c r="L229">
        <v>0</v>
      </c>
      <c r="M229">
        <v>3</v>
      </c>
      <c r="N229">
        <v>4</v>
      </c>
      <c r="O229" t="s">
        <v>907</v>
      </c>
    </row>
    <row r="230" spans="9:15">
      <c r="I230" t="s">
        <v>901</v>
      </c>
      <c r="J230">
        <v>1</v>
      </c>
      <c r="K230">
        <v>0</v>
      </c>
      <c r="L230">
        <v>0</v>
      </c>
      <c r="M230">
        <v>1</v>
      </c>
      <c r="N230">
        <v>2</v>
      </c>
      <c r="O230" t="s">
        <v>903</v>
      </c>
    </row>
    <row r="231" spans="9:15">
      <c r="I231" t="s">
        <v>901</v>
      </c>
      <c r="J231">
        <v>1</v>
      </c>
      <c r="K231">
        <v>0</v>
      </c>
      <c r="L231">
        <v>1</v>
      </c>
      <c r="M231">
        <v>2</v>
      </c>
      <c r="N231">
        <v>3</v>
      </c>
      <c r="O231" t="s">
        <v>904</v>
      </c>
    </row>
    <row r="232" spans="9:15">
      <c r="I232" t="s">
        <v>901</v>
      </c>
      <c r="J232">
        <v>1</v>
      </c>
      <c r="K232">
        <v>1</v>
      </c>
      <c r="L232">
        <v>0</v>
      </c>
      <c r="M232">
        <v>2</v>
      </c>
      <c r="N232">
        <v>3</v>
      </c>
      <c r="O232" t="s">
        <v>905</v>
      </c>
    </row>
    <row r="233" spans="9:15">
      <c r="I233" t="s">
        <v>901</v>
      </c>
      <c r="J233">
        <v>1</v>
      </c>
      <c r="K233">
        <v>1</v>
      </c>
      <c r="L233">
        <v>1</v>
      </c>
      <c r="M233">
        <v>3</v>
      </c>
      <c r="N233">
        <v>4</v>
      </c>
      <c r="O233" t="s">
        <v>906</v>
      </c>
    </row>
    <row r="234" spans="9:15">
      <c r="I234" t="s">
        <v>901</v>
      </c>
      <c r="J234">
        <v>1</v>
      </c>
      <c r="K234">
        <v>2</v>
      </c>
      <c r="L234">
        <v>0</v>
      </c>
      <c r="M234">
        <v>3</v>
      </c>
      <c r="N234">
        <v>4</v>
      </c>
      <c r="O234" t="s">
        <v>907</v>
      </c>
    </row>
    <row r="235" spans="9:15">
      <c r="I235" t="s">
        <v>901</v>
      </c>
      <c r="J235">
        <v>2</v>
      </c>
      <c r="K235">
        <v>0</v>
      </c>
      <c r="L235">
        <v>0</v>
      </c>
      <c r="M235">
        <v>2</v>
      </c>
      <c r="N235">
        <v>3</v>
      </c>
      <c r="O235" t="s">
        <v>905</v>
      </c>
    </row>
    <row r="236" spans="9:15">
      <c r="I236" t="s">
        <v>901</v>
      </c>
      <c r="J236">
        <v>2</v>
      </c>
      <c r="K236">
        <v>0</v>
      </c>
      <c r="L236">
        <v>1</v>
      </c>
      <c r="M236">
        <v>3</v>
      </c>
      <c r="N236">
        <v>4</v>
      </c>
      <c r="O236" t="s">
        <v>906</v>
      </c>
    </row>
    <row r="237" spans="9:15">
      <c r="I237" t="s">
        <v>901</v>
      </c>
      <c r="J237">
        <v>2</v>
      </c>
      <c r="K237">
        <v>1</v>
      </c>
      <c r="L237">
        <v>0</v>
      </c>
      <c r="M237">
        <v>3</v>
      </c>
      <c r="N237">
        <v>4</v>
      </c>
      <c r="O237" t="s">
        <v>907</v>
      </c>
    </row>
    <row r="238" spans="9:15">
      <c r="I238" t="s">
        <v>901</v>
      </c>
      <c r="J238">
        <v>3</v>
      </c>
      <c r="K238">
        <v>0</v>
      </c>
      <c r="L238">
        <v>0</v>
      </c>
      <c r="M238">
        <v>3</v>
      </c>
      <c r="N238">
        <v>4</v>
      </c>
      <c r="O238" t="s">
        <v>907</v>
      </c>
    </row>
    <row r="239" spans="9:15">
      <c r="I239" t="s">
        <v>908</v>
      </c>
      <c r="J239">
        <v>0</v>
      </c>
      <c r="K239">
        <v>1</v>
      </c>
      <c r="L239">
        <v>0</v>
      </c>
      <c r="M239">
        <v>1</v>
      </c>
      <c r="N239">
        <v>2</v>
      </c>
      <c r="O239" t="s">
        <v>909</v>
      </c>
    </row>
    <row r="240" spans="9:15">
      <c r="I240" t="s">
        <v>908</v>
      </c>
      <c r="J240">
        <v>0</v>
      </c>
      <c r="K240">
        <v>2</v>
      </c>
      <c r="L240">
        <v>0</v>
      </c>
      <c r="M240">
        <v>2</v>
      </c>
      <c r="N240">
        <v>3</v>
      </c>
      <c r="O240" t="s">
        <v>910</v>
      </c>
    </row>
    <row r="241" spans="9:15">
      <c r="I241" t="s">
        <v>908</v>
      </c>
      <c r="J241">
        <v>1</v>
      </c>
      <c r="K241">
        <v>0</v>
      </c>
      <c r="L241">
        <v>0</v>
      </c>
      <c r="M241">
        <v>1</v>
      </c>
      <c r="N241">
        <v>2</v>
      </c>
      <c r="O241" t="s">
        <v>909</v>
      </c>
    </row>
    <row r="242" spans="9:15">
      <c r="I242" t="s">
        <v>908</v>
      </c>
      <c r="J242">
        <v>1</v>
      </c>
      <c r="K242">
        <v>1</v>
      </c>
      <c r="L242">
        <v>0</v>
      </c>
      <c r="M242">
        <v>2</v>
      </c>
      <c r="N242">
        <v>3</v>
      </c>
      <c r="O242" t="s">
        <v>910</v>
      </c>
    </row>
    <row r="243" spans="9:15">
      <c r="I243" t="s">
        <v>908</v>
      </c>
      <c r="J243">
        <v>2</v>
      </c>
      <c r="K243">
        <v>0</v>
      </c>
      <c r="L243">
        <v>0</v>
      </c>
      <c r="M243">
        <v>2</v>
      </c>
      <c r="N243">
        <v>3</v>
      </c>
      <c r="O243" t="s">
        <v>910</v>
      </c>
    </row>
  </sheetData>
  <pageMargins left="0.75" right="0.75" top="1" bottom="1" header="0.5" footer="0.5"/>
  <pageSetup paperSize="0" orientation="portrait" horizontalDpi="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6"/>
  <dimension ref="A1"/>
  <sheetViews>
    <sheetView workbookViewId="0">
      <selection activeCell="S2" sqref="S2"/>
    </sheetView>
  </sheetViews>
  <sheetFormatPr baseColWidth="10" defaultRowHeight="15"/>
  <sheetData/>
  <pageMargins left="0.7" right="0.7" top="0.75" bottom="0.75" header="0.3" footer="0.3"/>
  <pageSetup paperSize="0" orientation="portrait" horizontalDpi="0" verticalDpi="0"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726235-B9C6-4208-8FAD-6F509B288F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18</vt:i4>
      </vt:variant>
      <vt:variant>
        <vt:lpstr>Plages nommées</vt:lpstr>
      </vt:variant>
      <vt:variant>
        <vt:i4>39</vt:i4>
      </vt:variant>
    </vt:vector>
  </HeadingPairs>
  <TitlesOfParts>
    <vt:vector size="57" baseType="lpstr">
      <vt:lpstr>Tableau NUMERIQUE</vt:lpstr>
      <vt:lpstr>Tableau NUMERIQUE (2)</vt:lpstr>
      <vt:lpstr>Donnees Num</vt:lpstr>
      <vt:lpstr>Tableau papier</vt:lpstr>
      <vt:lpstr>Livraison</vt:lpstr>
      <vt:lpstr>Tableau Façonnage Num</vt:lpstr>
      <vt:lpstr>Tableau OFFSET</vt:lpstr>
      <vt:lpstr>Tableau OFFSET (2)</vt:lpstr>
      <vt:lpstr>Détails PRIX</vt:lpstr>
      <vt:lpstr>Détails PRIX DEPLIANTS</vt:lpstr>
      <vt:lpstr>GENERATEUR BROCHURE</vt:lpstr>
      <vt:lpstr>GENERATEUR FLYER-DEPLIANT</vt:lpstr>
      <vt:lpstr>Tableau Façonnage OFFSET</vt:lpstr>
      <vt:lpstr>Transports</vt:lpstr>
      <vt:lpstr>Bloc note</vt:lpstr>
      <vt:lpstr>Parc Machines IMB</vt:lpstr>
      <vt:lpstr>Réglages Presses</vt:lpstr>
      <vt:lpstr>Sauvegarde formules</vt:lpstr>
      <vt:lpstr>Bouffantblanc</vt:lpstr>
      <vt:lpstr>BouffantMunkenBlanc</vt:lpstr>
      <vt:lpstr>BouffantMunkenCreme</vt:lpstr>
      <vt:lpstr>Brillantcouv</vt:lpstr>
      <vt:lpstr>Brillantcouv_DC</vt:lpstr>
      <vt:lpstr>Brillantinterieur</vt:lpstr>
      <vt:lpstr>Carte1Face</vt:lpstr>
      <vt:lpstr>Carte1Face_DC</vt:lpstr>
      <vt:lpstr>Couche</vt:lpstr>
      <vt:lpstr>CoucheCouv</vt:lpstr>
      <vt:lpstr>CoucheCouv_DC</vt:lpstr>
      <vt:lpstr>CoucheInterieur</vt:lpstr>
      <vt:lpstr>CoucheMatCouv</vt:lpstr>
      <vt:lpstr>CoucheMatCouv_DC</vt:lpstr>
      <vt:lpstr>CoucheMatInterieur</vt:lpstr>
      <vt:lpstr>CoucheSatinCouv</vt:lpstr>
      <vt:lpstr>CoucheSatinCouv_DC</vt:lpstr>
      <vt:lpstr>CoucheSatinInterieur</vt:lpstr>
      <vt:lpstr>FormatsImpression</vt:lpstr>
      <vt:lpstr>Grammage_Autre_Couverture</vt:lpstr>
      <vt:lpstr>Grammage_Autre_Interieur</vt:lpstr>
      <vt:lpstr>Liste_DosCarre</vt:lpstr>
      <vt:lpstr>Liste_ParDéfaut</vt:lpstr>
      <vt:lpstr>Liste_Piqûre</vt:lpstr>
      <vt:lpstr>ListeDept</vt:lpstr>
      <vt:lpstr>ListePelliculage</vt:lpstr>
      <vt:lpstr>OffsetCouv</vt:lpstr>
      <vt:lpstr>OffsetInterieur</vt:lpstr>
      <vt:lpstr>PeliR</vt:lpstr>
      <vt:lpstr>PeliRV</vt:lpstr>
      <vt:lpstr>PelliculageComplet</vt:lpstr>
      <vt:lpstr>PelliculageSimple</vt:lpstr>
      <vt:lpstr>RecycleCouv</vt:lpstr>
      <vt:lpstr>RecycleOffset</vt:lpstr>
      <vt:lpstr>Toutautre</vt:lpstr>
      <vt:lpstr>Toutcarte1face</vt:lpstr>
      <vt:lpstr>Toutcouche</vt:lpstr>
      <vt:lpstr>Toutoffset</vt:lpstr>
      <vt:lpstr>Toutrecycle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Valentin</dc:creator>
  <cp:lastModifiedBy>Gonzague Havet</cp:lastModifiedBy>
  <cp:lastPrinted>2020-09-08T09:20:23Z</cp:lastPrinted>
  <dcterms:created xsi:type="dcterms:W3CDTF">2016-05-20T15:59:06Z</dcterms:created>
  <dcterms:modified xsi:type="dcterms:W3CDTF">2026-01-30T08:06:07Z</dcterms:modified>
</cp:coreProperties>
</file>